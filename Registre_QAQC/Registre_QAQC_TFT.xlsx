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Registre" sheetId="2" state="visible" r:id="rId2"/>
    <sheet xmlns:r="http://schemas.openxmlformats.org/officeDocument/2006/relationships" name="RFI" sheetId="3" state="visible" r:id="rId3"/>
    <sheet xmlns:r="http://schemas.openxmlformats.org/officeDocument/2006/relationships" name="PV Ouverture" sheetId="4" state="visible" r:id="rId4"/>
    <sheet xmlns:r="http://schemas.openxmlformats.org/officeDocument/2006/relationships" name="PV Piste" sheetId="5" state="visible" r:id="rId5"/>
    <sheet xmlns:r="http://schemas.openxmlformats.org/officeDocument/2006/relationships" name="PV Bardage" sheetId="6" state="visible" r:id="rId6"/>
    <sheet xmlns:r="http://schemas.openxmlformats.org/officeDocument/2006/relationships" name="PV Cintrage" sheetId="7" state="visible" r:id="rId7"/>
    <sheet xmlns:r="http://schemas.openxmlformats.org/officeDocument/2006/relationships" name="PV Enrobage" sheetId="8" state="visible" r:id="rId8"/>
    <sheet xmlns:r="http://schemas.openxmlformats.org/officeDocument/2006/relationships" name="PV Lit de pose" sheetId="9" state="visible" r:id="rId9"/>
    <sheet xmlns:r="http://schemas.openxmlformats.org/officeDocument/2006/relationships" name="PV Mise en fouille" sheetId="10" state="visible" r:id="rId10"/>
    <sheet xmlns:r="http://schemas.openxmlformats.org/officeDocument/2006/relationships" name="PV Pre-remblai" sheetId="11" state="visible" r:id="rId11"/>
    <sheet xmlns:r="http://schemas.openxmlformats.org/officeDocument/2006/relationships" name="Données Ouverture" sheetId="12" state="visible" r:id="rId12"/>
    <sheet xmlns:r="http://schemas.openxmlformats.org/officeDocument/2006/relationships" name="Données Piste" sheetId="13" state="visible" r:id="rId13"/>
    <sheet xmlns:r="http://schemas.openxmlformats.org/officeDocument/2006/relationships" name="Tubes Bardage" sheetId="14" state="visible" r:id="rId14"/>
    <sheet xmlns:r="http://schemas.openxmlformats.org/officeDocument/2006/relationships" name="Données Cintrage" sheetId="15" state="visible" r:id="rId15"/>
    <sheet xmlns:r="http://schemas.openxmlformats.org/officeDocument/2006/relationships" name="Données Enrobage" sheetId="16" state="visible" r:id="rId16"/>
    <sheet xmlns:r="http://schemas.openxmlformats.org/officeDocument/2006/relationships" name="Joints Enrobage" sheetId="17" state="visible" r:id="rId17"/>
    <sheet xmlns:r="http://schemas.openxmlformats.org/officeDocument/2006/relationships" name="Données Mise en fouille" sheetId="18" state="visible" r:id="rId18"/>
    <sheet xmlns:r="http://schemas.openxmlformats.org/officeDocument/2006/relationships" name="Paramètres" sheetId="19" state="visible" r:id="rId19"/>
    <sheet xmlns:r="http://schemas.openxmlformats.org/officeDocument/2006/relationships" name="Listes" sheetId="20" state="hidden" r:id="rId20"/>
  </sheets>
  <definedNames>
    <definedName name="Liste_OUV">OFFSET(Listes!$O$2,0,0,MAX(1,COUNTIF(Listes!$O$2:$O$501,"?*")),1)</definedName>
    <definedName name="Liste_PIS">OFFSET(Listes!$P$2,0,0,MAX(1,COUNTIF(Listes!$P$2:$P$501,"?*")),1)</definedName>
    <definedName name="Liste_BAR">OFFSET(Listes!$Q$2,0,0,MAX(1,COUNTIF(Listes!$Q$2:$Q$501,"?*")),1)</definedName>
    <definedName name="Liste_CIN">OFFSET(Listes!$R$2,0,0,MAX(1,COUNTIF(Listes!$R$2:$R$501,"?*")),1)</definedName>
    <definedName name="Liste_ENR">OFFSET(Listes!$S$2,0,0,MAX(1,COUNTIF(Listes!$S$2:$S$501,"?*")),1)</definedName>
    <definedName name="Liste_LIT">OFFSET(Listes!$T$2,0,0,MAX(1,COUNTIF(Listes!$T$2:$T$501,"?*")),1)</definedName>
    <definedName name="Liste_MEF">OFFSET(Listes!$U$2,0,0,MAX(1,COUNTIF(Listes!$U$2:$U$501,"?*")),1)</definedName>
    <definedName name="Liste_PRE">OFFSET(Listes!$V$2,0,0,MAX(1,COUNTIF(Listes!$V$2:$V$501,"?*")),1)</definedName>
    <definedName name="Liste_RFI">OFFSET(Registre!$B$2,0,0,MAX(1,COUNTA(Registre!$B$2:$B$2001)),1)</definedName>
    <definedName name="_xlnm._FilterDatabase" localSheetId="1" hidden="1">'Registre'!$A$1:$Z$2001</definedName>
    <definedName name="_xlnm.Print_Area" localSheetId="2">'RFI'!$A$1:$J$22</definedName>
    <definedName name="_xlnm.Print_Area" localSheetId="3">'PV Ouverture'!$A$1:$J$20</definedName>
    <definedName name="_xlnm.Print_Area" localSheetId="4">'PV Piste'!$A$1:$J$23</definedName>
    <definedName name="_xlnm.Print_Area" localSheetId="5">'PV Bardage'!$A$1:$J$35</definedName>
    <definedName name="_xlnm.Print_Area" localSheetId="6">'PV Cintrage'!$A$1:$J$28</definedName>
    <definedName name="_xlnm.Print_Area" localSheetId="7">'PV Enrobage'!$A$1:$M$36</definedName>
    <definedName name="_xlnm.Print_Area" localSheetId="8">'PV Lit de pose'!$A$1:$J$20</definedName>
    <definedName name="_xlnm.Print_Area" localSheetId="9">'PV Mise en fouille'!$A$1:$J$30</definedName>
    <definedName name="_xlnm.Print_Area" localSheetId="10">'PV Pre-remblai'!$A$1:$J$20</definedName>
    <definedName name="_xlnm._FilterDatabase" localSheetId="11" hidden="1">'Données Ouverture'!$A$1:$D$501</definedName>
    <definedName name="_xlnm._FilterDatabase" localSheetId="12" hidden="1">'Données Piste'!$A$1:$H$501</definedName>
    <definedName name="_xlnm._FilterDatabase" localSheetId="13" hidden="1">'Tubes Bardage'!$A$1:$H$501</definedName>
    <definedName name="_xlnm._FilterDatabase" localSheetId="14" hidden="1">'Données Cintrage'!$A$1:$M$501</definedName>
    <definedName name="_xlnm._FilterDatabase" localSheetId="15" hidden="1">'Données Enrobage'!$A$1:$U$501</definedName>
    <definedName name="_xlnm._FilterDatabase" localSheetId="16" hidden="1">'Joints Enrobage'!$A$1:$M$501</definedName>
    <definedName name="_xlnm._FilterDatabase" localSheetId="17" hidden="1">'Données Mise en fouille'!$A$1:$M$501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8">
    <font>
      <name val="Calibri"/>
      <family val="2"/>
      <color theme="1"/>
      <sz val="11"/>
      <scheme val="minor"/>
    </font>
    <font>
      <b val="1"/>
    </font>
    <font>
      <b val="1"/>
      <color rgb="001F4E78"/>
      <sz val="16"/>
    </font>
    <font>
      <sz val="11"/>
    </font>
    <font>
      <b val="1"/>
      <color rgb="001F4E78"/>
      <sz val="12"/>
    </font>
    <font>
      <b val="1"/>
      <color rgb="00FFFFFF"/>
    </font>
    <font>
      <i val="1"/>
      <color rgb="00808080"/>
    </font>
    <font>
      <color rgb="00A6A6A6"/>
      <sz val="8"/>
    </font>
    <font>
      <name val="Arial"/>
      <sz val="10"/>
    </font>
    <font>
      <name val="Arial"/>
      <b val="1"/>
      <sz val="9"/>
    </font>
    <font>
      <name val="Arial"/>
      <b val="1"/>
      <sz val="8"/>
    </font>
    <font>
      <name val="Arial"/>
      <b val="1"/>
      <sz val="11"/>
    </font>
    <font>
      <i val="1"/>
      <color rgb="00808080"/>
      <sz val="8"/>
    </font>
    <font>
      <color rgb="00808080"/>
      <sz val="8"/>
    </font>
    <font>
      <b val="1"/>
      <color rgb="001F4E78"/>
    </font>
    <font>
      <name val="Arial"/>
      <b val="1"/>
      <sz val="10"/>
    </font>
    <font>
      <name val="Arial"/>
      <sz val="9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 indent="1"/>
    </xf>
    <xf numFmtId="0" fontId="15" fillId="0" borderId="1" applyAlignment="1" pivotButton="0" quotePrefix="0" xfId="0">
      <alignment horizontal="right" vertical="center" wrapText="1"/>
    </xf>
    <xf numFmtId="49" fontId="15" fillId="5" borderId="1" applyAlignment="1" pivotButton="0" quotePrefix="0" xfId="0">
      <alignment horizontal="left" vertical="center" wrapText="1" indent="1"/>
    </xf>
    <xf numFmtId="0" fontId="14" fillId="0" borderId="0" pivotButton="0" quotePrefix="0" xfId="0"/>
    <xf numFmtId="0" fontId="1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top" wrapText="1" indent="1"/>
    </xf>
    <xf numFmtId="0" fontId="17" fillId="0" borderId="0" pivotButton="0" quotePrefix="0" xfId="0"/>
    <xf numFmtId="0" fontId="8" fillId="0" borderId="1" applyAlignment="1" pivotButton="0" quotePrefix="0" xfId="0">
      <alignment horizontal="right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center" wrapText="1" indent="1"/>
    </xf>
    <xf numFmtId="49" fontId="0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jpe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jpe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jpe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jpeg" Id="rId1"/><Relationship Type="http://schemas.openxmlformats.org/officeDocument/2006/relationships/image" Target="/xl/media/image13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4.jpeg" Id="rId1"/><Relationship Type="http://schemas.openxmlformats.org/officeDocument/2006/relationships/image" Target="/xl/media/image15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6.jpeg" Id="rId1"/><Relationship Type="http://schemas.openxmlformats.org/officeDocument/2006/relationships/image" Target="/xl/media/image17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8.jpeg" Id="rId1"/><Relationship Type="http://schemas.openxmlformats.org/officeDocument/2006/relationships/image" Target="/xl/media/image19.png" Id="rId2"/></Relationships>
</file>

<file path=xl/drawings/drawing1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476250</colOff>
      <row>15</row>
      <rowOff>38100</rowOff>
    </from>
    <ext cx="762000" cy="85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133350</colOff>
      <row>0</row>
      <rowOff>133350</rowOff>
    </from>
    <ext cx="323850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552450</colOff>
      <row>0</row>
      <rowOff>133350</rowOff>
    </from>
    <ext cx="438150" cy="323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28" customHeight="1">
      <c r="B2" s="1" t="inlineStr">
        <is>
          <t>REGISTRE QA/QC – PV &amp; RFI (sans macro)</t>
        </is>
      </c>
    </row>
    <row r="3">
      <c r="B3" s="2" t="inlineStr"/>
    </row>
    <row r="4">
      <c r="B4" s="3" t="inlineStr">
        <is>
          <t>1. Saisie</t>
        </is>
      </c>
    </row>
    <row r="5">
      <c r="B5" s="2" t="inlineStr">
        <is>
          <t>• Feuille « Registre » : une ligne par inspection. Choisissez le Type, saisissez le RFI No (unique), le N° de rapport, l'ouvrage, le plan, la désignation, le tronçon et la conclusion.</t>
        </is>
      </c>
    </row>
    <row r="6">
      <c r="B6" s="2" t="inlineStr">
        <is>
          <t>• Feuilles grises « Données … » / « Tubes Bardage » / « Joints Enrobage » : informations propres à certains PV (une ligne par RFI, ou une ligne par tube / joint).</t>
        </is>
      </c>
    </row>
    <row r="7">
      <c r="B7" s="2" t="inlineStr"/>
    </row>
    <row r="8">
      <c r="B8" s="3" t="inlineStr">
        <is>
          <t>2. Édition</t>
        </is>
      </c>
    </row>
    <row r="9">
      <c r="B9" s="2" t="inlineStr">
        <is>
          <t>• Ouvrez la feuille du PV (onglets bleus) ou la feuille « RFI » (onglet rouge).</t>
        </is>
      </c>
    </row>
    <row r="10">
      <c r="B10" s="2" t="inlineStr">
        <is>
          <t>• Cliquez sur la case jaune et choisissez le RFI No : la liste ne propose que les RFI du bon type, et la fiche se remplit automatiquement.</t>
        </is>
      </c>
    </row>
    <row r="11">
      <c r="B11" s="2" t="inlineStr">
        <is>
          <t>• Imprimez (Ctrl+P) ou Fichier &gt; Exporter &gt; PDF : la fiche tient sur une page A4.</t>
        </is>
      </c>
    </row>
    <row r="12">
      <c r="B12" s="2" t="inlineStr"/>
    </row>
    <row r="13">
      <c r="B13" s="3" t="inlineStr">
        <is>
          <t>3. Cases à cocher</t>
        </is>
      </c>
    </row>
    <row r="14">
      <c r="B14" s="2" t="inlineStr">
        <is>
          <t>• La conclusion (Accepté / Rejeté / Non applicable) saisie dans le Registre coche automatiquement la bonne case.</t>
        </is>
      </c>
    </row>
    <row r="15">
      <c r="B15" s="2" t="inlineStr">
        <is>
          <t>• Les points d'inspection sans colonne dédiée sont cochés « C » quand la conclusion est « Accepté » ; sinon ils restent vides pour être cochés à la main.</t>
        </is>
      </c>
    </row>
    <row r="16">
      <c r="B16" s="2" t="inlineStr"/>
    </row>
    <row r="17">
      <c r="B17" s="3" t="inlineStr">
        <is>
          <t>4. Paramètres</t>
        </is>
      </c>
    </row>
    <row r="18">
      <c r="B18" s="2" t="inlineStr">
        <is>
          <t>• Feuille « Paramètres » : titre du projet, code et date de chaque formulaire. Modifiez-les une fois, toutes les fiches suivent.</t>
        </is>
      </c>
    </row>
    <row r="19">
      <c r="B19" s="2" t="inlineStr"/>
    </row>
    <row r="20">
      <c r="B20" s="3" t="inlineStr">
        <is>
          <t>Règles</t>
        </is>
      </c>
    </row>
    <row r="21">
      <c r="B21" s="2" t="inlineStr">
        <is>
          <t>• Le RFI No doit être unique dans le Registre.</t>
        </is>
      </c>
    </row>
    <row r="22">
      <c r="B22" s="2" t="inlineStr">
        <is>
          <t>• Ne pas renommer les feuilles ni modifier les cellules grises « Calcul » à droite des fiches.</t>
        </is>
      </c>
    </row>
    <row r="23">
      <c r="B23" s="2" t="inlineStr">
        <is>
          <t>• Les colonnes sont au format Texte : les zéros de « 0001 » sont conservés.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AA2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3" customWidth="1" min="4" max="4"/>
    <col width="36" customWidth="1" min="5" max="5"/>
    <col width="25" customWidth="1" min="6" max="6"/>
    <col width="38" customWidth="1" min="7" max="7"/>
    <col width="11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15" customWidth="1" min="14" max="14"/>
    <col width="36" customWidth="1" min="15" max="15"/>
    <col width="10" customWidth="1" min="16" max="16"/>
    <col width="34" customWidth="1" min="17" max="17"/>
    <col width="8" customWidth="1" min="18" max="18"/>
    <col width="8" customWidth="1" min="19" max="19"/>
    <col width="34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18" customWidth="1" min="27" max="27"/>
  </cols>
  <sheetData>
    <row r="1" ht="45" customHeight="1">
      <c r="A1" s="4" t="inlineStr">
        <is>
          <t>Type</t>
        </is>
      </c>
      <c r="B1" s="4" t="inlineStr">
        <is>
          <t>RFI No</t>
        </is>
      </c>
      <c r="C1" s="4" t="inlineStr">
        <is>
          <t>N° Rapport</t>
        </is>
      </c>
      <c r="D1" s="4" t="inlineStr">
        <is>
          <t>Date d'inspection</t>
        </is>
      </c>
      <c r="E1" s="4" t="inlineStr">
        <is>
          <t>Ouvrage</t>
        </is>
      </c>
      <c r="F1" s="4" t="inlineStr">
        <is>
          <t>Plan nº</t>
        </is>
      </c>
      <c r="G1" s="4" t="inlineStr">
        <is>
          <t>Désignation</t>
        </is>
      </c>
      <c r="H1" s="4" t="inlineStr">
        <is>
          <t>Tronçon N°</t>
        </is>
      </c>
      <c r="I1" s="4" t="inlineStr">
        <is>
          <t>Joint début</t>
        </is>
      </c>
      <c r="J1" s="4" t="inlineStr">
        <is>
          <t>Joint fin</t>
        </is>
      </c>
      <c r="K1" s="4" t="inlineStr">
        <is>
          <t>PK début</t>
        </is>
      </c>
      <c r="L1" s="4" t="inlineStr">
        <is>
          <t>PK fin</t>
        </is>
      </c>
      <c r="M1" s="4" t="inlineStr">
        <is>
          <t>Longueur (ml)</t>
        </is>
      </c>
      <c r="N1" s="4" t="inlineStr">
        <is>
          <t>Conclusion</t>
        </is>
      </c>
      <c r="O1" s="4" t="inlineStr">
        <is>
          <t>Remarques</t>
        </is>
      </c>
      <c r="P1" s="5" t="inlineStr">
        <is>
          <t>Discipline (RFI)</t>
        </is>
      </c>
      <c r="Q1" s="5" t="inlineStr">
        <is>
          <t>Lieu (RFI) – vide = Ouvrage</t>
        </is>
      </c>
      <c r="R1" s="5" t="inlineStr">
        <is>
          <t>Item No (RFI)</t>
        </is>
      </c>
      <c r="S1" s="5" t="inlineStr">
        <is>
          <t>Heure (RFI)</t>
        </is>
      </c>
      <c r="T1" s="5" t="inlineStr">
        <is>
          <t>Description (RFI) – vide = Désignation</t>
        </is>
      </c>
      <c r="U1" s="5" t="inlineStr">
        <is>
          <t>CST</t>
        </is>
      </c>
      <c r="V1" s="5" t="inlineStr">
        <is>
          <t>QCI</t>
        </is>
      </c>
      <c r="W1" s="5" t="inlineStr">
        <is>
          <t>C1</t>
        </is>
      </c>
      <c r="X1" s="5" t="inlineStr">
        <is>
          <t>CA</t>
        </is>
      </c>
      <c r="Y1" s="5" t="inlineStr">
        <is>
          <t>TPI1</t>
        </is>
      </c>
      <c r="Z1" s="5" t="inlineStr">
        <is>
          <t>TPI2</t>
        </is>
      </c>
      <c r="AA1" s="6" t="inlineStr">
        <is>
          <t>Clé (auto)</t>
        </is>
      </c>
    </row>
    <row r="2">
      <c r="A2" s="7" t="inlineStr">
        <is>
          <t>Ouverture de la tranchée</t>
        </is>
      </c>
      <c r="B2" s="7" t="inlineStr">
        <is>
          <t>21063-G26-PPL-RFI-0016</t>
        </is>
      </c>
      <c r="C2" s="7" t="inlineStr">
        <is>
          <t>0001</t>
        </is>
      </c>
      <c r="D2" s="8" t="n"/>
      <c r="E2" s="7" t="inlineStr">
        <is>
          <t>TRUNKLINE FROM ISW MFD TO TFTⅡCPF</t>
        </is>
      </c>
      <c r="F2" s="7" t="inlineStr">
        <is>
          <t>21061-0000-PPL-TDW-0009</t>
        </is>
      </c>
      <c r="G2" s="7" t="inlineStr">
        <is>
          <t>Ouverture de la tranchée</t>
        </is>
      </c>
      <c r="H2" s="7" t="n"/>
      <c r="I2" s="7" t="n"/>
      <c r="J2" s="7" t="n"/>
      <c r="K2" s="7" t="inlineStr">
        <is>
          <t>23+350</t>
        </is>
      </c>
      <c r="L2" s="7" t="inlineStr">
        <is>
          <t>23+800</t>
        </is>
      </c>
      <c r="M2" s="7" t="n"/>
      <c r="N2" s="7" t="n"/>
      <c r="O2" s="7" t="n"/>
      <c r="P2" s="7" t="inlineStr">
        <is>
          <t>PPL</t>
        </is>
      </c>
      <c r="Q2" s="7" t="n"/>
      <c r="R2" s="7" t="n"/>
      <c r="S2" s="7" t="n"/>
      <c r="T2" s="7" t="n"/>
      <c r="U2" s="7" t="inlineStr">
        <is>
          <t>P</t>
        </is>
      </c>
      <c r="V2" s="7" t="inlineStr">
        <is>
          <t>P</t>
        </is>
      </c>
      <c r="W2" s="7" t="inlineStr">
        <is>
          <t>W</t>
        </is>
      </c>
      <c r="X2" s="7" t="inlineStr">
        <is>
          <t>W</t>
        </is>
      </c>
      <c r="Y2" s="7" t="inlineStr">
        <is>
          <t>-</t>
        </is>
      </c>
      <c r="Z2" s="7" t="inlineStr">
        <is>
          <t>-</t>
        </is>
      </c>
      <c r="AA2" s="9">
        <f>IF(A2="","",A2&amp;"|"&amp;COUNTIF($A$2:A2,A2))</f>
        <v/>
      </c>
    </row>
    <row r="3">
      <c r="A3" s="7" t="inlineStr">
        <is>
          <t>Ouverture de la tranchée</t>
        </is>
      </c>
      <c r="B3" s="7" t="inlineStr">
        <is>
          <t>21063-G26-PPL-RFI-0062</t>
        </is>
      </c>
      <c r="C3" s="7" t="n"/>
      <c r="D3" s="8" t="n">
        <v>46152</v>
      </c>
      <c r="E3" s="7" t="inlineStr">
        <is>
          <t>TRUNKLINE FROM ISW MFD TO TFTⅡCPF</t>
        </is>
      </c>
      <c r="F3" s="7" t="n"/>
      <c r="G3" s="7" t="inlineStr">
        <is>
          <t>Inspection final de la tranchée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inlineStr">
        <is>
          <t>PPL</t>
        </is>
      </c>
      <c r="Q3" s="7" t="inlineStr">
        <is>
          <t>TRUNKLINE FROM ISW MFD TO TFTⅡCPF PK (9+380 au 9+700 et 11+078 au 114+430)</t>
        </is>
      </c>
      <c r="R3" s="7" t="inlineStr">
        <is>
          <t>04</t>
        </is>
      </c>
      <c r="S3" s="7" t="inlineStr">
        <is>
          <t>14 :00</t>
        </is>
      </c>
      <c r="T3" s="7" t="n"/>
      <c r="U3" s="7" t="inlineStr">
        <is>
          <t>P</t>
        </is>
      </c>
      <c r="V3" s="7" t="inlineStr">
        <is>
          <t>P</t>
        </is>
      </c>
      <c r="W3" s="7" t="inlineStr">
        <is>
          <t>W</t>
        </is>
      </c>
      <c r="X3" s="7" t="inlineStr">
        <is>
          <t>W</t>
        </is>
      </c>
      <c r="Y3" s="7" t="inlineStr">
        <is>
          <t>-</t>
        </is>
      </c>
      <c r="Z3" s="7" t="inlineStr">
        <is>
          <t>-</t>
        </is>
      </c>
      <c r="AA3" s="9">
        <f>IF(A3="","",A3&amp;"|"&amp;COUNTIF($A$2:A3,A3))</f>
        <v/>
      </c>
    </row>
    <row r="4">
      <c r="A4" s="7" t="inlineStr">
        <is>
          <t>Piste de travail</t>
        </is>
      </c>
      <c r="B4" s="7" t="inlineStr">
        <is>
          <t>21063-G26-PPL-RFI-0002</t>
        </is>
      </c>
      <c r="C4" s="7" t="inlineStr">
        <is>
          <t>0001</t>
        </is>
      </c>
      <c r="D4" s="8" t="n"/>
      <c r="E4" s="7" t="inlineStr">
        <is>
          <t>TRUNKLINE FROM ISW MFD TO TFTⅡCPF</t>
        </is>
      </c>
      <c r="F4" s="7" t="inlineStr">
        <is>
          <t>21061-0000-PPL-TDW-0008</t>
        </is>
      </c>
      <c r="G4" s="7" t="inlineStr">
        <is>
          <t>Inspection final de la Piste de travail</t>
        </is>
      </c>
      <c r="H4" s="7" t="n"/>
      <c r="I4" s="7" t="n"/>
      <c r="J4" s="7" t="n"/>
      <c r="K4" s="7" t="inlineStr">
        <is>
          <t>018+650</t>
        </is>
      </c>
      <c r="L4" s="7" t="inlineStr">
        <is>
          <t>019+450</t>
        </is>
      </c>
      <c r="M4" s="7" t="n"/>
      <c r="N4" s="7" t="n"/>
      <c r="O4" s="7" t="n"/>
      <c r="P4" s="7" t="inlineStr">
        <is>
          <t>PPL</t>
        </is>
      </c>
      <c r="Q4" s="7" t="n"/>
      <c r="R4" s="7" t="n"/>
      <c r="S4" s="7" t="n"/>
      <c r="T4" s="7" t="n"/>
      <c r="U4" s="7" t="inlineStr">
        <is>
          <t>P</t>
        </is>
      </c>
      <c r="V4" s="7" t="inlineStr">
        <is>
          <t>P</t>
        </is>
      </c>
      <c r="W4" s="7" t="inlineStr">
        <is>
          <t>W</t>
        </is>
      </c>
      <c r="X4" s="7" t="inlineStr">
        <is>
          <t>W</t>
        </is>
      </c>
      <c r="Y4" s="7" t="inlineStr">
        <is>
          <t>-</t>
        </is>
      </c>
      <c r="Z4" s="7" t="inlineStr">
        <is>
          <t>-</t>
        </is>
      </c>
      <c r="AA4" s="9">
        <f>IF(A4="","",A4&amp;"|"&amp;COUNTIF($A$2:A4,A4))</f>
        <v/>
      </c>
    </row>
    <row r="5">
      <c r="A5" s="7" t="inlineStr">
        <is>
          <t>Transport et bardage</t>
        </is>
      </c>
      <c r="B5" s="7" t="inlineStr">
        <is>
          <t>21063-G2-PPL-RFI-0050</t>
        </is>
      </c>
      <c r="C5" s="7" t="inlineStr">
        <is>
          <t>0014</t>
        </is>
      </c>
      <c r="D5" s="8" t="n"/>
      <c r="E5" s="7" t="inlineStr">
        <is>
          <t>ISB-302 to MFD ISB</t>
        </is>
      </c>
      <c r="F5" s="7" t="inlineStr">
        <is>
          <t>21063-G0-PPL-PR-0009</t>
        </is>
      </c>
      <c r="G5" s="7" t="inlineStr">
        <is>
          <t>Bardage de pipe</t>
        </is>
      </c>
      <c r="H5" s="7" t="n"/>
      <c r="I5" s="7" t="n"/>
      <c r="J5" s="7" t="n"/>
      <c r="K5" s="7" t="inlineStr">
        <is>
          <t>0+100</t>
        </is>
      </c>
      <c r="L5" s="7" t="inlineStr">
        <is>
          <t>0+320</t>
        </is>
      </c>
      <c r="M5" s="7" t="n"/>
      <c r="N5" s="7" t="n"/>
      <c r="O5" s="7" t="n"/>
      <c r="P5" s="7" t="inlineStr">
        <is>
          <t>PPL</t>
        </is>
      </c>
      <c r="Q5" s="7" t="n"/>
      <c r="R5" s="7" t="n"/>
      <c r="S5" s="7" t="n"/>
      <c r="T5" s="7" t="n"/>
      <c r="U5" s="7" t="inlineStr">
        <is>
          <t>P</t>
        </is>
      </c>
      <c r="V5" s="7" t="inlineStr">
        <is>
          <t>P</t>
        </is>
      </c>
      <c r="W5" s="7" t="inlineStr">
        <is>
          <t>W</t>
        </is>
      </c>
      <c r="X5" s="7" t="inlineStr">
        <is>
          <t>W</t>
        </is>
      </c>
      <c r="Y5" s="7" t="inlineStr">
        <is>
          <t>-</t>
        </is>
      </c>
      <c r="Z5" s="7" t="inlineStr">
        <is>
          <t>-</t>
        </is>
      </c>
      <c r="AA5" s="9">
        <f>IF(A5="","",A5&amp;"|"&amp;COUNTIF($A$2:A5,A5))</f>
        <v/>
      </c>
    </row>
    <row r="6">
      <c r="A6" s="7" t="inlineStr">
        <is>
          <t>Cintrage</t>
        </is>
      </c>
      <c r="B6" s="7" t="inlineStr">
        <is>
          <t>21063-G26-PPL-RFI-00188</t>
        </is>
      </c>
      <c r="C6" s="7" t="inlineStr">
        <is>
          <t>0001</t>
        </is>
      </c>
      <c r="D6" s="8" t="n"/>
      <c r="E6" s="7" t="inlineStr">
        <is>
          <t>ISW TO CPF pk 22+902</t>
        </is>
      </c>
      <c r="F6" s="7" t="inlineStr">
        <is>
          <t>21061-0000-PPL-SPC-0008</t>
        </is>
      </c>
      <c r="G6" s="7" t="inlineStr">
        <is>
          <t>Cintrage à Froid de pipe 16" Api 5L X52</t>
        </is>
      </c>
      <c r="H6" s="7" t="n"/>
      <c r="I6" s="7" t="n"/>
      <c r="J6" s="7" t="n"/>
      <c r="K6" s="7" t="n"/>
      <c r="L6" s="7" t="n"/>
      <c r="M6" s="7" t="n"/>
      <c r="N6" s="7" t="n"/>
      <c r="O6" s="7" t="n"/>
      <c r="P6" s="7" t="inlineStr">
        <is>
          <t>PPL</t>
        </is>
      </c>
      <c r="Q6" s="7" t="n"/>
      <c r="R6" s="7" t="n"/>
      <c r="S6" s="7" t="n"/>
      <c r="T6" s="7" t="n"/>
      <c r="U6" s="7" t="inlineStr">
        <is>
          <t>P</t>
        </is>
      </c>
      <c r="V6" s="7" t="inlineStr">
        <is>
          <t>P</t>
        </is>
      </c>
      <c r="W6" s="7" t="inlineStr">
        <is>
          <t>W</t>
        </is>
      </c>
      <c r="X6" s="7" t="inlineStr">
        <is>
          <t>W</t>
        </is>
      </c>
      <c r="Y6" s="7" t="inlineStr">
        <is>
          <t>-</t>
        </is>
      </c>
      <c r="Z6" s="7" t="inlineStr">
        <is>
          <t>-</t>
        </is>
      </c>
      <c r="AA6" s="9">
        <f>IF(A6="","",A6&amp;"|"&amp;COUNTIF($A$2:A6,A6))</f>
        <v/>
      </c>
    </row>
    <row r="7">
      <c r="A7" s="7" t="inlineStr">
        <is>
          <t>Enrobage</t>
        </is>
      </c>
      <c r="B7" s="7" t="inlineStr">
        <is>
          <t>21063-G26-PPL-RFI-0194</t>
        </is>
      </c>
      <c r="C7" s="7" t="inlineStr">
        <is>
          <t>38</t>
        </is>
      </c>
      <c r="D7" s="8" t="n">
        <v>46295</v>
      </c>
      <c r="E7" s="7" t="inlineStr">
        <is>
          <t>TRUNKLINE FROM CPF TO ISW MFD</t>
        </is>
      </c>
      <c r="F7" s="7" t="inlineStr">
        <is>
          <t>21061-0000-COP-SPC-0005</t>
        </is>
      </c>
      <c r="G7" s="7" t="inlineStr">
        <is>
          <t>Enrobage des joints de soudage</t>
        </is>
      </c>
      <c r="H7" s="7" t="inlineStr">
        <is>
          <t>13</t>
        </is>
      </c>
      <c r="I7" s="7" t="n"/>
      <c r="J7" s="7" t="n"/>
      <c r="K7" s="7" t="inlineStr">
        <is>
          <t>19+600</t>
        </is>
      </c>
      <c r="L7" s="7" t="inlineStr">
        <is>
          <t>16+000</t>
        </is>
      </c>
      <c r="M7" s="7" t="inlineStr">
        <is>
          <t>135</t>
        </is>
      </c>
      <c r="N7" s="7" t="n"/>
      <c r="O7" s="7" t="n"/>
      <c r="P7" s="7" t="inlineStr">
        <is>
          <t>PPL</t>
        </is>
      </c>
      <c r="Q7" s="7" t="n"/>
      <c r="R7" s="7" t="n"/>
      <c r="S7" s="7" t="n"/>
      <c r="T7" s="7" t="n"/>
      <c r="U7" s="7" t="inlineStr">
        <is>
          <t>P</t>
        </is>
      </c>
      <c r="V7" s="7" t="inlineStr">
        <is>
          <t>P</t>
        </is>
      </c>
      <c r="W7" s="7" t="inlineStr">
        <is>
          <t>W</t>
        </is>
      </c>
      <c r="X7" s="7" t="inlineStr">
        <is>
          <t>W</t>
        </is>
      </c>
      <c r="Y7" s="7" t="inlineStr">
        <is>
          <t>-</t>
        </is>
      </c>
      <c r="Z7" s="7" t="inlineStr">
        <is>
          <t>-</t>
        </is>
      </c>
      <c r="AA7" s="9">
        <f>IF(A7="","",A7&amp;"|"&amp;COUNTIF($A$2:A7,A7))</f>
        <v/>
      </c>
    </row>
    <row r="8">
      <c r="A8" s="7" t="inlineStr">
        <is>
          <t>Lit de pose</t>
        </is>
      </c>
      <c r="B8" s="7" t="inlineStr">
        <is>
          <t>0197</t>
        </is>
      </c>
      <c r="C8" s="7" t="inlineStr">
        <is>
          <t>01</t>
        </is>
      </c>
      <c r="D8" s="8" t="n"/>
      <c r="E8" s="7" t="inlineStr">
        <is>
          <t>trunkline From CPF To ISW MFD</t>
        </is>
      </c>
      <c r="F8" s="7" t="inlineStr">
        <is>
          <t>21061-0000-PPL-TDW-0009</t>
        </is>
      </c>
      <c r="G8" s="7" t="inlineStr">
        <is>
          <t>Lit de pose</t>
        </is>
      </c>
      <c r="H8" s="7" t="inlineStr">
        <is>
          <t>01 – 02 - 03</t>
        </is>
      </c>
      <c r="I8" s="7" t="inlineStr">
        <is>
          <t>38</t>
        </is>
      </c>
      <c r="J8" s="7" t="n"/>
      <c r="K8" s="7" t="inlineStr">
        <is>
          <t>24+000</t>
        </is>
      </c>
      <c r="L8" s="7" t="n"/>
      <c r="M8" s="7" t="inlineStr">
        <is>
          <t>645.3</t>
        </is>
      </c>
      <c r="N8" s="7" t="n"/>
      <c r="O8" s="7" t="n"/>
      <c r="P8" s="7" t="inlineStr">
        <is>
          <t>PPL</t>
        </is>
      </c>
      <c r="Q8" s="7" t="n"/>
      <c r="R8" s="7" t="n"/>
      <c r="S8" s="7" t="n"/>
      <c r="T8" s="7" t="n"/>
      <c r="U8" s="7" t="inlineStr">
        <is>
          <t>P</t>
        </is>
      </c>
      <c r="V8" s="7" t="inlineStr">
        <is>
          <t>P</t>
        </is>
      </c>
      <c r="W8" s="7" t="inlineStr">
        <is>
          <t>W</t>
        </is>
      </c>
      <c r="X8" s="7" t="inlineStr">
        <is>
          <t>W</t>
        </is>
      </c>
      <c r="Y8" s="7" t="inlineStr">
        <is>
          <t>-</t>
        </is>
      </c>
      <c r="Z8" s="7" t="inlineStr">
        <is>
          <t>-</t>
        </is>
      </c>
      <c r="AA8" s="9">
        <f>IF(A8="","",A8&amp;"|"&amp;COUNTIF($A$2:A8,A8))</f>
        <v/>
      </c>
    </row>
    <row r="9">
      <c r="A9" s="7" t="inlineStr">
        <is>
          <t>Mise en fouille</t>
        </is>
      </c>
      <c r="B9" s="7" t="inlineStr">
        <is>
          <t>0127</t>
        </is>
      </c>
      <c r="C9" s="7" t="inlineStr">
        <is>
          <t>02</t>
        </is>
      </c>
      <c r="D9" s="8" t="n"/>
      <c r="E9" s="7" t="inlineStr">
        <is>
          <t>Flowline From ISB 302z To ISB MFD</t>
        </is>
      </c>
      <c r="F9" s="7" t="inlineStr">
        <is>
          <t>21063-G0-PPL-PR-0011</t>
        </is>
      </c>
      <c r="G9" s="7" t="inlineStr">
        <is>
          <t>Inspection Préparation pour la mise en fouille des tronçons de canalisation</t>
        </is>
      </c>
      <c r="H9" s="7" t="inlineStr">
        <is>
          <t>02</t>
        </is>
      </c>
      <c r="I9" s="7" t="inlineStr">
        <is>
          <t>013</t>
        </is>
      </c>
      <c r="J9" s="7" t="inlineStr">
        <is>
          <t>087</t>
        </is>
      </c>
      <c r="K9" s="7" t="inlineStr">
        <is>
          <t>0</t>
        </is>
      </c>
      <c r="L9" s="7" t="inlineStr">
        <is>
          <t>1</t>
        </is>
      </c>
      <c r="M9" s="7" t="inlineStr">
        <is>
          <t>995.55</t>
        </is>
      </c>
      <c r="N9" s="7" t="n"/>
      <c r="O9" s="7" t="n"/>
      <c r="P9" s="7" t="inlineStr">
        <is>
          <t>PPL</t>
        </is>
      </c>
      <c r="Q9" s="7" t="n"/>
      <c r="R9" s="7" t="n"/>
      <c r="S9" s="7" t="n"/>
      <c r="T9" s="7" t="n"/>
      <c r="U9" s="7" t="inlineStr">
        <is>
          <t>P</t>
        </is>
      </c>
      <c r="V9" s="7" t="inlineStr">
        <is>
          <t>P</t>
        </is>
      </c>
      <c r="W9" s="7" t="inlineStr">
        <is>
          <t>W</t>
        </is>
      </c>
      <c r="X9" s="7" t="inlineStr">
        <is>
          <t>W</t>
        </is>
      </c>
      <c r="Y9" s="7" t="inlineStr">
        <is>
          <t>-</t>
        </is>
      </c>
      <c r="Z9" s="7" t="inlineStr">
        <is>
          <t>-</t>
        </is>
      </c>
      <c r="AA9" s="9">
        <f>IF(A9="","",A9&amp;"|"&amp;COUNTIF($A$2:A9,A9))</f>
        <v/>
      </c>
    </row>
    <row r="10">
      <c r="A10" s="7" t="inlineStr">
        <is>
          <t>Pré-remblai</t>
        </is>
      </c>
      <c r="B10" s="7" t="inlineStr">
        <is>
          <t>0195</t>
        </is>
      </c>
      <c r="C10" s="7" t="inlineStr">
        <is>
          <t>001</t>
        </is>
      </c>
      <c r="D10" s="8" t="n"/>
      <c r="E10" s="7" t="inlineStr">
        <is>
          <t>FLOWLINE FROM ISB 303 TO ISB MFD</t>
        </is>
      </c>
      <c r="F10" s="7" t="inlineStr">
        <is>
          <t>21061-0000-PPL-SPC-0006</t>
        </is>
      </c>
      <c r="G10" s="7" t="inlineStr">
        <is>
          <t>Pose de Petit-remblai</t>
        </is>
      </c>
      <c r="H10" s="7" t="n"/>
      <c r="I10" s="7" t="n"/>
      <c r="J10" s="7" t="n"/>
      <c r="K10" s="7" t="inlineStr">
        <is>
          <t>0+020</t>
        </is>
      </c>
      <c r="L10" s="7" t="inlineStr">
        <is>
          <t>0+590</t>
        </is>
      </c>
      <c r="M10" s="7" t="inlineStr">
        <is>
          <t>570</t>
        </is>
      </c>
      <c r="N10" s="7" t="n"/>
      <c r="O10" s="7" t="n"/>
      <c r="P10" s="7" t="inlineStr">
        <is>
          <t>PPL</t>
        </is>
      </c>
      <c r="Q10" s="7" t="n"/>
      <c r="R10" s="7" t="n"/>
      <c r="S10" s="7" t="n"/>
      <c r="T10" s="7" t="n"/>
      <c r="U10" s="7" t="inlineStr">
        <is>
          <t>P</t>
        </is>
      </c>
      <c r="V10" s="7" t="inlineStr">
        <is>
          <t>P</t>
        </is>
      </c>
      <c r="W10" s="7" t="inlineStr">
        <is>
          <t>W</t>
        </is>
      </c>
      <c r="X10" s="7" t="inlineStr">
        <is>
          <t>W</t>
        </is>
      </c>
      <c r="Y10" s="7" t="inlineStr">
        <is>
          <t>-</t>
        </is>
      </c>
      <c r="Z10" s="7" t="inlineStr">
        <is>
          <t>-</t>
        </is>
      </c>
      <c r="AA10" s="9">
        <f>IF(A10="","",A10&amp;"|"&amp;COUNTIF($A$2:A10,A10))</f>
        <v/>
      </c>
    </row>
    <row r="11">
      <c r="A11" s="7" t="n"/>
      <c r="B11" s="7" t="n"/>
      <c r="C11" s="7" t="n"/>
      <c r="D11" s="8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9">
        <f>IF(A11="","",A11&amp;"|"&amp;COUNTIF($A$2:A11,A11))</f>
        <v/>
      </c>
    </row>
    <row r="12">
      <c r="A12" s="7" t="n"/>
      <c r="B12" s="7" t="n"/>
      <c r="C12" s="7" t="n"/>
      <c r="D12" s="8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9">
        <f>IF(A12="","",A12&amp;"|"&amp;COUNTIF($A$2:A12,A12))</f>
        <v/>
      </c>
    </row>
    <row r="13">
      <c r="A13" s="7" t="n"/>
      <c r="B13" s="7" t="n"/>
      <c r="C13" s="7" t="n"/>
      <c r="D13" s="8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9">
        <f>IF(A13="","",A13&amp;"|"&amp;COUNTIF($A$2:A13,A13))</f>
        <v/>
      </c>
    </row>
    <row r="14">
      <c r="A14" s="7" t="n"/>
      <c r="B14" s="7" t="n"/>
      <c r="C14" s="7" t="n"/>
      <c r="D14" s="8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9">
        <f>IF(A14="","",A14&amp;"|"&amp;COUNTIF($A$2:A14,A14))</f>
        <v/>
      </c>
    </row>
    <row r="15">
      <c r="A15" s="7" t="n"/>
      <c r="B15" s="7" t="n"/>
      <c r="C15" s="7" t="n"/>
      <c r="D15" s="8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9">
        <f>IF(A15="","",A15&amp;"|"&amp;COUNTIF($A$2:A15,A15))</f>
        <v/>
      </c>
    </row>
    <row r="16">
      <c r="A16" s="7" t="n"/>
      <c r="B16" s="7" t="n"/>
      <c r="C16" s="7" t="n"/>
      <c r="D16" s="8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9">
        <f>IF(A16="","",A16&amp;"|"&amp;COUNTIF($A$2:A16,A16))</f>
        <v/>
      </c>
    </row>
    <row r="17">
      <c r="A17" s="7" t="n"/>
      <c r="B17" s="7" t="n"/>
      <c r="C17" s="7" t="n"/>
      <c r="D17" s="8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9">
        <f>IF(A17="","",A17&amp;"|"&amp;COUNTIF($A$2:A17,A17))</f>
        <v/>
      </c>
    </row>
    <row r="18">
      <c r="A18" s="7" t="n"/>
      <c r="B18" s="7" t="n"/>
      <c r="C18" s="7" t="n"/>
      <c r="D18" s="8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9">
        <f>IF(A18="","",A18&amp;"|"&amp;COUNTIF($A$2:A18,A18))</f>
        <v/>
      </c>
    </row>
    <row r="19">
      <c r="A19" s="7" t="n"/>
      <c r="B19" s="7" t="n"/>
      <c r="C19" s="7" t="n"/>
      <c r="D19" s="8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9">
        <f>IF(A19="","",A19&amp;"|"&amp;COUNTIF($A$2:A19,A19))</f>
        <v/>
      </c>
    </row>
    <row r="20">
      <c r="A20" s="7" t="n"/>
      <c r="B20" s="7" t="n"/>
      <c r="C20" s="7" t="n"/>
      <c r="D20" s="8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9">
        <f>IF(A20="","",A20&amp;"|"&amp;COUNTIF($A$2:A20,A20))</f>
        <v/>
      </c>
    </row>
    <row r="21">
      <c r="A21" s="7" t="n"/>
      <c r="B21" s="7" t="n"/>
      <c r="C21" s="7" t="n"/>
      <c r="D21" s="8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9">
        <f>IF(A21="","",A21&amp;"|"&amp;COUNTIF($A$2:A21,A21))</f>
        <v/>
      </c>
    </row>
    <row r="22">
      <c r="A22" s="7" t="n"/>
      <c r="B22" s="7" t="n"/>
      <c r="C22" s="7" t="n"/>
      <c r="D22" s="8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9">
        <f>IF(A22="","",A22&amp;"|"&amp;COUNTIF($A$2:A22,A22))</f>
        <v/>
      </c>
    </row>
    <row r="23">
      <c r="A23" s="7" t="n"/>
      <c r="B23" s="7" t="n"/>
      <c r="C23" s="7" t="n"/>
      <c r="D23" s="8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9">
        <f>IF(A23="","",A23&amp;"|"&amp;COUNTIF($A$2:A23,A23))</f>
        <v/>
      </c>
    </row>
    <row r="24">
      <c r="A24" s="7" t="n"/>
      <c r="B24" s="7" t="n"/>
      <c r="C24" s="7" t="n"/>
      <c r="D24" s="8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9">
        <f>IF(A24="","",A24&amp;"|"&amp;COUNTIF($A$2:A24,A24))</f>
        <v/>
      </c>
    </row>
    <row r="25">
      <c r="A25" s="7" t="n"/>
      <c r="B25" s="7" t="n"/>
      <c r="C25" s="7" t="n"/>
      <c r="D25" s="8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9">
        <f>IF(A25="","",A25&amp;"|"&amp;COUNTIF($A$2:A25,A25))</f>
        <v/>
      </c>
    </row>
    <row r="26">
      <c r="A26" s="7" t="n"/>
      <c r="B26" s="7" t="n"/>
      <c r="C26" s="7" t="n"/>
      <c r="D26" s="8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9">
        <f>IF(A26="","",A26&amp;"|"&amp;COUNTIF($A$2:A26,A26))</f>
        <v/>
      </c>
    </row>
    <row r="27">
      <c r="A27" s="7" t="n"/>
      <c r="B27" s="7" t="n"/>
      <c r="C27" s="7" t="n"/>
      <c r="D27" s="8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9">
        <f>IF(A27="","",A27&amp;"|"&amp;COUNTIF($A$2:A27,A27))</f>
        <v/>
      </c>
    </row>
    <row r="28">
      <c r="A28" s="7" t="n"/>
      <c r="B28" s="7" t="n"/>
      <c r="C28" s="7" t="n"/>
      <c r="D28" s="8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9">
        <f>IF(A28="","",A28&amp;"|"&amp;COUNTIF($A$2:A28,A28))</f>
        <v/>
      </c>
    </row>
    <row r="29">
      <c r="A29" s="7" t="n"/>
      <c r="B29" s="7" t="n"/>
      <c r="C29" s="7" t="n"/>
      <c r="D29" s="8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9">
        <f>IF(A29="","",A29&amp;"|"&amp;COUNTIF($A$2:A29,A29))</f>
        <v/>
      </c>
    </row>
    <row r="30">
      <c r="A30" s="7" t="n"/>
      <c r="B30" s="7" t="n"/>
      <c r="C30" s="7" t="n"/>
      <c r="D30" s="8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9">
        <f>IF(A30="","",A30&amp;"|"&amp;COUNTIF($A$2:A30,A30))</f>
        <v/>
      </c>
    </row>
    <row r="31">
      <c r="A31" s="7" t="n"/>
      <c r="B31" s="7" t="n"/>
      <c r="C31" s="7" t="n"/>
      <c r="D31" s="8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9">
        <f>IF(A31="","",A31&amp;"|"&amp;COUNTIF($A$2:A31,A31))</f>
        <v/>
      </c>
    </row>
    <row r="32">
      <c r="A32" s="7" t="n"/>
      <c r="B32" s="7" t="n"/>
      <c r="C32" s="7" t="n"/>
      <c r="D32" s="8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9">
        <f>IF(A32="","",A32&amp;"|"&amp;COUNTIF($A$2:A32,A32))</f>
        <v/>
      </c>
    </row>
    <row r="33">
      <c r="A33" s="7" t="n"/>
      <c r="B33" s="7" t="n"/>
      <c r="C33" s="7" t="n"/>
      <c r="D33" s="8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9">
        <f>IF(A33="","",A33&amp;"|"&amp;COUNTIF($A$2:A33,A33))</f>
        <v/>
      </c>
    </row>
    <row r="34">
      <c r="A34" s="7" t="n"/>
      <c r="B34" s="7" t="n"/>
      <c r="C34" s="7" t="n"/>
      <c r="D34" s="8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9">
        <f>IF(A34="","",A34&amp;"|"&amp;COUNTIF($A$2:A34,A34))</f>
        <v/>
      </c>
    </row>
    <row r="35">
      <c r="A35" s="7" t="n"/>
      <c r="B35" s="7" t="n"/>
      <c r="C35" s="7" t="n"/>
      <c r="D35" s="8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9">
        <f>IF(A35="","",A35&amp;"|"&amp;COUNTIF($A$2:A35,A35))</f>
        <v/>
      </c>
    </row>
    <row r="36">
      <c r="A36" s="7" t="n"/>
      <c r="B36" s="7" t="n"/>
      <c r="C36" s="7" t="n"/>
      <c r="D36" s="8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9">
        <f>IF(A36="","",A36&amp;"|"&amp;COUNTIF($A$2:A36,A36))</f>
        <v/>
      </c>
    </row>
    <row r="37">
      <c r="A37" s="7" t="n"/>
      <c r="B37" s="7" t="n"/>
      <c r="C37" s="7" t="n"/>
      <c r="D37" s="8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9">
        <f>IF(A37="","",A37&amp;"|"&amp;COUNTIF($A$2:A37,A37))</f>
        <v/>
      </c>
    </row>
    <row r="38">
      <c r="A38" s="7" t="n"/>
      <c r="B38" s="7" t="n"/>
      <c r="C38" s="7" t="n"/>
      <c r="D38" s="8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9">
        <f>IF(A38="","",A38&amp;"|"&amp;COUNTIF($A$2:A38,A38))</f>
        <v/>
      </c>
    </row>
    <row r="39">
      <c r="A39" s="7" t="n"/>
      <c r="B39" s="7" t="n"/>
      <c r="C39" s="7" t="n"/>
      <c r="D39" s="8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9">
        <f>IF(A39="","",A39&amp;"|"&amp;COUNTIF($A$2:A39,A39))</f>
        <v/>
      </c>
    </row>
    <row r="40">
      <c r="A40" s="7" t="n"/>
      <c r="B40" s="7" t="n"/>
      <c r="C40" s="7" t="n"/>
      <c r="D40" s="8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9">
        <f>IF(A40="","",A40&amp;"|"&amp;COUNTIF($A$2:A40,A40))</f>
        <v/>
      </c>
    </row>
    <row r="41">
      <c r="A41" s="7" t="n"/>
      <c r="B41" s="7" t="n"/>
      <c r="C41" s="7" t="n"/>
      <c r="D41" s="8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9">
        <f>IF(A41="","",A41&amp;"|"&amp;COUNTIF($A$2:A41,A41))</f>
        <v/>
      </c>
    </row>
    <row r="42">
      <c r="A42" s="7" t="n"/>
      <c r="B42" s="7" t="n"/>
      <c r="C42" s="7" t="n"/>
      <c r="D42" s="8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9">
        <f>IF(A42="","",A42&amp;"|"&amp;COUNTIF($A$2:A42,A42))</f>
        <v/>
      </c>
    </row>
    <row r="43">
      <c r="A43" s="7" t="n"/>
      <c r="B43" s="7" t="n"/>
      <c r="C43" s="7" t="n"/>
      <c r="D43" s="8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9">
        <f>IF(A43="","",A43&amp;"|"&amp;COUNTIF($A$2:A43,A43))</f>
        <v/>
      </c>
    </row>
    <row r="44">
      <c r="A44" s="7" t="n"/>
      <c r="B44" s="7" t="n"/>
      <c r="C44" s="7" t="n"/>
      <c r="D44" s="8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9">
        <f>IF(A44="","",A44&amp;"|"&amp;COUNTIF($A$2:A44,A44))</f>
        <v/>
      </c>
    </row>
    <row r="45">
      <c r="A45" s="7" t="n"/>
      <c r="B45" s="7" t="n"/>
      <c r="C45" s="7" t="n"/>
      <c r="D45" s="8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9">
        <f>IF(A45="","",A45&amp;"|"&amp;COUNTIF($A$2:A45,A45))</f>
        <v/>
      </c>
    </row>
    <row r="46">
      <c r="A46" s="7" t="n"/>
      <c r="B46" s="7" t="n"/>
      <c r="C46" s="7" t="n"/>
      <c r="D46" s="8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9">
        <f>IF(A46="","",A46&amp;"|"&amp;COUNTIF($A$2:A46,A46))</f>
        <v/>
      </c>
    </row>
    <row r="47">
      <c r="A47" s="7" t="n"/>
      <c r="B47" s="7" t="n"/>
      <c r="C47" s="7" t="n"/>
      <c r="D47" s="8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9">
        <f>IF(A47="","",A47&amp;"|"&amp;COUNTIF($A$2:A47,A47))</f>
        <v/>
      </c>
    </row>
    <row r="48">
      <c r="A48" s="7" t="n"/>
      <c r="B48" s="7" t="n"/>
      <c r="C48" s="7" t="n"/>
      <c r="D48" s="8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9">
        <f>IF(A48="","",A48&amp;"|"&amp;COUNTIF($A$2:A48,A48))</f>
        <v/>
      </c>
    </row>
    <row r="49">
      <c r="A49" s="7" t="n"/>
      <c r="B49" s="7" t="n"/>
      <c r="C49" s="7" t="n"/>
      <c r="D49" s="8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9">
        <f>IF(A49="","",A49&amp;"|"&amp;COUNTIF($A$2:A49,A49))</f>
        <v/>
      </c>
    </row>
    <row r="50">
      <c r="A50" s="7" t="n"/>
      <c r="B50" s="7" t="n"/>
      <c r="C50" s="7" t="n"/>
      <c r="D50" s="8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9">
        <f>IF(A50="","",A50&amp;"|"&amp;COUNTIF($A$2:A50,A50))</f>
        <v/>
      </c>
    </row>
    <row r="51">
      <c r="A51" s="7" t="n"/>
      <c r="B51" s="7" t="n"/>
      <c r="C51" s="7" t="n"/>
      <c r="D51" s="8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9">
        <f>IF(A51="","",A51&amp;"|"&amp;COUNTIF($A$2:A51,A51))</f>
        <v/>
      </c>
    </row>
    <row r="52">
      <c r="A52" s="7" t="n"/>
      <c r="B52" s="7" t="n"/>
      <c r="C52" s="7" t="n"/>
      <c r="D52" s="8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9">
        <f>IF(A52="","",A52&amp;"|"&amp;COUNTIF($A$2:A52,A52))</f>
        <v/>
      </c>
    </row>
    <row r="53">
      <c r="A53" s="7" t="n"/>
      <c r="B53" s="7" t="n"/>
      <c r="C53" s="7" t="n"/>
      <c r="D53" s="8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9">
        <f>IF(A53="","",A53&amp;"|"&amp;COUNTIF($A$2:A53,A53))</f>
        <v/>
      </c>
    </row>
    <row r="54">
      <c r="A54" s="7" t="n"/>
      <c r="B54" s="7" t="n"/>
      <c r="C54" s="7" t="n"/>
      <c r="D54" s="8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9">
        <f>IF(A54="","",A54&amp;"|"&amp;COUNTIF($A$2:A54,A54))</f>
        <v/>
      </c>
    </row>
    <row r="55">
      <c r="A55" s="7" t="n"/>
      <c r="B55" s="7" t="n"/>
      <c r="C55" s="7" t="n"/>
      <c r="D55" s="8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9">
        <f>IF(A55="","",A55&amp;"|"&amp;COUNTIF($A$2:A55,A55))</f>
        <v/>
      </c>
    </row>
    <row r="56">
      <c r="A56" s="7" t="n"/>
      <c r="B56" s="7" t="n"/>
      <c r="C56" s="7" t="n"/>
      <c r="D56" s="8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9">
        <f>IF(A56="","",A56&amp;"|"&amp;COUNTIF($A$2:A56,A56))</f>
        <v/>
      </c>
    </row>
    <row r="57">
      <c r="A57" s="7" t="n"/>
      <c r="B57" s="7" t="n"/>
      <c r="C57" s="7" t="n"/>
      <c r="D57" s="8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9">
        <f>IF(A57="","",A57&amp;"|"&amp;COUNTIF($A$2:A57,A57))</f>
        <v/>
      </c>
    </row>
    <row r="58">
      <c r="A58" s="7" t="n"/>
      <c r="B58" s="7" t="n"/>
      <c r="C58" s="7" t="n"/>
      <c r="D58" s="8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9">
        <f>IF(A58="","",A58&amp;"|"&amp;COUNTIF($A$2:A58,A58))</f>
        <v/>
      </c>
    </row>
    <row r="59">
      <c r="A59" s="7" t="n"/>
      <c r="B59" s="7" t="n"/>
      <c r="C59" s="7" t="n"/>
      <c r="D59" s="8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9">
        <f>IF(A59="","",A59&amp;"|"&amp;COUNTIF($A$2:A59,A59))</f>
        <v/>
      </c>
    </row>
    <row r="60">
      <c r="A60" s="7" t="n"/>
      <c r="B60" s="7" t="n"/>
      <c r="C60" s="7" t="n"/>
      <c r="D60" s="8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9">
        <f>IF(A60="","",A60&amp;"|"&amp;COUNTIF($A$2:A60,A60))</f>
        <v/>
      </c>
    </row>
    <row r="61">
      <c r="A61" s="7" t="n"/>
      <c r="B61" s="7" t="n"/>
      <c r="C61" s="7" t="n"/>
      <c r="D61" s="8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9">
        <f>IF(A61="","",A61&amp;"|"&amp;COUNTIF($A$2:A61,A61))</f>
        <v/>
      </c>
    </row>
    <row r="62">
      <c r="A62" s="7" t="n"/>
      <c r="B62" s="7" t="n"/>
      <c r="C62" s="7" t="n"/>
      <c r="D62" s="8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9">
        <f>IF(A62="","",A62&amp;"|"&amp;COUNTIF($A$2:A62,A62))</f>
        <v/>
      </c>
    </row>
    <row r="63">
      <c r="A63" s="7" t="n"/>
      <c r="B63" s="7" t="n"/>
      <c r="C63" s="7" t="n"/>
      <c r="D63" s="8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9">
        <f>IF(A63="","",A63&amp;"|"&amp;COUNTIF($A$2:A63,A63))</f>
        <v/>
      </c>
    </row>
    <row r="64">
      <c r="A64" s="7" t="n"/>
      <c r="B64" s="7" t="n"/>
      <c r="C64" s="7" t="n"/>
      <c r="D64" s="8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9">
        <f>IF(A64="","",A64&amp;"|"&amp;COUNTIF($A$2:A64,A64))</f>
        <v/>
      </c>
    </row>
    <row r="65">
      <c r="A65" s="7" t="n"/>
      <c r="B65" s="7" t="n"/>
      <c r="C65" s="7" t="n"/>
      <c r="D65" s="8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9">
        <f>IF(A65="","",A65&amp;"|"&amp;COUNTIF($A$2:A65,A65))</f>
        <v/>
      </c>
    </row>
    <row r="66">
      <c r="A66" s="7" t="n"/>
      <c r="B66" s="7" t="n"/>
      <c r="C66" s="7" t="n"/>
      <c r="D66" s="8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9">
        <f>IF(A66="","",A66&amp;"|"&amp;COUNTIF($A$2:A66,A66))</f>
        <v/>
      </c>
    </row>
    <row r="67">
      <c r="A67" s="7" t="n"/>
      <c r="B67" s="7" t="n"/>
      <c r="C67" s="7" t="n"/>
      <c r="D67" s="8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9">
        <f>IF(A67="","",A67&amp;"|"&amp;COUNTIF($A$2:A67,A67))</f>
        <v/>
      </c>
    </row>
    <row r="68">
      <c r="A68" s="7" t="n"/>
      <c r="B68" s="7" t="n"/>
      <c r="C68" s="7" t="n"/>
      <c r="D68" s="8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9">
        <f>IF(A68="","",A68&amp;"|"&amp;COUNTIF($A$2:A68,A68))</f>
        <v/>
      </c>
    </row>
    <row r="69">
      <c r="A69" s="7" t="n"/>
      <c r="B69" s="7" t="n"/>
      <c r="C69" s="7" t="n"/>
      <c r="D69" s="8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9">
        <f>IF(A69="","",A69&amp;"|"&amp;COUNTIF($A$2:A69,A69))</f>
        <v/>
      </c>
    </row>
    <row r="70">
      <c r="A70" s="7" t="n"/>
      <c r="B70" s="7" t="n"/>
      <c r="C70" s="7" t="n"/>
      <c r="D70" s="8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9">
        <f>IF(A70="","",A70&amp;"|"&amp;COUNTIF($A$2:A70,A70))</f>
        <v/>
      </c>
    </row>
    <row r="71">
      <c r="A71" s="7" t="n"/>
      <c r="B71" s="7" t="n"/>
      <c r="C71" s="7" t="n"/>
      <c r="D71" s="8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9">
        <f>IF(A71="","",A71&amp;"|"&amp;COUNTIF($A$2:A71,A71))</f>
        <v/>
      </c>
    </row>
    <row r="72">
      <c r="A72" s="7" t="n"/>
      <c r="B72" s="7" t="n"/>
      <c r="C72" s="7" t="n"/>
      <c r="D72" s="8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9">
        <f>IF(A72="","",A72&amp;"|"&amp;COUNTIF($A$2:A72,A72))</f>
        <v/>
      </c>
    </row>
    <row r="73">
      <c r="A73" s="7" t="n"/>
      <c r="B73" s="7" t="n"/>
      <c r="C73" s="7" t="n"/>
      <c r="D73" s="8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9">
        <f>IF(A73="","",A73&amp;"|"&amp;COUNTIF($A$2:A73,A73))</f>
        <v/>
      </c>
    </row>
    <row r="74">
      <c r="A74" s="7" t="n"/>
      <c r="B74" s="7" t="n"/>
      <c r="C74" s="7" t="n"/>
      <c r="D74" s="8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9">
        <f>IF(A74="","",A74&amp;"|"&amp;COUNTIF($A$2:A74,A74))</f>
        <v/>
      </c>
    </row>
    <row r="75">
      <c r="A75" s="7" t="n"/>
      <c r="B75" s="7" t="n"/>
      <c r="C75" s="7" t="n"/>
      <c r="D75" s="8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9">
        <f>IF(A75="","",A75&amp;"|"&amp;COUNTIF($A$2:A75,A75))</f>
        <v/>
      </c>
    </row>
    <row r="76">
      <c r="A76" s="7" t="n"/>
      <c r="B76" s="7" t="n"/>
      <c r="C76" s="7" t="n"/>
      <c r="D76" s="8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9">
        <f>IF(A76="","",A76&amp;"|"&amp;COUNTIF($A$2:A76,A76))</f>
        <v/>
      </c>
    </row>
    <row r="77">
      <c r="A77" s="7" t="n"/>
      <c r="B77" s="7" t="n"/>
      <c r="C77" s="7" t="n"/>
      <c r="D77" s="8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9">
        <f>IF(A77="","",A77&amp;"|"&amp;COUNTIF($A$2:A77,A77))</f>
        <v/>
      </c>
    </row>
    <row r="78">
      <c r="A78" s="7" t="n"/>
      <c r="B78" s="7" t="n"/>
      <c r="C78" s="7" t="n"/>
      <c r="D78" s="8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9">
        <f>IF(A78="","",A78&amp;"|"&amp;COUNTIF($A$2:A78,A78))</f>
        <v/>
      </c>
    </row>
    <row r="79">
      <c r="A79" s="7" t="n"/>
      <c r="B79" s="7" t="n"/>
      <c r="C79" s="7" t="n"/>
      <c r="D79" s="8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9">
        <f>IF(A79="","",A79&amp;"|"&amp;COUNTIF($A$2:A79,A79))</f>
        <v/>
      </c>
    </row>
    <row r="80">
      <c r="A80" s="7" t="n"/>
      <c r="B80" s="7" t="n"/>
      <c r="C80" s="7" t="n"/>
      <c r="D80" s="8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9">
        <f>IF(A80="","",A80&amp;"|"&amp;COUNTIF($A$2:A80,A80))</f>
        <v/>
      </c>
    </row>
    <row r="81">
      <c r="A81" s="7" t="n"/>
      <c r="B81" s="7" t="n"/>
      <c r="C81" s="7" t="n"/>
      <c r="D81" s="8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9">
        <f>IF(A81="","",A81&amp;"|"&amp;COUNTIF($A$2:A81,A81))</f>
        <v/>
      </c>
    </row>
    <row r="82">
      <c r="A82" s="7" t="n"/>
      <c r="B82" s="7" t="n"/>
      <c r="C82" s="7" t="n"/>
      <c r="D82" s="8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9">
        <f>IF(A82="","",A82&amp;"|"&amp;COUNTIF($A$2:A82,A82))</f>
        <v/>
      </c>
    </row>
    <row r="83">
      <c r="A83" s="7" t="n"/>
      <c r="B83" s="7" t="n"/>
      <c r="C83" s="7" t="n"/>
      <c r="D83" s="8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9">
        <f>IF(A83="","",A83&amp;"|"&amp;COUNTIF($A$2:A83,A83))</f>
        <v/>
      </c>
    </row>
    <row r="84">
      <c r="A84" s="7" t="n"/>
      <c r="B84" s="7" t="n"/>
      <c r="C84" s="7" t="n"/>
      <c r="D84" s="8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9">
        <f>IF(A84="","",A84&amp;"|"&amp;COUNTIF($A$2:A84,A84))</f>
        <v/>
      </c>
    </row>
    <row r="85">
      <c r="A85" s="7" t="n"/>
      <c r="B85" s="7" t="n"/>
      <c r="C85" s="7" t="n"/>
      <c r="D85" s="8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9">
        <f>IF(A85="","",A85&amp;"|"&amp;COUNTIF($A$2:A85,A85))</f>
        <v/>
      </c>
    </row>
    <row r="86">
      <c r="A86" s="7" t="n"/>
      <c r="B86" s="7" t="n"/>
      <c r="C86" s="7" t="n"/>
      <c r="D86" s="8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9">
        <f>IF(A86="","",A86&amp;"|"&amp;COUNTIF($A$2:A86,A86))</f>
        <v/>
      </c>
    </row>
    <row r="87">
      <c r="A87" s="7" t="n"/>
      <c r="B87" s="7" t="n"/>
      <c r="C87" s="7" t="n"/>
      <c r="D87" s="8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9">
        <f>IF(A87="","",A87&amp;"|"&amp;COUNTIF($A$2:A87,A87))</f>
        <v/>
      </c>
    </row>
    <row r="88">
      <c r="A88" s="7" t="n"/>
      <c r="B88" s="7" t="n"/>
      <c r="C88" s="7" t="n"/>
      <c r="D88" s="8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9">
        <f>IF(A88="","",A88&amp;"|"&amp;COUNTIF($A$2:A88,A88))</f>
        <v/>
      </c>
    </row>
    <row r="89">
      <c r="A89" s="7" t="n"/>
      <c r="B89" s="7" t="n"/>
      <c r="C89" s="7" t="n"/>
      <c r="D89" s="8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9">
        <f>IF(A89="","",A89&amp;"|"&amp;COUNTIF($A$2:A89,A89))</f>
        <v/>
      </c>
    </row>
    <row r="90">
      <c r="A90" s="7" t="n"/>
      <c r="B90" s="7" t="n"/>
      <c r="C90" s="7" t="n"/>
      <c r="D90" s="8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9">
        <f>IF(A90="","",A90&amp;"|"&amp;COUNTIF($A$2:A90,A90))</f>
        <v/>
      </c>
    </row>
    <row r="91">
      <c r="A91" s="7" t="n"/>
      <c r="B91" s="7" t="n"/>
      <c r="C91" s="7" t="n"/>
      <c r="D91" s="8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9">
        <f>IF(A91="","",A91&amp;"|"&amp;COUNTIF($A$2:A91,A91))</f>
        <v/>
      </c>
    </row>
    <row r="92">
      <c r="A92" s="7" t="n"/>
      <c r="B92" s="7" t="n"/>
      <c r="C92" s="7" t="n"/>
      <c r="D92" s="8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9">
        <f>IF(A92="","",A92&amp;"|"&amp;COUNTIF($A$2:A92,A92))</f>
        <v/>
      </c>
    </row>
    <row r="93">
      <c r="A93" s="7" t="n"/>
      <c r="B93" s="7" t="n"/>
      <c r="C93" s="7" t="n"/>
      <c r="D93" s="8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9">
        <f>IF(A93="","",A93&amp;"|"&amp;COUNTIF($A$2:A93,A93))</f>
        <v/>
      </c>
    </row>
    <row r="94">
      <c r="A94" s="7" t="n"/>
      <c r="B94" s="7" t="n"/>
      <c r="C94" s="7" t="n"/>
      <c r="D94" s="8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9">
        <f>IF(A94="","",A94&amp;"|"&amp;COUNTIF($A$2:A94,A94))</f>
        <v/>
      </c>
    </row>
    <row r="95">
      <c r="A95" s="7" t="n"/>
      <c r="B95" s="7" t="n"/>
      <c r="C95" s="7" t="n"/>
      <c r="D95" s="8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9">
        <f>IF(A95="","",A95&amp;"|"&amp;COUNTIF($A$2:A95,A95))</f>
        <v/>
      </c>
    </row>
    <row r="96">
      <c r="A96" s="7" t="n"/>
      <c r="B96" s="7" t="n"/>
      <c r="C96" s="7" t="n"/>
      <c r="D96" s="8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9">
        <f>IF(A96="","",A96&amp;"|"&amp;COUNTIF($A$2:A96,A96))</f>
        <v/>
      </c>
    </row>
    <row r="97">
      <c r="A97" s="7" t="n"/>
      <c r="B97" s="7" t="n"/>
      <c r="C97" s="7" t="n"/>
      <c r="D97" s="8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9">
        <f>IF(A97="","",A97&amp;"|"&amp;COUNTIF($A$2:A97,A97))</f>
        <v/>
      </c>
    </row>
    <row r="98">
      <c r="A98" s="7" t="n"/>
      <c r="B98" s="7" t="n"/>
      <c r="C98" s="7" t="n"/>
      <c r="D98" s="8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9">
        <f>IF(A98="","",A98&amp;"|"&amp;COUNTIF($A$2:A98,A98))</f>
        <v/>
      </c>
    </row>
    <row r="99">
      <c r="A99" s="7" t="n"/>
      <c r="B99" s="7" t="n"/>
      <c r="C99" s="7" t="n"/>
      <c r="D99" s="8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9">
        <f>IF(A99="","",A99&amp;"|"&amp;COUNTIF($A$2:A99,A99))</f>
        <v/>
      </c>
    </row>
    <row r="100">
      <c r="A100" s="7" t="n"/>
      <c r="B100" s="7" t="n"/>
      <c r="C100" s="7" t="n"/>
      <c r="D100" s="8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9">
        <f>IF(A100="","",A100&amp;"|"&amp;COUNTIF($A$2:A100,A100))</f>
        <v/>
      </c>
    </row>
    <row r="101">
      <c r="A101" s="7" t="n"/>
      <c r="B101" s="7" t="n"/>
      <c r="C101" s="7" t="n"/>
      <c r="D101" s="8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9">
        <f>IF(A101="","",A101&amp;"|"&amp;COUNTIF($A$2:A101,A101))</f>
        <v/>
      </c>
    </row>
    <row r="102">
      <c r="A102" s="7" t="n"/>
      <c r="B102" s="7" t="n"/>
      <c r="C102" s="7" t="n"/>
      <c r="D102" s="8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9">
        <f>IF(A102="","",A102&amp;"|"&amp;COUNTIF($A$2:A102,A102))</f>
        <v/>
      </c>
    </row>
    <row r="103">
      <c r="A103" s="7" t="n"/>
      <c r="B103" s="7" t="n"/>
      <c r="C103" s="7" t="n"/>
      <c r="D103" s="8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9">
        <f>IF(A103="","",A103&amp;"|"&amp;COUNTIF($A$2:A103,A103))</f>
        <v/>
      </c>
    </row>
    <row r="104">
      <c r="A104" s="7" t="n"/>
      <c r="B104" s="7" t="n"/>
      <c r="C104" s="7" t="n"/>
      <c r="D104" s="8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9">
        <f>IF(A104="","",A104&amp;"|"&amp;COUNTIF($A$2:A104,A104))</f>
        <v/>
      </c>
    </row>
    <row r="105">
      <c r="A105" s="7" t="n"/>
      <c r="B105" s="7" t="n"/>
      <c r="C105" s="7" t="n"/>
      <c r="D105" s="8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9">
        <f>IF(A105="","",A105&amp;"|"&amp;COUNTIF($A$2:A105,A105))</f>
        <v/>
      </c>
    </row>
    <row r="106">
      <c r="A106" s="7" t="n"/>
      <c r="B106" s="7" t="n"/>
      <c r="C106" s="7" t="n"/>
      <c r="D106" s="8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9">
        <f>IF(A106="","",A106&amp;"|"&amp;COUNTIF($A$2:A106,A106))</f>
        <v/>
      </c>
    </row>
    <row r="107">
      <c r="A107" s="7" t="n"/>
      <c r="B107" s="7" t="n"/>
      <c r="C107" s="7" t="n"/>
      <c r="D107" s="8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9">
        <f>IF(A107="","",A107&amp;"|"&amp;COUNTIF($A$2:A107,A107))</f>
        <v/>
      </c>
    </row>
    <row r="108">
      <c r="A108" s="7" t="n"/>
      <c r="B108" s="7" t="n"/>
      <c r="C108" s="7" t="n"/>
      <c r="D108" s="8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9">
        <f>IF(A108="","",A108&amp;"|"&amp;COUNTIF($A$2:A108,A108))</f>
        <v/>
      </c>
    </row>
    <row r="109">
      <c r="A109" s="7" t="n"/>
      <c r="B109" s="7" t="n"/>
      <c r="C109" s="7" t="n"/>
      <c r="D109" s="8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9">
        <f>IF(A109="","",A109&amp;"|"&amp;COUNTIF($A$2:A109,A109))</f>
        <v/>
      </c>
    </row>
    <row r="110">
      <c r="A110" s="7" t="n"/>
      <c r="B110" s="7" t="n"/>
      <c r="C110" s="7" t="n"/>
      <c r="D110" s="8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9">
        <f>IF(A110="","",A110&amp;"|"&amp;COUNTIF($A$2:A110,A110))</f>
        <v/>
      </c>
    </row>
    <row r="111">
      <c r="A111" s="7" t="n"/>
      <c r="B111" s="7" t="n"/>
      <c r="C111" s="7" t="n"/>
      <c r="D111" s="8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9">
        <f>IF(A111="","",A111&amp;"|"&amp;COUNTIF($A$2:A111,A111))</f>
        <v/>
      </c>
    </row>
    <row r="112">
      <c r="A112" s="7" t="n"/>
      <c r="B112" s="7" t="n"/>
      <c r="C112" s="7" t="n"/>
      <c r="D112" s="8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9">
        <f>IF(A112="","",A112&amp;"|"&amp;COUNTIF($A$2:A112,A112))</f>
        <v/>
      </c>
    </row>
    <row r="113">
      <c r="A113" s="7" t="n"/>
      <c r="B113" s="7" t="n"/>
      <c r="C113" s="7" t="n"/>
      <c r="D113" s="8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9">
        <f>IF(A113="","",A113&amp;"|"&amp;COUNTIF($A$2:A113,A113))</f>
        <v/>
      </c>
    </row>
    <row r="114">
      <c r="A114" s="7" t="n"/>
      <c r="B114" s="7" t="n"/>
      <c r="C114" s="7" t="n"/>
      <c r="D114" s="8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9">
        <f>IF(A114="","",A114&amp;"|"&amp;COUNTIF($A$2:A114,A114))</f>
        <v/>
      </c>
    </row>
    <row r="115">
      <c r="A115" s="7" t="n"/>
      <c r="B115" s="7" t="n"/>
      <c r="C115" s="7" t="n"/>
      <c r="D115" s="8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9">
        <f>IF(A115="","",A115&amp;"|"&amp;COUNTIF($A$2:A115,A115))</f>
        <v/>
      </c>
    </row>
    <row r="116">
      <c r="A116" s="7" t="n"/>
      <c r="B116" s="7" t="n"/>
      <c r="C116" s="7" t="n"/>
      <c r="D116" s="8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9">
        <f>IF(A116="","",A116&amp;"|"&amp;COUNTIF($A$2:A116,A116))</f>
        <v/>
      </c>
    </row>
    <row r="117">
      <c r="A117" s="7" t="n"/>
      <c r="B117" s="7" t="n"/>
      <c r="C117" s="7" t="n"/>
      <c r="D117" s="8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9">
        <f>IF(A117="","",A117&amp;"|"&amp;COUNTIF($A$2:A117,A117))</f>
        <v/>
      </c>
    </row>
    <row r="118">
      <c r="A118" s="7" t="n"/>
      <c r="B118" s="7" t="n"/>
      <c r="C118" s="7" t="n"/>
      <c r="D118" s="8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9">
        <f>IF(A118="","",A118&amp;"|"&amp;COUNTIF($A$2:A118,A118))</f>
        <v/>
      </c>
    </row>
    <row r="119">
      <c r="A119" s="7" t="n"/>
      <c r="B119" s="7" t="n"/>
      <c r="C119" s="7" t="n"/>
      <c r="D119" s="8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9">
        <f>IF(A119="","",A119&amp;"|"&amp;COUNTIF($A$2:A119,A119))</f>
        <v/>
      </c>
    </row>
    <row r="120">
      <c r="A120" s="7" t="n"/>
      <c r="B120" s="7" t="n"/>
      <c r="C120" s="7" t="n"/>
      <c r="D120" s="8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9">
        <f>IF(A120="","",A120&amp;"|"&amp;COUNTIF($A$2:A120,A120))</f>
        <v/>
      </c>
    </row>
    <row r="121">
      <c r="A121" s="7" t="n"/>
      <c r="B121" s="7" t="n"/>
      <c r="C121" s="7" t="n"/>
      <c r="D121" s="8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9">
        <f>IF(A121="","",A121&amp;"|"&amp;COUNTIF($A$2:A121,A121))</f>
        <v/>
      </c>
    </row>
    <row r="122">
      <c r="A122" s="7" t="n"/>
      <c r="B122" s="7" t="n"/>
      <c r="C122" s="7" t="n"/>
      <c r="D122" s="8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9">
        <f>IF(A122="","",A122&amp;"|"&amp;COUNTIF($A$2:A122,A122))</f>
        <v/>
      </c>
    </row>
    <row r="123">
      <c r="A123" s="7" t="n"/>
      <c r="B123" s="7" t="n"/>
      <c r="C123" s="7" t="n"/>
      <c r="D123" s="8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9">
        <f>IF(A123="","",A123&amp;"|"&amp;COUNTIF($A$2:A123,A123))</f>
        <v/>
      </c>
    </row>
    <row r="124">
      <c r="A124" s="7" t="n"/>
      <c r="B124" s="7" t="n"/>
      <c r="C124" s="7" t="n"/>
      <c r="D124" s="8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9">
        <f>IF(A124="","",A124&amp;"|"&amp;COUNTIF($A$2:A124,A124))</f>
        <v/>
      </c>
    </row>
    <row r="125">
      <c r="A125" s="7" t="n"/>
      <c r="B125" s="7" t="n"/>
      <c r="C125" s="7" t="n"/>
      <c r="D125" s="8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9">
        <f>IF(A125="","",A125&amp;"|"&amp;COUNTIF($A$2:A125,A125))</f>
        <v/>
      </c>
    </row>
    <row r="126">
      <c r="A126" s="7" t="n"/>
      <c r="B126" s="7" t="n"/>
      <c r="C126" s="7" t="n"/>
      <c r="D126" s="8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9">
        <f>IF(A126="","",A126&amp;"|"&amp;COUNTIF($A$2:A126,A126))</f>
        <v/>
      </c>
    </row>
    <row r="127">
      <c r="A127" s="7" t="n"/>
      <c r="B127" s="7" t="n"/>
      <c r="C127" s="7" t="n"/>
      <c r="D127" s="8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9">
        <f>IF(A127="","",A127&amp;"|"&amp;COUNTIF($A$2:A127,A127))</f>
        <v/>
      </c>
    </row>
    <row r="128">
      <c r="A128" s="7" t="n"/>
      <c r="B128" s="7" t="n"/>
      <c r="C128" s="7" t="n"/>
      <c r="D128" s="8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9">
        <f>IF(A128="","",A128&amp;"|"&amp;COUNTIF($A$2:A128,A128))</f>
        <v/>
      </c>
    </row>
    <row r="129">
      <c r="A129" s="7" t="n"/>
      <c r="B129" s="7" t="n"/>
      <c r="C129" s="7" t="n"/>
      <c r="D129" s="8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9">
        <f>IF(A129="","",A129&amp;"|"&amp;COUNTIF($A$2:A129,A129))</f>
        <v/>
      </c>
    </row>
    <row r="130">
      <c r="A130" s="7" t="n"/>
      <c r="B130" s="7" t="n"/>
      <c r="C130" s="7" t="n"/>
      <c r="D130" s="8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9">
        <f>IF(A130="","",A130&amp;"|"&amp;COUNTIF($A$2:A130,A130))</f>
        <v/>
      </c>
    </row>
    <row r="131">
      <c r="A131" s="7" t="n"/>
      <c r="B131" s="7" t="n"/>
      <c r="C131" s="7" t="n"/>
      <c r="D131" s="8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9">
        <f>IF(A131="","",A131&amp;"|"&amp;COUNTIF($A$2:A131,A131))</f>
        <v/>
      </c>
    </row>
    <row r="132">
      <c r="A132" s="7" t="n"/>
      <c r="B132" s="7" t="n"/>
      <c r="C132" s="7" t="n"/>
      <c r="D132" s="8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9">
        <f>IF(A132="","",A132&amp;"|"&amp;COUNTIF($A$2:A132,A132))</f>
        <v/>
      </c>
    </row>
    <row r="133">
      <c r="A133" s="7" t="n"/>
      <c r="B133" s="7" t="n"/>
      <c r="C133" s="7" t="n"/>
      <c r="D133" s="8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9">
        <f>IF(A133="","",A133&amp;"|"&amp;COUNTIF($A$2:A133,A133))</f>
        <v/>
      </c>
    </row>
    <row r="134">
      <c r="A134" s="7" t="n"/>
      <c r="B134" s="7" t="n"/>
      <c r="C134" s="7" t="n"/>
      <c r="D134" s="8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9">
        <f>IF(A134="","",A134&amp;"|"&amp;COUNTIF($A$2:A134,A134))</f>
        <v/>
      </c>
    </row>
    <row r="135">
      <c r="A135" s="7" t="n"/>
      <c r="B135" s="7" t="n"/>
      <c r="C135" s="7" t="n"/>
      <c r="D135" s="8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9">
        <f>IF(A135="","",A135&amp;"|"&amp;COUNTIF($A$2:A135,A135))</f>
        <v/>
      </c>
    </row>
    <row r="136">
      <c r="A136" s="7" t="n"/>
      <c r="B136" s="7" t="n"/>
      <c r="C136" s="7" t="n"/>
      <c r="D136" s="8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9">
        <f>IF(A136="","",A136&amp;"|"&amp;COUNTIF($A$2:A136,A136))</f>
        <v/>
      </c>
    </row>
    <row r="137">
      <c r="A137" s="7" t="n"/>
      <c r="B137" s="7" t="n"/>
      <c r="C137" s="7" t="n"/>
      <c r="D137" s="8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9">
        <f>IF(A137="","",A137&amp;"|"&amp;COUNTIF($A$2:A137,A137))</f>
        <v/>
      </c>
    </row>
    <row r="138">
      <c r="A138" s="7" t="n"/>
      <c r="B138" s="7" t="n"/>
      <c r="C138" s="7" t="n"/>
      <c r="D138" s="8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9">
        <f>IF(A138="","",A138&amp;"|"&amp;COUNTIF($A$2:A138,A138))</f>
        <v/>
      </c>
    </row>
    <row r="139">
      <c r="A139" s="7" t="n"/>
      <c r="B139" s="7" t="n"/>
      <c r="C139" s="7" t="n"/>
      <c r="D139" s="8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9">
        <f>IF(A139="","",A139&amp;"|"&amp;COUNTIF($A$2:A139,A139))</f>
        <v/>
      </c>
    </row>
    <row r="140">
      <c r="A140" s="7" t="n"/>
      <c r="B140" s="7" t="n"/>
      <c r="C140" s="7" t="n"/>
      <c r="D140" s="8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9">
        <f>IF(A140="","",A140&amp;"|"&amp;COUNTIF($A$2:A140,A140))</f>
        <v/>
      </c>
    </row>
    <row r="141">
      <c r="A141" s="7" t="n"/>
      <c r="B141" s="7" t="n"/>
      <c r="C141" s="7" t="n"/>
      <c r="D141" s="8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9">
        <f>IF(A141="","",A141&amp;"|"&amp;COUNTIF($A$2:A141,A141))</f>
        <v/>
      </c>
    </row>
    <row r="142">
      <c r="A142" s="7" t="n"/>
      <c r="B142" s="7" t="n"/>
      <c r="C142" s="7" t="n"/>
      <c r="D142" s="8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9">
        <f>IF(A142="","",A142&amp;"|"&amp;COUNTIF($A$2:A142,A142))</f>
        <v/>
      </c>
    </row>
    <row r="143">
      <c r="A143" s="7" t="n"/>
      <c r="B143" s="7" t="n"/>
      <c r="C143" s="7" t="n"/>
      <c r="D143" s="8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9">
        <f>IF(A143="","",A143&amp;"|"&amp;COUNTIF($A$2:A143,A143))</f>
        <v/>
      </c>
    </row>
    <row r="144">
      <c r="A144" s="7" t="n"/>
      <c r="B144" s="7" t="n"/>
      <c r="C144" s="7" t="n"/>
      <c r="D144" s="8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9">
        <f>IF(A144="","",A144&amp;"|"&amp;COUNTIF($A$2:A144,A144))</f>
        <v/>
      </c>
    </row>
    <row r="145">
      <c r="A145" s="7" t="n"/>
      <c r="B145" s="7" t="n"/>
      <c r="C145" s="7" t="n"/>
      <c r="D145" s="8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9">
        <f>IF(A145="","",A145&amp;"|"&amp;COUNTIF($A$2:A145,A145))</f>
        <v/>
      </c>
    </row>
    <row r="146">
      <c r="A146" s="7" t="n"/>
      <c r="B146" s="7" t="n"/>
      <c r="C146" s="7" t="n"/>
      <c r="D146" s="8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9">
        <f>IF(A146="","",A146&amp;"|"&amp;COUNTIF($A$2:A146,A146))</f>
        <v/>
      </c>
    </row>
    <row r="147">
      <c r="A147" s="7" t="n"/>
      <c r="B147" s="7" t="n"/>
      <c r="C147" s="7" t="n"/>
      <c r="D147" s="8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9">
        <f>IF(A147="","",A147&amp;"|"&amp;COUNTIF($A$2:A147,A147))</f>
        <v/>
      </c>
    </row>
    <row r="148">
      <c r="A148" s="7" t="n"/>
      <c r="B148" s="7" t="n"/>
      <c r="C148" s="7" t="n"/>
      <c r="D148" s="8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9">
        <f>IF(A148="","",A148&amp;"|"&amp;COUNTIF($A$2:A148,A148))</f>
        <v/>
      </c>
    </row>
    <row r="149">
      <c r="A149" s="7" t="n"/>
      <c r="B149" s="7" t="n"/>
      <c r="C149" s="7" t="n"/>
      <c r="D149" s="8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9">
        <f>IF(A149="","",A149&amp;"|"&amp;COUNTIF($A$2:A149,A149))</f>
        <v/>
      </c>
    </row>
    <row r="150">
      <c r="A150" s="7" t="n"/>
      <c r="B150" s="7" t="n"/>
      <c r="C150" s="7" t="n"/>
      <c r="D150" s="8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9">
        <f>IF(A150="","",A150&amp;"|"&amp;COUNTIF($A$2:A150,A150))</f>
        <v/>
      </c>
    </row>
    <row r="151">
      <c r="A151" s="7" t="n"/>
      <c r="B151" s="7" t="n"/>
      <c r="C151" s="7" t="n"/>
      <c r="D151" s="8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9">
        <f>IF(A151="","",A151&amp;"|"&amp;COUNTIF($A$2:A151,A151))</f>
        <v/>
      </c>
    </row>
    <row r="152">
      <c r="A152" s="7" t="n"/>
      <c r="B152" s="7" t="n"/>
      <c r="C152" s="7" t="n"/>
      <c r="D152" s="8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9">
        <f>IF(A152="","",A152&amp;"|"&amp;COUNTIF($A$2:A152,A152))</f>
        <v/>
      </c>
    </row>
    <row r="153">
      <c r="A153" s="7" t="n"/>
      <c r="B153" s="7" t="n"/>
      <c r="C153" s="7" t="n"/>
      <c r="D153" s="8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9">
        <f>IF(A153="","",A153&amp;"|"&amp;COUNTIF($A$2:A153,A153))</f>
        <v/>
      </c>
    </row>
    <row r="154">
      <c r="A154" s="7" t="n"/>
      <c r="B154" s="7" t="n"/>
      <c r="C154" s="7" t="n"/>
      <c r="D154" s="8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9">
        <f>IF(A154="","",A154&amp;"|"&amp;COUNTIF($A$2:A154,A154))</f>
        <v/>
      </c>
    </row>
    <row r="155">
      <c r="A155" s="7" t="n"/>
      <c r="B155" s="7" t="n"/>
      <c r="C155" s="7" t="n"/>
      <c r="D155" s="8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9">
        <f>IF(A155="","",A155&amp;"|"&amp;COUNTIF($A$2:A155,A155))</f>
        <v/>
      </c>
    </row>
    <row r="156">
      <c r="A156" s="7" t="n"/>
      <c r="B156" s="7" t="n"/>
      <c r="C156" s="7" t="n"/>
      <c r="D156" s="8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9">
        <f>IF(A156="","",A156&amp;"|"&amp;COUNTIF($A$2:A156,A156))</f>
        <v/>
      </c>
    </row>
    <row r="157">
      <c r="A157" s="7" t="n"/>
      <c r="B157" s="7" t="n"/>
      <c r="C157" s="7" t="n"/>
      <c r="D157" s="8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9">
        <f>IF(A157="","",A157&amp;"|"&amp;COUNTIF($A$2:A157,A157))</f>
        <v/>
      </c>
    </row>
    <row r="158">
      <c r="A158" s="7" t="n"/>
      <c r="B158" s="7" t="n"/>
      <c r="C158" s="7" t="n"/>
      <c r="D158" s="8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9">
        <f>IF(A158="","",A158&amp;"|"&amp;COUNTIF($A$2:A158,A158))</f>
        <v/>
      </c>
    </row>
    <row r="159">
      <c r="A159" s="7" t="n"/>
      <c r="B159" s="7" t="n"/>
      <c r="C159" s="7" t="n"/>
      <c r="D159" s="8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9">
        <f>IF(A159="","",A159&amp;"|"&amp;COUNTIF($A$2:A159,A159))</f>
        <v/>
      </c>
    </row>
    <row r="160">
      <c r="A160" s="7" t="n"/>
      <c r="B160" s="7" t="n"/>
      <c r="C160" s="7" t="n"/>
      <c r="D160" s="8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9">
        <f>IF(A160="","",A160&amp;"|"&amp;COUNTIF($A$2:A160,A160))</f>
        <v/>
      </c>
    </row>
    <row r="161">
      <c r="A161" s="7" t="n"/>
      <c r="B161" s="7" t="n"/>
      <c r="C161" s="7" t="n"/>
      <c r="D161" s="8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9">
        <f>IF(A161="","",A161&amp;"|"&amp;COUNTIF($A$2:A161,A161))</f>
        <v/>
      </c>
    </row>
    <row r="162">
      <c r="A162" s="7" t="n"/>
      <c r="B162" s="7" t="n"/>
      <c r="C162" s="7" t="n"/>
      <c r="D162" s="8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9">
        <f>IF(A162="","",A162&amp;"|"&amp;COUNTIF($A$2:A162,A162))</f>
        <v/>
      </c>
    </row>
    <row r="163">
      <c r="A163" s="7" t="n"/>
      <c r="B163" s="7" t="n"/>
      <c r="C163" s="7" t="n"/>
      <c r="D163" s="8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9">
        <f>IF(A163="","",A163&amp;"|"&amp;COUNTIF($A$2:A163,A163))</f>
        <v/>
      </c>
    </row>
    <row r="164">
      <c r="A164" s="7" t="n"/>
      <c r="B164" s="7" t="n"/>
      <c r="C164" s="7" t="n"/>
      <c r="D164" s="8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9">
        <f>IF(A164="","",A164&amp;"|"&amp;COUNTIF($A$2:A164,A164))</f>
        <v/>
      </c>
    </row>
    <row r="165">
      <c r="A165" s="7" t="n"/>
      <c r="B165" s="7" t="n"/>
      <c r="C165" s="7" t="n"/>
      <c r="D165" s="8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9">
        <f>IF(A165="","",A165&amp;"|"&amp;COUNTIF($A$2:A165,A165))</f>
        <v/>
      </c>
    </row>
    <row r="166">
      <c r="A166" s="7" t="n"/>
      <c r="B166" s="7" t="n"/>
      <c r="C166" s="7" t="n"/>
      <c r="D166" s="8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9">
        <f>IF(A166="","",A166&amp;"|"&amp;COUNTIF($A$2:A166,A166))</f>
        <v/>
      </c>
    </row>
    <row r="167">
      <c r="A167" s="7" t="n"/>
      <c r="B167" s="7" t="n"/>
      <c r="C167" s="7" t="n"/>
      <c r="D167" s="8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9">
        <f>IF(A167="","",A167&amp;"|"&amp;COUNTIF($A$2:A167,A167))</f>
        <v/>
      </c>
    </row>
    <row r="168">
      <c r="A168" s="7" t="n"/>
      <c r="B168" s="7" t="n"/>
      <c r="C168" s="7" t="n"/>
      <c r="D168" s="8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9">
        <f>IF(A168="","",A168&amp;"|"&amp;COUNTIF($A$2:A168,A168))</f>
        <v/>
      </c>
    </row>
    <row r="169">
      <c r="A169" s="7" t="n"/>
      <c r="B169" s="7" t="n"/>
      <c r="C169" s="7" t="n"/>
      <c r="D169" s="8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9">
        <f>IF(A169="","",A169&amp;"|"&amp;COUNTIF($A$2:A169,A169))</f>
        <v/>
      </c>
    </row>
    <row r="170">
      <c r="A170" s="7" t="n"/>
      <c r="B170" s="7" t="n"/>
      <c r="C170" s="7" t="n"/>
      <c r="D170" s="8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9">
        <f>IF(A170="","",A170&amp;"|"&amp;COUNTIF($A$2:A170,A170))</f>
        <v/>
      </c>
    </row>
    <row r="171">
      <c r="A171" s="7" t="n"/>
      <c r="B171" s="7" t="n"/>
      <c r="C171" s="7" t="n"/>
      <c r="D171" s="8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9">
        <f>IF(A171="","",A171&amp;"|"&amp;COUNTIF($A$2:A171,A171))</f>
        <v/>
      </c>
    </row>
    <row r="172">
      <c r="A172" s="7" t="n"/>
      <c r="B172" s="7" t="n"/>
      <c r="C172" s="7" t="n"/>
      <c r="D172" s="8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9">
        <f>IF(A172="","",A172&amp;"|"&amp;COUNTIF($A$2:A172,A172))</f>
        <v/>
      </c>
    </row>
    <row r="173">
      <c r="A173" s="7" t="n"/>
      <c r="B173" s="7" t="n"/>
      <c r="C173" s="7" t="n"/>
      <c r="D173" s="8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9">
        <f>IF(A173="","",A173&amp;"|"&amp;COUNTIF($A$2:A173,A173))</f>
        <v/>
      </c>
    </row>
    <row r="174">
      <c r="A174" s="7" t="n"/>
      <c r="B174" s="7" t="n"/>
      <c r="C174" s="7" t="n"/>
      <c r="D174" s="8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9">
        <f>IF(A174="","",A174&amp;"|"&amp;COUNTIF($A$2:A174,A174))</f>
        <v/>
      </c>
    </row>
    <row r="175">
      <c r="A175" s="7" t="n"/>
      <c r="B175" s="7" t="n"/>
      <c r="C175" s="7" t="n"/>
      <c r="D175" s="8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9">
        <f>IF(A175="","",A175&amp;"|"&amp;COUNTIF($A$2:A175,A175))</f>
        <v/>
      </c>
    </row>
    <row r="176">
      <c r="A176" s="7" t="n"/>
      <c r="B176" s="7" t="n"/>
      <c r="C176" s="7" t="n"/>
      <c r="D176" s="8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9">
        <f>IF(A176="","",A176&amp;"|"&amp;COUNTIF($A$2:A176,A176))</f>
        <v/>
      </c>
    </row>
    <row r="177">
      <c r="A177" s="7" t="n"/>
      <c r="B177" s="7" t="n"/>
      <c r="C177" s="7" t="n"/>
      <c r="D177" s="8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9">
        <f>IF(A177="","",A177&amp;"|"&amp;COUNTIF($A$2:A177,A177))</f>
        <v/>
      </c>
    </row>
    <row r="178">
      <c r="A178" s="7" t="n"/>
      <c r="B178" s="7" t="n"/>
      <c r="C178" s="7" t="n"/>
      <c r="D178" s="8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9">
        <f>IF(A178="","",A178&amp;"|"&amp;COUNTIF($A$2:A178,A178))</f>
        <v/>
      </c>
    </row>
    <row r="179">
      <c r="A179" s="7" t="n"/>
      <c r="B179" s="7" t="n"/>
      <c r="C179" s="7" t="n"/>
      <c r="D179" s="8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9">
        <f>IF(A179="","",A179&amp;"|"&amp;COUNTIF($A$2:A179,A179))</f>
        <v/>
      </c>
    </row>
    <row r="180">
      <c r="A180" s="7" t="n"/>
      <c r="B180" s="7" t="n"/>
      <c r="C180" s="7" t="n"/>
      <c r="D180" s="8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9">
        <f>IF(A180="","",A180&amp;"|"&amp;COUNTIF($A$2:A180,A180))</f>
        <v/>
      </c>
    </row>
    <row r="181">
      <c r="A181" s="7" t="n"/>
      <c r="B181" s="7" t="n"/>
      <c r="C181" s="7" t="n"/>
      <c r="D181" s="8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9">
        <f>IF(A181="","",A181&amp;"|"&amp;COUNTIF($A$2:A181,A181))</f>
        <v/>
      </c>
    </row>
    <row r="182">
      <c r="A182" s="7" t="n"/>
      <c r="B182" s="7" t="n"/>
      <c r="C182" s="7" t="n"/>
      <c r="D182" s="8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9">
        <f>IF(A182="","",A182&amp;"|"&amp;COUNTIF($A$2:A182,A182))</f>
        <v/>
      </c>
    </row>
    <row r="183">
      <c r="A183" s="7" t="n"/>
      <c r="B183" s="7" t="n"/>
      <c r="C183" s="7" t="n"/>
      <c r="D183" s="8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9">
        <f>IF(A183="","",A183&amp;"|"&amp;COUNTIF($A$2:A183,A183))</f>
        <v/>
      </c>
    </row>
    <row r="184">
      <c r="A184" s="7" t="n"/>
      <c r="B184" s="7" t="n"/>
      <c r="C184" s="7" t="n"/>
      <c r="D184" s="8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9">
        <f>IF(A184="","",A184&amp;"|"&amp;COUNTIF($A$2:A184,A184))</f>
        <v/>
      </c>
    </row>
    <row r="185">
      <c r="A185" s="7" t="n"/>
      <c r="B185" s="7" t="n"/>
      <c r="C185" s="7" t="n"/>
      <c r="D185" s="8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9">
        <f>IF(A185="","",A185&amp;"|"&amp;COUNTIF($A$2:A185,A185))</f>
        <v/>
      </c>
    </row>
    <row r="186">
      <c r="A186" s="7" t="n"/>
      <c r="B186" s="7" t="n"/>
      <c r="C186" s="7" t="n"/>
      <c r="D186" s="8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9">
        <f>IF(A186="","",A186&amp;"|"&amp;COUNTIF($A$2:A186,A186))</f>
        <v/>
      </c>
    </row>
    <row r="187">
      <c r="A187" s="7" t="n"/>
      <c r="B187" s="7" t="n"/>
      <c r="C187" s="7" t="n"/>
      <c r="D187" s="8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9">
        <f>IF(A187="","",A187&amp;"|"&amp;COUNTIF($A$2:A187,A187))</f>
        <v/>
      </c>
    </row>
    <row r="188">
      <c r="A188" s="7" t="n"/>
      <c r="B188" s="7" t="n"/>
      <c r="C188" s="7" t="n"/>
      <c r="D188" s="8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9">
        <f>IF(A188="","",A188&amp;"|"&amp;COUNTIF($A$2:A188,A188))</f>
        <v/>
      </c>
    </row>
    <row r="189">
      <c r="A189" s="7" t="n"/>
      <c r="B189" s="7" t="n"/>
      <c r="C189" s="7" t="n"/>
      <c r="D189" s="8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9">
        <f>IF(A189="","",A189&amp;"|"&amp;COUNTIF($A$2:A189,A189))</f>
        <v/>
      </c>
    </row>
    <row r="190">
      <c r="A190" s="7" t="n"/>
      <c r="B190" s="7" t="n"/>
      <c r="C190" s="7" t="n"/>
      <c r="D190" s="8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9">
        <f>IF(A190="","",A190&amp;"|"&amp;COUNTIF($A$2:A190,A190))</f>
        <v/>
      </c>
    </row>
    <row r="191">
      <c r="A191" s="7" t="n"/>
      <c r="B191" s="7" t="n"/>
      <c r="C191" s="7" t="n"/>
      <c r="D191" s="8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9">
        <f>IF(A191="","",A191&amp;"|"&amp;COUNTIF($A$2:A191,A191))</f>
        <v/>
      </c>
    </row>
    <row r="192">
      <c r="A192" s="7" t="n"/>
      <c r="B192" s="7" t="n"/>
      <c r="C192" s="7" t="n"/>
      <c r="D192" s="8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9">
        <f>IF(A192="","",A192&amp;"|"&amp;COUNTIF($A$2:A192,A192))</f>
        <v/>
      </c>
    </row>
    <row r="193">
      <c r="A193" s="7" t="n"/>
      <c r="B193" s="7" t="n"/>
      <c r="C193" s="7" t="n"/>
      <c r="D193" s="8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9">
        <f>IF(A193="","",A193&amp;"|"&amp;COUNTIF($A$2:A193,A193))</f>
        <v/>
      </c>
    </row>
    <row r="194">
      <c r="A194" s="7" t="n"/>
      <c r="B194" s="7" t="n"/>
      <c r="C194" s="7" t="n"/>
      <c r="D194" s="8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9">
        <f>IF(A194="","",A194&amp;"|"&amp;COUNTIF($A$2:A194,A194))</f>
        <v/>
      </c>
    </row>
    <row r="195">
      <c r="A195" s="7" t="n"/>
      <c r="B195" s="7" t="n"/>
      <c r="C195" s="7" t="n"/>
      <c r="D195" s="8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9">
        <f>IF(A195="","",A195&amp;"|"&amp;COUNTIF($A$2:A195,A195))</f>
        <v/>
      </c>
    </row>
    <row r="196">
      <c r="A196" s="7" t="n"/>
      <c r="B196" s="7" t="n"/>
      <c r="C196" s="7" t="n"/>
      <c r="D196" s="8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9">
        <f>IF(A196="","",A196&amp;"|"&amp;COUNTIF($A$2:A196,A196))</f>
        <v/>
      </c>
    </row>
    <row r="197">
      <c r="A197" s="7" t="n"/>
      <c r="B197" s="7" t="n"/>
      <c r="C197" s="7" t="n"/>
      <c r="D197" s="8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9">
        <f>IF(A197="","",A197&amp;"|"&amp;COUNTIF($A$2:A197,A197))</f>
        <v/>
      </c>
    </row>
    <row r="198">
      <c r="A198" s="7" t="n"/>
      <c r="B198" s="7" t="n"/>
      <c r="C198" s="7" t="n"/>
      <c r="D198" s="8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9">
        <f>IF(A198="","",A198&amp;"|"&amp;COUNTIF($A$2:A198,A198))</f>
        <v/>
      </c>
    </row>
    <row r="199">
      <c r="A199" s="7" t="n"/>
      <c r="B199" s="7" t="n"/>
      <c r="C199" s="7" t="n"/>
      <c r="D199" s="8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9">
        <f>IF(A199="","",A199&amp;"|"&amp;COUNTIF($A$2:A199,A199))</f>
        <v/>
      </c>
    </row>
    <row r="200">
      <c r="A200" s="7" t="n"/>
      <c r="B200" s="7" t="n"/>
      <c r="C200" s="7" t="n"/>
      <c r="D200" s="8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9">
        <f>IF(A200="","",A200&amp;"|"&amp;COUNTIF($A$2:A200,A200))</f>
        <v/>
      </c>
    </row>
    <row r="201">
      <c r="A201" s="7" t="n"/>
      <c r="B201" s="7" t="n"/>
      <c r="C201" s="7" t="n"/>
      <c r="D201" s="8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9">
        <f>IF(A201="","",A201&amp;"|"&amp;COUNTIF($A$2:A201,A201))</f>
        <v/>
      </c>
    </row>
    <row r="202">
      <c r="A202" s="7" t="n"/>
      <c r="B202" s="7" t="n"/>
      <c r="C202" s="7" t="n"/>
      <c r="D202" s="8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9">
        <f>IF(A202="","",A202&amp;"|"&amp;COUNTIF($A$2:A202,A202))</f>
        <v/>
      </c>
    </row>
    <row r="203">
      <c r="A203" s="7" t="n"/>
      <c r="B203" s="7" t="n"/>
      <c r="C203" s="7" t="n"/>
      <c r="D203" s="8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9">
        <f>IF(A203="","",A203&amp;"|"&amp;COUNTIF($A$2:A203,A203))</f>
        <v/>
      </c>
    </row>
    <row r="204">
      <c r="A204" s="7" t="n"/>
      <c r="B204" s="7" t="n"/>
      <c r="C204" s="7" t="n"/>
      <c r="D204" s="8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9">
        <f>IF(A204="","",A204&amp;"|"&amp;COUNTIF($A$2:A204,A204))</f>
        <v/>
      </c>
    </row>
    <row r="205">
      <c r="A205" s="7" t="n"/>
      <c r="B205" s="7" t="n"/>
      <c r="C205" s="7" t="n"/>
      <c r="D205" s="8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9">
        <f>IF(A205="","",A205&amp;"|"&amp;COUNTIF($A$2:A205,A205))</f>
        <v/>
      </c>
    </row>
    <row r="206">
      <c r="A206" s="7" t="n"/>
      <c r="B206" s="7" t="n"/>
      <c r="C206" s="7" t="n"/>
      <c r="D206" s="8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9">
        <f>IF(A206="","",A206&amp;"|"&amp;COUNTIF($A$2:A206,A206))</f>
        <v/>
      </c>
    </row>
    <row r="207">
      <c r="A207" s="7" t="n"/>
      <c r="B207" s="7" t="n"/>
      <c r="C207" s="7" t="n"/>
      <c r="D207" s="8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9">
        <f>IF(A207="","",A207&amp;"|"&amp;COUNTIF($A$2:A207,A207))</f>
        <v/>
      </c>
    </row>
    <row r="208">
      <c r="A208" s="7" t="n"/>
      <c r="B208" s="7" t="n"/>
      <c r="C208" s="7" t="n"/>
      <c r="D208" s="8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9">
        <f>IF(A208="","",A208&amp;"|"&amp;COUNTIF($A$2:A208,A208))</f>
        <v/>
      </c>
    </row>
    <row r="209">
      <c r="A209" s="7" t="n"/>
      <c r="B209" s="7" t="n"/>
      <c r="C209" s="7" t="n"/>
      <c r="D209" s="8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9">
        <f>IF(A209="","",A209&amp;"|"&amp;COUNTIF($A$2:A209,A209))</f>
        <v/>
      </c>
    </row>
    <row r="210">
      <c r="A210" s="7" t="n"/>
      <c r="B210" s="7" t="n"/>
      <c r="C210" s="7" t="n"/>
      <c r="D210" s="8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9">
        <f>IF(A210="","",A210&amp;"|"&amp;COUNTIF($A$2:A210,A210))</f>
        <v/>
      </c>
    </row>
    <row r="211">
      <c r="A211" s="7" t="n"/>
      <c r="B211" s="7" t="n"/>
      <c r="C211" s="7" t="n"/>
      <c r="D211" s="8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9">
        <f>IF(A211="","",A211&amp;"|"&amp;COUNTIF($A$2:A211,A211))</f>
        <v/>
      </c>
    </row>
    <row r="212">
      <c r="A212" s="7" t="n"/>
      <c r="B212" s="7" t="n"/>
      <c r="C212" s="7" t="n"/>
      <c r="D212" s="8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9">
        <f>IF(A212="","",A212&amp;"|"&amp;COUNTIF($A$2:A212,A212))</f>
        <v/>
      </c>
    </row>
    <row r="213">
      <c r="A213" s="7" t="n"/>
      <c r="B213" s="7" t="n"/>
      <c r="C213" s="7" t="n"/>
      <c r="D213" s="8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9">
        <f>IF(A213="","",A213&amp;"|"&amp;COUNTIF($A$2:A213,A213))</f>
        <v/>
      </c>
    </row>
    <row r="214">
      <c r="A214" s="7" t="n"/>
      <c r="B214" s="7" t="n"/>
      <c r="C214" s="7" t="n"/>
      <c r="D214" s="8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9">
        <f>IF(A214="","",A214&amp;"|"&amp;COUNTIF($A$2:A214,A214))</f>
        <v/>
      </c>
    </row>
    <row r="215">
      <c r="A215" s="7" t="n"/>
      <c r="B215" s="7" t="n"/>
      <c r="C215" s="7" t="n"/>
      <c r="D215" s="8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9">
        <f>IF(A215="","",A215&amp;"|"&amp;COUNTIF($A$2:A215,A215))</f>
        <v/>
      </c>
    </row>
    <row r="216">
      <c r="A216" s="7" t="n"/>
      <c r="B216" s="7" t="n"/>
      <c r="C216" s="7" t="n"/>
      <c r="D216" s="8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9">
        <f>IF(A216="","",A216&amp;"|"&amp;COUNTIF($A$2:A216,A216))</f>
        <v/>
      </c>
    </row>
    <row r="217">
      <c r="A217" s="7" t="n"/>
      <c r="B217" s="7" t="n"/>
      <c r="C217" s="7" t="n"/>
      <c r="D217" s="8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9">
        <f>IF(A217="","",A217&amp;"|"&amp;COUNTIF($A$2:A217,A217))</f>
        <v/>
      </c>
    </row>
    <row r="218">
      <c r="A218" s="7" t="n"/>
      <c r="B218" s="7" t="n"/>
      <c r="C218" s="7" t="n"/>
      <c r="D218" s="8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9">
        <f>IF(A218="","",A218&amp;"|"&amp;COUNTIF($A$2:A218,A218))</f>
        <v/>
      </c>
    </row>
    <row r="219">
      <c r="A219" s="7" t="n"/>
      <c r="B219" s="7" t="n"/>
      <c r="C219" s="7" t="n"/>
      <c r="D219" s="8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9">
        <f>IF(A219="","",A219&amp;"|"&amp;COUNTIF($A$2:A219,A219))</f>
        <v/>
      </c>
    </row>
    <row r="220">
      <c r="A220" s="7" t="n"/>
      <c r="B220" s="7" t="n"/>
      <c r="C220" s="7" t="n"/>
      <c r="D220" s="8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9">
        <f>IF(A220="","",A220&amp;"|"&amp;COUNTIF($A$2:A220,A220))</f>
        <v/>
      </c>
    </row>
    <row r="221">
      <c r="A221" s="7" t="n"/>
      <c r="B221" s="7" t="n"/>
      <c r="C221" s="7" t="n"/>
      <c r="D221" s="8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9">
        <f>IF(A221="","",A221&amp;"|"&amp;COUNTIF($A$2:A221,A221))</f>
        <v/>
      </c>
    </row>
    <row r="222">
      <c r="A222" s="7" t="n"/>
      <c r="B222" s="7" t="n"/>
      <c r="C222" s="7" t="n"/>
      <c r="D222" s="8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9">
        <f>IF(A222="","",A222&amp;"|"&amp;COUNTIF($A$2:A222,A222))</f>
        <v/>
      </c>
    </row>
    <row r="223">
      <c r="A223" s="7" t="n"/>
      <c r="B223" s="7" t="n"/>
      <c r="C223" s="7" t="n"/>
      <c r="D223" s="8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9">
        <f>IF(A223="","",A223&amp;"|"&amp;COUNTIF($A$2:A223,A223))</f>
        <v/>
      </c>
    </row>
    <row r="224">
      <c r="A224" s="7" t="n"/>
      <c r="B224" s="7" t="n"/>
      <c r="C224" s="7" t="n"/>
      <c r="D224" s="8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9">
        <f>IF(A224="","",A224&amp;"|"&amp;COUNTIF($A$2:A224,A224))</f>
        <v/>
      </c>
    </row>
    <row r="225">
      <c r="A225" s="7" t="n"/>
      <c r="B225" s="7" t="n"/>
      <c r="C225" s="7" t="n"/>
      <c r="D225" s="8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9">
        <f>IF(A225="","",A225&amp;"|"&amp;COUNTIF($A$2:A225,A225))</f>
        <v/>
      </c>
    </row>
    <row r="226">
      <c r="A226" s="7" t="n"/>
      <c r="B226" s="7" t="n"/>
      <c r="C226" s="7" t="n"/>
      <c r="D226" s="8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9">
        <f>IF(A226="","",A226&amp;"|"&amp;COUNTIF($A$2:A226,A226))</f>
        <v/>
      </c>
    </row>
    <row r="227">
      <c r="A227" s="7" t="n"/>
      <c r="B227" s="7" t="n"/>
      <c r="C227" s="7" t="n"/>
      <c r="D227" s="8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9">
        <f>IF(A227="","",A227&amp;"|"&amp;COUNTIF($A$2:A227,A227))</f>
        <v/>
      </c>
    </row>
    <row r="228">
      <c r="A228" s="7" t="n"/>
      <c r="B228" s="7" t="n"/>
      <c r="C228" s="7" t="n"/>
      <c r="D228" s="8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9">
        <f>IF(A228="","",A228&amp;"|"&amp;COUNTIF($A$2:A228,A228))</f>
        <v/>
      </c>
    </row>
    <row r="229">
      <c r="A229" s="7" t="n"/>
      <c r="B229" s="7" t="n"/>
      <c r="C229" s="7" t="n"/>
      <c r="D229" s="8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9">
        <f>IF(A229="","",A229&amp;"|"&amp;COUNTIF($A$2:A229,A229))</f>
        <v/>
      </c>
    </row>
    <row r="230">
      <c r="A230" s="7" t="n"/>
      <c r="B230" s="7" t="n"/>
      <c r="C230" s="7" t="n"/>
      <c r="D230" s="8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9">
        <f>IF(A230="","",A230&amp;"|"&amp;COUNTIF($A$2:A230,A230))</f>
        <v/>
      </c>
    </row>
    <row r="231">
      <c r="A231" s="7" t="n"/>
      <c r="B231" s="7" t="n"/>
      <c r="C231" s="7" t="n"/>
      <c r="D231" s="8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9">
        <f>IF(A231="","",A231&amp;"|"&amp;COUNTIF($A$2:A231,A231))</f>
        <v/>
      </c>
    </row>
    <row r="232">
      <c r="A232" s="7" t="n"/>
      <c r="B232" s="7" t="n"/>
      <c r="C232" s="7" t="n"/>
      <c r="D232" s="8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9">
        <f>IF(A232="","",A232&amp;"|"&amp;COUNTIF($A$2:A232,A232))</f>
        <v/>
      </c>
    </row>
    <row r="233">
      <c r="A233" s="7" t="n"/>
      <c r="B233" s="7" t="n"/>
      <c r="C233" s="7" t="n"/>
      <c r="D233" s="8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9">
        <f>IF(A233="","",A233&amp;"|"&amp;COUNTIF($A$2:A233,A233))</f>
        <v/>
      </c>
    </row>
    <row r="234">
      <c r="A234" s="7" t="n"/>
      <c r="B234" s="7" t="n"/>
      <c r="C234" s="7" t="n"/>
      <c r="D234" s="8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9">
        <f>IF(A234="","",A234&amp;"|"&amp;COUNTIF($A$2:A234,A234))</f>
        <v/>
      </c>
    </row>
    <row r="235">
      <c r="A235" s="7" t="n"/>
      <c r="B235" s="7" t="n"/>
      <c r="C235" s="7" t="n"/>
      <c r="D235" s="8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9">
        <f>IF(A235="","",A235&amp;"|"&amp;COUNTIF($A$2:A235,A235))</f>
        <v/>
      </c>
    </row>
    <row r="236">
      <c r="A236" s="7" t="n"/>
      <c r="B236" s="7" t="n"/>
      <c r="C236" s="7" t="n"/>
      <c r="D236" s="8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9">
        <f>IF(A236="","",A236&amp;"|"&amp;COUNTIF($A$2:A236,A236))</f>
        <v/>
      </c>
    </row>
    <row r="237">
      <c r="A237" s="7" t="n"/>
      <c r="B237" s="7" t="n"/>
      <c r="C237" s="7" t="n"/>
      <c r="D237" s="8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9">
        <f>IF(A237="","",A237&amp;"|"&amp;COUNTIF($A$2:A237,A237))</f>
        <v/>
      </c>
    </row>
    <row r="238">
      <c r="A238" s="7" t="n"/>
      <c r="B238" s="7" t="n"/>
      <c r="C238" s="7" t="n"/>
      <c r="D238" s="8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9">
        <f>IF(A238="","",A238&amp;"|"&amp;COUNTIF($A$2:A238,A238))</f>
        <v/>
      </c>
    </row>
    <row r="239">
      <c r="A239" s="7" t="n"/>
      <c r="B239" s="7" t="n"/>
      <c r="C239" s="7" t="n"/>
      <c r="D239" s="8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9">
        <f>IF(A239="","",A239&amp;"|"&amp;COUNTIF($A$2:A239,A239))</f>
        <v/>
      </c>
    </row>
    <row r="240">
      <c r="A240" s="7" t="n"/>
      <c r="B240" s="7" t="n"/>
      <c r="C240" s="7" t="n"/>
      <c r="D240" s="8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9">
        <f>IF(A240="","",A240&amp;"|"&amp;COUNTIF($A$2:A240,A240))</f>
        <v/>
      </c>
    </row>
    <row r="241">
      <c r="A241" s="7" t="n"/>
      <c r="B241" s="7" t="n"/>
      <c r="C241" s="7" t="n"/>
      <c r="D241" s="8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9">
        <f>IF(A241="","",A241&amp;"|"&amp;COUNTIF($A$2:A241,A241))</f>
        <v/>
      </c>
    </row>
    <row r="242">
      <c r="A242" s="7" t="n"/>
      <c r="B242" s="7" t="n"/>
      <c r="C242" s="7" t="n"/>
      <c r="D242" s="8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9">
        <f>IF(A242="","",A242&amp;"|"&amp;COUNTIF($A$2:A242,A242))</f>
        <v/>
      </c>
    </row>
    <row r="243">
      <c r="A243" s="7" t="n"/>
      <c r="B243" s="7" t="n"/>
      <c r="C243" s="7" t="n"/>
      <c r="D243" s="8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9">
        <f>IF(A243="","",A243&amp;"|"&amp;COUNTIF($A$2:A243,A243))</f>
        <v/>
      </c>
    </row>
    <row r="244">
      <c r="A244" s="7" t="n"/>
      <c r="B244" s="7" t="n"/>
      <c r="C244" s="7" t="n"/>
      <c r="D244" s="8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9">
        <f>IF(A244="","",A244&amp;"|"&amp;COUNTIF($A$2:A244,A244))</f>
        <v/>
      </c>
    </row>
    <row r="245">
      <c r="A245" s="7" t="n"/>
      <c r="B245" s="7" t="n"/>
      <c r="C245" s="7" t="n"/>
      <c r="D245" s="8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9">
        <f>IF(A245="","",A245&amp;"|"&amp;COUNTIF($A$2:A245,A245))</f>
        <v/>
      </c>
    </row>
    <row r="246">
      <c r="A246" s="7" t="n"/>
      <c r="B246" s="7" t="n"/>
      <c r="C246" s="7" t="n"/>
      <c r="D246" s="8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9">
        <f>IF(A246="","",A246&amp;"|"&amp;COUNTIF($A$2:A246,A246))</f>
        <v/>
      </c>
    </row>
    <row r="247">
      <c r="A247" s="7" t="n"/>
      <c r="B247" s="7" t="n"/>
      <c r="C247" s="7" t="n"/>
      <c r="D247" s="8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9">
        <f>IF(A247="","",A247&amp;"|"&amp;COUNTIF($A$2:A247,A247))</f>
        <v/>
      </c>
    </row>
    <row r="248">
      <c r="A248" s="7" t="n"/>
      <c r="B248" s="7" t="n"/>
      <c r="C248" s="7" t="n"/>
      <c r="D248" s="8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9">
        <f>IF(A248="","",A248&amp;"|"&amp;COUNTIF($A$2:A248,A248))</f>
        <v/>
      </c>
    </row>
    <row r="249">
      <c r="A249" s="7" t="n"/>
      <c r="B249" s="7" t="n"/>
      <c r="C249" s="7" t="n"/>
      <c r="D249" s="8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9">
        <f>IF(A249="","",A249&amp;"|"&amp;COUNTIF($A$2:A249,A249))</f>
        <v/>
      </c>
    </row>
    <row r="250">
      <c r="A250" s="7" t="n"/>
      <c r="B250" s="7" t="n"/>
      <c r="C250" s="7" t="n"/>
      <c r="D250" s="8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9">
        <f>IF(A250="","",A250&amp;"|"&amp;COUNTIF($A$2:A250,A250))</f>
        <v/>
      </c>
    </row>
    <row r="251">
      <c r="A251" s="7" t="n"/>
      <c r="B251" s="7" t="n"/>
      <c r="C251" s="7" t="n"/>
      <c r="D251" s="8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9">
        <f>IF(A251="","",A251&amp;"|"&amp;COUNTIF($A$2:A251,A251))</f>
        <v/>
      </c>
    </row>
    <row r="252">
      <c r="A252" s="7" t="n"/>
      <c r="B252" s="7" t="n"/>
      <c r="C252" s="7" t="n"/>
      <c r="D252" s="8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9">
        <f>IF(A252="","",A252&amp;"|"&amp;COUNTIF($A$2:A252,A252))</f>
        <v/>
      </c>
    </row>
    <row r="253">
      <c r="A253" s="7" t="n"/>
      <c r="B253" s="7" t="n"/>
      <c r="C253" s="7" t="n"/>
      <c r="D253" s="8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9">
        <f>IF(A253="","",A253&amp;"|"&amp;COUNTIF($A$2:A253,A253))</f>
        <v/>
      </c>
    </row>
    <row r="254">
      <c r="A254" s="7" t="n"/>
      <c r="B254" s="7" t="n"/>
      <c r="C254" s="7" t="n"/>
      <c r="D254" s="8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9">
        <f>IF(A254="","",A254&amp;"|"&amp;COUNTIF($A$2:A254,A254))</f>
        <v/>
      </c>
    </row>
    <row r="255">
      <c r="A255" s="7" t="n"/>
      <c r="B255" s="7" t="n"/>
      <c r="C255" s="7" t="n"/>
      <c r="D255" s="8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9">
        <f>IF(A255="","",A255&amp;"|"&amp;COUNTIF($A$2:A255,A255))</f>
        <v/>
      </c>
    </row>
    <row r="256">
      <c r="A256" s="7" t="n"/>
      <c r="B256" s="7" t="n"/>
      <c r="C256" s="7" t="n"/>
      <c r="D256" s="8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9">
        <f>IF(A256="","",A256&amp;"|"&amp;COUNTIF($A$2:A256,A256))</f>
        <v/>
      </c>
    </row>
    <row r="257">
      <c r="A257" s="7" t="n"/>
      <c r="B257" s="7" t="n"/>
      <c r="C257" s="7" t="n"/>
      <c r="D257" s="8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9">
        <f>IF(A257="","",A257&amp;"|"&amp;COUNTIF($A$2:A257,A257))</f>
        <v/>
      </c>
    </row>
    <row r="258">
      <c r="A258" s="7" t="n"/>
      <c r="B258" s="7" t="n"/>
      <c r="C258" s="7" t="n"/>
      <c r="D258" s="8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9">
        <f>IF(A258="","",A258&amp;"|"&amp;COUNTIF($A$2:A258,A258))</f>
        <v/>
      </c>
    </row>
    <row r="259">
      <c r="A259" s="7" t="n"/>
      <c r="B259" s="7" t="n"/>
      <c r="C259" s="7" t="n"/>
      <c r="D259" s="8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9">
        <f>IF(A259="","",A259&amp;"|"&amp;COUNTIF($A$2:A259,A259))</f>
        <v/>
      </c>
    </row>
    <row r="260">
      <c r="A260" s="7" t="n"/>
      <c r="B260" s="7" t="n"/>
      <c r="C260" s="7" t="n"/>
      <c r="D260" s="8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9">
        <f>IF(A260="","",A260&amp;"|"&amp;COUNTIF($A$2:A260,A260))</f>
        <v/>
      </c>
    </row>
    <row r="261">
      <c r="A261" s="7" t="n"/>
      <c r="B261" s="7" t="n"/>
      <c r="C261" s="7" t="n"/>
      <c r="D261" s="8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9">
        <f>IF(A261="","",A261&amp;"|"&amp;COUNTIF($A$2:A261,A261))</f>
        <v/>
      </c>
    </row>
    <row r="262">
      <c r="A262" s="7" t="n"/>
      <c r="B262" s="7" t="n"/>
      <c r="C262" s="7" t="n"/>
      <c r="D262" s="8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9">
        <f>IF(A262="","",A262&amp;"|"&amp;COUNTIF($A$2:A262,A262))</f>
        <v/>
      </c>
    </row>
    <row r="263">
      <c r="A263" s="7" t="n"/>
      <c r="B263" s="7" t="n"/>
      <c r="C263" s="7" t="n"/>
      <c r="D263" s="8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9">
        <f>IF(A263="","",A263&amp;"|"&amp;COUNTIF($A$2:A263,A263))</f>
        <v/>
      </c>
    </row>
    <row r="264">
      <c r="A264" s="7" t="n"/>
      <c r="B264" s="7" t="n"/>
      <c r="C264" s="7" t="n"/>
      <c r="D264" s="8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9">
        <f>IF(A264="","",A264&amp;"|"&amp;COUNTIF($A$2:A264,A264))</f>
        <v/>
      </c>
    </row>
    <row r="265">
      <c r="A265" s="7" t="n"/>
      <c r="B265" s="7" t="n"/>
      <c r="C265" s="7" t="n"/>
      <c r="D265" s="8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9">
        <f>IF(A265="","",A265&amp;"|"&amp;COUNTIF($A$2:A265,A265))</f>
        <v/>
      </c>
    </row>
    <row r="266">
      <c r="A266" s="7" t="n"/>
      <c r="B266" s="7" t="n"/>
      <c r="C266" s="7" t="n"/>
      <c r="D266" s="8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9">
        <f>IF(A266="","",A266&amp;"|"&amp;COUNTIF($A$2:A266,A266))</f>
        <v/>
      </c>
    </row>
    <row r="267">
      <c r="A267" s="7" t="n"/>
      <c r="B267" s="7" t="n"/>
      <c r="C267" s="7" t="n"/>
      <c r="D267" s="8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9">
        <f>IF(A267="","",A267&amp;"|"&amp;COUNTIF($A$2:A267,A267))</f>
        <v/>
      </c>
    </row>
    <row r="268">
      <c r="A268" s="7" t="n"/>
      <c r="B268" s="7" t="n"/>
      <c r="C268" s="7" t="n"/>
      <c r="D268" s="8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9">
        <f>IF(A268="","",A268&amp;"|"&amp;COUNTIF($A$2:A268,A268))</f>
        <v/>
      </c>
    </row>
    <row r="269">
      <c r="A269" s="7" t="n"/>
      <c r="B269" s="7" t="n"/>
      <c r="C269" s="7" t="n"/>
      <c r="D269" s="8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9">
        <f>IF(A269="","",A269&amp;"|"&amp;COUNTIF($A$2:A269,A269))</f>
        <v/>
      </c>
    </row>
    <row r="270">
      <c r="A270" s="7" t="n"/>
      <c r="B270" s="7" t="n"/>
      <c r="C270" s="7" t="n"/>
      <c r="D270" s="8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9">
        <f>IF(A270="","",A270&amp;"|"&amp;COUNTIF($A$2:A270,A270))</f>
        <v/>
      </c>
    </row>
    <row r="271">
      <c r="A271" s="7" t="n"/>
      <c r="B271" s="7" t="n"/>
      <c r="C271" s="7" t="n"/>
      <c r="D271" s="8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9">
        <f>IF(A271="","",A271&amp;"|"&amp;COUNTIF($A$2:A271,A271))</f>
        <v/>
      </c>
    </row>
    <row r="272">
      <c r="A272" s="7" t="n"/>
      <c r="B272" s="7" t="n"/>
      <c r="C272" s="7" t="n"/>
      <c r="D272" s="8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9">
        <f>IF(A272="","",A272&amp;"|"&amp;COUNTIF($A$2:A272,A272))</f>
        <v/>
      </c>
    </row>
    <row r="273">
      <c r="A273" s="7" t="n"/>
      <c r="B273" s="7" t="n"/>
      <c r="C273" s="7" t="n"/>
      <c r="D273" s="8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9">
        <f>IF(A273="","",A273&amp;"|"&amp;COUNTIF($A$2:A273,A273))</f>
        <v/>
      </c>
    </row>
    <row r="274">
      <c r="A274" s="7" t="n"/>
      <c r="B274" s="7" t="n"/>
      <c r="C274" s="7" t="n"/>
      <c r="D274" s="8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9">
        <f>IF(A274="","",A274&amp;"|"&amp;COUNTIF($A$2:A274,A274))</f>
        <v/>
      </c>
    </row>
    <row r="275">
      <c r="A275" s="7" t="n"/>
      <c r="B275" s="7" t="n"/>
      <c r="C275" s="7" t="n"/>
      <c r="D275" s="8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9">
        <f>IF(A275="","",A275&amp;"|"&amp;COUNTIF($A$2:A275,A275))</f>
        <v/>
      </c>
    </row>
    <row r="276">
      <c r="A276" s="7" t="n"/>
      <c r="B276" s="7" t="n"/>
      <c r="C276" s="7" t="n"/>
      <c r="D276" s="8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9">
        <f>IF(A276="","",A276&amp;"|"&amp;COUNTIF($A$2:A276,A276))</f>
        <v/>
      </c>
    </row>
    <row r="277">
      <c r="A277" s="7" t="n"/>
      <c r="B277" s="7" t="n"/>
      <c r="C277" s="7" t="n"/>
      <c r="D277" s="8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9">
        <f>IF(A277="","",A277&amp;"|"&amp;COUNTIF($A$2:A277,A277))</f>
        <v/>
      </c>
    </row>
    <row r="278">
      <c r="A278" s="7" t="n"/>
      <c r="B278" s="7" t="n"/>
      <c r="C278" s="7" t="n"/>
      <c r="D278" s="8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9">
        <f>IF(A278="","",A278&amp;"|"&amp;COUNTIF($A$2:A278,A278))</f>
        <v/>
      </c>
    </row>
    <row r="279">
      <c r="A279" s="7" t="n"/>
      <c r="B279" s="7" t="n"/>
      <c r="C279" s="7" t="n"/>
      <c r="D279" s="8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9">
        <f>IF(A279="","",A279&amp;"|"&amp;COUNTIF($A$2:A279,A279))</f>
        <v/>
      </c>
    </row>
    <row r="280">
      <c r="A280" s="7" t="n"/>
      <c r="B280" s="7" t="n"/>
      <c r="C280" s="7" t="n"/>
      <c r="D280" s="8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9">
        <f>IF(A280="","",A280&amp;"|"&amp;COUNTIF($A$2:A280,A280))</f>
        <v/>
      </c>
    </row>
    <row r="281">
      <c r="A281" s="7" t="n"/>
      <c r="B281" s="7" t="n"/>
      <c r="C281" s="7" t="n"/>
      <c r="D281" s="8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9">
        <f>IF(A281="","",A281&amp;"|"&amp;COUNTIF($A$2:A281,A281))</f>
        <v/>
      </c>
    </row>
    <row r="282">
      <c r="A282" s="7" t="n"/>
      <c r="B282" s="7" t="n"/>
      <c r="C282" s="7" t="n"/>
      <c r="D282" s="8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9">
        <f>IF(A282="","",A282&amp;"|"&amp;COUNTIF($A$2:A282,A282))</f>
        <v/>
      </c>
    </row>
    <row r="283">
      <c r="A283" s="7" t="n"/>
      <c r="B283" s="7" t="n"/>
      <c r="C283" s="7" t="n"/>
      <c r="D283" s="8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9">
        <f>IF(A283="","",A283&amp;"|"&amp;COUNTIF($A$2:A283,A283))</f>
        <v/>
      </c>
    </row>
    <row r="284">
      <c r="A284" s="7" t="n"/>
      <c r="B284" s="7" t="n"/>
      <c r="C284" s="7" t="n"/>
      <c r="D284" s="8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9">
        <f>IF(A284="","",A284&amp;"|"&amp;COUNTIF($A$2:A284,A284))</f>
        <v/>
      </c>
    </row>
    <row r="285">
      <c r="A285" s="7" t="n"/>
      <c r="B285" s="7" t="n"/>
      <c r="C285" s="7" t="n"/>
      <c r="D285" s="8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9">
        <f>IF(A285="","",A285&amp;"|"&amp;COUNTIF($A$2:A285,A285))</f>
        <v/>
      </c>
    </row>
    <row r="286">
      <c r="A286" s="7" t="n"/>
      <c r="B286" s="7" t="n"/>
      <c r="C286" s="7" t="n"/>
      <c r="D286" s="8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9">
        <f>IF(A286="","",A286&amp;"|"&amp;COUNTIF($A$2:A286,A286))</f>
        <v/>
      </c>
    </row>
    <row r="287">
      <c r="A287" s="7" t="n"/>
      <c r="B287" s="7" t="n"/>
      <c r="C287" s="7" t="n"/>
      <c r="D287" s="8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9">
        <f>IF(A287="","",A287&amp;"|"&amp;COUNTIF($A$2:A287,A287))</f>
        <v/>
      </c>
    </row>
    <row r="288">
      <c r="A288" s="7" t="n"/>
      <c r="B288" s="7" t="n"/>
      <c r="C288" s="7" t="n"/>
      <c r="D288" s="8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9">
        <f>IF(A288="","",A288&amp;"|"&amp;COUNTIF($A$2:A288,A288))</f>
        <v/>
      </c>
    </row>
    <row r="289">
      <c r="A289" s="7" t="n"/>
      <c r="B289" s="7" t="n"/>
      <c r="C289" s="7" t="n"/>
      <c r="D289" s="8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9">
        <f>IF(A289="","",A289&amp;"|"&amp;COUNTIF($A$2:A289,A289))</f>
        <v/>
      </c>
    </row>
    <row r="290">
      <c r="A290" s="7" t="n"/>
      <c r="B290" s="7" t="n"/>
      <c r="C290" s="7" t="n"/>
      <c r="D290" s="8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9">
        <f>IF(A290="","",A290&amp;"|"&amp;COUNTIF($A$2:A290,A290))</f>
        <v/>
      </c>
    </row>
    <row r="291">
      <c r="A291" s="7" t="n"/>
      <c r="B291" s="7" t="n"/>
      <c r="C291" s="7" t="n"/>
      <c r="D291" s="8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9">
        <f>IF(A291="","",A291&amp;"|"&amp;COUNTIF($A$2:A291,A291))</f>
        <v/>
      </c>
    </row>
    <row r="292">
      <c r="A292" s="7" t="n"/>
      <c r="B292" s="7" t="n"/>
      <c r="C292" s="7" t="n"/>
      <c r="D292" s="8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9">
        <f>IF(A292="","",A292&amp;"|"&amp;COUNTIF($A$2:A292,A292))</f>
        <v/>
      </c>
    </row>
    <row r="293">
      <c r="A293" s="7" t="n"/>
      <c r="B293" s="7" t="n"/>
      <c r="C293" s="7" t="n"/>
      <c r="D293" s="8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9">
        <f>IF(A293="","",A293&amp;"|"&amp;COUNTIF($A$2:A293,A293))</f>
        <v/>
      </c>
    </row>
    <row r="294">
      <c r="A294" s="7" t="n"/>
      <c r="B294" s="7" t="n"/>
      <c r="C294" s="7" t="n"/>
      <c r="D294" s="8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9">
        <f>IF(A294="","",A294&amp;"|"&amp;COUNTIF($A$2:A294,A294))</f>
        <v/>
      </c>
    </row>
    <row r="295">
      <c r="A295" s="7" t="n"/>
      <c r="B295" s="7" t="n"/>
      <c r="C295" s="7" t="n"/>
      <c r="D295" s="8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9">
        <f>IF(A295="","",A295&amp;"|"&amp;COUNTIF($A$2:A295,A295))</f>
        <v/>
      </c>
    </row>
    <row r="296">
      <c r="A296" s="7" t="n"/>
      <c r="B296" s="7" t="n"/>
      <c r="C296" s="7" t="n"/>
      <c r="D296" s="8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9">
        <f>IF(A296="","",A296&amp;"|"&amp;COUNTIF($A$2:A296,A296))</f>
        <v/>
      </c>
    </row>
    <row r="297">
      <c r="A297" s="7" t="n"/>
      <c r="B297" s="7" t="n"/>
      <c r="C297" s="7" t="n"/>
      <c r="D297" s="8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9">
        <f>IF(A297="","",A297&amp;"|"&amp;COUNTIF($A$2:A297,A297))</f>
        <v/>
      </c>
    </row>
    <row r="298">
      <c r="A298" s="7" t="n"/>
      <c r="B298" s="7" t="n"/>
      <c r="C298" s="7" t="n"/>
      <c r="D298" s="8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9">
        <f>IF(A298="","",A298&amp;"|"&amp;COUNTIF($A$2:A298,A298))</f>
        <v/>
      </c>
    </row>
    <row r="299">
      <c r="A299" s="7" t="n"/>
      <c r="B299" s="7" t="n"/>
      <c r="C299" s="7" t="n"/>
      <c r="D299" s="8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9">
        <f>IF(A299="","",A299&amp;"|"&amp;COUNTIF($A$2:A299,A299))</f>
        <v/>
      </c>
    </row>
    <row r="300">
      <c r="A300" s="7" t="n"/>
      <c r="B300" s="7" t="n"/>
      <c r="C300" s="7" t="n"/>
      <c r="D300" s="8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9">
        <f>IF(A300="","",A300&amp;"|"&amp;COUNTIF($A$2:A300,A300))</f>
        <v/>
      </c>
    </row>
    <row r="301">
      <c r="A301" s="7" t="n"/>
      <c r="B301" s="7" t="n"/>
      <c r="C301" s="7" t="n"/>
      <c r="D301" s="8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9">
        <f>IF(A301="","",A301&amp;"|"&amp;COUNTIF($A$2:A301,A301))</f>
        <v/>
      </c>
    </row>
    <row r="302">
      <c r="A302" s="7" t="n"/>
      <c r="B302" s="7" t="n"/>
      <c r="C302" s="7" t="n"/>
      <c r="D302" s="8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9">
        <f>IF(A302="","",A302&amp;"|"&amp;COUNTIF($A$2:A302,A302))</f>
        <v/>
      </c>
    </row>
    <row r="303">
      <c r="A303" s="7" t="n"/>
      <c r="B303" s="7" t="n"/>
      <c r="C303" s="7" t="n"/>
      <c r="D303" s="8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9">
        <f>IF(A303="","",A303&amp;"|"&amp;COUNTIF($A$2:A303,A303))</f>
        <v/>
      </c>
    </row>
    <row r="304">
      <c r="A304" s="7" t="n"/>
      <c r="B304" s="7" t="n"/>
      <c r="C304" s="7" t="n"/>
      <c r="D304" s="8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9">
        <f>IF(A304="","",A304&amp;"|"&amp;COUNTIF($A$2:A304,A304))</f>
        <v/>
      </c>
    </row>
    <row r="305">
      <c r="A305" s="7" t="n"/>
      <c r="B305" s="7" t="n"/>
      <c r="C305" s="7" t="n"/>
      <c r="D305" s="8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9">
        <f>IF(A305="","",A305&amp;"|"&amp;COUNTIF($A$2:A305,A305))</f>
        <v/>
      </c>
    </row>
    <row r="306">
      <c r="A306" s="7" t="n"/>
      <c r="B306" s="7" t="n"/>
      <c r="C306" s="7" t="n"/>
      <c r="D306" s="8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9">
        <f>IF(A306="","",A306&amp;"|"&amp;COUNTIF($A$2:A306,A306))</f>
        <v/>
      </c>
    </row>
    <row r="307">
      <c r="A307" s="7" t="n"/>
      <c r="B307" s="7" t="n"/>
      <c r="C307" s="7" t="n"/>
      <c r="D307" s="8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9">
        <f>IF(A307="","",A307&amp;"|"&amp;COUNTIF($A$2:A307,A307))</f>
        <v/>
      </c>
    </row>
    <row r="308">
      <c r="A308" s="7" t="n"/>
      <c r="B308" s="7" t="n"/>
      <c r="C308" s="7" t="n"/>
      <c r="D308" s="8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9">
        <f>IF(A308="","",A308&amp;"|"&amp;COUNTIF($A$2:A308,A308))</f>
        <v/>
      </c>
    </row>
    <row r="309">
      <c r="A309" s="7" t="n"/>
      <c r="B309" s="7" t="n"/>
      <c r="C309" s="7" t="n"/>
      <c r="D309" s="8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9">
        <f>IF(A309="","",A309&amp;"|"&amp;COUNTIF($A$2:A309,A309))</f>
        <v/>
      </c>
    </row>
    <row r="310">
      <c r="A310" s="7" t="n"/>
      <c r="B310" s="7" t="n"/>
      <c r="C310" s="7" t="n"/>
      <c r="D310" s="8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9">
        <f>IF(A310="","",A310&amp;"|"&amp;COUNTIF($A$2:A310,A310))</f>
        <v/>
      </c>
    </row>
    <row r="311">
      <c r="A311" s="7" t="n"/>
      <c r="B311" s="7" t="n"/>
      <c r="C311" s="7" t="n"/>
      <c r="D311" s="8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9">
        <f>IF(A311="","",A311&amp;"|"&amp;COUNTIF($A$2:A311,A311))</f>
        <v/>
      </c>
    </row>
    <row r="312">
      <c r="A312" s="7" t="n"/>
      <c r="B312" s="7" t="n"/>
      <c r="C312" s="7" t="n"/>
      <c r="D312" s="8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9">
        <f>IF(A312="","",A312&amp;"|"&amp;COUNTIF($A$2:A312,A312))</f>
        <v/>
      </c>
    </row>
    <row r="313">
      <c r="A313" s="7" t="n"/>
      <c r="B313" s="7" t="n"/>
      <c r="C313" s="7" t="n"/>
      <c r="D313" s="8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9">
        <f>IF(A313="","",A313&amp;"|"&amp;COUNTIF($A$2:A313,A313))</f>
        <v/>
      </c>
    </row>
    <row r="314">
      <c r="A314" s="7" t="n"/>
      <c r="B314" s="7" t="n"/>
      <c r="C314" s="7" t="n"/>
      <c r="D314" s="8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9">
        <f>IF(A314="","",A314&amp;"|"&amp;COUNTIF($A$2:A314,A314))</f>
        <v/>
      </c>
    </row>
    <row r="315">
      <c r="A315" s="7" t="n"/>
      <c r="B315" s="7" t="n"/>
      <c r="C315" s="7" t="n"/>
      <c r="D315" s="8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9">
        <f>IF(A315="","",A315&amp;"|"&amp;COUNTIF($A$2:A315,A315))</f>
        <v/>
      </c>
    </row>
    <row r="316">
      <c r="A316" s="7" t="n"/>
      <c r="B316" s="7" t="n"/>
      <c r="C316" s="7" t="n"/>
      <c r="D316" s="8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9">
        <f>IF(A316="","",A316&amp;"|"&amp;COUNTIF($A$2:A316,A316))</f>
        <v/>
      </c>
    </row>
    <row r="317">
      <c r="A317" s="7" t="n"/>
      <c r="B317" s="7" t="n"/>
      <c r="C317" s="7" t="n"/>
      <c r="D317" s="8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9">
        <f>IF(A317="","",A317&amp;"|"&amp;COUNTIF($A$2:A317,A317))</f>
        <v/>
      </c>
    </row>
    <row r="318">
      <c r="A318" s="7" t="n"/>
      <c r="B318" s="7" t="n"/>
      <c r="C318" s="7" t="n"/>
      <c r="D318" s="8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9">
        <f>IF(A318="","",A318&amp;"|"&amp;COUNTIF($A$2:A318,A318))</f>
        <v/>
      </c>
    </row>
    <row r="319">
      <c r="A319" s="7" t="n"/>
      <c r="B319" s="7" t="n"/>
      <c r="C319" s="7" t="n"/>
      <c r="D319" s="8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9">
        <f>IF(A319="","",A319&amp;"|"&amp;COUNTIF($A$2:A319,A319))</f>
        <v/>
      </c>
    </row>
    <row r="320">
      <c r="A320" s="7" t="n"/>
      <c r="B320" s="7" t="n"/>
      <c r="C320" s="7" t="n"/>
      <c r="D320" s="8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9">
        <f>IF(A320="","",A320&amp;"|"&amp;COUNTIF($A$2:A320,A320))</f>
        <v/>
      </c>
    </row>
    <row r="321">
      <c r="A321" s="7" t="n"/>
      <c r="B321" s="7" t="n"/>
      <c r="C321" s="7" t="n"/>
      <c r="D321" s="8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9">
        <f>IF(A321="","",A321&amp;"|"&amp;COUNTIF($A$2:A321,A321))</f>
        <v/>
      </c>
    </row>
    <row r="322">
      <c r="A322" s="7" t="n"/>
      <c r="B322" s="7" t="n"/>
      <c r="C322" s="7" t="n"/>
      <c r="D322" s="8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9">
        <f>IF(A322="","",A322&amp;"|"&amp;COUNTIF($A$2:A322,A322))</f>
        <v/>
      </c>
    </row>
    <row r="323">
      <c r="A323" s="7" t="n"/>
      <c r="B323" s="7" t="n"/>
      <c r="C323" s="7" t="n"/>
      <c r="D323" s="8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9">
        <f>IF(A323="","",A323&amp;"|"&amp;COUNTIF($A$2:A323,A323))</f>
        <v/>
      </c>
    </row>
    <row r="324">
      <c r="A324" s="7" t="n"/>
      <c r="B324" s="7" t="n"/>
      <c r="C324" s="7" t="n"/>
      <c r="D324" s="8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9">
        <f>IF(A324="","",A324&amp;"|"&amp;COUNTIF($A$2:A324,A324))</f>
        <v/>
      </c>
    </row>
    <row r="325">
      <c r="A325" s="7" t="n"/>
      <c r="B325" s="7" t="n"/>
      <c r="C325" s="7" t="n"/>
      <c r="D325" s="8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9">
        <f>IF(A325="","",A325&amp;"|"&amp;COUNTIF($A$2:A325,A325))</f>
        <v/>
      </c>
    </row>
    <row r="326">
      <c r="A326" s="7" t="n"/>
      <c r="B326" s="7" t="n"/>
      <c r="C326" s="7" t="n"/>
      <c r="D326" s="8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9">
        <f>IF(A326="","",A326&amp;"|"&amp;COUNTIF($A$2:A326,A326))</f>
        <v/>
      </c>
    </row>
    <row r="327">
      <c r="A327" s="7" t="n"/>
      <c r="B327" s="7" t="n"/>
      <c r="C327" s="7" t="n"/>
      <c r="D327" s="8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9">
        <f>IF(A327="","",A327&amp;"|"&amp;COUNTIF($A$2:A327,A327))</f>
        <v/>
      </c>
    </row>
    <row r="328">
      <c r="A328" s="7" t="n"/>
      <c r="B328" s="7" t="n"/>
      <c r="C328" s="7" t="n"/>
      <c r="D328" s="8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9">
        <f>IF(A328="","",A328&amp;"|"&amp;COUNTIF($A$2:A328,A328))</f>
        <v/>
      </c>
    </row>
    <row r="329">
      <c r="A329" s="7" t="n"/>
      <c r="B329" s="7" t="n"/>
      <c r="C329" s="7" t="n"/>
      <c r="D329" s="8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9">
        <f>IF(A329="","",A329&amp;"|"&amp;COUNTIF($A$2:A329,A329))</f>
        <v/>
      </c>
    </row>
    <row r="330">
      <c r="A330" s="7" t="n"/>
      <c r="B330" s="7" t="n"/>
      <c r="C330" s="7" t="n"/>
      <c r="D330" s="8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9">
        <f>IF(A330="","",A330&amp;"|"&amp;COUNTIF($A$2:A330,A330))</f>
        <v/>
      </c>
    </row>
    <row r="331">
      <c r="A331" s="7" t="n"/>
      <c r="B331" s="7" t="n"/>
      <c r="C331" s="7" t="n"/>
      <c r="D331" s="8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9">
        <f>IF(A331="","",A331&amp;"|"&amp;COUNTIF($A$2:A331,A331))</f>
        <v/>
      </c>
    </row>
    <row r="332">
      <c r="A332" s="7" t="n"/>
      <c r="B332" s="7" t="n"/>
      <c r="C332" s="7" t="n"/>
      <c r="D332" s="8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9">
        <f>IF(A332="","",A332&amp;"|"&amp;COUNTIF($A$2:A332,A332))</f>
        <v/>
      </c>
    </row>
    <row r="333">
      <c r="A333" s="7" t="n"/>
      <c r="B333" s="7" t="n"/>
      <c r="C333" s="7" t="n"/>
      <c r="D333" s="8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9">
        <f>IF(A333="","",A333&amp;"|"&amp;COUNTIF($A$2:A333,A333))</f>
        <v/>
      </c>
    </row>
    <row r="334">
      <c r="A334" s="7" t="n"/>
      <c r="B334" s="7" t="n"/>
      <c r="C334" s="7" t="n"/>
      <c r="D334" s="8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9">
        <f>IF(A334="","",A334&amp;"|"&amp;COUNTIF($A$2:A334,A334))</f>
        <v/>
      </c>
    </row>
    <row r="335">
      <c r="A335" s="7" t="n"/>
      <c r="B335" s="7" t="n"/>
      <c r="C335" s="7" t="n"/>
      <c r="D335" s="8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9">
        <f>IF(A335="","",A335&amp;"|"&amp;COUNTIF($A$2:A335,A335))</f>
        <v/>
      </c>
    </row>
    <row r="336">
      <c r="A336" s="7" t="n"/>
      <c r="B336" s="7" t="n"/>
      <c r="C336" s="7" t="n"/>
      <c r="D336" s="8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9">
        <f>IF(A336="","",A336&amp;"|"&amp;COUNTIF($A$2:A336,A336))</f>
        <v/>
      </c>
    </row>
    <row r="337">
      <c r="A337" s="7" t="n"/>
      <c r="B337" s="7" t="n"/>
      <c r="C337" s="7" t="n"/>
      <c r="D337" s="8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9">
        <f>IF(A337="","",A337&amp;"|"&amp;COUNTIF($A$2:A337,A337))</f>
        <v/>
      </c>
    </row>
    <row r="338">
      <c r="A338" s="7" t="n"/>
      <c r="B338" s="7" t="n"/>
      <c r="C338" s="7" t="n"/>
      <c r="D338" s="8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9">
        <f>IF(A338="","",A338&amp;"|"&amp;COUNTIF($A$2:A338,A338))</f>
        <v/>
      </c>
    </row>
    <row r="339">
      <c r="A339" s="7" t="n"/>
      <c r="B339" s="7" t="n"/>
      <c r="C339" s="7" t="n"/>
      <c r="D339" s="8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9">
        <f>IF(A339="","",A339&amp;"|"&amp;COUNTIF($A$2:A339,A339))</f>
        <v/>
      </c>
    </row>
    <row r="340">
      <c r="A340" s="7" t="n"/>
      <c r="B340" s="7" t="n"/>
      <c r="C340" s="7" t="n"/>
      <c r="D340" s="8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9">
        <f>IF(A340="","",A340&amp;"|"&amp;COUNTIF($A$2:A340,A340))</f>
        <v/>
      </c>
    </row>
    <row r="341">
      <c r="A341" s="7" t="n"/>
      <c r="B341" s="7" t="n"/>
      <c r="C341" s="7" t="n"/>
      <c r="D341" s="8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9">
        <f>IF(A341="","",A341&amp;"|"&amp;COUNTIF($A$2:A341,A341))</f>
        <v/>
      </c>
    </row>
    <row r="342">
      <c r="A342" s="7" t="n"/>
      <c r="B342" s="7" t="n"/>
      <c r="C342" s="7" t="n"/>
      <c r="D342" s="8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9">
        <f>IF(A342="","",A342&amp;"|"&amp;COUNTIF($A$2:A342,A342))</f>
        <v/>
      </c>
    </row>
    <row r="343">
      <c r="A343" s="7" t="n"/>
      <c r="B343" s="7" t="n"/>
      <c r="C343" s="7" t="n"/>
      <c r="D343" s="8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9">
        <f>IF(A343="","",A343&amp;"|"&amp;COUNTIF($A$2:A343,A343))</f>
        <v/>
      </c>
    </row>
    <row r="344">
      <c r="A344" s="7" t="n"/>
      <c r="B344" s="7" t="n"/>
      <c r="C344" s="7" t="n"/>
      <c r="D344" s="8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9">
        <f>IF(A344="","",A344&amp;"|"&amp;COUNTIF($A$2:A344,A344))</f>
        <v/>
      </c>
    </row>
    <row r="345">
      <c r="A345" s="7" t="n"/>
      <c r="B345" s="7" t="n"/>
      <c r="C345" s="7" t="n"/>
      <c r="D345" s="8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9">
        <f>IF(A345="","",A345&amp;"|"&amp;COUNTIF($A$2:A345,A345))</f>
        <v/>
      </c>
    </row>
    <row r="346">
      <c r="A346" s="7" t="n"/>
      <c r="B346" s="7" t="n"/>
      <c r="C346" s="7" t="n"/>
      <c r="D346" s="8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9">
        <f>IF(A346="","",A346&amp;"|"&amp;COUNTIF($A$2:A346,A346))</f>
        <v/>
      </c>
    </row>
    <row r="347">
      <c r="A347" s="7" t="n"/>
      <c r="B347" s="7" t="n"/>
      <c r="C347" s="7" t="n"/>
      <c r="D347" s="8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9">
        <f>IF(A347="","",A347&amp;"|"&amp;COUNTIF($A$2:A347,A347))</f>
        <v/>
      </c>
    </row>
    <row r="348">
      <c r="A348" s="7" t="n"/>
      <c r="B348" s="7" t="n"/>
      <c r="C348" s="7" t="n"/>
      <c r="D348" s="8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9">
        <f>IF(A348="","",A348&amp;"|"&amp;COUNTIF($A$2:A348,A348))</f>
        <v/>
      </c>
    </row>
    <row r="349">
      <c r="A349" s="7" t="n"/>
      <c r="B349" s="7" t="n"/>
      <c r="C349" s="7" t="n"/>
      <c r="D349" s="8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9">
        <f>IF(A349="","",A349&amp;"|"&amp;COUNTIF($A$2:A349,A349))</f>
        <v/>
      </c>
    </row>
    <row r="350">
      <c r="A350" s="7" t="n"/>
      <c r="B350" s="7" t="n"/>
      <c r="C350" s="7" t="n"/>
      <c r="D350" s="8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9">
        <f>IF(A350="","",A350&amp;"|"&amp;COUNTIF($A$2:A350,A350))</f>
        <v/>
      </c>
    </row>
    <row r="351">
      <c r="A351" s="7" t="n"/>
      <c r="B351" s="7" t="n"/>
      <c r="C351" s="7" t="n"/>
      <c r="D351" s="8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9">
        <f>IF(A351="","",A351&amp;"|"&amp;COUNTIF($A$2:A351,A351))</f>
        <v/>
      </c>
    </row>
    <row r="352">
      <c r="A352" s="7" t="n"/>
      <c r="B352" s="7" t="n"/>
      <c r="C352" s="7" t="n"/>
      <c r="D352" s="8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9">
        <f>IF(A352="","",A352&amp;"|"&amp;COUNTIF($A$2:A352,A352))</f>
        <v/>
      </c>
    </row>
    <row r="353">
      <c r="A353" s="7" t="n"/>
      <c r="B353" s="7" t="n"/>
      <c r="C353" s="7" t="n"/>
      <c r="D353" s="8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9">
        <f>IF(A353="","",A353&amp;"|"&amp;COUNTIF($A$2:A353,A353))</f>
        <v/>
      </c>
    </row>
    <row r="354">
      <c r="A354" s="7" t="n"/>
      <c r="B354" s="7" t="n"/>
      <c r="C354" s="7" t="n"/>
      <c r="D354" s="8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9">
        <f>IF(A354="","",A354&amp;"|"&amp;COUNTIF($A$2:A354,A354))</f>
        <v/>
      </c>
    </row>
    <row r="355">
      <c r="A355" s="7" t="n"/>
      <c r="B355" s="7" t="n"/>
      <c r="C355" s="7" t="n"/>
      <c r="D355" s="8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9">
        <f>IF(A355="","",A355&amp;"|"&amp;COUNTIF($A$2:A355,A355))</f>
        <v/>
      </c>
    </row>
    <row r="356">
      <c r="A356" s="7" t="n"/>
      <c r="B356" s="7" t="n"/>
      <c r="C356" s="7" t="n"/>
      <c r="D356" s="8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9">
        <f>IF(A356="","",A356&amp;"|"&amp;COUNTIF($A$2:A356,A356))</f>
        <v/>
      </c>
    </row>
    <row r="357">
      <c r="A357" s="7" t="n"/>
      <c r="B357" s="7" t="n"/>
      <c r="C357" s="7" t="n"/>
      <c r="D357" s="8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9">
        <f>IF(A357="","",A357&amp;"|"&amp;COUNTIF($A$2:A357,A357))</f>
        <v/>
      </c>
    </row>
    <row r="358">
      <c r="A358" s="7" t="n"/>
      <c r="B358" s="7" t="n"/>
      <c r="C358" s="7" t="n"/>
      <c r="D358" s="8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9">
        <f>IF(A358="","",A358&amp;"|"&amp;COUNTIF($A$2:A358,A358))</f>
        <v/>
      </c>
    </row>
    <row r="359">
      <c r="A359" s="7" t="n"/>
      <c r="B359" s="7" t="n"/>
      <c r="C359" s="7" t="n"/>
      <c r="D359" s="8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9">
        <f>IF(A359="","",A359&amp;"|"&amp;COUNTIF($A$2:A359,A359))</f>
        <v/>
      </c>
    </row>
    <row r="360">
      <c r="A360" s="7" t="n"/>
      <c r="B360" s="7" t="n"/>
      <c r="C360" s="7" t="n"/>
      <c r="D360" s="8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9">
        <f>IF(A360="","",A360&amp;"|"&amp;COUNTIF($A$2:A360,A360))</f>
        <v/>
      </c>
    </row>
    <row r="361">
      <c r="A361" s="7" t="n"/>
      <c r="B361" s="7" t="n"/>
      <c r="C361" s="7" t="n"/>
      <c r="D361" s="8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9">
        <f>IF(A361="","",A361&amp;"|"&amp;COUNTIF($A$2:A361,A361))</f>
        <v/>
      </c>
    </row>
    <row r="362">
      <c r="A362" s="7" t="n"/>
      <c r="B362" s="7" t="n"/>
      <c r="C362" s="7" t="n"/>
      <c r="D362" s="8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9">
        <f>IF(A362="","",A362&amp;"|"&amp;COUNTIF($A$2:A362,A362))</f>
        <v/>
      </c>
    </row>
    <row r="363">
      <c r="A363" s="7" t="n"/>
      <c r="B363" s="7" t="n"/>
      <c r="C363" s="7" t="n"/>
      <c r="D363" s="8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9">
        <f>IF(A363="","",A363&amp;"|"&amp;COUNTIF($A$2:A363,A363))</f>
        <v/>
      </c>
    </row>
    <row r="364">
      <c r="A364" s="7" t="n"/>
      <c r="B364" s="7" t="n"/>
      <c r="C364" s="7" t="n"/>
      <c r="D364" s="8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9">
        <f>IF(A364="","",A364&amp;"|"&amp;COUNTIF($A$2:A364,A364))</f>
        <v/>
      </c>
    </row>
    <row r="365">
      <c r="A365" s="7" t="n"/>
      <c r="B365" s="7" t="n"/>
      <c r="C365" s="7" t="n"/>
      <c r="D365" s="8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9">
        <f>IF(A365="","",A365&amp;"|"&amp;COUNTIF($A$2:A365,A365))</f>
        <v/>
      </c>
    </row>
    <row r="366">
      <c r="A366" s="7" t="n"/>
      <c r="B366" s="7" t="n"/>
      <c r="C366" s="7" t="n"/>
      <c r="D366" s="8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9">
        <f>IF(A366="","",A366&amp;"|"&amp;COUNTIF($A$2:A366,A366))</f>
        <v/>
      </c>
    </row>
    <row r="367">
      <c r="A367" s="7" t="n"/>
      <c r="B367" s="7" t="n"/>
      <c r="C367" s="7" t="n"/>
      <c r="D367" s="8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9">
        <f>IF(A367="","",A367&amp;"|"&amp;COUNTIF($A$2:A367,A367))</f>
        <v/>
      </c>
    </row>
    <row r="368">
      <c r="A368" s="7" t="n"/>
      <c r="B368" s="7" t="n"/>
      <c r="C368" s="7" t="n"/>
      <c r="D368" s="8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9">
        <f>IF(A368="","",A368&amp;"|"&amp;COUNTIF($A$2:A368,A368))</f>
        <v/>
      </c>
    </row>
    <row r="369">
      <c r="A369" s="7" t="n"/>
      <c r="B369" s="7" t="n"/>
      <c r="C369" s="7" t="n"/>
      <c r="D369" s="8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9">
        <f>IF(A369="","",A369&amp;"|"&amp;COUNTIF($A$2:A369,A369))</f>
        <v/>
      </c>
    </row>
    <row r="370">
      <c r="A370" s="7" t="n"/>
      <c r="B370" s="7" t="n"/>
      <c r="C370" s="7" t="n"/>
      <c r="D370" s="8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9">
        <f>IF(A370="","",A370&amp;"|"&amp;COUNTIF($A$2:A370,A370))</f>
        <v/>
      </c>
    </row>
    <row r="371">
      <c r="A371" s="7" t="n"/>
      <c r="B371" s="7" t="n"/>
      <c r="C371" s="7" t="n"/>
      <c r="D371" s="8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9">
        <f>IF(A371="","",A371&amp;"|"&amp;COUNTIF($A$2:A371,A371))</f>
        <v/>
      </c>
    </row>
    <row r="372">
      <c r="A372" s="7" t="n"/>
      <c r="B372" s="7" t="n"/>
      <c r="C372" s="7" t="n"/>
      <c r="D372" s="8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9">
        <f>IF(A372="","",A372&amp;"|"&amp;COUNTIF($A$2:A372,A372))</f>
        <v/>
      </c>
    </row>
    <row r="373">
      <c r="A373" s="7" t="n"/>
      <c r="B373" s="7" t="n"/>
      <c r="C373" s="7" t="n"/>
      <c r="D373" s="8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9">
        <f>IF(A373="","",A373&amp;"|"&amp;COUNTIF($A$2:A373,A373))</f>
        <v/>
      </c>
    </row>
    <row r="374">
      <c r="A374" s="7" t="n"/>
      <c r="B374" s="7" t="n"/>
      <c r="C374" s="7" t="n"/>
      <c r="D374" s="8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9">
        <f>IF(A374="","",A374&amp;"|"&amp;COUNTIF($A$2:A374,A374))</f>
        <v/>
      </c>
    </row>
    <row r="375">
      <c r="A375" s="7" t="n"/>
      <c r="B375" s="7" t="n"/>
      <c r="C375" s="7" t="n"/>
      <c r="D375" s="8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9">
        <f>IF(A375="","",A375&amp;"|"&amp;COUNTIF($A$2:A375,A375))</f>
        <v/>
      </c>
    </row>
    <row r="376">
      <c r="A376" s="7" t="n"/>
      <c r="B376" s="7" t="n"/>
      <c r="C376" s="7" t="n"/>
      <c r="D376" s="8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9">
        <f>IF(A376="","",A376&amp;"|"&amp;COUNTIF($A$2:A376,A376))</f>
        <v/>
      </c>
    </row>
    <row r="377">
      <c r="A377" s="7" t="n"/>
      <c r="B377" s="7" t="n"/>
      <c r="C377" s="7" t="n"/>
      <c r="D377" s="8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9">
        <f>IF(A377="","",A377&amp;"|"&amp;COUNTIF($A$2:A377,A377))</f>
        <v/>
      </c>
    </row>
    <row r="378">
      <c r="A378" s="7" t="n"/>
      <c r="B378" s="7" t="n"/>
      <c r="C378" s="7" t="n"/>
      <c r="D378" s="8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9">
        <f>IF(A378="","",A378&amp;"|"&amp;COUNTIF($A$2:A378,A378))</f>
        <v/>
      </c>
    </row>
    <row r="379">
      <c r="A379" s="7" t="n"/>
      <c r="B379" s="7" t="n"/>
      <c r="C379" s="7" t="n"/>
      <c r="D379" s="8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9">
        <f>IF(A379="","",A379&amp;"|"&amp;COUNTIF($A$2:A379,A379))</f>
        <v/>
      </c>
    </row>
    <row r="380">
      <c r="A380" s="7" t="n"/>
      <c r="B380" s="7" t="n"/>
      <c r="C380" s="7" t="n"/>
      <c r="D380" s="8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9">
        <f>IF(A380="","",A380&amp;"|"&amp;COUNTIF($A$2:A380,A380))</f>
        <v/>
      </c>
    </row>
    <row r="381">
      <c r="A381" s="7" t="n"/>
      <c r="B381" s="7" t="n"/>
      <c r="C381" s="7" t="n"/>
      <c r="D381" s="8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9">
        <f>IF(A381="","",A381&amp;"|"&amp;COUNTIF($A$2:A381,A381))</f>
        <v/>
      </c>
    </row>
    <row r="382">
      <c r="A382" s="7" t="n"/>
      <c r="B382" s="7" t="n"/>
      <c r="C382" s="7" t="n"/>
      <c r="D382" s="8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9">
        <f>IF(A382="","",A382&amp;"|"&amp;COUNTIF($A$2:A382,A382))</f>
        <v/>
      </c>
    </row>
    <row r="383">
      <c r="A383" s="7" t="n"/>
      <c r="B383" s="7" t="n"/>
      <c r="C383" s="7" t="n"/>
      <c r="D383" s="8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9">
        <f>IF(A383="","",A383&amp;"|"&amp;COUNTIF($A$2:A383,A383))</f>
        <v/>
      </c>
    </row>
    <row r="384">
      <c r="A384" s="7" t="n"/>
      <c r="B384" s="7" t="n"/>
      <c r="C384" s="7" t="n"/>
      <c r="D384" s="8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9">
        <f>IF(A384="","",A384&amp;"|"&amp;COUNTIF($A$2:A384,A384))</f>
        <v/>
      </c>
    </row>
    <row r="385">
      <c r="A385" s="7" t="n"/>
      <c r="B385" s="7" t="n"/>
      <c r="C385" s="7" t="n"/>
      <c r="D385" s="8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9">
        <f>IF(A385="","",A385&amp;"|"&amp;COUNTIF($A$2:A385,A385))</f>
        <v/>
      </c>
    </row>
    <row r="386">
      <c r="A386" s="7" t="n"/>
      <c r="B386" s="7" t="n"/>
      <c r="C386" s="7" t="n"/>
      <c r="D386" s="8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9">
        <f>IF(A386="","",A386&amp;"|"&amp;COUNTIF($A$2:A386,A386))</f>
        <v/>
      </c>
    </row>
    <row r="387">
      <c r="A387" s="7" t="n"/>
      <c r="B387" s="7" t="n"/>
      <c r="C387" s="7" t="n"/>
      <c r="D387" s="8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9">
        <f>IF(A387="","",A387&amp;"|"&amp;COUNTIF($A$2:A387,A387))</f>
        <v/>
      </c>
    </row>
    <row r="388">
      <c r="A388" s="7" t="n"/>
      <c r="B388" s="7" t="n"/>
      <c r="C388" s="7" t="n"/>
      <c r="D388" s="8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9">
        <f>IF(A388="","",A388&amp;"|"&amp;COUNTIF($A$2:A388,A388))</f>
        <v/>
      </c>
    </row>
    <row r="389">
      <c r="A389" s="7" t="n"/>
      <c r="B389" s="7" t="n"/>
      <c r="C389" s="7" t="n"/>
      <c r="D389" s="8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9">
        <f>IF(A389="","",A389&amp;"|"&amp;COUNTIF($A$2:A389,A389))</f>
        <v/>
      </c>
    </row>
    <row r="390">
      <c r="A390" s="7" t="n"/>
      <c r="B390" s="7" t="n"/>
      <c r="C390" s="7" t="n"/>
      <c r="D390" s="8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9">
        <f>IF(A390="","",A390&amp;"|"&amp;COUNTIF($A$2:A390,A390))</f>
        <v/>
      </c>
    </row>
    <row r="391">
      <c r="A391" s="7" t="n"/>
      <c r="B391" s="7" t="n"/>
      <c r="C391" s="7" t="n"/>
      <c r="D391" s="8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9">
        <f>IF(A391="","",A391&amp;"|"&amp;COUNTIF($A$2:A391,A391))</f>
        <v/>
      </c>
    </row>
    <row r="392">
      <c r="A392" s="7" t="n"/>
      <c r="B392" s="7" t="n"/>
      <c r="C392" s="7" t="n"/>
      <c r="D392" s="8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9">
        <f>IF(A392="","",A392&amp;"|"&amp;COUNTIF($A$2:A392,A392))</f>
        <v/>
      </c>
    </row>
    <row r="393">
      <c r="A393" s="7" t="n"/>
      <c r="B393" s="7" t="n"/>
      <c r="C393" s="7" t="n"/>
      <c r="D393" s="8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9">
        <f>IF(A393="","",A393&amp;"|"&amp;COUNTIF($A$2:A393,A393))</f>
        <v/>
      </c>
    </row>
    <row r="394">
      <c r="A394" s="7" t="n"/>
      <c r="B394" s="7" t="n"/>
      <c r="C394" s="7" t="n"/>
      <c r="D394" s="8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9">
        <f>IF(A394="","",A394&amp;"|"&amp;COUNTIF($A$2:A394,A394))</f>
        <v/>
      </c>
    </row>
    <row r="395">
      <c r="A395" s="7" t="n"/>
      <c r="B395" s="7" t="n"/>
      <c r="C395" s="7" t="n"/>
      <c r="D395" s="8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9">
        <f>IF(A395="","",A395&amp;"|"&amp;COUNTIF($A$2:A395,A395))</f>
        <v/>
      </c>
    </row>
    <row r="396">
      <c r="A396" s="7" t="n"/>
      <c r="B396" s="7" t="n"/>
      <c r="C396" s="7" t="n"/>
      <c r="D396" s="8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9">
        <f>IF(A396="","",A396&amp;"|"&amp;COUNTIF($A$2:A396,A396))</f>
        <v/>
      </c>
    </row>
    <row r="397">
      <c r="A397" s="7" t="n"/>
      <c r="B397" s="7" t="n"/>
      <c r="C397" s="7" t="n"/>
      <c r="D397" s="8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9">
        <f>IF(A397="","",A397&amp;"|"&amp;COUNTIF($A$2:A397,A397))</f>
        <v/>
      </c>
    </row>
    <row r="398">
      <c r="A398" s="7" t="n"/>
      <c r="B398" s="7" t="n"/>
      <c r="C398" s="7" t="n"/>
      <c r="D398" s="8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9">
        <f>IF(A398="","",A398&amp;"|"&amp;COUNTIF($A$2:A398,A398))</f>
        <v/>
      </c>
    </row>
    <row r="399">
      <c r="A399" s="7" t="n"/>
      <c r="B399" s="7" t="n"/>
      <c r="C399" s="7" t="n"/>
      <c r="D399" s="8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9">
        <f>IF(A399="","",A399&amp;"|"&amp;COUNTIF($A$2:A399,A399))</f>
        <v/>
      </c>
    </row>
    <row r="400">
      <c r="A400" s="7" t="n"/>
      <c r="B400" s="7" t="n"/>
      <c r="C400" s="7" t="n"/>
      <c r="D400" s="8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9">
        <f>IF(A400="","",A400&amp;"|"&amp;COUNTIF($A$2:A400,A400))</f>
        <v/>
      </c>
    </row>
    <row r="401">
      <c r="A401" s="7" t="n"/>
      <c r="B401" s="7" t="n"/>
      <c r="C401" s="7" t="n"/>
      <c r="D401" s="8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9">
        <f>IF(A401="","",A401&amp;"|"&amp;COUNTIF($A$2:A401,A401))</f>
        <v/>
      </c>
    </row>
    <row r="402">
      <c r="A402" s="7" t="n"/>
      <c r="B402" s="7" t="n"/>
      <c r="C402" s="7" t="n"/>
      <c r="D402" s="8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9">
        <f>IF(A402="","",A402&amp;"|"&amp;COUNTIF($A$2:A402,A402))</f>
        <v/>
      </c>
    </row>
    <row r="403">
      <c r="A403" s="7" t="n"/>
      <c r="B403" s="7" t="n"/>
      <c r="C403" s="7" t="n"/>
      <c r="D403" s="8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9">
        <f>IF(A403="","",A403&amp;"|"&amp;COUNTIF($A$2:A403,A403))</f>
        <v/>
      </c>
    </row>
    <row r="404">
      <c r="A404" s="7" t="n"/>
      <c r="B404" s="7" t="n"/>
      <c r="C404" s="7" t="n"/>
      <c r="D404" s="8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9">
        <f>IF(A404="","",A404&amp;"|"&amp;COUNTIF($A$2:A404,A404))</f>
        <v/>
      </c>
    </row>
    <row r="405">
      <c r="A405" s="7" t="n"/>
      <c r="B405" s="7" t="n"/>
      <c r="C405" s="7" t="n"/>
      <c r="D405" s="8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9">
        <f>IF(A405="","",A405&amp;"|"&amp;COUNTIF($A$2:A405,A405))</f>
        <v/>
      </c>
    </row>
    <row r="406">
      <c r="A406" s="7" t="n"/>
      <c r="B406" s="7" t="n"/>
      <c r="C406" s="7" t="n"/>
      <c r="D406" s="8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9">
        <f>IF(A406="","",A406&amp;"|"&amp;COUNTIF($A$2:A406,A406))</f>
        <v/>
      </c>
    </row>
    <row r="407">
      <c r="A407" s="7" t="n"/>
      <c r="B407" s="7" t="n"/>
      <c r="C407" s="7" t="n"/>
      <c r="D407" s="8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9">
        <f>IF(A407="","",A407&amp;"|"&amp;COUNTIF($A$2:A407,A407))</f>
        <v/>
      </c>
    </row>
    <row r="408">
      <c r="A408" s="7" t="n"/>
      <c r="B408" s="7" t="n"/>
      <c r="C408" s="7" t="n"/>
      <c r="D408" s="8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9">
        <f>IF(A408="","",A408&amp;"|"&amp;COUNTIF($A$2:A408,A408))</f>
        <v/>
      </c>
    </row>
    <row r="409">
      <c r="A409" s="7" t="n"/>
      <c r="B409" s="7" t="n"/>
      <c r="C409" s="7" t="n"/>
      <c r="D409" s="8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9">
        <f>IF(A409="","",A409&amp;"|"&amp;COUNTIF($A$2:A409,A409))</f>
        <v/>
      </c>
    </row>
    <row r="410">
      <c r="A410" s="7" t="n"/>
      <c r="B410" s="7" t="n"/>
      <c r="C410" s="7" t="n"/>
      <c r="D410" s="8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9">
        <f>IF(A410="","",A410&amp;"|"&amp;COUNTIF($A$2:A410,A410))</f>
        <v/>
      </c>
    </row>
    <row r="411">
      <c r="A411" s="7" t="n"/>
      <c r="B411" s="7" t="n"/>
      <c r="C411" s="7" t="n"/>
      <c r="D411" s="8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9">
        <f>IF(A411="","",A411&amp;"|"&amp;COUNTIF($A$2:A411,A411))</f>
        <v/>
      </c>
    </row>
    <row r="412">
      <c r="A412" s="7" t="n"/>
      <c r="B412" s="7" t="n"/>
      <c r="C412" s="7" t="n"/>
      <c r="D412" s="8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9">
        <f>IF(A412="","",A412&amp;"|"&amp;COUNTIF($A$2:A412,A412))</f>
        <v/>
      </c>
    </row>
    <row r="413">
      <c r="A413" s="7" t="n"/>
      <c r="B413" s="7" t="n"/>
      <c r="C413" s="7" t="n"/>
      <c r="D413" s="8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9">
        <f>IF(A413="","",A413&amp;"|"&amp;COUNTIF($A$2:A413,A413))</f>
        <v/>
      </c>
    </row>
    <row r="414">
      <c r="A414" s="7" t="n"/>
      <c r="B414" s="7" t="n"/>
      <c r="C414" s="7" t="n"/>
      <c r="D414" s="8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9">
        <f>IF(A414="","",A414&amp;"|"&amp;COUNTIF($A$2:A414,A414))</f>
        <v/>
      </c>
    </row>
    <row r="415">
      <c r="A415" s="7" t="n"/>
      <c r="B415" s="7" t="n"/>
      <c r="C415" s="7" t="n"/>
      <c r="D415" s="8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9">
        <f>IF(A415="","",A415&amp;"|"&amp;COUNTIF($A$2:A415,A415))</f>
        <v/>
      </c>
    </row>
    <row r="416">
      <c r="A416" s="7" t="n"/>
      <c r="B416" s="7" t="n"/>
      <c r="C416" s="7" t="n"/>
      <c r="D416" s="8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9">
        <f>IF(A416="","",A416&amp;"|"&amp;COUNTIF($A$2:A416,A416))</f>
        <v/>
      </c>
    </row>
    <row r="417">
      <c r="A417" s="7" t="n"/>
      <c r="B417" s="7" t="n"/>
      <c r="C417" s="7" t="n"/>
      <c r="D417" s="8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9">
        <f>IF(A417="","",A417&amp;"|"&amp;COUNTIF($A$2:A417,A417))</f>
        <v/>
      </c>
    </row>
    <row r="418">
      <c r="A418" s="7" t="n"/>
      <c r="B418" s="7" t="n"/>
      <c r="C418" s="7" t="n"/>
      <c r="D418" s="8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9">
        <f>IF(A418="","",A418&amp;"|"&amp;COUNTIF($A$2:A418,A418))</f>
        <v/>
      </c>
    </row>
    <row r="419">
      <c r="A419" s="7" t="n"/>
      <c r="B419" s="7" t="n"/>
      <c r="C419" s="7" t="n"/>
      <c r="D419" s="8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9">
        <f>IF(A419="","",A419&amp;"|"&amp;COUNTIF($A$2:A419,A419))</f>
        <v/>
      </c>
    </row>
    <row r="420">
      <c r="A420" s="7" t="n"/>
      <c r="B420" s="7" t="n"/>
      <c r="C420" s="7" t="n"/>
      <c r="D420" s="8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9">
        <f>IF(A420="","",A420&amp;"|"&amp;COUNTIF($A$2:A420,A420))</f>
        <v/>
      </c>
    </row>
    <row r="421">
      <c r="A421" s="7" t="n"/>
      <c r="B421" s="7" t="n"/>
      <c r="C421" s="7" t="n"/>
      <c r="D421" s="8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9">
        <f>IF(A421="","",A421&amp;"|"&amp;COUNTIF($A$2:A421,A421))</f>
        <v/>
      </c>
    </row>
    <row r="422">
      <c r="A422" s="7" t="n"/>
      <c r="B422" s="7" t="n"/>
      <c r="C422" s="7" t="n"/>
      <c r="D422" s="8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9">
        <f>IF(A422="","",A422&amp;"|"&amp;COUNTIF($A$2:A422,A422))</f>
        <v/>
      </c>
    </row>
    <row r="423">
      <c r="A423" s="7" t="n"/>
      <c r="B423" s="7" t="n"/>
      <c r="C423" s="7" t="n"/>
      <c r="D423" s="8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9">
        <f>IF(A423="","",A423&amp;"|"&amp;COUNTIF($A$2:A423,A423))</f>
        <v/>
      </c>
    </row>
    <row r="424">
      <c r="A424" s="7" t="n"/>
      <c r="B424" s="7" t="n"/>
      <c r="C424" s="7" t="n"/>
      <c r="D424" s="8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9">
        <f>IF(A424="","",A424&amp;"|"&amp;COUNTIF($A$2:A424,A424))</f>
        <v/>
      </c>
    </row>
    <row r="425">
      <c r="A425" s="7" t="n"/>
      <c r="B425" s="7" t="n"/>
      <c r="C425" s="7" t="n"/>
      <c r="D425" s="8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9">
        <f>IF(A425="","",A425&amp;"|"&amp;COUNTIF($A$2:A425,A425))</f>
        <v/>
      </c>
    </row>
    <row r="426">
      <c r="A426" s="7" t="n"/>
      <c r="B426" s="7" t="n"/>
      <c r="C426" s="7" t="n"/>
      <c r="D426" s="8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9">
        <f>IF(A426="","",A426&amp;"|"&amp;COUNTIF($A$2:A426,A426))</f>
        <v/>
      </c>
    </row>
    <row r="427">
      <c r="A427" s="7" t="n"/>
      <c r="B427" s="7" t="n"/>
      <c r="C427" s="7" t="n"/>
      <c r="D427" s="8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9">
        <f>IF(A427="","",A427&amp;"|"&amp;COUNTIF($A$2:A427,A427))</f>
        <v/>
      </c>
    </row>
    <row r="428">
      <c r="A428" s="7" t="n"/>
      <c r="B428" s="7" t="n"/>
      <c r="C428" s="7" t="n"/>
      <c r="D428" s="8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9">
        <f>IF(A428="","",A428&amp;"|"&amp;COUNTIF($A$2:A428,A428))</f>
        <v/>
      </c>
    </row>
    <row r="429">
      <c r="A429" s="7" t="n"/>
      <c r="B429" s="7" t="n"/>
      <c r="C429" s="7" t="n"/>
      <c r="D429" s="8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9">
        <f>IF(A429="","",A429&amp;"|"&amp;COUNTIF($A$2:A429,A429))</f>
        <v/>
      </c>
    </row>
    <row r="430">
      <c r="A430" s="7" t="n"/>
      <c r="B430" s="7" t="n"/>
      <c r="C430" s="7" t="n"/>
      <c r="D430" s="8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9">
        <f>IF(A430="","",A430&amp;"|"&amp;COUNTIF($A$2:A430,A430))</f>
        <v/>
      </c>
    </row>
    <row r="431">
      <c r="A431" s="7" t="n"/>
      <c r="B431" s="7" t="n"/>
      <c r="C431" s="7" t="n"/>
      <c r="D431" s="8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9">
        <f>IF(A431="","",A431&amp;"|"&amp;COUNTIF($A$2:A431,A431))</f>
        <v/>
      </c>
    </row>
    <row r="432">
      <c r="A432" s="7" t="n"/>
      <c r="B432" s="7" t="n"/>
      <c r="C432" s="7" t="n"/>
      <c r="D432" s="8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9">
        <f>IF(A432="","",A432&amp;"|"&amp;COUNTIF($A$2:A432,A432))</f>
        <v/>
      </c>
    </row>
    <row r="433">
      <c r="A433" s="7" t="n"/>
      <c r="B433" s="7" t="n"/>
      <c r="C433" s="7" t="n"/>
      <c r="D433" s="8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9">
        <f>IF(A433="","",A433&amp;"|"&amp;COUNTIF($A$2:A433,A433))</f>
        <v/>
      </c>
    </row>
    <row r="434">
      <c r="A434" s="7" t="n"/>
      <c r="B434" s="7" t="n"/>
      <c r="C434" s="7" t="n"/>
      <c r="D434" s="8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9">
        <f>IF(A434="","",A434&amp;"|"&amp;COUNTIF($A$2:A434,A434))</f>
        <v/>
      </c>
    </row>
    <row r="435">
      <c r="A435" s="7" t="n"/>
      <c r="B435" s="7" t="n"/>
      <c r="C435" s="7" t="n"/>
      <c r="D435" s="8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9">
        <f>IF(A435="","",A435&amp;"|"&amp;COUNTIF($A$2:A435,A435))</f>
        <v/>
      </c>
    </row>
    <row r="436">
      <c r="A436" s="7" t="n"/>
      <c r="B436" s="7" t="n"/>
      <c r="C436" s="7" t="n"/>
      <c r="D436" s="8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9">
        <f>IF(A436="","",A436&amp;"|"&amp;COUNTIF($A$2:A436,A436))</f>
        <v/>
      </c>
    </row>
    <row r="437">
      <c r="A437" s="7" t="n"/>
      <c r="B437" s="7" t="n"/>
      <c r="C437" s="7" t="n"/>
      <c r="D437" s="8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9">
        <f>IF(A437="","",A437&amp;"|"&amp;COUNTIF($A$2:A437,A437))</f>
        <v/>
      </c>
    </row>
    <row r="438">
      <c r="A438" s="7" t="n"/>
      <c r="B438" s="7" t="n"/>
      <c r="C438" s="7" t="n"/>
      <c r="D438" s="8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9">
        <f>IF(A438="","",A438&amp;"|"&amp;COUNTIF($A$2:A438,A438))</f>
        <v/>
      </c>
    </row>
    <row r="439">
      <c r="A439" s="7" t="n"/>
      <c r="B439" s="7" t="n"/>
      <c r="C439" s="7" t="n"/>
      <c r="D439" s="8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9">
        <f>IF(A439="","",A439&amp;"|"&amp;COUNTIF($A$2:A439,A439))</f>
        <v/>
      </c>
    </row>
    <row r="440">
      <c r="A440" s="7" t="n"/>
      <c r="B440" s="7" t="n"/>
      <c r="C440" s="7" t="n"/>
      <c r="D440" s="8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9">
        <f>IF(A440="","",A440&amp;"|"&amp;COUNTIF($A$2:A440,A440))</f>
        <v/>
      </c>
    </row>
    <row r="441">
      <c r="A441" s="7" t="n"/>
      <c r="B441" s="7" t="n"/>
      <c r="C441" s="7" t="n"/>
      <c r="D441" s="8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9">
        <f>IF(A441="","",A441&amp;"|"&amp;COUNTIF($A$2:A441,A441))</f>
        <v/>
      </c>
    </row>
    <row r="442">
      <c r="A442" s="7" t="n"/>
      <c r="B442" s="7" t="n"/>
      <c r="C442" s="7" t="n"/>
      <c r="D442" s="8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9">
        <f>IF(A442="","",A442&amp;"|"&amp;COUNTIF($A$2:A442,A442))</f>
        <v/>
      </c>
    </row>
    <row r="443">
      <c r="A443" s="7" t="n"/>
      <c r="B443" s="7" t="n"/>
      <c r="C443" s="7" t="n"/>
      <c r="D443" s="8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9">
        <f>IF(A443="","",A443&amp;"|"&amp;COUNTIF($A$2:A443,A443))</f>
        <v/>
      </c>
    </row>
    <row r="444">
      <c r="A444" s="7" t="n"/>
      <c r="B444" s="7" t="n"/>
      <c r="C444" s="7" t="n"/>
      <c r="D444" s="8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9">
        <f>IF(A444="","",A444&amp;"|"&amp;COUNTIF($A$2:A444,A444))</f>
        <v/>
      </c>
    </row>
    <row r="445">
      <c r="A445" s="7" t="n"/>
      <c r="B445" s="7" t="n"/>
      <c r="C445" s="7" t="n"/>
      <c r="D445" s="8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9">
        <f>IF(A445="","",A445&amp;"|"&amp;COUNTIF($A$2:A445,A445))</f>
        <v/>
      </c>
    </row>
    <row r="446">
      <c r="A446" s="7" t="n"/>
      <c r="B446" s="7" t="n"/>
      <c r="C446" s="7" t="n"/>
      <c r="D446" s="8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9">
        <f>IF(A446="","",A446&amp;"|"&amp;COUNTIF($A$2:A446,A446))</f>
        <v/>
      </c>
    </row>
    <row r="447">
      <c r="A447" s="7" t="n"/>
      <c r="B447" s="7" t="n"/>
      <c r="C447" s="7" t="n"/>
      <c r="D447" s="8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9">
        <f>IF(A447="","",A447&amp;"|"&amp;COUNTIF($A$2:A447,A447))</f>
        <v/>
      </c>
    </row>
    <row r="448">
      <c r="A448" s="7" t="n"/>
      <c r="B448" s="7" t="n"/>
      <c r="C448" s="7" t="n"/>
      <c r="D448" s="8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9">
        <f>IF(A448="","",A448&amp;"|"&amp;COUNTIF($A$2:A448,A448))</f>
        <v/>
      </c>
    </row>
    <row r="449">
      <c r="A449" s="7" t="n"/>
      <c r="B449" s="7" t="n"/>
      <c r="C449" s="7" t="n"/>
      <c r="D449" s="8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9">
        <f>IF(A449="","",A449&amp;"|"&amp;COUNTIF($A$2:A449,A449))</f>
        <v/>
      </c>
    </row>
    <row r="450">
      <c r="A450" s="7" t="n"/>
      <c r="B450" s="7" t="n"/>
      <c r="C450" s="7" t="n"/>
      <c r="D450" s="8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9">
        <f>IF(A450="","",A450&amp;"|"&amp;COUNTIF($A$2:A450,A450))</f>
        <v/>
      </c>
    </row>
    <row r="451">
      <c r="A451" s="7" t="n"/>
      <c r="B451" s="7" t="n"/>
      <c r="C451" s="7" t="n"/>
      <c r="D451" s="8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9">
        <f>IF(A451="","",A451&amp;"|"&amp;COUNTIF($A$2:A451,A451))</f>
        <v/>
      </c>
    </row>
    <row r="452">
      <c r="A452" s="7" t="n"/>
      <c r="B452" s="7" t="n"/>
      <c r="C452" s="7" t="n"/>
      <c r="D452" s="8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9">
        <f>IF(A452="","",A452&amp;"|"&amp;COUNTIF($A$2:A452,A452))</f>
        <v/>
      </c>
    </row>
    <row r="453">
      <c r="A453" s="7" t="n"/>
      <c r="B453" s="7" t="n"/>
      <c r="C453" s="7" t="n"/>
      <c r="D453" s="8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9">
        <f>IF(A453="","",A453&amp;"|"&amp;COUNTIF($A$2:A453,A453))</f>
        <v/>
      </c>
    </row>
    <row r="454">
      <c r="A454" s="7" t="n"/>
      <c r="B454" s="7" t="n"/>
      <c r="C454" s="7" t="n"/>
      <c r="D454" s="8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9">
        <f>IF(A454="","",A454&amp;"|"&amp;COUNTIF($A$2:A454,A454))</f>
        <v/>
      </c>
    </row>
    <row r="455">
      <c r="A455" s="7" t="n"/>
      <c r="B455" s="7" t="n"/>
      <c r="C455" s="7" t="n"/>
      <c r="D455" s="8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9">
        <f>IF(A455="","",A455&amp;"|"&amp;COUNTIF($A$2:A455,A455))</f>
        <v/>
      </c>
    </row>
    <row r="456">
      <c r="A456" s="7" t="n"/>
      <c r="B456" s="7" t="n"/>
      <c r="C456" s="7" t="n"/>
      <c r="D456" s="8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9">
        <f>IF(A456="","",A456&amp;"|"&amp;COUNTIF($A$2:A456,A456))</f>
        <v/>
      </c>
    </row>
    <row r="457">
      <c r="A457" s="7" t="n"/>
      <c r="B457" s="7" t="n"/>
      <c r="C457" s="7" t="n"/>
      <c r="D457" s="8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9">
        <f>IF(A457="","",A457&amp;"|"&amp;COUNTIF($A$2:A457,A457))</f>
        <v/>
      </c>
    </row>
    <row r="458">
      <c r="A458" s="7" t="n"/>
      <c r="B458" s="7" t="n"/>
      <c r="C458" s="7" t="n"/>
      <c r="D458" s="8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9">
        <f>IF(A458="","",A458&amp;"|"&amp;COUNTIF($A$2:A458,A458))</f>
        <v/>
      </c>
    </row>
    <row r="459">
      <c r="A459" s="7" t="n"/>
      <c r="B459" s="7" t="n"/>
      <c r="C459" s="7" t="n"/>
      <c r="D459" s="8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9">
        <f>IF(A459="","",A459&amp;"|"&amp;COUNTIF($A$2:A459,A459))</f>
        <v/>
      </c>
    </row>
    <row r="460">
      <c r="A460" s="7" t="n"/>
      <c r="B460" s="7" t="n"/>
      <c r="C460" s="7" t="n"/>
      <c r="D460" s="8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9">
        <f>IF(A460="","",A460&amp;"|"&amp;COUNTIF($A$2:A460,A460))</f>
        <v/>
      </c>
    </row>
    <row r="461">
      <c r="A461" s="7" t="n"/>
      <c r="B461" s="7" t="n"/>
      <c r="C461" s="7" t="n"/>
      <c r="D461" s="8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9">
        <f>IF(A461="","",A461&amp;"|"&amp;COUNTIF($A$2:A461,A461))</f>
        <v/>
      </c>
    </row>
    <row r="462">
      <c r="A462" s="7" t="n"/>
      <c r="B462" s="7" t="n"/>
      <c r="C462" s="7" t="n"/>
      <c r="D462" s="8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9">
        <f>IF(A462="","",A462&amp;"|"&amp;COUNTIF($A$2:A462,A462))</f>
        <v/>
      </c>
    </row>
    <row r="463">
      <c r="A463" s="7" t="n"/>
      <c r="B463" s="7" t="n"/>
      <c r="C463" s="7" t="n"/>
      <c r="D463" s="8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9">
        <f>IF(A463="","",A463&amp;"|"&amp;COUNTIF($A$2:A463,A463))</f>
        <v/>
      </c>
    </row>
    <row r="464">
      <c r="A464" s="7" t="n"/>
      <c r="B464" s="7" t="n"/>
      <c r="C464" s="7" t="n"/>
      <c r="D464" s="8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9">
        <f>IF(A464="","",A464&amp;"|"&amp;COUNTIF($A$2:A464,A464))</f>
        <v/>
      </c>
    </row>
    <row r="465">
      <c r="A465" s="7" t="n"/>
      <c r="B465" s="7" t="n"/>
      <c r="C465" s="7" t="n"/>
      <c r="D465" s="8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9">
        <f>IF(A465="","",A465&amp;"|"&amp;COUNTIF($A$2:A465,A465))</f>
        <v/>
      </c>
    </row>
    <row r="466">
      <c r="A466" s="7" t="n"/>
      <c r="B466" s="7" t="n"/>
      <c r="C466" s="7" t="n"/>
      <c r="D466" s="8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9">
        <f>IF(A466="","",A466&amp;"|"&amp;COUNTIF($A$2:A466,A466))</f>
        <v/>
      </c>
    </row>
    <row r="467">
      <c r="A467" s="7" t="n"/>
      <c r="B467" s="7" t="n"/>
      <c r="C467" s="7" t="n"/>
      <c r="D467" s="8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9">
        <f>IF(A467="","",A467&amp;"|"&amp;COUNTIF($A$2:A467,A467))</f>
        <v/>
      </c>
    </row>
    <row r="468">
      <c r="A468" s="7" t="n"/>
      <c r="B468" s="7" t="n"/>
      <c r="C468" s="7" t="n"/>
      <c r="D468" s="8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9">
        <f>IF(A468="","",A468&amp;"|"&amp;COUNTIF($A$2:A468,A468))</f>
        <v/>
      </c>
    </row>
    <row r="469">
      <c r="A469" s="7" t="n"/>
      <c r="B469" s="7" t="n"/>
      <c r="C469" s="7" t="n"/>
      <c r="D469" s="8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9">
        <f>IF(A469="","",A469&amp;"|"&amp;COUNTIF($A$2:A469,A469))</f>
        <v/>
      </c>
    </row>
    <row r="470">
      <c r="A470" s="7" t="n"/>
      <c r="B470" s="7" t="n"/>
      <c r="C470" s="7" t="n"/>
      <c r="D470" s="8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9">
        <f>IF(A470="","",A470&amp;"|"&amp;COUNTIF($A$2:A470,A470))</f>
        <v/>
      </c>
    </row>
    <row r="471">
      <c r="A471" s="7" t="n"/>
      <c r="B471" s="7" t="n"/>
      <c r="C471" s="7" t="n"/>
      <c r="D471" s="8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9">
        <f>IF(A471="","",A471&amp;"|"&amp;COUNTIF($A$2:A471,A471))</f>
        <v/>
      </c>
    </row>
    <row r="472">
      <c r="A472" s="7" t="n"/>
      <c r="B472" s="7" t="n"/>
      <c r="C472" s="7" t="n"/>
      <c r="D472" s="8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9">
        <f>IF(A472="","",A472&amp;"|"&amp;COUNTIF($A$2:A472,A472))</f>
        <v/>
      </c>
    </row>
    <row r="473">
      <c r="A473" s="7" t="n"/>
      <c r="B473" s="7" t="n"/>
      <c r="C473" s="7" t="n"/>
      <c r="D473" s="8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9">
        <f>IF(A473="","",A473&amp;"|"&amp;COUNTIF($A$2:A473,A473))</f>
        <v/>
      </c>
    </row>
    <row r="474">
      <c r="A474" s="7" t="n"/>
      <c r="B474" s="7" t="n"/>
      <c r="C474" s="7" t="n"/>
      <c r="D474" s="8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9">
        <f>IF(A474="","",A474&amp;"|"&amp;COUNTIF($A$2:A474,A474))</f>
        <v/>
      </c>
    </row>
    <row r="475">
      <c r="A475" s="7" t="n"/>
      <c r="B475" s="7" t="n"/>
      <c r="C475" s="7" t="n"/>
      <c r="D475" s="8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9">
        <f>IF(A475="","",A475&amp;"|"&amp;COUNTIF($A$2:A475,A475))</f>
        <v/>
      </c>
    </row>
    <row r="476">
      <c r="A476" s="7" t="n"/>
      <c r="B476" s="7" t="n"/>
      <c r="C476" s="7" t="n"/>
      <c r="D476" s="8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9">
        <f>IF(A476="","",A476&amp;"|"&amp;COUNTIF($A$2:A476,A476))</f>
        <v/>
      </c>
    </row>
    <row r="477">
      <c r="A477" s="7" t="n"/>
      <c r="B477" s="7" t="n"/>
      <c r="C477" s="7" t="n"/>
      <c r="D477" s="8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9">
        <f>IF(A477="","",A477&amp;"|"&amp;COUNTIF($A$2:A477,A477))</f>
        <v/>
      </c>
    </row>
    <row r="478">
      <c r="A478" s="7" t="n"/>
      <c r="B478" s="7" t="n"/>
      <c r="C478" s="7" t="n"/>
      <c r="D478" s="8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9">
        <f>IF(A478="","",A478&amp;"|"&amp;COUNTIF($A$2:A478,A478))</f>
        <v/>
      </c>
    </row>
    <row r="479">
      <c r="A479" s="7" t="n"/>
      <c r="B479" s="7" t="n"/>
      <c r="C479" s="7" t="n"/>
      <c r="D479" s="8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9">
        <f>IF(A479="","",A479&amp;"|"&amp;COUNTIF($A$2:A479,A479))</f>
        <v/>
      </c>
    </row>
    <row r="480">
      <c r="A480" s="7" t="n"/>
      <c r="B480" s="7" t="n"/>
      <c r="C480" s="7" t="n"/>
      <c r="D480" s="8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9">
        <f>IF(A480="","",A480&amp;"|"&amp;COUNTIF($A$2:A480,A480))</f>
        <v/>
      </c>
    </row>
    <row r="481">
      <c r="A481" s="7" t="n"/>
      <c r="B481" s="7" t="n"/>
      <c r="C481" s="7" t="n"/>
      <c r="D481" s="8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9">
        <f>IF(A481="","",A481&amp;"|"&amp;COUNTIF($A$2:A481,A481))</f>
        <v/>
      </c>
    </row>
    <row r="482">
      <c r="A482" s="7" t="n"/>
      <c r="B482" s="7" t="n"/>
      <c r="C482" s="7" t="n"/>
      <c r="D482" s="8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9">
        <f>IF(A482="","",A482&amp;"|"&amp;COUNTIF($A$2:A482,A482))</f>
        <v/>
      </c>
    </row>
    <row r="483">
      <c r="A483" s="7" t="n"/>
      <c r="B483" s="7" t="n"/>
      <c r="C483" s="7" t="n"/>
      <c r="D483" s="8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9">
        <f>IF(A483="","",A483&amp;"|"&amp;COUNTIF($A$2:A483,A483))</f>
        <v/>
      </c>
    </row>
    <row r="484">
      <c r="A484" s="7" t="n"/>
      <c r="B484" s="7" t="n"/>
      <c r="C484" s="7" t="n"/>
      <c r="D484" s="8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9">
        <f>IF(A484="","",A484&amp;"|"&amp;COUNTIF($A$2:A484,A484))</f>
        <v/>
      </c>
    </row>
    <row r="485">
      <c r="A485" s="7" t="n"/>
      <c r="B485" s="7" t="n"/>
      <c r="C485" s="7" t="n"/>
      <c r="D485" s="8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9">
        <f>IF(A485="","",A485&amp;"|"&amp;COUNTIF($A$2:A485,A485))</f>
        <v/>
      </c>
    </row>
    <row r="486">
      <c r="A486" s="7" t="n"/>
      <c r="B486" s="7" t="n"/>
      <c r="C486" s="7" t="n"/>
      <c r="D486" s="8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9">
        <f>IF(A486="","",A486&amp;"|"&amp;COUNTIF($A$2:A486,A486))</f>
        <v/>
      </c>
    </row>
    <row r="487">
      <c r="A487" s="7" t="n"/>
      <c r="B487" s="7" t="n"/>
      <c r="C487" s="7" t="n"/>
      <c r="D487" s="8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9">
        <f>IF(A487="","",A487&amp;"|"&amp;COUNTIF($A$2:A487,A487))</f>
        <v/>
      </c>
    </row>
    <row r="488">
      <c r="A488" s="7" t="n"/>
      <c r="B488" s="7" t="n"/>
      <c r="C488" s="7" t="n"/>
      <c r="D488" s="8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9">
        <f>IF(A488="","",A488&amp;"|"&amp;COUNTIF($A$2:A488,A488))</f>
        <v/>
      </c>
    </row>
    <row r="489">
      <c r="A489" s="7" t="n"/>
      <c r="B489" s="7" t="n"/>
      <c r="C489" s="7" t="n"/>
      <c r="D489" s="8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9">
        <f>IF(A489="","",A489&amp;"|"&amp;COUNTIF($A$2:A489,A489))</f>
        <v/>
      </c>
    </row>
    <row r="490">
      <c r="A490" s="7" t="n"/>
      <c r="B490" s="7" t="n"/>
      <c r="C490" s="7" t="n"/>
      <c r="D490" s="8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9">
        <f>IF(A490="","",A490&amp;"|"&amp;COUNTIF($A$2:A490,A490))</f>
        <v/>
      </c>
    </row>
    <row r="491">
      <c r="A491" s="7" t="n"/>
      <c r="B491" s="7" t="n"/>
      <c r="C491" s="7" t="n"/>
      <c r="D491" s="8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9">
        <f>IF(A491="","",A491&amp;"|"&amp;COUNTIF($A$2:A491,A491))</f>
        <v/>
      </c>
    </row>
    <row r="492">
      <c r="A492" s="7" t="n"/>
      <c r="B492" s="7" t="n"/>
      <c r="C492" s="7" t="n"/>
      <c r="D492" s="8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9">
        <f>IF(A492="","",A492&amp;"|"&amp;COUNTIF($A$2:A492,A492))</f>
        <v/>
      </c>
    </row>
    <row r="493">
      <c r="A493" s="7" t="n"/>
      <c r="B493" s="7" t="n"/>
      <c r="C493" s="7" t="n"/>
      <c r="D493" s="8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9">
        <f>IF(A493="","",A493&amp;"|"&amp;COUNTIF($A$2:A493,A493))</f>
        <v/>
      </c>
    </row>
    <row r="494">
      <c r="A494" s="7" t="n"/>
      <c r="B494" s="7" t="n"/>
      <c r="C494" s="7" t="n"/>
      <c r="D494" s="8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9">
        <f>IF(A494="","",A494&amp;"|"&amp;COUNTIF($A$2:A494,A494))</f>
        <v/>
      </c>
    </row>
    <row r="495">
      <c r="A495" s="7" t="n"/>
      <c r="B495" s="7" t="n"/>
      <c r="C495" s="7" t="n"/>
      <c r="D495" s="8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9">
        <f>IF(A495="","",A495&amp;"|"&amp;COUNTIF($A$2:A495,A495))</f>
        <v/>
      </c>
    </row>
    <row r="496">
      <c r="A496" s="7" t="n"/>
      <c r="B496" s="7" t="n"/>
      <c r="C496" s="7" t="n"/>
      <c r="D496" s="8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9">
        <f>IF(A496="","",A496&amp;"|"&amp;COUNTIF($A$2:A496,A496))</f>
        <v/>
      </c>
    </row>
    <row r="497">
      <c r="A497" s="7" t="n"/>
      <c r="B497" s="7" t="n"/>
      <c r="C497" s="7" t="n"/>
      <c r="D497" s="8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9">
        <f>IF(A497="","",A497&amp;"|"&amp;COUNTIF($A$2:A497,A497))</f>
        <v/>
      </c>
    </row>
    <row r="498">
      <c r="A498" s="7" t="n"/>
      <c r="B498" s="7" t="n"/>
      <c r="C498" s="7" t="n"/>
      <c r="D498" s="8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9">
        <f>IF(A498="","",A498&amp;"|"&amp;COUNTIF($A$2:A498,A498))</f>
        <v/>
      </c>
    </row>
    <row r="499">
      <c r="A499" s="7" t="n"/>
      <c r="B499" s="7" t="n"/>
      <c r="C499" s="7" t="n"/>
      <c r="D499" s="8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9">
        <f>IF(A499="","",A499&amp;"|"&amp;COUNTIF($A$2:A499,A499))</f>
        <v/>
      </c>
    </row>
    <row r="500">
      <c r="A500" s="7" t="n"/>
      <c r="B500" s="7" t="n"/>
      <c r="C500" s="7" t="n"/>
      <c r="D500" s="8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9">
        <f>IF(A500="","",A500&amp;"|"&amp;COUNTIF($A$2:A500,A500))</f>
        <v/>
      </c>
    </row>
    <row r="501">
      <c r="A501" s="7" t="n"/>
      <c r="B501" s="7" t="n"/>
      <c r="C501" s="7" t="n"/>
      <c r="D501" s="8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9">
        <f>IF(A501="","",A501&amp;"|"&amp;COUNTIF($A$2:A501,A501))</f>
        <v/>
      </c>
    </row>
    <row r="502">
      <c r="A502" s="7" t="n"/>
      <c r="B502" s="7" t="n"/>
      <c r="C502" s="7" t="n"/>
      <c r="D502" s="8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9">
        <f>IF(A502="","",A502&amp;"|"&amp;COUNTIF($A$2:A502,A502))</f>
        <v/>
      </c>
    </row>
    <row r="503">
      <c r="A503" s="7" t="n"/>
      <c r="B503" s="7" t="n"/>
      <c r="C503" s="7" t="n"/>
      <c r="D503" s="8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9">
        <f>IF(A503="","",A503&amp;"|"&amp;COUNTIF($A$2:A503,A503))</f>
        <v/>
      </c>
    </row>
    <row r="504">
      <c r="A504" s="7" t="n"/>
      <c r="B504" s="7" t="n"/>
      <c r="C504" s="7" t="n"/>
      <c r="D504" s="8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9">
        <f>IF(A504="","",A504&amp;"|"&amp;COUNTIF($A$2:A504,A504))</f>
        <v/>
      </c>
    </row>
    <row r="505">
      <c r="A505" s="7" t="n"/>
      <c r="B505" s="7" t="n"/>
      <c r="C505" s="7" t="n"/>
      <c r="D505" s="8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9">
        <f>IF(A505="","",A505&amp;"|"&amp;COUNTIF($A$2:A505,A505))</f>
        <v/>
      </c>
    </row>
    <row r="506">
      <c r="A506" s="7" t="n"/>
      <c r="B506" s="7" t="n"/>
      <c r="C506" s="7" t="n"/>
      <c r="D506" s="8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9">
        <f>IF(A506="","",A506&amp;"|"&amp;COUNTIF($A$2:A506,A506))</f>
        <v/>
      </c>
    </row>
    <row r="507">
      <c r="A507" s="7" t="n"/>
      <c r="B507" s="7" t="n"/>
      <c r="C507" s="7" t="n"/>
      <c r="D507" s="8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9">
        <f>IF(A507="","",A507&amp;"|"&amp;COUNTIF($A$2:A507,A507))</f>
        <v/>
      </c>
    </row>
    <row r="508">
      <c r="A508" s="7" t="n"/>
      <c r="B508" s="7" t="n"/>
      <c r="C508" s="7" t="n"/>
      <c r="D508" s="8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9">
        <f>IF(A508="","",A508&amp;"|"&amp;COUNTIF($A$2:A508,A508))</f>
        <v/>
      </c>
    </row>
    <row r="509">
      <c r="A509" s="7" t="n"/>
      <c r="B509" s="7" t="n"/>
      <c r="C509" s="7" t="n"/>
      <c r="D509" s="8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9">
        <f>IF(A509="","",A509&amp;"|"&amp;COUNTIF($A$2:A509,A509))</f>
        <v/>
      </c>
    </row>
    <row r="510">
      <c r="A510" s="7" t="n"/>
      <c r="B510" s="7" t="n"/>
      <c r="C510" s="7" t="n"/>
      <c r="D510" s="8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9">
        <f>IF(A510="","",A510&amp;"|"&amp;COUNTIF($A$2:A510,A510))</f>
        <v/>
      </c>
    </row>
    <row r="511">
      <c r="A511" s="7" t="n"/>
      <c r="B511" s="7" t="n"/>
      <c r="C511" s="7" t="n"/>
      <c r="D511" s="8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9">
        <f>IF(A511="","",A511&amp;"|"&amp;COUNTIF($A$2:A511,A511))</f>
        <v/>
      </c>
    </row>
    <row r="512">
      <c r="A512" s="7" t="n"/>
      <c r="B512" s="7" t="n"/>
      <c r="C512" s="7" t="n"/>
      <c r="D512" s="8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9">
        <f>IF(A512="","",A512&amp;"|"&amp;COUNTIF($A$2:A512,A512))</f>
        <v/>
      </c>
    </row>
    <row r="513">
      <c r="A513" s="7" t="n"/>
      <c r="B513" s="7" t="n"/>
      <c r="C513" s="7" t="n"/>
      <c r="D513" s="8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9">
        <f>IF(A513="","",A513&amp;"|"&amp;COUNTIF($A$2:A513,A513))</f>
        <v/>
      </c>
    </row>
    <row r="514">
      <c r="A514" s="7" t="n"/>
      <c r="B514" s="7" t="n"/>
      <c r="C514" s="7" t="n"/>
      <c r="D514" s="8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9">
        <f>IF(A514="","",A514&amp;"|"&amp;COUNTIF($A$2:A514,A514))</f>
        <v/>
      </c>
    </row>
    <row r="515">
      <c r="A515" s="7" t="n"/>
      <c r="B515" s="7" t="n"/>
      <c r="C515" s="7" t="n"/>
      <c r="D515" s="8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9">
        <f>IF(A515="","",A515&amp;"|"&amp;COUNTIF($A$2:A515,A515))</f>
        <v/>
      </c>
    </row>
    <row r="516">
      <c r="A516" s="7" t="n"/>
      <c r="B516" s="7" t="n"/>
      <c r="C516" s="7" t="n"/>
      <c r="D516" s="8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9">
        <f>IF(A516="","",A516&amp;"|"&amp;COUNTIF($A$2:A516,A516))</f>
        <v/>
      </c>
    </row>
    <row r="517">
      <c r="A517" s="7" t="n"/>
      <c r="B517" s="7" t="n"/>
      <c r="C517" s="7" t="n"/>
      <c r="D517" s="8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9">
        <f>IF(A517="","",A517&amp;"|"&amp;COUNTIF($A$2:A517,A517))</f>
        <v/>
      </c>
    </row>
    <row r="518">
      <c r="A518" s="7" t="n"/>
      <c r="B518" s="7" t="n"/>
      <c r="C518" s="7" t="n"/>
      <c r="D518" s="8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9">
        <f>IF(A518="","",A518&amp;"|"&amp;COUNTIF($A$2:A518,A518))</f>
        <v/>
      </c>
    </row>
    <row r="519">
      <c r="A519" s="7" t="n"/>
      <c r="B519" s="7" t="n"/>
      <c r="C519" s="7" t="n"/>
      <c r="D519" s="8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9">
        <f>IF(A519="","",A519&amp;"|"&amp;COUNTIF($A$2:A519,A519))</f>
        <v/>
      </c>
    </row>
    <row r="520">
      <c r="A520" s="7" t="n"/>
      <c r="B520" s="7" t="n"/>
      <c r="C520" s="7" t="n"/>
      <c r="D520" s="8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9">
        <f>IF(A520="","",A520&amp;"|"&amp;COUNTIF($A$2:A520,A520))</f>
        <v/>
      </c>
    </row>
    <row r="521">
      <c r="A521" s="7" t="n"/>
      <c r="B521" s="7" t="n"/>
      <c r="C521" s="7" t="n"/>
      <c r="D521" s="8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9">
        <f>IF(A521="","",A521&amp;"|"&amp;COUNTIF($A$2:A521,A521))</f>
        <v/>
      </c>
    </row>
    <row r="522">
      <c r="A522" s="7" t="n"/>
      <c r="B522" s="7" t="n"/>
      <c r="C522" s="7" t="n"/>
      <c r="D522" s="8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9">
        <f>IF(A522="","",A522&amp;"|"&amp;COUNTIF($A$2:A522,A522))</f>
        <v/>
      </c>
    </row>
    <row r="523">
      <c r="A523" s="7" t="n"/>
      <c r="B523" s="7" t="n"/>
      <c r="C523" s="7" t="n"/>
      <c r="D523" s="8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9">
        <f>IF(A523="","",A523&amp;"|"&amp;COUNTIF($A$2:A523,A523))</f>
        <v/>
      </c>
    </row>
    <row r="524">
      <c r="A524" s="7" t="n"/>
      <c r="B524" s="7" t="n"/>
      <c r="C524" s="7" t="n"/>
      <c r="D524" s="8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9">
        <f>IF(A524="","",A524&amp;"|"&amp;COUNTIF($A$2:A524,A524))</f>
        <v/>
      </c>
    </row>
    <row r="525">
      <c r="A525" s="7" t="n"/>
      <c r="B525" s="7" t="n"/>
      <c r="C525" s="7" t="n"/>
      <c r="D525" s="8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9">
        <f>IF(A525="","",A525&amp;"|"&amp;COUNTIF($A$2:A525,A525))</f>
        <v/>
      </c>
    </row>
    <row r="526">
      <c r="A526" s="7" t="n"/>
      <c r="B526" s="7" t="n"/>
      <c r="C526" s="7" t="n"/>
      <c r="D526" s="8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9">
        <f>IF(A526="","",A526&amp;"|"&amp;COUNTIF($A$2:A526,A526))</f>
        <v/>
      </c>
    </row>
    <row r="527">
      <c r="A527" s="7" t="n"/>
      <c r="B527" s="7" t="n"/>
      <c r="C527" s="7" t="n"/>
      <c r="D527" s="8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9">
        <f>IF(A527="","",A527&amp;"|"&amp;COUNTIF($A$2:A527,A527))</f>
        <v/>
      </c>
    </row>
    <row r="528">
      <c r="A528" s="7" t="n"/>
      <c r="B528" s="7" t="n"/>
      <c r="C528" s="7" t="n"/>
      <c r="D528" s="8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9">
        <f>IF(A528="","",A528&amp;"|"&amp;COUNTIF($A$2:A528,A528))</f>
        <v/>
      </c>
    </row>
    <row r="529">
      <c r="A529" s="7" t="n"/>
      <c r="B529" s="7" t="n"/>
      <c r="C529" s="7" t="n"/>
      <c r="D529" s="8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9">
        <f>IF(A529="","",A529&amp;"|"&amp;COUNTIF($A$2:A529,A529))</f>
        <v/>
      </c>
    </row>
    <row r="530">
      <c r="A530" s="7" t="n"/>
      <c r="B530" s="7" t="n"/>
      <c r="C530" s="7" t="n"/>
      <c r="D530" s="8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9">
        <f>IF(A530="","",A530&amp;"|"&amp;COUNTIF($A$2:A530,A530))</f>
        <v/>
      </c>
    </row>
    <row r="531">
      <c r="A531" s="7" t="n"/>
      <c r="B531" s="7" t="n"/>
      <c r="C531" s="7" t="n"/>
      <c r="D531" s="8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9">
        <f>IF(A531="","",A531&amp;"|"&amp;COUNTIF($A$2:A531,A531))</f>
        <v/>
      </c>
    </row>
    <row r="532">
      <c r="A532" s="7" t="n"/>
      <c r="B532" s="7" t="n"/>
      <c r="C532" s="7" t="n"/>
      <c r="D532" s="8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9">
        <f>IF(A532="","",A532&amp;"|"&amp;COUNTIF($A$2:A532,A532))</f>
        <v/>
      </c>
    </row>
    <row r="533">
      <c r="A533" s="7" t="n"/>
      <c r="B533" s="7" t="n"/>
      <c r="C533" s="7" t="n"/>
      <c r="D533" s="8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9">
        <f>IF(A533="","",A533&amp;"|"&amp;COUNTIF($A$2:A533,A533))</f>
        <v/>
      </c>
    </row>
    <row r="534">
      <c r="A534" s="7" t="n"/>
      <c r="B534" s="7" t="n"/>
      <c r="C534" s="7" t="n"/>
      <c r="D534" s="8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9">
        <f>IF(A534="","",A534&amp;"|"&amp;COUNTIF($A$2:A534,A534))</f>
        <v/>
      </c>
    </row>
    <row r="535">
      <c r="A535" s="7" t="n"/>
      <c r="B535" s="7" t="n"/>
      <c r="C535" s="7" t="n"/>
      <c r="D535" s="8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9">
        <f>IF(A535="","",A535&amp;"|"&amp;COUNTIF($A$2:A535,A535))</f>
        <v/>
      </c>
    </row>
    <row r="536">
      <c r="A536" s="7" t="n"/>
      <c r="B536" s="7" t="n"/>
      <c r="C536" s="7" t="n"/>
      <c r="D536" s="8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9">
        <f>IF(A536="","",A536&amp;"|"&amp;COUNTIF($A$2:A536,A536))</f>
        <v/>
      </c>
    </row>
    <row r="537">
      <c r="A537" s="7" t="n"/>
      <c r="B537" s="7" t="n"/>
      <c r="C537" s="7" t="n"/>
      <c r="D537" s="8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9">
        <f>IF(A537="","",A537&amp;"|"&amp;COUNTIF($A$2:A537,A537))</f>
        <v/>
      </c>
    </row>
    <row r="538">
      <c r="A538" s="7" t="n"/>
      <c r="B538" s="7" t="n"/>
      <c r="C538" s="7" t="n"/>
      <c r="D538" s="8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9">
        <f>IF(A538="","",A538&amp;"|"&amp;COUNTIF($A$2:A538,A538))</f>
        <v/>
      </c>
    </row>
    <row r="539">
      <c r="A539" s="7" t="n"/>
      <c r="B539" s="7" t="n"/>
      <c r="C539" s="7" t="n"/>
      <c r="D539" s="8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9">
        <f>IF(A539="","",A539&amp;"|"&amp;COUNTIF($A$2:A539,A539))</f>
        <v/>
      </c>
    </row>
    <row r="540">
      <c r="A540" s="7" t="n"/>
      <c r="B540" s="7" t="n"/>
      <c r="C540" s="7" t="n"/>
      <c r="D540" s="8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9">
        <f>IF(A540="","",A540&amp;"|"&amp;COUNTIF($A$2:A540,A540))</f>
        <v/>
      </c>
    </row>
    <row r="541">
      <c r="A541" s="7" t="n"/>
      <c r="B541" s="7" t="n"/>
      <c r="C541" s="7" t="n"/>
      <c r="D541" s="8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9">
        <f>IF(A541="","",A541&amp;"|"&amp;COUNTIF($A$2:A541,A541))</f>
        <v/>
      </c>
    </row>
    <row r="542">
      <c r="A542" s="7" t="n"/>
      <c r="B542" s="7" t="n"/>
      <c r="C542" s="7" t="n"/>
      <c r="D542" s="8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9">
        <f>IF(A542="","",A542&amp;"|"&amp;COUNTIF($A$2:A542,A542))</f>
        <v/>
      </c>
    </row>
    <row r="543">
      <c r="A543" s="7" t="n"/>
      <c r="B543" s="7" t="n"/>
      <c r="C543" s="7" t="n"/>
      <c r="D543" s="8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9">
        <f>IF(A543="","",A543&amp;"|"&amp;COUNTIF($A$2:A543,A543))</f>
        <v/>
      </c>
    </row>
    <row r="544">
      <c r="A544" s="7" t="n"/>
      <c r="B544" s="7" t="n"/>
      <c r="C544" s="7" t="n"/>
      <c r="D544" s="8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9">
        <f>IF(A544="","",A544&amp;"|"&amp;COUNTIF($A$2:A544,A544))</f>
        <v/>
      </c>
    </row>
    <row r="545">
      <c r="A545" s="7" t="n"/>
      <c r="B545" s="7" t="n"/>
      <c r="C545" s="7" t="n"/>
      <c r="D545" s="8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9">
        <f>IF(A545="","",A545&amp;"|"&amp;COUNTIF($A$2:A545,A545))</f>
        <v/>
      </c>
    </row>
    <row r="546">
      <c r="A546" s="7" t="n"/>
      <c r="B546" s="7" t="n"/>
      <c r="C546" s="7" t="n"/>
      <c r="D546" s="8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9">
        <f>IF(A546="","",A546&amp;"|"&amp;COUNTIF($A$2:A546,A546))</f>
        <v/>
      </c>
    </row>
    <row r="547">
      <c r="A547" s="7" t="n"/>
      <c r="B547" s="7" t="n"/>
      <c r="C547" s="7" t="n"/>
      <c r="D547" s="8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9">
        <f>IF(A547="","",A547&amp;"|"&amp;COUNTIF($A$2:A547,A547))</f>
        <v/>
      </c>
    </row>
    <row r="548">
      <c r="A548" s="7" t="n"/>
      <c r="B548" s="7" t="n"/>
      <c r="C548" s="7" t="n"/>
      <c r="D548" s="8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9">
        <f>IF(A548="","",A548&amp;"|"&amp;COUNTIF($A$2:A548,A548))</f>
        <v/>
      </c>
    </row>
    <row r="549">
      <c r="A549" s="7" t="n"/>
      <c r="B549" s="7" t="n"/>
      <c r="C549" s="7" t="n"/>
      <c r="D549" s="8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9">
        <f>IF(A549="","",A549&amp;"|"&amp;COUNTIF($A$2:A549,A549))</f>
        <v/>
      </c>
    </row>
    <row r="550">
      <c r="A550" s="7" t="n"/>
      <c r="B550" s="7" t="n"/>
      <c r="C550" s="7" t="n"/>
      <c r="D550" s="8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9">
        <f>IF(A550="","",A550&amp;"|"&amp;COUNTIF($A$2:A550,A550))</f>
        <v/>
      </c>
    </row>
    <row r="551">
      <c r="A551" s="7" t="n"/>
      <c r="B551" s="7" t="n"/>
      <c r="C551" s="7" t="n"/>
      <c r="D551" s="8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9">
        <f>IF(A551="","",A551&amp;"|"&amp;COUNTIF($A$2:A551,A551))</f>
        <v/>
      </c>
    </row>
    <row r="552">
      <c r="A552" s="7" t="n"/>
      <c r="B552" s="7" t="n"/>
      <c r="C552" s="7" t="n"/>
      <c r="D552" s="8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9">
        <f>IF(A552="","",A552&amp;"|"&amp;COUNTIF($A$2:A552,A552))</f>
        <v/>
      </c>
    </row>
    <row r="553">
      <c r="A553" s="7" t="n"/>
      <c r="B553" s="7" t="n"/>
      <c r="C553" s="7" t="n"/>
      <c r="D553" s="8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9">
        <f>IF(A553="","",A553&amp;"|"&amp;COUNTIF($A$2:A553,A553))</f>
        <v/>
      </c>
    </row>
    <row r="554">
      <c r="A554" s="7" t="n"/>
      <c r="B554" s="7" t="n"/>
      <c r="C554" s="7" t="n"/>
      <c r="D554" s="8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9">
        <f>IF(A554="","",A554&amp;"|"&amp;COUNTIF($A$2:A554,A554))</f>
        <v/>
      </c>
    </row>
    <row r="555">
      <c r="A555" s="7" t="n"/>
      <c r="B555" s="7" t="n"/>
      <c r="C555" s="7" t="n"/>
      <c r="D555" s="8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9">
        <f>IF(A555="","",A555&amp;"|"&amp;COUNTIF($A$2:A555,A555))</f>
        <v/>
      </c>
    </row>
    <row r="556">
      <c r="A556" s="7" t="n"/>
      <c r="B556" s="7" t="n"/>
      <c r="C556" s="7" t="n"/>
      <c r="D556" s="8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9">
        <f>IF(A556="","",A556&amp;"|"&amp;COUNTIF($A$2:A556,A556))</f>
        <v/>
      </c>
    </row>
    <row r="557">
      <c r="A557" s="7" t="n"/>
      <c r="B557" s="7" t="n"/>
      <c r="C557" s="7" t="n"/>
      <c r="D557" s="8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9">
        <f>IF(A557="","",A557&amp;"|"&amp;COUNTIF($A$2:A557,A557))</f>
        <v/>
      </c>
    </row>
    <row r="558">
      <c r="A558" s="7" t="n"/>
      <c r="B558" s="7" t="n"/>
      <c r="C558" s="7" t="n"/>
      <c r="D558" s="8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9">
        <f>IF(A558="","",A558&amp;"|"&amp;COUNTIF($A$2:A558,A558))</f>
        <v/>
      </c>
    </row>
    <row r="559">
      <c r="A559" s="7" t="n"/>
      <c r="B559" s="7" t="n"/>
      <c r="C559" s="7" t="n"/>
      <c r="D559" s="8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9">
        <f>IF(A559="","",A559&amp;"|"&amp;COUNTIF($A$2:A559,A559))</f>
        <v/>
      </c>
    </row>
    <row r="560">
      <c r="A560" s="7" t="n"/>
      <c r="B560" s="7" t="n"/>
      <c r="C560" s="7" t="n"/>
      <c r="D560" s="8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9">
        <f>IF(A560="","",A560&amp;"|"&amp;COUNTIF($A$2:A560,A560))</f>
        <v/>
      </c>
    </row>
    <row r="561">
      <c r="A561" s="7" t="n"/>
      <c r="B561" s="7" t="n"/>
      <c r="C561" s="7" t="n"/>
      <c r="D561" s="8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9">
        <f>IF(A561="","",A561&amp;"|"&amp;COUNTIF($A$2:A561,A561))</f>
        <v/>
      </c>
    </row>
    <row r="562">
      <c r="A562" s="7" t="n"/>
      <c r="B562" s="7" t="n"/>
      <c r="C562" s="7" t="n"/>
      <c r="D562" s="8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9">
        <f>IF(A562="","",A562&amp;"|"&amp;COUNTIF($A$2:A562,A562))</f>
        <v/>
      </c>
    </row>
    <row r="563">
      <c r="A563" s="7" t="n"/>
      <c r="B563" s="7" t="n"/>
      <c r="C563" s="7" t="n"/>
      <c r="D563" s="8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9">
        <f>IF(A563="","",A563&amp;"|"&amp;COUNTIF($A$2:A563,A563))</f>
        <v/>
      </c>
    </row>
    <row r="564">
      <c r="A564" s="7" t="n"/>
      <c r="B564" s="7" t="n"/>
      <c r="C564" s="7" t="n"/>
      <c r="D564" s="8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9">
        <f>IF(A564="","",A564&amp;"|"&amp;COUNTIF($A$2:A564,A564))</f>
        <v/>
      </c>
    </row>
    <row r="565">
      <c r="A565" s="7" t="n"/>
      <c r="B565" s="7" t="n"/>
      <c r="C565" s="7" t="n"/>
      <c r="D565" s="8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9">
        <f>IF(A565="","",A565&amp;"|"&amp;COUNTIF($A$2:A565,A565))</f>
        <v/>
      </c>
    </row>
    <row r="566">
      <c r="A566" s="7" t="n"/>
      <c r="B566" s="7" t="n"/>
      <c r="C566" s="7" t="n"/>
      <c r="D566" s="8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9">
        <f>IF(A566="","",A566&amp;"|"&amp;COUNTIF($A$2:A566,A566))</f>
        <v/>
      </c>
    </row>
    <row r="567">
      <c r="A567" s="7" t="n"/>
      <c r="B567" s="7" t="n"/>
      <c r="C567" s="7" t="n"/>
      <c r="D567" s="8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9">
        <f>IF(A567="","",A567&amp;"|"&amp;COUNTIF($A$2:A567,A567))</f>
        <v/>
      </c>
    </row>
    <row r="568">
      <c r="A568" s="7" t="n"/>
      <c r="B568" s="7" t="n"/>
      <c r="C568" s="7" t="n"/>
      <c r="D568" s="8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9">
        <f>IF(A568="","",A568&amp;"|"&amp;COUNTIF($A$2:A568,A568))</f>
        <v/>
      </c>
    </row>
    <row r="569">
      <c r="A569" s="7" t="n"/>
      <c r="B569" s="7" t="n"/>
      <c r="C569" s="7" t="n"/>
      <c r="D569" s="8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9">
        <f>IF(A569="","",A569&amp;"|"&amp;COUNTIF($A$2:A569,A569))</f>
        <v/>
      </c>
    </row>
    <row r="570">
      <c r="A570" s="7" t="n"/>
      <c r="B570" s="7" t="n"/>
      <c r="C570" s="7" t="n"/>
      <c r="D570" s="8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9">
        <f>IF(A570="","",A570&amp;"|"&amp;COUNTIF($A$2:A570,A570))</f>
        <v/>
      </c>
    </row>
    <row r="571">
      <c r="A571" s="7" t="n"/>
      <c r="B571" s="7" t="n"/>
      <c r="C571" s="7" t="n"/>
      <c r="D571" s="8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9">
        <f>IF(A571="","",A571&amp;"|"&amp;COUNTIF($A$2:A571,A571))</f>
        <v/>
      </c>
    </row>
    <row r="572">
      <c r="A572" s="7" t="n"/>
      <c r="B572" s="7" t="n"/>
      <c r="C572" s="7" t="n"/>
      <c r="D572" s="8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9">
        <f>IF(A572="","",A572&amp;"|"&amp;COUNTIF($A$2:A572,A572))</f>
        <v/>
      </c>
    </row>
    <row r="573">
      <c r="A573" s="7" t="n"/>
      <c r="B573" s="7" t="n"/>
      <c r="C573" s="7" t="n"/>
      <c r="D573" s="8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9">
        <f>IF(A573="","",A573&amp;"|"&amp;COUNTIF($A$2:A573,A573))</f>
        <v/>
      </c>
    </row>
    <row r="574">
      <c r="A574" s="7" t="n"/>
      <c r="B574" s="7" t="n"/>
      <c r="C574" s="7" t="n"/>
      <c r="D574" s="8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9">
        <f>IF(A574="","",A574&amp;"|"&amp;COUNTIF($A$2:A574,A574))</f>
        <v/>
      </c>
    </row>
    <row r="575">
      <c r="A575" s="7" t="n"/>
      <c r="B575" s="7" t="n"/>
      <c r="C575" s="7" t="n"/>
      <c r="D575" s="8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9">
        <f>IF(A575="","",A575&amp;"|"&amp;COUNTIF($A$2:A575,A575))</f>
        <v/>
      </c>
    </row>
    <row r="576">
      <c r="A576" s="7" t="n"/>
      <c r="B576" s="7" t="n"/>
      <c r="C576" s="7" t="n"/>
      <c r="D576" s="8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9">
        <f>IF(A576="","",A576&amp;"|"&amp;COUNTIF($A$2:A576,A576))</f>
        <v/>
      </c>
    </row>
    <row r="577">
      <c r="A577" s="7" t="n"/>
      <c r="B577" s="7" t="n"/>
      <c r="C577" s="7" t="n"/>
      <c r="D577" s="8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9">
        <f>IF(A577="","",A577&amp;"|"&amp;COUNTIF($A$2:A577,A577))</f>
        <v/>
      </c>
    </row>
    <row r="578">
      <c r="A578" s="7" t="n"/>
      <c r="B578" s="7" t="n"/>
      <c r="C578" s="7" t="n"/>
      <c r="D578" s="8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9">
        <f>IF(A578="","",A578&amp;"|"&amp;COUNTIF($A$2:A578,A578))</f>
        <v/>
      </c>
    </row>
    <row r="579">
      <c r="A579" s="7" t="n"/>
      <c r="B579" s="7" t="n"/>
      <c r="C579" s="7" t="n"/>
      <c r="D579" s="8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9">
        <f>IF(A579="","",A579&amp;"|"&amp;COUNTIF($A$2:A579,A579))</f>
        <v/>
      </c>
    </row>
    <row r="580">
      <c r="A580" s="7" t="n"/>
      <c r="B580" s="7" t="n"/>
      <c r="C580" s="7" t="n"/>
      <c r="D580" s="8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9">
        <f>IF(A580="","",A580&amp;"|"&amp;COUNTIF($A$2:A580,A580))</f>
        <v/>
      </c>
    </row>
    <row r="581">
      <c r="A581" s="7" t="n"/>
      <c r="B581" s="7" t="n"/>
      <c r="C581" s="7" t="n"/>
      <c r="D581" s="8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9">
        <f>IF(A581="","",A581&amp;"|"&amp;COUNTIF($A$2:A581,A581))</f>
        <v/>
      </c>
    </row>
    <row r="582">
      <c r="A582" s="7" t="n"/>
      <c r="B582" s="7" t="n"/>
      <c r="C582" s="7" t="n"/>
      <c r="D582" s="8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9">
        <f>IF(A582="","",A582&amp;"|"&amp;COUNTIF($A$2:A582,A582))</f>
        <v/>
      </c>
    </row>
    <row r="583">
      <c r="A583" s="7" t="n"/>
      <c r="B583" s="7" t="n"/>
      <c r="C583" s="7" t="n"/>
      <c r="D583" s="8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9">
        <f>IF(A583="","",A583&amp;"|"&amp;COUNTIF($A$2:A583,A583))</f>
        <v/>
      </c>
    </row>
    <row r="584">
      <c r="A584" s="7" t="n"/>
      <c r="B584" s="7" t="n"/>
      <c r="C584" s="7" t="n"/>
      <c r="D584" s="8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9">
        <f>IF(A584="","",A584&amp;"|"&amp;COUNTIF($A$2:A584,A584))</f>
        <v/>
      </c>
    </row>
    <row r="585">
      <c r="A585" s="7" t="n"/>
      <c r="B585" s="7" t="n"/>
      <c r="C585" s="7" t="n"/>
      <c r="D585" s="8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9">
        <f>IF(A585="","",A585&amp;"|"&amp;COUNTIF($A$2:A585,A585))</f>
        <v/>
      </c>
    </row>
    <row r="586">
      <c r="A586" s="7" t="n"/>
      <c r="B586" s="7" t="n"/>
      <c r="C586" s="7" t="n"/>
      <c r="D586" s="8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9">
        <f>IF(A586="","",A586&amp;"|"&amp;COUNTIF($A$2:A586,A586))</f>
        <v/>
      </c>
    </row>
    <row r="587">
      <c r="A587" s="7" t="n"/>
      <c r="B587" s="7" t="n"/>
      <c r="C587" s="7" t="n"/>
      <c r="D587" s="8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9">
        <f>IF(A587="","",A587&amp;"|"&amp;COUNTIF($A$2:A587,A587))</f>
        <v/>
      </c>
    </row>
    <row r="588">
      <c r="A588" s="7" t="n"/>
      <c r="B588" s="7" t="n"/>
      <c r="C588" s="7" t="n"/>
      <c r="D588" s="8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9">
        <f>IF(A588="","",A588&amp;"|"&amp;COUNTIF($A$2:A588,A588))</f>
        <v/>
      </c>
    </row>
    <row r="589">
      <c r="A589" s="7" t="n"/>
      <c r="B589" s="7" t="n"/>
      <c r="C589" s="7" t="n"/>
      <c r="D589" s="8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9">
        <f>IF(A589="","",A589&amp;"|"&amp;COUNTIF($A$2:A589,A589))</f>
        <v/>
      </c>
    </row>
    <row r="590">
      <c r="A590" s="7" t="n"/>
      <c r="B590" s="7" t="n"/>
      <c r="C590" s="7" t="n"/>
      <c r="D590" s="8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9">
        <f>IF(A590="","",A590&amp;"|"&amp;COUNTIF($A$2:A590,A590))</f>
        <v/>
      </c>
    </row>
    <row r="591">
      <c r="A591" s="7" t="n"/>
      <c r="B591" s="7" t="n"/>
      <c r="C591" s="7" t="n"/>
      <c r="D591" s="8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9">
        <f>IF(A591="","",A591&amp;"|"&amp;COUNTIF($A$2:A591,A591))</f>
        <v/>
      </c>
    </row>
    <row r="592">
      <c r="A592" s="7" t="n"/>
      <c r="B592" s="7" t="n"/>
      <c r="C592" s="7" t="n"/>
      <c r="D592" s="8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9">
        <f>IF(A592="","",A592&amp;"|"&amp;COUNTIF($A$2:A592,A592))</f>
        <v/>
      </c>
    </row>
    <row r="593">
      <c r="A593" s="7" t="n"/>
      <c r="B593" s="7" t="n"/>
      <c r="C593" s="7" t="n"/>
      <c r="D593" s="8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9">
        <f>IF(A593="","",A593&amp;"|"&amp;COUNTIF($A$2:A593,A593))</f>
        <v/>
      </c>
    </row>
    <row r="594">
      <c r="A594" s="7" t="n"/>
      <c r="B594" s="7" t="n"/>
      <c r="C594" s="7" t="n"/>
      <c r="D594" s="8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9">
        <f>IF(A594="","",A594&amp;"|"&amp;COUNTIF($A$2:A594,A594))</f>
        <v/>
      </c>
    </row>
    <row r="595">
      <c r="A595" s="7" t="n"/>
      <c r="B595" s="7" t="n"/>
      <c r="C595" s="7" t="n"/>
      <c r="D595" s="8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9">
        <f>IF(A595="","",A595&amp;"|"&amp;COUNTIF($A$2:A595,A595))</f>
        <v/>
      </c>
    </row>
    <row r="596">
      <c r="A596" s="7" t="n"/>
      <c r="B596" s="7" t="n"/>
      <c r="C596" s="7" t="n"/>
      <c r="D596" s="8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9">
        <f>IF(A596="","",A596&amp;"|"&amp;COUNTIF($A$2:A596,A596))</f>
        <v/>
      </c>
    </row>
    <row r="597">
      <c r="A597" s="7" t="n"/>
      <c r="B597" s="7" t="n"/>
      <c r="C597" s="7" t="n"/>
      <c r="D597" s="8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9">
        <f>IF(A597="","",A597&amp;"|"&amp;COUNTIF($A$2:A597,A597))</f>
        <v/>
      </c>
    </row>
    <row r="598">
      <c r="A598" s="7" t="n"/>
      <c r="B598" s="7" t="n"/>
      <c r="C598" s="7" t="n"/>
      <c r="D598" s="8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9">
        <f>IF(A598="","",A598&amp;"|"&amp;COUNTIF($A$2:A598,A598))</f>
        <v/>
      </c>
    </row>
    <row r="599">
      <c r="A599" s="7" t="n"/>
      <c r="B599" s="7" t="n"/>
      <c r="C599" s="7" t="n"/>
      <c r="D599" s="8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9">
        <f>IF(A599="","",A599&amp;"|"&amp;COUNTIF($A$2:A599,A599))</f>
        <v/>
      </c>
    </row>
    <row r="600">
      <c r="A600" s="7" t="n"/>
      <c r="B600" s="7" t="n"/>
      <c r="C600" s="7" t="n"/>
      <c r="D600" s="8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9">
        <f>IF(A600="","",A600&amp;"|"&amp;COUNTIF($A$2:A600,A600))</f>
        <v/>
      </c>
    </row>
    <row r="601">
      <c r="A601" s="7" t="n"/>
      <c r="B601" s="7" t="n"/>
      <c r="C601" s="7" t="n"/>
      <c r="D601" s="8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9">
        <f>IF(A601="","",A601&amp;"|"&amp;COUNTIF($A$2:A601,A601))</f>
        <v/>
      </c>
    </row>
    <row r="602">
      <c r="A602" s="7" t="n"/>
      <c r="B602" s="7" t="n"/>
      <c r="C602" s="7" t="n"/>
      <c r="D602" s="8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9">
        <f>IF(A602="","",A602&amp;"|"&amp;COUNTIF($A$2:A602,A602))</f>
        <v/>
      </c>
    </row>
    <row r="603">
      <c r="A603" s="7" t="n"/>
      <c r="B603" s="7" t="n"/>
      <c r="C603" s="7" t="n"/>
      <c r="D603" s="8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9">
        <f>IF(A603="","",A603&amp;"|"&amp;COUNTIF($A$2:A603,A603))</f>
        <v/>
      </c>
    </row>
    <row r="604">
      <c r="A604" s="7" t="n"/>
      <c r="B604" s="7" t="n"/>
      <c r="C604" s="7" t="n"/>
      <c r="D604" s="8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9">
        <f>IF(A604="","",A604&amp;"|"&amp;COUNTIF($A$2:A604,A604))</f>
        <v/>
      </c>
    </row>
    <row r="605">
      <c r="A605" s="7" t="n"/>
      <c r="B605" s="7" t="n"/>
      <c r="C605" s="7" t="n"/>
      <c r="D605" s="8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9">
        <f>IF(A605="","",A605&amp;"|"&amp;COUNTIF($A$2:A605,A605))</f>
        <v/>
      </c>
    </row>
    <row r="606">
      <c r="A606" s="7" t="n"/>
      <c r="B606" s="7" t="n"/>
      <c r="C606" s="7" t="n"/>
      <c r="D606" s="8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9">
        <f>IF(A606="","",A606&amp;"|"&amp;COUNTIF($A$2:A606,A606))</f>
        <v/>
      </c>
    </row>
    <row r="607">
      <c r="A607" s="7" t="n"/>
      <c r="B607" s="7" t="n"/>
      <c r="C607" s="7" t="n"/>
      <c r="D607" s="8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9">
        <f>IF(A607="","",A607&amp;"|"&amp;COUNTIF($A$2:A607,A607))</f>
        <v/>
      </c>
    </row>
    <row r="608">
      <c r="A608" s="7" t="n"/>
      <c r="B608" s="7" t="n"/>
      <c r="C608" s="7" t="n"/>
      <c r="D608" s="8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9">
        <f>IF(A608="","",A608&amp;"|"&amp;COUNTIF($A$2:A608,A608))</f>
        <v/>
      </c>
    </row>
    <row r="609">
      <c r="A609" s="7" t="n"/>
      <c r="B609" s="7" t="n"/>
      <c r="C609" s="7" t="n"/>
      <c r="D609" s="8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9">
        <f>IF(A609="","",A609&amp;"|"&amp;COUNTIF($A$2:A609,A609))</f>
        <v/>
      </c>
    </row>
    <row r="610">
      <c r="A610" s="7" t="n"/>
      <c r="B610" s="7" t="n"/>
      <c r="C610" s="7" t="n"/>
      <c r="D610" s="8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9">
        <f>IF(A610="","",A610&amp;"|"&amp;COUNTIF($A$2:A610,A610))</f>
        <v/>
      </c>
    </row>
    <row r="611">
      <c r="A611" s="7" t="n"/>
      <c r="B611" s="7" t="n"/>
      <c r="C611" s="7" t="n"/>
      <c r="D611" s="8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9">
        <f>IF(A611="","",A611&amp;"|"&amp;COUNTIF($A$2:A611,A611))</f>
        <v/>
      </c>
    </row>
    <row r="612">
      <c r="A612" s="7" t="n"/>
      <c r="B612" s="7" t="n"/>
      <c r="C612" s="7" t="n"/>
      <c r="D612" s="8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9">
        <f>IF(A612="","",A612&amp;"|"&amp;COUNTIF($A$2:A612,A612))</f>
        <v/>
      </c>
    </row>
    <row r="613">
      <c r="A613" s="7" t="n"/>
      <c r="B613" s="7" t="n"/>
      <c r="C613" s="7" t="n"/>
      <c r="D613" s="8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9">
        <f>IF(A613="","",A613&amp;"|"&amp;COUNTIF($A$2:A613,A613))</f>
        <v/>
      </c>
    </row>
    <row r="614">
      <c r="A614" s="7" t="n"/>
      <c r="B614" s="7" t="n"/>
      <c r="C614" s="7" t="n"/>
      <c r="D614" s="8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9">
        <f>IF(A614="","",A614&amp;"|"&amp;COUNTIF($A$2:A614,A614))</f>
        <v/>
      </c>
    </row>
    <row r="615">
      <c r="A615" s="7" t="n"/>
      <c r="B615" s="7" t="n"/>
      <c r="C615" s="7" t="n"/>
      <c r="D615" s="8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9">
        <f>IF(A615="","",A615&amp;"|"&amp;COUNTIF($A$2:A615,A615))</f>
        <v/>
      </c>
    </row>
    <row r="616">
      <c r="A616" s="7" t="n"/>
      <c r="B616" s="7" t="n"/>
      <c r="C616" s="7" t="n"/>
      <c r="D616" s="8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9">
        <f>IF(A616="","",A616&amp;"|"&amp;COUNTIF($A$2:A616,A616))</f>
        <v/>
      </c>
    </row>
    <row r="617">
      <c r="A617" s="7" t="n"/>
      <c r="B617" s="7" t="n"/>
      <c r="C617" s="7" t="n"/>
      <c r="D617" s="8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9">
        <f>IF(A617="","",A617&amp;"|"&amp;COUNTIF($A$2:A617,A617))</f>
        <v/>
      </c>
    </row>
    <row r="618">
      <c r="A618" s="7" t="n"/>
      <c r="B618" s="7" t="n"/>
      <c r="C618" s="7" t="n"/>
      <c r="D618" s="8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9">
        <f>IF(A618="","",A618&amp;"|"&amp;COUNTIF($A$2:A618,A618))</f>
        <v/>
      </c>
    </row>
    <row r="619">
      <c r="A619" s="7" t="n"/>
      <c r="B619" s="7" t="n"/>
      <c r="C619" s="7" t="n"/>
      <c r="D619" s="8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9">
        <f>IF(A619="","",A619&amp;"|"&amp;COUNTIF($A$2:A619,A619))</f>
        <v/>
      </c>
    </row>
    <row r="620">
      <c r="A620" s="7" t="n"/>
      <c r="B620" s="7" t="n"/>
      <c r="C620" s="7" t="n"/>
      <c r="D620" s="8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9">
        <f>IF(A620="","",A620&amp;"|"&amp;COUNTIF($A$2:A620,A620))</f>
        <v/>
      </c>
    </row>
    <row r="621">
      <c r="A621" s="7" t="n"/>
      <c r="B621" s="7" t="n"/>
      <c r="C621" s="7" t="n"/>
      <c r="D621" s="8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9">
        <f>IF(A621="","",A621&amp;"|"&amp;COUNTIF($A$2:A621,A621))</f>
        <v/>
      </c>
    </row>
    <row r="622">
      <c r="A622" s="7" t="n"/>
      <c r="B622" s="7" t="n"/>
      <c r="C622" s="7" t="n"/>
      <c r="D622" s="8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9">
        <f>IF(A622="","",A622&amp;"|"&amp;COUNTIF($A$2:A622,A622))</f>
        <v/>
      </c>
    </row>
    <row r="623">
      <c r="A623" s="7" t="n"/>
      <c r="B623" s="7" t="n"/>
      <c r="C623" s="7" t="n"/>
      <c r="D623" s="8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9">
        <f>IF(A623="","",A623&amp;"|"&amp;COUNTIF($A$2:A623,A623))</f>
        <v/>
      </c>
    </row>
    <row r="624">
      <c r="A624" s="7" t="n"/>
      <c r="B624" s="7" t="n"/>
      <c r="C624" s="7" t="n"/>
      <c r="D624" s="8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9">
        <f>IF(A624="","",A624&amp;"|"&amp;COUNTIF($A$2:A624,A624))</f>
        <v/>
      </c>
    </row>
    <row r="625">
      <c r="A625" s="7" t="n"/>
      <c r="B625" s="7" t="n"/>
      <c r="C625" s="7" t="n"/>
      <c r="D625" s="8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9">
        <f>IF(A625="","",A625&amp;"|"&amp;COUNTIF($A$2:A625,A625))</f>
        <v/>
      </c>
    </row>
    <row r="626">
      <c r="A626" s="7" t="n"/>
      <c r="B626" s="7" t="n"/>
      <c r="C626" s="7" t="n"/>
      <c r="D626" s="8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9">
        <f>IF(A626="","",A626&amp;"|"&amp;COUNTIF($A$2:A626,A626))</f>
        <v/>
      </c>
    </row>
    <row r="627">
      <c r="A627" s="7" t="n"/>
      <c r="B627" s="7" t="n"/>
      <c r="C627" s="7" t="n"/>
      <c r="D627" s="8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9">
        <f>IF(A627="","",A627&amp;"|"&amp;COUNTIF($A$2:A627,A627))</f>
        <v/>
      </c>
    </row>
    <row r="628">
      <c r="A628" s="7" t="n"/>
      <c r="B628" s="7" t="n"/>
      <c r="C628" s="7" t="n"/>
      <c r="D628" s="8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9">
        <f>IF(A628="","",A628&amp;"|"&amp;COUNTIF($A$2:A628,A628))</f>
        <v/>
      </c>
    </row>
    <row r="629">
      <c r="A629" s="7" t="n"/>
      <c r="B629" s="7" t="n"/>
      <c r="C629" s="7" t="n"/>
      <c r="D629" s="8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9">
        <f>IF(A629="","",A629&amp;"|"&amp;COUNTIF($A$2:A629,A629))</f>
        <v/>
      </c>
    </row>
    <row r="630">
      <c r="A630" s="7" t="n"/>
      <c r="B630" s="7" t="n"/>
      <c r="C630" s="7" t="n"/>
      <c r="D630" s="8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9">
        <f>IF(A630="","",A630&amp;"|"&amp;COUNTIF($A$2:A630,A630))</f>
        <v/>
      </c>
    </row>
    <row r="631">
      <c r="A631" s="7" t="n"/>
      <c r="B631" s="7" t="n"/>
      <c r="C631" s="7" t="n"/>
      <c r="D631" s="8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9">
        <f>IF(A631="","",A631&amp;"|"&amp;COUNTIF($A$2:A631,A631))</f>
        <v/>
      </c>
    </row>
    <row r="632">
      <c r="A632" s="7" t="n"/>
      <c r="B632" s="7" t="n"/>
      <c r="C632" s="7" t="n"/>
      <c r="D632" s="8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9">
        <f>IF(A632="","",A632&amp;"|"&amp;COUNTIF($A$2:A632,A632))</f>
        <v/>
      </c>
    </row>
    <row r="633">
      <c r="A633" s="7" t="n"/>
      <c r="B633" s="7" t="n"/>
      <c r="C633" s="7" t="n"/>
      <c r="D633" s="8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9">
        <f>IF(A633="","",A633&amp;"|"&amp;COUNTIF($A$2:A633,A633))</f>
        <v/>
      </c>
    </row>
    <row r="634">
      <c r="A634" s="7" t="n"/>
      <c r="B634" s="7" t="n"/>
      <c r="C634" s="7" t="n"/>
      <c r="D634" s="8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9">
        <f>IF(A634="","",A634&amp;"|"&amp;COUNTIF($A$2:A634,A634))</f>
        <v/>
      </c>
    </row>
    <row r="635">
      <c r="A635" s="7" t="n"/>
      <c r="B635" s="7" t="n"/>
      <c r="C635" s="7" t="n"/>
      <c r="D635" s="8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9">
        <f>IF(A635="","",A635&amp;"|"&amp;COUNTIF($A$2:A635,A635))</f>
        <v/>
      </c>
    </row>
    <row r="636">
      <c r="A636" s="7" t="n"/>
      <c r="B636" s="7" t="n"/>
      <c r="C636" s="7" t="n"/>
      <c r="D636" s="8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9">
        <f>IF(A636="","",A636&amp;"|"&amp;COUNTIF($A$2:A636,A636))</f>
        <v/>
      </c>
    </row>
    <row r="637">
      <c r="A637" s="7" t="n"/>
      <c r="B637" s="7" t="n"/>
      <c r="C637" s="7" t="n"/>
      <c r="D637" s="8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9">
        <f>IF(A637="","",A637&amp;"|"&amp;COUNTIF($A$2:A637,A637))</f>
        <v/>
      </c>
    </row>
    <row r="638">
      <c r="A638" s="7" t="n"/>
      <c r="B638" s="7" t="n"/>
      <c r="C638" s="7" t="n"/>
      <c r="D638" s="8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9">
        <f>IF(A638="","",A638&amp;"|"&amp;COUNTIF($A$2:A638,A638))</f>
        <v/>
      </c>
    </row>
    <row r="639">
      <c r="A639" s="7" t="n"/>
      <c r="B639" s="7" t="n"/>
      <c r="C639" s="7" t="n"/>
      <c r="D639" s="8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9">
        <f>IF(A639="","",A639&amp;"|"&amp;COUNTIF($A$2:A639,A639))</f>
        <v/>
      </c>
    </row>
    <row r="640">
      <c r="A640" s="7" t="n"/>
      <c r="B640" s="7" t="n"/>
      <c r="C640" s="7" t="n"/>
      <c r="D640" s="8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9">
        <f>IF(A640="","",A640&amp;"|"&amp;COUNTIF($A$2:A640,A640))</f>
        <v/>
      </c>
    </row>
    <row r="641">
      <c r="A641" s="7" t="n"/>
      <c r="B641" s="7" t="n"/>
      <c r="C641" s="7" t="n"/>
      <c r="D641" s="8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9">
        <f>IF(A641="","",A641&amp;"|"&amp;COUNTIF($A$2:A641,A641))</f>
        <v/>
      </c>
    </row>
    <row r="642">
      <c r="A642" s="7" t="n"/>
      <c r="B642" s="7" t="n"/>
      <c r="C642" s="7" t="n"/>
      <c r="D642" s="8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9">
        <f>IF(A642="","",A642&amp;"|"&amp;COUNTIF($A$2:A642,A642))</f>
        <v/>
      </c>
    </row>
    <row r="643">
      <c r="A643" s="7" t="n"/>
      <c r="B643" s="7" t="n"/>
      <c r="C643" s="7" t="n"/>
      <c r="D643" s="8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9">
        <f>IF(A643="","",A643&amp;"|"&amp;COUNTIF($A$2:A643,A643))</f>
        <v/>
      </c>
    </row>
    <row r="644">
      <c r="A644" s="7" t="n"/>
      <c r="B644" s="7" t="n"/>
      <c r="C644" s="7" t="n"/>
      <c r="D644" s="8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9">
        <f>IF(A644="","",A644&amp;"|"&amp;COUNTIF($A$2:A644,A644))</f>
        <v/>
      </c>
    </row>
    <row r="645">
      <c r="A645" s="7" t="n"/>
      <c r="B645" s="7" t="n"/>
      <c r="C645" s="7" t="n"/>
      <c r="D645" s="8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9">
        <f>IF(A645="","",A645&amp;"|"&amp;COUNTIF($A$2:A645,A645))</f>
        <v/>
      </c>
    </row>
    <row r="646">
      <c r="A646" s="7" t="n"/>
      <c r="B646" s="7" t="n"/>
      <c r="C646" s="7" t="n"/>
      <c r="D646" s="8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9">
        <f>IF(A646="","",A646&amp;"|"&amp;COUNTIF($A$2:A646,A646))</f>
        <v/>
      </c>
    </row>
    <row r="647">
      <c r="A647" s="7" t="n"/>
      <c r="B647" s="7" t="n"/>
      <c r="C647" s="7" t="n"/>
      <c r="D647" s="8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9">
        <f>IF(A647="","",A647&amp;"|"&amp;COUNTIF($A$2:A647,A647))</f>
        <v/>
      </c>
    </row>
    <row r="648">
      <c r="A648" s="7" t="n"/>
      <c r="B648" s="7" t="n"/>
      <c r="C648" s="7" t="n"/>
      <c r="D648" s="8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9">
        <f>IF(A648="","",A648&amp;"|"&amp;COUNTIF($A$2:A648,A648))</f>
        <v/>
      </c>
    </row>
    <row r="649">
      <c r="A649" s="7" t="n"/>
      <c r="B649" s="7" t="n"/>
      <c r="C649" s="7" t="n"/>
      <c r="D649" s="8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9">
        <f>IF(A649="","",A649&amp;"|"&amp;COUNTIF($A$2:A649,A649))</f>
        <v/>
      </c>
    </row>
    <row r="650">
      <c r="A650" s="7" t="n"/>
      <c r="B650" s="7" t="n"/>
      <c r="C650" s="7" t="n"/>
      <c r="D650" s="8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9">
        <f>IF(A650="","",A650&amp;"|"&amp;COUNTIF($A$2:A650,A650))</f>
        <v/>
      </c>
    </row>
    <row r="651">
      <c r="A651" s="7" t="n"/>
      <c r="B651" s="7" t="n"/>
      <c r="C651" s="7" t="n"/>
      <c r="D651" s="8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9">
        <f>IF(A651="","",A651&amp;"|"&amp;COUNTIF($A$2:A651,A651))</f>
        <v/>
      </c>
    </row>
    <row r="652">
      <c r="A652" s="7" t="n"/>
      <c r="B652" s="7" t="n"/>
      <c r="C652" s="7" t="n"/>
      <c r="D652" s="8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9">
        <f>IF(A652="","",A652&amp;"|"&amp;COUNTIF($A$2:A652,A652))</f>
        <v/>
      </c>
    </row>
    <row r="653">
      <c r="A653" s="7" t="n"/>
      <c r="B653" s="7" t="n"/>
      <c r="C653" s="7" t="n"/>
      <c r="D653" s="8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9">
        <f>IF(A653="","",A653&amp;"|"&amp;COUNTIF($A$2:A653,A653))</f>
        <v/>
      </c>
    </row>
    <row r="654">
      <c r="A654" s="7" t="n"/>
      <c r="B654" s="7" t="n"/>
      <c r="C654" s="7" t="n"/>
      <c r="D654" s="8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9">
        <f>IF(A654="","",A654&amp;"|"&amp;COUNTIF($A$2:A654,A654))</f>
        <v/>
      </c>
    </row>
    <row r="655">
      <c r="A655" s="7" t="n"/>
      <c r="B655" s="7" t="n"/>
      <c r="C655" s="7" t="n"/>
      <c r="D655" s="8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9">
        <f>IF(A655="","",A655&amp;"|"&amp;COUNTIF($A$2:A655,A655))</f>
        <v/>
      </c>
    </row>
    <row r="656">
      <c r="A656" s="7" t="n"/>
      <c r="B656" s="7" t="n"/>
      <c r="C656" s="7" t="n"/>
      <c r="D656" s="8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9">
        <f>IF(A656="","",A656&amp;"|"&amp;COUNTIF($A$2:A656,A656))</f>
        <v/>
      </c>
    </row>
    <row r="657">
      <c r="A657" s="7" t="n"/>
      <c r="B657" s="7" t="n"/>
      <c r="C657" s="7" t="n"/>
      <c r="D657" s="8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9">
        <f>IF(A657="","",A657&amp;"|"&amp;COUNTIF($A$2:A657,A657))</f>
        <v/>
      </c>
    </row>
    <row r="658">
      <c r="A658" s="7" t="n"/>
      <c r="B658" s="7" t="n"/>
      <c r="C658" s="7" t="n"/>
      <c r="D658" s="8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9">
        <f>IF(A658="","",A658&amp;"|"&amp;COUNTIF($A$2:A658,A658))</f>
        <v/>
      </c>
    </row>
    <row r="659">
      <c r="A659" s="7" t="n"/>
      <c r="B659" s="7" t="n"/>
      <c r="C659" s="7" t="n"/>
      <c r="D659" s="8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9">
        <f>IF(A659="","",A659&amp;"|"&amp;COUNTIF($A$2:A659,A659))</f>
        <v/>
      </c>
    </row>
    <row r="660">
      <c r="A660" s="7" t="n"/>
      <c r="B660" s="7" t="n"/>
      <c r="C660" s="7" t="n"/>
      <c r="D660" s="8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9">
        <f>IF(A660="","",A660&amp;"|"&amp;COUNTIF($A$2:A660,A660))</f>
        <v/>
      </c>
    </row>
    <row r="661">
      <c r="A661" s="7" t="n"/>
      <c r="B661" s="7" t="n"/>
      <c r="C661" s="7" t="n"/>
      <c r="D661" s="8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9">
        <f>IF(A661="","",A661&amp;"|"&amp;COUNTIF($A$2:A661,A661))</f>
        <v/>
      </c>
    </row>
    <row r="662">
      <c r="A662" s="7" t="n"/>
      <c r="B662" s="7" t="n"/>
      <c r="C662" s="7" t="n"/>
      <c r="D662" s="8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9">
        <f>IF(A662="","",A662&amp;"|"&amp;COUNTIF($A$2:A662,A662))</f>
        <v/>
      </c>
    </row>
    <row r="663">
      <c r="A663" s="7" t="n"/>
      <c r="B663" s="7" t="n"/>
      <c r="C663" s="7" t="n"/>
      <c r="D663" s="8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9">
        <f>IF(A663="","",A663&amp;"|"&amp;COUNTIF($A$2:A663,A663))</f>
        <v/>
      </c>
    </row>
    <row r="664">
      <c r="A664" s="7" t="n"/>
      <c r="B664" s="7" t="n"/>
      <c r="C664" s="7" t="n"/>
      <c r="D664" s="8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9">
        <f>IF(A664="","",A664&amp;"|"&amp;COUNTIF($A$2:A664,A664))</f>
        <v/>
      </c>
    </row>
    <row r="665">
      <c r="A665" s="7" t="n"/>
      <c r="B665" s="7" t="n"/>
      <c r="C665" s="7" t="n"/>
      <c r="D665" s="8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9">
        <f>IF(A665="","",A665&amp;"|"&amp;COUNTIF($A$2:A665,A665))</f>
        <v/>
      </c>
    </row>
    <row r="666">
      <c r="A666" s="7" t="n"/>
      <c r="B666" s="7" t="n"/>
      <c r="C666" s="7" t="n"/>
      <c r="D666" s="8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9">
        <f>IF(A666="","",A666&amp;"|"&amp;COUNTIF($A$2:A666,A666))</f>
        <v/>
      </c>
    </row>
    <row r="667">
      <c r="A667" s="7" t="n"/>
      <c r="B667" s="7" t="n"/>
      <c r="C667" s="7" t="n"/>
      <c r="D667" s="8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9">
        <f>IF(A667="","",A667&amp;"|"&amp;COUNTIF($A$2:A667,A667))</f>
        <v/>
      </c>
    </row>
    <row r="668">
      <c r="A668" s="7" t="n"/>
      <c r="B668" s="7" t="n"/>
      <c r="C668" s="7" t="n"/>
      <c r="D668" s="8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9">
        <f>IF(A668="","",A668&amp;"|"&amp;COUNTIF($A$2:A668,A668))</f>
        <v/>
      </c>
    </row>
    <row r="669">
      <c r="A669" s="7" t="n"/>
      <c r="B669" s="7" t="n"/>
      <c r="C669" s="7" t="n"/>
      <c r="D669" s="8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9">
        <f>IF(A669="","",A669&amp;"|"&amp;COUNTIF($A$2:A669,A669))</f>
        <v/>
      </c>
    </row>
    <row r="670">
      <c r="A670" s="7" t="n"/>
      <c r="B670" s="7" t="n"/>
      <c r="C670" s="7" t="n"/>
      <c r="D670" s="8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9">
        <f>IF(A670="","",A670&amp;"|"&amp;COUNTIF($A$2:A670,A670))</f>
        <v/>
      </c>
    </row>
    <row r="671">
      <c r="A671" s="7" t="n"/>
      <c r="B671" s="7" t="n"/>
      <c r="C671" s="7" t="n"/>
      <c r="D671" s="8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9">
        <f>IF(A671="","",A671&amp;"|"&amp;COUNTIF($A$2:A671,A671))</f>
        <v/>
      </c>
    </row>
    <row r="672">
      <c r="A672" s="7" t="n"/>
      <c r="B672" s="7" t="n"/>
      <c r="C672" s="7" t="n"/>
      <c r="D672" s="8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9">
        <f>IF(A672="","",A672&amp;"|"&amp;COUNTIF($A$2:A672,A672))</f>
        <v/>
      </c>
    </row>
    <row r="673">
      <c r="A673" s="7" t="n"/>
      <c r="B673" s="7" t="n"/>
      <c r="C673" s="7" t="n"/>
      <c r="D673" s="8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9">
        <f>IF(A673="","",A673&amp;"|"&amp;COUNTIF($A$2:A673,A673))</f>
        <v/>
      </c>
    </row>
    <row r="674">
      <c r="A674" s="7" t="n"/>
      <c r="B674" s="7" t="n"/>
      <c r="C674" s="7" t="n"/>
      <c r="D674" s="8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9">
        <f>IF(A674="","",A674&amp;"|"&amp;COUNTIF($A$2:A674,A674))</f>
        <v/>
      </c>
    </row>
    <row r="675">
      <c r="A675" s="7" t="n"/>
      <c r="B675" s="7" t="n"/>
      <c r="C675" s="7" t="n"/>
      <c r="D675" s="8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9">
        <f>IF(A675="","",A675&amp;"|"&amp;COUNTIF($A$2:A675,A675))</f>
        <v/>
      </c>
    </row>
    <row r="676">
      <c r="A676" s="7" t="n"/>
      <c r="B676" s="7" t="n"/>
      <c r="C676" s="7" t="n"/>
      <c r="D676" s="8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9">
        <f>IF(A676="","",A676&amp;"|"&amp;COUNTIF($A$2:A676,A676))</f>
        <v/>
      </c>
    </row>
    <row r="677">
      <c r="A677" s="7" t="n"/>
      <c r="B677" s="7" t="n"/>
      <c r="C677" s="7" t="n"/>
      <c r="D677" s="8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9">
        <f>IF(A677="","",A677&amp;"|"&amp;COUNTIF($A$2:A677,A677))</f>
        <v/>
      </c>
    </row>
    <row r="678">
      <c r="A678" s="7" t="n"/>
      <c r="B678" s="7" t="n"/>
      <c r="C678" s="7" t="n"/>
      <c r="D678" s="8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9">
        <f>IF(A678="","",A678&amp;"|"&amp;COUNTIF($A$2:A678,A678))</f>
        <v/>
      </c>
    </row>
    <row r="679">
      <c r="A679" s="7" t="n"/>
      <c r="B679" s="7" t="n"/>
      <c r="C679" s="7" t="n"/>
      <c r="D679" s="8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9">
        <f>IF(A679="","",A679&amp;"|"&amp;COUNTIF($A$2:A679,A679))</f>
        <v/>
      </c>
    </row>
    <row r="680">
      <c r="A680" s="7" t="n"/>
      <c r="B680" s="7" t="n"/>
      <c r="C680" s="7" t="n"/>
      <c r="D680" s="8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9">
        <f>IF(A680="","",A680&amp;"|"&amp;COUNTIF($A$2:A680,A680))</f>
        <v/>
      </c>
    </row>
    <row r="681">
      <c r="A681" s="7" t="n"/>
      <c r="B681" s="7" t="n"/>
      <c r="C681" s="7" t="n"/>
      <c r="D681" s="8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9">
        <f>IF(A681="","",A681&amp;"|"&amp;COUNTIF($A$2:A681,A681))</f>
        <v/>
      </c>
    </row>
    <row r="682">
      <c r="A682" s="7" t="n"/>
      <c r="B682" s="7" t="n"/>
      <c r="C682" s="7" t="n"/>
      <c r="D682" s="8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9">
        <f>IF(A682="","",A682&amp;"|"&amp;COUNTIF($A$2:A682,A682))</f>
        <v/>
      </c>
    </row>
    <row r="683">
      <c r="A683" s="7" t="n"/>
      <c r="B683" s="7" t="n"/>
      <c r="C683" s="7" t="n"/>
      <c r="D683" s="8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9">
        <f>IF(A683="","",A683&amp;"|"&amp;COUNTIF($A$2:A683,A683))</f>
        <v/>
      </c>
    </row>
    <row r="684">
      <c r="A684" s="7" t="n"/>
      <c r="B684" s="7" t="n"/>
      <c r="C684" s="7" t="n"/>
      <c r="D684" s="8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9">
        <f>IF(A684="","",A684&amp;"|"&amp;COUNTIF($A$2:A684,A684))</f>
        <v/>
      </c>
    </row>
    <row r="685">
      <c r="A685" s="7" t="n"/>
      <c r="B685" s="7" t="n"/>
      <c r="C685" s="7" t="n"/>
      <c r="D685" s="8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9">
        <f>IF(A685="","",A685&amp;"|"&amp;COUNTIF($A$2:A685,A685))</f>
        <v/>
      </c>
    </row>
    <row r="686">
      <c r="A686" s="7" t="n"/>
      <c r="B686" s="7" t="n"/>
      <c r="C686" s="7" t="n"/>
      <c r="D686" s="8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9">
        <f>IF(A686="","",A686&amp;"|"&amp;COUNTIF($A$2:A686,A686))</f>
        <v/>
      </c>
    </row>
    <row r="687">
      <c r="A687" s="7" t="n"/>
      <c r="B687" s="7" t="n"/>
      <c r="C687" s="7" t="n"/>
      <c r="D687" s="8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9">
        <f>IF(A687="","",A687&amp;"|"&amp;COUNTIF($A$2:A687,A687))</f>
        <v/>
      </c>
    </row>
    <row r="688">
      <c r="A688" s="7" t="n"/>
      <c r="B688" s="7" t="n"/>
      <c r="C688" s="7" t="n"/>
      <c r="D688" s="8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9">
        <f>IF(A688="","",A688&amp;"|"&amp;COUNTIF($A$2:A688,A688))</f>
        <v/>
      </c>
    </row>
    <row r="689">
      <c r="A689" s="7" t="n"/>
      <c r="B689" s="7" t="n"/>
      <c r="C689" s="7" t="n"/>
      <c r="D689" s="8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9">
        <f>IF(A689="","",A689&amp;"|"&amp;COUNTIF($A$2:A689,A689))</f>
        <v/>
      </c>
    </row>
    <row r="690">
      <c r="A690" s="7" t="n"/>
      <c r="B690" s="7" t="n"/>
      <c r="C690" s="7" t="n"/>
      <c r="D690" s="8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9">
        <f>IF(A690="","",A690&amp;"|"&amp;COUNTIF($A$2:A690,A690))</f>
        <v/>
      </c>
    </row>
    <row r="691">
      <c r="A691" s="7" t="n"/>
      <c r="B691" s="7" t="n"/>
      <c r="C691" s="7" t="n"/>
      <c r="D691" s="8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9">
        <f>IF(A691="","",A691&amp;"|"&amp;COUNTIF($A$2:A691,A691))</f>
        <v/>
      </c>
    </row>
    <row r="692">
      <c r="A692" s="7" t="n"/>
      <c r="B692" s="7" t="n"/>
      <c r="C692" s="7" t="n"/>
      <c r="D692" s="8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9">
        <f>IF(A692="","",A692&amp;"|"&amp;COUNTIF($A$2:A692,A692))</f>
        <v/>
      </c>
    </row>
    <row r="693">
      <c r="A693" s="7" t="n"/>
      <c r="B693" s="7" t="n"/>
      <c r="C693" s="7" t="n"/>
      <c r="D693" s="8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9">
        <f>IF(A693="","",A693&amp;"|"&amp;COUNTIF($A$2:A693,A693))</f>
        <v/>
      </c>
    </row>
    <row r="694">
      <c r="A694" s="7" t="n"/>
      <c r="B694" s="7" t="n"/>
      <c r="C694" s="7" t="n"/>
      <c r="D694" s="8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9">
        <f>IF(A694="","",A694&amp;"|"&amp;COUNTIF($A$2:A694,A694))</f>
        <v/>
      </c>
    </row>
    <row r="695">
      <c r="A695" s="7" t="n"/>
      <c r="B695" s="7" t="n"/>
      <c r="C695" s="7" t="n"/>
      <c r="D695" s="8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9">
        <f>IF(A695="","",A695&amp;"|"&amp;COUNTIF($A$2:A695,A695))</f>
        <v/>
      </c>
    </row>
    <row r="696">
      <c r="A696" s="7" t="n"/>
      <c r="B696" s="7" t="n"/>
      <c r="C696" s="7" t="n"/>
      <c r="D696" s="8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9">
        <f>IF(A696="","",A696&amp;"|"&amp;COUNTIF($A$2:A696,A696))</f>
        <v/>
      </c>
    </row>
    <row r="697">
      <c r="A697" s="7" t="n"/>
      <c r="B697" s="7" t="n"/>
      <c r="C697" s="7" t="n"/>
      <c r="D697" s="8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9">
        <f>IF(A697="","",A697&amp;"|"&amp;COUNTIF($A$2:A697,A697))</f>
        <v/>
      </c>
    </row>
    <row r="698">
      <c r="A698" s="7" t="n"/>
      <c r="B698" s="7" t="n"/>
      <c r="C698" s="7" t="n"/>
      <c r="D698" s="8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9">
        <f>IF(A698="","",A698&amp;"|"&amp;COUNTIF($A$2:A698,A698))</f>
        <v/>
      </c>
    </row>
    <row r="699">
      <c r="A699" s="7" t="n"/>
      <c r="B699" s="7" t="n"/>
      <c r="C699" s="7" t="n"/>
      <c r="D699" s="8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9">
        <f>IF(A699="","",A699&amp;"|"&amp;COUNTIF($A$2:A699,A699))</f>
        <v/>
      </c>
    </row>
    <row r="700">
      <c r="A700" s="7" t="n"/>
      <c r="B700" s="7" t="n"/>
      <c r="C700" s="7" t="n"/>
      <c r="D700" s="8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9">
        <f>IF(A700="","",A700&amp;"|"&amp;COUNTIF($A$2:A700,A700))</f>
        <v/>
      </c>
    </row>
    <row r="701">
      <c r="A701" s="7" t="n"/>
      <c r="B701" s="7" t="n"/>
      <c r="C701" s="7" t="n"/>
      <c r="D701" s="8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9">
        <f>IF(A701="","",A701&amp;"|"&amp;COUNTIF($A$2:A701,A701))</f>
        <v/>
      </c>
    </row>
    <row r="702">
      <c r="A702" s="7" t="n"/>
      <c r="B702" s="7" t="n"/>
      <c r="C702" s="7" t="n"/>
      <c r="D702" s="8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9">
        <f>IF(A702="","",A702&amp;"|"&amp;COUNTIF($A$2:A702,A702))</f>
        <v/>
      </c>
    </row>
    <row r="703">
      <c r="A703" s="7" t="n"/>
      <c r="B703" s="7" t="n"/>
      <c r="C703" s="7" t="n"/>
      <c r="D703" s="8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9">
        <f>IF(A703="","",A703&amp;"|"&amp;COUNTIF($A$2:A703,A703))</f>
        <v/>
      </c>
    </row>
    <row r="704">
      <c r="A704" s="7" t="n"/>
      <c r="B704" s="7" t="n"/>
      <c r="C704" s="7" t="n"/>
      <c r="D704" s="8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9">
        <f>IF(A704="","",A704&amp;"|"&amp;COUNTIF($A$2:A704,A704))</f>
        <v/>
      </c>
    </row>
    <row r="705">
      <c r="A705" s="7" t="n"/>
      <c r="B705" s="7" t="n"/>
      <c r="C705" s="7" t="n"/>
      <c r="D705" s="8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9">
        <f>IF(A705="","",A705&amp;"|"&amp;COUNTIF($A$2:A705,A705))</f>
        <v/>
      </c>
    </row>
    <row r="706">
      <c r="A706" s="7" t="n"/>
      <c r="B706" s="7" t="n"/>
      <c r="C706" s="7" t="n"/>
      <c r="D706" s="8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9">
        <f>IF(A706="","",A706&amp;"|"&amp;COUNTIF($A$2:A706,A706))</f>
        <v/>
      </c>
    </row>
    <row r="707">
      <c r="A707" s="7" t="n"/>
      <c r="B707" s="7" t="n"/>
      <c r="C707" s="7" t="n"/>
      <c r="D707" s="8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9">
        <f>IF(A707="","",A707&amp;"|"&amp;COUNTIF($A$2:A707,A707))</f>
        <v/>
      </c>
    </row>
    <row r="708">
      <c r="A708" s="7" t="n"/>
      <c r="B708" s="7" t="n"/>
      <c r="C708" s="7" t="n"/>
      <c r="D708" s="8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9">
        <f>IF(A708="","",A708&amp;"|"&amp;COUNTIF($A$2:A708,A708))</f>
        <v/>
      </c>
    </row>
    <row r="709">
      <c r="A709" s="7" t="n"/>
      <c r="B709" s="7" t="n"/>
      <c r="C709" s="7" t="n"/>
      <c r="D709" s="8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9">
        <f>IF(A709="","",A709&amp;"|"&amp;COUNTIF($A$2:A709,A709))</f>
        <v/>
      </c>
    </row>
    <row r="710">
      <c r="A710" s="7" t="n"/>
      <c r="B710" s="7" t="n"/>
      <c r="C710" s="7" t="n"/>
      <c r="D710" s="8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9">
        <f>IF(A710="","",A710&amp;"|"&amp;COUNTIF($A$2:A710,A710))</f>
        <v/>
      </c>
    </row>
    <row r="711">
      <c r="A711" s="7" t="n"/>
      <c r="B711" s="7" t="n"/>
      <c r="C711" s="7" t="n"/>
      <c r="D711" s="8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9">
        <f>IF(A711="","",A711&amp;"|"&amp;COUNTIF($A$2:A711,A711))</f>
        <v/>
      </c>
    </row>
    <row r="712">
      <c r="A712" s="7" t="n"/>
      <c r="B712" s="7" t="n"/>
      <c r="C712" s="7" t="n"/>
      <c r="D712" s="8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9">
        <f>IF(A712="","",A712&amp;"|"&amp;COUNTIF($A$2:A712,A712))</f>
        <v/>
      </c>
    </row>
    <row r="713">
      <c r="A713" s="7" t="n"/>
      <c r="B713" s="7" t="n"/>
      <c r="C713" s="7" t="n"/>
      <c r="D713" s="8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9">
        <f>IF(A713="","",A713&amp;"|"&amp;COUNTIF($A$2:A713,A713))</f>
        <v/>
      </c>
    </row>
    <row r="714">
      <c r="A714" s="7" t="n"/>
      <c r="B714" s="7" t="n"/>
      <c r="C714" s="7" t="n"/>
      <c r="D714" s="8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9">
        <f>IF(A714="","",A714&amp;"|"&amp;COUNTIF($A$2:A714,A714))</f>
        <v/>
      </c>
    </row>
    <row r="715">
      <c r="A715" s="7" t="n"/>
      <c r="B715" s="7" t="n"/>
      <c r="C715" s="7" t="n"/>
      <c r="D715" s="8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9">
        <f>IF(A715="","",A715&amp;"|"&amp;COUNTIF($A$2:A715,A715))</f>
        <v/>
      </c>
    </row>
    <row r="716">
      <c r="A716" s="7" t="n"/>
      <c r="B716" s="7" t="n"/>
      <c r="C716" s="7" t="n"/>
      <c r="D716" s="8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9">
        <f>IF(A716="","",A716&amp;"|"&amp;COUNTIF($A$2:A716,A716))</f>
        <v/>
      </c>
    </row>
    <row r="717">
      <c r="A717" s="7" t="n"/>
      <c r="B717" s="7" t="n"/>
      <c r="C717" s="7" t="n"/>
      <c r="D717" s="8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9">
        <f>IF(A717="","",A717&amp;"|"&amp;COUNTIF($A$2:A717,A717))</f>
        <v/>
      </c>
    </row>
    <row r="718">
      <c r="A718" s="7" t="n"/>
      <c r="B718" s="7" t="n"/>
      <c r="C718" s="7" t="n"/>
      <c r="D718" s="8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9">
        <f>IF(A718="","",A718&amp;"|"&amp;COUNTIF($A$2:A718,A718))</f>
        <v/>
      </c>
    </row>
    <row r="719">
      <c r="A719" s="7" t="n"/>
      <c r="B719" s="7" t="n"/>
      <c r="C719" s="7" t="n"/>
      <c r="D719" s="8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9">
        <f>IF(A719="","",A719&amp;"|"&amp;COUNTIF($A$2:A719,A719))</f>
        <v/>
      </c>
    </row>
    <row r="720">
      <c r="A720" s="7" t="n"/>
      <c r="B720" s="7" t="n"/>
      <c r="C720" s="7" t="n"/>
      <c r="D720" s="8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9">
        <f>IF(A720="","",A720&amp;"|"&amp;COUNTIF($A$2:A720,A720))</f>
        <v/>
      </c>
    </row>
    <row r="721">
      <c r="A721" s="7" t="n"/>
      <c r="B721" s="7" t="n"/>
      <c r="C721" s="7" t="n"/>
      <c r="D721" s="8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9">
        <f>IF(A721="","",A721&amp;"|"&amp;COUNTIF($A$2:A721,A721))</f>
        <v/>
      </c>
    </row>
    <row r="722">
      <c r="A722" s="7" t="n"/>
      <c r="B722" s="7" t="n"/>
      <c r="C722" s="7" t="n"/>
      <c r="D722" s="8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9">
        <f>IF(A722="","",A722&amp;"|"&amp;COUNTIF($A$2:A722,A722))</f>
        <v/>
      </c>
    </row>
    <row r="723">
      <c r="A723" s="7" t="n"/>
      <c r="B723" s="7" t="n"/>
      <c r="C723" s="7" t="n"/>
      <c r="D723" s="8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9">
        <f>IF(A723="","",A723&amp;"|"&amp;COUNTIF($A$2:A723,A723))</f>
        <v/>
      </c>
    </row>
    <row r="724">
      <c r="A724" s="7" t="n"/>
      <c r="B724" s="7" t="n"/>
      <c r="C724" s="7" t="n"/>
      <c r="D724" s="8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9">
        <f>IF(A724="","",A724&amp;"|"&amp;COUNTIF($A$2:A724,A724))</f>
        <v/>
      </c>
    </row>
    <row r="725">
      <c r="A725" s="7" t="n"/>
      <c r="B725" s="7" t="n"/>
      <c r="C725" s="7" t="n"/>
      <c r="D725" s="8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9">
        <f>IF(A725="","",A725&amp;"|"&amp;COUNTIF($A$2:A725,A725))</f>
        <v/>
      </c>
    </row>
    <row r="726">
      <c r="A726" s="7" t="n"/>
      <c r="B726" s="7" t="n"/>
      <c r="C726" s="7" t="n"/>
      <c r="D726" s="8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9">
        <f>IF(A726="","",A726&amp;"|"&amp;COUNTIF($A$2:A726,A726))</f>
        <v/>
      </c>
    </row>
    <row r="727">
      <c r="A727" s="7" t="n"/>
      <c r="B727" s="7" t="n"/>
      <c r="C727" s="7" t="n"/>
      <c r="D727" s="8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9">
        <f>IF(A727="","",A727&amp;"|"&amp;COUNTIF($A$2:A727,A727))</f>
        <v/>
      </c>
    </row>
    <row r="728">
      <c r="A728" s="7" t="n"/>
      <c r="B728" s="7" t="n"/>
      <c r="C728" s="7" t="n"/>
      <c r="D728" s="8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9">
        <f>IF(A728="","",A728&amp;"|"&amp;COUNTIF($A$2:A728,A728))</f>
        <v/>
      </c>
    </row>
    <row r="729">
      <c r="A729" s="7" t="n"/>
      <c r="B729" s="7" t="n"/>
      <c r="C729" s="7" t="n"/>
      <c r="D729" s="8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9">
        <f>IF(A729="","",A729&amp;"|"&amp;COUNTIF($A$2:A729,A729))</f>
        <v/>
      </c>
    </row>
    <row r="730">
      <c r="A730" s="7" t="n"/>
      <c r="B730" s="7" t="n"/>
      <c r="C730" s="7" t="n"/>
      <c r="D730" s="8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9">
        <f>IF(A730="","",A730&amp;"|"&amp;COUNTIF($A$2:A730,A730))</f>
        <v/>
      </c>
    </row>
    <row r="731">
      <c r="A731" s="7" t="n"/>
      <c r="B731" s="7" t="n"/>
      <c r="C731" s="7" t="n"/>
      <c r="D731" s="8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9">
        <f>IF(A731="","",A731&amp;"|"&amp;COUNTIF($A$2:A731,A731))</f>
        <v/>
      </c>
    </row>
    <row r="732">
      <c r="A732" s="7" t="n"/>
      <c r="B732" s="7" t="n"/>
      <c r="C732" s="7" t="n"/>
      <c r="D732" s="8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9">
        <f>IF(A732="","",A732&amp;"|"&amp;COUNTIF($A$2:A732,A732))</f>
        <v/>
      </c>
    </row>
    <row r="733">
      <c r="A733" s="7" t="n"/>
      <c r="B733" s="7" t="n"/>
      <c r="C733" s="7" t="n"/>
      <c r="D733" s="8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9">
        <f>IF(A733="","",A733&amp;"|"&amp;COUNTIF($A$2:A733,A733))</f>
        <v/>
      </c>
    </row>
    <row r="734">
      <c r="A734" s="7" t="n"/>
      <c r="B734" s="7" t="n"/>
      <c r="C734" s="7" t="n"/>
      <c r="D734" s="8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9">
        <f>IF(A734="","",A734&amp;"|"&amp;COUNTIF($A$2:A734,A734))</f>
        <v/>
      </c>
    </row>
    <row r="735">
      <c r="A735" s="7" t="n"/>
      <c r="B735" s="7" t="n"/>
      <c r="C735" s="7" t="n"/>
      <c r="D735" s="8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9">
        <f>IF(A735="","",A735&amp;"|"&amp;COUNTIF($A$2:A735,A735))</f>
        <v/>
      </c>
    </row>
    <row r="736">
      <c r="A736" s="7" t="n"/>
      <c r="B736" s="7" t="n"/>
      <c r="C736" s="7" t="n"/>
      <c r="D736" s="8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9">
        <f>IF(A736="","",A736&amp;"|"&amp;COUNTIF($A$2:A736,A736))</f>
        <v/>
      </c>
    </row>
    <row r="737">
      <c r="A737" s="7" t="n"/>
      <c r="B737" s="7" t="n"/>
      <c r="C737" s="7" t="n"/>
      <c r="D737" s="8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9">
        <f>IF(A737="","",A737&amp;"|"&amp;COUNTIF($A$2:A737,A737))</f>
        <v/>
      </c>
    </row>
    <row r="738">
      <c r="A738" s="7" t="n"/>
      <c r="B738" s="7" t="n"/>
      <c r="C738" s="7" t="n"/>
      <c r="D738" s="8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9">
        <f>IF(A738="","",A738&amp;"|"&amp;COUNTIF($A$2:A738,A738))</f>
        <v/>
      </c>
    </row>
    <row r="739">
      <c r="A739" s="7" t="n"/>
      <c r="B739" s="7" t="n"/>
      <c r="C739" s="7" t="n"/>
      <c r="D739" s="8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9">
        <f>IF(A739="","",A739&amp;"|"&amp;COUNTIF($A$2:A739,A739))</f>
        <v/>
      </c>
    </row>
    <row r="740">
      <c r="A740" s="7" t="n"/>
      <c r="B740" s="7" t="n"/>
      <c r="C740" s="7" t="n"/>
      <c r="D740" s="8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9">
        <f>IF(A740="","",A740&amp;"|"&amp;COUNTIF($A$2:A740,A740))</f>
        <v/>
      </c>
    </row>
    <row r="741">
      <c r="A741" s="7" t="n"/>
      <c r="B741" s="7" t="n"/>
      <c r="C741" s="7" t="n"/>
      <c r="D741" s="8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9">
        <f>IF(A741="","",A741&amp;"|"&amp;COUNTIF($A$2:A741,A741))</f>
        <v/>
      </c>
    </row>
    <row r="742">
      <c r="A742" s="7" t="n"/>
      <c r="B742" s="7" t="n"/>
      <c r="C742" s="7" t="n"/>
      <c r="D742" s="8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9">
        <f>IF(A742="","",A742&amp;"|"&amp;COUNTIF($A$2:A742,A742))</f>
        <v/>
      </c>
    </row>
    <row r="743">
      <c r="A743" s="7" t="n"/>
      <c r="B743" s="7" t="n"/>
      <c r="C743" s="7" t="n"/>
      <c r="D743" s="8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9">
        <f>IF(A743="","",A743&amp;"|"&amp;COUNTIF($A$2:A743,A743))</f>
        <v/>
      </c>
    </row>
    <row r="744">
      <c r="A744" s="7" t="n"/>
      <c r="B744" s="7" t="n"/>
      <c r="C744" s="7" t="n"/>
      <c r="D744" s="8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9">
        <f>IF(A744="","",A744&amp;"|"&amp;COUNTIF($A$2:A744,A744))</f>
        <v/>
      </c>
    </row>
    <row r="745">
      <c r="A745" s="7" t="n"/>
      <c r="B745" s="7" t="n"/>
      <c r="C745" s="7" t="n"/>
      <c r="D745" s="8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9">
        <f>IF(A745="","",A745&amp;"|"&amp;COUNTIF($A$2:A745,A745))</f>
        <v/>
      </c>
    </row>
    <row r="746">
      <c r="A746" s="7" t="n"/>
      <c r="B746" s="7" t="n"/>
      <c r="C746" s="7" t="n"/>
      <c r="D746" s="8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9">
        <f>IF(A746="","",A746&amp;"|"&amp;COUNTIF($A$2:A746,A746))</f>
        <v/>
      </c>
    </row>
    <row r="747">
      <c r="A747" s="7" t="n"/>
      <c r="B747" s="7" t="n"/>
      <c r="C747" s="7" t="n"/>
      <c r="D747" s="8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9">
        <f>IF(A747="","",A747&amp;"|"&amp;COUNTIF($A$2:A747,A747))</f>
        <v/>
      </c>
    </row>
    <row r="748">
      <c r="A748" s="7" t="n"/>
      <c r="B748" s="7" t="n"/>
      <c r="C748" s="7" t="n"/>
      <c r="D748" s="8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9">
        <f>IF(A748="","",A748&amp;"|"&amp;COUNTIF($A$2:A748,A748))</f>
        <v/>
      </c>
    </row>
    <row r="749">
      <c r="A749" s="7" t="n"/>
      <c r="B749" s="7" t="n"/>
      <c r="C749" s="7" t="n"/>
      <c r="D749" s="8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9">
        <f>IF(A749="","",A749&amp;"|"&amp;COUNTIF($A$2:A749,A749))</f>
        <v/>
      </c>
    </row>
    <row r="750">
      <c r="A750" s="7" t="n"/>
      <c r="B750" s="7" t="n"/>
      <c r="C750" s="7" t="n"/>
      <c r="D750" s="8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9">
        <f>IF(A750="","",A750&amp;"|"&amp;COUNTIF($A$2:A750,A750))</f>
        <v/>
      </c>
    </row>
    <row r="751">
      <c r="A751" s="7" t="n"/>
      <c r="B751" s="7" t="n"/>
      <c r="C751" s="7" t="n"/>
      <c r="D751" s="8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9">
        <f>IF(A751="","",A751&amp;"|"&amp;COUNTIF($A$2:A751,A751))</f>
        <v/>
      </c>
    </row>
    <row r="752">
      <c r="A752" s="7" t="n"/>
      <c r="B752" s="7" t="n"/>
      <c r="C752" s="7" t="n"/>
      <c r="D752" s="8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9">
        <f>IF(A752="","",A752&amp;"|"&amp;COUNTIF($A$2:A752,A752))</f>
        <v/>
      </c>
    </row>
    <row r="753">
      <c r="A753" s="7" t="n"/>
      <c r="B753" s="7" t="n"/>
      <c r="C753" s="7" t="n"/>
      <c r="D753" s="8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9">
        <f>IF(A753="","",A753&amp;"|"&amp;COUNTIF($A$2:A753,A753))</f>
        <v/>
      </c>
    </row>
    <row r="754">
      <c r="A754" s="7" t="n"/>
      <c r="B754" s="7" t="n"/>
      <c r="C754" s="7" t="n"/>
      <c r="D754" s="8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9">
        <f>IF(A754="","",A754&amp;"|"&amp;COUNTIF($A$2:A754,A754))</f>
        <v/>
      </c>
    </row>
    <row r="755">
      <c r="A755" s="7" t="n"/>
      <c r="B755" s="7" t="n"/>
      <c r="C755" s="7" t="n"/>
      <c r="D755" s="8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9">
        <f>IF(A755="","",A755&amp;"|"&amp;COUNTIF($A$2:A755,A755))</f>
        <v/>
      </c>
    </row>
    <row r="756">
      <c r="A756" s="7" t="n"/>
      <c r="B756" s="7" t="n"/>
      <c r="C756" s="7" t="n"/>
      <c r="D756" s="8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9">
        <f>IF(A756="","",A756&amp;"|"&amp;COUNTIF($A$2:A756,A756))</f>
        <v/>
      </c>
    </row>
    <row r="757">
      <c r="A757" s="7" t="n"/>
      <c r="B757" s="7" t="n"/>
      <c r="C757" s="7" t="n"/>
      <c r="D757" s="8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9">
        <f>IF(A757="","",A757&amp;"|"&amp;COUNTIF($A$2:A757,A757))</f>
        <v/>
      </c>
    </row>
    <row r="758">
      <c r="A758" s="7" t="n"/>
      <c r="B758" s="7" t="n"/>
      <c r="C758" s="7" t="n"/>
      <c r="D758" s="8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9">
        <f>IF(A758="","",A758&amp;"|"&amp;COUNTIF($A$2:A758,A758))</f>
        <v/>
      </c>
    </row>
    <row r="759">
      <c r="A759" s="7" t="n"/>
      <c r="B759" s="7" t="n"/>
      <c r="C759" s="7" t="n"/>
      <c r="D759" s="8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9">
        <f>IF(A759="","",A759&amp;"|"&amp;COUNTIF($A$2:A759,A759))</f>
        <v/>
      </c>
    </row>
    <row r="760">
      <c r="A760" s="7" t="n"/>
      <c r="B760" s="7" t="n"/>
      <c r="C760" s="7" t="n"/>
      <c r="D760" s="8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9">
        <f>IF(A760="","",A760&amp;"|"&amp;COUNTIF($A$2:A760,A760))</f>
        <v/>
      </c>
    </row>
    <row r="761">
      <c r="A761" s="7" t="n"/>
      <c r="B761" s="7" t="n"/>
      <c r="C761" s="7" t="n"/>
      <c r="D761" s="8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9">
        <f>IF(A761="","",A761&amp;"|"&amp;COUNTIF($A$2:A761,A761))</f>
        <v/>
      </c>
    </row>
    <row r="762">
      <c r="A762" s="7" t="n"/>
      <c r="B762" s="7" t="n"/>
      <c r="C762" s="7" t="n"/>
      <c r="D762" s="8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9">
        <f>IF(A762="","",A762&amp;"|"&amp;COUNTIF($A$2:A762,A762))</f>
        <v/>
      </c>
    </row>
    <row r="763">
      <c r="A763" s="7" t="n"/>
      <c r="B763" s="7" t="n"/>
      <c r="C763" s="7" t="n"/>
      <c r="D763" s="8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9">
        <f>IF(A763="","",A763&amp;"|"&amp;COUNTIF($A$2:A763,A763))</f>
        <v/>
      </c>
    </row>
    <row r="764">
      <c r="A764" s="7" t="n"/>
      <c r="B764" s="7" t="n"/>
      <c r="C764" s="7" t="n"/>
      <c r="D764" s="8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9">
        <f>IF(A764="","",A764&amp;"|"&amp;COUNTIF($A$2:A764,A764))</f>
        <v/>
      </c>
    </row>
    <row r="765">
      <c r="A765" s="7" t="n"/>
      <c r="B765" s="7" t="n"/>
      <c r="C765" s="7" t="n"/>
      <c r="D765" s="8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9">
        <f>IF(A765="","",A765&amp;"|"&amp;COUNTIF($A$2:A765,A765))</f>
        <v/>
      </c>
    </row>
    <row r="766">
      <c r="A766" s="7" t="n"/>
      <c r="B766" s="7" t="n"/>
      <c r="C766" s="7" t="n"/>
      <c r="D766" s="8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9">
        <f>IF(A766="","",A766&amp;"|"&amp;COUNTIF($A$2:A766,A766))</f>
        <v/>
      </c>
    </row>
    <row r="767">
      <c r="A767" s="7" t="n"/>
      <c r="B767" s="7" t="n"/>
      <c r="C767" s="7" t="n"/>
      <c r="D767" s="8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9">
        <f>IF(A767="","",A767&amp;"|"&amp;COUNTIF($A$2:A767,A767))</f>
        <v/>
      </c>
    </row>
    <row r="768">
      <c r="A768" s="7" t="n"/>
      <c r="B768" s="7" t="n"/>
      <c r="C768" s="7" t="n"/>
      <c r="D768" s="8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9">
        <f>IF(A768="","",A768&amp;"|"&amp;COUNTIF($A$2:A768,A768))</f>
        <v/>
      </c>
    </row>
    <row r="769">
      <c r="A769" s="7" t="n"/>
      <c r="B769" s="7" t="n"/>
      <c r="C769" s="7" t="n"/>
      <c r="D769" s="8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9">
        <f>IF(A769="","",A769&amp;"|"&amp;COUNTIF($A$2:A769,A769))</f>
        <v/>
      </c>
    </row>
    <row r="770">
      <c r="A770" s="7" t="n"/>
      <c r="B770" s="7" t="n"/>
      <c r="C770" s="7" t="n"/>
      <c r="D770" s="8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9">
        <f>IF(A770="","",A770&amp;"|"&amp;COUNTIF($A$2:A770,A770))</f>
        <v/>
      </c>
    </row>
    <row r="771">
      <c r="A771" s="7" t="n"/>
      <c r="B771" s="7" t="n"/>
      <c r="C771" s="7" t="n"/>
      <c r="D771" s="8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9">
        <f>IF(A771="","",A771&amp;"|"&amp;COUNTIF($A$2:A771,A771))</f>
        <v/>
      </c>
    </row>
    <row r="772">
      <c r="A772" s="7" t="n"/>
      <c r="B772" s="7" t="n"/>
      <c r="C772" s="7" t="n"/>
      <c r="D772" s="8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9">
        <f>IF(A772="","",A772&amp;"|"&amp;COUNTIF($A$2:A772,A772))</f>
        <v/>
      </c>
    </row>
    <row r="773">
      <c r="A773" s="7" t="n"/>
      <c r="B773" s="7" t="n"/>
      <c r="C773" s="7" t="n"/>
      <c r="D773" s="8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9">
        <f>IF(A773="","",A773&amp;"|"&amp;COUNTIF($A$2:A773,A773))</f>
        <v/>
      </c>
    </row>
    <row r="774">
      <c r="A774" s="7" t="n"/>
      <c r="B774" s="7" t="n"/>
      <c r="C774" s="7" t="n"/>
      <c r="D774" s="8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9">
        <f>IF(A774="","",A774&amp;"|"&amp;COUNTIF($A$2:A774,A774))</f>
        <v/>
      </c>
    </row>
    <row r="775">
      <c r="A775" s="7" t="n"/>
      <c r="B775" s="7" t="n"/>
      <c r="C775" s="7" t="n"/>
      <c r="D775" s="8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9">
        <f>IF(A775="","",A775&amp;"|"&amp;COUNTIF($A$2:A775,A775))</f>
        <v/>
      </c>
    </row>
    <row r="776">
      <c r="A776" s="7" t="n"/>
      <c r="B776" s="7" t="n"/>
      <c r="C776" s="7" t="n"/>
      <c r="D776" s="8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9">
        <f>IF(A776="","",A776&amp;"|"&amp;COUNTIF($A$2:A776,A776))</f>
        <v/>
      </c>
    </row>
    <row r="777">
      <c r="A777" s="7" t="n"/>
      <c r="B777" s="7" t="n"/>
      <c r="C777" s="7" t="n"/>
      <c r="D777" s="8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9">
        <f>IF(A777="","",A777&amp;"|"&amp;COUNTIF($A$2:A777,A777))</f>
        <v/>
      </c>
    </row>
    <row r="778">
      <c r="A778" s="7" t="n"/>
      <c r="B778" s="7" t="n"/>
      <c r="C778" s="7" t="n"/>
      <c r="D778" s="8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9">
        <f>IF(A778="","",A778&amp;"|"&amp;COUNTIF($A$2:A778,A778))</f>
        <v/>
      </c>
    </row>
    <row r="779">
      <c r="A779" s="7" t="n"/>
      <c r="B779" s="7" t="n"/>
      <c r="C779" s="7" t="n"/>
      <c r="D779" s="8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9">
        <f>IF(A779="","",A779&amp;"|"&amp;COUNTIF($A$2:A779,A779))</f>
        <v/>
      </c>
    </row>
    <row r="780">
      <c r="A780" s="7" t="n"/>
      <c r="B780" s="7" t="n"/>
      <c r="C780" s="7" t="n"/>
      <c r="D780" s="8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9">
        <f>IF(A780="","",A780&amp;"|"&amp;COUNTIF($A$2:A780,A780))</f>
        <v/>
      </c>
    </row>
    <row r="781">
      <c r="A781" s="7" t="n"/>
      <c r="B781" s="7" t="n"/>
      <c r="C781" s="7" t="n"/>
      <c r="D781" s="8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9">
        <f>IF(A781="","",A781&amp;"|"&amp;COUNTIF($A$2:A781,A781))</f>
        <v/>
      </c>
    </row>
    <row r="782">
      <c r="A782" s="7" t="n"/>
      <c r="B782" s="7" t="n"/>
      <c r="C782" s="7" t="n"/>
      <c r="D782" s="8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9">
        <f>IF(A782="","",A782&amp;"|"&amp;COUNTIF($A$2:A782,A782))</f>
        <v/>
      </c>
    </row>
    <row r="783">
      <c r="A783" s="7" t="n"/>
      <c r="B783" s="7" t="n"/>
      <c r="C783" s="7" t="n"/>
      <c r="D783" s="8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9">
        <f>IF(A783="","",A783&amp;"|"&amp;COUNTIF($A$2:A783,A783))</f>
        <v/>
      </c>
    </row>
    <row r="784">
      <c r="A784" s="7" t="n"/>
      <c r="B784" s="7" t="n"/>
      <c r="C784" s="7" t="n"/>
      <c r="D784" s="8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9">
        <f>IF(A784="","",A784&amp;"|"&amp;COUNTIF($A$2:A784,A784))</f>
        <v/>
      </c>
    </row>
    <row r="785">
      <c r="A785" s="7" t="n"/>
      <c r="B785" s="7" t="n"/>
      <c r="C785" s="7" t="n"/>
      <c r="D785" s="8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9">
        <f>IF(A785="","",A785&amp;"|"&amp;COUNTIF($A$2:A785,A785))</f>
        <v/>
      </c>
    </row>
    <row r="786">
      <c r="A786" s="7" t="n"/>
      <c r="B786" s="7" t="n"/>
      <c r="C786" s="7" t="n"/>
      <c r="D786" s="8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9">
        <f>IF(A786="","",A786&amp;"|"&amp;COUNTIF($A$2:A786,A786))</f>
        <v/>
      </c>
    </row>
    <row r="787">
      <c r="A787" s="7" t="n"/>
      <c r="B787" s="7" t="n"/>
      <c r="C787" s="7" t="n"/>
      <c r="D787" s="8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9">
        <f>IF(A787="","",A787&amp;"|"&amp;COUNTIF($A$2:A787,A787))</f>
        <v/>
      </c>
    </row>
    <row r="788">
      <c r="A788" s="7" t="n"/>
      <c r="B788" s="7" t="n"/>
      <c r="C788" s="7" t="n"/>
      <c r="D788" s="8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9">
        <f>IF(A788="","",A788&amp;"|"&amp;COUNTIF($A$2:A788,A788))</f>
        <v/>
      </c>
    </row>
    <row r="789">
      <c r="A789" s="7" t="n"/>
      <c r="B789" s="7" t="n"/>
      <c r="C789" s="7" t="n"/>
      <c r="D789" s="8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9">
        <f>IF(A789="","",A789&amp;"|"&amp;COUNTIF($A$2:A789,A789))</f>
        <v/>
      </c>
    </row>
    <row r="790">
      <c r="A790" s="7" t="n"/>
      <c r="B790" s="7" t="n"/>
      <c r="C790" s="7" t="n"/>
      <c r="D790" s="8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9">
        <f>IF(A790="","",A790&amp;"|"&amp;COUNTIF($A$2:A790,A790))</f>
        <v/>
      </c>
    </row>
    <row r="791">
      <c r="A791" s="7" t="n"/>
      <c r="B791" s="7" t="n"/>
      <c r="C791" s="7" t="n"/>
      <c r="D791" s="8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9">
        <f>IF(A791="","",A791&amp;"|"&amp;COUNTIF($A$2:A791,A791))</f>
        <v/>
      </c>
    </row>
    <row r="792">
      <c r="A792" s="7" t="n"/>
      <c r="B792" s="7" t="n"/>
      <c r="C792" s="7" t="n"/>
      <c r="D792" s="8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9">
        <f>IF(A792="","",A792&amp;"|"&amp;COUNTIF($A$2:A792,A792))</f>
        <v/>
      </c>
    </row>
    <row r="793">
      <c r="A793" s="7" t="n"/>
      <c r="B793" s="7" t="n"/>
      <c r="C793" s="7" t="n"/>
      <c r="D793" s="8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9">
        <f>IF(A793="","",A793&amp;"|"&amp;COUNTIF($A$2:A793,A793))</f>
        <v/>
      </c>
    </row>
    <row r="794">
      <c r="A794" s="7" t="n"/>
      <c r="B794" s="7" t="n"/>
      <c r="C794" s="7" t="n"/>
      <c r="D794" s="8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9">
        <f>IF(A794="","",A794&amp;"|"&amp;COUNTIF($A$2:A794,A794))</f>
        <v/>
      </c>
    </row>
    <row r="795">
      <c r="A795" s="7" t="n"/>
      <c r="B795" s="7" t="n"/>
      <c r="C795" s="7" t="n"/>
      <c r="D795" s="8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9">
        <f>IF(A795="","",A795&amp;"|"&amp;COUNTIF($A$2:A795,A795))</f>
        <v/>
      </c>
    </row>
    <row r="796">
      <c r="A796" s="7" t="n"/>
      <c r="B796" s="7" t="n"/>
      <c r="C796" s="7" t="n"/>
      <c r="D796" s="8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9">
        <f>IF(A796="","",A796&amp;"|"&amp;COUNTIF($A$2:A796,A796))</f>
        <v/>
      </c>
    </row>
    <row r="797">
      <c r="A797" s="7" t="n"/>
      <c r="B797" s="7" t="n"/>
      <c r="C797" s="7" t="n"/>
      <c r="D797" s="8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9">
        <f>IF(A797="","",A797&amp;"|"&amp;COUNTIF($A$2:A797,A797))</f>
        <v/>
      </c>
    </row>
    <row r="798">
      <c r="A798" s="7" t="n"/>
      <c r="B798" s="7" t="n"/>
      <c r="C798" s="7" t="n"/>
      <c r="D798" s="8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9">
        <f>IF(A798="","",A798&amp;"|"&amp;COUNTIF($A$2:A798,A798))</f>
        <v/>
      </c>
    </row>
    <row r="799">
      <c r="A799" s="7" t="n"/>
      <c r="B799" s="7" t="n"/>
      <c r="C799" s="7" t="n"/>
      <c r="D799" s="8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9">
        <f>IF(A799="","",A799&amp;"|"&amp;COUNTIF($A$2:A799,A799))</f>
        <v/>
      </c>
    </row>
    <row r="800">
      <c r="A800" s="7" t="n"/>
      <c r="B800" s="7" t="n"/>
      <c r="C800" s="7" t="n"/>
      <c r="D800" s="8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9">
        <f>IF(A800="","",A800&amp;"|"&amp;COUNTIF($A$2:A800,A800))</f>
        <v/>
      </c>
    </row>
    <row r="801">
      <c r="A801" s="7" t="n"/>
      <c r="B801" s="7" t="n"/>
      <c r="C801" s="7" t="n"/>
      <c r="D801" s="8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9">
        <f>IF(A801="","",A801&amp;"|"&amp;COUNTIF($A$2:A801,A801))</f>
        <v/>
      </c>
    </row>
    <row r="802">
      <c r="A802" s="7" t="n"/>
      <c r="B802" s="7" t="n"/>
      <c r="C802" s="7" t="n"/>
      <c r="D802" s="8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9">
        <f>IF(A802="","",A802&amp;"|"&amp;COUNTIF($A$2:A802,A802))</f>
        <v/>
      </c>
    </row>
    <row r="803">
      <c r="A803" s="7" t="n"/>
      <c r="B803" s="7" t="n"/>
      <c r="C803" s="7" t="n"/>
      <c r="D803" s="8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9">
        <f>IF(A803="","",A803&amp;"|"&amp;COUNTIF($A$2:A803,A803))</f>
        <v/>
      </c>
    </row>
    <row r="804">
      <c r="A804" s="7" t="n"/>
      <c r="B804" s="7" t="n"/>
      <c r="C804" s="7" t="n"/>
      <c r="D804" s="8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9">
        <f>IF(A804="","",A804&amp;"|"&amp;COUNTIF($A$2:A804,A804))</f>
        <v/>
      </c>
    </row>
    <row r="805">
      <c r="A805" s="7" t="n"/>
      <c r="B805" s="7" t="n"/>
      <c r="C805" s="7" t="n"/>
      <c r="D805" s="8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9">
        <f>IF(A805="","",A805&amp;"|"&amp;COUNTIF($A$2:A805,A805))</f>
        <v/>
      </c>
    </row>
    <row r="806">
      <c r="A806" s="7" t="n"/>
      <c r="B806" s="7" t="n"/>
      <c r="C806" s="7" t="n"/>
      <c r="D806" s="8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9">
        <f>IF(A806="","",A806&amp;"|"&amp;COUNTIF($A$2:A806,A806))</f>
        <v/>
      </c>
    </row>
    <row r="807">
      <c r="A807" s="7" t="n"/>
      <c r="B807" s="7" t="n"/>
      <c r="C807" s="7" t="n"/>
      <c r="D807" s="8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9">
        <f>IF(A807="","",A807&amp;"|"&amp;COUNTIF($A$2:A807,A807))</f>
        <v/>
      </c>
    </row>
    <row r="808">
      <c r="A808" s="7" t="n"/>
      <c r="B808" s="7" t="n"/>
      <c r="C808" s="7" t="n"/>
      <c r="D808" s="8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9">
        <f>IF(A808="","",A808&amp;"|"&amp;COUNTIF($A$2:A808,A808))</f>
        <v/>
      </c>
    </row>
    <row r="809">
      <c r="A809" s="7" t="n"/>
      <c r="B809" s="7" t="n"/>
      <c r="C809" s="7" t="n"/>
      <c r="D809" s="8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9">
        <f>IF(A809="","",A809&amp;"|"&amp;COUNTIF($A$2:A809,A809))</f>
        <v/>
      </c>
    </row>
    <row r="810">
      <c r="A810" s="7" t="n"/>
      <c r="B810" s="7" t="n"/>
      <c r="C810" s="7" t="n"/>
      <c r="D810" s="8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9">
        <f>IF(A810="","",A810&amp;"|"&amp;COUNTIF($A$2:A810,A810))</f>
        <v/>
      </c>
    </row>
    <row r="811">
      <c r="A811" s="7" t="n"/>
      <c r="B811" s="7" t="n"/>
      <c r="C811" s="7" t="n"/>
      <c r="D811" s="8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9">
        <f>IF(A811="","",A811&amp;"|"&amp;COUNTIF($A$2:A811,A811))</f>
        <v/>
      </c>
    </row>
    <row r="812">
      <c r="A812" s="7" t="n"/>
      <c r="B812" s="7" t="n"/>
      <c r="C812" s="7" t="n"/>
      <c r="D812" s="8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9">
        <f>IF(A812="","",A812&amp;"|"&amp;COUNTIF($A$2:A812,A812))</f>
        <v/>
      </c>
    </row>
    <row r="813">
      <c r="A813" s="7" t="n"/>
      <c r="B813" s="7" t="n"/>
      <c r="C813" s="7" t="n"/>
      <c r="D813" s="8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9">
        <f>IF(A813="","",A813&amp;"|"&amp;COUNTIF($A$2:A813,A813))</f>
        <v/>
      </c>
    </row>
    <row r="814">
      <c r="A814" s="7" t="n"/>
      <c r="B814" s="7" t="n"/>
      <c r="C814" s="7" t="n"/>
      <c r="D814" s="8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9">
        <f>IF(A814="","",A814&amp;"|"&amp;COUNTIF($A$2:A814,A814))</f>
        <v/>
      </c>
    </row>
    <row r="815">
      <c r="A815" s="7" t="n"/>
      <c r="B815" s="7" t="n"/>
      <c r="C815" s="7" t="n"/>
      <c r="D815" s="8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9">
        <f>IF(A815="","",A815&amp;"|"&amp;COUNTIF($A$2:A815,A815))</f>
        <v/>
      </c>
    </row>
    <row r="816">
      <c r="A816" s="7" t="n"/>
      <c r="B816" s="7" t="n"/>
      <c r="C816" s="7" t="n"/>
      <c r="D816" s="8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9">
        <f>IF(A816="","",A816&amp;"|"&amp;COUNTIF($A$2:A816,A816))</f>
        <v/>
      </c>
    </row>
    <row r="817">
      <c r="A817" s="7" t="n"/>
      <c r="B817" s="7" t="n"/>
      <c r="C817" s="7" t="n"/>
      <c r="D817" s="8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9">
        <f>IF(A817="","",A817&amp;"|"&amp;COUNTIF($A$2:A817,A817))</f>
        <v/>
      </c>
    </row>
    <row r="818">
      <c r="A818" s="7" t="n"/>
      <c r="B818" s="7" t="n"/>
      <c r="C818" s="7" t="n"/>
      <c r="D818" s="8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9">
        <f>IF(A818="","",A818&amp;"|"&amp;COUNTIF($A$2:A818,A818))</f>
        <v/>
      </c>
    </row>
    <row r="819">
      <c r="A819" s="7" t="n"/>
      <c r="B819" s="7" t="n"/>
      <c r="C819" s="7" t="n"/>
      <c r="D819" s="8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9">
        <f>IF(A819="","",A819&amp;"|"&amp;COUNTIF($A$2:A819,A819))</f>
        <v/>
      </c>
    </row>
    <row r="820">
      <c r="A820" s="7" t="n"/>
      <c r="B820" s="7" t="n"/>
      <c r="C820" s="7" t="n"/>
      <c r="D820" s="8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9">
        <f>IF(A820="","",A820&amp;"|"&amp;COUNTIF($A$2:A820,A820))</f>
        <v/>
      </c>
    </row>
    <row r="821">
      <c r="A821" s="7" t="n"/>
      <c r="B821" s="7" t="n"/>
      <c r="C821" s="7" t="n"/>
      <c r="D821" s="8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9">
        <f>IF(A821="","",A821&amp;"|"&amp;COUNTIF($A$2:A821,A821))</f>
        <v/>
      </c>
    </row>
    <row r="822">
      <c r="A822" s="7" t="n"/>
      <c r="B822" s="7" t="n"/>
      <c r="C822" s="7" t="n"/>
      <c r="D822" s="8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9">
        <f>IF(A822="","",A822&amp;"|"&amp;COUNTIF($A$2:A822,A822))</f>
        <v/>
      </c>
    </row>
    <row r="823">
      <c r="A823" s="7" t="n"/>
      <c r="B823" s="7" t="n"/>
      <c r="C823" s="7" t="n"/>
      <c r="D823" s="8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9">
        <f>IF(A823="","",A823&amp;"|"&amp;COUNTIF($A$2:A823,A823))</f>
        <v/>
      </c>
    </row>
    <row r="824">
      <c r="A824" s="7" t="n"/>
      <c r="B824" s="7" t="n"/>
      <c r="C824" s="7" t="n"/>
      <c r="D824" s="8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9">
        <f>IF(A824="","",A824&amp;"|"&amp;COUNTIF($A$2:A824,A824))</f>
        <v/>
      </c>
    </row>
    <row r="825">
      <c r="A825" s="7" t="n"/>
      <c r="B825" s="7" t="n"/>
      <c r="C825" s="7" t="n"/>
      <c r="D825" s="8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9">
        <f>IF(A825="","",A825&amp;"|"&amp;COUNTIF($A$2:A825,A825))</f>
        <v/>
      </c>
    </row>
    <row r="826">
      <c r="A826" s="7" t="n"/>
      <c r="B826" s="7" t="n"/>
      <c r="C826" s="7" t="n"/>
      <c r="D826" s="8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9">
        <f>IF(A826="","",A826&amp;"|"&amp;COUNTIF($A$2:A826,A826))</f>
        <v/>
      </c>
    </row>
    <row r="827">
      <c r="A827" s="7" t="n"/>
      <c r="B827" s="7" t="n"/>
      <c r="C827" s="7" t="n"/>
      <c r="D827" s="8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9">
        <f>IF(A827="","",A827&amp;"|"&amp;COUNTIF($A$2:A827,A827))</f>
        <v/>
      </c>
    </row>
    <row r="828">
      <c r="A828" s="7" t="n"/>
      <c r="B828" s="7" t="n"/>
      <c r="C828" s="7" t="n"/>
      <c r="D828" s="8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9">
        <f>IF(A828="","",A828&amp;"|"&amp;COUNTIF($A$2:A828,A828))</f>
        <v/>
      </c>
    </row>
    <row r="829">
      <c r="A829" s="7" t="n"/>
      <c r="B829" s="7" t="n"/>
      <c r="C829" s="7" t="n"/>
      <c r="D829" s="8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9">
        <f>IF(A829="","",A829&amp;"|"&amp;COUNTIF($A$2:A829,A829))</f>
        <v/>
      </c>
    </row>
    <row r="830">
      <c r="A830" s="7" t="n"/>
      <c r="B830" s="7" t="n"/>
      <c r="C830" s="7" t="n"/>
      <c r="D830" s="8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9">
        <f>IF(A830="","",A830&amp;"|"&amp;COUNTIF($A$2:A830,A830))</f>
        <v/>
      </c>
    </row>
    <row r="831">
      <c r="A831" s="7" t="n"/>
      <c r="B831" s="7" t="n"/>
      <c r="C831" s="7" t="n"/>
      <c r="D831" s="8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9">
        <f>IF(A831="","",A831&amp;"|"&amp;COUNTIF($A$2:A831,A831))</f>
        <v/>
      </c>
    </row>
    <row r="832">
      <c r="A832" s="7" t="n"/>
      <c r="B832" s="7" t="n"/>
      <c r="C832" s="7" t="n"/>
      <c r="D832" s="8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9">
        <f>IF(A832="","",A832&amp;"|"&amp;COUNTIF($A$2:A832,A832))</f>
        <v/>
      </c>
    </row>
    <row r="833">
      <c r="A833" s="7" t="n"/>
      <c r="B833" s="7" t="n"/>
      <c r="C833" s="7" t="n"/>
      <c r="D833" s="8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9">
        <f>IF(A833="","",A833&amp;"|"&amp;COUNTIF($A$2:A833,A833))</f>
        <v/>
      </c>
    </row>
    <row r="834">
      <c r="A834" s="7" t="n"/>
      <c r="B834" s="7" t="n"/>
      <c r="C834" s="7" t="n"/>
      <c r="D834" s="8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9">
        <f>IF(A834="","",A834&amp;"|"&amp;COUNTIF($A$2:A834,A834))</f>
        <v/>
      </c>
    </row>
    <row r="835">
      <c r="A835" s="7" t="n"/>
      <c r="B835" s="7" t="n"/>
      <c r="C835" s="7" t="n"/>
      <c r="D835" s="8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9">
        <f>IF(A835="","",A835&amp;"|"&amp;COUNTIF($A$2:A835,A835))</f>
        <v/>
      </c>
    </row>
    <row r="836">
      <c r="A836" s="7" t="n"/>
      <c r="B836" s="7" t="n"/>
      <c r="C836" s="7" t="n"/>
      <c r="D836" s="8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9">
        <f>IF(A836="","",A836&amp;"|"&amp;COUNTIF($A$2:A836,A836))</f>
        <v/>
      </c>
    </row>
    <row r="837">
      <c r="A837" s="7" t="n"/>
      <c r="B837" s="7" t="n"/>
      <c r="C837" s="7" t="n"/>
      <c r="D837" s="8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9">
        <f>IF(A837="","",A837&amp;"|"&amp;COUNTIF($A$2:A837,A837))</f>
        <v/>
      </c>
    </row>
    <row r="838">
      <c r="A838" s="7" t="n"/>
      <c r="B838" s="7" t="n"/>
      <c r="C838" s="7" t="n"/>
      <c r="D838" s="8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9">
        <f>IF(A838="","",A838&amp;"|"&amp;COUNTIF($A$2:A838,A838))</f>
        <v/>
      </c>
    </row>
    <row r="839">
      <c r="A839" s="7" t="n"/>
      <c r="B839" s="7" t="n"/>
      <c r="C839" s="7" t="n"/>
      <c r="D839" s="8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9">
        <f>IF(A839="","",A839&amp;"|"&amp;COUNTIF($A$2:A839,A839))</f>
        <v/>
      </c>
    </row>
    <row r="840">
      <c r="A840" s="7" t="n"/>
      <c r="B840" s="7" t="n"/>
      <c r="C840" s="7" t="n"/>
      <c r="D840" s="8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9">
        <f>IF(A840="","",A840&amp;"|"&amp;COUNTIF($A$2:A840,A840))</f>
        <v/>
      </c>
    </row>
    <row r="841">
      <c r="A841" s="7" t="n"/>
      <c r="B841" s="7" t="n"/>
      <c r="C841" s="7" t="n"/>
      <c r="D841" s="8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9">
        <f>IF(A841="","",A841&amp;"|"&amp;COUNTIF($A$2:A841,A841))</f>
        <v/>
      </c>
    </row>
    <row r="842">
      <c r="A842" s="7" t="n"/>
      <c r="B842" s="7" t="n"/>
      <c r="C842" s="7" t="n"/>
      <c r="D842" s="8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9">
        <f>IF(A842="","",A842&amp;"|"&amp;COUNTIF($A$2:A842,A842))</f>
        <v/>
      </c>
    </row>
    <row r="843">
      <c r="A843" s="7" t="n"/>
      <c r="B843" s="7" t="n"/>
      <c r="C843" s="7" t="n"/>
      <c r="D843" s="8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9">
        <f>IF(A843="","",A843&amp;"|"&amp;COUNTIF($A$2:A843,A843))</f>
        <v/>
      </c>
    </row>
    <row r="844">
      <c r="A844" s="7" t="n"/>
      <c r="B844" s="7" t="n"/>
      <c r="C844" s="7" t="n"/>
      <c r="D844" s="8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9">
        <f>IF(A844="","",A844&amp;"|"&amp;COUNTIF($A$2:A844,A844))</f>
        <v/>
      </c>
    </row>
    <row r="845">
      <c r="A845" s="7" t="n"/>
      <c r="B845" s="7" t="n"/>
      <c r="C845" s="7" t="n"/>
      <c r="D845" s="8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9">
        <f>IF(A845="","",A845&amp;"|"&amp;COUNTIF($A$2:A845,A845))</f>
        <v/>
      </c>
    </row>
    <row r="846">
      <c r="A846" s="7" t="n"/>
      <c r="B846" s="7" t="n"/>
      <c r="C846" s="7" t="n"/>
      <c r="D846" s="8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9">
        <f>IF(A846="","",A846&amp;"|"&amp;COUNTIF($A$2:A846,A846))</f>
        <v/>
      </c>
    </row>
    <row r="847">
      <c r="A847" s="7" t="n"/>
      <c r="B847" s="7" t="n"/>
      <c r="C847" s="7" t="n"/>
      <c r="D847" s="8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9">
        <f>IF(A847="","",A847&amp;"|"&amp;COUNTIF($A$2:A847,A847))</f>
        <v/>
      </c>
    </row>
    <row r="848">
      <c r="A848" s="7" t="n"/>
      <c r="B848" s="7" t="n"/>
      <c r="C848" s="7" t="n"/>
      <c r="D848" s="8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9">
        <f>IF(A848="","",A848&amp;"|"&amp;COUNTIF($A$2:A848,A848))</f>
        <v/>
      </c>
    </row>
    <row r="849">
      <c r="A849" s="7" t="n"/>
      <c r="B849" s="7" t="n"/>
      <c r="C849" s="7" t="n"/>
      <c r="D849" s="8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9">
        <f>IF(A849="","",A849&amp;"|"&amp;COUNTIF($A$2:A849,A849))</f>
        <v/>
      </c>
    </row>
    <row r="850">
      <c r="A850" s="7" t="n"/>
      <c r="B850" s="7" t="n"/>
      <c r="C850" s="7" t="n"/>
      <c r="D850" s="8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9">
        <f>IF(A850="","",A850&amp;"|"&amp;COUNTIF($A$2:A850,A850))</f>
        <v/>
      </c>
    </row>
    <row r="851">
      <c r="A851" s="7" t="n"/>
      <c r="B851" s="7" t="n"/>
      <c r="C851" s="7" t="n"/>
      <c r="D851" s="8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9">
        <f>IF(A851="","",A851&amp;"|"&amp;COUNTIF($A$2:A851,A851))</f>
        <v/>
      </c>
    </row>
    <row r="852">
      <c r="A852" s="7" t="n"/>
      <c r="B852" s="7" t="n"/>
      <c r="C852" s="7" t="n"/>
      <c r="D852" s="8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9">
        <f>IF(A852="","",A852&amp;"|"&amp;COUNTIF($A$2:A852,A852))</f>
        <v/>
      </c>
    </row>
    <row r="853">
      <c r="A853" s="7" t="n"/>
      <c r="B853" s="7" t="n"/>
      <c r="C853" s="7" t="n"/>
      <c r="D853" s="8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9">
        <f>IF(A853="","",A853&amp;"|"&amp;COUNTIF($A$2:A853,A853))</f>
        <v/>
      </c>
    </row>
    <row r="854">
      <c r="A854" s="7" t="n"/>
      <c r="B854" s="7" t="n"/>
      <c r="C854" s="7" t="n"/>
      <c r="D854" s="8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9">
        <f>IF(A854="","",A854&amp;"|"&amp;COUNTIF($A$2:A854,A854))</f>
        <v/>
      </c>
    </row>
    <row r="855">
      <c r="A855" s="7" t="n"/>
      <c r="B855" s="7" t="n"/>
      <c r="C855" s="7" t="n"/>
      <c r="D855" s="8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9">
        <f>IF(A855="","",A855&amp;"|"&amp;COUNTIF($A$2:A855,A855))</f>
        <v/>
      </c>
    </row>
    <row r="856">
      <c r="A856" s="7" t="n"/>
      <c r="B856" s="7" t="n"/>
      <c r="C856" s="7" t="n"/>
      <c r="D856" s="8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9">
        <f>IF(A856="","",A856&amp;"|"&amp;COUNTIF($A$2:A856,A856))</f>
        <v/>
      </c>
    </row>
    <row r="857">
      <c r="A857" s="7" t="n"/>
      <c r="B857" s="7" t="n"/>
      <c r="C857" s="7" t="n"/>
      <c r="D857" s="8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9">
        <f>IF(A857="","",A857&amp;"|"&amp;COUNTIF($A$2:A857,A857))</f>
        <v/>
      </c>
    </row>
    <row r="858">
      <c r="A858" s="7" t="n"/>
      <c r="B858" s="7" t="n"/>
      <c r="C858" s="7" t="n"/>
      <c r="D858" s="8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9">
        <f>IF(A858="","",A858&amp;"|"&amp;COUNTIF($A$2:A858,A858))</f>
        <v/>
      </c>
    </row>
    <row r="859">
      <c r="A859" s="7" t="n"/>
      <c r="B859" s="7" t="n"/>
      <c r="C859" s="7" t="n"/>
      <c r="D859" s="8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9">
        <f>IF(A859="","",A859&amp;"|"&amp;COUNTIF($A$2:A859,A859))</f>
        <v/>
      </c>
    </row>
    <row r="860">
      <c r="A860" s="7" t="n"/>
      <c r="B860" s="7" t="n"/>
      <c r="C860" s="7" t="n"/>
      <c r="D860" s="8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9">
        <f>IF(A860="","",A860&amp;"|"&amp;COUNTIF($A$2:A860,A860))</f>
        <v/>
      </c>
    </row>
    <row r="861">
      <c r="A861" s="7" t="n"/>
      <c r="B861" s="7" t="n"/>
      <c r="C861" s="7" t="n"/>
      <c r="D861" s="8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9">
        <f>IF(A861="","",A861&amp;"|"&amp;COUNTIF($A$2:A861,A861))</f>
        <v/>
      </c>
    </row>
    <row r="862">
      <c r="A862" s="7" t="n"/>
      <c r="B862" s="7" t="n"/>
      <c r="C862" s="7" t="n"/>
      <c r="D862" s="8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9">
        <f>IF(A862="","",A862&amp;"|"&amp;COUNTIF($A$2:A862,A862))</f>
        <v/>
      </c>
    </row>
    <row r="863">
      <c r="A863" s="7" t="n"/>
      <c r="B863" s="7" t="n"/>
      <c r="C863" s="7" t="n"/>
      <c r="D863" s="8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9">
        <f>IF(A863="","",A863&amp;"|"&amp;COUNTIF($A$2:A863,A863))</f>
        <v/>
      </c>
    </row>
    <row r="864">
      <c r="A864" s="7" t="n"/>
      <c r="B864" s="7" t="n"/>
      <c r="C864" s="7" t="n"/>
      <c r="D864" s="8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9">
        <f>IF(A864="","",A864&amp;"|"&amp;COUNTIF($A$2:A864,A864))</f>
        <v/>
      </c>
    </row>
    <row r="865">
      <c r="A865" s="7" t="n"/>
      <c r="B865" s="7" t="n"/>
      <c r="C865" s="7" t="n"/>
      <c r="D865" s="8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9">
        <f>IF(A865="","",A865&amp;"|"&amp;COUNTIF($A$2:A865,A865))</f>
        <v/>
      </c>
    </row>
    <row r="866">
      <c r="A866" s="7" t="n"/>
      <c r="B866" s="7" t="n"/>
      <c r="C866" s="7" t="n"/>
      <c r="D866" s="8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9">
        <f>IF(A866="","",A866&amp;"|"&amp;COUNTIF($A$2:A866,A866))</f>
        <v/>
      </c>
    </row>
    <row r="867">
      <c r="A867" s="7" t="n"/>
      <c r="B867" s="7" t="n"/>
      <c r="C867" s="7" t="n"/>
      <c r="D867" s="8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9">
        <f>IF(A867="","",A867&amp;"|"&amp;COUNTIF($A$2:A867,A867))</f>
        <v/>
      </c>
    </row>
    <row r="868">
      <c r="A868" s="7" t="n"/>
      <c r="B868" s="7" t="n"/>
      <c r="C868" s="7" t="n"/>
      <c r="D868" s="8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9">
        <f>IF(A868="","",A868&amp;"|"&amp;COUNTIF($A$2:A868,A868))</f>
        <v/>
      </c>
    </row>
    <row r="869">
      <c r="A869" s="7" t="n"/>
      <c r="B869" s="7" t="n"/>
      <c r="C869" s="7" t="n"/>
      <c r="D869" s="8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9">
        <f>IF(A869="","",A869&amp;"|"&amp;COUNTIF($A$2:A869,A869))</f>
        <v/>
      </c>
    </row>
    <row r="870">
      <c r="A870" s="7" t="n"/>
      <c r="B870" s="7" t="n"/>
      <c r="C870" s="7" t="n"/>
      <c r="D870" s="8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9">
        <f>IF(A870="","",A870&amp;"|"&amp;COUNTIF($A$2:A870,A870))</f>
        <v/>
      </c>
    </row>
    <row r="871">
      <c r="A871" s="7" t="n"/>
      <c r="B871" s="7" t="n"/>
      <c r="C871" s="7" t="n"/>
      <c r="D871" s="8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9">
        <f>IF(A871="","",A871&amp;"|"&amp;COUNTIF($A$2:A871,A871))</f>
        <v/>
      </c>
    </row>
    <row r="872">
      <c r="A872" s="7" t="n"/>
      <c r="B872" s="7" t="n"/>
      <c r="C872" s="7" t="n"/>
      <c r="D872" s="8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9">
        <f>IF(A872="","",A872&amp;"|"&amp;COUNTIF($A$2:A872,A872))</f>
        <v/>
      </c>
    </row>
    <row r="873">
      <c r="A873" s="7" t="n"/>
      <c r="B873" s="7" t="n"/>
      <c r="C873" s="7" t="n"/>
      <c r="D873" s="8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9">
        <f>IF(A873="","",A873&amp;"|"&amp;COUNTIF($A$2:A873,A873))</f>
        <v/>
      </c>
    </row>
    <row r="874">
      <c r="A874" s="7" t="n"/>
      <c r="B874" s="7" t="n"/>
      <c r="C874" s="7" t="n"/>
      <c r="D874" s="8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9">
        <f>IF(A874="","",A874&amp;"|"&amp;COUNTIF($A$2:A874,A874))</f>
        <v/>
      </c>
    </row>
    <row r="875">
      <c r="A875" s="7" t="n"/>
      <c r="B875" s="7" t="n"/>
      <c r="C875" s="7" t="n"/>
      <c r="D875" s="8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9">
        <f>IF(A875="","",A875&amp;"|"&amp;COUNTIF($A$2:A875,A875))</f>
        <v/>
      </c>
    </row>
    <row r="876">
      <c r="A876" s="7" t="n"/>
      <c r="B876" s="7" t="n"/>
      <c r="C876" s="7" t="n"/>
      <c r="D876" s="8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9">
        <f>IF(A876="","",A876&amp;"|"&amp;COUNTIF($A$2:A876,A876))</f>
        <v/>
      </c>
    </row>
    <row r="877">
      <c r="A877" s="7" t="n"/>
      <c r="B877" s="7" t="n"/>
      <c r="C877" s="7" t="n"/>
      <c r="D877" s="8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9">
        <f>IF(A877="","",A877&amp;"|"&amp;COUNTIF($A$2:A877,A877))</f>
        <v/>
      </c>
    </row>
    <row r="878">
      <c r="A878" s="7" t="n"/>
      <c r="B878" s="7" t="n"/>
      <c r="C878" s="7" t="n"/>
      <c r="D878" s="8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9">
        <f>IF(A878="","",A878&amp;"|"&amp;COUNTIF($A$2:A878,A878))</f>
        <v/>
      </c>
    </row>
    <row r="879">
      <c r="A879" s="7" t="n"/>
      <c r="B879" s="7" t="n"/>
      <c r="C879" s="7" t="n"/>
      <c r="D879" s="8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9">
        <f>IF(A879="","",A879&amp;"|"&amp;COUNTIF($A$2:A879,A879))</f>
        <v/>
      </c>
    </row>
    <row r="880">
      <c r="A880" s="7" t="n"/>
      <c r="B880" s="7" t="n"/>
      <c r="C880" s="7" t="n"/>
      <c r="D880" s="8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9">
        <f>IF(A880="","",A880&amp;"|"&amp;COUNTIF($A$2:A880,A880))</f>
        <v/>
      </c>
    </row>
    <row r="881">
      <c r="A881" s="7" t="n"/>
      <c r="B881" s="7" t="n"/>
      <c r="C881" s="7" t="n"/>
      <c r="D881" s="8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9">
        <f>IF(A881="","",A881&amp;"|"&amp;COUNTIF($A$2:A881,A881))</f>
        <v/>
      </c>
    </row>
    <row r="882">
      <c r="A882" s="7" t="n"/>
      <c r="B882" s="7" t="n"/>
      <c r="C882" s="7" t="n"/>
      <c r="D882" s="8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9">
        <f>IF(A882="","",A882&amp;"|"&amp;COUNTIF($A$2:A882,A882))</f>
        <v/>
      </c>
    </row>
    <row r="883">
      <c r="A883" s="7" t="n"/>
      <c r="B883" s="7" t="n"/>
      <c r="C883" s="7" t="n"/>
      <c r="D883" s="8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9">
        <f>IF(A883="","",A883&amp;"|"&amp;COUNTIF($A$2:A883,A883))</f>
        <v/>
      </c>
    </row>
    <row r="884">
      <c r="A884" s="7" t="n"/>
      <c r="B884" s="7" t="n"/>
      <c r="C884" s="7" t="n"/>
      <c r="D884" s="8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9">
        <f>IF(A884="","",A884&amp;"|"&amp;COUNTIF($A$2:A884,A884))</f>
        <v/>
      </c>
    </row>
    <row r="885">
      <c r="A885" s="7" t="n"/>
      <c r="B885" s="7" t="n"/>
      <c r="C885" s="7" t="n"/>
      <c r="D885" s="8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9">
        <f>IF(A885="","",A885&amp;"|"&amp;COUNTIF($A$2:A885,A885))</f>
        <v/>
      </c>
    </row>
    <row r="886">
      <c r="A886" s="7" t="n"/>
      <c r="B886" s="7" t="n"/>
      <c r="C886" s="7" t="n"/>
      <c r="D886" s="8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9">
        <f>IF(A886="","",A886&amp;"|"&amp;COUNTIF($A$2:A886,A886))</f>
        <v/>
      </c>
    </row>
    <row r="887">
      <c r="A887" s="7" t="n"/>
      <c r="B887" s="7" t="n"/>
      <c r="C887" s="7" t="n"/>
      <c r="D887" s="8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9">
        <f>IF(A887="","",A887&amp;"|"&amp;COUNTIF($A$2:A887,A887))</f>
        <v/>
      </c>
    </row>
    <row r="888">
      <c r="A888" s="7" t="n"/>
      <c r="B888" s="7" t="n"/>
      <c r="C888" s="7" t="n"/>
      <c r="D888" s="8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9">
        <f>IF(A888="","",A888&amp;"|"&amp;COUNTIF($A$2:A888,A888))</f>
        <v/>
      </c>
    </row>
    <row r="889">
      <c r="A889" s="7" t="n"/>
      <c r="B889" s="7" t="n"/>
      <c r="C889" s="7" t="n"/>
      <c r="D889" s="8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9">
        <f>IF(A889="","",A889&amp;"|"&amp;COUNTIF($A$2:A889,A889))</f>
        <v/>
      </c>
    </row>
    <row r="890">
      <c r="A890" s="7" t="n"/>
      <c r="B890" s="7" t="n"/>
      <c r="C890" s="7" t="n"/>
      <c r="D890" s="8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9">
        <f>IF(A890="","",A890&amp;"|"&amp;COUNTIF($A$2:A890,A890))</f>
        <v/>
      </c>
    </row>
    <row r="891">
      <c r="A891" s="7" t="n"/>
      <c r="B891" s="7" t="n"/>
      <c r="C891" s="7" t="n"/>
      <c r="D891" s="8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9">
        <f>IF(A891="","",A891&amp;"|"&amp;COUNTIF($A$2:A891,A891))</f>
        <v/>
      </c>
    </row>
    <row r="892">
      <c r="A892" s="7" t="n"/>
      <c r="B892" s="7" t="n"/>
      <c r="C892" s="7" t="n"/>
      <c r="D892" s="8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9">
        <f>IF(A892="","",A892&amp;"|"&amp;COUNTIF($A$2:A892,A892))</f>
        <v/>
      </c>
    </row>
    <row r="893">
      <c r="A893" s="7" t="n"/>
      <c r="B893" s="7" t="n"/>
      <c r="C893" s="7" t="n"/>
      <c r="D893" s="8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9">
        <f>IF(A893="","",A893&amp;"|"&amp;COUNTIF($A$2:A893,A893))</f>
        <v/>
      </c>
    </row>
    <row r="894">
      <c r="A894" s="7" t="n"/>
      <c r="B894" s="7" t="n"/>
      <c r="C894" s="7" t="n"/>
      <c r="D894" s="8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9">
        <f>IF(A894="","",A894&amp;"|"&amp;COUNTIF($A$2:A894,A894))</f>
        <v/>
      </c>
    </row>
    <row r="895">
      <c r="A895" s="7" t="n"/>
      <c r="B895" s="7" t="n"/>
      <c r="C895" s="7" t="n"/>
      <c r="D895" s="8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9">
        <f>IF(A895="","",A895&amp;"|"&amp;COUNTIF($A$2:A895,A895))</f>
        <v/>
      </c>
    </row>
    <row r="896">
      <c r="A896" s="7" t="n"/>
      <c r="B896" s="7" t="n"/>
      <c r="C896" s="7" t="n"/>
      <c r="D896" s="8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9">
        <f>IF(A896="","",A896&amp;"|"&amp;COUNTIF($A$2:A896,A896))</f>
        <v/>
      </c>
    </row>
    <row r="897">
      <c r="A897" s="7" t="n"/>
      <c r="B897" s="7" t="n"/>
      <c r="C897" s="7" t="n"/>
      <c r="D897" s="8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9">
        <f>IF(A897="","",A897&amp;"|"&amp;COUNTIF($A$2:A897,A897))</f>
        <v/>
      </c>
    </row>
    <row r="898">
      <c r="A898" s="7" t="n"/>
      <c r="B898" s="7" t="n"/>
      <c r="C898" s="7" t="n"/>
      <c r="D898" s="8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9">
        <f>IF(A898="","",A898&amp;"|"&amp;COUNTIF($A$2:A898,A898))</f>
        <v/>
      </c>
    </row>
    <row r="899">
      <c r="A899" s="7" t="n"/>
      <c r="B899" s="7" t="n"/>
      <c r="C899" s="7" t="n"/>
      <c r="D899" s="8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9">
        <f>IF(A899="","",A899&amp;"|"&amp;COUNTIF($A$2:A899,A899))</f>
        <v/>
      </c>
    </row>
    <row r="900">
      <c r="A900" s="7" t="n"/>
      <c r="B900" s="7" t="n"/>
      <c r="C900" s="7" t="n"/>
      <c r="D900" s="8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9">
        <f>IF(A900="","",A900&amp;"|"&amp;COUNTIF($A$2:A900,A900))</f>
        <v/>
      </c>
    </row>
    <row r="901">
      <c r="A901" s="7" t="n"/>
      <c r="B901" s="7" t="n"/>
      <c r="C901" s="7" t="n"/>
      <c r="D901" s="8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9">
        <f>IF(A901="","",A901&amp;"|"&amp;COUNTIF($A$2:A901,A901))</f>
        <v/>
      </c>
    </row>
    <row r="902">
      <c r="A902" s="7" t="n"/>
      <c r="B902" s="7" t="n"/>
      <c r="C902" s="7" t="n"/>
      <c r="D902" s="8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9">
        <f>IF(A902="","",A902&amp;"|"&amp;COUNTIF($A$2:A902,A902))</f>
        <v/>
      </c>
    </row>
    <row r="903">
      <c r="A903" s="7" t="n"/>
      <c r="B903" s="7" t="n"/>
      <c r="C903" s="7" t="n"/>
      <c r="D903" s="8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9">
        <f>IF(A903="","",A903&amp;"|"&amp;COUNTIF($A$2:A903,A903))</f>
        <v/>
      </c>
    </row>
    <row r="904">
      <c r="A904" s="7" t="n"/>
      <c r="B904" s="7" t="n"/>
      <c r="C904" s="7" t="n"/>
      <c r="D904" s="8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9">
        <f>IF(A904="","",A904&amp;"|"&amp;COUNTIF($A$2:A904,A904))</f>
        <v/>
      </c>
    </row>
    <row r="905">
      <c r="A905" s="7" t="n"/>
      <c r="B905" s="7" t="n"/>
      <c r="C905" s="7" t="n"/>
      <c r="D905" s="8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9">
        <f>IF(A905="","",A905&amp;"|"&amp;COUNTIF($A$2:A905,A905))</f>
        <v/>
      </c>
    </row>
    <row r="906">
      <c r="A906" s="7" t="n"/>
      <c r="B906" s="7" t="n"/>
      <c r="C906" s="7" t="n"/>
      <c r="D906" s="8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9">
        <f>IF(A906="","",A906&amp;"|"&amp;COUNTIF($A$2:A906,A906))</f>
        <v/>
      </c>
    </row>
    <row r="907">
      <c r="A907" s="7" t="n"/>
      <c r="B907" s="7" t="n"/>
      <c r="C907" s="7" t="n"/>
      <c r="D907" s="8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9">
        <f>IF(A907="","",A907&amp;"|"&amp;COUNTIF($A$2:A907,A907))</f>
        <v/>
      </c>
    </row>
    <row r="908">
      <c r="A908" s="7" t="n"/>
      <c r="B908" s="7" t="n"/>
      <c r="C908" s="7" t="n"/>
      <c r="D908" s="8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9">
        <f>IF(A908="","",A908&amp;"|"&amp;COUNTIF($A$2:A908,A908))</f>
        <v/>
      </c>
    </row>
    <row r="909">
      <c r="A909" s="7" t="n"/>
      <c r="B909" s="7" t="n"/>
      <c r="C909" s="7" t="n"/>
      <c r="D909" s="8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9">
        <f>IF(A909="","",A909&amp;"|"&amp;COUNTIF($A$2:A909,A909))</f>
        <v/>
      </c>
    </row>
    <row r="910">
      <c r="A910" s="7" t="n"/>
      <c r="B910" s="7" t="n"/>
      <c r="C910" s="7" t="n"/>
      <c r="D910" s="8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9">
        <f>IF(A910="","",A910&amp;"|"&amp;COUNTIF($A$2:A910,A910))</f>
        <v/>
      </c>
    </row>
    <row r="911">
      <c r="A911" s="7" t="n"/>
      <c r="B911" s="7" t="n"/>
      <c r="C911" s="7" t="n"/>
      <c r="D911" s="8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9">
        <f>IF(A911="","",A911&amp;"|"&amp;COUNTIF($A$2:A911,A911))</f>
        <v/>
      </c>
    </row>
    <row r="912">
      <c r="A912" s="7" t="n"/>
      <c r="B912" s="7" t="n"/>
      <c r="C912" s="7" t="n"/>
      <c r="D912" s="8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9">
        <f>IF(A912="","",A912&amp;"|"&amp;COUNTIF($A$2:A912,A912))</f>
        <v/>
      </c>
    </row>
    <row r="913">
      <c r="A913" s="7" t="n"/>
      <c r="B913" s="7" t="n"/>
      <c r="C913" s="7" t="n"/>
      <c r="D913" s="8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9">
        <f>IF(A913="","",A913&amp;"|"&amp;COUNTIF($A$2:A913,A913))</f>
        <v/>
      </c>
    </row>
    <row r="914">
      <c r="A914" s="7" t="n"/>
      <c r="B914" s="7" t="n"/>
      <c r="C914" s="7" t="n"/>
      <c r="D914" s="8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9">
        <f>IF(A914="","",A914&amp;"|"&amp;COUNTIF($A$2:A914,A914))</f>
        <v/>
      </c>
    </row>
    <row r="915">
      <c r="A915" s="7" t="n"/>
      <c r="B915" s="7" t="n"/>
      <c r="C915" s="7" t="n"/>
      <c r="D915" s="8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9">
        <f>IF(A915="","",A915&amp;"|"&amp;COUNTIF($A$2:A915,A915))</f>
        <v/>
      </c>
    </row>
    <row r="916">
      <c r="A916" s="7" t="n"/>
      <c r="B916" s="7" t="n"/>
      <c r="C916" s="7" t="n"/>
      <c r="D916" s="8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9">
        <f>IF(A916="","",A916&amp;"|"&amp;COUNTIF($A$2:A916,A916))</f>
        <v/>
      </c>
    </row>
    <row r="917">
      <c r="A917" s="7" t="n"/>
      <c r="B917" s="7" t="n"/>
      <c r="C917" s="7" t="n"/>
      <c r="D917" s="8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9">
        <f>IF(A917="","",A917&amp;"|"&amp;COUNTIF($A$2:A917,A917))</f>
        <v/>
      </c>
    </row>
    <row r="918">
      <c r="A918" s="7" t="n"/>
      <c r="B918" s="7" t="n"/>
      <c r="C918" s="7" t="n"/>
      <c r="D918" s="8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9">
        <f>IF(A918="","",A918&amp;"|"&amp;COUNTIF($A$2:A918,A918))</f>
        <v/>
      </c>
    </row>
    <row r="919">
      <c r="A919" s="7" t="n"/>
      <c r="B919" s="7" t="n"/>
      <c r="C919" s="7" t="n"/>
      <c r="D919" s="8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9">
        <f>IF(A919="","",A919&amp;"|"&amp;COUNTIF($A$2:A919,A919))</f>
        <v/>
      </c>
    </row>
    <row r="920">
      <c r="A920" s="7" t="n"/>
      <c r="B920" s="7" t="n"/>
      <c r="C920" s="7" t="n"/>
      <c r="D920" s="8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9">
        <f>IF(A920="","",A920&amp;"|"&amp;COUNTIF($A$2:A920,A920))</f>
        <v/>
      </c>
    </row>
    <row r="921">
      <c r="A921" s="7" t="n"/>
      <c r="B921" s="7" t="n"/>
      <c r="C921" s="7" t="n"/>
      <c r="D921" s="8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9">
        <f>IF(A921="","",A921&amp;"|"&amp;COUNTIF($A$2:A921,A921))</f>
        <v/>
      </c>
    </row>
    <row r="922">
      <c r="A922" s="7" t="n"/>
      <c r="B922" s="7" t="n"/>
      <c r="C922" s="7" t="n"/>
      <c r="D922" s="8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9">
        <f>IF(A922="","",A922&amp;"|"&amp;COUNTIF($A$2:A922,A922))</f>
        <v/>
      </c>
    </row>
    <row r="923">
      <c r="A923" s="7" t="n"/>
      <c r="B923" s="7" t="n"/>
      <c r="C923" s="7" t="n"/>
      <c r="D923" s="8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9">
        <f>IF(A923="","",A923&amp;"|"&amp;COUNTIF($A$2:A923,A923))</f>
        <v/>
      </c>
    </row>
    <row r="924">
      <c r="A924" s="7" t="n"/>
      <c r="B924" s="7" t="n"/>
      <c r="C924" s="7" t="n"/>
      <c r="D924" s="8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9">
        <f>IF(A924="","",A924&amp;"|"&amp;COUNTIF($A$2:A924,A924))</f>
        <v/>
      </c>
    </row>
    <row r="925">
      <c r="A925" s="7" t="n"/>
      <c r="B925" s="7" t="n"/>
      <c r="C925" s="7" t="n"/>
      <c r="D925" s="8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9">
        <f>IF(A925="","",A925&amp;"|"&amp;COUNTIF($A$2:A925,A925))</f>
        <v/>
      </c>
    </row>
    <row r="926">
      <c r="A926" s="7" t="n"/>
      <c r="B926" s="7" t="n"/>
      <c r="C926" s="7" t="n"/>
      <c r="D926" s="8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9">
        <f>IF(A926="","",A926&amp;"|"&amp;COUNTIF($A$2:A926,A926))</f>
        <v/>
      </c>
    </row>
    <row r="927">
      <c r="A927" s="7" t="n"/>
      <c r="B927" s="7" t="n"/>
      <c r="C927" s="7" t="n"/>
      <c r="D927" s="8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9">
        <f>IF(A927="","",A927&amp;"|"&amp;COUNTIF($A$2:A927,A927))</f>
        <v/>
      </c>
    </row>
    <row r="928">
      <c r="A928" s="7" t="n"/>
      <c r="B928" s="7" t="n"/>
      <c r="C928" s="7" t="n"/>
      <c r="D928" s="8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9">
        <f>IF(A928="","",A928&amp;"|"&amp;COUNTIF($A$2:A928,A928))</f>
        <v/>
      </c>
    </row>
    <row r="929">
      <c r="A929" s="7" t="n"/>
      <c r="B929" s="7" t="n"/>
      <c r="C929" s="7" t="n"/>
      <c r="D929" s="8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9">
        <f>IF(A929="","",A929&amp;"|"&amp;COUNTIF($A$2:A929,A929))</f>
        <v/>
      </c>
    </row>
    <row r="930">
      <c r="A930" s="7" t="n"/>
      <c r="B930" s="7" t="n"/>
      <c r="C930" s="7" t="n"/>
      <c r="D930" s="8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9">
        <f>IF(A930="","",A930&amp;"|"&amp;COUNTIF($A$2:A930,A930))</f>
        <v/>
      </c>
    </row>
    <row r="931">
      <c r="A931" s="7" t="n"/>
      <c r="B931" s="7" t="n"/>
      <c r="C931" s="7" t="n"/>
      <c r="D931" s="8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9">
        <f>IF(A931="","",A931&amp;"|"&amp;COUNTIF($A$2:A931,A931))</f>
        <v/>
      </c>
    </row>
    <row r="932">
      <c r="A932" s="7" t="n"/>
      <c r="B932" s="7" t="n"/>
      <c r="C932" s="7" t="n"/>
      <c r="D932" s="8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9">
        <f>IF(A932="","",A932&amp;"|"&amp;COUNTIF($A$2:A932,A932))</f>
        <v/>
      </c>
    </row>
    <row r="933">
      <c r="A933" s="7" t="n"/>
      <c r="B933" s="7" t="n"/>
      <c r="C933" s="7" t="n"/>
      <c r="D933" s="8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9">
        <f>IF(A933="","",A933&amp;"|"&amp;COUNTIF($A$2:A933,A933))</f>
        <v/>
      </c>
    </row>
    <row r="934">
      <c r="A934" s="7" t="n"/>
      <c r="B934" s="7" t="n"/>
      <c r="C934" s="7" t="n"/>
      <c r="D934" s="8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9">
        <f>IF(A934="","",A934&amp;"|"&amp;COUNTIF($A$2:A934,A934))</f>
        <v/>
      </c>
    </row>
    <row r="935">
      <c r="A935" s="7" t="n"/>
      <c r="B935" s="7" t="n"/>
      <c r="C935" s="7" t="n"/>
      <c r="D935" s="8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9">
        <f>IF(A935="","",A935&amp;"|"&amp;COUNTIF($A$2:A935,A935))</f>
        <v/>
      </c>
    </row>
    <row r="936">
      <c r="A936" s="7" t="n"/>
      <c r="B936" s="7" t="n"/>
      <c r="C936" s="7" t="n"/>
      <c r="D936" s="8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9">
        <f>IF(A936="","",A936&amp;"|"&amp;COUNTIF($A$2:A936,A936))</f>
        <v/>
      </c>
    </row>
    <row r="937">
      <c r="A937" s="7" t="n"/>
      <c r="B937" s="7" t="n"/>
      <c r="C937" s="7" t="n"/>
      <c r="D937" s="8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9">
        <f>IF(A937="","",A937&amp;"|"&amp;COUNTIF($A$2:A937,A937))</f>
        <v/>
      </c>
    </row>
    <row r="938">
      <c r="A938" s="7" t="n"/>
      <c r="B938" s="7" t="n"/>
      <c r="C938" s="7" t="n"/>
      <c r="D938" s="8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9">
        <f>IF(A938="","",A938&amp;"|"&amp;COUNTIF($A$2:A938,A938))</f>
        <v/>
      </c>
    </row>
    <row r="939">
      <c r="A939" s="7" t="n"/>
      <c r="B939" s="7" t="n"/>
      <c r="C939" s="7" t="n"/>
      <c r="D939" s="8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9">
        <f>IF(A939="","",A939&amp;"|"&amp;COUNTIF($A$2:A939,A939))</f>
        <v/>
      </c>
    </row>
    <row r="940">
      <c r="A940" s="7" t="n"/>
      <c r="B940" s="7" t="n"/>
      <c r="C940" s="7" t="n"/>
      <c r="D940" s="8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9">
        <f>IF(A940="","",A940&amp;"|"&amp;COUNTIF($A$2:A940,A940))</f>
        <v/>
      </c>
    </row>
    <row r="941">
      <c r="A941" s="7" t="n"/>
      <c r="B941" s="7" t="n"/>
      <c r="C941" s="7" t="n"/>
      <c r="D941" s="8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9">
        <f>IF(A941="","",A941&amp;"|"&amp;COUNTIF($A$2:A941,A941))</f>
        <v/>
      </c>
    </row>
    <row r="942">
      <c r="A942" s="7" t="n"/>
      <c r="B942" s="7" t="n"/>
      <c r="C942" s="7" t="n"/>
      <c r="D942" s="8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9">
        <f>IF(A942="","",A942&amp;"|"&amp;COUNTIF($A$2:A942,A942))</f>
        <v/>
      </c>
    </row>
    <row r="943">
      <c r="A943" s="7" t="n"/>
      <c r="B943" s="7" t="n"/>
      <c r="C943" s="7" t="n"/>
      <c r="D943" s="8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9">
        <f>IF(A943="","",A943&amp;"|"&amp;COUNTIF($A$2:A943,A943))</f>
        <v/>
      </c>
    </row>
    <row r="944">
      <c r="A944" s="7" t="n"/>
      <c r="B944" s="7" t="n"/>
      <c r="C944" s="7" t="n"/>
      <c r="D944" s="8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9">
        <f>IF(A944="","",A944&amp;"|"&amp;COUNTIF($A$2:A944,A944))</f>
        <v/>
      </c>
    </row>
    <row r="945">
      <c r="A945" s="7" t="n"/>
      <c r="B945" s="7" t="n"/>
      <c r="C945" s="7" t="n"/>
      <c r="D945" s="8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9">
        <f>IF(A945="","",A945&amp;"|"&amp;COUNTIF($A$2:A945,A945))</f>
        <v/>
      </c>
    </row>
    <row r="946">
      <c r="A946" s="7" t="n"/>
      <c r="B946" s="7" t="n"/>
      <c r="C946" s="7" t="n"/>
      <c r="D946" s="8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9">
        <f>IF(A946="","",A946&amp;"|"&amp;COUNTIF($A$2:A946,A946))</f>
        <v/>
      </c>
    </row>
    <row r="947">
      <c r="A947" s="7" t="n"/>
      <c r="B947" s="7" t="n"/>
      <c r="C947" s="7" t="n"/>
      <c r="D947" s="8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9">
        <f>IF(A947="","",A947&amp;"|"&amp;COUNTIF($A$2:A947,A947))</f>
        <v/>
      </c>
    </row>
    <row r="948">
      <c r="A948" s="7" t="n"/>
      <c r="B948" s="7" t="n"/>
      <c r="C948" s="7" t="n"/>
      <c r="D948" s="8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9">
        <f>IF(A948="","",A948&amp;"|"&amp;COUNTIF($A$2:A948,A948))</f>
        <v/>
      </c>
    </row>
    <row r="949">
      <c r="A949" s="7" t="n"/>
      <c r="B949" s="7" t="n"/>
      <c r="C949" s="7" t="n"/>
      <c r="D949" s="8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9">
        <f>IF(A949="","",A949&amp;"|"&amp;COUNTIF($A$2:A949,A949))</f>
        <v/>
      </c>
    </row>
    <row r="950">
      <c r="A950" s="7" t="n"/>
      <c r="B950" s="7" t="n"/>
      <c r="C950" s="7" t="n"/>
      <c r="D950" s="8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9">
        <f>IF(A950="","",A950&amp;"|"&amp;COUNTIF($A$2:A950,A950))</f>
        <v/>
      </c>
    </row>
    <row r="951">
      <c r="A951" s="7" t="n"/>
      <c r="B951" s="7" t="n"/>
      <c r="C951" s="7" t="n"/>
      <c r="D951" s="8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9">
        <f>IF(A951="","",A951&amp;"|"&amp;COUNTIF($A$2:A951,A951))</f>
        <v/>
      </c>
    </row>
    <row r="952">
      <c r="A952" s="7" t="n"/>
      <c r="B952" s="7" t="n"/>
      <c r="C952" s="7" t="n"/>
      <c r="D952" s="8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9">
        <f>IF(A952="","",A952&amp;"|"&amp;COUNTIF($A$2:A952,A952))</f>
        <v/>
      </c>
    </row>
    <row r="953">
      <c r="A953" s="7" t="n"/>
      <c r="B953" s="7" t="n"/>
      <c r="C953" s="7" t="n"/>
      <c r="D953" s="8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9">
        <f>IF(A953="","",A953&amp;"|"&amp;COUNTIF($A$2:A953,A953))</f>
        <v/>
      </c>
    </row>
    <row r="954">
      <c r="A954" s="7" t="n"/>
      <c r="B954" s="7" t="n"/>
      <c r="C954" s="7" t="n"/>
      <c r="D954" s="8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9">
        <f>IF(A954="","",A954&amp;"|"&amp;COUNTIF($A$2:A954,A954))</f>
        <v/>
      </c>
    </row>
    <row r="955">
      <c r="A955" s="7" t="n"/>
      <c r="B955" s="7" t="n"/>
      <c r="C955" s="7" t="n"/>
      <c r="D955" s="8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9">
        <f>IF(A955="","",A955&amp;"|"&amp;COUNTIF($A$2:A955,A955))</f>
        <v/>
      </c>
    </row>
    <row r="956">
      <c r="A956" s="7" t="n"/>
      <c r="B956" s="7" t="n"/>
      <c r="C956" s="7" t="n"/>
      <c r="D956" s="8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9">
        <f>IF(A956="","",A956&amp;"|"&amp;COUNTIF($A$2:A956,A956))</f>
        <v/>
      </c>
    </row>
    <row r="957">
      <c r="A957" s="7" t="n"/>
      <c r="B957" s="7" t="n"/>
      <c r="C957" s="7" t="n"/>
      <c r="D957" s="8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9">
        <f>IF(A957="","",A957&amp;"|"&amp;COUNTIF($A$2:A957,A957))</f>
        <v/>
      </c>
    </row>
    <row r="958">
      <c r="A958" s="7" t="n"/>
      <c r="B958" s="7" t="n"/>
      <c r="C958" s="7" t="n"/>
      <c r="D958" s="8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9">
        <f>IF(A958="","",A958&amp;"|"&amp;COUNTIF($A$2:A958,A958))</f>
        <v/>
      </c>
    </row>
    <row r="959">
      <c r="A959" s="7" t="n"/>
      <c r="B959" s="7" t="n"/>
      <c r="C959" s="7" t="n"/>
      <c r="D959" s="8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9">
        <f>IF(A959="","",A959&amp;"|"&amp;COUNTIF($A$2:A959,A959))</f>
        <v/>
      </c>
    </row>
    <row r="960">
      <c r="A960" s="7" t="n"/>
      <c r="B960" s="7" t="n"/>
      <c r="C960" s="7" t="n"/>
      <c r="D960" s="8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9">
        <f>IF(A960="","",A960&amp;"|"&amp;COUNTIF($A$2:A960,A960))</f>
        <v/>
      </c>
    </row>
    <row r="961">
      <c r="A961" s="7" t="n"/>
      <c r="B961" s="7" t="n"/>
      <c r="C961" s="7" t="n"/>
      <c r="D961" s="8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9">
        <f>IF(A961="","",A961&amp;"|"&amp;COUNTIF($A$2:A961,A961))</f>
        <v/>
      </c>
    </row>
    <row r="962">
      <c r="A962" s="7" t="n"/>
      <c r="B962" s="7" t="n"/>
      <c r="C962" s="7" t="n"/>
      <c r="D962" s="8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9">
        <f>IF(A962="","",A962&amp;"|"&amp;COUNTIF($A$2:A962,A962))</f>
        <v/>
      </c>
    </row>
    <row r="963">
      <c r="A963" s="7" t="n"/>
      <c r="B963" s="7" t="n"/>
      <c r="C963" s="7" t="n"/>
      <c r="D963" s="8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9">
        <f>IF(A963="","",A963&amp;"|"&amp;COUNTIF($A$2:A963,A963))</f>
        <v/>
      </c>
    </row>
    <row r="964">
      <c r="A964" s="7" t="n"/>
      <c r="B964" s="7" t="n"/>
      <c r="C964" s="7" t="n"/>
      <c r="D964" s="8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9">
        <f>IF(A964="","",A964&amp;"|"&amp;COUNTIF($A$2:A964,A964))</f>
        <v/>
      </c>
    </row>
    <row r="965">
      <c r="A965" s="7" t="n"/>
      <c r="B965" s="7" t="n"/>
      <c r="C965" s="7" t="n"/>
      <c r="D965" s="8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9">
        <f>IF(A965="","",A965&amp;"|"&amp;COUNTIF($A$2:A965,A965))</f>
        <v/>
      </c>
    </row>
    <row r="966">
      <c r="A966" s="7" t="n"/>
      <c r="B966" s="7" t="n"/>
      <c r="C966" s="7" t="n"/>
      <c r="D966" s="8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9">
        <f>IF(A966="","",A966&amp;"|"&amp;COUNTIF($A$2:A966,A966))</f>
        <v/>
      </c>
    </row>
    <row r="967">
      <c r="A967" s="7" t="n"/>
      <c r="B967" s="7" t="n"/>
      <c r="C967" s="7" t="n"/>
      <c r="D967" s="8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9">
        <f>IF(A967="","",A967&amp;"|"&amp;COUNTIF($A$2:A967,A967))</f>
        <v/>
      </c>
    </row>
    <row r="968">
      <c r="A968" s="7" t="n"/>
      <c r="B968" s="7" t="n"/>
      <c r="C968" s="7" t="n"/>
      <c r="D968" s="8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9">
        <f>IF(A968="","",A968&amp;"|"&amp;COUNTIF($A$2:A968,A968))</f>
        <v/>
      </c>
    </row>
    <row r="969">
      <c r="A969" s="7" t="n"/>
      <c r="B969" s="7" t="n"/>
      <c r="C969" s="7" t="n"/>
      <c r="D969" s="8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9">
        <f>IF(A969="","",A969&amp;"|"&amp;COUNTIF($A$2:A969,A969))</f>
        <v/>
      </c>
    </row>
    <row r="970">
      <c r="A970" s="7" t="n"/>
      <c r="B970" s="7" t="n"/>
      <c r="C970" s="7" t="n"/>
      <c r="D970" s="8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9">
        <f>IF(A970="","",A970&amp;"|"&amp;COUNTIF($A$2:A970,A970))</f>
        <v/>
      </c>
    </row>
    <row r="971">
      <c r="A971" s="7" t="n"/>
      <c r="B971" s="7" t="n"/>
      <c r="C971" s="7" t="n"/>
      <c r="D971" s="8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9">
        <f>IF(A971="","",A971&amp;"|"&amp;COUNTIF($A$2:A971,A971))</f>
        <v/>
      </c>
    </row>
    <row r="972">
      <c r="A972" s="7" t="n"/>
      <c r="B972" s="7" t="n"/>
      <c r="C972" s="7" t="n"/>
      <c r="D972" s="8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9">
        <f>IF(A972="","",A972&amp;"|"&amp;COUNTIF($A$2:A972,A972))</f>
        <v/>
      </c>
    </row>
    <row r="973">
      <c r="A973" s="7" t="n"/>
      <c r="B973" s="7" t="n"/>
      <c r="C973" s="7" t="n"/>
      <c r="D973" s="8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9">
        <f>IF(A973="","",A973&amp;"|"&amp;COUNTIF($A$2:A973,A973))</f>
        <v/>
      </c>
    </row>
    <row r="974">
      <c r="A974" s="7" t="n"/>
      <c r="B974" s="7" t="n"/>
      <c r="C974" s="7" t="n"/>
      <c r="D974" s="8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9">
        <f>IF(A974="","",A974&amp;"|"&amp;COUNTIF($A$2:A974,A974))</f>
        <v/>
      </c>
    </row>
    <row r="975">
      <c r="A975" s="7" t="n"/>
      <c r="B975" s="7" t="n"/>
      <c r="C975" s="7" t="n"/>
      <c r="D975" s="8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9">
        <f>IF(A975="","",A975&amp;"|"&amp;COUNTIF($A$2:A975,A975))</f>
        <v/>
      </c>
    </row>
    <row r="976">
      <c r="A976" s="7" t="n"/>
      <c r="B976" s="7" t="n"/>
      <c r="C976" s="7" t="n"/>
      <c r="D976" s="8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9">
        <f>IF(A976="","",A976&amp;"|"&amp;COUNTIF($A$2:A976,A976))</f>
        <v/>
      </c>
    </row>
    <row r="977">
      <c r="A977" s="7" t="n"/>
      <c r="B977" s="7" t="n"/>
      <c r="C977" s="7" t="n"/>
      <c r="D977" s="8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9">
        <f>IF(A977="","",A977&amp;"|"&amp;COUNTIF($A$2:A977,A977))</f>
        <v/>
      </c>
    </row>
    <row r="978">
      <c r="A978" s="7" t="n"/>
      <c r="B978" s="7" t="n"/>
      <c r="C978" s="7" t="n"/>
      <c r="D978" s="8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9">
        <f>IF(A978="","",A978&amp;"|"&amp;COUNTIF($A$2:A978,A978))</f>
        <v/>
      </c>
    </row>
    <row r="979">
      <c r="A979" s="7" t="n"/>
      <c r="B979" s="7" t="n"/>
      <c r="C979" s="7" t="n"/>
      <c r="D979" s="8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9">
        <f>IF(A979="","",A979&amp;"|"&amp;COUNTIF($A$2:A979,A979))</f>
        <v/>
      </c>
    </row>
    <row r="980">
      <c r="A980" s="7" t="n"/>
      <c r="B980" s="7" t="n"/>
      <c r="C980" s="7" t="n"/>
      <c r="D980" s="8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9">
        <f>IF(A980="","",A980&amp;"|"&amp;COUNTIF($A$2:A980,A980))</f>
        <v/>
      </c>
    </row>
    <row r="981">
      <c r="A981" s="7" t="n"/>
      <c r="B981" s="7" t="n"/>
      <c r="C981" s="7" t="n"/>
      <c r="D981" s="8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9">
        <f>IF(A981="","",A981&amp;"|"&amp;COUNTIF($A$2:A981,A981))</f>
        <v/>
      </c>
    </row>
    <row r="982">
      <c r="A982" s="7" t="n"/>
      <c r="B982" s="7" t="n"/>
      <c r="C982" s="7" t="n"/>
      <c r="D982" s="8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9">
        <f>IF(A982="","",A982&amp;"|"&amp;COUNTIF($A$2:A982,A982))</f>
        <v/>
      </c>
    </row>
    <row r="983">
      <c r="A983" s="7" t="n"/>
      <c r="B983" s="7" t="n"/>
      <c r="C983" s="7" t="n"/>
      <c r="D983" s="8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9">
        <f>IF(A983="","",A983&amp;"|"&amp;COUNTIF($A$2:A983,A983))</f>
        <v/>
      </c>
    </row>
    <row r="984">
      <c r="A984" s="7" t="n"/>
      <c r="B984" s="7" t="n"/>
      <c r="C984" s="7" t="n"/>
      <c r="D984" s="8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9">
        <f>IF(A984="","",A984&amp;"|"&amp;COUNTIF($A$2:A984,A984))</f>
        <v/>
      </c>
    </row>
    <row r="985">
      <c r="A985" s="7" t="n"/>
      <c r="B985" s="7" t="n"/>
      <c r="C985" s="7" t="n"/>
      <c r="D985" s="8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9">
        <f>IF(A985="","",A985&amp;"|"&amp;COUNTIF($A$2:A985,A985))</f>
        <v/>
      </c>
    </row>
    <row r="986">
      <c r="A986" s="7" t="n"/>
      <c r="B986" s="7" t="n"/>
      <c r="C986" s="7" t="n"/>
      <c r="D986" s="8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9">
        <f>IF(A986="","",A986&amp;"|"&amp;COUNTIF($A$2:A986,A986))</f>
        <v/>
      </c>
    </row>
    <row r="987">
      <c r="A987" s="7" t="n"/>
      <c r="B987" s="7" t="n"/>
      <c r="C987" s="7" t="n"/>
      <c r="D987" s="8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9">
        <f>IF(A987="","",A987&amp;"|"&amp;COUNTIF($A$2:A987,A987))</f>
        <v/>
      </c>
    </row>
    <row r="988">
      <c r="A988" s="7" t="n"/>
      <c r="B988" s="7" t="n"/>
      <c r="C988" s="7" t="n"/>
      <c r="D988" s="8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9">
        <f>IF(A988="","",A988&amp;"|"&amp;COUNTIF($A$2:A988,A988))</f>
        <v/>
      </c>
    </row>
    <row r="989">
      <c r="A989" s="7" t="n"/>
      <c r="B989" s="7" t="n"/>
      <c r="C989" s="7" t="n"/>
      <c r="D989" s="8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9">
        <f>IF(A989="","",A989&amp;"|"&amp;COUNTIF($A$2:A989,A989))</f>
        <v/>
      </c>
    </row>
    <row r="990">
      <c r="A990" s="7" t="n"/>
      <c r="B990" s="7" t="n"/>
      <c r="C990" s="7" t="n"/>
      <c r="D990" s="8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9">
        <f>IF(A990="","",A990&amp;"|"&amp;COUNTIF($A$2:A990,A990))</f>
        <v/>
      </c>
    </row>
    <row r="991">
      <c r="A991" s="7" t="n"/>
      <c r="B991" s="7" t="n"/>
      <c r="C991" s="7" t="n"/>
      <c r="D991" s="8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9">
        <f>IF(A991="","",A991&amp;"|"&amp;COUNTIF($A$2:A991,A991))</f>
        <v/>
      </c>
    </row>
    <row r="992">
      <c r="A992" s="7" t="n"/>
      <c r="B992" s="7" t="n"/>
      <c r="C992" s="7" t="n"/>
      <c r="D992" s="8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9">
        <f>IF(A992="","",A992&amp;"|"&amp;COUNTIF($A$2:A992,A992))</f>
        <v/>
      </c>
    </row>
    <row r="993">
      <c r="A993" s="7" t="n"/>
      <c r="B993" s="7" t="n"/>
      <c r="C993" s="7" t="n"/>
      <c r="D993" s="8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9">
        <f>IF(A993="","",A993&amp;"|"&amp;COUNTIF($A$2:A993,A993))</f>
        <v/>
      </c>
    </row>
    <row r="994">
      <c r="A994" s="7" t="n"/>
      <c r="B994" s="7" t="n"/>
      <c r="C994" s="7" t="n"/>
      <c r="D994" s="8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9">
        <f>IF(A994="","",A994&amp;"|"&amp;COUNTIF($A$2:A994,A994))</f>
        <v/>
      </c>
    </row>
    <row r="995">
      <c r="A995" s="7" t="n"/>
      <c r="B995" s="7" t="n"/>
      <c r="C995" s="7" t="n"/>
      <c r="D995" s="8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9">
        <f>IF(A995="","",A995&amp;"|"&amp;COUNTIF($A$2:A995,A995))</f>
        <v/>
      </c>
    </row>
    <row r="996">
      <c r="A996" s="7" t="n"/>
      <c r="B996" s="7" t="n"/>
      <c r="C996" s="7" t="n"/>
      <c r="D996" s="8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9">
        <f>IF(A996="","",A996&amp;"|"&amp;COUNTIF($A$2:A996,A996))</f>
        <v/>
      </c>
    </row>
    <row r="997">
      <c r="A997" s="7" t="n"/>
      <c r="B997" s="7" t="n"/>
      <c r="C997" s="7" t="n"/>
      <c r="D997" s="8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9">
        <f>IF(A997="","",A997&amp;"|"&amp;COUNTIF($A$2:A997,A997))</f>
        <v/>
      </c>
    </row>
    <row r="998">
      <c r="A998" s="7" t="n"/>
      <c r="B998" s="7" t="n"/>
      <c r="C998" s="7" t="n"/>
      <c r="D998" s="8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9">
        <f>IF(A998="","",A998&amp;"|"&amp;COUNTIF($A$2:A998,A998))</f>
        <v/>
      </c>
    </row>
    <row r="999">
      <c r="A999" s="7" t="n"/>
      <c r="B999" s="7" t="n"/>
      <c r="C999" s="7" t="n"/>
      <c r="D999" s="8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9">
        <f>IF(A999="","",A999&amp;"|"&amp;COUNTIF($A$2:A999,A999))</f>
        <v/>
      </c>
    </row>
    <row r="1000">
      <c r="A1000" s="7" t="n"/>
      <c r="B1000" s="7" t="n"/>
      <c r="C1000" s="7" t="n"/>
      <c r="D1000" s="8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9">
        <f>IF(A1000="","",A1000&amp;"|"&amp;COUNTIF($A$2:A1000,A1000))</f>
        <v/>
      </c>
    </row>
    <row r="1001">
      <c r="A1001" s="7" t="n"/>
      <c r="B1001" s="7" t="n"/>
      <c r="C1001" s="7" t="n"/>
      <c r="D1001" s="8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9">
        <f>IF(A1001="","",A1001&amp;"|"&amp;COUNTIF($A$2:A1001,A1001))</f>
        <v/>
      </c>
    </row>
    <row r="1002">
      <c r="A1002" s="7" t="n"/>
      <c r="B1002" s="7" t="n"/>
      <c r="C1002" s="7" t="n"/>
      <c r="D1002" s="8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9">
        <f>IF(A1002="","",A1002&amp;"|"&amp;COUNTIF($A$2:A1002,A1002))</f>
        <v/>
      </c>
    </row>
    <row r="1003">
      <c r="A1003" s="7" t="n"/>
      <c r="B1003" s="7" t="n"/>
      <c r="C1003" s="7" t="n"/>
      <c r="D1003" s="8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9">
        <f>IF(A1003="","",A1003&amp;"|"&amp;COUNTIF($A$2:A1003,A1003))</f>
        <v/>
      </c>
    </row>
    <row r="1004">
      <c r="A1004" s="7" t="n"/>
      <c r="B1004" s="7" t="n"/>
      <c r="C1004" s="7" t="n"/>
      <c r="D1004" s="8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9">
        <f>IF(A1004="","",A1004&amp;"|"&amp;COUNTIF($A$2:A1004,A1004))</f>
        <v/>
      </c>
    </row>
    <row r="1005">
      <c r="A1005" s="7" t="n"/>
      <c r="B1005" s="7" t="n"/>
      <c r="C1005" s="7" t="n"/>
      <c r="D1005" s="8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9">
        <f>IF(A1005="","",A1005&amp;"|"&amp;COUNTIF($A$2:A1005,A1005))</f>
        <v/>
      </c>
    </row>
    <row r="1006">
      <c r="A1006" s="7" t="n"/>
      <c r="B1006" s="7" t="n"/>
      <c r="C1006" s="7" t="n"/>
      <c r="D1006" s="8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9">
        <f>IF(A1006="","",A1006&amp;"|"&amp;COUNTIF($A$2:A1006,A1006))</f>
        <v/>
      </c>
    </row>
    <row r="1007">
      <c r="A1007" s="7" t="n"/>
      <c r="B1007" s="7" t="n"/>
      <c r="C1007" s="7" t="n"/>
      <c r="D1007" s="8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9">
        <f>IF(A1007="","",A1007&amp;"|"&amp;COUNTIF($A$2:A1007,A1007))</f>
        <v/>
      </c>
    </row>
    <row r="1008">
      <c r="A1008" s="7" t="n"/>
      <c r="B1008" s="7" t="n"/>
      <c r="C1008" s="7" t="n"/>
      <c r="D1008" s="8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9">
        <f>IF(A1008="","",A1008&amp;"|"&amp;COUNTIF($A$2:A1008,A1008))</f>
        <v/>
      </c>
    </row>
    <row r="1009">
      <c r="A1009" s="7" t="n"/>
      <c r="B1009" s="7" t="n"/>
      <c r="C1009" s="7" t="n"/>
      <c r="D1009" s="8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9">
        <f>IF(A1009="","",A1009&amp;"|"&amp;COUNTIF($A$2:A1009,A1009))</f>
        <v/>
      </c>
    </row>
    <row r="1010">
      <c r="A1010" s="7" t="n"/>
      <c r="B1010" s="7" t="n"/>
      <c r="C1010" s="7" t="n"/>
      <c r="D1010" s="8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9">
        <f>IF(A1010="","",A1010&amp;"|"&amp;COUNTIF($A$2:A1010,A1010))</f>
        <v/>
      </c>
    </row>
    <row r="1011">
      <c r="A1011" s="7" t="n"/>
      <c r="B1011" s="7" t="n"/>
      <c r="C1011" s="7" t="n"/>
      <c r="D1011" s="8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9">
        <f>IF(A1011="","",A1011&amp;"|"&amp;COUNTIF($A$2:A1011,A1011))</f>
        <v/>
      </c>
    </row>
    <row r="1012">
      <c r="A1012" s="7" t="n"/>
      <c r="B1012" s="7" t="n"/>
      <c r="C1012" s="7" t="n"/>
      <c r="D1012" s="8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9">
        <f>IF(A1012="","",A1012&amp;"|"&amp;COUNTIF($A$2:A1012,A1012))</f>
        <v/>
      </c>
    </row>
    <row r="1013">
      <c r="A1013" s="7" t="n"/>
      <c r="B1013" s="7" t="n"/>
      <c r="C1013" s="7" t="n"/>
      <c r="D1013" s="8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9">
        <f>IF(A1013="","",A1013&amp;"|"&amp;COUNTIF($A$2:A1013,A1013))</f>
        <v/>
      </c>
    </row>
    <row r="1014">
      <c r="A1014" s="7" t="n"/>
      <c r="B1014" s="7" t="n"/>
      <c r="C1014" s="7" t="n"/>
      <c r="D1014" s="8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9">
        <f>IF(A1014="","",A1014&amp;"|"&amp;COUNTIF($A$2:A1014,A1014))</f>
        <v/>
      </c>
    </row>
    <row r="1015">
      <c r="A1015" s="7" t="n"/>
      <c r="B1015" s="7" t="n"/>
      <c r="C1015" s="7" t="n"/>
      <c r="D1015" s="8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9">
        <f>IF(A1015="","",A1015&amp;"|"&amp;COUNTIF($A$2:A1015,A1015))</f>
        <v/>
      </c>
    </row>
    <row r="1016">
      <c r="A1016" s="7" t="n"/>
      <c r="B1016" s="7" t="n"/>
      <c r="C1016" s="7" t="n"/>
      <c r="D1016" s="8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9">
        <f>IF(A1016="","",A1016&amp;"|"&amp;COUNTIF($A$2:A1016,A1016))</f>
        <v/>
      </c>
    </row>
    <row r="1017">
      <c r="A1017" s="7" t="n"/>
      <c r="B1017" s="7" t="n"/>
      <c r="C1017" s="7" t="n"/>
      <c r="D1017" s="8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9">
        <f>IF(A1017="","",A1017&amp;"|"&amp;COUNTIF($A$2:A1017,A1017))</f>
        <v/>
      </c>
    </row>
    <row r="1018">
      <c r="A1018" s="7" t="n"/>
      <c r="B1018" s="7" t="n"/>
      <c r="C1018" s="7" t="n"/>
      <c r="D1018" s="8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9">
        <f>IF(A1018="","",A1018&amp;"|"&amp;COUNTIF($A$2:A1018,A1018))</f>
        <v/>
      </c>
    </row>
    <row r="1019">
      <c r="A1019" s="7" t="n"/>
      <c r="B1019" s="7" t="n"/>
      <c r="C1019" s="7" t="n"/>
      <c r="D1019" s="8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9">
        <f>IF(A1019="","",A1019&amp;"|"&amp;COUNTIF($A$2:A1019,A1019))</f>
        <v/>
      </c>
    </row>
    <row r="1020">
      <c r="A1020" s="7" t="n"/>
      <c r="B1020" s="7" t="n"/>
      <c r="C1020" s="7" t="n"/>
      <c r="D1020" s="8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9">
        <f>IF(A1020="","",A1020&amp;"|"&amp;COUNTIF($A$2:A1020,A1020))</f>
        <v/>
      </c>
    </row>
    <row r="1021">
      <c r="A1021" s="7" t="n"/>
      <c r="B1021" s="7" t="n"/>
      <c r="C1021" s="7" t="n"/>
      <c r="D1021" s="8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9">
        <f>IF(A1021="","",A1021&amp;"|"&amp;COUNTIF($A$2:A1021,A1021))</f>
        <v/>
      </c>
    </row>
    <row r="1022">
      <c r="A1022" s="7" t="n"/>
      <c r="B1022" s="7" t="n"/>
      <c r="C1022" s="7" t="n"/>
      <c r="D1022" s="8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9">
        <f>IF(A1022="","",A1022&amp;"|"&amp;COUNTIF($A$2:A1022,A1022))</f>
        <v/>
      </c>
    </row>
    <row r="1023">
      <c r="A1023" s="7" t="n"/>
      <c r="B1023" s="7" t="n"/>
      <c r="C1023" s="7" t="n"/>
      <c r="D1023" s="8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9">
        <f>IF(A1023="","",A1023&amp;"|"&amp;COUNTIF($A$2:A1023,A1023))</f>
        <v/>
      </c>
    </row>
    <row r="1024">
      <c r="A1024" s="7" t="n"/>
      <c r="B1024" s="7" t="n"/>
      <c r="C1024" s="7" t="n"/>
      <c r="D1024" s="8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9">
        <f>IF(A1024="","",A1024&amp;"|"&amp;COUNTIF($A$2:A1024,A1024))</f>
        <v/>
      </c>
    </row>
    <row r="1025">
      <c r="A1025" s="7" t="n"/>
      <c r="B1025" s="7" t="n"/>
      <c r="C1025" s="7" t="n"/>
      <c r="D1025" s="8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9">
        <f>IF(A1025="","",A1025&amp;"|"&amp;COUNTIF($A$2:A1025,A1025))</f>
        <v/>
      </c>
    </row>
    <row r="1026">
      <c r="A1026" s="7" t="n"/>
      <c r="B1026" s="7" t="n"/>
      <c r="C1026" s="7" t="n"/>
      <c r="D1026" s="8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9">
        <f>IF(A1026="","",A1026&amp;"|"&amp;COUNTIF($A$2:A1026,A1026))</f>
        <v/>
      </c>
    </row>
    <row r="1027">
      <c r="A1027" s="7" t="n"/>
      <c r="B1027" s="7" t="n"/>
      <c r="C1027" s="7" t="n"/>
      <c r="D1027" s="8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9">
        <f>IF(A1027="","",A1027&amp;"|"&amp;COUNTIF($A$2:A1027,A1027))</f>
        <v/>
      </c>
    </row>
    <row r="1028">
      <c r="A1028" s="7" t="n"/>
      <c r="B1028" s="7" t="n"/>
      <c r="C1028" s="7" t="n"/>
      <c r="D1028" s="8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9">
        <f>IF(A1028="","",A1028&amp;"|"&amp;COUNTIF($A$2:A1028,A1028))</f>
        <v/>
      </c>
    </row>
    <row r="1029">
      <c r="A1029" s="7" t="n"/>
      <c r="B1029" s="7" t="n"/>
      <c r="C1029" s="7" t="n"/>
      <c r="D1029" s="8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9">
        <f>IF(A1029="","",A1029&amp;"|"&amp;COUNTIF($A$2:A1029,A1029))</f>
        <v/>
      </c>
    </row>
    <row r="1030">
      <c r="A1030" s="7" t="n"/>
      <c r="B1030" s="7" t="n"/>
      <c r="C1030" s="7" t="n"/>
      <c r="D1030" s="8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9">
        <f>IF(A1030="","",A1030&amp;"|"&amp;COUNTIF($A$2:A1030,A1030))</f>
        <v/>
      </c>
    </row>
    <row r="1031">
      <c r="A1031" s="7" t="n"/>
      <c r="B1031" s="7" t="n"/>
      <c r="C1031" s="7" t="n"/>
      <c r="D1031" s="8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9">
        <f>IF(A1031="","",A1031&amp;"|"&amp;COUNTIF($A$2:A1031,A1031))</f>
        <v/>
      </c>
    </row>
    <row r="1032">
      <c r="A1032" s="7" t="n"/>
      <c r="B1032" s="7" t="n"/>
      <c r="C1032" s="7" t="n"/>
      <c r="D1032" s="8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9">
        <f>IF(A1032="","",A1032&amp;"|"&amp;COUNTIF($A$2:A1032,A1032))</f>
        <v/>
      </c>
    </row>
    <row r="1033">
      <c r="A1033" s="7" t="n"/>
      <c r="B1033" s="7" t="n"/>
      <c r="C1033" s="7" t="n"/>
      <c r="D1033" s="8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9">
        <f>IF(A1033="","",A1033&amp;"|"&amp;COUNTIF($A$2:A1033,A1033))</f>
        <v/>
      </c>
    </row>
    <row r="1034">
      <c r="A1034" s="7" t="n"/>
      <c r="B1034" s="7" t="n"/>
      <c r="C1034" s="7" t="n"/>
      <c r="D1034" s="8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9">
        <f>IF(A1034="","",A1034&amp;"|"&amp;COUNTIF($A$2:A1034,A1034))</f>
        <v/>
      </c>
    </row>
    <row r="1035">
      <c r="A1035" s="7" t="n"/>
      <c r="B1035" s="7" t="n"/>
      <c r="C1035" s="7" t="n"/>
      <c r="D1035" s="8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9">
        <f>IF(A1035="","",A1035&amp;"|"&amp;COUNTIF($A$2:A1035,A1035))</f>
        <v/>
      </c>
    </row>
    <row r="1036">
      <c r="A1036" s="7" t="n"/>
      <c r="B1036" s="7" t="n"/>
      <c r="C1036" s="7" t="n"/>
      <c r="D1036" s="8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9">
        <f>IF(A1036="","",A1036&amp;"|"&amp;COUNTIF($A$2:A1036,A1036))</f>
        <v/>
      </c>
    </row>
    <row r="1037">
      <c r="A1037" s="7" t="n"/>
      <c r="B1037" s="7" t="n"/>
      <c r="C1037" s="7" t="n"/>
      <c r="D1037" s="8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9">
        <f>IF(A1037="","",A1037&amp;"|"&amp;COUNTIF($A$2:A1037,A1037))</f>
        <v/>
      </c>
    </row>
    <row r="1038">
      <c r="A1038" s="7" t="n"/>
      <c r="B1038" s="7" t="n"/>
      <c r="C1038" s="7" t="n"/>
      <c r="D1038" s="8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9">
        <f>IF(A1038="","",A1038&amp;"|"&amp;COUNTIF($A$2:A1038,A1038))</f>
        <v/>
      </c>
    </row>
    <row r="1039">
      <c r="A1039" s="7" t="n"/>
      <c r="B1039" s="7" t="n"/>
      <c r="C1039" s="7" t="n"/>
      <c r="D1039" s="8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9">
        <f>IF(A1039="","",A1039&amp;"|"&amp;COUNTIF($A$2:A1039,A1039))</f>
        <v/>
      </c>
    </row>
    <row r="1040">
      <c r="A1040" s="7" t="n"/>
      <c r="B1040" s="7" t="n"/>
      <c r="C1040" s="7" t="n"/>
      <c r="D1040" s="8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9">
        <f>IF(A1040="","",A1040&amp;"|"&amp;COUNTIF($A$2:A1040,A1040))</f>
        <v/>
      </c>
    </row>
    <row r="1041">
      <c r="A1041" s="7" t="n"/>
      <c r="B1041" s="7" t="n"/>
      <c r="C1041" s="7" t="n"/>
      <c r="D1041" s="8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9">
        <f>IF(A1041="","",A1041&amp;"|"&amp;COUNTIF($A$2:A1041,A1041))</f>
        <v/>
      </c>
    </row>
    <row r="1042">
      <c r="A1042" s="7" t="n"/>
      <c r="B1042" s="7" t="n"/>
      <c r="C1042" s="7" t="n"/>
      <c r="D1042" s="8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9">
        <f>IF(A1042="","",A1042&amp;"|"&amp;COUNTIF($A$2:A1042,A1042))</f>
        <v/>
      </c>
    </row>
    <row r="1043">
      <c r="A1043" s="7" t="n"/>
      <c r="B1043" s="7" t="n"/>
      <c r="C1043" s="7" t="n"/>
      <c r="D1043" s="8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9">
        <f>IF(A1043="","",A1043&amp;"|"&amp;COUNTIF($A$2:A1043,A1043))</f>
        <v/>
      </c>
    </row>
    <row r="1044">
      <c r="A1044" s="7" t="n"/>
      <c r="B1044" s="7" t="n"/>
      <c r="C1044" s="7" t="n"/>
      <c r="D1044" s="8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9">
        <f>IF(A1044="","",A1044&amp;"|"&amp;COUNTIF($A$2:A1044,A1044))</f>
        <v/>
      </c>
    </row>
    <row r="1045">
      <c r="A1045" s="7" t="n"/>
      <c r="B1045" s="7" t="n"/>
      <c r="C1045" s="7" t="n"/>
      <c r="D1045" s="8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9">
        <f>IF(A1045="","",A1045&amp;"|"&amp;COUNTIF($A$2:A1045,A1045))</f>
        <v/>
      </c>
    </row>
    <row r="1046">
      <c r="A1046" s="7" t="n"/>
      <c r="B1046" s="7" t="n"/>
      <c r="C1046" s="7" t="n"/>
      <c r="D1046" s="8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9">
        <f>IF(A1046="","",A1046&amp;"|"&amp;COUNTIF($A$2:A1046,A1046))</f>
        <v/>
      </c>
    </row>
    <row r="1047">
      <c r="A1047" s="7" t="n"/>
      <c r="B1047" s="7" t="n"/>
      <c r="C1047" s="7" t="n"/>
      <c r="D1047" s="8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9">
        <f>IF(A1047="","",A1047&amp;"|"&amp;COUNTIF($A$2:A1047,A1047))</f>
        <v/>
      </c>
    </row>
    <row r="1048">
      <c r="A1048" s="7" t="n"/>
      <c r="B1048" s="7" t="n"/>
      <c r="C1048" s="7" t="n"/>
      <c r="D1048" s="8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9">
        <f>IF(A1048="","",A1048&amp;"|"&amp;COUNTIF($A$2:A1048,A1048))</f>
        <v/>
      </c>
    </row>
    <row r="1049">
      <c r="A1049" s="7" t="n"/>
      <c r="B1049" s="7" t="n"/>
      <c r="C1049" s="7" t="n"/>
      <c r="D1049" s="8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9">
        <f>IF(A1049="","",A1049&amp;"|"&amp;COUNTIF($A$2:A1049,A1049))</f>
        <v/>
      </c>
    </row>
    <row r="1050">
      <c r="A1050" s="7" t="n"/>
      <c r="B1050" s="7" t="n"/>
      <c r="C1050" s="7" t="n"/>
      <c r="D1050" s="8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9">
        <f>IF(A1050="","",A1050&amp;"|"&amp;COUNTIF($A$2:A1050,A1050))</f>
        <v/>
      </c>
    </row>
    <row r="1051">
      <c r="A1051" s="7" t="n"/>
      <c r="B1051" s="7" t="n"/>
      <c r="C1051" s="7" t="n"/>
      <c r="D1051" s="8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9">
        <f>IF(A1051="","",A1051&amp;"|"&amp;COUNTIF($A$2:A1051,A1051))</f>
        <v/>
      </c>
    </row>
    <row r="1052">
      <c r="A1052" s="7" t="n"/>
      <c r="B1052" s="7" t="n"/>
      <c r="C1052" s="7" t="n"/>
      <c r="D1052" s="8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9">
        <f>IF(A1052="","",A1052&amp;"|"&amp;COUNTIF($A$2:A1052,A1052))</f>
        <v/>
      </c>
    </row>
    <row r="1053">
      <c r="A1053" s="7" t="n"/>
      <c r="B1053" s="7" t="n"/>
      <c r="C1053" s="7" t="n"/>
      <c r="D1053" s="8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9">
        <f>IF(A1053="","",A1053&amp;"|"&amp;COUNTIF($A$2:A1053,A1053))</f>
        <v/>
      </c>
    </row>
    <row r="1054">
      <c r="A1054" s="7" t="n"/>
      <c r="B1054" s="7" t="n"/>
      <c r="C1054" s="7" t="n"/>
      <c r="D1054" s="8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9">
        <f>IF(A1054="","",A1054&amp;"|"&amp;COUNTIF($A$2:A1054,A1054))</f>
        <v/>
      </c>
    </row>
    <row r="1055">
      <c r="A1055" s="7" t="n"/>
      <c r="B1055" s="7" t="n"/>
      <c r="C1055" s="7" t="n"/>
      <c r="D1055" s="8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9">
        <f>IF(A1055="","",A1055&amp;"|"&amp;COUNTIF($A$2:A1055,A1055))</f>
        <v/>
      </c>
    </row>
    <row r="1056">
      <c r="A1056" s="7" t="n"/>
      <c r="B1056" s="7" t="n"/>
      <c r="C1056" s="7" t="n"/>
      <c r="D1056" s="8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9">
        <f>IF(A1056="","",A1056&amp;"|"&amp;COUNTIF($A$2:A1056,A1056))</f>
        <v/>
      </c>
    </row>
    <row r="1057">
      <c r="A1057" s="7" t="n"/>
      <c r="B1057" s="7" t="n"/>
      <c r="C1057" s="7" t="n"/>
      <c r="D1057" s="8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9">
        <f>IF(A1057="","",A1057&amp;"|"&amp;COUNTIF($A$2:A1057,A1057))</f>
        <v/>
      </c>
    </row>
    <row r="1058">
      <c r="A1058" s="7" t="n"/>
      <c r="B1058" s="7" t="n"/>
      <c r="C1058" s="7" t="n"/>
      <c r="D1058" s="8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9">
        <f>IF(A1058="","",A1058&amp;"|"&amp;COUNTIF($A$2:A1058,A1058))</f>
        <v/>
      </c>
    </row>
    <row r="1059">
      <c r="A1059" s="7" t="n"/>
      <c r="B1059" s="7" t="n"/>
      <c r="C1059" s="7" t="n"/>
      <c r="D1059" s="8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9">
        <f>IF(A1059="","",A1059&amp;"|"&amp;COUNTIF($A$2:A1059,A1059))</f>
        <v/>
      </c>
    </row>
    <row r="1060">
      <c r="A1060" s="7" t="n"/>
      <c r="B1060" s="7" t="n"/>
      <c r="C1060" s="7" t="n"/>
      <c r="D1060" s="8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9">
        <f>IF(A1060="","",A1060&amp;"|"&amp;COUNTIF($A$2:A1060,A1060))</f>
        <v/>
      </c>
    </row>
    <row r="1061">
      <c r="A1061" s="7" t="n"/>
      <c r="B1061" s="7" t="n"/>
      <c r="C1061" s="7" t="n"/>
      <c r="D1061" s="8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9">
        <f>IF(A1061="","",A1061&amp;"|"&amp;COUNTIF($A$2:A1061,A1061))</f>
        <v/>
      </c>
    </row>
    <row r="1062">
      <c r="A1062" s="7" t="n"/>
      <c r="B1062" s="7" t="n"/>
      <c r="C1062" s="7" t="n"/>
      <c r="D1062" s="8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9">
        <f>IF(A1062="","",A1062&amp;"|"&amp;COUNTIF($A$2:A1062,A1062))</f>
        <v/>
      </c>
    </row>
    <row r="1063">
      <c r="A1063" s="7" t="n"/>
      <c r="B1063" s="7" t="n"/>
      <c r="C1063" s="7" t="n"/>
      <c r="D1063" s="8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9">
        <f>IF(A1063="","",A1063&amp;"|"&amp;COUNTIF($A$2:A1063,A1063))</f>
        <v/>
      </c>
    </row>
    <row r="1064">
      <c r="A1064" s="7" t="n"/>
      <c r="B1064" s="7" t="n"/>
      <c r="C1064" s="7" t="n"/>
      <c r="D1064" s="8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9">
        <f>IF(A1064="","",A1064&amp;"|"&amp;COUNTIF($A$2:A1064,A1064))</f>
        <v/>
      </c>
    </row>
    <row r="1065">
      <c r="A1065" s="7" t="n"/>
      <c r="B1065" s="7" t="n"/>
      <c r="C1065" s="7" t="n"/>
      <c r="D1065" s="8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9">
        <f>IF(A1065="","",A1065&amp;"|"&amp;COUNTIF($A$2:A1065,A1065))</f>
        <v/>
      </c>
    </row>
    <row r="1066">
      <c r="A1066" s="7" t="n"/>
      <c r="B1066" s="7" t="n"/>
      <c r="C1066" s="7" t="n"/>
      <c r="D1066" s="8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9">
        <f>IF(A1066="","",A1066&amp;"|"&amp;COUNTIF($A$2:A1066,A1066))</f>
        <v/>
      </c>
    </row>
    <row r="1067">
      <c r="A1067" s="7" t="n"/>
      <c r="B1067" s="7" t="n"/>
      <c r="C1067" s="7" t="n"/>
      <c r="D1067" s="8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9">
        <f>IF(A1067="","",A1067&amp;"|"&amp;COUNTIF($A$2:A1067,A1067))</f>
        <v/>
      </c>
    </row>
    <row r="1068">
      <c r="A1068" s="7" t="n"/>
      <c r="B1068" s="7" t="n"/>
      <c r="C1068" s="7" t="n"/>
      <c r="D1068" s="8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9">
        <f>IF(A1068="","",A1068&amp;"|"&amp;COUNTIF($A$2:A1068,A1068))</f>
        <v/>
      </c>
    </row>
    <row r="1069">
      <c r="A1069" s="7" t="n"/>
      <c r="B1069" s="7" t="n"/>
      <c r="C1069" s="7" t="n"/>
      <c r="D1069" s="8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9">
        <f>IF(A1069="","",A1069&amp;"|"&amp;COUNTIF($A$2:A1069,A1069))</f>
        <v/>
      </c>
    </row>
    <row r="1070">
      <c r="A1070" s="7" t="n"/>
      <c r="B1070" s="7" t="n"/>
      <c r="C1070" s="7" t="n"/>
      <c r="D1070" s="8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9">
        <f>IF(A1070="","",A1070&amp;"|"&amp;COUNTIF($A$2:A1070,A1070))</f>
        <v/>
      </c>
    </row>
    <row r="1071">
      <c r="A1071" s="7" t="n"/>
      <c r="B1071" s="7" t="n"/>
      <c r="C1071" s="7" t="n"/>
      <c r="D1071" s="8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9">
        <f>IF(A1071="","",A1071&amp;"|"&amp;COUNTIF($A$2:A1071,A1071))</f>
        <v/>
      </c>
    </row>
    <row r="1072">
      <c r="A1072" s="7" t="n"/>
      <c r="B1072" s="7" t="n"/>
      <c r="C1072" s="7" t="n"/>
      <c r="D1072" s="8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9">
        <f>IF(A1072="","",A1072&amp;"|"&amp;COUNTIF($A$2:A1072,A1072))</f>
        <v/>
      </c>
    </row>
    <row r="1073">
      <c r="A1073" s="7" t="n"/>
      <c r="B1073" s="7" t="n"/>
      <c r="C1073" s="7" t="n"/>
      <c r="D1073" s="8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9">
        <f>IF(A1073="","",A1073&amp;"|"&amp;COUNTIF($A$2:A1073,A1073))</f>
        <v/>
      </c>
    </row>
    <row r="1074">
      <c r="A1074" s="7" t="n"/>
      <c r="B1074" s="7" t="n"/>
      <c r="C1074" s="7" t="n"/>
      <c r="D1074" s="8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9">
        <f>IF(A1074="","",A1074&amp;"|"&amp;COUNTIF($A$2:A1074,A1074))</f>
        <v/>
      </c>
    </row>
    <row r="1075">
      <c r="A1075" s="7" t="n"/>
      <c r="B1075" s="7" t="n"/>
      <c r="C1075" s="7" t="n"/>
      <c r="D1075" s="8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9">
        <f>IF(A1075="","",A1075&amp;"|"&amp;COUNTIF($A$2:A1075,A1075))</f>
        <v/>
      </c>
    </row>
    <row r="1076">
      <c r="A1076" s="7" t="n"/>
      <c r="B1076" s="7" t="n"/>
      <c r="C1076" s="7" t="n"/>
      <c r="D1076" s="8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9">
        <f>IF(A1076="","",A1076&amp;"|"&amp;COUNTIF($A$2:A1076,A1076))</f>
        <v/>
      </c>
    </row>
    <row r="1077">
      <c r="A1077" s="7" t="n"/>
      <c r="B1077" s="7" t="n"/>
      <c r="C1077" s="7" t="n"/>
      <c r="D1077" s="8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9">
        <f>IF(A1077="","",A1077&amp;"|"&amp;COUNTIF($A$2:A1077,A1077))</f>
        <v/>
      </c>
    </row>
    <row r="1078">
      <c r="A1078" s="7" t="n"/>
      <c r="B1078" s="7" t="n"/>
      <c r="C1078" s="7" t="n"/>
      <c r="D1078" s="8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9">
        <f>IF(A1078="","",A1078&amp;"|"&amp;COUNTIF($A$2:A1078,A1078))</f>
        <v/>
      </c>
    </row>
    <row r="1079">
      <c r="A1079" s="7" t="n"/>
      <c r="B1079" s="7" t="n"/>
      <c r="C1079" s="7" t="n"/>
      <c r="D1079" s="8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9">
        <f>IF(A1079="","",A1079&amp;"|"&amp;COUNTIF($A$2:A1079,A1079))</f>
        <v/>
      </c>
    </row>
    <row r="1080">
      <c r="A1080" s="7" t="n"/>
      <c r="B1080" s="7" t="n"/>
      <c r="C1080" s="7" t="n"/>
      <c r="D1080" s="8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9">
        <f>IF(A1080="","",A1080&amp;"|"&amp;COUNTIF($A$2:A1080,A1080))</f>
        <v/>
      </c>
    </row>
    <row r="1081">
      <c r="A1081" s="7" t="n"/>
      <c r="B1081" s="7" t="n"/>
      <c r="C1081" s="7" t="n"/>
      <c r="D1081" s="8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9">
        <f>IF(A1081="","",A1081&amp;"|"&amp;COUNTIF($A$2:A1081,A1081))</f>
        <v/>
      </c>
    </row>
    <row r="1082">
      <c r="A1082" s="7" t="n"/>
      <c r="B1082" s="7" t="n"/>
      <c r="C1082" s="7" t="n"/>
      <c r="D1082" s="8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9">
        <f>IF(A1082="","",A1082&amp;"|"&amp;COUNTIF($A$2:A1082,A1082))</f>
        <v/>
      </c>
    </row>
    <row r="1083">
      <c r="A1083" s="7" t="n"/>
      <c r="B1083" s="7" t="n"/>
      <c r="C1083" s="7" t="n"/>
      <c r="D1083" s="8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9">
        <f>IF(A1083="","",A1083&amp;"|"&amp;COUNTIF($A$2:A1083,A1083))</f>
        <v/>
      </c>
    </row>
    <row r="1084">
      <c r="A1084" s="7" t="n"/>
      <c r="B1084" s="7" t="n"/>
      <c r="C1084" s="7" t="n"/>
      <c r="D1084" s="8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9">
        <f>IF(A1084="","",A1084&amp;"|"&amp;COUNTIF($A$2:A1084,A1084))</f>
        <v/>
      </c>
    </row>
    <row r="1085">
      <c r="A1085" s="7" t="n"/>
      <c r="B1085" s="7" t="n"/>
      <c r="C1085" s="7" t="n"/>
      <c r="D1085" s="8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9">
        <f>IF(A1085="","",A1085&amp;"|"&amp;COUNTIF($A$2:A1085,A1085))</f>
        <v/>
      </c>
    </row>
    <row r="1086">
      <c r="A1086" s="7" t="n"/>
      <c r="B1086" s="7" t="n"/>
      <c r="C1086" s="7" t="n"/>
      <c r="D1086" s="8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9">
        <f>IF(A1086="","",A1086&amp;"|"&amp;COUNTIF($A$2:A1086,A1086))</f>
        <v/>
      </c>
    </row>
    <row r="1087">
      <c r="A1087" s="7" t="n"/>
      <c r="B1087" s="7" t="n"/>
      <c r="C1087" s="7" t="n"/>
      <c r="D1087" s="8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9">
        <f>IF(A1087="","",A1087&amp;"|"&amp;COUNTIF($A$2:A1087,A1087))</f>
        <v/>
      </c>
    </row>
    <row r="1088">
      <c r="A1088" s="7" t="n"/>
      <c r="B1088" s="7" t="n"/>
      <c r="C1088" s="7" t="n"/>
      <c r="D1088" s="8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9">
        <f>IF(A1088="","",A1088&amp;"|"&amp;COUNTIF($A$2:A1088,A1088))</f>
        <v/>
      </c>
    </row>
    <row r="1089">
      <c r="A1089" s="7" t="n"/>
      <c r="B1089" s="7" t="n"/>
      <c r="C1089" s="7" t="n"/>
      <c r="D1089" s="8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9">
        <f>IF(A1089="","",A1089&amp;"|"&amp;COUNTIF($A$2:A1089,A1089))</f>
        <v/>
      </c>
    </row>
    <row r="1090">
      <c r="A1090" s="7" t="n"/>
      <c r="B1090" s="7" t="n"/>
      <c r="C1090" s="7" t="n"/>
      <c r="D1090" s="8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9">
        <f>IF(A1090="","",A1090&amp;"|"&amp;COUNTIF($A$2:A1090,A1090))</f>
        <v/>
      </c>
    </row>
    <row r="1091">
      <c r="A1091" s="7" t="n"/>
      <c r="B1091" s="7" t="n"/>
      <c r="C1091" s="7" t="n"/>
      <c r="D1091" s="8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9">
        <f>IF(A1091="","",A1091&amp;"|"&amp;COUNTIF($A$2:A1091,A1091))</f>
        <v/>
      </c>
    </row>
    <row r="1092">
      <c r="A1092" s="7" t="n"/>
      <c r="B1092" s="7" t="n"/>
      <c r="C1092" s="7" t="n"/>
      <c r="D1092" s="8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9">
        <f>IF(A1092="","",A1092&amp;"|"&amp;COUNTIF($A$2:A1092,A1092))</f>
        <v/>
      </c>
    </row>
    <row r="1093">
      <c r="A1093" s="7" t="n"/>
      <c r="B1093" s="7" t="n"/>
      <c r="C1093" s="7" t="n"/>
      <c r="D1093" s="8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9">
        <f>IF(A1093="","",A1093&amp;"|"&amp;COUNTIF($A$2:A1093,A1093))</f>
        <v/>
      </c>
    </row>
    <row r="1094">
      <c r="A1094" s="7" t="n"/>
      <c r="B1094" s="7" t="n"/>
      <c r="C1094" s="7" t="n"/>
      <c r="D1094" s="8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9">
        <f>IF(A1094="","",A1094&amp;"|"&amp;COUNTIF($A$2:A1094,A1094))</f>
        <v/>
      </c>
    </row>
    <row r="1095">
      <c r="A1095" s="7" t="n"/>
      <c r="B1095" s="7" t="n"/>
      <c r="C1095" s="7" t="n"/>
      <c r="D1095" s="8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9">
        <f>IF(A1095="","",A1095&amp;"|"&amp;COUNTIF($A$2:A1095,A1095))</f>
        <v/>
      </c>
    </row>
    <row r="1096">
      <c r="A1096" s="7" t="n"/>
      <c r="B1096" s="7" t="n"/>
      <c r="C1096" s="7" t="n"/>
      <c r="D1096" s="8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9">
        <f>IF(A1096="","",A1096&amp;"|"&amp;COUNTIF($A$2:A1096,A1096))</f>
        <v/>
      </c>
    </row>
    <row r="1097">
      <c r="A1097" s="7" t="n"/>
      <c r="B1097" s="7" t="n"/>
      <c r="C1097" s="7" t="n"/>
      <c r="D1097" s="8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9">
        <f>IF(A1097="","",A1097&amp;"|"&amp;COUNTIF($A$2:A1097,A1097))</f>
        <v/>
      </c>
    </row>
    <row r="1098">
      <c r="A1098" s="7" t="n"/>
      <c r="B1098" s="7" t="n"/>
      <c r="C1098" s="7" t="n"/>
      <c r="D1098" s="8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9">
        <f>IF(A1098="","",A1098&amp;"|"&amp;COUNTIF($A$2:A1098,A1098))</f>
        <v/>
      </c>
    </row>
    <row r="1099">
      <c r="A1099" s="7" t="n"/>
      <c r="B1099" s="7" t="n"/>
      <c r="C1099" s="7" t="n"/>
      <c r="D1099" s="8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9">
        <f>IF(A1099="","",A1099&amp;"|"&amp;COUNTIF($A$2:A1099,A1099))</f>
        <v/>
      </c>
    </row>
    <row r="1100">
      <c r="A1100" s="7" t="n"/>
      <c r="B1100" s="7" t="n"/>
      <c r="C1100" s="7" t="n"/>
      <c r="D1100" s="8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9">
        <f>IF(A1100="","",A1100&amp;"|"&amp;COUNTIF($A$2:A1100,A1100))</f>
        <v/>
      </c>
    </row>
    <row r="1101">
      <c r="A1101" s="7" t="n"/>
      <c r="B1101" s="7" t="n"/>
      <c r="C1101" s="7" t="n"/>
      <c r="D1101" s="8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9">
        <f>IF(A1101="","",A1101&amp;"|"&amp;COUNTIF($A$2:A1101,A1101))</f>
        <v/>
      </c>
    </row>
    <row r="1102">
      <c r="A1102" s="7" t="n"/>
      <c r="B1102" s="7" t="n"/>
      <c r="C1102" s="7" t="n"/>
      <c r="D1102" s="8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9">
        <f>IF(A1102="","",A1102&amp;"|"&amp;COUNTIF($A$2:A1102,A1102))</f>
        <v/>
      </c>
    </row>
    <row r="1103">
      <c r="A1103" s="7" t="n"/>
      <c r="B1103" s="7" t="n"/>
      <c r="C1103" s="7" t="n"/>
      <c r="D1103" s="8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9">
        <f>IF(A1103="","",A1103&amp;"|"&amp;COUNTIF($A$2:A1103,A1103))</f>
        <v/>
      </c>
    </row>
    <row r="1104">
      <c r="A1104" s="7" t="n"/>
      <c r="B1104" s="7" t="n"/>
      <c r="C1104" s="7" t="n"/>
      <c r="D1104" s="8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9">
        <f>IF(A1104="","",A1104&amp;"|"&amp;COUNTIF($A$2:A1104,A1104))</f>
        <v/>
      </c>
    </row>
    <row r="1105">
      <c r="A1105" s="7" t="n"/>
      <c r="B1105" s="7" t="n"/>
      <c r="C1105" s="7" t="n"/>
      <c r="D1105" s="8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9">
        <f>IF(A1105="","",A1105&amp;"|"&amp;COUNTIF($A$2:A1105,A1105))</f>
        <v/>
      </c>
    </row>
    <row r="1106">
      <c r="A1106" s="7" t="n"/>
      <c r="B1106" s="7" t="n"/>
      <c r="C1106" s="7" t="n"/>
      <c r="D1106" s="8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9">
        <f>IF(A1106="","",A1106&amp;"|"&amp;COUNTIF($A$2:A1106,A1106))</f>
        <v/>
      </c>
    </row>
    <row r="1107">
      <c r="A1107" s="7" t="n"/>
      <c r="B1107" s="7" t="n"/>
      <c r="C1107" s="7" t="n"/>
      <c r="D1107" s="8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9">
        <f>IF(A1107="","",A1107&amp;"|"&amp;COUNTIF($A$2:A1107,A1107))</f>
        <v/>
      </c>
    </row>
    <row r="1108">
      <c r="A1108" s="7" t="n"/>
      <c r="B1108" s="7" t="n"/>
      <c r="C1108" s="7" t="n"/>
      <c r="D1108" s="8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9">
        <f>IF(A1108="","",A1108&amp;"|"&amp;COUNTIF($A$2:A1108,A1108))</f>
        <v/>
      </c>
    </row>
    <row r="1109">
      <c r="A1109" s="7" t="n"/>
      <c r="B1109" s="7" t="n"/>
      <c r="C1109" s="7" t="n"/>
      <c r="D1109" s="8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9">
        <f>IF(A1109="","",A1109&amp;"|"&amp;COUNTIF($A$2:A1109,A1109))</f>
        <v/>
      </c>
    </row>
    <row r="1110">
      <c r="A1110" s="7" t="n"/>
      <c r="B1110" s="7" t="n"/>
      <c r="C1110" s="7" t="n"/>
      <c r="D1110" s="8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9">
        <f>IF(A1110="","",A1110&amp;"|"&amp;COUNTIF($A$2:A1110,A1110))</f>
        <v/>
      </c>
    </row>
    <row r="1111">
      <c r="A1111" s="7" t="n"/>
      <c r="B1111" s="7" t="n"/>
      <c r="C1111" s="7" t="n"/>
      <c r="D1111" s="8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9">
        <f>IF(A1111="","",A1111&amp;"|"&amp;COUNTIF($A$2:A1111,A1111))</f>
        <v/>
      </c>
    </row>
    <row r="1112">
      <c r="A1112" s="7" t="n"/>
      <c r="B1112" s="7" t="n"/>
      <c r="C1112" s="7" t="n"/>
      <c r="D1112" s="8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9">
        <f>IF(A1112="","",A1112&amp;"|"&amp;COUNTIF($A$2:A1112,A1112))</f>
        <v/>
      </c>
    </row>
    <row r="1113">
      <c r="A1113" s="7" t="n"/>
      <c r="B1113" s="7" t="n"/>
      <c r="C1113" s="7" t="n"/>
      <c r="D1113" s="8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9">
        <f>IF(A1113="","",A1113&amp;"|"&amp;COUNTIF($A$2:A1113,A1113))</f>
        <v/>
      </c>
    </row>
    <row r="1114">
      <c r="A1114" s="7" t="n"/>
      <c r="B1114" s="7" t="n"/>
      <c r="C1114" s="7" t="n"/>
      <c r="D1114" s="8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9">
        <f>IF(A1114="","",A1114&amp;"|"&amp;COUNTIF($A$2:A1114,A1114))</f>
        <v/>
      </c>
    </row>
    <row r="1115">
      <c r="A1115" s="7" t="n"/>
      <c r="B1115" s="7" t="n"/>
      <c r="C1115" s="7" t="n"/>
      <c r="D1115" s="8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9">
        <f>IF(A1115="","",A1115&amp;"|"&amp;COUNTIF($A$2:A1115,A1115))</f>
        <v/>
      </c>
    </row>
    <row r="1116">
      <c r="A1116" s="7" t="n"/>
      <c r="B1116" s="7" t="n"/>
      <c r="C1116" s="7" t="n"/>
      <c r="D1116" s="8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9">
        <f>IF(A1116="","",A1116&amp;"|"&amp;COUNTIF($A$2:A1116,A1116))</f>
        <v/>
      </c>
    </row>
    <row r="1117">
      <c r="A1117" s="7" t="n"/>
      <c r="B1117" s="7" t="n"/>
      <c r="C1117" s="7" t="n"/>
      <c r="D1117" s="8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9">
        <f>IF(A1117="","",A1117&amp;"|"&amp;COUNTIF($A$2:A1117,A1117))</f>
        <v/>
      </c>
    </row>
    <row r="1118">
      <c r="A1118" s="7" t="n"/>
      <c r="B1118" s="7" t="n"/>
      <c r="C1118" s="7" t="n"/>
      <c r="D1118" s="8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9">
        <f>IF(A1118="","",A1118&amp;"|"&amp;COUNTIF($A$2:A1118,A1118))</f>
        <v/>
      </c>
    </row>
    <row r="1119">
      <c r="A1119" s="7" t="n"/>
      <c r="B1119" s="7" t="n"/>
      <c r="C1119" s="7" t="n"/>
      <c r="D1119" s="8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9">
        <f>IF(A1119="","",A1119&amp;"|"&amp;COUNTIF($A$2:A1119,A1119))</f>
        <v/>
      </c>
    </row>
    <row r="1120">
      <c r="A1120" s="7" t="n"/>
      <c r="B1120" s="7" t="n"/>
      <c r="C1120" s="7" t="n"/>
      <c r="D1120" s="8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9">
        <f>IF(A1120="","",A1120&amp;"|"&amp;COUNTIF($A$2:A1120,A1120))</f>
        <v/>
      </c>
    </row>
    <row r="1121">
      <c r="A1121" s="7" t="n"/>
      <c r="B1121" s="7" t="n"/>
      <c r="C1121" s="7" t="n"/>
      <c r="D1121" s="8" t="n"/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9">
        <f>IF(A1121="","",A1121&amp;"|"&amp;COUNTIF($A$2:A1121,A1121))</f>
        <v/>
      </c>
    </row>
    <row r="1122">
      <c r="A1122" s="7" t="n"/>
      <c r="B1122" s="7" t="n"/>
      <c r="C1122" s="7" t="n"/>
      <c r="D1122" s="8" t="n"/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  <c r="Y1122" s="7" t="n"/>
      <c r="Z1122" s="7" t="n"/>
      <c r="AA1122" s="9">
        <f>IF(A1122="","",A1122&amp;"|"&amp;COUNTIF($A$2:A1122,A1122))</f>
        <v/>
      </c>
    </row>
    <row r="1123">
      <c r="A1123" s="7" t="n"/>
      <c r="B1123" s="7" t="n"/>
      <c r="C1123" s="7" t="n"/>
      <c r="D1123" s="8" t="n"/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9">
        <f>IF(A1123="","",A1123&amp;"|"&amp;COUNTIF($A$2:A1123,A1123))</f>
        <v/>
      </c>
    </row>
    <row r="1124">
      <c r="A1124" s="7" t="n"/>
      <c r="B1124" s="7" t="n"/>
      <c r="C1124" s="7" t="n"/>
      <c r="D1124" s="8" t="n"/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  <c r="Y1124" s="7" t="n"/>
      <c r="Z1124" s="7" t="n"/>
      <c r="AA1124" s="9">
        <f>IF(A1124="","",A1124&amp;"|"&amp;COUNTIF($A$2:A1124,A1124))</f>
        <v/>
      </c>
    </row>
    <row r="1125">
      <c r="A1125" s="7" t="n"/>
      <c r="B1125" s="7" t="n"/>
      <c r="C1125" s="7" t="n"/>
      <c r="D1125" s="8" t="n"/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9">
        <f>IF(A1125="","",A1125&amp;"|"&amp;COUNTIF($A$2:A1125,A1125))</f>
        <v/>
      </c>
    </row>
    <row r="1126">
      <c r="A1126" s="7" t="n"/>
      <c r="B1126" s="7" t="n"/>
      <c r="C1126" s="7" t="n"/>
      <c r="D1126" s="8" t="n"/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9">
        <f>IF(A1126="","",A1126&amp;"|"&amp;COUNTIF($A$2:A1126,A1126))</f>
        <v/>
      </c>
    </row>
    <row r="1127">
      <c r="A1127" s="7" t="n"/>
      <c r="B1127" s="7" t="n"/>
      <c r="C1127" s="7" t="n"/>
      <c r="D1127" s="8" t="n"/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9">
        <f>IF(A1127="","",A1127&amp;"|"&amp;COUNTIF($A$2:A1127,A1127))</f>
        <v/>
      </c>
    </row>
    <row r="1128">
      <c r="A1128" s="7" t="n"/>
      <c r="B1128" s="7" t="n"/>
      <c r="C1128" s="7" t="n"/>
      <c r="D1128" s="8" t="n"/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9">
        <f>IF(A1128="","",A1128&amp;"|"&amp;COUNTIF($A$2:A1128,A1128))</f>
        <v/>
      </c>
    </row>
    <row r="1129">
      <c r="A1129" s="7" t="n"/>
      <c r="B1129" s="7" t="n"/>
      <c r="C1129" s="7" t="n"/>
      <c r="D1129" s="8" t="n"/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9">
        <f>IF(A1129="","",A1129&amp;"|"&amp;COUNTIF($A$2:A1129,A1129))</f>
        <v/>
      </c>
    </row>
    <row r="1130">
      <c r="A1130" s="7" t="n"/>
      <c r="B1130" s="7" t="n"/>
      <c r="C1130" s="7" t="n"/>
      <c r="D1130" s="8" t="n"/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9">
        <f>IF(A1130="","",A1130&amp;"|"&amp;COUNTIF($A$2:A1130,A1130))</f>
        <v/>
      </c>
    </row>
    <row r="1131">
      <c r="A1131" s="7" t="n"/>
      <c r="B1131" s="7" t="n"/>
      <c r="C1131" s="7" t="n"/>
      <c r="D1131" s="8" t="n"/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9">
        <f>IF(A1131="","",A1131&amp;"|"&amp;COUNTIF($A$2:A1131,A1131))</f>
        <v/>
      </c>
    </row>
    <row r="1132">
      <c r="A1132" s="7" t="n"/>
      <c r="B1132" s="7" t="n"/>
      <c r="C1132" s="7" t="n"/>
      <c r="D1132" s="8" t="n"/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9">
        <f>IF(A1132="","",A1132&amp;"|"&amp;COUNTIF($A$2:A1132,A1132))</f>
        <v/>
      </c>
    </row>
    <row r="1133">
      <c r="A1133" s="7" t="n"/>
      <c r="B1133" s="7" t="n"/>
      <c r="C1133" s="7" t="n"/>
      <c r="D1133" s="8" t="n"/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9">
        <f>IF(A1133="","",A1133&amp;"|"&amp;COUNTIF($A$2:A1133,A1133))</f>
        <v/>
      </c>
    </row>
    <row r="1134">
      <c r="A1134" s="7" t="n"/>
      <c r="B1134" s="7" t="n"/>
      <c r="C1134" s="7" t="n"/>
      <c r="D1134" s="8" t="n"/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9">
        <f>IF(A1134="","",A1134&amp;"|"&amp;COUNTIF($A$2:A1134,A1134))</f>
        <v/>
      </c>
    </row>
    <row r="1135">
      <c r="A1135" s="7" t="n"/>
      <c r="B1135" s="7" t="n"/>
      <c r="C1135" s="7" t="n"/>
      <c r="D1135" s="8" t="n"/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9">
        <f>IF(A1135="","",A1135&amp;"|"&amp;COUNTIF($A$2:A1135,A1135))</f>
        <v/>
      </c>
    </row>
    <row r="1136">
      <c r="A1136" s="7" t="n"/>
      <c r="B1136" s="7" t="n"/>
      <c r="C1136" s="7" t="n"/>
      <c r="D1136" s="8" t="n"/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  <c r="Y1136" s="7" t="n"/>
      <c r="Z1136" s="7" t="n"/>
      <c r="AA1136" s="9">
        <f>IF(A1136="","",A1136&amp;"|"&amp;COUNTIF($A$2:A1136,A1136))</f>
        <v/>
      </c>
    </row>
    <row r="1137">
      <c r="A1137" s="7" t="n"/>
      <c r="B1137" s="7" t="n"/>
      <c r="C1137" s="7" t="n"/>
      <c r="D1137" s="8" t="n"/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9">
        <f>IF(A1137="","",A1137&amp;"|"&amp;COUNTIF($A$2:A1137,A1137))</f>
        <v/>
      </c>
    </row>
    <row r="1138">
      <c r="A1138" s="7" t="n"/>
      <c r="B1138" s="7" t="n"/>
      <c r="C1138" s="7" t="n"/>
      <c r="D1138" s="8" t="n"/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9">
        <f>IF(A1138="","",A1138&amp;"|"&amp;COUNTIF($A$2:A1138,A1138))</f>
        <v/>
      </c>
    </row>
    <row r="1139">
      <c r="A1139" s="7" t="n"/>
      <c r="B1139" s="7" t="n"/>
      <c r="C1139" s="7" t="n"/>
      <c r="D1139" s="8" t="n"/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9">
        <f>IF(A1139="","",A1139&amp;"|"&amp;COUNTIF($A$2:A1139,A1139))</f>
        <v/>
      </c>
    </row>
    <row r="1140">
      <c r="A1140" s="7" t="n"/>
      <c r="B1140" s="7" t="n"/>
      <c r="C1140" s="7" t="n"/>
      <c r="D1140" s="8" t="n"/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9">
        <f>IF(A1140="","",A1140&amp;"|"&amp;COUNTIF($A$2:A1140,A1140))</f>
        <v/>
      </c>
    </row>
    <row r="1141">
      <c r="A1141" s="7" t="n"/>
      <c r="B1141" s="7" t="n"/>
      <c r="C1141" s="7" t="n"/>
      <c r="D1141" s="8" t="n"/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9">
        <f>IF(A1141="","",A1141&amp;"|"&amp;COUNTIF($A$2:A1141,A1141))</f>
        <v/>
      </c>
    </row>
    <row r="1142">
      <c r="A1142" s="7" t="n"/>
      <c r="B1142" s="7" t="n"/>
      <c r="C1142" s="7" t="n"/>
      <c r="D1142" s="8" t="n"/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9">
        <f>IF(A1142="","",A1142&amp;"|"&amp;COUNTIF($A$2:A1142,A1142))</f>
        <v/>
      </c>
    </row>
    <row r="1143">
      <c r="A1143" s="7" t="n"/>
      <c r="B1143" s="7" t="n"/>
      <c r="C1143" s="7" t="n"/>
      <c r="D1143" s="8" t="n"/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9">
        <f>IF(A1143="","",A1143&amp;"|"&amp;COUNTIF($A$2:A1143,A1143))</f>
        <v/>
      </c>
    </row>
    <row r="1144">
      <c r="A1144" s="7" t="n"/>
      <c r="B1144" s="7" t="n"/>
      <c r="C1144" s="7" t="n"/>
      <c r="D1144" s="8" t="n"/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9">
        <f>IF(A1144="","",A1144&amp;"|"&amp;COUNTIF($A$2:A1144,A1144))</f>
        <v/>
      </c>
    </row>
    <row r="1145">
      <c r="A1145" s="7" t="n"/>
      <c r="B1145" s="7" t="n"/>
      <c r="C1145" s="7" t="n"/>
      <c r="D1145" s="8" t="n"/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9">
        <f>IF(A1145="","",A1145&amp;"|"&amp;COUNTIF($A$2:A1145,A1145))</f>
        <v/>
      </c>
    </row>
    <row r="1146">
      <c r="A1146" s="7" t="n"/>
      <c r="B1146" s="7" t="n"/>
      <c r="C1146" s="7" t="n"/>
      <c r="D1146" s="8" t="n"/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9">
        <f>IF(A1146="","",A1146&amp;"|"&amp;COUNTIF($A$2:A1146,A1146))</f>
        <v/>
      </c>
    </row>
    <row r="1147">
      <c r="A1147" s="7" t="n"/>
      <c r="B1147" s="7" t="n"/>
      <c r="C1147" s="7" t="n"/>
      <c r="D1147" s="8" t="n"/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9">
        <f>IF(A1147="","",A1147&amp;"|"&amp;COUNTIF($A$2:A1147,A1147))</f>
        <v/>
      </c>
    </row>
    <row r="1148">
      <c r="A1148" s="7" t="n"/>
      <c r="B1148" s="7" t="n"/>
      <c r="C1148" s="7" t="n"/>
      <c r="D1148" s="8" t="n"/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9">
        <f>IF(A1148="","",A1148&amp;"|"&amp;COUNTIF($A$2:A1148,A1148))</f>
        <v/>
      </c>
    </row>
    <row r="1149">
      <c r="A1149" s="7" t="n"/>
      <c r="B1149" s="7" t="n"/>
      <c r="C1149" s="7" t="n"/>
      <c r="D1149" s="8" t="n"/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9">
        <f>IF(A1149="","",A1149&amp;"|"&amp;COUNTIF($A$2:A1149,A1149))</f>
        <v/>
      </c>
    </row>
    <row r="1150">
      <c r="A1150" s="7" t="n"/>
      <c r="B1150" s="7" t="n"/>
      <c r="C1150" s="7" t="n"/>
      <c r="D1150" s="8" t="n"/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7" t="n"/>
      <c r="Z1150" s="7" t="n"/>
      <c r="AA1150" s="9">
        <f>IF(A1150="","",A1150&amp;"|"&amp;COUNTIF($A$2:A1150,A1150))</f>
        <v/>
      </c>
    </row>
    <row r="1151">
      <c r="A1151" s="7" t="n"/>
      <c r="B1151" s="7" t="n"/>
      <c r="C1151" s="7" t="n"/>
      <c r="D1151" s="8" t="n"/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9">
        <f>IF(A1151="","",A1151&amp;"|"&amp;COUNTIF($A$2:A1151,A1151))</f>
        <v/>
      </c>
    </row>
    <row r="1152">
      <c r="A1152" s="7" t="n"/>
      <c r="B1152" s="7" t="n"/>
      <c r="C1152" s="7" t="n"/>
      <c r="D1152" s="8" t="n"/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9">
        <f>IF(A1152="","",A1152&amp;"|"&amp;COUNTIF($A$2:A1152,A1152))</f>
        <v/>
      </c>
    </row>
    <row r="1153">
      <c r="A1153" s="7" t="n"/>
      <c r="B1153" s="7" t="n"/>
      <c r="C1153" s="7" t="n"/>
      <c r="D1153" s="8" t="n"/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9">
        <f>IF(A1153="","",A1153&amp;"|"&amp;COUNTIF($A$2:A1153,A1153))</f>
        <v/>
      </c>
    </row>
    <row r="1154">
      <c r="A1154" s="7" t="n"/>
      <c r="B1154" s="7" t="n"/>
      <c r="C1154" s="7" t="n"/>
      <c r="D1154" s="8" t="n"/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9">
        <f>IF(A1154="","",A1154&amp;"|"&amp;COUNTIF($A$2:A1154,A1154))</f>
        <v/>
      </c>
    </row>
    <row r="1155">
      <c r="A1155" s="7" t="n"/>
      <c r="B1155" s="7" t="n"/>
      <c r="C1155" s="7" t="n"/>
      <c r="D1155" s="8" t="n"/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9">
        <f>IF(A1155="","",A1155&amp;"|"&amp;COUNTIF($A$2:A1155,A1155))</f>
        <v/>
      </c>
    </row>
    <row r="1156">
      <c r="A1156" s="7" t="n"/>
      <c r="B1156" s="7" t="n"/>
      <c r="C1156" s="7" t="n"/>
      <c r="D1156" s="8" t="n"/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9">
        <f>IF(A1156="","",A1156&amp;"|"&amp;COUNTIF($A$2:A1156,A1156))</f>
        <v/>
      </c>
    </row>
    <row r="1157">
      <c r="A1157" s="7" t="n"/>
      <c r="B1157" s="7" t="n"/>
      <c r="C1157" s="7" t="n"/>
      <c r="D1157" s="8" t="n"/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9">
        <f>IF(A1157="","",A1157&amp;"|"&amp;COUNTIF($A$2:A1157,A1157))</f>
        <v/>
      </c>
    </row>
    <row r="1158">
      <c r="A1158" s="7" t="n"/>
      <c r="B1158" s="7" t="n"/>
      <c r="C1158" s="7" t="n"/>
      <c r="D1158" s="8" t="n"/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9">
        <f>IF(A1158="","",A1158&amp;"|"&amp;COUNTIF($A$2:A1158,A1158))</f>
        <v/>
      </c>
    </row>
    <row r="1159">
      <c r="A1159" s="7" t="n"/>
      <c r="B1159" s="7" t="n"/>
      <c r="C1159" s="7" t="n"/>
      <c r="D1159" s="8" t="n"/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9">
        <f>IF(A1159="","",A1159&amp;"|"&amp;COUNTIF($A$2:A1159,A1159))</f>
        <v/>
      </c>
    </row>
    <row r="1160">
      <c r="A1160" s="7" t="n"/>
      <c r="B1160" s="7" t="n"/>
      <c r="C1160" s="7" t="n"/>
      <c r="D1160" s="8" t="n"/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9">
        <f>IF(A1160="","",A1160&amp;"|"&amp;COUNTIF($A$2:A1160,A1160))</f>
        <v/>
      </c>
    </row>
    <row r="1161">
      <c r="A1161" s="7" t="n"/>
      <c r="B1161" s="7" t="n"/>
      <c r="C1161" s="7" t="n"/>
      <c r="D1161" s="8" t="n"/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9">
        <f>IF(A1161="","",A1161&amp;"|"&amp;COUNTIF($A$2:A1161,A1161))</f>
        <v/>
      </c>
    </row>
    <row r="1162">
      <c r="A1162" s="7" t="n"/>
      <c r="B1162" s="7" t="n"/>
      <c r="C1162" s="7" t="n"/>
      <c r="D1162" s="8" t="n"/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9">
        <f>IF(A1162="","",A1162&amp;"|"&amp;COUNTIF($A$2:A1162,A1162))</f>
        <v/>
      </c>
    </row>
    <row r="1163">
      <c r="A1163" s="7" t="n"/>
      <c r="B1163" s="7" t="n"/>
      <c r="C1163" s="7" t="n"/>
      <c r="D1163" s="8" t="n"/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9">
        <f>IF(A1163="","",A1163&amp;"|"&amp;COUNTIF($A$2:A1163,A1163))</f>
        <v/>
      </c>
    </row>
    <row r="1164">
      <c r="A1164" s="7" t="n"/>
      <c r="B1164" s="7" t="n"/>
      <c r="C1164" s="7" t="n"/>
      <c r="D1164" s="8" t="n"/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7" t="n"/>
      <c r="Z1164" s="7" t="n"/>
      <c r="AA1164" s="9">
        <f>IF(A1164="","",A1164&amp;"|"&amp;COUNTIF($A$2:A1164,A1164))</f>
        <v/>
      </c>
    </row>
    <row r="1165">
      <c r="A1165" s="7" t="n"/>
      <c r="B1165" s="7" t="n"/>
      <c r="C1165" s="7" t="n"/>
      <c r="D1165" s="8" t="n"/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9">
        <f>IF(A1165="","",A1165&amp;"|"&amp;COUNTIF($A$2:A1165,A1165))</f>
        <v/>
      </c>
    </row>
    <row r="1166">
      <c r="A1166" s="7" t="n"/>
      <c r="B1166" s="7" t="n"/>
      <c r="C1166" s="7" t="n"/>
      <c r="D1166" s="8" t="n"/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9">
        <f>IF(A1166="","",A1166&amp;"|"&amp;COUNTIF($A$2:A1166,A1166))</f>
        <v/>
      </c>
    </row>
    <row r="1167">
      <c r="A1167" s="7" t="n"/>
      <c r="B1167" s="7" t="n"/>
      <c r="C1167" s="7" t="n"/>
      <c r="D1167" s="8" t="n"/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9">
        <f>IF(A1167="","",A1167&amp;"|"&amp;COUNTIF($A$2:A1167,A1167))</f>
        <v/>
      </c>
    </row>
    <row r="1168">
      <c r="A1168" s="7" t="n"/>
      <c r="B1168" s="7" t="n"/>
      <c r="C1168" s="7" t="n"/>
      <c r="D1168" s="8" t="n"/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9">
        <f>IF(A1168="","",A1168&amp;"|"&amp;COUNTIF($A$2:A1168,A1168))</f>
        <v/>
      </c>
    </row>
    <row r="1169">
      <c r="A1169" s="7" t="n"/>
      <c r="B1169" s="7" t="n"/>
      <c r="C1169" s="7" t="n"/>
      <c r="D1169" s="8" t="n"/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9">
        <f>IF(A1169="","",A1169&amp;"|"&amp;COUNTIF($A$2:A1169,A1169))</f>
        <v/>
      </c>
    </row>
    <row r="1170">
      <c r="A1170" s="7" t="n"/>
      <c r="B1170" s="7" t="n"/>
      <c r="C1170" s="7" t="n"/>
      <c r="D1170" s="8" t="n"/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9">
        <f>IF(A1170="","",A1170&amp;"|"&amp;COUNTIF($A$2:A1170,A1170))</f>
        <v/>
      </c>
    </row>
    <row r="1171">
      <c r="A1171" s="7" t="n"/>
      <c r="B1171" s="7" t="n"/>
      <c r="C1171" s="7" t="n"/>
      <c r="D1171" s="8" t="n"/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9">
        <f>IF(A1171="","",A1171&amp;"|"&amp;COUNTIF($A$2:A1171,A1171))</f>
        <v/>
      </c>
    </row>
    <row r="1172">
      <c r="A1172" s="7" t="n"/>
      <c r="B1172" s="7" t="n"/>
      <c r="C1172" s="7" t="n"/>
      <c r="D1172" s="8" t="n"/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9">
        <f>IF(A1172="","",A1172&amp;"|"&amp;COUNTIF($A$2:A1172,A1172))</f>
        <v/>
      </c>
    </row>
    <row r="1173">
      <c r="A1173" s="7" t="n"/>
      <c r="B1173" s="7" t="n"/>
      <c r="C1173" s="7" t="n"/>
      <c r="D1173" s="8" t="n"/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9">
        <f>IF(A1173="","",A1173&amp;"|"&amp;COUNTIF($A$2:A1173,A1173))</f>
        <v/>
      </c>
    </row>
    <row r="1174">
      <c r="A1174" s="7" t="n"/>
      <c r="B1174" s="7" t="n"/>
      <c r="C1174" s="7" t="n"/>
      <c r="D1174" s="8" t="n"/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9">
        <f>IF(A1174="","",A1174&amp;"|"&amp;COUNTIF($A$2:A1174,A1174))</f>
        <v/>
      </c>
    </row>
    <row r="1175">
      <c r="A1175" s="7" t="n"/>
      <c r="B1175" s="7" t="n"/>
      <c r="C1175" s="7" t="n"/>
      <c r="D1175" s="8" t="n"/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9">
        <f>IF(A1175="","",A1175&amp;"|"&amp;COUNTIF($A$2:A1175,A1175))</f>
        <v/>
      </c>
    </row>
    <row r="1176">
      <c r="A1176" s="7" t="n"/>
      <c r="B1176" s="7" t="n"/>
      <c r="C1176" s="7" t="n"/>
      <c r="D1176" s="8" t="n"/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9">
        <f>IF(A1176="","",A1176&amp;"|"&amp;COUNTIF($A$2:A1176,A1176))</f>
        <v/>
      </c>
    </row>
    <row r="1177">
      <c r="A1177" s="7" t="n"/>
      <c r="B1177" s="7" t="n"/>
      <c r="C1177" s="7" t="n"/>
      <c r="D1177" s="8" t="n"/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9">
        <f>IF(A1177="","",A1177&amp;"|"&amp;COUNTIF($A$2:A1177,A1177))</f>
        <v/>
      </c>
    </row>
    <row r="1178">
      <c r="A1178" s="7" t="n"/>
      <c r="B1178" s="7" t="n"/>
      <c r="C1178" s="7" t="n"/>
      <c r="D1178" s="8" t="n"/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7" t="n"/>
      <c r="Z1178" s="7" t="n"/>
      <c r="AA1178" s="9">
        <f>IF(A1178="","",A1178&amp;"|"&amp;COUNTIF($A$2:A1178,A1178))</f>
        <v/>
      </c>
    </row>
    <row r="1179">
      <c r="A1179" s="7" t="n"/>
      <c r="B1179" s="7" t="n"/>
      <c r="C1179" s="7" t="n"/>
      <c r="D1179" s="8" t="n"/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9">
        <f>IF(A1179="","",A1179&amp;"|"&amp;COUNTIF($A$2:A1179,A1179))</f>
        <v/>
      </c>
    </row>
    <row r="1180">
      <c r="A1180" s="7" t="n"/>
      <c r="B1180" s="7" t="n"/>
      <c r="C1180" s="7" t="n"/>
      <c r="D1180" s="8" t="n"/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9">
        <f>IF(A1180="","",A1180&amp;"|"&amp;COUNTIF($A$2:A1180,A1180))</f>
        <v/>
      </c>
    </row>
    <row r="1181">
      <c r="A1181" s="7" t="n"/>
      <c r="B1181" s="7" t="n"/>
      <c r="C1181" s="7" t="n"/>
      <c r="D1181" s="8" t="n"/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9">
        <f>IF(A1181="","",A1181&amp;"|"&amp;COUNTIF($A$2:A1181,A1181))</f>
        <v/>
      </c>
    </row>
    <row r="1182">
      <c r="A1182" s="7" t="n"/>
      <c r="B1182" s="7" t="n"/>
      <c r="C1182" s="7" t="n"/>
      <c r="D1182" s="8" t="n"/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9">
        <f>IF(A1182="","",A1182&amp;"|"&amp;COUNTIF($A$2:A1182,A1182))</f>
        <v/>
      </c>
    </row>
    <row r="1183">
      <c r="A1183" s="7" t="n"/>
      <c r="B1183" s="7" t="n"/>
      <c r="C1183" s="7" t="n"/>
      <c r="D1183" s="8" t="n"/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9">
        <f>IF(A1183="","",A1183&amp;"|"&amp;COUNTIF($A$2:A1183,A1183))</f>
        <v/>
      </c>
    </row>
    <row r="1184">
      <c r="A1184" s="7" t="n"/>
      <c r="B1184" s="7" t="n"/>
      <c r="C1184" s="7" t="n"/>
      <c r="D1184" s="8" t="n"/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9">
        <f>IF(A1184="","",A1184&amp;"|"&amp;COUNTIF($A$2:A1184,A1184))</f>
        <v/>
      </c>
    </row>
    <row r="1185">
      <c r="A1185" s="7" t="n"/>
      <c r="B1185" s="7" t="n"/>
      <c r="C1185" s="7" t="n"/>
      <c r="D1185" s="8" t="n"/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9">
        <f>IF(A1185="","",A1185&amp;"|"&amp;COUNTIF($A$2:A1185,A1185))</f>
        <v/>
      </c>
    </row>
    <row r="1186">
      <c r="A1186" s="7" t="n"/>
      <c r="B1186" s="7" t="n"/>
      <c r="C1186" s="7" t="n"/>
      <c r="D1186" s="8" t="n"/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7" t="n"/>
      <c r="Z1186" s="7" t="n"/>
      <c r="AA1186" s="9">
        <f>IF(A1186="","",A1186&amp;"|"&amp;COUNTIF($A$2:A1186,A1186))</f>
        <v/>
      </c>
    </row>
    <row r="1187">
      <c r="A1187" s="7" t="n"/>
      <c r="B1187" s="7" t="n"/>
      <c r="C1187" s="7" t="n"/>
      <c r="D1187" s="8" t="n"/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9">
        <f>IF(A1187="","",A1187&amp;"|"&amp;COUNTIF($A$2:A1187,A1187))</f>
        <v/>
      </c>
    </row>
    <row r="1188">
      <c r="A1188" s="7" t="n"/>
      <c r="B1188" s="7" t="n"/>
      <c r="C1188" s="7" t="n"/>
      <c r="D1188" s="8" t="n"/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  <c r="Y1188" s="7" t="n"/>
      <c r="Z1188" s="7" t="n"/>
      <c r="AA1188" s="9">
        <f>IF(A1188="","",A1188&amp;"|"&amp;COUNTIF($A$2:A1188,A1188))</f>
        <v/>
      </c>
    </row>
    <row r="1189">
      <c r="A1189" s="7" t="n"/>
      <c r="B1189" s="7" t="n"/>
      <c r="C1189" s="7" t="n"/>
      <c r="D1189" s="8" t="n"/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9">
        <f>IF(A1189="","",A1189&amp;"|"&amp;COUNTIF($A$2:A1189,A1189))</f>
        <v/>
      </c>
    </row>
    <row r="1190">
      <c r="A1190" s="7" t="n"/>
      <c r="B1190" s="7" t="n"/>
      <c r="C1190" s="7" t="n"/>
      <c r="D1190" s="8" t="n"/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9">
        <f>IF(A1190="","",A1190&amp;"|"&amp;COUNTIF($A$2:A1190,A1190))</f>
        <v/>
      </c>
    </row>
    <row r="1191">
      <c r="A1191" s="7" t="n"/>
      <c r="B1191" s="7" t="n"/>
      <c r="C1191" s="7" t="n"/>
      <c r="D1191" s="8" t="n"/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9">
        <f>IF(A1191="","",A1191&amp;"|"&amp;COUNTIF($A$2:A1191,A1191))</f>
        <v/>
      </c>
    </row>
    <row r="1192">
      <c r="A1192" s="7" t="n"/>
      <c r="B1192" s="7" t="n"/>
      <c r="C1192" s="7" t="n"/>
      <c r="D1192" s="8" t="n"/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  <c r="Y1192" s="7" t="n"/>
      <c r="Z1192" s="7" t="n"/>
      <c r="AA1192" s="9">
        <f>IF(A1192="","",A1192&amp;"|"&amp;COUNTIF($A$2:A1192,A1192))</f>
        <v/>
      </c>
    </row>
    <row r="1193">
      <c r="A1193" s="7" t="n"/>
      <c r="B1193" s="7" t="n"/>
      <c r="C1193" s="7" t="n"/>
      <c r="D1193" s="8" t="n"/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9">
        <f>IF(A1193="","",A1193&amp;"|"&amp;COUNTIF($A$2:A1193,A1193))</f>
        <v/>
      </c>
    </row>
    <row r="1194">
      <c r="A1194" s="7" t="n"/>
      <c r="B1194" s="7" t="n"/>
      <c r="C1194" s="7" t="n"/>
      <c r="D1194" s="8" t="n"/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9">
        <f>IF(A1194="","",A1194&amp;"|"&amp;COUNTIF($A$2:A1194,A1194))</f>
        <v/>
      </c>
    </row>
    <row r="1195">
      <c r="A1195" s="7" t="n"/>
      <c r="B1195" s="7" t="n"/>
      <c r="C1195" s="7" t="n"/>
      <c r="D1195" s="8" t="n"/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9">
        <f>IF(A1195="","",A1195&amp;"|"&amp;COUNTIF($A$2:A1195,A1195))</f>
        <v/>
      </c>
    </row>
    <row r="1196">
      <c r="A1196" s="7" t="n"/>
      <c r="B1196" s="7" t="n"/>
      <c r="C1196" s="7" t="n"/>
      <c r="D1196" s="8" t="n"/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9">
        <f>IF(A1196="","",A1196&amp;"|"&amp;COUNTIF($A$2:A1196,A1196))</f>
        <v/>
      </c>
    </row>
    <row r="1197">
      <c r="A1197" s="7" t="n"/>
      <c r="B1197" s="7" t="n"/>
      <c r="C1197" s="7" t="n"/>
      <c r="D1197" s="8" t="n"/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9">
        <f>IF(A1197="","",A1197&amp;"|"&amp;COUNTIF($A$2:A1197,A1197))</f>
        <v/>
      </c>
    </row>
    <row r="1198">
      <c r="A1198" s="7" t="n"/>
      <c r="B1198" s="7" t="n"/>
      <c r="C1198" s="7" t="n"/>
      <c r="D1198" s="8" t="n"/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9">
        <f>IF(A1198="","",A1198&amp;"|"&amp;COUNTIF($A$2:A1198,A1198))</f>
        <v/>
      </c>
    </row>
    <row r="1199">
      <c r="A1199" s="7" t="n"/>
      <c r="B1199" s="7" t="n"/>
      <c r="C1199" s="7" t="n"/>
      <c r="D1199" s="8" t="n"/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9">
        <f>IF(A1199="","",A1199&amp;"|"&amp;COUNTIF($A$2:A1199,A1199))</f>
        <v/>
      </c>
    </row>
    <row r="1200">
      <c r="A1200" s="7" t="n"/>
      <c r="B1200" s="7" t="n"/>
      <c r="C1200" s="7" t="n"/>
      <c r="D1200" s="8" t="n"/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9">
        <f>IF(A1200="","",A1200&amp;"|"&amp;COUNTIF($A$2:A1200,A1200))</f>
        <v/>
      </c>
    </row>
    <row r="1201">
      <c r="A1201" s="7" t="n"/>
      <c r="B1201" s="7" t="n"/>
      <c r="C1201" s="7" t="n"/>
      <c r="D1201" s="8" t="n"/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9">
        <f>IF(A1201="","",A1201&amp;"|"&amp;COUNTIF($A$2:A1201,A1201))</f>
        <v/>
      </c>
    </row>
    <row r="1202">
      <c r="A1202" s="7" t="n"/>
      <c r="B1202" s="7" t="n"/>
      <c r="C1202" s="7" t="n"/>
      <c r="D1202" s="8" t="n"/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9">
        <f>IF(A1202="","",A1202&amp;"|"&amp;COUNTIF($A$2:A1202,A1202))</f>
        <v/>
      </c>
    </row>
    <row r="1203">
      <c r="A1203" s="7" t="n"/>
      <c r="B1203" s="7" t="n"/>
      <c r="C1203" s="7" t="n"/>
      <c r="D1203" s="8" t="n"/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9">
        <f>IF(A1203="","",A1203&amp;"|"&amp;COUNTIF($A$2:A1203,A1203))</f>
        <v/>
      </c>
    </row>
    <row r="1204">
      <c r="A1204" s="7" t="n"/>
      <c r="B1204" s="7" t="n"/>
      <c r="C1204" s="7" t="n"/>
      <c r="D1204" s="8" t="n"/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9">
        <f>IF(A1204="","",A1204&amp;"|"&amp;COUNTIF($A$2:A1204,A1204))</f>
        <v/>
      </c>
    </row>
    <row r="1205">
      <c r="A1205" s="7" t="n"/>
      <c r="B1205" s="7" t="n"/>
      <c r="C1205" s="7" t="n"/>
      <c r="D1205" s="8" t="n"/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9">
        <f>IF(A1205="","",A1205&amp;"|"&amp;COUNTIF($A$2:A1205,A1205))</f>
        <v/>
      </c>
    </row>
    <row r="1206">
      <c r="A1206" s="7" t="n"/>
      <c r="B1206" s="7" t="n"/>
      <c r="C1206" s="7" t="n"/>
      <c r="D1206" s="8" t="n"/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  <c r="Y1206" s="7" t="n"/>
      <c r="Z1206" s="7" t="n"/>
      <c r="AA1206" s="9">
        <f>IF(A1206="","",A1206&amp;"|"&amp;COUNTIF($A$2:A1206,A1206))</f>
        <v/>
      </c>
    </row>
    <row r="1207">
      <c r="A1207" s="7" t="n"/>
      <c r="B1207" s="7" t="n"/>
      <c r="C1207" s="7" t="n"/>
      <c r="D1207" s="8" t="n"/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9">
        <f>IF(A1207="","",A1207&amp;"|"&amp;COUNTIF($A$2:A1207,A1207))</f>
        <v/>
      </c>
    </row>
    <row r="1208">
      <c r="A1208" s="7" t="n"/>
      <c r="B1208" s="7" t="n"/>
      <c r="C1208" s="7" t="n"/>
      <c r="D1208" s="8" t="n"/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9">
        <f>IF(A1208="","",A1208&amp;"|"&amp;COUNTIF($A$2:A1208,A1208))</f>
        <v/>
      </c>
    </row>
    <row r="1209">
      <c r="A1209" s="7" t="n"/>
      <c r="B1209" s="7" t="n"/>
      <c r="C1209" s="7" t="n"/>
      <c r="D1209" s="8" t="n"/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9">
        <f>IF(A1209="","",A1209&amp;"|"&amp;COUNTIF($A$2:A1209,A1209))</f>
        <v/>
      </c>
    </row>
    <row r="1210">
      <c r="A1210" s="7" t="n"/>
      <c r="B1210" s="7" t="n"/>
      <c r="C1210" s="7" t="n"/>
      <c r="D1210" s="8" t="n"/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9">
        <f>IF(A1210="","",A1210&amp;"|"&amp;COUNTIF($A$2:A1210,A1210))</f>
        <v/>
      </c>
    </row>
    <row r="1211">
      <c r="A1211" s="7" t="n"/>
      <c r="B1211" s="7" t="n"/>
      <c r="C1211" s="7" t="n"/>
      <c r="D1211" s="8" t="n"/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9">
        <f>IF(A1211="","",A1211&amp;"|"&amp;COUNTIF($A$2:A1211,A1211))</f>
        <v/>
      </c>
    </row>
    <row r="1212">
      <c r="A1212" s="7" t="n"/>
      <c r="B1212" s="7" t="n"/>
      <c r="C1212" s="7" t="n"/>
      <c r="D1212" s="8" t="n"/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9">
        <f>IF(A1212="","",A1212&amp;"|"&amp;COUNTIF($A$2:A1212,A1212))</f>
        <v/>
      </c>
    </row>
    <row r="1213">
      <c r="A1213" s="7" t="n"/>
      <c r="B1213" s="7" t="n"/>
      <c r="C1213" s="7" t="n"/>
      <c r="D1213" s="8" t="n"/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9">
        <f>IF(A1213="","",A1213&amp;"|"&amp;COUNTIF($A$2:A1213,A1213))</f>
        <v/>
      </c>
    </row>
    <row r="1214">
      <c r="A1214" s="7" t="n"/>
      <c r="B1214" s="7" t="n"/>
      <c r="C1214" s="7" t="n"/>
      <c r="D1214" s="8" t="n"/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9">
        <f>IF(A1214="","",A1214&amp;"|"&amp;COUNTIF($A$2:A1214,A1214))</f>
        <v/>
      </c>
    </row>
    <row r="1215">
      <c r="A1215" s="7" t="n"/>
      <c r="B1215" s="7" t="n"/>
      <c r="C1215" s="7" t="n"/>
      <c r="D1215" s="8" t="n"/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9">
        <f>IF(A1215="","",A1215&amp;"|"&amp;COUNTIF($A$2:A1215,A1215))</f>
        <v/>
      </c>
    </row>
    <row r="1216">
      <c r="A1216" s="7" t="n"/>
      <c r="B1216" s="7" t="n"/>
      <c r="C1216" s="7" t="n"/>
      <c r="D1216" s="8" t="n"/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9">
        <f>IF(A1216="","",A1216&amp;"|"&amp;COUNTIF($A$2:A1216,A1216))</f>
        <v/>
      </c>
    </row>
    <row r="1217">
      <c r="A1217" s="7" t="n"/>
      <c r="B1217" s="7" t="n"/>
      <c r="C1217" s="7" t="n"/>
      <c r="D1217" s="8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9">
        <f>IF(A1217="","",A1217&amp;"|"&amp;COUNTIF($A$2:A1217,A1217))</f>
        <v/>
      </c>
    </row>
    <row r="1218">
      <c r="A1218" s="7" t="n"/>
      <c r="B1218" s="7" t="n"/>
      <c r="C1218" s="7" t="n"/>
      <c r="D1218" s="8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9">
        <f>IF(A1218="","",A1218&amp;"|"&amp;COUNTIF($A$2:A1218,A1218))</f>
        <v/>
      </c>
    </row>
    <row r="1219">
      <c r="A1219" s="7" t="n"/>
      <c r="B1219" s="7" t="n"/>
      <c r="C1219" s="7" t="n"/>
      <c r="D1219" s="8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9">
        <f>IF(A1219="","",A1219&amp;"|"&amp;COUNTIF($A$2:A1219,A1219))</f>
        <v/>
      </c>
    </row>
    <row r="1220">
      <c r="A1220" s="7" t="n"/>
      <c r="B1220" s="7" t="n"/>
      <c r="C1220" s="7" t="n"/>
      <c r="D1220" s="8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  <c r="Y1220" s="7" t="n"/>
      <c r="Z1220" s="7" t="n"/>
      <c r="AA1220" s="9">
        <f>IF(A1220="","",A1220&amp;"|"&amp;COUNTIF($A$2:A1220,A1220))</f>
        <v/>
      </c>
    </row>
    <row r="1221">
      <c r="A1221" s="7" t="n"/>
      <c r="B1221" s="7" t="n"/>
      <c r="C1221" s="7" t="n"/>
      <c r="D1221" s="8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9">
        <f>IF(A1221="","",A1221&amp;"|"&amp;COUNTIF($A$2:A1221,A1221))</f>
        <v/>
      </c>
    </row>
    <row r="1222">
      <c r="A1222" s="7" t="n"/>
      <c r="B1222" s="7" t="n"/>
      <c r="C1222" s="7" t="n"/>
      <c r="D1222" s="8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9">
        <f>IF(A1222="","",A1222&amp;"|"&amp;COUNTIF($A$2:A1222,A1222))</f>
        <v/>
      </c>
    </row>
    <row r="1223">
      <c r="A1223" s="7" t="n"/>
      <c r="B1223" s="7" t="n"/>
      <c r="C1223" s="7" t="n"/>
      <c r="D1223" s="8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9">
        <f>IF(A1223="","",A1223&amp;"|"&amp;COUNTIF($A$2:A1223,A1223))</f>
        <v/>
      </c>
    </row>
    <row r="1224">
      <c r="A1224" s="7" t="n"/>
      <c r="B1224" s="7" t="n"/>
      <c r="C1224" s="7" t="n"/>
      <c r="D1224" s="8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9">
        <f>IF(A1224="","",A1224&amp;"|"&amp;COUNTIF($A$2:A1224,A1224))</f>
        <v/>
      </c>
    </row>
    <row r="1225">
      <c r="A1225" s="7" t="n"/>
      <c r="B1225" s="7" t="n"/>
      <c r="C1225" s="7" t="n"/>
      <c r="D1225" s="8" t="n"/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9">
        <f>IF(A1225="","",A1225&amp;"|"&amp;COUNTIF($A$2:A1225,A1225))</f>
        <v/>
      </c>
    </row>
    <row r="1226">
      <c r="A1226" s="7" t="n"/>
      <c r="B1226" s="7" t="n"/>
      <c r="C1226" s="7" t="n"/>
      <c r="D1226" s="8" t="n"/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9">
        <f>IF(A1226="","",A1226&amp;"|"&amp;COUNTIF($A$2:A1226,A1226))</f>
        <v/>
      </c>
    </row>
    <row r="1227">
      <c r="A1227" s="7" t="n"/>
      <c r="B1227" s="7" t="n"/>
      <c r="C1227" s="7" t="n"/>
      <c r="D1227" s="8" t="n"/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9">
        <f>IF(A1227="","",A1227&amp;"|"&amp;COUNTIF($A$2:A1227,A1227))</f>
        <v/>
      </c>
    </row>
    <row r="1228">
      <c r="A1228" s="7" t="n"/>
      <c r="B1228" s="7" t="n"/>
      <c r="C1228" s="7" t="n"/>
      <c r="D1228" s="8" t="n"/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9">
        <f>IF(A1228="","",A1228&amp;"|"&amp;COUNTIF($A$2:A1228,A1228))</f>
        <v/>
      </c>
    </row>
    <row r="1229">
      <c r="A1229" s="7" t="n"/>
      <c r="B1229" s="7" t="n"/>
      <c r="C1229" s="7" t="n"/>
      <c r="D1229" s="8" t="n"/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9">
        <f>IF(A1229="","",A1229&amp;"|"&amp;COUNTIF($A$2:A1229,A1229))</f>
        <v/>
      </c>
    </row>
    <row r="1230">
      <c r="A1230" s="7" t="n"/>
      <c r="B1230" s="7" t="n"/>
      <c r="C1230" s="7" t="n"/>
      <c r="D1230" s="8" t="n"/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9">
        <f>IF(A1230="","",A1230&amp;"|"&amp;COUNTIF($A$2:A1230,A1230))</f>
        <v/>
      </c>
    </row>
    <row r="1231">
      <c r="A1231" s="7" t="n"/>
      <c r="B1231" s="7" t="n"/>
      <c r="C1231" s="7" t="n"/>
      <c r="D1231" s="8" t="n"/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9">
        <f>IF(A1231="","",A1231&amp;"|"&amp;COUNTIF($A$2:A1231,A1231))</f>
        <v/>
      </c>
    </row>
    <row r="1232">
      <c r="A1232" s="7" t="n"/>
      <c r="B1232" s="7" t="n"/>
      <c r="C1232" s="7" t="n"/>
      <c r="D1232" s="8" t="n"/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9">
        <f>IF(A1232="","",A1232&amp;"|"&amp;COUNTIF($A$2:A1232,A1232))</f>
        <v/>
      </c>
    </row>
    <row r="1233">
      <c r="A1233" s="7" t="n"/>
      <c r="B1233" s="7" t="n"/>
      <c r="C1233" s="7" t="n"/>
      <c r="D1233" s="8" t="n"/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9">
        <f>IF(A1233="","",A1233&amp;"|"&amp;COUNTIF($A$2:A1233,A1233))</f>
        <v/>
      </c>
    </row>
    <row r="1234">
      <c r="A1234" s="7" t="n"/>
      <c r="B1234" s="7" t="n"/>
      <c r="C1234" s="7" t="n"/>
      <c r="D1234" s="8" t="n"/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  <c r="Y1234" s="7" t="n"/>
      <c r="Z1234" s="7" t="n"/>
      <c r="AA1234" s="9">
        <f>IF(A1234="","",A1234&amp;"|"&amp;COUNTIF($A$2:A1234,A1234))</f>
        <v/>
      </c>
    </row>
    <row r="1235">
      <c r="A1235" s="7" t="n"/>
      <c r="B1235" s="7" t="n"/>
      <c r="C1235" s="7" t="n"/>
      <c r="D1235" s="8" t="n"/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9">
        <f>IF(A1235="","",A1235&amp;"|"&amp;COUNTIF($A$2:A1235,A1235))</f>
        <v/>
      </c>
    </row>
    <row r="1236">
      <c r="A1236" s="7" t="n"/>
      <c r="B1236" s="7" t="n"/>
      <c r="C1236" s="7" t="n"/>
      <c r="D1236" s="8" t="n"/>
      <c r="E1236" s="7" t="n"/>
      <c r="F1236" s="7" t="n"/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9">
        <f>IF(A1236="","",A1236&amp;"|"&amp;COUNTIF($A$2:A1236,A1236))</f>
        <v/>
      </c>
    </row>
    <row r="1237">
      <c r="A1237" s="7" t="n"/>
      <c r="B1237" s="7" t="n"/>
      <c r="C1237" s="7" t="n"/>
      <c r="D1237" s="8" t="n"/>
      <c r="E1237" s="7" t="n"/>
      <c r="F1237" s="7" t="n"/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9">
        <f>IF(A1237="","",A1237&amp;"|"&amp;COUNTIF($A$2:A1237,A1237))</f>
        <v/>
      </c>
    </row>
    <row r="1238">
      <c r="A1238" s="7" t="n"/>
      <c r="B1238" s="7" t="n"/>
      <c r="C1238" s="7" t="n"/>
      <c r="D1238" s="8" t="n"/>
      <c r="E1238" s="7" t="n"/>
      <c r="F1238" s="7" t="n"/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9">
        <f>IF(A1238="","",A1238&amp;"|"&amp;COUNTIF($A$2:A1238,A1238))</f>
        <v/>
      </c>
    </row>
    <row r="1239">
      <c r="A1239" s="7" t="n"/>
      <c r="B1239" s="7" t="n"/>
      <c r="C1239" s="7" t="n"/>
      <c r="D1239" s="8" t="n"/>
      <c r="E1239" s="7" t="n"/>
      <c r="F1239" s="7" t="n"/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9">
        <f>IF(A1239="","",A1239&amp;"|"&amp;COUNTIF($A$2:A1239,A1239))</f>
        <v/>
      </c>
    </row>
    <row r="1240">
      <c r="A1240" s="7" t="n"/>
      <c r="B1240" s="7" t="n"/>
      <c r="C1240" s="7" t="n"/>
      <c r="D1240" s="8" t="n"/>
      <c r="E1240" s="7" t="n"/>
      <c r="F1240" s="7" t="n"/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7" t="n"/>
      <c r="Z1240" s="7" t="n"/>
      <c r="AA1240" s="9">
        <f>IF(A1240="","",A1240&amp;"|"&amp;COUNTIF($A$2:A1240,A1240))</f>
        <v/>
      </c>
    </row>
    <row r="1241">
      <c r="A1241" s="7" t="n"/>
      <c r="B1241" s="7" t="n"/>
      <c r="C1241" s="7" t="n"/>
      <c r="D1241" s="8" t="n"/>
      <c r="E1241" s="7" t="n"/>
      <c r="F1241" s="7" t="n"/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9">
        <f>IF(A1241="","",A1241&amp;"|"&amp;COUNTIF($A$2:A1241,A1241))</f>
        <v/>
      </c>
    </row>
    <row r="1242">
      <c r="A1242" s="7" t="n"/>
      <c r="B1242" s="7" t="n"/>
      <c r="C1242" s="7" t="n"/>
      <c r="D1242" s="8" t="n"/>
      <c r="E1242" s="7" t="n"/>
      <c r="F1242" s="7" t="n"/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9">
        <f>IF(A1242="","",A1242&amp;"|"&amp;COUNTIF($A$2:A1242,A1242))</f>
        <v/>
      </c>
    </row>
    <row r="1243">
      <c r="A1243" s="7" t="n"/>
      <c r="B1243" s="7" t="n"/>
      <c r="C1243" s="7" t="n"/>
      <c r="D1243" s="8" t="n"/>
      <c r="E1243" s="7" t="n"/>
      <c r="F1243" s="7" t="n"/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9">
        <f>IF(A1243="","",A1243&amp;"|"&amp;COUNTIF($A$2:A1243,A1243))</f>
        <v/>
      </c>
    </row>
    <row r="1244">
      <c r="A1244" s="7" t="n"/>
      <c r="B1244" s="7" t="n"/>
      <c r="C1244" s="7" t="n"/>
      <c r="D1244" s="8" t="n"/>
      <c r="E1244" s="7" t="n"/>
      <c r="F1244" s="7" t="n"/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9">
        <f>IF(A1244="","",A1244&amp;"|"&amp;COUNTIF($A$2:A1244,A1244))</f>
        <v/>
      </c>
    </row>
    <row r="1245">
      <c r="A1245" s="7" t="n"/>
      <c r="B1245" s="7" t="n"/>
      <c r="C1245" s="7" t="n"/>
      <c r="D1245" s="8" t="n"/>
      <c r="E1245" s="7" t="n"/>
      <c r="F1245" s="7" t="n"/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9">
        <f>IF(A1245="","",A1245&amp;"|"&amp;COUNTIF($A$2:A1245,A1245))</f>
        <v/>
      </c>
    </row>
    <row r="1246">
      <c r="A1246" s="7" t="n"/>
      <c r="B1246" s="7" t="n"/>
      <c r="C1246" s="7" t="n"/>
      <c r="D1246" s="8" t="n"/>
      <c r="E1246" s="7" t="n"/>
      <c r="F1246" s="7" t="n"/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9">
        <f>IF(A1246="","",A1246&amp;"|"&amp;COUNTIF($A$2:A1246,A1246))</f>
        <v/>
      </c>
    </row>
    <row r="1247">
      <c r="A1247" s="7" t="n"/>
      <c r="B1247" s="7" t="n"/>
      <c r="C1247" s="7" t="n"/>
      <c r="D1247" s="8" t="n"/>
      <c r="E1247" s="7" t="n"/>
      <c r="F1247" s="7" t="n"/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9">
        <f>IF(A1247="","",A1247&amp;"|"&amp;COUNTIF($A$2:A1247,A1247))</f>
        <v/>
      </c>
    </row>
    <row r="1248">
      <c r="A1248" s="7" t="n"/>
      <c r="B1248" s="7" t="n"/>
      <c r="C1248" s="7" t="n"/>
      <c r="D1248" s="8" t="n"/>
      <c r="E1248" s="7" t="n"/>
      <c r="F1248" s="7" t="n"/>
      <c r="G1248" s="7" t="n"/>
      <c r="H1248" s="7" t="n"/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  <c r="Y1248" s="7" t="n"/>
      <c r="Z1248" s="7" t="n"/>
      <c r="AA1248" s="9">
        <f>IF(A1248="","",A1248&amp;"|"&amp;COUNTIF($A$2:A1248,A1248))</f>
        <v/>
      </c>
    </row>
    <row r="1249">
      <c r="A1249" s="7" t="n"/>
      <c r="B1249" s="7" t="n"/>
      <c r="C1249" s="7" t="n"/>
      <c r="D1249" s="8" t="n"/>
      <c r="E1249" s="7" t="n"/>
      <c r="F1249" s="7" t="n"/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9">
        <f>IF(A1249="","",A1249&amp;"|"&amp;COUNTIF($A$2:A1249,A1249))</f>
        <v/>
      </c>
    </row>
    <row r="1250">
      <c r="A1250" s="7" t="n"/>
      <c r="B1250" s="7" t="n"/>
      <c r="C1250" s="7" t="n"/>
      <c r="D1250" s="8" t="n"/>
      <c r="E1250" s="7" t="n"/>
      <c r="F1250" s="7" t="n"/>
      <c r="G1250" s="7" t="n"/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  <c r="Y1250" s="7" t="n"/>
      <c r="Z1250" s="7" t="n"/>
      <c r="AA1250" s="9">
        <f>IF(A1250="","",A1250&amp;"|"&amp;COUNTIF($A$2:A1250,A1250))</f>
        <v/>
      </c>
    </row>
    <row r="1251">
      <c r="A1251" s="7" t="n"/>
      <c r="B1251" s="7" t="n"/>
      <c r="C1251" s="7" t="n"/>
      <c r="D1251" s="8" t="n"/>
      <c r="E1251" s="7" t="n"/>
      <c r="F1251" s="7" t="n"/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9">
        <f>IF(A1251="","",A1251&amp;"|"&amp;COUNTIF($A$2:A1251,A1251))</f>
        <v/>
      </c>
    </row>
    <row r="1252">
      <c r="A1252" s="7" t="n"/>
      <c r="B1252" s="7" t="n"/>
      <c r="C1252" s="7" t="n"/>
      <c r="D1252" s="8" t="n"/>
      <c r="E1252" s="7" t="n"/>
      <c r="F1252" s="7" t="n"/>
      <c r="G1252" s="7" t="n"/>
      <c r="H1252" s="7" t="n"/>
      <c r="I1252" s="7" t="n"/>
      <c r="J1252" s="7" t="n"/>
      <c r="K1252" s="7" t="n"/>
      <c r="L1252" s="7" t="n"/>
      <c r="M1252" s="7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  <c r="Y1252" s="7" t="n"/>
      <c r="Z1252" s="7" t="n"/>
      <c r="AA1252" s="9">
        <f>IF(A1252="","",A1252&amp;"|"&amp;COUNTIF($A$2:A1252,A1252))</f>
        <v/>
      </c>
    </row>
    <row r="1253">
      <c r="A1253" s="7" t="n"/>
      <c r="B1253" s="7" t="n"/>
      <c r="C1253" s="7" t="n"/>
      <c r="D1253" s="8" t="n"/>
      <c r="E1253" s="7" t="n"/>
      <c r="F1253" s="7" t="n"/>
      <c r="G1253" s="7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9">
        <f>IF(A1253="","",A1253&amp;"|"&amp;COUNTIF($A$2:A1253,A1253))</f>
        <v/>
      </c>
    </row>
    <row r="1254">
      <c r="A1254" s="7" t="n"/>
      <c r="B1254" s="7" t="n"/>
      <c r="C1254" s="7" t="n"/>
      <c r="D1254" s="8" t="n"/>
      <c r="E1254" s="7" t="n"/>
      <c r="F1254" s="7" t="n"/>
      <c r="G1254" s="7" t="n"/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  <c r="Y1254" s="7" t="n"/>
      <c r="Z1254" s="7" t="n"/>
      <c r="AA1254" s="9">
        <f>IF(A1254="","",A1254&amp;"|"&amp;COUNTIF($A$2:A1254,A1254))</f>
        <v/>
      </c>
    </row>
    <row r="1255">
      <c r="A1255" s="7" t="n"/>
      <c r="B1255" s="7" t="n"/>
      <c r="C1255" s="7" t="n"/>
      <c r="D1255" s="8" t="n"/>
      <c r="E1255" s="7" t="n"/>
      <c r="F1255" s="7" t="n"/>
      <c r="G1255" s="7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9">
        <f>IF(A1255="","",A1255&amp;"|"&amp;COUNTIF($A$2:A1255,A1255))</f>
        <v/>
      </c>
    </row>
    <row r="1256">
      <c r="A1256" s="7" t="n"/>
      <c r="B1256" s="7" t="n"/>
      <c r="C1256" s="7" t="n"/>
      <c r="D1256" s="8" t="n"/>
      <c r="E1256" s="7" t="n"/>
      <c r="F1256" s="7" t="n"/>
      <c r="G1256" s="7" t="n"/>
      <c r="H1256" s="7" t="n"/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9">
        <f>IF(A1256="","",A1256&amp;"|"&amp;COUNTIF($A$2:A1256,A1256))</f>
        <v/>
      </c>
    </row>
    <row r="1257">
      <c r="A1257" s="7" t="n"/>
      <c r="B1257" s="7" t="n"/>
      <c r="C1257" s="7" t="n"/>
      <c r="D1257" s="8" t="n"/>
      <c r="E1257" s="7" t="n"/>
      <c r="F1257" s="7" t="n"/>
      <c r="G1257" s="7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9">
        <f>IF(A1257="","",A1257&amp;"|"&amp;COUNTIF($A$2:A1257,A1257))</f>
        <v/>
      </c>
    </row>
    <row r="1258">
      <c r="A1258" s="7" t="n"/>
      <c r="B1258" s="7" t="n"/>
      <c r="C1258" s="7" t="n"/>
      <c r="D1258" s="8" t="n"/>
      <c r="E1258" s="7" t="n"/>
      <c r="F1258" s="7" t="n"/>
      <c r="G1258" s="7" t="n"/>
      <c r="H1258" s="7" t="n"/>
      <c r="I1258" s="7" t="n"/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9">
        <f>IF(A1258="","",A1258&amp;"|"&amp;COUNTIF($A$2:A1258,A1258))</f>
        <v/>
      </c>
    </row>
    <row r="1259">
      <c r="A1259" s="7" t="n"/>
      <c r="B1259" s="7" t="n"/>
      <c r="C1259" s="7" t="n"/>
      <c r="D1259" s="8" t="n"/>
      <c r="E1259" s="7" t="n"/>
      <c r="F1259" s="7" t="n"/>
      <c r="G1259" s="7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9">
        <f>IF(A1259="","",A1259&amp;"|"&amp;COUNTIF($A$2:A1259,A1259))</f>
        <v/>
      </c>
    </row>
    <row r="1260">
      <c r="A1260" s="7" t="n"/>
      <c r="B1260" s="7" t="n"/>
      <c r="C1260" s="7" t="n"/>
      <c r="D1260" s="8" t="n"/>
      <c r="E1260" s="7" t="n"/>
      <c r="F1260" s="7" t="n"/>
      <c r="G1260" s="7" t="n"/>
      <c r="H1260" s="7" t="n"/>
      <c r="I1260" s="7" t="n"/>
      <c r="J1260" s="7" t="n"/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9">
        <f>IF(A1260="","",A1260&amp;"|"&amp;COUNTIF($A$2:A1260,A1260))</f>
        <v/>
      </c>
    </row>
    <row r="1261">
      <c r="A1261" s="7" t="n"/>
      <c r="B1261" s="7" t="n"/>
      <c r="C1261" s="7" t="n"/>
      <c r="D1261" s="8" t="n"/>
      <c r="E1261" s="7" t="n"/>
      <c r="F1261" s="7" t="n"/>
      <c r="G1261" s="7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9">
        <f>IF(A1261="","",A1261&amp;"|"&amp;COUNTIF($A$2:A1261,A1261))</f>
        <v/>
      </c>
    </row>
    <row r="1262">
      <c r="A1262" s="7" t="n"/>
      <c r="B1262" s="7" t="n"/>
      <c r="C1262" s="7" t="n"/>
      <c r="D1262" s="8" t="n"/>
      <c r="E1262" s="7" t="n"/>
      <c r="F1262" s="7" t="n"/>
      <c r="G1262" s="7" t="n"/>
      <c r="H1262" s="7" t="n"/>
      <c r="I1262" s="7" t="n"/>
      <c r="J1262" s="7" t="n"/>
      <c r="K1262" s="7" t="n"/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  <c r="Y1262" s="7" t="n"/>
      <c r="Z1262" s="7" t="n"/>
      <c r="AA1262" s="9">
        <f>IF(A1262="","",A1262&amp;"|"&amp;COUNTIF($A$2:A1262,A1262))</f>
        <v/>
      </c>
    </row>
    <row r="1263">
      <c r="A1263" s="7" t="n"/>
      <c r="B1263" s="7" t="n"/>
      <c r="C1263" s="7" t="n"/>
      <c r="D1263" s="8" t="n"/>
      <c r="E1263" s="7" t="n"/>
      <c r="F1263" s="7" t="n"/>
      <c r="G1263" s="7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9">
        <f>IF(A1263="","",A1263&amp;"|"&amp;COUNTIF($A$2:A1263,A1263))</f>
        <v/>
      </c>
    </row>
    <row r="1264">
      <c r="A1264" s="7" t="n"/>
      <c r="B1264" s="7" t="n"/>
      <c r="C1264" s="7" t="n"/>
      <c r="D1264" s="8" t="n"/>
      <c r="E1264" s="7" t="n"/>
      <c r="F1264" s="7" t="n"/>
      <c r="G1264" s="7" t="n"/>
      <c r="H1264" s="7" t="n"/>
      <c r="I1264" s="7" t="n"/>
      <c r="J1264" s="7" t="n"/>
      <c r="K1264" s="7" t="n"/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9">
        <f>IF(A1264="","",A1264&amp;"|"&amp;COUNTIF($A$2:A1264,A1264))</f>
        <v/>
      </c>
    </row>
    <row r="1265">
      <c r="A1265" s="7" t="n"/>
      <c r="B1265" s="7" t="n"/>
      <c r="C1265" s="7" t="n"/>
      <c r="D1265" s="8" t="n"/>
      <c r="E1265" s="7" t="n"/>
      <c r="F1265" s="7" t="n"/>
      <c r="G1265" s="7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9">
        <f>IF(A1265="","",A1265&amp;"|"&amp;COUNTIF($A$2:A1265,A1265))</f>
        <v/>
      </c>
    </row>
    <row r="1266">
      <c r="A1266" s="7" t="n"/>
      <c r="B1266" s="7" t="n"/>
      <c r="C1266" s="7" t="n"/>
      <c r="D1266" s="8" t="n"/>
      <c r="E1266" s="7" t="n"/>
      <c r="F1266" s="7" t="n"/>
      <c r="G1266" s="7" t="n"/>
      <c r="H1266" s="7" t="n"/>
      <c r="I1266" s="7" t="n"/>
      <c r="J1266" s="7" t="n"/>
      <c r="K1266" s="7" t="n"/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9">
        <f>IF(A1266="","",A1266&amp;"|"&amp;COUNTIF($A$2:A1266,A1266))</f>
        <v/>
      </c>
    </row>
    <row r="1267">
      <c r="A1267" s="7" t="n"/>
      <c r="B1267" s="7" t="n"/>
      <c r="C1267" s="7" t="n"/>
      <c r="D1267" s="8" t="n"/>
      <c r="E1267" s="7" t="n"/>
      <c r="F1267" s="7" t="n"/>
      <c r="G1267" s="7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9">
        <f>IF(A1267="","",A1267&amp;"|"&amp;COUNTIF($A$2:A1267,A1267))</f>
        <v/>
      </c>
    </row>
    <row r="1268">
      <c r="A1268" s="7" t="n"/>
      <c r="B1268" s="7" t="n"/>
      <c r="C1268" s="7" t="n"/>
      <c r="D1268" s="8" t="n"/>
      <c r="E1268" s="7" t="n"/>
      <c r="F1268" s="7" t="n"/>
      <c r="G1268" s="7" t="n"/>
      <c r="H1268" s="7" t="n"/>
      <c r="I1268" s="7" t="n"/>
      <c r="J1268" s="7" t="n"/>
      <c r="K1268" s="7" t="n"/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9">
        <f>IF(A1268="","",A1268&amp;"|"&amp;COUNTIF($A$2:A1268,A1268))</f>
        <v/>
      </c>
    </row>
    <row r="1269">
      <c r="A1269" s="7" t="n"/>
      <c r="B1269" s="7" t="n"/>
      <c r="C1269" s="7" t="n"/>
      <c r="D1269" s="8" t="n"/>
      <c r="E1269" s="7" t="n"/>
      <c r="F1269" s="7" t="n"/>
      <c r="G1269" s="7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9">
        <f>IF(A1269="","",A1269&amp;"|"&amp;COUNTIF($A$2:A1269,A1269))</f>
        <v/>
      </c>
    </row>
    <row r="1270">
      <c r="A1270" s="7" t="n"/>
      <c r="B1270" s="7" t="n"/>
      <c r="C1270" s="7" t="n"/>
      <c r="D1270" s="8" t="n"/>
      <c r="E1270" s="7" t="n"/>
      <c r="F1270" s="7" t="n"/>
      <c r="G1270" s="7" t="n"/>
      <c r="H1270" s="7" t="n"/>
      <c r="I1270" s="7" t="n"/>
      <c r="J1270" s="7" t="n"/>
      <c r="K1270" s="7" t="n"/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9">
        <f>IF(A1270="","",A1270&amp;"|"&amp;COUNTIF($A$2:A1270,A1270))</f>
        <v/>
      </c>
    </row>
    <row r="1271">
      <c r="A1271" s="7" t="n"/>
      <c r="B1271" s="7" t="n"/>
      <c r="C1271" s="7" t="n"/>
      <c r="D1271" s="8" t="n"/>
      <c r="E1271" s="7" t="n"/>
      <c r="F1271" s="7" t="n"/>
      <c r="G1271" s="7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9">
        <f>IF(A1271="","",A1271&amp;"|"&amp;COUNTIF($A$2:A1271,A1271))</f>
        <v/>
      </c>
    </row>
    <row r="1272">
      <c r="A1272" s="7" t="n"/>
      <c r="B1272" s="7" t="n"/>
      <c r="C1272" s="7" t="n"/>
      <c r="D1272" s="8" t="n"/>
      <c r="E1272" s="7" t="n"/>
      <c r="F1272" s="7" t="n"/>
      <c r="G1272" s="7" t="n"/>
      <c r="H1272" s="7" t="n"/>
      <c r="I1272" s="7" t="n"/>
      <c r="J1272" s="7" t="n"/>
      <c r="K1272" s="7" t="n"/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9">
        <f>IF(A1272="","",A1272&amp;"|"&amp;COUNTIF($A$2:A1272,A1272))</f>
        <v/>
      </c>
    </row>
    <row r="1273">
      <c r="A1273" s="7" t="n"/>
      <c r="B1273" s="7" t="n"/>
      <c r="C1273" s="7" t="n"/>
      <c r="D1273" s="8" t="n"/>
      <c r="E1273" s="7" t="n"/>
      <c r="F1273" s="7" t="n"/>
      <c r="G1273" s="7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9">
        <f>IF(A1273="","",A1273&amp;"|"&amp;COUNTIF($A$2:A1273,A1273))</f>
        <v/>
      </c>
    </row>
    <row r="1274">
      <c r="A1274" s="7" t="n"/>
      <c r="B1274" s="7" t="n"/>
      <c r="C1274" s="7" t="n"/>
      <c r="D1274" s="8" t="n"/>
      <c r="E1274" s="7" t="n"/>
      <c r="F1274" s="7" t="n"/>
      <c r="G1274" s="7" t="n"/>
      <c r="H1274" s="7" t="n"/>
      <c r="I1274" s="7" t="n"/>
      <c r="J1274" s="7" t="n"/>
      <c r="K1274" s="7" t="n"/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9">
        <f>IF(A1274="","",A1274&amp;"|"&amp;COUNTIF($A$2:A1274,A1274))</f>
        <v/>
      </c>
    </row>
    <row r="1275">
      <c r="A1275" s="7" t="n"/>
      <c r="B1275" s="7" t="n"/>
      <c r="C1275" s="7" t="n"/>
      <c r="D1275" s="8" t="n"/>
      <c r="E1275" s="7" t="n"/>
      <c r="F1275" s="7" t="n"/>
      <c r="G1275" s="7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9">
        <f>IF(A1275="","",A1275&amp;"|"&amp;COUNTIF($A$2:A1275,A1275))</f>
        <v/>
      </c>
    </row>
    <row r="1276">
      <c r="A1276" s="7" t="n"/>
      <c r="B1276" s="7" t="n"/>
      <c r="C1276" s="7" t="n"/>
      <c r="D1276" s="8" t="n"/>
      <c r="E1276" s="7" t="n"/>
      <c r="F1276" s="7" t="n"/>
      <c r="G1276" s="7" t="n"/>
      <c r="H1276" s="7" t="n"/>
      <c r="I1276" s="7" t="n"/>
      <c r="J1276" s="7" t="n"/>
      <c r="K1276" s="7" t="n"/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7" t="n"/>
      <c r="Z1276" s="7" t="n"/>
      <c r="AA1276" s="9">
        <f>IF(A1276="","",A1276&amp;"|"&amp;COUNTIF($A$2:A1276,A1276))</f>
        <v/>
      </c>
    </row>
    <row r="1277">
      <c r="A1277" s="7" t="n"/>
      <c r="B1277" s="7" t="n"/>
      <c r="C1277" s="7" t="n"/>
      <c r="D1277" s="8" t="n"/>
      <c r="E1277" s="7" t="n"/>
      <c r="F1277" s="7" t="n"/>
      <c r="G1277" s="7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9">
        <f>IF(A1277="","",A1277&amp;"|"&amp;COUNTIF($A$2:A1277,A1277))</f>
        <v/>
      </c>
    </row>
    <row r="1278">
      <c r="A1278" s="7" t="n"/>
      <c r="B1278" s="7" t="n"/>
      <c r="C1278" s="7" t="n"/>
      <c r="D1278" s="8" t="n"/>
      <c r="E1278" s="7" t="n"/>
      <c r="F1278" s="7" t="n"/>
      <c r="G1278" s="7" t="n"/>
      <c r="H1278" s="7" t="n"/>
      <c r="I1278" s="7" t="n"/>
      <c r="J1278" s="7" t="n"/>
      <c r="K1278" s="7" t="n"/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9">
        <f>IF(A1278="","",A1278&amp;"|"&amp;COUNTIF($A$2:A1278,A1278))</f>
        <v/>
      </c>
    </row>
    <row r="1279">
      <c r="A1279" s="7" t="n"/>
      <c r="B1279" s="7" t="n"/>
      <c r="C1279" s="7" t="n"/>
      <c r="D1279" s="8" t="n"/>
      <c r="E1279" s="7" t="n"/>
      <c r="F1279" s="7" t="n"/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9">
        <f>IF(A1279="","",A1279&amp;"|"&amp;COUNTIF($A$2:A1279,A1279))</f>
        <v/>
      </c>
    </row>
    <row r="1280">
      <c r="A1280" s="7" t="n"/>
      <c r="B1280" s="7" t="n"/>
      <c r="C1280" s="7" t="n"/>
      <c r="D1280" s="8" t="n"/>
      <c r="E1280" s="7" t="n"/>
      <c r="F1280" s="7" t="n"/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9">
        <f>IF(A1280="","",A1280&amp;"|"&amp;COUNTIF($A$2:A1280,A1280))</f>
        <v/>
      </c>
    </row>
    <row r="1281">
      <c r="A1281" s="7" t="n"/>
      <c r="B1281" s="7" t="n"/>
      <c r="C1281" s="7" t="n"/>
      <c r="D1281" s="8" t="n"/>
      <c r="E1281" s="7" t="n"/>
      <c r="F1281" s="7" t="n"/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9">
        <f>IF(A1281="","",A1281&amp;"|"&amp;COUNTIF($A$2:A1281,A1281))</f>
        <v/>
      </c>
    </row>
    <row r="1282">
      <c r="A1282" s="7" t="n"/>
      <c r="B1282" s="7" t="n"/>
      <c r="C1282" s="7" t="n"/>
      <c r="D1282" s="8" t="n"/>
      <c r="E1282" s="7" t="n"/>
      <c r="F1282" s="7" t="n"/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9">
        <f>IF(A1282="","",A1282&amp;"|"&amp;COUNTIF($A$2:A1282,A1282))</f>
        <v/>
      </c>
    </row>
    <row r="1283">
      <c r="A1283" s="7" t="n"/>
      <c r="B1283" s="7" t="n"/>
      <c r="C1283" s="7" t="n"/>
      <c r="D1283" s="8" t="n"/>
      <c r="E1283" s="7" t="n"/>
      <c r="F1283" s="7" t="n"/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9">
        <f>IF(A1283="","",A1283&amp;"|"&amp;COUNTIF($A$2:A1283,A1283))</f>
        <v/>
      </c>
    </row>
    <row r="1284">
      <c r="A1284" s="7" t="n"/>
      <c r="B1284" s="7" t="n"/>
      <c r="C1284" s="7" t="n"/>
      <c r="D1284" s="8" t="n"/>
      <c r="E1284" s="7" t="n"/>
      <c r="F1284" s="7" t="n"/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9">
        <f>IF(A1284="","",A1284&amp;"|"&amp;COUNTIF($A$2:A1284,A1284))</f>
        <v/>
      </c>
    </row>
    <row r="1285">
      <c r="A1285" s="7" t="n"/>
      <c r="B1285" s="7" t="n"/>
      <c r="C1285" s="7" t="n"/>
      <c r="D1285" s="8" t="n"/>
      <c r="E1285" s="7" t="n"/>
      <c r="F1285" s="7" t="n"/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9">
        <f>IF(A1285="","",A1285&amp;"|"&amp;COUNTIF($A$2:A1285,A1285))</f>
        <v/>
      </c>
    </row>
    <row r="1286">
      <c r="A1286" s="7" t="n"/>
      <c r="B1286" s="7" t="n"/>
      <c r="C1286" s="7" t="n"/>
      <c r="D1286" s="8" t="n"/>
      <c r="E1286" s="7" t="n"/>
      <c r="F1286" s="7" t="n"/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9">
        <f>IF(A1286="","",A1286&amp;"|"&amp;COUNTIF($A$2:A1286,A1286))</f>
        <v/>
      </c>
    </row>
    <row r="1287">
      <c r="A1287" s="7" t="n"/>
      <c r="B1287" s="7" t="n"/>
      <c r="C1287" s="7" t="n"/>
      <c r="D1287" s="8" t="n"/>
      <c r="E1287" s="7" t="n"/>
      <c r="F1287" s="7" t="n"/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9">
        <f>IF(A1287="","",A1287&amp;"|"&amp;COUNTIF($A$2:A1287,A1287))</f>
        <v/>
      </c>
    </row>
    <row r="1288">
      <c r="A1288" s="7" t="n"/>
      <c r="B1288" s="7" t="n"/>
      <c r="C1288" s="7" t="n"/>
      <c r="D1288" s="8" t="n"/>
      <c r="E1288" s="7" t="n"/>
      <c r="F1288" s="7" t="n"/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9">
        <f>IF(A1288="","",A1288&amp;"|"&amp;COUNTIF($A$2:A1288,A1288))</f>
        <v/>
      </c>
    </row>
    <row r="1289">
      <c r="A1289" s="7" t="n"/>
      <c r="B1289" s="7" t="n"/>
      <c r="C1289" s="7" t="n"/>
      <c r="D1289" s="8" t="n"/>
      <c r="E1289" s="7" t="n"/>
      <c r="F1289" s="7" t="n"/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9">
        <f>IF(A1289="","",A1289&amp;"|"&amp;COUNTIF($A$2:A1289,A1289))</f>
        <v/>
      </c>
    </row>
    <row r="1290">
      <c r="A1290" s="7" t="n"/>
      <c r="B1290" s="7" t="n"/>
      <c r="C1290" s="7" t="n"/>
      <c r="D1290" s="8" t="n"/>
      <c r="E1290" s="7" t="n"/>
      <c r="F1290" s="7" t="n"/>
      <c r="G1290" s="7" t="n"/>
      <c r="H1290" s="7" t="n"/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  <c r="Y1290" s="7" t="n"/>
      <c r="Z1290" s="7" t="n"/>
      <c r="AA1290" s="9">
        <f>IF(A1290="","",A1290&amp;"|"&amp;COUNTIF($A$2:A1290,A1290))</f>
        <v/>
      </c>
    </row>
    <row r="1291">
      <c r="A1291" s="7" t="n"/>
      <c r="B1291" s="7" t="n"/>
      <c r="C1291" s="7" t="n"/>
      <c r="D1291" s="8" t="n"/>
      <c r="E1291" s="7" t="n"/>
      <c r="F1291" s="7" t="n"/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9">
        <f>IF(A1291="","",A1291&amp;"|"&amp;COUNTIF($A$2:A1291,A1291))</f>
        <v/>
      </c>
    </row>
    <row r="1292">
      <c r="A1292" s="7" t="n"/>
      <c r="B1292" s="7" t="n"/>
      <c r="C1292" s="7" t="n"/>
      <c r="D1292" s="8" t="n"/>
      <c r="E1292" s="7" t="n"/>
      <c r="F1292" s="7" t="n"/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9">
        <f>IF(A1292="","",A1292&amp;"|"&amp;COUNTIF($A$2:A1292,A1292))</f>
        <v/>
      </c>
    </row>
    <row r="1293">
      <c r="A1293" s="7" t="n"/>
      <c r="B1293" s="7" t="n"/>
      <c r="C1293" s="7" t="n"/>
      <c r="D1293" s="8" t="n"/>
      <c r="E1293" s="7" t="n"/>
      <c r="F1293" s="7" t="n"/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9">
        <f>IF(A1293="","",A1293&amp;"|"&amp;COUNTIF($A$2:A1293,A1293))</f>
        <v/>
      </c>
    </row>
    <row r="1294">
      <c r="A1294" s="7" t="n"/>
      <c r="B1294" s="7" t="n"/>
      <c r="C1294" s="7" t="n"/>
      <c r="D1294" s="8" t="n"/>
      <c r="E1294" s="7" t="n"/>
      <c r="F1294" s="7" t="n"/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9">
        <f>IF(A1294="","",A1294&amp;"|"&amp;COUNTIF($A$2:A1294,A1294))</f>
        <v/>
      </c>
    </row>
    <row r="1295">
      <c r="A1295" s="7" t="n"/>
      <c r="B1295" s="7" t="n"/>
      <c r="C1295" s="7" t="n"/>
      <c r="D1295" s="8" t="n"/>
      <c r="E1295" s="7" t="n"/>
      <c r="F1295" s="7" t="n"/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9">
        <f>IF(A1295="","",A1295&amp;"|"&amp;COUNTIF($A$2:A1295,A1295))</f>
        <v/>
      </c>
    </row>
    <row r="1296">
      <c r="A1296" s="7" t="n"/>
      <c r="B1296" s="7" t="n"/>
      <c r="C1296" s="7" t="n"/>
      <c r="D1296" s="8" t="n"/>
      <c r="E1296" s="7" t="n"/>
      <c r="F1296" s="7" t="n"/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9">
        <f>IF(A1296="","",A1296&amp;"|"&amp;COUNTIF($A$2:A1296,A1296))</f>
        <v/>
      </c>
    </row>
    <row r="1297">
      <c r="A1297" s="7" t="n"/>
      <c r="B1297" s="7" t="n"/>
      <c r="C1297" s="7" t="n"/>
      <c r="D1297" s="8" t="n"/>
      <c r="E1297" s="7" t="n"/>
      <c r="F1297" s="7" t="n"/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9">
        <f>IF(A1297="","",A1297&amp;"|"&amp;COUNTIF($A$2:A1297,A1297))</f>
        <v/>
      </c>
    </row>
    <row r="1298">
      <c r="A1298" s="7" t="n"/>
      <c r="B1298" s="7" t="n"/>
      <c r="C1298" s="7" t="n"/>
      <c r="D1298" s="8" t="n"/>
      <c r="E1298" s="7" t="n"/>
      <c r="F1298" s="7" t="n"/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9">
        <f>IF(A1298="","",A1298&amp;"|"&amp;COUNTIF($A$2:A1298,A1298))</f>
        <v/>
      </c>
    </row>
    <row r="1299">
      <c r="A1299" s="7" t="n"/>
      <c r="B1299" s="7" t="n"/>
      <c r="C1299" s="7" t="n"/>
      <c r="D1299" s="8" t="n"/>
      <c r="E1299" s="7" t="n"/>
      <c r="F1299" s="7" t="n"/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9">
        <f>IF(A1299="","",A1299&amp;"|"&amp;COUNTIF($A$2:A1299,A1299))</f>
        <v/>
      </c>
    </row>
    <row r="1300">
      <c r="A1300" s="7" t="n"/>
      <c r="B1300" s="7" t="n"/>
      <c r="C1300" s="7" t="n"/>
      <c r="D1300" s="8" t="n"/>
      <c r="E1300" s="7" t="n"/>
      <c r="F1300" s="7" t="n"/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9">
        <f>IF(A1300="","",A1300&amp;"|"&amp;COUNTIF($A$2:A1300,A1300))</f>
        <v/>
      </c>
    </row>
    <row r="1301">
      <c r="A1301" s="7" t="n"/>
      <c r="B1301" s="7" t="n"/>
      <c r="C1301" s="7" t="n"/>
      <c r="D1301" s="8" t="n"/>
      <c r="E1301" s="7" t="n"/>
      <c r="F1301" s="7" t="n"/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9">
        <f>IF(A1301="","",A1301&amp;"|"&amp;COUNTIF($A$2:A1301,A1301))</f>
        <v/>
      </c>
    </row>
    <row r="1302">
      <c r="A1302" s="7" t="n"/>
      <c r="B1302" s="7" t="n"/>
      <c r="C1302" s="7" t="n"/>
      <c r="D1302" s="8" t="n"/>
      <c r="E1302" s="7" t="n"/>
      <c r="F1302" s="7" t="n"/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9">
        <f>IF(A1302="","",A1302&amp;"|"&amp;COUNTIF($A$2:A1302,A1302))</f>
        <v/>
      </c>
    </row>
    <row r="1303">
      <c r="A1303" s="7" t="n"/>
      <c r="B1303" s="7" t="n"/>
      <c r="C1303" s="7" t="n"/>
      <c r="D1303" s="8" t="n"/>
      <c r="E1303" s="7" t="n"/>
      <c r="F1303" s="7" t="n"/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9">
        <f>IF(A1303="","",A1303&amp;"|"&amp;COUNTIF($A$2:A1303,A1303))</f>
        <v/>
      </c>
    </row>
    <row r="1304">
      <c r="A1304" s="7" t="n"/>
      <c r="B1304" s="7" t="n"/>
      <c r="C1304" s="7" t="n"/>
      <c r="D1304" s="8" t="n"/>
      <c r="E1304" s="7" t="n"/>
      <c r="F1304" s="7" t="n"/>
      <c r="G1304" s="7" t="n"/>
      <c r="H1304" s="7" t="n"/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  <c r="Y1304" s="7" t="n"/>
      <c r="Z1304" s="7" t="n"/>
      <c r="AA1304" s="9">
        <f>IF(A1304="","",A1304&amp;"|"&amp;COUNTIF($A$2:A1304,A1304))</f>
        <v/>
      </c>
    </row>
    <row r="1305">
      <c r="A1305" s="7" t="n"/>
      <c r="B1305" s="7" t="n"/>
      <c r="C1305" s="7" t="n"/>
      <c r="D1305" s="8" t="n"/>
      <c r="E1305" s="7" t="n"/>
      <c r="F1305" s="7" t="n"/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9">
        <f>IF(A1305="","",A1305&amp;"|"&amp;COUNTIF($A$2:A1305,A1305))</f>
        <v/>
      </c>
    </row>
    <row r="1306">
      <c r="A1306" s="7" t="n"/>
      <c r="B1306" s="7" t="n"/>
      <c r="C1306" s="7" t="n"/>
      <c r="D1306" s="8" t="n"/>
      <c r="E1306" s="7" t="n"/>
      <c r="F1306" s="7" t="n"/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9">
        <f>IF(A1306="","",A1306&amp;"|"&amp;COUNTIF($A$2:A1306,A1306))</f>
        <v/>
      </c>
    </row>
    <row r="1307">
      <c r="A1307" s="7" t="n"/>
      <c r="B1307" s="7" t="n"/>
      <c r="C1307" s="7" t="n"/>
      <c r="D1307" s="8" t="n"/>
      <c r="E1307" s="7" t="n"/>
      <c r="F1307" s="7" t="n"/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9">
        <f>IF(A1307="","",A1307&amp;"|"&amp;COUNTIF($A$2:A1307,A1307))</f>
        <v/>
      </c>
    </row>
    <row r="1308">
      <c r="A1308" s="7" t="n"/>
      <c r="B1308" s="7" t="n"/>
      <c r="C1308" s="7" t="n"/>
      <c r="D1308" s="8" t="n"/>
      <c r="E1308" s="7" t="n"/>
      <c r="F1308" s="7" t="n"/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9">
        <f>IF(A1308="","",A1308&amp;"|"&amp;COUNTIF($A$2:A1308,A1308))</f>
        <v/>
      </c>
    </row>
    <row r="1309">
      <c r="A1309" s="7" t="n"/>
      <c r="B1309" s="7" t="n"/>
      <c r="C1309" s="7" t="n"/>
      <c r="D1309" s="8" t="n"/>
      <c r="E1309" s="7" t="n"/>
      <c r="F1309" s="7" t="n"/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9">
        <f>IF(A1309="","",A1309&amp;"|"&amp;COUNTIF($A$2:A1309,A1309))</f>
        <v/>
      </c>
    </row>
    <row r="1310">
      <c r="A1310" s="7" t="n"/>
      <c r="B1310" s="7" t="n"/>
      <c r="C1310" s="7" t="n"/>
      <c r="D1310" s="8" t="n"/>
      <c r="E1310" s="7" t="n"/>
      <c r="F1310" s="7" t="n"/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9">
        <f>IF(A1310="","",A1310&amp;"|"&amp;COUNTIF($A$2:A1310,A1310))</f>
        <v/>
      </c>
    </row>
    <row r="1311">
      <c r="A1311" s="7" t="n"/>
      <c r="B1311" s="7" t="n"/>
      <c r="C1311" s="7" t="n"/>
      <c r="D1311" s="8" t="n"/>
      <c r="E1311" s="7" t="n"/>
      <c r="F1311" s="7" t="n"/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9">
        <f>IF(A1311="","",A1311&amp;"|"&amp;COUNTIF($A$2:A1311,A1311))</f>
        <v/>
      </c>
    </row>
    <row r="1312">
      <c r="A1312" s="7" t="n"/>
      <c r="B1312" s="7" t="n"/>
      <c r="C1312" s="7" t="n"/>
      <c r="D1312" s="8" t="n"/>
      <c r="E1312" s="7" t="n"/>
      <c r="F1312" s="7" t="n"/>
      <c r="G1312" s="7" t="n"/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9">
        <f>IF(A1312="","",A1312&amp;"|"&amp;COUNTIF($A$2:A1312,A1312))</f>
        <v/>
      </c>
    </row>
    <row r="1313">
      <c r="A1313" s="7" t="n"/>
      <c r="B1313" s="7" t="n"/>
      <c r="C1313" s="7" t="n"/>
      <c r="D1313" s="8" t="n"/>
      <c r="E1313" s="7" t="n"/>
      <c r="F1313" s="7" t="n"/>
      <c r="G1313" s="7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9">
        <f>IF(A1313="","",A1313&amp;"|"&amp;COUNTIF($A$2:A1313,A1313))</f>
        <v/>
      </c>
    </row>
    <row r="1314">
      <c r="A1314" s="7" t="n"/>
      <c r="B1314" s="7" t="n"/>
      <c r="C1314" s="7" t="n"/>
      <c r="D1314" s="8" t="n"/>
      <c r="E1314" s="7" t="n"/>
      <c r="F1314" s="7" t="n"/>
      <c r="G1314" s="7" t="n"/>
      <c r="H1314" s="7" t="n"/>
      <c r="I1314" s="7" t="n"/>
      <c r="J1314" s="7" t="n"/>
      <c r="K1314" s="7" t="n"/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9">
        <f>IF(A1314="","",A1314&amp;"|"&amp;COUNTIF($A$2:A1314,A1314))</f>
        <v/>
      </c>
    </row>
    <row r="1315">
      <c r="A1315" s="7" t="n"/>
      <c r="B1315" s="7" t="n"/>
      <c r="C1315" s="7" t="n"/>
      <c r="D1315" s="8" t="n"/>
      <c r="E1315" s="7" t="n"/>
      <c r="F1315" s="7" t="n"/>
      <c r="G1315" s="7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9">
        <f>IF(A1315="","",A1315&amp;"|"&amp;COUNTIF($A$2:A1315,A1315))</f>
        <v/>
      </c>
    </row>
    <row r="1316">
      <c r="A1316" s="7" t="n"/>
      <c r="B1316" s="7" t="n"/>
      <c r="C1316" s="7" t="n"/>
      <c r="D1316" s="8" t="n"/>
      <c r="E1316" s="7" t="n"/>
      <c r="F1316" s="7" t="n"/>
      <c r="G1316" s="7" t="n"/>
      <c r="H1316" s="7" t="n"/>
      <c r="I1316" s="7" t="n"/>
      <c r="J1316" s="7" t="n"/>
      <c r="K1316" s="7" t="n"/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9">
        <f>IF(A1316="","",A1316&amp;"|"&amp;COUNTIF($A$2:A1316,A1316))</f>
        <v/>
      </c>
    </row>
    <row r="1317">
      <c r="A1317" s="7" t="n"/>
      <c r="B1317" s="7" t="n"/>
      <c r="C1317" s="7" t="n"/>
      <c r="D1317" s="8" t="n"/>
      <c r="E1317" s="7" t="n"/>
      <c r="F1317" s="7" t="n"/>
      <c r="G1317" s="7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9">
        <f>IF(A1317="","",A1317&amp;"|"&amp;COUNTIF($A$2:A1317,A1317))</f>
        <v/>
      </c>
    </row>
    <row r="1318">
      <c r="A1318" s="7" t="n"/>
      <c r="B1318" s="7" t="n"/>
      <c r="C1318" s="7" t="n"/>
      <c r="D1318" s="8" t="n"/>
      <c r="E1318" s="7" t="n"/>
      <c r="F1318" s="7" t="n"/>
      <c r="G1318" s="7" t="n"/>
      <c r="H1318" s="7" t="n"/>
      <c r="I1318" s="7" t="n"/>
      <c r="J1318" s="7" t="n"/>
      <c r="K1318" s="7" t="n"/>
      <c r="L1318" s="7" t="n"/>
      <c r="M1318" s="7" t="n"/>
      <c r="N1318" s="7" t="n"/>
      <c r="O1318" s="7" t="n"/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n"/>
      <c r="Z1318" s="7" t="n"/>
      <c r="AA1318" s="9">
        <f>IF(A1318="","",A1318&amp;"|"&amp;COUNTIF($A$2:A1318,A1318))</f>
        <v/>
      </c>
    </row>
    <row r="1319">
      <c r="A1319" s="7" t="n"/>
      <c r="B1319" s="7" t="n"/>
      <c r="C1319" s="7" t="n"/>
      <c r="D1319" s="8" t="n"/>
      <c r="E1319" s="7" t="n"/>
      <c r="F1319" s="7" t="n"/>
      <c r="G1319" s="7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9">
        <f>IF(A1319="","",A1319&amp;"|"&amp;COUNTIF($A$2:A1319,A1319))</f>
        <v/>
      </c>
    </row>
    <row r="1320">
      <c r="A1320" s="7" t="n"/>
      <c r="B1320" s="7" t="n"/>
      <c r="C1320" s="7" t="n"/>
      <c r="D1320" s="8" t="n"/>
      <c r="E1320" s="7" t="n"/>
      <c r="F1320" s="7" t="n"/>
      <c r="G1320" s="7" t="n"/>
      <c r="H1320" s="7" t="n"/>
      <c r="I1320" s="7" t="n"/>
      <c r="J1320" s="7" t="n"/>
      <c r="K1320" s="7" t="n"/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9">
        <f>IF(A1320="","",A1320&amp;"|"&amp;COUNTIF($A$2:A1320,A1320))</f>
        <v/>
      </c>
    </row>
    <row r="1321">
      <c r="A1321" s="7" t="n"/>
      <c r="B1321" s="7" t="n"/>
      <c r="C1321" s="7" t="n"/>
      <c r="D1321" s="8" t="n"/>
      <c r="E1321" s="7" t="n"/>
      <c r="F1321" s="7" t="n"/>
      <c r="G1321" s="7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9">
        <f>IF(A1321="","",A1321&amp;"|"&amp;COUNTIF($A$2:A1321,A1321))</f>
        <v/>
      </c>
    </row>
    <row r="1322">
      <c r="A1322" s="7" t="n"/>
      <c r="B1322" s="7" t="n"/>
      <c r="C1322" s="7" t="n"/>
      <c r="D1322" s="8" t="n"/>
      <c r="E1322" s="7" t="n"/>
      <c r="F1322" s="7" t="n"/>
      <c r="G1322" s="7" t="n"/>
      <c r="H1322" s="7" t="n"/>
      <c r="I1322" s="7" t="n"/>
      <c r="J1322" s="7" t="n"/>
      <c r="K1322" s="7" t="n"/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9">
        <f>IF(A1322="","",A1322&amp;"|"&amp;COUNTIF($A$2:A1322,A1322))</f>
        <v/>
      </c>
    </row>
    <row r="1323">
      <c r="A1323" s="7" t="n"/>
      <c r="B1323" s="7" t="n"/>
      <c r="C1323" s="7" t="n"/>
      <c r="D1323" s="8" t="n"/>
      <c r="E1323" s="7" t="n"/>
      <c r="F1323" s="7" t="n"/>
      <c r="G1323" s="7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9">
        <f>IF(A1323="","",A1323&amp;"|"&amp;COUNTIF($A$2:A1323,A1323))</f>
        <v/>
      </c>
    </row>
    <row r="1324">
      <c r="A1324" s="7" t="n"/>
      <c r="B1324" s="7" t="n"/>
      <c r="C1324" s="7" t="n"/>
      <c r="D1324" s="8" t="n"/>
      <c r="E1324" s="7" t="n"/>
      <c r="F1324" s="7" t="n"/>
      <c r="G1324" s="7" t="n"/>
      <c r="H1324" s="7" t="n"/>
      <c r="I1324" s="7" t="n"/>
      <c r="J1324" s="7" t="n"/>
      <c r="K1324" s="7" t="n"/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9">
        <f>IF(A1324="","",A1324&amp;"|"&amp;COUNTIF($A$2:A1324,A1324))</f>
        <v/>
      </c>
    </row>
    <row r="1325">
      <c r="A1325" s="7" t="n"/>
      <c r="B1325" s="7" t="n"/>
      <c r="C1325" s="7" t="n"/>
      <c r="D1325" s="8" t="n"/>
      <c r="E1325" s="7" t="n"/>
      <c r="F1325" s="7" t="n"/>
      <c r="G1325" s="7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9">
        <f>IF(A1325="","",A1325&amp;"|"&amp;COUNTIF($A$2:A1325,A1325))</f>
        <v/>
      </c>
    </row>
    <row r="1326">
      <c r="A1326" s="7" t="n"/>
      <c r="B1326" s="7" t="n"/>
      <c r="C1326" s="7" t="n"/>
      <c r="D1326" s="8" t="n"/>
      <c r="E1326" s="7" t="n"/>
      <c r="F1326" s="7" t="n"/>
      <c r="G1326" s="7" t="n"/>
      <c r="H1326" s="7" t="n"/>
      <c r="I1326" s="7" t="n"/>
      <c r="J1326" s="7" t="n"/>
      <c r="K1326" s="7" t="n"/>
      <c r="L1326" s="7" t="n"/>
      <c r="M1326" s="7" t="n"/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9">
        <f>IF(A1326="","",A1326&amp;"|"&amp;COUNTIF($A$2:A1326,A1326))</f>
        <v/>
      </c>
    </row>
    <row r="1327">
      <c r="A1327" s="7" t="n"/>
      <c r="B1327" s="7" t="n"/>
      <c r="C1327" s="7" t="n"/>
      <c r="D1327" s="8" t="n"/>
      <c r="E1327" s="7" t="n"/>
      <c r="F1327" s="7" t="n"/>
      <c r="G1327" s="7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9">
        <f>IF(A1327="","",A1327&amp;"|"&amp;COUNTIF($A$2:A1327,A1327))</f>
        <v/>
      </c>
    </row>
    <row r="1328">
      <c r="A1328" s="7" t="n"/>
      <c r="B1328" s="7" t="n"/>
      <c r="C1328" s="7" t="n"/>
      <c r="D1328" s="8" t="n"/>
      <c r="E1328" s="7" t="n"/>
      <c r="F1328" s="7" t="n"/>
      <c r="G1328" s="7" t="n"/>
      <c r="H1328" s="7" t="n"/>
      <c r="I1328" s="7" t="n"/>
      <c r="J1328" s="7" t="n"/>
      <c r="K1328" s="7" t="n"/>
      <c r="L1328" s="7" t="n"/>
      <c r="M1328" s="7" t="n"/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9">
        <f>IF(A1328="","",A1328&amp;"|"&amp;COUNTIF($A$2:A1328,A1328))</f>
        <v/>
      </c>
    </row>
    <row r="1329">
      <c r="A1329" s="7" t="n"/>
      <c r="B1329" s="7" t="n"/>
      <c r="C1329" s="7" t="n"/>
      <c r="D1329" s="8" t="n"/>
      <c r="E1329" s="7" t="n"/>
      <c r="F1329" s="7" t="n"/>
      <c r="G1329" s="7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9">
        <f>IF(A1329="","",A1329&amp;"|"&amp;COUNTIF($A$2:A1329,A1329))</f>
        <v/>
      </c>
    </row>
    <row r="1330">
      <c r="A1330" s="7" t="n"/>
      <c r="B1330" s="7" t="n"/>
      <c r="C1330" s="7" t="n"/>
      <c r="D1330" s="8" t="n"/>
      <c r="E1330" s="7" t="n"/>
      <c r="F1330" s="7" t="n"/>
      <c r="G1330" s="7" t="n"/>
      <c r="H1330" s="7" t="n"/>
      <c r="I1330" s="7" t="n"/>
      <c r="J1330" s="7" t="n"/>
      <c r="K1330" s="7" t="n"/>
      <c r="L1330" s="7" t="n"/>
      <c r="M1330" s="7" t="n"/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9">
        <f>IF(A1330="","",A1330&amp;"|"&amp;COUNTIF($A$2:A1330,A1330))</f>
        <v/>
      </c>
    </row>
    <row r="1331">
      <c r="A1331" s="7" t="n"/>
      <c r="B1331" s="7" t="n"/>
      <c r="C1331" s="7" t="n"/>
      <c r="D1331" s="8" t="n"/>
      <c r="E1331" s="7" t="n"/>
      <c r="F1331" s="7" t="n"/>
      <c r="G1331" s="7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9">
        <f>IF(A1331="","",A1331&amp;"|"&amp;COUNTIF($A$2:A1331,A1331))</f>
        <v/>
      </c>
    </row>
    <row r="1332">
      <c r="A1332" s="7" t="n"/>
      <c r="B1332" s="7" t="n"/>
      <c r="C1332" s="7" t="n"/>
      <c r="D1332" s="8" t="n"/>
      <c r="E1332" s="7" t="n"/>
      <c r="F1332" s="7" t="n"/>
      <c r="G1332" s="7" t="n"/>
      <c r="H1332" s="7" t="n"/>
      <c r="I1332" s="7" t="n"/>
      <c r="J1332" s="7" t="n"/>
      <c r="K1332" s="7" t="n"/>
      <c r="L1332" s="7" t="n"/>
      <c r="M1332" s="7" t="n"/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9">
        <f>IF(A1332="","",A1332&amp;"|"&amp;COUNTIF($A$2:A1332,A1332))</f>
        <v/>
      </c>
    </row>
    <row r="1333">
      <c r="A1333" s="7" t="n"/>
      <c r="B1333" s="7" t="n"/>
      <c r="C1333" s="7" t="n"/>
      <c r="D1333" s="8" t="n"/>
      <c r="E1333" s="7" t="n"/>
      <c r="F1333" s="7" t="n"/>
      <c r="G1333" s="7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9">
        <f>IF(A1333="","",A1333&amp;"|"&amp;COUNTIF($A$2:A1333,A1333))</f>
        <v/>
      </c>
    </row>
    <row r="1334">
      <c r="A1334" s="7" t="n"/>
      <c r="B1334" s="7" t="n"/>
      <c r="C1334" s="7" t="n"/>
      <c r="D1334" s="8" t="n"/>
      <c r="E1334" s="7" t="n"/>
      <c r="F1334" s="7" t="n"/>
      <c r="G1334" s="7" t="n"/>
      <c r="H1334" s="7" t="n"/>
      <c r="I1334" s="7" t="n"/>
      <c r="J1334" s="7" t="n"/>
      <c r="K1334" s="7" t="n"/>
      <c r="L1334" s="7" t="n"/>
      <c r="M1334" s="7" t="n"/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9">
        <f>IF(A1334="","",A1334&amp;"|"&amp;COUNTIF($A$2:A1334,A1334))</f>
        <v/>
      </c>
    </row>
    <row r="1335">
      <c r="A1335" s="7" t="n"/>
      <c r="B1335" s="7" t="n"/>
      <c r="C1335" s="7" t="n"/>
      <c r="D1335" s="8" t="n"/>
      <c r="E1335" s="7" t="n"/>
      <c r="F1335" s="7" t="n"/>
      <c r="G1335" s="7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9">
        <f>IF(A1335="","",A1335&amp;"|"&amp;COUNTIF($A$2:A1335,A1335))</f>
        <v/>
      </c>
    </row>
    <row r="1336">
      <c r="A1336" s="7" t="n"/>
      <c r="B1336" s="7" t="n"/>
      <c r="C1336" s="7" t="n"/>
      <c r="D1336" s="8" t="n"/>
      <c r="E1336" s="7" t="n"/>
      <c r="F1336" s="7" t="n"/>
      <c r="G1336" s="7" t="n"/>
      <c r="H1336" s="7" t="n"/>
      <c r="I1336" s="7" t="n"/>
      <c r="J1336" s="7" t="n"/>
      <c r="K1336" s="7" t="n"/>
      <c r="L1336" s="7" t="n"/>
      <c r="M1336" s="7" t="n"/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9">
        <f>IF(A1336="","",A1336&amp;"|"&amp;COUNTIF($A$2:A1336,A1336))</f>
        <v/>
      </c>
    </row>
    <row r="1337">
      <c r="A1337" s="7" t="n"/>
      <c r="B1337" s="7" t="n"/>
      <c r="C1337" s="7" t="n"/>
      <c r="D1337" s="8" t="n"/>
      <c r="E1337" s="7" t="n"/>
      <c r="F1337" s="7" t="n"/>
      <c r="G1337" s="7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9">
        <f>IF(A1337="","",A1337&amp;"|"&amp;COUNTIF($A$2:A1337,A1337))</f>
        <v/>
      </c>
    </row>
    <row r="1338">
      <c r="A1338" s="7" t="n"/>
      <c r="B1338" s="7" t="n"/>
      <c r="C1338" s="7" t="n"/>
      <c r="D1338" s="8" t="n"/>
      <c r="E1338" s="7" t="n"/>
      <c r="F1338" s="7" t="n"/>
      <c r="G1338" s="7" t="n"/>
      <c r="H1338" s="7" t="n"/>
      <c r="I1338" s="7" t="n"/>
      <c r="J1338" s="7" t="n"/>
      <c r="K1338" s="7" t="n"/>
      <c r="L1338" s="7" t="n"/>
      <c r="M1338" s="7" t="n"/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9">
        <f>IF(A1338="","",A1338&amp;"|"&amp;COUNTIF($A$2:A1338,A1338))</f>
        <v/>
      </c>
    </row>
    <row r="1339">
      <c r="A1339" s="7" t="n"/>
      <c r="B1339" s="7" t="n"/>
      <c r="C1339" s="7" t="n"/>
      <c r="D1339" s="8" t="n"/>
      <c r="E1339" s="7" t="n"/>
      <c r="F1339" s="7" t="n"/>
      <c r="G1339" s="7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9">
        <f>IF(A1339="","",A1339&amp;"|"&amp;COUNTIF($A$2:A1339,A1339))</f>
        <v/>
      </c>
    </row>
    <row r="1340">
      <c r="A1340" s="7" t="n"/>
      <c r="B1340" s="7" t="n"/>
      <c r="C1340" s="7" t="n"/>
      <c r="D1340" s="8" t="n"/>
      <c r="E1340" s="7" t="n"/>
      <c r="F1340" s="7" t="n"/>
      <c r="G1340" s="7" t="n"/>
      <c r="H1340" s="7" t="n"/>
      <c r="I1340" s="7" t="n"/>
      <c r="J1340" s="7" t="n"/>
      <c r="K1340" s="7" t="n"/>
      <c r="L1340" s="7" t="n"/>
      <c r="M1340" s="7" t="n"/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9">
        <f>IF(A1340="","",A1340&amp;"|"&amp;COUNTIF($A$2:A1340,A1340))</f>
        <v/>
      </c>
    </row>
    <row r="1341">
      <c r="A1341" s="7" t="n"/>
      <c r="B1341" s="7" t="n"/>
      <c r="C1341" s="7" t="n"/>
      <c r="D1341" s="8" t="n"/>
      <c r="E1341" s="7" t="n"/>
      <c r="F1341" s="7" t="n"/>
      <c r="G1341" s="7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9">
        <f>IF(A1341="","",A1341&amp;"|"&amp;COUNTIF($A$2:A1341,A1341))</f>
        <v/>
      </c>
    </row>
    <row r="1342">
      <c r="A1342" s="7" t="n"/>
      <c r="B1342" s="7" t="n"/>
      <c r="C1342" s="7" t="n"/>
      <c r="D1342" s="8" t="n"/>
      <c r="E1342" s="7" t="n"/>
      <c r="F1342" s="7" t="n"/>
      <c r="G1342" s="7" t="n"/>
      <c r="H1342" s="7" t="n"/>
      <c r="I1342" s="7" t="n"/>
      <c r="J1342" s="7" t="n"/>
      <c r="K1342" s="7" t="n"/>
      <c r="L1342" s="7" t="n"/>
      <c r="M1342" s="7" t="n"/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9">
        <f>IF(A1342="","",A1342&amp;"|"&amp;COUNTIF($A$2:A1342,A1342))</f>
        <v/>
      </c>
    </row>
    <row r="1343">
      <c r="A1343" s="7" t="n"/>
      <c r="B1343" s="7" t="n"/>
      <c r="C1343" s="7" t="n"/>
      <c r="D1343" s="8" t="n"/>
      <c r="E1343" s="7" t="n"/>
      <c r="F1343" s="7" t="n"/>
      <c r="G1343" s="7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9">
        <f>IF(A1343="","",A1343&amp;"|"&amp;COUNTIF($A$2:A1343,A1343))</f>
        <v/>
      </c>
    </row>
    <row r="1344">
      <c r="A1344" s="7" t="n"/>
      <c r="B1344" s="7" t="n"/>
      <c r="C1344" s="7" t="n"/>
      <c r="D1344" s="8" t="n"/>
      <c r="E1344" s="7" t="n"/>
      <c r="F1344" s="7" t="n"/>
      <c r="G1344" s="7" t="n"/>
      <c r="H1344" s="7" t="n"/>
      <c r="I1344" s="7" t="n"/>
      <c r="J1344" s="7" t="n"/>
      <c r="K1344" s="7" t="n"/>
      <c r="L1344" s="7" t="n"/>
      <c r="M1344" s="7" t="n"/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9">
        <f>IF(A1344="","",A1344&amp;"|"&amp;COUNTIF($A$2:A1344,A1344))</f>
        <v/>
      </c>
    </row>
    <row r="1345">
      <c r="A1345" s="7" t="n"/>
      <c r="B1345" s="7" t="n"/>
      <c r="C1345" s="7" t="n"/>
      <c r="D1345" s="8" t="n"/>
      <c r="E1345" s="7" t="n"/>
      <c r="F1345" s="7" t="n"/>
      <c r="G1345" s="7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9">
        <f>IF(A1345="","",A1345&amp;"|"&amp;COUNTIF($A$2:A1345,A1345))</f>
        <v/>
      </c>
    </row>
    <row r="1346">
      <c r="A1346" s="7" t="n"/>
      <c r="B1346" s="7" t="n"/>
      <c r="C1346" s="7" t="n"/>
      <c r="D1346" s="8" t="n"/>
      <c r="E1346" s="7" t="n"/>
      <c r="F1346" s="7" t="n"/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  <c r="Y1346" s="7" t="n"/>
      <c r="Z1346" s="7" t="n"/>
      <c r="AA1346" s="9">
        <f>IF(A1346="","",A1346&amp;"|"&amp;COUNTIF($A$2:A1346,A1346))</f>
        <v/>
      </c>
    </row>
    <row r="1347">
      <c r="A1347" s="7" t="n"/>
      <c r="B1347" s="7" t="n"/>
      <c r="C1347" s="7" t="n"/>
      <c r="D1347" s="8" t="n"/>
      <c r="E1347" s="7" t="n"/>
      <c r="F1347" s="7" t="n"/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9">
        <f>IF(A1347="","",A1347&amp;"|"&amp;COUNTIF($A$2:A1347,A1347))</f>
        <v/>
      </c>
    </row>
    <row r="1348">
      <c r="A1348" s="7" t="n"/>
      <c r="B1348" s="7" t="n"/>
      <c r="C1348" s="7" t="n"/>
      <c r="D1348" s="8" t="n"/>
      <c r="E1348" s="7" t="n"/>
      <c r="F1348" s="7" t="n"/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9">
        <f>IF(A1348="","",A1348&amp;"|"&amp;COUNTIF($A$2:A1348,A1348))</f>
        <v/>
      </c>
    </row>
    <row r="1349">
      <c r="A1349" s="7" t="n"/>
      <c r="B1349" s="7" t="n"/>
      <c r="C1349" s="7" t="n"/>
      <c r="D1349" s="8" t="n"/>
      <c r="E1349" s="7" t="n"/>
      <c r="F1349" s="7" t="n"/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9">
        <f>IF(A1349="","",A1349&amp;"|"&amp;COUNTIF($A$2:A1349,A1349))</f>
        <v/>
      </c>
    </row>
    <row r="1350">
      <c r="A1350" s="7" t="n"/>
      <c r="B1350" s="7" t="n"/>
      <c r="C1350" s="7" t="n"/>
      <c r="D1350" s="8" t="n"/>
      <c r="E1350" s="7" t="n"/>
      <c r="F1350" s="7" t="n"/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9">
        <f>IF(A1350="","",A1350&amp;"|"&amp;COUNTIF($A$2:A1350,A1350))</f>
        <v/>
      </c>
    </row>
    <row r="1351">
      <c r="A1351" s="7" t="n"/>
      <c r="B1351" s="7" t="n"/>
      <c r="C1351" s="7" t="n"/>
      <c r="D1351" s="8" t="n"/>
      <c r="E1351" s="7" t="n"/>
      <c r="F1351" s="7" t="n"/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9">
        <f>IF(A1351="","",A1351&amp;"|"&amp;COUNTIF($A$2:A1351,A1351))</f>
        <v/>
      </c>
    </row>
    <row r="1352">
      <c r="A1352" s="7" t="n"/>
      <c r="B1352" s="7" t="n"/>
      <c r="C1352" s="7" t="n"/>
      <c r="D1352" s="8" t="n"/>
      <c r="E1352" s="7" t="n"/>
      <c r="F1352" s="7" t="n"/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9">
        <f>IF(A1352="","",A1352&amp;"|"&amp;COUNTIF($A$2:A1352,A1352))</f>
        <v/>
      </c>
    </row>
    <row r="1353">
      <c r="A1353" s="7" t="n"/>
      <c r="B1353" s="7" t="n"/>
      <c r="C1353" s="7" t="n"/>
      <c r="D1353" s="8" t="n"/>
      <c r="E1353" s="7" t="n"/>
      <c r="F1353" s="7" t="n"/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9">
        <f>IF(A1353="","",A1353&amp;"|"&amp;COUNTIF($A$2:A1353,A1353))</f>
        <v/>
      </c>
    </row>
    <row r="1354">
      <c r="A1354" s="7" t="n"/>
      <c r="B1354" s="7" t="n"/>
      <c r="C1354" s="7" t="n"/>
      <c r="D1354" s="8" t="n"/>
      <c r="E1354" s="7" t="n"/>
      <c r="F1354" s="7" t="n"/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9">
        <f>IF(A1354="","",A1354&amp;"|"&amp;COUNTIF($A$2:A1354,A1354))</f>
        <v/>
      </c>
    </row>
    <row r="1355">
      <c r="A1355" s="7" t="n"/>
      <c r="B1355" s="7" t="n"/>
      <c r="C1355" s="7" t="n"/>
      <c r="D1355" s="8" t="n"/>
      <c r="E1355" s="7" t="n"/>
      <c r="F1355" s="7" t="n"/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9">
        <f>IF(A1355="","",A1355&amp;"|"&amp;COUNTIF($A$2:A1355,A1355))</f>
        <v/>
      </c>
    </row>
    <row r="1356">
      <c r="A1356" s="7" t="n"/>
      <c r="B1356" s="7" t="n"/>
      <c r="C1356" s="7" t="n"/>
      <c r="D1356" s="8" t="n"/>
      <c r="E1356" s="7" t="n"/>
      <c r="F1356" s="7" t="n"/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9">
        <f>IF(A1356="","",A1356&amp;"|"&amp;COUNTIF($A$2:A1356,A1356))</f>
        <v/>
      </c>
    </row>
    <row r="1357">
      <c r="A1357" s="7" t="n"/>
      <c r="B1357" s="7" t="n"/>
      <c r="C1357" s="7" t="n"/>
      <c r="D1357" s="8" t="n"/>
      <c r="E1357" s="7" t="n"/>
      <c r="F1357" s="7" t="n"/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9">
        <f>IF(A1357="","",A1357&amp;"|"&amp;COUNTIF($A$2:A1357,A1357))</f>
        <v/>
      </c>
    </row>
    <row r="1358">
      <c r="A1358" s="7" t="n"/>
      <c r="B1358" s="7" t="n"/>
      <c r="C1358" s="7" t="n"/>
      <c r="D1358" s="8" t="n"/>
      <c r="E1358" s="7" t="n"/>
      <c r="F1358" s="7" t="n"/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9">
        <f>IF(A1358="","",A1358&amp;"|"&amp;COUNTIF($A$2:A1358,A1358))</f>
        <v/>
      </c>
    </row>
    <row r="1359">
      <c r="A1359" s="7" t="n"/>
      <c r="B1359" s="7" t="n"/>
      <c r="C1359" s="7" t="n"/>
      <c r="D1359" s="8" t="n"/>
      <c r="E1359" s="7" t="n"/>
      <c r="F1359" s="7" t="n"/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9">
        <f>IF(A1359="","",A1359&amp;"|"&amp;COUNTIF($A$2:A1359,A1359))</f>
        <v/>
      </c>
    </row>
    <row r="1360">
      <c r="A1360" s="7" t="n"/>
      <c r="B1360" s="7" t="n"/>
      <c r="C1360" s="7" t="n"/>
      <c r="D1360" s="8" t="n"/>
      <c r="E1360" s="7" t="n"/>
      <c r="F1360" s="7" t="n"/>
      <c r="G1360" s="7" t="n"/>
      <c r="H1360" s="7" t="n"/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  <c r="Y1360" s="7" t="n"/>
      <c r="Z1360" s="7" t="n"/>
      <c r="AA1360" s="9">
        <f>IF(A1360="","",A1360&amp;"|"&amp;COUNTIF($A$2:A1360,A1360))</f>
        <v/>
      </c>
    </row>
    <row r="1361">
      <c r="A1361" s="7" t="n"/>
      <c r="B1361" s="7" t="n"/>
      <c r="C1361" s="7" t="n"/>
      <c r="D1361" s="8" t="n"/>
      <c r="E1361" s="7" t="n"/>
      <c r="F1361" s="7" t="n"/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9">
        <f>IF(A1361="","",A1361&amp;"|"&amp;COUNTIF($A$2:A1361,A1361))</f>
        <v/>
      </c>
    </row>
    <row r="1362">
      <c r="A1362" s="7" t="n"/>
      <c r="B1362" s="7" t="n"/>
      <c r="C1362" s="7" t="n"/>
      <c r="D1362" s="8" t="n"/>
      <c r="E1362" s="7" t="n"/>
      <c r="F1362" s="7" t="n"/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9">
        <f>IF(A1362="","",A1362&amp;"|"&amp;COUNTIF($A$2:A1362,A1362))</f>
        <v/>
      </c>
    </row>
    <row r="1363">
      <c r="A1363" s="7" t="n"/>
      <c r="B1363" s="7" t="n"/>
      <c r="C1363" s="7" t="n"/>
      <c r="D1363" s="8" t="n"/>
      <c r="E1363" s="7" t="n"/>
      <c r="F1363" s="7" t="n"/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9">
        <f>IF(A1363="","",A1363&amp;"|"&amp;COUNTIF($A$2:A1363,A1363))</f>
        <v/>
      </c>
    </row>
    <row r="1364">
      <c r="A1364" s="7" t="n"/>
      <c r="B1364" s="7" t="n"/>
      <c r="C1364" s="7" t="n"/>
      <c r="D1364" s="8" t="n"/>
      <c r="E1364" s="7" t="n"/>
      <c r="F1364" s="7" t="n"/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9">
        <f>IF(A1364="","",A1364&amp;"|"&amp;COUNTIF($A$2:A1364,A1364))</f>
        <v/>
      </c>
    </row>
    <row r="1365">
      <c r="A1365" s="7" t="n"/>
      <c r="B1365" s="7" t="n"/>
      <c r="C1365" s="7" t="n"/>
      <c r="D1365" s="8" t="n"/>
      <c r="E1365" s="7" t="n"/>
      <c r="F1365" s="7" t="n"/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9">
        <f>IF(A1365="","",A1365&amp;"|"&amp;COUNTIF($A$2:A1365,A1365))</f>
        <v/>
      </c>
    </row>
    <row r="1366">
      <c r="A1366" s="7" t="n"/>
      <c r="B1366" s="7" t="n"/>
      <c r="C1366" s="7" t="n"/>
      <c r="D1366" s="8" t="n"/>
      <c r="E1366" s="7" t="n"/>
      <c r="F1366" s="7" t="n"/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9">
        <f>IF(A1366="","",A1366&amp;"|"&amp;COUNTIF($A$2:A1366,A1366))</f>
        <v/>
      </c>
    </row>
    <row r="1367">
      <c r="A1367" s="7" t="n"/>
      <c r="B1367" s="7" t="n"/>
      <c r="C1367" s="7" t="n"/>
      <c r="D1367" s="8" t="n"/>
      <c r="E1367" s="7" t="n"/>
      <c r="F1367" s="7" t="n"/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9">
        <f>IF(A1367="","",A1367&amp;"|"&amp;COUNTIF($A$2:A1367,A1367))</f>
        <v/>
      </c>
    </row>
    <row r="1368">
      <c r="A1368" s="7" t="n"/>
      <c r="B1368" s="7" t="n"/>
      <c r="C1368" s="7" t="n"/>
      <c r="D1368" s="8" t="n"/>
      <c r="E1368" s="7" t="n"/>
      <c r="F1368" s="7" t="n"/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9">
        <f>IF(A1368="","",A1368&amp;"|"&amp;COUNTIF($A$2:A1368,A1368))</f>
        <v/>
      </c>
    </row>
    <row r="1369">
      <c r="A1369" s="7" t="n"/>
      <c r="B1369" s="7" t="n"/>
      <c r="C1369" s="7" t="n"/>
      <c r="D1369" s="8" t="n"/>
      <c r="E1369" s="7" t="n"/>
      <c r="F1369" s="7" t="n"/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9">
        <f>IF(A1369="","",A1369&amp;"|"&amp;COUNTIF($A$2:A1369,A1369))</f>
        <v/>
      </c>
    </row>
    <row r="1370">
      <c r="A1370" s="7" t="n"/>
      <c r="B1370" s="7" t="n"/>
      <c r="C1370" s="7" t="n"/>
      <c r="D1370" s="8" t="n"/>
      <c r="E1370" s="7" t="n"/>
      <c r="F1370" s="7" t="n"/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9">
        <f>IF(A1370="","",A1370&amp;"|"&amp;COUNTIF($A$2:A1370,A1370))</f>
        <v/>
      </c>
    </row>
    <row r="1371">
      <c r="A1371" s="7" t="n"/>
      <c r="B1371" s="7" t="n"/>
      <c r="C1371" s="7" t="n"/>
      <c r="D1371" s="8" t="n"/>
      <c r="E1371" s="7" t="n"/>
      <c r="F1371" s="7" t="n"/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9">
        <f>IF(A1371="","",A1371&amp;"|"&amp;COUNTIF($A$2:A1371,A1371))</f>
        <v/>
      </c>
    </row>
    <row r="1372">
      <c r="A1372" s="7" t="n"/>
      <c r="B1372" s="7" t="n"/>
      <c r="C1372" s="7" t="n"/>
      <c r="D1372" s="8" t="n"/>
      <c r="E1372" s="7" t="n"/>
      <c r="F1372" s="7" t="n"/>
      <c r="G1372" s="7" t="n"/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9">
        <f>IF(A1372="","",A1372&amp;"|"&amp;COUNTIF($A$2:A1372,A1372))</f>
        <v/>
      </c>
    </row>
    <row r="1373">
      <c r="A1373" s="7" t="n"/>
      <c r="B1373" s="7" t="n"/>
      <c r="C1373" s="7" t="n"/>
      <c r="D1373" s="8" t="n"/>
      <c r="E1373" s="7" t="n"/>
      <c r="F1373" s="7" t="n"/>
      <c r="G1373" s="7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9">
        <f>IF(A1373="","",A1373&amp;"|"&amp;COUNTIF($A$2:A1373,A1373))</f>
        <v/>
      </c>
    </row>
    <row r="1374">
      <c r="A1374" s="7" t="n"/>
      <c r="B1374" s="7" t="n"/>
      <c r="C1374" s="7" t="n"/>
      <c r="D1374" s="8" t="n"/>
      <c r="E1374" s="7" t="n"/>
      <c r="F1374" s="7" t="n"/>
      <c r="G1374" s="7" t="n"/>
      <c r="H1374" s="7" t="n"/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  <c r="Y1374" s="7" t="n"/>
      <c r="Z1374" s="7" t="n"/>
      <c r="AA1374" s="9">
        <f>IF(A1374="","",A1374&amp;"|"&amp;COUNTIF($A$2:A1374,A1374))</f>
        <v/>
      </c>
    </row>
    <row r="1375">
      <c r="A1375" s="7" t="n"/>
      <c r="B1375" s="7" t="n"/>
      <c r="C1375" s="7" t="n"/>
      <c r="D1375" s="8" t="n"/>
      <c r="E1375" s="7" t="n"/>
      <c r="F1375" s="7" t="n"/>
      <c r="G1375" s="7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9">
        <f>IF(A1375="","",A1375&amp;"|"&amp;COUNTIF($A$2:A1375,A1375))</f>
        <v/>
      </c>
    </row>
    <row r="1376">
      <c r="A1376" s="7" t="n"/>
      <c r="B1376" s="7" t="n"/>
      <c r="C1376" s="7" t="n"/>
      <c r="D1376" s="8" t="n"/>
      <c r="E1376" s="7" t="n"/>
      <c r="F1376" s="7" t="n"/>
      <c r="G1376" s="7" t="n"/>
      <c r="H1376" s="7" t="n"/>
      <c r="I1376" s="7" t="n"/>
      <c r="J1376" s="7" t="n"/>
      <c r="K1376" s="7" t="n"/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9">
        <f>IF(A1376="","",A1376&amp;"|"&amp;COUNTIF($A$2:A1376,A1376))</f>
        <v/>
      </c>
    </row>
    <row r="1377">
      <c r="A1377" s="7" t="n"/>
      <c r="B1377" s="7" t="n"/>
      <c r="C1377" s="7" t="n"/>
      <c r="D1377" s="8" t="n"/>
      <c r="E1377" s="7" t="n"/>
      <c r="F1377" s="7" t="n"/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9">
        <f>IF(A1377="","",A1377&amp;"|"&amp;COUNTIF($A$2:A1377,A1377))</f>
        <v/>
      </c>
    </row>
    <row r="1378">
      <c r="A1378" s="7" t="n"/>
      <c r="B1378" s="7" t="n"/>
      <c r="C1378" s="7" t="n"/>
      <c r="D1378" s="8" t="n"/>
      <c r="E1378" s="7" t="n"/>
      <c r="F1378" s="7" t="n"/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9">
        <f>IF(A1378="","",A1378&amp;"|"&amp;COUNTIF($A$2:A1378,A1378))</f>
        <v/>
      </c>
    </row>
    <row r="1379">
      <c r="A1379" s="7" t="n"/>
      <c r="B1379" s="7" t="n"/>
      <c r="C1379" s="7" t="n"/>
      <c r="D1379" s="8" t="n"/>
      <c r="E1379" s="7" t="n"/>
      <c r="F1379" s="7" t="n"/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9">
        <f>IF(A1379="","",A1379&amp;"|"&amp;COUNTIF($A$2:A1379,A1379))</f>
        <v/>
      </c>
    </row>
    <row r="1380">
      <c r="A1380" s="7" t="n"/>
      <c r="B1380" s="7" t="n"/>
      <c r="C1380" s="7" t="n"/>
      <c r="D1380" s="8" t="n"/>
      <c r="E1380" s="7" t="n"/>
      <c r="F1380" s="7" t="n"/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7" t="n"/>
      <c r="Z1380" s="7" t="n"/>
      <c r="AA1380" s="9">
        <f>IF(A1380="","",A1380&amp;"|"&amp;COUNTIF($A$2:A1380,A1380))</f>
        <v/>
      </c>
    </row>
    <row r="1381">
      <c r="A1381" s="7" t="n"/>
      <c r="B1381" s="7" t="n"/>
      <c r="C1381" s="7" t="n"/>
      <c r="D1381" s="8" t="n"/>
      <c r="E1381" s="7" t="n"/>
      <c r="F1381" s="7" t="n"/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9">
        <f>IF(A1381="","",A1381&amp;"|"&amp;COUNTIF($A$2:A1381,A1381))</f>
        <v/>
      </c>
    </row>
    <row r="1382">
      <c r="A1382" s="7" t="n"/>
      <c r="B1382" s="7" t="n"/>
      <c r="C1382" s="7" t="n"/>
      <c r="D1382" s="8" t="n"/>
      <c r="E1382" s="7" t="n"/>
      <c r="F1382" s="7" t="n"/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  <c r="Y1382" s="7" t="n"/>
      <c r="Z1382" s="7" t="n"/>
      <c r="AA1382" s="9">
        <f>IF(A1382="","",A1382&amp;"|"&amp;COUNTIF($A$2:A1382,A1382))</f>
        <v/>
      </c>
    </row>
    <row r="1383">
      <c r="A1383" s="7" t="n"/>
      <c r="B1383" s="7" t="n"/>
      <c r="C1383" s="7" t="n"/>
      <c r="D1383" s="8" t="n"/>
      <c r="E1383" s="7" t="n"/>
      <c r="F1383" s="7" t="n"/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9">
        <f>IF(A1383="","",A1383&amp;"|"&amp;COUNTIF($A$2:A1383,A1383))</f>
        <v/>
      </c>
    </row>
    <row r="1384">
      <c r="A1384" s="7" t="n"/>
      <c r="B1384" s="7" t="n"/>
      <c r="C1384" s="7" t="n"/>
      <c r="D1384" s="8" t="n"/>
      <c r="E1384" s="7" t="n"/>
      <c r="F1384" s="7" t="n"/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  <c r="Y1384" s="7" t="n"/>
      <c r="Z1384" s="7" t="n"/>
      <c r="AA1384" s="9">
        <f>IF(A1384="","",A1384&amp;"|"&amp;COUNTIF($A$2:A1384,A1384))</f>
        <v/>
      </c>
    </row>
    <row r="1385">
      <c r="A1385" s="7" t="n"/>
      <c r="B1385" s="7" t="n"/>
      <c r="C1385" s="7" t="n"/>
      <c r="D1385" s="8" t="n"/>
      <c r="E1385" s="7" t="n"/>
      <c r="F1385" s="7" t="n"/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9">
        <f>IF(A1385="","",A1385&amp;"|"&amp;COUNTIF($A$2:A1385,A1385))</f>
        <v/>
      </c>
    </row>
    <row r="1386">
      <c r="A1386" s="7" t="n"/>
      <c r="B1386" s="7" t="n"/>
      <c r="C1386" s="7" t="n"/>
      <c r="D1386" s="8" t="n"/>
      <c r="E1386" s="7" t="n"/>
      <c r="F1386" s="7" t="n"/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9">
        <f>IF(A1386="","",A1386&amp;"|"&amp;COUNTIF($A$2:A1386,A1386))</f>
        <v/>
      </c>
    </row>
    <row r="1387">
      <c r="A1387" s="7" t="n"/>
      <c r="B1387" s="7" t="n"/>
      <c r="C1387" s="7" t="n"/>
      <c r="D1387" s="8" t="n"/>
      <c r="E1387" s="7" t="n"/>
      <c r="F1387" s="7" t="n"/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9">
        <f>IF(A1387="","",A1387&amp;"|"&amp;COUNTIF($A$2:A1387,A1387))</f>
        <v/>
      </c>
    </row>
    <row r="1388">
      <c r="A1388" s="7" t="n"/>
      <c r="B1388" s="7" t="n"/>
      <c r="C1388" s="7" t="n"/>
      <c r="D1388" s="8" t="n"/>
      <c r="E1388" s="7" t="n"/>
      <c r="F1388" s="7" t="n"/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9">
        <f>IF(A1388="","",A1388&amp;"|"&amp;COUNTIF($A$2:A1388,A1388))</f>
        <v/>
      </c>
    </row>
    <row r="1389">
      <c r="A1389" s="7" t="n"/>
      <c r="B1389" s="7" t="n"/>
      <c r="C1389" s="7" t="n"/>
      <c r="D1389" s="8" t="n"/>
      <c r="E1389" s="7" t="n"/>
      <c r="F1389" s="7" t="n"/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9">
        <f>IF(A1389="","",A1389&amp;"|"&amp;COUNTIF($A$2:A1389,A1389))</f>
        <v/>
      </c>
    </row>
    <row r="1390">
      <c r="A1390" s="7" t="n"/>
      <c r="B1390" s="7" t="n"/>
      <c r="C1390" s="7" t="n"/>
      <c r="D1390" s="8" t="n"/>
      <c r="E1390" s="7" t="n"/>
      <c r="F1390" s="7" t="n"/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9">
        <f>IF(A1390="","",A1390&amp;"|"&amp;COUNTIF($A$2:A1390,A1390))</f>
        <v/>
      </c>
    </row>
    <row r="1391">
      <c r="A1391" s="7" t="n"/>
      <c r="B1391" s="7" t="n"/>
      <c r="C1391" s="7" t="n"/>
      <c r="D1391" s="8" t="n"/>
      <c r="E1391" s="7" t="n"/>
      <c r="F1391" s="7" t="n"/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9">
        <f>IF(A1391="","",A1391&amp;"|"&amp;COUNTIF($A$2:A1391,A1391))</f>
        <v/>
      </c>
    </row>
    <row r="1392">
      <c r="A1392" s="7" t="n"/>
      <c r="B1392" s="7" t="n"/>
      <c r="C1392" s="7" t="n"/>
      <c r="D1392" s="8" t="n"/>
      <c r="E1392" s="7" t="n"/>
      <c r="F1392" s="7" t="n"/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9">
        <f>IF(A1392="","",A1392&amp;"|"&amp;COUNTIF($A$2:A1392,A1392))</f>
        <v/>
      </c>
    </row>
    <row r="1393">
      <c r="A1393" s="7" t="n"/>
      <c r="B1393" s="7" t="n"/>
      <c r="C1393" s="7" t="n"/>
      <c r="D1393" s="8" t="n"/>
      <c r="E1393" s="7" t="n"/>
      <c r="F1393" s="7" t="n"/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9">
        <f>IF(A1393="","",A1393&amp;"|"&amp;COUNTIF($A$2:A1393,A1393))</f>
        <v/>
      </c>
    </row>
    <row r="1394">
      <c r="A1394" s="7" t="n"/>
      <c r="B1394" s="7" t="n"/>
      <c r="C1394" s="7" t="n"/>
      <c r="D1394" s="8" t="n"/>
      <c r="E1394" s="7" t="n"/>
      <c r="F1394" s="7" t="n"/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9">
        <f>IF(A1394="","",A1394&amp;"|"&amp;COUNTIF($A$2:A1394,A1394))</f>
        <v/>
      </c>
    </row>
    <row r="1395">
      <c r="A1395" s="7" t="n"/>
      <c r="B1395" s="7" t="n"/>
      <c r="C1395" s="7" t="n"/>
      <c r="D1395" s="8" t="n"/>
      <c r="E1395" s="7" t="n"/>
      <c r="F1395" s="7" t="n"/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9">
        <f>IF(A1395="","",A1395&amp;"|"&amp;COUNTIF($A$2:A1395,A1395))</f>
        <v/>
      </c>
    </row>
    <row r="1396">
      <c r="A1396" s="7" t="n"/>
      <c r="B1396" s="7" t="n"/>
      <c r="C1396" s="7" t="n"/>
      <c r="D1396" s="8" t="n"/>
      <c r="E1396" s="7" t="n"/>
      <c r="F1396" s="7" t="n"/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9">
        <f>IF(A1396="","",A1396&amp;"|"&amp;COUNTIF($A$2:A1396,A1396))</f>
        <v/>
      </c>
    </row>
    <row r="1397">
      <c r="A1397" s="7" t="n"/>
      <c r="B1397" s="7" t="n"/>
      <c r="C1397" s="7" t="n"/>
      <c r="D1397" s="8" t="n"/>
      <c r="E1397" s="7" t="n"/>
      <c r="F1397" s="7" t="n"/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9">
        <f>IF(A1397="","",A1397&amp;"|"&amp;COUNTIF($A$2:A1397,A1397))</f>
        <v/>
      </c>
    </row>
    <row r="1398">
      <c r="A1398" s="7" t="n"/>
      <c r="B1398" s="7" t="n"/>
      <c r="C1398" s="7" t="n"/>
      <c r="D1398" s="8" t="n"/>
      <c r="E1398" s="7" t="n"/>
      <c r="F1398" s="7" t="n"/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9">
        <f>IF(A1398="","",A1398&amp;"|"&amp;COUNTIF($A$2:A1398,A1398))</f>
        <v/>
      </c>
    </row>
    <row r="1399">
      <c r="A1399" s="7" t="n"/>
      <c r="B1399" s="7" t="n"/>
      <c r="C1399" s="7" t="n"/>
      <c r="D1399" s="8" t="n"/>
      <c r="E1399" s="7" t="n"/>
      <c r="F1399" s="7" t="n"/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9">
        <f>IF(A1399="","",A1399&amp;"|"&amp;COUNTIF($A$2:A1399,A1399))</f>
        <v/>
      </c>
    </row>
    <row r="1400">
      <c r="A1400" s="7" t="n"/>
      <c r="B1400" s="7" t="n"/>
      <c r="C1400" s="7" t="n"/>
      <c r="D1400" s="8" t="n"/>
      <c r="E1400" s="7" t="n"/>
      <c r="F1400" s="7" t="n"/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9">
        <f>IF(A1400="","",A1400&amp;"|"&amp;COUNTIF($A$2:A1400,A1400))</f>
        <v/>
      </c>
    </row>
    <row r="1401">
      <c r="A1401" s="7" t="n"/>
      <c r="B1401" s="7" t="n"/>
      <c r="C1401" s="7" t="n"/>
      <c r="D1401" s="8" t="n"/>
      <c r="E1401" s="7" t="n"/>
      <c r="F1401" s="7" t="n"/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9">
        <f>IF(A1401="","",A1401&amp;"|"&amp;COUNTIF($A$2:A1401,A1401))</f>
        <v/>
      </c>
    </row>
    <row r="1402">
      <c r="A1402" s="7" t="n"/>
      <c r="B1402" s="7" t="n"/>
      <c r="C1402" s="7" t="n"/>
      <c r="D1402" s="8" t="n"/>
      <c r="E1402" s="7" t="n"/>
      <c r="F1402" s="7" t="n"/>
      <c r="G1402" s="7" t="n"/>
      <c r="H1402" s="7" t="n"/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  <c r="Y1402" s="7" t="n"/>
      <c r="Z1402" s="7" t="n"/>
      <c r="AA1402" s="9">
        <f>IF(A1402="","",A1402&amp;"|"&amp;COUNTIF($A$2:A1402,A1402))</f>
        <v/>
      </c>
    </row>
    <row r="1403">
      <c r="A1403" s="7" t="n"/>
      <c r="B1403" s="7" t="n"/>
      <c r="C1403" s="7" t="n"/>
      <c r="D1403" s="8" t="n"/>
      <c r="E1403" s="7" t="n"/>
      <c r="F1403" s="7" t="n"/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9">
        <f>IF(A1403="","",A1403&amp;"|"&amp;COUNTIF($A$2:A1403,A1403))</f>
        <v/>
      </c>
    </row>
    <row r="1404">
      <c r="A1404" s="7" t="n"/>
      <c r="B1404" s="7" t="n"/>
      <c r="C1404" s="7" t="n"/>
      <c r="D1404" s="8" t="n"/>
      <c r="E1404" s="7" t="n"/>
      <c r="F1404" s="7" t="n"/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9">
        <f>IF(A1404="","",A1404&amp;"|"&amp;COUNTIF($A$2:A1404,A1404))</f>
        <v/>
      </c>
    </row>
    <row r="1405">
      <c r="A1405" s="7" t="n"/>
      <c r="B1405" s="7" t="n"/>
      <c r="C1405" s="7" t="n"/>
      <c r="D1405" s="8" t="n"/>
      <c r="E1405" s="7" t="n"/>
      <c r="F1405" s="7" t="n"/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9">
        <f>IF(A1405="","",A1405&amp;"|"&amp;COUNTIF($A$2:A1405,A1405))</f>
        <v/>
      </c>
    </row>
    <row r="1406">
      <c r="A1406" s="7" t="n"/>
      <c r="B1406" s="7" t="n"/>
      <c r="C1406" s="7" t="n"/>
      <c r="D1406" s="8" t="n"/>
      <c r="E1406" s="7" t="n"/>
      <c r="F1406" s="7" t="n"/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9">
        <f>IF(A1406="","",A1406&amp;"|"&amp;COUNTIF($A$2:A1406,A1406))</f>
        <v/>
      </c>
    </row>
    <row r="1407">
      <c r="A1407" s="7" t="n"/>
      <c r="B1407" s="7" t="n"/>
      <c r="C1407" s="7" t="n"/>
      <c r="D1407" s="8" t="n"/>
      <c r="E1407" s="7" t="n"/>
      <c r="F1407" s="7" t="n"/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9">
        <f>IF(A1407="","",A1407&amp;"|"&amp;COUNTIF($A$2:A1407,A1407))</f>
        <v/>
      </c>
    </row>
    <row r="1408">
      <c r="A1408" s="7" t="n"/>
      <c r="B1408" s="7" t="n"/>
      <c r="C1408" s="7" t="n"/>
      <c r="D1408" s="8" t="n"/>
      <c r="E1408" s="7" t="n"/>
      <c r="F1408" s="7" t="n"/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9">
        <f>IF(A1408="","",A1408&amp;"|"&amp;COUNTIF($A$2:A1408,A1408))</f>
        <v/>
      </c>
    </row>
    <row r="1409">
      <c r="A1409" s="7" t="n"/>
      <c r="B1409" s="7" t="n"/>
      <c r="C1409" s="7" t="n"/>
      <c r="D1409" s="8" t="n"/>
      <c r="E1409" s="7" t="n"/>
      <c r="F1409" s="7" t="n"/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9">
        <f>IF(A1409="","",A1409&amp;"|"&amp;COUNTIF($A$2:A1409,A1409))</f>
        <v/>
      </c>
    </row>
    <row r="1410">
      <c r="A1410" s="7" t="n"/>
      <c r="B1410" s="7" t="n"/>
      <c r="C1410" s="7" t="n"/>
      <c r="D1410" s="8" t="n"/>
      <c r="E1410" s="7" t="n"/>
      <c r="F1410" s="7" t="n"/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9">
        <f>IF(A1410="","",A1410&amp;"|"&amp;COUNTIF($A$2:A1410,A1410))</f>
        <v/>
      </c>
    </row>
    <row r="1411">
      <c r="A1411" s="7" t="n"/>
      <c r="B1411" s="7" t="n"/>
      <c r="C1411" s="7" t="n"/>
      <c r="D1411" s="8" t="n"/>
      <c r="E1411" s="7" t="n"/>
      <c r="F1411" s="7" t="n"/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9">
        <f>IF(A1411="","",A1411&amp;"|"&amp;COUNTIF($A$2:A1411,A1411))</f>
        <v/>
      </c>
    </row>
    <row r="1412">
      <c r="A1412" s="7" t="n"/>
      <c r="B1412" s="7" t="n"/>
      <c r="C1412" s="7" t="n"/>
      <c r="D1412" s="8" t="n"/>
      <c r="E1412" s="7" t="n"/>
      <c r="F1412" s="7" t="n"/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9">
        <f>IF(A1412="","",A1412&amp;"|"&amp;COUNTIF($A$2:A1412,A1412))</f>
        <v/>
      </c>
    </row>
    <row r="1413">
      <c r="A1413" s="7" t="n"/>
      <c r="B1413" s="7" t="n"/>
      <c r="C1413" s="7" t="n"/>
      <c r="D1413" s="8" t="n"/>
      <c r="E1413" s="7" t="n"/>
      <c r="F1413" s="7" t="n"/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9">
        <f>IF(A1413="","",A1413&amp;"|"&amp;COUNTIF($A$2:A1413,A1413))</f>
        <v/>
      </c>
    </row>
    <row r="1414">
      <c r="A1414" s="7" t="n"/>
      <c r="B1414" s="7" t="n"/>
      <c r="C1414" s="7" t="n"/>
      <c r="D1414" s="8" t="n"/>
      <c r="E1414" s="7" t="n"/>
      <c r="F1414" s="7" t="n"/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9">
        <f>IF(A1414="","",A1414&amp;"|"&amp;COUNTIF($A$2:A1414,A1414))</f>
        <v/>
      </c>
    </row>
    <row r="1415">
      <c r="A1415" s="7" t="n"/>
      <c r="B1415" s="7" t="n"/>
      <c r="C1415" s="7" t="n"/>
      <c r="D1415" s="8" t="n"/>
      <c r="E1415" s="7" t="n"/>
      <c r="F1415" s="7" t="n"/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9">
        <f>IF(A1415="","",A1415&amp;"|"&amp;COUNTIF($A$2:A1415,A1415))</f>
        <v/>
      </c>
    </row>
    <row r="1416">
      <c r="A1416" s="7" t="n"/>
      <c r="B1416" s="7" t="n"/>
      <c r="C1416" s="7" t="n"/>
      <c r="D1416" s="8" t="n"/>
      <c r="E1416" s="7" t="n"/>
      <c r="F1416" s="7" t="n"/>
      <c r="G1416" s="7" t="n"/>
      <c r="H1416" s="7" t="n"/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  <c r="Y1416" s="7" t="n"/>
      <c r="Z1416" s="7" t="n"/>
      <c r="AA1416" s="9">
        <f>IF(A1416="","",A1416&amp;"|"&amp;COUNTIF($A$2:A1416,A1416))</f>
        <v/>
      </c>
    </row>
    <row r="1417">
      <c r="A1417" s="7" t="n"/>
      <c r="B1417" s="7" t="n"/>
      <c r="C1417" s="7" t="n"/>
      <c r="D1417" s="8" t="n"/>
      <c r="E1417" s="7" t="n"/>
      <c r="F1417" s="7" t="n"/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9">
        <f>IF(A1417="","",A1417&amp;"|"&amp;COUNTIF($A$2:A1417,A1417))</f>
        <v/>
      </c>
    </row>
    <row r="1418">
      <c r="A1418" s="7" t="n"/>
      <c r="B1418" s="7" t="n"/>
      <c r="C1418" s="7" t="n"/>
      <c r="D1418" s="8" t="n"/>
      <c r="E1418" s="7" t="n"/>
      <c r="F1418" s="7" t="n"/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9">
        <f>IF(A1418="","",A1418&amp;"|"&amp;COUNTIF($A$2:A1418,A1418))</f>
        <v/>
      </c>
    </row>
    <row r="1419">
      <c r="A1419" s="7" t="n"/>
      <c r="B1419" s="7" t="n"/>
      <c r="C1419" s="7" t="n"/>
      <c r="D1419" s="8" t="n"/>
      <c r="E1419" s="7" t="n"/>
      <c r="F1419" s="7" t="n"/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9">
        <f>IF(A1419="","",A1419&amp;"|"&amp;COUNTIF($A$2:A1419,A1419))</f>
        <v/>
      </c>
    </row>
    <row r="1420">
      <c r="A1420" s="7" t="n"/>
      <c r="B1420" s="7" t="n"/>
      <c r="C1420" s="7" t="n"/>
      <c r="D1420" s="8" t="n"/>
      <c r="E1420" s="7" t="n"/>
      <c r="F1420" s="7" t="n"/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9">
        <f>IF(A1420="","",A1420&amp;"|"&amp;COUNTIF($A$2:A1420,A1420))</f>
        <v/>
      </c>
    </row>
    <row r="1421">
      <c r="A1421" s="7" t="n"/>
      <c r="B1421" s="7" t="n"/>
      <c r="C1421" s="7" t="n"/>
      <c r="D1421" s="8" t="n"/>
      <c r="E1421" s="7" t="n"/>
      <c r="F1421" s="7" t="n"/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9">
        <f>IF(A1421="","",A1421&amp;"|"&amp;COUNTIF($A$2:A1421,A1421))</f>
        <v/>
      </c>
    </row>
    <row r="1422">
      <c r="A1422" s="7" t="n"/>
      <c r="B1422" s="7" t="n"/>
      <c r="C1422" s="7" t="n"/>
      <c r="D1422" s="8" t="n"/>
      <c r="E1422" s="7" t="n"/>
      <c r="F1422" s="7" t="n"/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9">
        <f>IF(A1422="","",A1422&amp;"|"&amp;COUNTIF($A$2:A1422,A1422))</f>
        <v/>
      </c>
    </row>
    <row r="1423">
      <c r="A1423" s="7" t="n"/>
      <c r="B1423" s="7" t="n"/>
      <c r="C1423" s="7" t="n"/>
      <c r="D1423" s="8" t="n"/>
      <c r="E1423" s="7" t="n"/>
      <c r="F1423" s="7" t="n"/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9">
        <f>IF(A1423="","",A1423&amp;"|"&amp;COUNTIF($A$2:A1423,A1423))</f>
        <v/>
      </c>
    </row>
    <row r="1424">
      <c r="A1424" s="7" t="n"/>
      <c r="B1424" s="7" t="n"/>
      <c r="C1424" s="7" t="n"/>
      <c r="D1424" s="8" t="n"/>
      <c r="E1424" s="7" t="n"/>
      <c r="F1424" s="7" t="n"/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9">
        <f>IF(A1424="","",A1424&amp;"|"&amp;COUNTIF($A$2:A1424,A1424))</f>
        <v/>
      </c>
    </row>
    <row r="1425">
      <c r="A1425" s="7" t="n"/>
      <c r="B1425" s="7" t="n"/>
      <c r="C1425" s="7" t="n"/>
      <c r="D1425" s="8" t="n"/>
      <c r="E1425" s="7" t="n"/>
      <c r="F1425" s="7" t="n"/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9">
        <f>IF(A1425="","",A1425&amp;"|"&amp;COUNTIF($A$2:A1425,A1425))</f>
        <v/>
      </c>
    </row>
    <row r="1426">
      <c r="A1426" s="7" t="n"/>
      <c r="B1426" s="7" t="n"/>
      <c r="C1426" s="7" t="n"/>
      <c r="D1426" s="8" t="n"/>
      <c r="E1426" s="7" t="n"/>
      <c r="F1426" s="7" t="n"/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9">
        <f>IF(A1426="","",A1426&amp;"|"&amp;COUNTIF($A$2:A1426,A1426))</f>
        <v/>
      </c>
    </row>
    <row r="1427">
      <c r="A1427" s="7" t="n"/>
      <c r="B1427" s="7" t="n"/>
      <c r="C1427" s="7" t="n"/>
      <c r="D1427" s="8" t="n"/>
      <c r="E1427" s="7" t="n"/>
      <c r="F1427" s="7" t="n"/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9">
        <f>IF(A1427="","",A1427&amp;"|"&amp;COUNTIF($A$2:A1427,A1427))</f>
        <v/>
      </c>
    </row>
    <row r="1428">
      <c r="A1428" s="7" t="n"/>
      <c r="B1428" s="7" t="n"/>
      <c r="C1428" s="7" t="n"/>
      <c r="D1428" s="8" t="n"/>
      <c r="E1428" s="7" t="n"/>
      <c r="F1428" s="7" t="n"/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9">
        <f>IF(A1428="","",A1428&amp;"|"&amp;COUNTIF($A$2:A1428,A1428))</f>
        <v/>
      </c>
    </row>
    <row r="1429">
      <c r="A1429" s="7" t="n"/>
      <c r="B1429" s="7" t="n"/>
      <c r="C1429" s="7" t="n"/>
      <c r="D1429" s="8" t="n"/>
      <c r="E1429" s="7" t="n"/>
      <c r="F1429" s="7" t="n"/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9">
        <f>IF(A1429="","",A1429&amp;"|"&amp;COUNTIF($A$2:A1429,A1429))</f>
        <v/>
      </c>
    </row>
    <row r="1430">
      <c r="A1430" s="7" t="n"/>
      <c r="B1430" s="7" t="n"/>
      <c r="C1430" s="7" t="n"/>
      <c r="D1430" s="8" t="n"/>
      <c r="E1430" s="7" t="n"/>
      <c r="F1430" s="7" t="n"/>
      <c r="G1430" s="7" t="n"/>
      <c r="H1430" s="7" t="n"/>
      <c r="I1430" s="7" t="n"/>
      <c r="J1430" s="7" t="n"/>
      <c r="K1430" s="7" t="n"/>
      <c r="L1430" s="7" t="n"/>
      <c r="M1430" s="7" t="n"/>
      <c r="N1430" s="7" t="n"/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  <c r="Y1430" s="7" t="n"/>
      <c r="Z1430" s="7" t="n"/>
      <c r="AA1430" s="9">
        <f>IF(A1430="","",A1430&amp;"|"&amp;COUNTIF($A$2:A1430,A1430))</f>
        <v/>
      </c>
    </row>
    <row r="1431">
      <c r="A1431" s="7" t="n"/>
      <c r="B1431" s="7" t="n"/>
      <c r="C1431" s="7" t="n"/>
      <c r="D1431" s="8" t="n"/>
      <c r="E1431" s="7" t="n"/>
      <c r="F1431" s="7" t="n"/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9">
        <f>IF(A1431="","",A1431&amp;"|"&amp;COUNTIF($A$2:A1431,A1431))</f>
        <v/>
      </c>
    </row>
    <row r="1432">
      <c r="A1432" s="7" t="n"/>
      <c r="B1432" s="7" t="n"/>
      <c r="C1432" s="7" t="n"/>
      <c r="D1432" s="8" t="n"/>
      <c r="E1432" s="7" t="n"/>
      <c r="F1432" s="7" t="n"/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9">
        <f>IF(A1432="","",A1432&amp;"|"&amp;COUNTIF($A$2:A1432,A1432))</f>
        <v/>
      </c>
    </row>
    <row r="1433">
      <c r="A1433" s="7" t="n"/>
      <c r="B1433" s="7" t="n"/>
      <c r="C1433" s="7" t="n"/>
      <c r="D1433" s="8" t="n"/>
      <c r="E1433" s="7" t="n"/>
      <c r="F1433" s="7" t="n"/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9">
        <f>IF(A1433="","",A1433&amp;"|"&amp;COUNTIF($A$2:A1433,A1433))</f>
        <v/>
      </c>
    </row>
    <row r="1434">
      <c r="A1434" s="7" t="n"/>
      <c r="B1434" s="7" t="n"/>
      <c r="C1434" s="7" t="n"/>
      <c r="D1434" s="8" t="n"/>
      <c r="E1434" s="7" t="n"/>
      <c r="F1434" s="7" t="n"/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9">
        <f>IF(A1434="","",A1434&amp;"|"&amp;COUNTIF($A$2:A1434,A1434))</f>
        <v/>
      </c>
    </row>
    <row r="1435">
      <c r="A1435" s="7" t="n"/>
      <c r="B1435" s="7" t="n"/>
      <c r="C1435" s="7" t="n"/>
      <c r="D1435" s="8" t="n"/>
      <c r="E1435" s="7" t="n"/>
      <c r="F1435" s="7" t="n"/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9">
        <f>IF(A1435="","",A1435&amp;"|"&amp;COUNTIF($A$2:A1435,A1435))</f>
        <v/>
      </c>
    </row>
    <row r="1436">
      <c r="A1436" s="7" t="n"/>
      <c r="B1436" s="7" t="n"/>
      <c r="C1436" s="7" t="n"/>
      <c r="D1436" s="8" t="n"/>
      <c r="E1436" s="7" t="n"/>
      <c r="F1436" s="7" t="n"/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9">
        <f>IF(A1436="","",A1436&amp;"|"&amp;COUNTIF($A$2:A1436,A1436))</f>
        <v/>
      </c>
    </row>
    <row r="1437">
      <c r="A1437" s="7" t="n"/>
      <c r="B1437" s="7" t="n"/>
      <c r="C1437" s="7" t="n"/>
      <c r="D1437" s="8" t="n"/>
      <c r="E1437" s="7" t="n"/>
      <c r="F1437" s="7" t="n"/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9">
        <f>IF(A1437="","",A1437&amp;"|"&amp;COUNTIF($A$2:A1437,A1437))</f>
        <v/>
      </c>
    </row>
    <row r="1438">
      <c r="A1438" s="7" t="n"/>
      <c r="B1438" s="7" t="n"/>
      <c r="C1438" s="7" t="n"/>
      <c r="D1438" s="8" t="n"/>
      <c r="E1438" s="7" t="n"/>
      <c r="F1438" s="7" t="n"/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9">
        <f>IF(A1438="","",A1438&amp;"|"&amp;COUNTIF($A$2:A1438,A1438))</f>
        <v/>
      </c>
    </row>
    <row r="1439">
      <c r="A1439" s="7" t="n"/>
      <c r="B1439" s="7" t="n"/>
      <c r="C1439" s="7" t="n"/>
      <c r="D1439" s="8" t="n"/>
      <c r="E1439" s="7" t="n"/>
      <c r="F1439" s="7" t="n"/>
      <c r="G1439" s="7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9">
        <f>IF(A1439="","",A1439&amp;"|"&amp;COUNTIF($A$2:A1439,A1439))</f>
        <v/>
      </c>
    </row>
    <row r="1440">
      <c r="A1440" s="7" t="n"/>
      <c r="B1440" s="7" t="n"/>
      <c r="C1440" s="7" t="n"/>
      <c r="D1440" s="8" t="n"/>
      <c r="E1440" s="7" t="n"/>
      <c r="F1440" s="7" t="n"/>
      <c r="G1440" s="7" t="n"/>
      <c r="H1440" s="7" t="n"/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9">
        <f>IF(A1440="","",A1440&amp;"|"&amp;COUNTIF($A$2:A1440,A1440))</f>
        <v/>
      </c>
    </row>
    <row r="1441">
      <c r="A1441" s="7" t="n"/>
      <c r="B1441" s="7" t="n"/>
      <c r="C1441" s="7" t="n"/>
      <c r="D1441" s="8" t="n"/>
      <c r="E1441" s="7" t="n"/>
      <c r="F1441" s="7" t="n"/>
      <c r="G1441" s="7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9">
        <f>IF(A1441="","",A1441&amp;"|"&amp;COUNTIF($A$2:A1441,A1441))</f>
        <v/>
      </c>
    </row>
    <row r="1442">
      <c r="A1442" s="7" t="n"/>
      <c r="B1442" s="7" t="n"/>
      <c r="C1442" s="7" t="n"/>
      <c r="D1442" s="8" t="n"/>
      <c r="E1442" s="7" t="n"/>
      <c r="F1442" s="7" t="n"/>
      <c r="G1442" s="7" t="n"/>
      <c r="H1442" s="7" t="n"/>
      <c r="I1442" s="7" t="n"/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S1442" s="7" t="n"/>
      <c r="T1442" s="7" t="n"/>
      <c r="U1442" s="7" t="n"/>
      <c r="V1442" s="7" t="n"/>
      <c r="W1442" s="7" t="n"/>
      <c r="X1442" s="7" t="n"/>
      <c r="Y1442" s="7" t="n"/>
      <c r="Z1442" s="7" t="n"/>
      <c r="AA1442" s="9">
        <f>IF(A1442="","",A1442&amp;"|"&amp;COUNTIF($A$2:A1442,A1442))</f>
        <v/>
      </c>
    </row>
    <row r="1443">
      <c r="A1443" s="7" t="n"/>
      <c r="B1443" s="7" t="n"/>
      <c r="C1443" s="7" t="n"/>
      <c r="D1443" s="8" t="n"/>
      <c r="E1443" s="7" t="n"/>
      <c r="F1443" s="7" t="n"/>
      <c r="G1443" s="7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9">
        <f>IF(A1443="","",A1443&amp;"|"&amp;COUNTIF($A$2:A1443,A1443))</f>
        <v/>
      </c>
    </row>
    <row r="1444">
      <c r="A1444" s="7" t="n"/>
      <c r="B1444" s="7" t="n"/>
      <c r="C1444" s="7" t="n"/>
      <c r="D1444" s="8" t="n"/>
      <c r="E1444" s="7" t="n"/>
      <c r="F1444" s="7" t="n"/>
      <c r="G1444" s="7" t="n"/>
      <c r="H1444" s="7" t="n"/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/>
      <c r="S1444" s="7" t="n"/>
      <c r="T1444" s="7" t="n"/>
      <c r="U1444" s="7" t="n"/>
      <c r="V1444" s="7" t="n"/>
      <c r="W1444" s="7" t="n"/>
      <c r="X1444" s="7" t="n"/>
      <c r="Y1444" s="7" t="n"/>
      <c r="Z1444" s="7" t="n"/>
      <c r="AA1444" s="9">
        <f>IF(A1444="","",A1444&amp;"|"&amp;COUNTIF($A$2:A1444,A1444))</f>
        <v/>
      </c>
    </row>
    <row r="1445">
      <c r="A1445" s="7" t="n"/>
      <c r="B1445" s="7" t="n"/>
      <c r="C1445" s="7" t="n"/>
      <c r="D1445" s="8" t="n"/>
      <c r="E1445" s="7" t="n"/>
      <c r="F1445" s="7" t="n"/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9">
        <f>IF(A1445="","",A1445&amp;"|"&amp;COUNTIF($A$2:A1445,A1445))</f>
        <v/>
      </c>
    </row>
    <row r="1446">
      <c r="A1446" s="7" t="n"/>
      <c r="B1446" s="7" t="n"/>
      <c r="C1446" s="7" t="n"/>
      <c r="D1446" s="8" t="n"/>
      <c r="E1446" s="7" t="n"/>
      <c r="F1446" s="7" t="n"/>
      <c r="G1446" s="7" t="n"/>
      <c r="H1446" s="7" t="n"/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S1446" s="7" t="n"/>
      <c r="T1446" s="7" t="n"/>
      <c r="U1446" s="7" t="n"/>
      <c r="V1446" s="7" t="n"/>
      <c r="W1446" s="7" t="n"/>
      <c r="X1446" s="7" t="n"/>
      <c r="Y1446" s="7" t="n"/>
      <c r="Z1446" s="7" t="n"/>
      <c r="AA1446" s="9">
        <f>IF(A1446="","",A1446&amp;"|"&amp;COUNTIF($A$2:A1446,A1446))</f>
        <v/>
      </c>
    </row>
    <row r="1447">
      <c r="A1447" s="7" t="n"/>
      <c r="B1447" s="7" t="n"/>
      <c r="C1447" s="7" t="n"/>
      <c r="D1447" s="8" t="n"/>
      <c r="E1447" s="7" t="n"/>
      <c r="F1447" s="7" t="n"/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9">
        <f>IF(A1447="","",A1447&amp;"|"&amp;COUNTIF($A$2:A1447,A1447))</f>
        <v/>
      </c>
    </row>
    <row r="1448">
      <c r="A1448" s="7" t="n"/>
      <c r="B1448" s="7" t="n"/>
      <c r="C1448" s="7" t="n"/>
      <c r="D1448" s="8" t="n"/>
      <c r="E1448" s="7" t="n"/>
      <c r="F1448" s="7" t="n"/>
      <c r="G1448" s="7" t="n"/>
      <c r="H1448" s="7" t="n"/>
      <c r="I1448" s="7" t="n"/>
      <c r="J1448" s="7" t="n"/>
      <c r="K1448" s="7" t="n"/>
      <c r="L1448" s="7" t="n"/>
      <c r="M1448" s="7" t="n"/>
      <c r="N1448" s="7" t="n"/>
      <c r="O1448" s="7" t="n"/>
      <c r="P1448" s="7" t="n"/>
      <c r="Q1448" s="7" t="n"/>
      <c r="R1448" s="7" t="n"/>
      <c r="S1448" s="7" t="n"/>
      <c r="T1448" s="7" t="n"/>
      <c r="U1448" s="7" t="n"/>
      <c r="V1448" s="7" t="n"/>
      <c r="W1448" s="7" t="n"/>
      <c r="X1448" s="7" t="n"/>
      <c r="Y1448" s="7" t="n"/>
      <c r="Z1448" s="7" t="n"/>
      <c r="AA1448" s="9">
        <f>IF(A1448="","",A1448&amp;"|"&amp;COUNTIF($A$2:A1448,A1448))</f>
        <v/>
      </c>
    </row>
    <row r="1449">
      <c r="A1449" s="7" t="n"/>
      <c r="B1449" s="7" t="n"/>
      <c r="C1449" s="7" t="n"/>
      <c r="D1449" s="8" t="n"/>
      <c r="E1449" s="7" t="n"/>
      <c r="F1449" s="7" t="n"/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9">
        <f>IF(A1449="","",A1449&amp;"|"&amp;COUNTIF($A$2:A1449,A1449))</f>
        <v/>
      </c>
    </row>
    <row r="1450">
      <c r="A1450" s="7" t="n"/>
      <c r="B1450" s="7" t="n"/>
      <c r="C1450" s="7" t="n"/>
      <c r="D1450" s="8" t="n"/>
      <c r="E1450" s="7" t="n"/>
      <c r="F1450" s="7" t="n"/>
      <c r="G1450" s="7" t="n"/>
      <c r="H1450" s="7" t="n"/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/>
      <c r="S1450" s="7" t="n"/>
      <c r="T1450" s="7" t="n"/>
      <c r="U1450" s="7" t="n"/>
      <c r="V1450" s="7" t="n"/>
      <c r="W1450" s="7" t="n"/>
      <c r="X1450" s="7" t="n"/>
      <c r="Y1450" s="7" t="n"/>
      <c r="Z1450" s="7" t="n"/>
      <c r="AA1450" s="9">
        <f>IF(A1450="","",A1450&amp;"|"&amp;COUNTIF($A$2:A1450,A1450))</f>
        <v/>
      </c>
    </row>
    <row r="1451">
      <c r="A1451" s="7" t="n"/>
      <c r="B1451" s="7" t="n"/>
      <c r="C1451" s="7" t="n"/>
      <c r="D1451" s="8" t="n"/>
      <c r="E1451" s="7" t="n"/>
      <c r="F1451" s="7" t="n"/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9">
        <f>IF(A1451="","",A1451&amp;"|"&amp;COUNTIF($A$2:A1451,A1451))</f>
        <v/>
      </c>
    </row>
    <row r="1452">
      <c r="A1452" s="7" t="n"/>
      <c r="B1452" s="7" t="n"/>
      <c r="C1452" s="7" t="n"/>
      <c r="D1452" s="8" t="n"/>
      <c r="E1452" s="7" t="n"/>
      <c r="F1452" s="7" t="n"/>
      <c r="G1452" s="7" t="n"/>
      <c r="H1452" s="7" t="n"/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/>
      <c r="S1452" s="7" t="n"/>
      <c r="T1452" s="7" t="n"/>
      <c r="U1452" s="7" t="n"/>
      <c r="V1452" s="7" t="n"/>
      <c r="W1452" s="7" t="n"/>
      <c r="X1452" s="7" t="n"/>
      <c r="Y1452" s="7" t="n"/>
      <c r="Z1452" s="7" t="n"/>
      <c r="AA1452" s="9">
        <f>IF(A1452="","",A1452&amp;"|"&amp;COUNTIF($A$2:A1452,A1452))</f>
        <v/>
      </c>
    </row>
    <row r="1453">
      <c r="A1453" s="7" t="n"/>
      <c r="B1453" s="7" t="n"/>
      <c r="C1453" s="7" t="n"/>
      <c r="D1453" s="8" t="n"/>
      <c r="E1453" s="7" t="n"/>
      <c r="F1453" s="7" t="n"/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9">
        <f>IF(A1453="","",A1453&amp;"|"&amp;COUNTIF($A$2:A1453,A1453))</f>
        <v/>
      </c>
    </row>
    <row r="1454">
      <c r="A1454" s="7" t="n"/>
      <c r="B1454" s="7" t="n"/>
      <c r="C1454" s="7" t="n"/>
      <c r="D1454" s="8" t="n"/>
      <c r="E1454" s="7" t="n"/>
      <c r="F1454" s="7" t="n"/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S1454" s="7" t="n"/>
      <c r="T1454" s="7" t="n"/>
      <c r="U1454" s="7" t="n"/>
      <c r="V1454" s="7" t="n"/>
      <c r="W1454" s="7" t="n"/>
      <c r="X1454" s="7" t="n"/>
      <c r="Y1454" s="7" t="n"/>
      <c r="Z1454" s="7" t="n"/>
      <c r="AA1454" s="9">
        <f>IF(A1454="","",A1454&amp;"|"&amp;COUNTIF($A$2:A1454,A1454))</f>
        <v/>
      </c>
    </row>
    <row r="1455">
      <c r="A1455" s="7" t="n"/>
      <c r="B1455" s="7" t="n"/>
      <c r="C1455" s="7" t="n"/>
      <c r="D1455" s="8" t="n"/>
      <c r="E1455" s="7" t="n"/>
      <c r="F1455" s="7" t="n"/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9">
        <f>IF(A1455="","",A1455&amp;"|"&amp;COUNTIF($A$2:A1455,A1455))</f>
        <v/>
      </c>
    </row>
    <row r="1456">
      <c r="A1456" s="7" t="n"/>
      <c r="B1456" s="7" t="n"/>
      <c r="C1456" s="7" t="n"/>
      <c r="D1456" s="8" t="n"/>
      <c r="E1456" s="7" t="n"/>
      <c r="F1456" s="7" t="n"/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/>
      <c r="S1456" s="7" t="n"/>
      <c r="T1456" s="7" t="n"/>
      <c r="U1456" s="7" t="n"/>
      <c r="V1456" s="7" t="n"/>
      <c r="W1456" s="7" t="n"/>
      <c r="X1456" s="7" t="n"/>
      <c r="Y1456" s="7" t="n"/>
      <c r="Z1456" s="7" t="n"/>
      <c r="AA1456" s="9">
        <f>IF(A1456="","",A1456&amp;"|"&amp;COUNTIF($A$2:A1456,A1456))</f>
        <v/>
      </c>
    </row>
    <row r="1457">
      <c r="A1457" s="7" t="n"/>
      <c r="B1457" s="7" t="n"/>
      <c r="C1457" s="7" t="n"/>
      <c r="D1457" s="8" t="n"/>
      <c r="E1457" s="7" t="n"/>
      <c r="F1457" s="7" t="n"/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9">
        <f>IF(A1457="","",A1457&amp;"|"&amp;COUNTIF($A$2:A1457,A1457))</f>
        <v/>
      </c>
    </row>
    <row r="1458">
      <c r="A1458" s="7" t="n"/>
      <c r="B1458" s="7" t="n"/>
      <c r="C1458" s="7" t="n"/>
      <c r="D1458" s="8" t="n"/>
      <c r="E1458" s="7" t="n"/>
      <c r="F1458" s="7" t="n"/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  <c r="P1458" s="7" t="n"/>
      <c r="Q1458" s="7" t="n"/>
      <c r="R1458" s="7" t="n"/>
      <c r="S1458" s="7" t="n"/>
      <c r="T1458" s="7" t="n"/>
      <c r="U1458" s="7" t="n"/>
      <c r="V1458" s="7" t="n"/>
      <c r="W1458" s="7" t="n"/>
      <c r="X1458" s="7" t="n"/>
      <c r="Y1458" s="7" t="n"/>
      <c r="Z1458" s="7" t="n"/>
      <c r="AA1458" s="9">
        <f>IF(A1458="","",A1458&amp;"|"&amp;COUNTIF($A$2:A1458,A1458))</f>
        <v/>
      </c>
    </row>
    <row r="1459">
      <c r="A1459" s="7" t="n"/>
      <c r="B1459" s="7" t="n"/>
      <c r="C1459" s="7" t="n"/>
      <c r="D1459" s="8" t="n"/>
      <c r="E1459" s="7" t="n"/>
      <c r="F1459" s="7" t="n"/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9">
        <f>IF(A1459="","",A1459&amp;"|"&amp;COUNTIF($A$2:A1459,A1459))</f>
        <v/>
      </c>
    </row>
    <row r="1460">
      <c r="A1460" s="7" t="n"/>
      <c r="B1460" s="7" t="n"/>
      <c r="C1460" s="7" t="n"/>
      <c r="D1460" s="8" t="n"/>
      <c r="E1460" s="7" t="n"/>
      <c r="F1460" s="7" t="n"/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S1460" s="7" t="n"/>
      <c r="T1460" s="7" t="n"/>
      <c r="U1460" s="7" t="n"/>
      <c r="V1460" s="7" t="n"/>
      <c r="W1460" s="7" t="n"/>
      <c r="X1460" s="7" t="n"/>
      <c r="Y1460" s="7" t="n"/>
      <c r="Z1460" s="7" t="n"/>
      <c r="AA1460" s="9">
        <f>IF(A1460="","",A1460&amp;"|"&amp;COUNTIF($A$2:A1460,A1460))</f>
        <v/>
      </c>
    </row>
    <row r="1461">
      <c r="A1461" s="7" t="n"/>
      <c r="B1461" s="7" t="n"/>
      <c r="C1461" s="7" t="n"/>
      <c r="D1461" s="8" t="n"/>
      <c r="E1461" s="7" t="n"/>
      <c r="F1461" s="7" t="n"/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9">
        <f>IF(A1461="","",A1461&amp;"|"&amp;COUNTIF($A$2:A1461,A1461))</f>
        <v/>
      </c>
    </row>
    <row r="1462">
      <c r="A1462" s="7" t="n"/>
      <c r="B1462" s="7" t="n"/>
      <c r="C1462" s="7" t="n"/>
      <c r="D1462" s="8" t="n"/>
      <c r="E1462" s="7" t="n"/>
      <c r="F1462" s="7" t="n"/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/>
      <c r="S1462" s="7" t="n"/>
      <c r="T1462" s="7" t="n"/>
      <c r="U1462" s="7" t="n"/>
      <c r="V1462" s="7" t="n"/>
      <c r="W1462" s="7" t="n"/>
      <c r="X1462" s="7" t="n"/>
      <c r="Y1462" s="7" t="n"/>
      <c r="Z1462" s="7" t="n"/>
      <c r="AA1462" s="9">
        <f>IF(A1462="","",A1462&amp;"|"&amp;COUNTIF($A$2:A1462,A1462))</f>
        <v/>
      </c>
    </row>
    <row r="1463">
      <c r="A1463" s="7" t="n"/>
      <c r="B1463" s="7" t="n"/>
      <c r="C1463" s="7" t="n"/>
      <c r="D1463" s="8" t="n"/>
      <c r="E1463" s="7" t="n"/>
      <c r="F1463" s="7" t="n"/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9">
        <f>IF(A1463="","",A1463&amp;"|"&amp;COUNTIF($A$2:A1463,A1463))</f>
        <v/>
      </c>
    </row>
    <row r="1464">
      <c r="A1464" s="7" t="n"/>
      <c r="B1464" s="7" t="n"/>
      <c r="C1464" s="7" t="n"/>
      <c r="D1464" s="8" t="n"/>
      <c r="E1464" s="7" t="n"/>
      <c r="F1464" s="7" t="n"/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S1464" s="7" t="n"/>
      <c r="T1464" s="7" t="n"/>
      <c r="U1464" s="7" t="n"/>
      <c r="V1464" s="7" t="n"/>
      <c r="W1464" s="7" t="n"/>
      <c r="X1464" s="7" t="n"/>
      <c r="Y1464" s="7" t="n"/>
      <c r="Z1464" s="7" t="n"/>
      <c r="AA1464" s="9">
        <f>IF(A1464="","",A1464&amp;"|"&amp;COUNTIF($A$2:A1464,A1464))</f>
        <v/>
      </c>
    </row>
    <row r="1465">
      <c r="A1465" s="7" t="n"/>
      <c r="B1465" s="7" t="n"/>
      <c r="C1465" s="7" t="n"/>
      <c r="D1465" s="8" t="n"/>
      <c r="E1465" s="7" t="n"/>
      <c r="F1465" s="7" t="n"/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9">
        <f>IF(A1465="","",A1465&amp;"|"&amp;COUNTIF($A$2:A1465,A1465))</f>
        <v/>
      </c>
    </row>
    <row r="1466">
      <c r="A1466" s="7" t="n"/>
      <c r="B1466" s="7" t="n"/>
      <c r="C1466" s="7" t="n"/>
      <c r="D1466" s="8" t="n"/>
      <c r="E1466" s="7" t="n"/>
      <c r="F1466" s="7" t="n"/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S1466" s="7" t="n"/>
      <c r="T1466" s="7" t="n"/>
      <c r="U1466" s="7" t="n"/>
      <c r="V1466" s="7" t="n"/>
      <c r="W1466" s="7" t="n"/>
      <c r="X1466" s="7" t="n"/>
      <c r="Y1466" s="7" t="n"/>
      <c r="Z1466" s="7" t="n"/>
      <c r="AA1466" s="9">
        <f>IF(A1466="","",A1466&amp;"|"&amp;COUNTIF($A$2:A1466,A1466))</f>
        <v/>
      </c>
    </row>
    <row r="1467">
      <c r="A1467" s="7" t="n"/>
      <c r="B1467" s="7" t="n"/>
      <c r="C1467" s="7" t="n"/>
      <c r="D1467" s="8" t="n"/>
      <c r="E1467" s="7" t="n"/>
      <c r="F1467" s="7" t="n"/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9">
        <f>IF(A1467="","",A1467&amp;"|"&amp;COUNTIF($A$2:A1467,A1467))</f>
        <v/>
      </c>
    </row>
    <row r="1468">
      <c r="A1468" s="7" t="n"/>
      <c r="B1468" s="7" t="n"/>
      <c r="C1468" s="7" t="n"/>
      <c r="D1468" s="8" t="n"/>
      <c r="E1468" s="7" t="n"/>
      <c r="F1468" s="7" t="n"/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7" t="n"/>
      <c r="X1468" s="7" t="n"/>
      <c r="Y1468" s="7" t="n"/>
      <c r="Z1468" s="7" t="n"/>
      <c r="AA1468" s="9">
        <f>IF(A1468="","",A1468&amp;"|"&amp;COUNTIF($A$2:A1468,A1468))</f>
        <v/>
      </c>
    </row>
    <row r="1469">
      <c r="A1469" s="7" t="n"/>
      <c r="B1469" s="7" t="n"/>
      <c r="C1469" s="7" t="n"/>
      <c r="D1469" s="8" t="n"/>
      <c r="E1469" s="7" t="n"/>
      <c r="F1469" s="7" t="n"/>
      <c r="G1469" s="7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9">
        <f>IF(A1469="","",A1469&amp;"|"&amp;COUNTIF($A$2:A1469,A1469))</f>
        <v/>
      </c>
    </row>
    <row r="1470">
      <c r="A1470" s="7" t="n"/>
      <c r="B1470" s="7" t="n"/>
      <c r="C1470" s="7" t="n"/>
      <c r="D1470" s="8" t="n"/>
      <c r="E1470" s="7" t="n"/>
      <c r="F1470" s="7" t="n"/>
      <c r="G1470" s="7" t="n"/>
      <c r="H1470" s="7" t="n"/>
      <c r="I1470" s="7" t="n"/>
      <c r="J1470" s="7" t="n"/>
      <c r="K1470" s="7" t="n"/>
      <c r="L1470" s="7" t="n"/>
      <c r="M1470" s="7" t="n"/>
      <c r="N1470" s="7" t="n"/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7" t="n"/>
      <c r="X1470" s="7" t="n"/>
      <c r="Y1470" s="7" t="n"/>
      <c r="Z1470" s="7" t="n"/>
      <c r="AA1470" s="9">
        <f>IF(A1470="","",A1470&amp;"|"&amp;COUNTIF($A$2:A1470,A1470))</f>
        <v/>
      </c>
    </row>
    <row r="1471">
      <c r="A1471" s="7" t="n"/>
      <c r="B1471" s="7" t="n"/>
      <c r="C1471" s="7" t="n"/>
      <c r="D1471" s="8" t="n"/>
      <c r="E1471" s="7" t="n"/>
      <c r="F1471" s="7" t="n"/>
      <c r="G1471" s="7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9">
        <f>IF(A1471="","",A1471&amp;"|"&amp;COUNTIF($A$2:A1471,A1471))</f>
        <v/>
      </c>
    </row>
    <row r="1472">
      <c r="A1472" s="7" t="n"/>
      <c r="B1472" s="7" t="n"/>
      <c r="C1472" s="7" t="n"/>
      <c r="D1472" s="8" t="n"/>
      <c r="E1472" s="7" t="n"/>
      <c r="F1472" s="7" t="n"/>
      <c r="G1472" s="7" t="n"/>
      <c r="H1472" s="7" t="n"/>
      <c r="I1472" s="7" t="n"/>
      <c r="J1472" s="7" t="n"/>
      <c r="K1472" s="7" t="n"/>
      <c r="L1472" s="7" t="n"/>
      <c r="M1472" s="7" t="n"/>
      <c r="N1472" s="7" t="n"/>
      <c r="O1472" s="7" t="n"/>
      <c r="P1472" s="7" t="n"/>
      <c r="Q1472" s="7" t="n"/>
      <c r="R1472" s="7" t="n"/>
      <c r="S1472" s="7" t="n"/>
      <c r="T1472" s="7" t="n"/>
      <c r="U1472" s="7" t="n"/>
      <c r="V1472" s="7" t="n"/>
      <c r="W1472" s="7" t="n"/>
      <c r="X1472" s="7" t="n"/>
      <c r="Y1472" s="7" t="n"/>
      <c r="Z1472" s="7" t="n"/>
      <c r="AA1472" s="9">
        <f>IF(A1472="","",A1472&amp;"|"&amp;COUNTIF($A$2:A1472,A1472))</f>
        <v/>
      </c>
    </row>
    <row r="1473">
      <c r="A1473" s="7" t="n"/>
      <c r="B1473" s="7" t="n"/>
      <c r="C1473" s="7" t="n"/>
      <c r="D1473" s="8" t="n"/>
      <c r="E1473" s="7" t="n"/>
      <c r="F1473" s="7" t="n"/>
      <c r="G1473" s="7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9">
        <f>IF(A1473="","",A1473&amp;"|"&amp;COUNTIF($A$2:A1473,A1473))</f>
        <v/>
      </c>
    </row>
    <row r="1474">
      <c r="A1474" s="7" t="n"/>
      <c r="B1474" s="7" t="n"/>
      <c r="C1474" s="7" t="n"/>
      <c r="D1474" s="8" t="n"/>
      <c r="E1474" s="7" t="n"/>
      <c r="F1474" s="7" t="n"/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S1474" s="7" t="n"/>
      <c r="T1474" s="7" t="n"/>
      <c r="U1474" s="7" t="n"/>
      <c r="V1474" s="7" t="n"/>
      <c r="W1474" s="7" t="n"/>
      <c r="X1474" s="7" t="n"/>
      <c r="Y1474" s="7" t="n"/>
      <c r="Z1474" s="7" t="n"/>
      <c r="AA1474" s="9">
        <f>IF(A1474="","",A1474&amp;"|"&amp;COUNTIF($A$2:A1474,A1474))</f>
        <v/>
      </c>
    </row>
    <row r="1475">
      <c r="A1475" s="7" t="n"/>
      <c r="B1475" s="7" t="n"/>
      <c r="C1475" s="7" t="n"/>
      <c r="D1475" s="8" t="n"/>
      <c r="E1475" s="7" t="n"/>
      <c r="F1475" s="7" t="n"/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/>
      <c r="Z1475" s="7" t="n"/>
      <c r="AA1475" s="9">
        <f>IF(A1475="","",A1475&amp;"|"&amp;COUNTIF($A$2:A1475,A1475))</f>
        <v/>
      </c>
    </row>
    <row r="1476">
      <c r="A1476" s="7" t="n"/>
      <c r="B1476" s="7" t="n"/>
      <c r="C1476" s="7" t="n"/>
      <c r="D1476" s="8" t="n"/>
      <c r="E1476" s="7" t="n"/>
      <c r="F1476" s="7" t="n"/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7" t="n"/>
      <c r="X1476" s="7" t="n"/>
      <c r="Y1476" s="7" t="n"/>
      <c r="Z1476" s="7" t="n"/>
      <c r="AA1476" s="9">
        <f>IF(A1476="","",A1476&amp;"|"&amp;COUNTIF($A$2:A1476,A1476))</f>
        <v/>
      </c>
    </row>
    <row r="1477">
      <c r="A1477" s="7" t="n"/>
      <c r="B1477" s="7" t="n"/>
      <c r="C1477" s="7" t="n"/>
      <c r="D1477" s="8" t="n"/>
      <c r="E1477" s="7" t="n"/>
      <c r="F1477" s="7" t="n"/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/>
      <c r="AA1477" s="9">
        <f>IF(A1477="","",A1477&amp;"|"&amp;COUNTIF($A$2:A1477,A1477))</f>
        <v/>
      </c>
    </row>
    <row r="1478">
      <c r="A1478" s="7" t="n"/>
      <c r="B1478" s="7" t="n"/>
      <c r="C1478" s="7" t="n"/>
      <c r="D1478" s="8" t="n"/>
      <c r="E1478" s="7" t="n"/>
      <c r="F1478" s="7" t="n"/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7" t="n"/>
      <c r="X1478" s="7" t="n"/>
      <c r="Y1478" s="7" t="n"/>
      <c r="Z1478" s="7" t="n"/>
      <c r="AA1478" s="9">
        <f>IF(A1478="","",A1478&amp;"|"&amp;COUNTIF($A$2:A1478,A1478))</f>
        <v/>
      </c>
    </row>
    <row r="1479">
      <c r="A1479" s="7" t="n"/>
      <c r="B1479" s="7" t="n"/>
      <c r="C1479" s="7" t="n"/>
      <c r="D1479" s="8" t="n"/>
      <c r="E1479" s="7" t="n"/>
      <c r="F1479" s="7" t="n"/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/>
      <c r="AA1479" s="9">
        <f>IF(A1479="","",A1479&amp;"|"&amp;COUNTIF($A$2:A1479,A1479))</f>
        <v/>
      </c>
    </row>
    <row r="1480">
      <c r="A1480" s="7" t="n"/>
      <c r="B1480" s="7" t="n"/>
      <c r="C1480" s="7" t="n"/>
      <c r="D1480" s="8" t="n"/>
      <c r="E1480" s="7" t="n"/>
      <c r="F1480" s="7" t="n"/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S1480" s="7" t="n"/>
      <c r="T1480" s="7" t="n"/>
      <c r="U1480" s="7" t="n"/>
      <c r="V1480" s="7" t="n"/>
      <c r="W1480" s="7" t="n"/>
      <c r="X1480" s="7" t="n"/>
      <c r="Y1480" s="7" t="n"/>
      <c r="Z1480" s="7" t="n"/>
      <c r="AA1480" s="9">
        <f>IF(A1480="","",A1480&amp;"|"&amp;COUNTIF($A$2:A1480,A1480))</f>
        <v/>
      </c>
    </row>
    <row r="1481">
      <c r="A1481" s="7" t="n"/>
      <c r="B1481" s="7" t="n"/>
      <c r="C1481" s="7" t="n"/>
      <c r="D1481" s="8" t="n"/>
      <c r="E1481" s="7" t="n"/>
      <c r="F1481" s="7" t="n"/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9">
        <f>IF(A1481="","",A1481&amp;"|"&amp;COUNTIF($A$2:A1481,A1481))</f>
        <v/>
      </c>
    </row>
    <row r="1482">
      <c r="A1482" s="7" t="n"/>
      <c r="B1482" s="7" t="n"/>
      <c r="C1482" s="7" t="n"/>
      <c r="D1482" s="8" t="n"/>
      <c r="E1482" s="7" t="n"/>
      <c r="F1482" s="7" t="n"/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S1482" s="7" t="n"/>
      <c r="T1482" s="7" t="n"/>
      <c r="U1482" s="7" t="n"/>
      <c r="V1482" s="7" t="n"/>
      <c r="W1482" s="7" t="n"/>
      <c r="X1482" s="7" t="n"/>
      <c r="Y1482" s="7" t="n"/>
      <c r="Z1482" s="7" t="n"/>
      <c r="AA1482" s="9">
        <f>IF(A1482="","",A1482&amp;"|"&amp;COUNTIF($A$2:A1482,A1482))</f>
        <v/>
      </c>
    </row>
    <row r="1483">
      <c r="A1483" s="7" t="n"/>
      <c r="B1483" s="7" t="n"/>
      <c r="C1483" s="7" t="n"/>
      <c r="D1483" s="8" t="n"/>
      <c r="E1483" s="7" t="n"/>
      <c r="F1483" s="7" t="n"/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9">
        <f>IF(A1483="","",A1483&amp;"|"&amp;COUNTIF($A$2:A1483,A1483))</f>
        <v/>
      </c>
    </row>
    <row r="1484">
      <c r="A1484" s="7" t="n"/>
      <c r="B1484" s="7" t="n"/>
      <c r="C1484" s="7" t="n"/>
      <c r="D1484" s="8" t="n"/>
      <c r="E1484" s="7" t="n"/>
      <c r="F1484" s="7" t="n"/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S1484" s="7" t="n"/>
      <c r="T1484" s="7" t="n"/>
      <c r="U1484" s="7" t="n"/>
      <c r="V1484" s="7" t="n"/>
      <c r="W1484" s="7" t="n"/>
      <c r="X1484" s="7" t="n"/>
      <c r="Y1484" s="7" t="n"/>
      <c r="Z1484" s="7" t="n"/>
      <c r="AA1484" s="9">
        <f>IF(A1484="","",A1484&amp;"|"&amp;COUNTIF($A$2:A1484,A1484))</f>
        <v/>
      </c>
    </row>
    <row r="1485">
      <c r="A1485" s="7" t="n"/>
      <c r="B1485" s="7" t="n"/>
      <c r="C1485" s="7" t="n"/>
      <c r="D1485" s="8" t="n"/>
      <c r="E1485" s="7" t="n"/>
      <c r="F1485" s="7" t="n"/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9">
        <f>IF(A1485="","",A1485&amp;"|"&amp;COUNTIF($A$2:A1485,A1485))</f>
        <v/>
      </c>
    </row>
    <row r="1486">
      <c r="A1486" s="7" t="n"/>
      <c r="B1486" s="7" t="n"/>
      <c r="C1486" s="7" t="n"/>
      <c r="D1486" s="8" t="n"/>
      <c r="E1486" s="7" t="n"/>
      <c r="F1486" s="7" t="n"/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/>
      <c r="S1486" s="7" t="n"/>
      <c r="T1486" s="7" t="n"/>
      <c r="U1486" s="7" t="n"/>
      <c r="V1486" s="7" t="n"/>
      <c r="W1486" s="7" t="n"/>
      <c r="X1486" s="7" t="n"/>
      <c r="Y1486" s="7" t="n"/>
      <c r="Z1486" s="7" t="n"/>
      <c r="AA1486" s="9">
        <f>IF(A1486="","",A1486&amp;"|"&amp;COUNTIF($A$2:A1486,A1486))</f>
        <v/>
      </c>
    </row>
    <row r="1487">
      <c r="A1487" s="7" t="n"/>
      <c r="B1487" s="7" t="n"/>
      <c r="C1487" s="7" t="n"/>
      <c r="D1487" s="8" t="n"/>
      <c r="E1487" s="7" t="n"/>
      <c r="F1487" s="7" t="n"/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9">
        <f>IF(A1487="","",A1487&amp;"|"&amp;COUNTIF($A$2:A1487,A1487))</f>
        <v/>
      </c>
    </row>
    <row r="1488">
      <c r="A1488" s="7" t="n"/>
      <c r="B1488" s="7" t="n"/>
      <c r="C1488" s="7" t="n"/>
      <c r="D1488" s="8" t="n"/>
      <c r="E1488" s="7" t="n"/>
      <c r="F1488" s="7" t="n"/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S1488" s="7" t="n"/>
      <c r="T1488" s="7" t="n"/>
      <c r="U1488" s="7" t="n"/>
      <c r="V1488" s="7" t="n"/>
      <c r="W1488" s="7" t="n"/>
      <c r="X1488" s="7" t="n"/>
      <c r="Y1488" s="7" t="n"/>
      <c r="Z1488" s="7" t="n"/>
      <c r="AA1488" s="9">
        <f>IF(A1488="","",A1488&amp;"|"&amp;COUNTIF($A$2:A1488,A1488))</f>
        <v/>
      </c>
    </row>
    <row r="1489">
      <c r="A1489" s="7" t="n"/>
      <c r="B1489" s="7" t="n"/>
      <c r="C1489" s="7" t="n"/>
      <c r="D1489" s="8" t="n"/>
      <c r="E1489" s="7" t="n"/>
      <c r="F1489" s="7" t="n"/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9">
        <f>IF(A1489="","",A1489&amp;"|"&amp;COUNTIF($A$2:A1489,A1489))</f>
        <v/>
      </c>
    </row>
    <row r="1490">
      <c r="A1490" s="7" t="n"/>
      <c r="B1490" s="7" t="n"/>
      <c r="C1490" s="7" t="n"/>
      <c r="D1490" s="8" t="n"/>
      <c r="E1490" s="7" t="n"/>
      <c r="F1490" s="7" t="n"/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7" t="n"/>
      <c r="X1490" s="7" t="n"/>
      <c r="Y1490" s="7" t="n"/>
      <c r="Z1490" s="7" t="n"/>
      <c r="AA1490" s="9">
        <f>IF(A1490="","",A1490&amp;"|"&amp;COUNTIF($A$2:A1490,A1490))</f>
        <v/>
      </c>
    </row>
    <row r="1491">
      <c r="A1491" s="7" t="n"/>
      <c r="B1491" s="7" t="n"/>
      <c r="C1491" s="7" t="n"/>
      <c r="D1491" s="8" t="n"/>
      <c r="E1491" s="7" t="n"/>
      <c r="F1491" s="7" t="n"/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9">
        <f>IF(A1491="","",A1491&amp;"|"&amp;COUNTIF($A$2:A1491,A1491))</f>
        <v/>
      </c>
    </row>
    <row r="1492">
      <c r="A1492" s="7" t="n"/>
      <c r="B1492" s="7" t="n"/>
      <c r="C1492" s="7" t="n"/>
      <c r="D1492" s="8" t="n"/>
      <c r="E1492" s="7" t="n"/>
      <c r="F1492" s="7" t="n"/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S1492" s="7" t="n"/>
      <c r="T1492" s="7" t="n"/>
      <c r="U1492" s="7" t="n"/>
      <c r="V1492" s="7" t="n"/>
      <c r="W1492" s="7" t="n"/>
      <c r="X1492" s="7" t="n"/>
      <c r="Y1492" s="7" t="n"/>
      <c r="Z1492" s="7" t="n"/>
      <c r="AA1492" s="9">
        <f>IF(A1492="","",A1492&amp;"|"&amp;COUNTIF($A$2:A1492,A1492))</f>
        <v/>
      </c>
    </row>
    <row r="1493">
      <c r="A1493" s="7" t="n"/>
      <c r="B1493" s="7" t="n"/>
      <c r="C1493" s="7" t="n"/>
      <c r="D1493" s="8" t="n"/>
      <c r="E1493" s="7" t="n"/>
      <c r="F1493" s="7" t="n"/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9">
        <f>IF(A1493="","",A1493&amp;"|"&amp;COUNTIF($A$2:A1493,A1493))</f>
        <v/>
      </c>
    </row>
    <row r="1494">
      <c r="A1494" s="7" t="n"/>
      <c r="B1494" s="7" t="n"/>
      <c r="C1494" s="7" t="n"/>
      <c r="D1494" s="8" t="n"/>
      <c r="E1494" s="7" t="n"/>
      <c r="F1494" s="7" t="n"/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/>
      <c r="S1494" s="7" t="n"/>
      <c r="T1494" s="7" t="n"/>
      <c r="U1494" s="7" t="n"/>
      <c r="V1494" s="7" t="n"/>
      <c r="W1494" s="7" t="n"/>
      <c r="X1494" s="7" t="n"/>
      <c r="Y1494" s="7" t="n"/>
      <c r="Z1494" s="7" t="n"/>
      <c r="AA1494" s="9">
        <f>IF(A1494="","",A1494&amp;"|"&amp;COUNTIF($A$2:A1494,A1494))</f>
        <v/>
      </c>
    </row>
    <row r="1495">
      <c r="A1495" s="7" t="n"/>
      <c r="B1495" s="7" t="n"/>
      <c r="C1495" s="7" t="n"/>
      <c r="D1495" s="8" t="n"/>
      <c r="E1495" s="7" t="n"/>
      <c r="F1495" s="7" t="n"/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9">
        <f>IF(A1495="","",A1495&amp;"|"&amp;COUNTIF($A$2:A1495,A1495))</f>
        <v/>
      </c>
    </row>
    <row r="1496">
      <c r="A1496" s="7" t="n"/>
      <c r="B1496" s="7" t="n"/>
      <c r="C1496" s="7" t="n"/>
      <c r="D1496" s="8" t="n"/>
      <c r="E1496" s="7" t="n"/>
      <c r="F1496" s="7" t="n"/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S1496" s="7" t="n"/>
      <c r="T1496" s="7" t="n"/>
      <c r="U1496" s="7" t="n"/>
      <c r="V1496" s="7" t="n"/>
      <c r="W1496" s="7" t="n"/>
      <c r="X1496" s="7" t="n"/>
      <c r="Y1496" s="7" t="n"/>
      <c r="Z1496" s="7" t="n"/>
      <c r="AA1496" s="9">
        <f>IF(A1496="","",A1496&amp;"|"&amp;COUNTIF($A$2:A1496,A1496))</f>
        <v/>
      </c>
    </row>
    <row r="1497">
      <c r="A1497" s="7" t="n"/>
      <c r="B1497" s="7" t="n"/>
      <c r="C1497" s="7" t="n"/>
      <c r="D1497" s="8" t="n"/>
      <c r="E1497" s="7" t="n"/>
      <c r="F1497" s="7" t="n"/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9">
        <f>IF(A1497="","",A1497&amp;"|"&amp;COUNTIF($A$2:A1497,A1497))</f>
        <v/>
      </c>
    </row>
    <row r="1498">
      <c r="A1498" s="7" t="n"/>
      <c r="B1498" s="7" t="n"/>
      <c r="C1498" s="7" t="n"/>
      <c r="D1498" s="8" t="n"/>
      <c r="E1498" s="7" t="n"/>
      <c r="F1498" s="7" t="n"/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  <c r="P1498" s="7" t="n"/>
      <c r="Q1498" s="7" t="n"/>
      <c r="R1498" s="7" t="n"/>
      <c r="S1498" s="7" t="n"/>
      <c r="T1498" s="7" t="n"/>
      <c r="U1498" s="7" t="n"/>
      <c r="V1498" s="7" t="n"/>
      <c r="W1498" s="7" t="n"/>
      <c r="X1498" s="7" t="n"/>
      <c r="Y1498" s="7" t="n"/>
      <c r="Z1498" s="7" t="n"/>
      <c r="AA1498" s="9">
        <f>IF(A1498="","",A1498&amp;"|"&amp;COUNTIF($A$2:A1498,A1498))</f>
        <v/>
      </c>
    </row>
    <row r="1499">
      <c r="A1499" s="7" t="n"/>
      <c r="B1499" s="7" t="n"/>
      <c r="C1499" s="7" t="n"/>
      <c r="D1499" s="8" t="n"/>
      <c r="E1499" s="7" t="n"/>
      <c r="F1499" s="7" t="n"/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9">
        <f>IF(A1499="","",A1499&amp;"|"&amp;COUNTIF($A$2:A1499,A1499))</f>
        <v/>
      </c>
    </row>
    <row r="1500">
      <c r="A1500" s="7" t="n"/>
      <c r="B1500" s="7" t="n"/>
      <c r="C1500" s="7" t="n"/>
      <c r="D1500" s="8" t="n"/>
      <c r="E1500" s="7" t="n"/>
      <c r="F1500" s="7" t="n"/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  <c r="P1500" s="7" t="n"/>
      <c r="Q1500" s="7" t="n"/>
      <c r="R1500" s="7" t="n"/>
      <c r="S1500" s="7" t="n"/>
      <c r="T1500" s="7" t="n"/>
      <c r="U1500" s="7" t="n"/>
      <c r="V1500" s="7" t="n"/>
      <c r="W1500" s="7" t="n"/>
      <c r="X1500" s="7" t="n"/>
      <c r="Y1500" s="7" t="n"/>
      <c r="Z1500" s="7" t="n"/>
      <c r="AA1500" s="9">
        <f>IF(A1500="","",A1500&amp;"|"&amp;COUNTIF($A$2:A1500,A1500))</f>
        <v/>
      </c>
    </row>
    <row r="1501">
      <c r="A1501" s="7" t="n"/>
      <c r="B1501" s="7" t="n"/>
      <c r="C1501" s="7" t="n"/>
      <c r="D1501" s="8" t="n"/>
      <c r="E1501" s="7" t="n"/>
      <c r="F1501" s="7" t="n"/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9">
        <f>IF(A1501="","",A1501&amp;"|"&amp;COUNTIF($A$2:A1501,A1501))</f>
        <v/>
      </c>
    </row>
    <row r="1502">
      <c r="A1502" s="7" t="n"/>
      <c r="B1502" s="7" t="n"/>
      <c r="C1502" s="7" t="n"/>
      <c r="D1502" s="8" t="n"/>
      <c r="E1502" s="7" t="n"/>
      <c r="F1502" s="7" t="n"/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S1502" s="7" t="n"/>
      <c r="T1502" s="7" t="n"/>
      <c r="U1502" s="7" t="n"/>
      <c r="V1502" s="7" t="n"/>
      <c r="W1502" s="7" t="n"/>
      <c r="X1502" s="7" t="n"/>
      <c r="Y1502" s="7" t="n"/>
      <c r="Z1502" s="7" t="n"/>
      <c r="AA1502" s="9">
        <f>IF(A1502="","",A1502&amp;"|"&amp;COUNTIF($A$2:A1502,A1502))</f>
        <v/>
      </c>
    </row>
    <row r="1503">
      <c r="A1503" s="7" t="n"/>
      <c r="B1503" s="7" t="n"/>
      <c r="C1503" s="7" t="n"/>
      <c r="D1503" s="8" t="n"/>
      <c r="E1503" s="7" t="n"/>
      <c r="F1503" s="7" t="n"/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9">
        <f>IF(A1503="","",A1503&amp;"|"&amp;COUNTIF($A$2:A1503,A1503))</f>
        <v/>
      </c>
    </row>
    <row r="1504">
      <c r="A1504" s="7" t="n"/>
      <c r="B1504" s="7" t="n"/>
      <c r="C1504" s="7" t="n"/>
      <c r="D1504" s="8" t="n"/>
      <c r="E1504" s="7" t="n"/>
      <c r="F1504" s="7" t="n"/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/>
      <c r="S1504" s="7" t="n"/>
      <c r="T1504" s="7" t="n"/>
      <c r="U1504" s="7" t="n"/>
      <c r="V1504" s="7" t="n"/>
      <c r="W1504" s="7" t="n"/>
      <c r="X1504" s="7" t="n"/>
      <c r="Y1504" s="7" t="n"/>
      <c r="Z1504" s="7" t="n"/>
      <c r="AA1504" s="9">
        <f>IF(A1504="","",A1504&amp;"|"&amp;COUNTIF($A$2:A1504,A1504))</f>
        <v/>
      </c>
    </row>
    <row r="1505">
      <c r="A1505" s="7" t="n"/>
      <c r="B1505" s="7" t="n"/>
      <c r="C1505" s="7" t="n"/>
      <c r="D1505" s="8" t="n"/>
      <c r="E1505" s="7" t="n"/>
      <c r="F1505" s="7" t="n"/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9">
        <f>IF(A1505="","",A1505&amp;"|"&amp;COUNTIF($A$2:A1505,A1505))</f>
        <v/>
      </c>
    </row>
    <row r="1506">
      <c r="A1506" s="7" t="n"/>
      <c r="B1506" s="7" t="n"/>
      <c r="C1506" s="7" t="n"/>
      <c r="D1506" s="8" t="n"/>
      <c r="E1506" s="7" t="n"/>
      <c r="F1506" s="7" t="n"/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7" t="n"/>
      <c r="X1506" s="7" t="n"/>
      <c r="Y1506" s="7" t="n"/>
      <c r="Z1506" s="7" t="n"/>
      <c r="AA1506" s="9">
        <f>IF(A1506="","",A1506&amp;"|"&amp;COUNTIF($A$2:A1506,A1506))</f>
        <v/>
      </c>
    </row>
    <row r="1507">
      <c r="A1507" s="7" t="n"/>
      <c r="B1507" s="7" t="n"/>
      <c r="C1507" s="7" t="n"/>
      <c r="D1507" s="8" t="n"/>
      <c r="E1507" s="7" t="n"/>
      <c r="F1507" s="7" t="n"/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9">
        <f>IF(A1507="","",A1507&amp;"|"&amp;COUNTIF($A$2:A1507,A1507))</f>
        <v/>
      </c>
    </row>
    <row r="1508">
      <c r="A1508" s="7" t="n"/>
      <c r="B1508" s="7" t="n"/>
      <c r="C1508" s="7" t="n"/>
      <c r="D1508" s="8" t="n"/>
      <c r="E1508" s="7" t="n"/>
      <c r="F1508" s="7" t="n"/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/>
      <c r="S1508" s="7" t="n"/>
      <c r="T1508" s="7" t="n"/>
      <c r="U1508" s="7" t="n"/>
      <c r="V1508" s="7" t="n"/>
      <c r="W1508" s="7" t="n"/>
      <c r="X1508" s="7" t="n"/>
      <c r="Y1508" s="7" t="n"/>
      <c r="Z1508" s="7" t="n"/>
      <c r="AA1508" s="9">
        <f>IF(A1508="","",A1508&amp;"|"&amp;COUNTIF($A$2:A1508,A1508))</f>
        <v/>
      </c>
    </row>
    <row r="1509">
      <c r="A1509" s="7" t="n"/>
      <c r="B1509" s="7" t="n"/>
      <c r="C1509" s="7" t="n"/>
      <c r="D1509" s="8" t="n"/>
      <c r="E1509" s="7" t="n"/>
      <c r="F1509" s="7" t="n"/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9">
        <f>IF(A1509="","",A1509&amp;"|"&amp;COUNTIF($A$2:A1509,A1509))</f>
        <v/>
      </c>
    </row>
    <row r="1510">
      <c r="A1510" s="7" t="n"/>
      <c r="B1510" s="7" t="n"/>
      <c r="C1510" s="7" t="n"/>
      <c r="D1510" s="8" t="n"/>
      <c r="E1510" s="7" t="n"/>
      <c r="F1510" s="7" t="n"/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7" t="n"/>
      <c r="X1510" s="7" t="n"/>
      <c r="Y1510" s="7" t="n"/>
      <c r="Z1510" s="7" t="n"/>
      <c r="AA1510" s="9">
        <f>IF(A1510="","",A1510&amp;"|"&amp;COUNTIF($A$2:A1510,A1510))</f>
        <v/>
      </c>
    </row>
    <row r="1511">
      <c r="A1511" s="7" t="n"/>
      <c r="B1511" s="7" t="n"/>
      <c r="C1511" s="7" t="n"/>
      <c r="D1511" s="8" t="n"/>
      <c r="E1511" s="7" t="n"/>
      <c r="F1511" s="7" t="n"/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9">
        <f>IF(A1511="","",A1511&amp;"|"&amp;COUNTIF($A$2:A1511,A1511))</f>
        <v/>
      </c>
    </row>
    <row r="1512">
      <c r="A1512" s="7" t="n"/>
      <c r="B1512" s="7" t="n"/>
      <c r="C1512" s="7" t="n"/>
      <c r="D1512" s="8" t="n"/>
      <c r="E1512" s="7" t="n"/>
      <c r="F1512" s="7" t="n"/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7" t="n"/>
      <c r="X1512" s="7" t="n"/>
      <c r="Y1512" s="7" t="n"/>
      <c r="Z1512" s="7" t="n"/>
      <c r="AA1512" s="9">
        <f>IF(A1512="","",A1512&amp;"|"&amp;COUNTIF($A$2:A1512,A1512))</f>
        <v/>
      </c>
    </row>
    <row r="1513">
      <c r="A1513" s="7" t="n"/>
      <c r="B1513" s="7" t="n"/>
      <c r="C1513" s="7" t="n"/>
      <c r="D1513" s="8" t="n"/>
      <c r="E1513" s="7" t="n"/>
      <c r="F1513" s="7" t="n"/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9">
        <f>IF(A1513="","",A1513&amp;"|"&amp;COUNTIF($A$2:A1513,A1513))</f>
        <v/>
      </c>
    </row>
    <row r="1514">
      <c r="A1514" s="7" t="n"/>
      <c r="B1514" s="7" t="n"/>
      <c r="C1514" s="7" t="n"/>
      <c r="D1514" s="8" t="n"/>
      <c r="E1514" s="7" t="n"/>
      <c r="F1514" s="7" t="n"/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  <c r="P1514" s="7" t="n"/>
      <c r="Q1514" s="7" t="n"/>
      <c r="R1514" s="7" t="n"/>
      <c r="S1514" s="7" t="n"/>
      <c r="T1514" s="7" t="n"/>
      <c r="U1514" s="7" t="n"/>
      <c r="V1514" s="7" t="n"/>
      <c r="W1514" s="7" t="n"/>
      <c r="X1514" s="7" t="n"/>
      <c r="Y1514" s="7" t="n"/>
      <c r="Z1514" s="7" t="n"/>
      <c r="AA1514" s="9">
        <f>IF(A1514="","",A1514&amp;"|"&amp;COUNTIF($A$2:A1514,A1514))</f>
        <v/>
      </c>
    </row>
    <row r="1515">
      <c r="A1515" s="7" t="n"/>
      <c r="B1515" s="7" t="n"/>
      <c r="C1515" s="7" t="n"/>
      <c r="D1515" s="8" t="n"/>
      <c r="E1515" s="7" t="n"/>
      <c r="F1515" s="7" t="n"/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9">
        <f>IF(A1515="","",A1515&amp;"|"&amp;COUNTIF($A$2:A1515,A1515))</f>
        <v/>
      </c>
    </row>
    <row r="1516">
      <c r="A1516" s="7" t="n"/>
      <c r="B1516" s="7" t="n"/>
      <c r="C1516" s="7" t="n"/>
      <c r="D1516" s="8" t="n"/>
      <c r="E1516" s="7" t="n"/>
      <c r="F1516" s="7" t="n"/>
      <c r="G1516" s="7" t="n"/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7" t="n"/>
      <c r="X1516" s="7" t="n"/>
      <c r="Y1516" s="7" t="n"/>
      <c r="Z1516" s="7" t="n"/>
      <c r="AA1516" s="9">
        <f>IF(A1516="","",A1516&amp;"|"&amp;COUNTIF($A$2:A1516,A1516))</f>
        <v/>
      </c>
    </row>
    <row r="1517">
      <c r="A1517" s="7" t="n"/>
      <c r="B1517" s="7" t="n"/>
      <c r="C1517" s="7" t="n"/>
      <c r="D1517" s="8" t="n"/>
      <c r="E1517" s="7" t="n"/>
      <c r="F1517" s="7" t="n"/>
      <c r="G1517" s="7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9">
        <f>IF(A1517="","",A1517&amp;"|"&amp;COUNTIF($A$2:A1517,A1517))</f>
        <v/>
      </c>
    </row>
    <row r="1518">
      <c r="A1518" s="7" t="n"/>
      <c r="B1518" s="7" t="n"/>
      <c r="C1518" s="7" t="n"/>
      <c r="D1518" s="8" t="n"/>
      <c r="E1518" s="7" t="n"/>
      <c r="F1518" s="7" t="n"/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7" t="n"/>
      <c r="X1518" s="7" t="n"/>
      <c r="Y1518" s="7" t="n"/>
      <c r="Z1518" s="7" t="n"/>
      <c r="AA1518" s="9">
        <f>IF(A1518="","",A1518&amp;"|"&amp;COUNTIF($A$2:A1518,A1518))</f>
        <v/>
      </c>
    </row>
    <row r="1519">
      <c r="A1519" s="7" t="n"/>
      <c r="B1519" s="7" t="n"/>
      <c r="C1519" s="7" t="n"/>
      <c r="D1519" s="8" t="n"/>
      <c r="E1519" s="7" t="n"/>
      <c r="F1519" s="7" t="n"/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9">
        <f>IF(A1519="","",A1519&amp;"|"&amp;COUNTIF($A$2:A1519,A1519))</f>
        <v/>
      </c>
    </row>
    <row r="1520">
      <c r="A1520" s="7" t="n"/>
      <c r="B1520" s="7" t="n"/>
      <c r="C1520" s="7" t="n"/>
      <c r="D1520" s="8" t="n"/>
      <c r="E1520" s="7" t="n"/>
      <c r="F1520" s="7" t="n"/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S1520" s="7" t="n"/>
      <c r="T1520" s="7" t="n"/>
      <c r="U1520" s="7" t="n"/>
      <c r="V1520" s="7" t="n"/>
      <c r="W1520" s="7" t="n"/>
      <c r="X1520" s="7" t="n"/>
      <c r="Y1520" s="7" t="n"/>
      <c r="Z1520" s="7" t="n"/>
      <c r="AA1520" s="9">
        <f>IF(A1520="","",A1520&amp;"|"&amp;COUNTIF($A$2:A1520,A1520))</f>
        <v/>
      </c>
    </row>
    <row r="1521">
      <c r="A1521" s="7" t="n"/>
      <c r="B1521" s="7" t="n"/>
      <c r="C1521" s="7" t="n"/>
      <c r="D1521" s="8" t="n"/>
      <c r="E1521" s="7" t="n"/>
      <c r="F1521" s="7" t="n"/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9">
        <f>IF(A1521="","",A1521&amp;"|"&amp;COUNTIF($A$2:A1521,A1521))</f>
        <v/>
      </c>
    </row>
    <row r="1522">
      <c r="A1522" s="7" t="n"/>
      <c r="B1522" s="7" t="n"/>
      <c r="C1522" s="7" t="n"/>
      <c r="D1522" s="8" t="n"/>
      <c r="E1522" s="7" t="n"/>
      <c r="F1522" s="7" t="n"/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7" t="n"/>
      <c r="X1522" s="7" t="n"/>
      <c r="Y1522" s="7" t="n"/>
      <c r="Z1522" s="7" t="n"/>
      <c r="AA1522" s="9">
        <f>IF(A1522="","",A1522&amp;"|"&amp;COUNTIF($A$2:A1522,A1522))</f>
        <v/>
      </c>
    </row>
    <row r="1523">
      <c r="A1523" s="7" t="n"/>
      <c r="B1523" s="7" t="n"/>
      <c r="C1523" s="7" t="n"/>
      <c r="D1523" s="8" t="n"/>
      <c r="E1523" s="7" t="n"/>
      <c r="F1523" s="7" t="n"/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9">
        <f>IF(A1523="","",A1523&amp;"|"&amp;COUNTIF($A$2:A1523,A1523))</f>
        <v/>
      </c>
    </row>
    <row r="1524">
      <c r="A1524" s="7" t="n"/>
      <c r="B1524" s="7" t="n"/>
      <c r="C1524" s="7" t="n"/>
      <c r="D1524" s="8" t="n"/>
      <c r="E1524" s="7" t="n"/>
      <c r="F1524" s="7" t="n"/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S1524" s="7" t="n"/>
      <c r="T1524" s="7" t="n"/>
      <c r="U1524" s="7" t="n"/>
      <c r="V1524" s="7" t="n"/>
      <c r="W1524" s="7" t="n"/>
      <c r="X1524" s="7" t="n"/>
      <c r="Y1524" s="7" t="n"/>
      <c r="Z1524" s="7" t="n"/>
      <c r="AA1524" s="9">
        <f>IF(A1524="","",A1524&amp;"|"&amp;COUNTIF($A$2:A1524,A1524))</f>
        <v/>
      </c>
    </row>
    <row r="1525">
      <c r="A1525" s="7" t="n"/>
      <c r="B1525" s="7" t="n"/>
      <c r="C1525" s="7" t="n"/>
      <c r="D1525" s="8" t="n"/>
      <c r="E1525" s="7" t="n"/>
      <c r="F1525" s="7" t="n"/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9">
        <f>IF(A1525="","",A1525&amp;"|"&amp;COUNTIF($A$2:A1525,A1525))</f>
        <v/>
      </c>
    </row>
    <row r="1526">
      <c r="A1526" s="7" t="n"/>
      <c r="B1526" s="7" t="n"/>
      <c r="C1526" s="7" t="n"/>
      <c r="D1526" s="8" t="n"/>
      <c r="E1526" s="7" t="n"/>
      <c r="F1526" s="7" t="n"/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S1526" s="7" t="n"/>
      <c r="T1526" s="7" t="n"/>
      <c r="U1526" s="7" t="n"/>
      <c r="V1526" s="7" t="n"/>
      <c r="W1526" s="7" t="n"/>
      <c r="X1526" s="7" t="n"/>
      <c r="Y1526" s="7" t="n"/>
      <c r="Z1526" s="7" t="n"/>
      <c r="AA1526" s="9">
        <f>IF(A1526="","",A1526&amp;"|"&amp;COUNTIF($A$2:A1526,A1526))</f>
        <v/>
      </c>
    </row>
    <row r="1527">
      <c r="A1527" s="7" t="n"/>
      <c r="B1527" s="7" t="n"/>
      <c r="C1527" s="7" t="n"/>
      <c r="D1527" s="8" t="n"/>
      <c r="E1527" s="7" t="n"/>
      <c r="F1527" s="7" t="n"/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9">
        <f>IF(A1527="","",A1527&amp;"|"&amp;COUNTIF($A$2:A1527,A1527))</f>
        <v/>
      </c>
    </row>
    <row r="1528">
      <c r="A1528" s="7" t="n"/>
      <c r="B1528" s="7" t="n"/>
      <c r="C1528" s="7" t="n"/>
      <c r="D1528" s="8" t="n"/>
      <c r="E1528" s="7" t="n"/>
      <c r="F1528" s="7" t="n"/>
      <c r="G1528" s="7" t="n"/>
      <c r="H1528" s="7" t="n"/>
      <c r="I1528" s="7" t="n"/>
      <c r="J1528" s="7" t="n"/>
      <c r="K1528" s="7" t="n"/>
      <c r="L1528" s="7" t="n"/>
      <c r="M1528" s="7" t="n"/>
      <c r="N1528" s="7" t="n"/>
      <c r="O1528" s="7" t="n"/>
      <c r="P1528" s="7" t="n"/>
      <c r="Q1528" s="7" t="n"/>
      <c r="R1528" s="7" t="n"/>
      <c r="S1528" s="7" t="n"/>
      <c r="T1528" s="7" t="n"/>
      <c r="U1528" s="7" t="n"/>
      <c r="V1528" s="7" t="n"/>
      <c r="W1528" s="7" t="n"/>
      <c r="X1528" s="7" t="n"/>
      <c r="Y1528" s="7" t="n"/>
      <c r="Z1528" s="7" t="n"/>
      <c r="AA1528" s="9">
        <f>IF(A1528="","",A1528&amp;"|"&amp;COUNTIF($A$2:A1528,A1528))</f>
        <v/>
      </c>
    </row>
    <row r="1529">
      <c r="A1529" s="7" t="n"/>
      <c r="B1529" s="7" t="n"/>
      <c r="C1529" s="7" t="n"/>
      <c r="D1529" s="8" t="n"/>
      <c r="E1529" s="7" t="n"/>
      <c r="F1529" s="7" t="n"/>
      <c r="G1529" s="7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9">
        <f>IF(A1529="","",A1529&amp;"|"&amp;COUNTIF($A$2:A1529,A1529))</f>
        <v/>
      </c>
    </row>
    <row r="1530">
      <c r="A1530" s="7" t="n"/>
      <c r="B1530" s="7" t="n"/>
      <c r="C1530" s="7" t="n"/>
      <c r="D1530" s="8" t="n"/>
      <c r="E1530" s="7" t="n"/>
      <c r="F1530" s="7" t="n"/>
      <c r="G1530" s="7" t="n"/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S1530" s="7" t="n"/>
      <c r="T1530" s="7" t="n"/>
      <c r="U1530" s="7" t="n"/>
      <c r="V1530" s="7" t="n"/>
      <c r="W1530" s="7" t="n"/>
      <c r="X1530" s="7" t="n"/>
      <c r="Y1530" s="7" t="n"/>
      <c r="Z1530" s="7" t="n"/>
      <c r="AA1530" s="9">
        <f>IF(A1530="","",A1530&amp;"|"&amp;COUNTIF($A$2:A1530,A1530))</f>
        <v/>
      </c>
    </row>
    <row r="1531">
      <c r="A1531" s="7" t="n"/>
      <c r="B1531" s="7" t="n"/>
      <c r="C1531" s="7" t="n"/>
      <c r="D1531" s="8" t="n"/>
      <c r="E1531" s="7" t="n"/>
      <c r="F1531" s="7" t="n"/>
      <c r="G1531" s="7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9">
        <f>IF(A1531="","",A1531&amp;"|"&amp;COUNTIF($A$2:A1531,A1531))</f>
        <v/>
      </c>
    </row>
    <row r="1532">
      <c r="A1532" s="7" t="n"/>
      <c r="B1532" s="7" t="n"/>
      <c r="C1532" s="7" t="n"/>
      <c r="D1532" s="8" t="n"/>
      <c r="E1532" s="7" t="n"/>
      <c r="F1532" s="7" t="n"/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S1532" s="7" t="n"/>
      <c r="T1532" s="7" t="n"/>
      <c r="U1532" s="7" t="n"/>
      <c r="V1532" s="7" t="n"/>
      <c r="W1532" s="7" t="n"/>
      <c r="X1532" s="7" t="n"/>
      <c r="Y1532" s="7" t="n"/>
      <c r="Z1532" s="7" t="n"/>
      <c r="AA1532" s="9">
        <f>IF(A1532="","",A1532&amp;"|"&amp;COUNTIF($A$2:A1532,A1532))</f>
        <v/>
      </c>
    </row>
    <row r="1533">
      <c r="A1533" s="7" t="n"/>
      <c r="B1533" s="7" t="n"/>
      <c r="C1533" s="7" t="n"/>
      <c r="D1533" s="8" t="n"/>
      <c r="E1533" s="7" t="n"/>
      <c r="F1533" s="7" t="n"/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9">
        <f>IF(A1533="","",A1533&amp;"|"&amp;COUNTIF($A$2:A1533,A1533))</f>
        <v/>
      </c>
    </row>
    <row r="1534">
      <c r="A1534" s="7" t="n"/>
      <c r="B1534" s="7" t="n"/>
      <c r="C1534" s="7" t="n"/>
      <c r="D1534" s="8" t="n"/>
      <c r="E1534" s="7" t="n"/>
      <c r="F1534" s="7" t="n"/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S1534" s="7" t="n"/>
      <c r="T1534" s="7" t="n"/>
      <c r="U1534" s="7" t="n"/>
      <c r="V1534" s="7" t="n"/>
      <c r="W1534" s="7" t="n"/>
      <c r="X1534" s="7" t="n"/>
      <c r="Y1534" s="7" t="n"/>
      <c r="Z1534" s="7" t="n"/>
      <c r="AA1534" s="9">
        <f>IF(A1534="","",A1534&amp;"|"&amp;COUNTIF($A$2:A1534,A1534))</f>
        <v/>
      </c>
    </row>
    <row r="1535">
      <c r="A1535" s="7" t="n"/>
      <c r="B1535" s="7" t="n"/>
      <c r="C1535" s="7" t="n"/>
      <c r="D1535" s="8" t="n"/>
      <c r="E1535" s="7" t="n"/>
      <c r="F1535" s="7" t="n"/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9">
        <f>IF(A1535="","",A1535&amp;"|"&amp;COUNTIF($A$2:A1535,A1535))</f>
        <v/>
      </c>
    </row>
    <row r="1536">
      <c r="A1536" s="7" t="n"/>
      <c r="B1536" s="7" t="n"/>
      <c r="C1536" s="7" t="n"/>
      <c r="D1536" s="8" t="n"/>
      <c r="E1536" s="7" t="n"/>
      <c r="F1536" s="7" t="n"/>
      <c r="G1536" s="7" t="n"/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S1536" s="7" t="n"/>
      <c r="T1536" s="7" t="n"/>
      <c r="U1536" s="7" t="n"/>
      <c r="V1536" s="7" t="n"/>
      <c r="W1536" s="7" t="n"/>
      <c r="X1536" s="7" t="n"/>
      <c r="Y1536" s="7" t="n"/>
      <c r="Z1536" s="7" t="n"/>
      <c r="AA1536" s="9">
        <f>IF(A1536="","",A1536&amp;"|"&amp;COUNTIF($A$2:A1536,A1536))</f>
        <v/>
      </c>
    </row>
    <row r="1537">
      <c r="A1537" s="7" t="n"/>
      <c r="B1537" s="7" t="n"/>
      <c r="C1537" s="7" t="n"/>
      <c r="D1537" s="8" t="n"/>
      <c r="E1537" s="7" t="n"/>
      <c r="F1537" s="7" t="n"/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9">
        <f>IF(A1537="","",A1537&amp;"|"&amp;COUNTIF($A$2:A1537,A1537))</f>
        <v/>
      </c>
    </row>
    <row r="1538">
      <c r="A1538" s="7" t="n"/>
      <c r="B1538" s="7" t="n"/>
      <c r="C1538" s="7" t="n"/>
      <c r="D1538" s="8" t="n"/>
      <c r="E1538" s="7" t="n"/>
      <c r="F1538" s="7" t="n"/>
      <c r="G1538" s="7" t="n"/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S1538" s="7" t="n"/>
      <c r="T1538" s="7" t="n"/>
      <c r="U1538" s="7" t="n"/>
      <c r="V1538" s="7" t="n"/>
      <c r="W1538" s="7" t="n"/>
      <c r="X1538" s="7" t="n"/>
      <c r="Y1538" s="7" t="n"/>
      <c r="Z1538" s="7" t="n"/>
      <c r="AA1538" s="9">
        <f>IF(A1538="","",A1538&amp;"|"&amp;COUNTIF($A$2:A1538,A1538))</f>
        <v/>
      </c>
    </row>
    <row r="1539">
      <c r="A1539" s="7" t="n"/>
      <c r="B1539" s="7" t="n"/>
      <c r="C1539" s="7" t="n"/>
      <c r="D1539" s="8" t="n"/>
      <c r="E1539" s="7" t="n"/>
      <c r="F1539" s="7" t="n"/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9">
        <f>IF(A1539="","",A1539&amp;"|"&amp;COUNTIF($A$2:A1539,A1539))</f>
        <v/>
      </c>
    </row>
    <row r="1540">
      <c r="A1540" s="7" t="n"/>
      <c r="B1540" s="7" t="n"/>
      <c r="C1540" s="7" t="n"/>
      <c r="D1540" s="8" t="n"/>
      <c r="E1540" s="7" t="n"/>
      <c r="F1540" s="7" t="n"/>
      <c r="G1540" s="7" t="n"/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7" t="n"/>
      <c r="X1540" s="7" t="n"/>
      <c r="Y1540" s="7" t="n"/>
      <c r="Z1540" s="7" t="n"/>
      <c r="AA1540" s="9">
        <f>IF(A1540="","",A1540&amp;"|"&amp;COUNTIF($A$2:A1540,A1540))</f>
        <v/>
      </c>
    </row>
    <row r="1541">
      <c r="A1541" s="7" t="n"/>
      <c r="B1541" s="7" t="n"/>
      <c r="C1541" s="7" t="n"/>
      <c r="D1541" s="8" t="n"/>
      <c r="E1541" s="7" t="n"/>
      <c r="F1541" s="7" t="n"/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9">
        <f>IF(A1541="","",A1541&amp;"|"&amp;COUNTIF($A$2:A1541,A1541))</f>
        <v/>
      </c>
    </row>
    <row r="1542">
      <c r="A1542" s="7" t="n"/>
      <c r="B1542" s="7" t="n"/>
      <c r="C1542" s="7" t="n"/>
      <c r="D1542" s="8" t="n"/>
      <c r="E1542" s="7" t="n"/>
      <c r="F1542" s="7" t="n"/>
      <c r="G1542" s="7" t="n"/>
      <c r="H1542" s="7" t="n"/>
      <c r="I1542" s="7" t="n"/>
      <c r="J1542" s="7" t="n"/>
      <c r="K1542" s="7" t="n"/>
      <c r="L1542" s="7" t="n"/>
      <c r="M1542" s="7" t="n"/>
      <c r="N1542" s="7" t="n"/>
      <c r="O1542" s="7" t="n"/>
      <c r="P1542" s="7" t="n"/>
      <c r="Q1542" s="7" t="n"/>
      <c r="R1542" s="7" t="n"/>
      <c r="S1542" s="7" t="n"/>
      <c r="T1542" s="7" t="n"/>
      <c r="U1542" s="7" t="n"/>
      <c r="V1542" s="7" t="n"/>
      <c r="W1542" s="7" t="n"/>
      <c r="X1542" s="7" t="n"/>
      <c r="Y1542" s="7" t="n"/>
      <c r="Z1542" s="7" t="n"/>
      <c r="AA1542" s="9">
        <f>IF(A1542="","",A1542&amp;"|"&amp;COUNTIF($A$2:A1542,A1542))</f>
        <v/>
      </c>
    </row>
    <row r="1543">
      <c r="A1543" s="7" t="n"/>
      <c r="B1543" s="7" t="n"/>
      <c r="C1543" s="7" t="n"/>
      <c r="D1543" s="8" t="n"/>
      <c r="E1543" s="7" t="n"/>
      <c r="F1543" s="7" t="n"/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9">
        <f>IF(A1543="","",A1543&amp;"|"&amp;COUNTIF($A$2:A1543,A1543))</f>
        <v/>
      </c>
    </row>
    <row r="1544">
      <c r="A1544" s="7" t="n"/>
      <c r="B1544" s="7" t="n"/>
      <c r="C1544" s="7" t="n"/>
      <c r="D1544" s="8" t="n"/>
      <c r="E1544" s="7" t="n"/>
      <c r="F1544" s="7" t="n"/>
      <c r="G1544" s="7" t="n"/>
      <c r="H1544" s="7" t="n"/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/>
      <c r="S1544" s="7" t="n"/>
      <c r="T1544" s="7" t="n"/>
      <c r="U1544" s="7" t="n"/>
      <c r="V1544" s="7" t="n"/>
      <c r="W1544" s="7" t="n"/>
      <c r="X1544" s="7" t="n"/>
      <c r="Y1544" s="7" t="n"/>
      <c r="Z1544" s="7" t="n"/>
      <c r="AA1544" s="9">
        <f>IF(A1544="","",A1544&amp;"|"&amp;COUNTIF($A$2:A1544,A1544))</f>
        <v/>
      </c>
    </row>
    <row r="1545">
      <c r="A1545" s="7" t="n"/>
      <c r="B1545" s="7" t="n"/>
      <c r="C1545" s="7" t="n"/>
      <c r="D1545" s="8" t="n"/>
      <c r="E1545" s="7" t="n"/>
      <c r="F1545" s="7" t="n"/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9">
        <f>IF(A1545="","",A1545&amp;"|"&amp;COUNTIF($A$2:A1545,A1545))</f>
        <v/>
      </c>
    </row>
    <row r="1546">
      <c r="A1546" s="7" t="n"/>
      <c r="B1546" s="7" t="n"/>
      <c r="C1546" s="7" t="n"/>
      <c r="D1546" s="8" t="n"/>
      <c r="E1546" s="7" t="n"/>
      <c r="F1546" s="7" t="n"/>
      <c r="G1546" s="7" t="n"/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S1546" s="7" t="n"/>
      <c r="T1546" s="7" t="n"/>
      <c r="U1546" s="7" t="n"/>
      <c r="V1546" s="7" t="n"/>
      <c r="W1546" s="7" t="n"/>
      <c r="X1546" s="7" t="n"/>
      <c r="Y1546" s="7" t="n"/>
      <c r="Z1546" s="7" t="n"/>
      <c r="AA1546" s="9">
        <f>IF(A1546="","",A1546&amp;"|"&amp;COUNTIF($A$2:A1546,A1546))</f>
        <v/>
      </c>
    </row>
    <row r="1547">
      <c r="A1547" s="7" t="n"/>
      <c r="B1547" s="7" t="n"/>
      <c r="C1547" s="7" t="n"/>
      <c r="D1547" s="8" t="n"/>
      <c r="E1547" s="7" t="n"/>
      <c r="F1547" s="7" t="n"/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9">
        <f>IF(A1547="","",A1547&amp;"|"&amp;COUNTIF($A$2:A1547,A1547))</f>
        <v/>
      </c>
    </row>
    <row r="1548">
      <c r="A1548" s="7" t="n"/>
      <c r="B1548" s="7" t="n"/>
      <c r="C1548" s="7" t="n"/>
      <c r="D1548" s="8" t="n"/>
      <c r="E1548" s="7" t="n"/>
      <c r="F1548" s="7" t="n"/>
      <c r="G1548" s="7" t="n"/>
      <c r="H1548" s="7" t="n"/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S1548" s="7" t="n"/>
      <c r="T1548" s="7" t="n"/>
      <c r="U1548" s="7" t="n"/>
      <c r="V1548" s="7" t="n"/>
      <c r="W1548" s="7" t="n"/>
      <c r="X1548" s="7" t="n"/>
      <c r="Y1548" s="7" t="n"/>
      <c r="Z1548" s="7" t="n"/>
      <c r="AA1548" s="9">
        <f>IF(A1548="","",A1548&amp;"|"&amp;COUNTIF($A$2:A1548,A1548))</f>
        <v/>
      </c>
    </row>
    <row r="1549">
      <c r="A1549" s="7" t="n"/>
      <c r="B1549" s="7" t="n"/>
      <c r="C1549" s="7" t="n"/>
      <c r="D1549" s="8" t="n"/>
      <c r="E1549" s="7" t="n"/>
      <c r="F1549" s="7" t="n"/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9">
        <f>IF(A1549="","",A1549&amp;"|"&amp;COUNTIF($A$2:A1549,A1549))</f>
        <v/>
      </c>
    </row>
    <row r="1550">
      <c r="A1550" s="7" t="n"/>
      <c r="B1550" s="7" t="n"/>
      <c r="C1550" s="7" t="n"/>
      <c r="D1550" s="8" t="n"/>
      <c r="E1550" s="7" t="n"/>
      <c r="F1550" s="7" t="n"/>
      <c r="G1550" s="7" t="n"/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S1550" s="7" t="n"/>
      <c r="T1550" s="7" t="n"/>
      <c r="U1550" s="7" t="n"/>
      <c r="V1550" s="7" t="n"/>
      <c r="W1550" s="7" t="n"/>
      <c r="X1550" s="7" t="n"/>
      <c r="Y1550" s="7" t="n"/>
      <c r="Z1550" s="7" t="n"/>
      <c r="AA1550" s="9">
        <f>IF(A1550="","",A1550&amp;"|"&amp;COUNTIF($A$2:A1550,A1550))</f>
        <v/>
      </c>
    </row>
    <row r="1551">
      <c r="A1551" s="7" t="n"/>
      <c r="B1551" s="7" t="n"/>
      <c r="C1551" s="7" t="n"/>
      <c r="D1551" s="8" t="n"/>
      <c r="E1551" s="7" t="n"/>
      <c r="F1551" s="7" t="n"/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9">
        <f>IF(A1551="","",A1551&amp;"|"&amp;COUNTIF($A$2:A1551,A1551))</f>
        <v/>
      </c>
    </row>
    <row r="1552">
      <c r="A1552" s="7" t="n"/>
      <c r="B1552" s="7" t="n"/>
      <c r="C1552" s="7" t="n"/>
      <c r="D1552" s="8" t="n"/>
      <c r="E1552" s="7" t="n"/>
      <c r="F1552" s="7" t="n"/>
      <c r="G1552" s="7" t="n"/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7" t="n"/>
      <c r="X1552" s="7" t="n"/>
      <c r="Y1552" s="7" t="n"/>
      <c r="Z1552" s="7" t="n"/>
      <c r="AA1552" s="9">
        <f>IF(A1552="","",A1552&amp;"|"&amp;COUNTIF($A$2:A1552,A1552))</f>
        <v/>
      </c>
    </row>
    <row r="1553">
      <c r="A1553" s="7" t="n"/>
      <c r="B1553" s="7" t="n"/>
      <c r="C1553" s="7" t="n"/>
      <c r="D1553" s="8" t="n"/>
      <c r="E1553" s="7" t="n"/>
      <c r="F1553" s="7" t="n"/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9">
        <f>IF(A1553="","",A1553&amp;"|"&amp;COUNTIF($A$2:A1553,A1553))</f>
        <v/>
      </c>
    </row>
    <row r="1554">
      <c r="A1554" s="7" t="n"/>
      <c r="B1554" s="7" t="n"/>
      <c r="C1554" s="7" t="n"/>
      <c r="D1554" s="8" t="n"/>
      <c r="E1554" s="7" t="n"/>
      <c r="F1554" s="7" t="n"/>
      <c r="G1554" s="7" t="n"/>
      <c r="H1554" s="7" t="n"/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S1554" s="7" t="n"/>
      <c r="T1554" s="7" t="n"/>
      <c r="U1554" s="7" t="n"/>
      <c r="V1554" s="7" t="n"/>
      <c r="W1554" s="7" t="n"/>
      <c r="X1554" s="7" t="n"/>
      <c r="Y1554" s="7" t="n"/>
      <c r="Z1554" s="7" t="n"/>
      <c r="AA1554" s="9">
        <f>IF(A1554="","",A1554&amp;"|"&amp;COUNTIF($A$2:A1554,A1554))</f>
        <v/>
      </c>
    </row>
    <row r="1555">
      <c r="A1555" s="7" t="n"/>
      <c r="B1555" s="7" t="n"/>
      <c r="C1555" s="7" t="n"/>
      <c r="D1555" s="8" t="n"/>
      <c r="E1555" s="7" t="n"/>
      <c r="F1555" s="7" t="n"/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9">
        <f>IF(A1555="","",A1555&amp;"|"&amp;COUNTIF($A$2:A1555,A1555))</f>
        <v/>
      </c>
    </row>
    <row r="1556">
      <c r="A1556" s="7" t="n"/>
      <c r="B1556" s="7" t="n"/>
      <c r="C1556" s="7" t="n"/>
      <c r="D1556" s="8" t="n"/>
      <c r="E1556" s="7" t="n"/>
      <c r="F1556" s="7" t="n"/>
      <c r="G1556" s="7" t="n"/>
      <c r="H1556" s="7" t="n"/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S1556" s="7" t="n"/>
      <c r="T1556" s="7" t="n"/>
      <c r="U1556" s="7" t="n"/>
      <c r="V1556" s="7" t="n"/>
      <c r="W1556" s="7" t="n"/>
      <c r="X1556" s="7" t="n"/>
      <c r="Y1556" s="7" t="n"/>
      <c r="Z1556" s="7" t="n"/>
      <c r="AA1556" s="9">
        <f>IF(A1556="","",A1556&amp;"|"&amp;COUNTIF($A$2:A1556,A1556))</f>
        <v/>
      </c>
    </row>
    <row r="1557">
      <c r="A1557" s="7" t="n"/>
      <c r="B1557" s="7" t="n"/>
      <c r="C1557" s="7" t="n"/>
      <c r="D1557" s="8" t="n"/>
      <c r="E1557" s="7" t="n"/>
      <c r="F1557" s="7" t="n"/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9">
        <f>IF(A1557="","",A1557&amp;"|"&amp;COUNTIF($A$2:A1557,A1557))</f>
        <v/>
      </c>
    </row>
    <row r="1558">
      <c r="A1558" s="7" t="n"/>
      <c r="B1558" s="7" t="n"/>
      <c r="C1558" s="7" t="n"/>
      <c r="D1558" s="8" t="n"/>
      <c r="E1558" s="7" t="n"/>
      <c r="F1558" s="7" t="n"/>
      <c r="G1558" s="7" t="n"/>
      <c r="H1558" s="7" t="n"/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S1558" s="7" t="n"/>
      <c r="T1558" s="7" t="n"/>
      <c r="U1558" s="7" t="n"/>
      <c r="V1558" s="7" t="n"/>
      <c r="W1558" s="7" t="n"/>
      <c r="X1558" s="7" t="n"/>
      <c r="Y1558" s="7" t="n"/>
      <c r="Z1558" s="7" t="n"/>
      <c r="AA1558" s="9">
        <f>IF(A1558="","",A1558&amp;"|"&amp;COUNTIF($A$2:A1558,A1558))</f>
        <v/>
      </c>
    </row>
    <row r="1559">
      <c r="A1559" s="7" t="n"/>
      <c r="B1559" s="7" t="n"/>
      <c r="C1559" s="7" t="n"/>
      <c r="D1559" s="8" t="n"/>
      <c r="E1559" s="7" t="n"/>
      <c r="F1559" s="7" t="n"/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9">
        <f>IF(A1559="","",A1559&amp;"|"&amp;COUNTIF($A$2:A1559,A1559))</f>
        <v/>
      </c>
    </row>
    <row r="1560">
      <c r="A1560" s="7" t="n"/>
      <c r="B1560" s="7" t="n"/>
      <c r="C1560" s="7" t="n"/>
      <c r="D1560" s="8" t="n"/>
      <c r="E1560" s="7" t="n"/>
      <c r="F1560" s="7" t="n"/>
      <c r="G1560" s="7" t="n"/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S1560" s="7" t="n"/>
      <c r="T1560" s="7" t="n"/>
      <c r="U1560" s="7" t="n"/>
      <c r="V1560" s="7" t="n"/>
      <c r="W1560" s="7" t="n"/>
      <c r="X1560" s="7" t="n"/>
      <c r="Y1560" s="7" t="n"/>
      <c r="Z1560" s="7" t="n"/>
      <c r="AA1560" s="9">
        <f>IF(A1560="","",A1560&amp;"|"&amp;COUNTIF($A$2:A1560,A1560))</f>
        <v/>
      </c>
    </row>
    <row r="1561">
      <c r="A1561" s="7" t="n"/>
      <c r="B1561" s="7" t="n"/>
      <c r="C1561" s="7" t="n"/>
      <c r="D1561" s="8" t="n"/>
      <c r="E1561" s="7" t="n"/>
      <c r="F1561" s="7" t="n"/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9">
        <f>IF(A1561="","",A1561&amp;"|"&amp;COUNTIF($A$2:A1561,A1561))</f>
        <v/>
      </c>
    </row>
    <row r="1562">
      <c r="A1562" s="7" t="n"/>
      <c r="B1562" s="7" t="n"/>
      <c r="C1562" s="7" t="n"/>
      <c r="D1562" s="8" t="n"/>
      <c r="E1562" s="7" t="n"/>
      <c r="F1562" s="7" t="n"/>
      <c r="G1562" s="7" t="n"/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7" t="n"/>
      <c r="X1562" s="7" t="n"/>
      <c r="Y1562" s="7" t="n"/>
      <c r="Z1562" s="7" t="n"/>
      <c r="AA1562" s="9">
        <f>IF(A1562="","",A1562&amp;"|"&amp;COUNTIF($A$2:A1562,A1562))</f>
        <v/>
      </c>
    </row>
    <row r="1563">
      <c r="A1563" s="7" t="n"/>
      <c r="B1563" s="7" t="n"/>
      <c r="C1563" s="7" t="n"/>
      <c r="D1563" s="8" t="n"/>
      <c r="E1563" s="7" t="n"/>
      <c r="F1563" s="7" t="n"/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9">
        <f>IF(A1563="","",A1563&amp;"|"&amp;COUNTIF($A$2:A1563,A1563))</f>
        <v/>
      </c>
    </row>
    <row r="1564">
      <c r="A1564" s="7" t="n"/>
      <c r="B1564" s="7" t="n"/>
      <c r="C1564" s="7" t="n"/>
      <c r="D1564" s="8" t="n"/>
      <c r="E1564" s="7" t="n"/>
      <c r="F1564" s="7" t="n"/>
      <c r="G1564" s="7" t="n"/>
      <c r="H1564" s="7" t="n"/>
      <c r="I1564" s="7" t="n"/>
      <c r="J1564" s="7" t="n"/>
      <c r="K1564" s="7" t="n"/>
      <c r="L1564" s="7" t="n"/>
      <c r="M1564" s="7" t="n"/>
      <c r="N1564" s="7" t="n"/>
      <c r="O1564" s="7" t="n"/>
      <c r="P1564" s="7" t="n"/>
      <c r="Q1564" s="7" t="n"/>
      <c r="R1564" s="7" t="n"/>
      <c r="S1564" s="7" t="n"/>
      <c r="T1564" s="7" t="n"/>
      <c r="U1564" s="7" t="n"/>
      <c r="V1564" s="7" t="n"/>
      <c r="W1564" s="7" t="n"/>
      <c r="X1564" s="7" t="n"/>
      <c r="Y1564" s="7" t="n"/>
      <c r="Z1564" s="7" t="n"/>
      <c r="AA1564" s="9">
        <f>IF(A1564="","",A1564&amp;"|"&amp;COUNTIF($A$2:A1564,A1564))</f>
        <v/>
      </c>
    </row>
    <row r="1565">
      <c r="A1565" s="7" t="n"/>
      <c r="B1565" s="7" t="n"/>
      <c r="C1565" s="7" t="n"/>
      <c r="D1565" s="8" t="n"/>
      <c r="E1565" s="7" t="n"/>
      <c r="F1565" s="7" t="n"/>
      <c r="G1565" s="7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  <c r="R1565" s="7" t="n"/>
      <c r="S1565" s="7" t="n"/>
      <c r="T1565" s="7" t="n"/>
      <c r="U1565" s="7" t="n"/>
      <c r="V1565" s="7" t="n"/>
      <c r="W1565" s="7" t="n"/>
      <c r="X1565" s="7" t="n"/>
      <c r="Y1565" s="7" t="n"/>
      <c r="Z1565" s="7" t="n"/>
      <c r="AA1565" s="9">
        <f>IF(A1565="","",A1565&amp;"|"&amp;COUNTIF($A$2:A1565,A1565))</f>
        <v/>
      </c>
    </row>
    <row r="1566">
      <c r="A1566" s="7" t="n"/>
      <c r="B1566" s="7" t="n"/>
      <c r="C1566" s="7" t="n"/>
      <c r="D1566" s="8" t="n"/>
      <c r="E1566" s="7" t="n"/>
      <c r="F1566" s="7" t="n"/>
      <c r="G1566" s="7" t="n"/>
      <c r="H1566" s="7" t="n"/>
      <c r="I1566" s="7" t="n"/>
      <c r="J1566" s="7" t="n"/>
      <c r="K1566" s="7" t="n"/>
      <c r="L1566" s="7" t="n"/>
      <c r="M1566" s="7" t="n"/>
      <c r="N1566" s="7" t="n"/>
      <c r="O1566" s="7" t="n"/>
      <c r="P1566" s="7" t="n"/>
      <c r="Q1566" s="7" t="n"/>
      <c r="R1566" s="7" t="n"/>
      <c r="S1566" s="7" t="n"/>
      <c r="T1566" s="7" t="n"/>
      <c r="U1566" s="7" t="n"/>
      <c r="V1566" s="7" t="n"/>
      <c r="W1566" s="7" t="n"/>
      <c r="X1566" s="7" t="n"/>
      <c r="Y1566" s="7" t="n"/>
      <c r="Z1566" s="7" t="n"/>
      <c r="AA1566" s="9">
        <f>IF(A1566="","",A1566&amp;"|"&amp;COUNTIF($A$2:A1566,A1566))</f>
        <v/>
      </c>
    </row>
    <row r="1567">
      <c r="A1567" s="7" t="n"/>
      <c r="B1567" s="7" t="n"/>
      <c r="C1567" s="7" t="n"/>
      <c r="D1567" s="8" t="n"/>
      <c r="E1567" s="7" t="n"/>
      <c r="F1567" s="7" t="n"/>
      <c r="G1567" s="7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  <c r="R1567" s="7" t="n"/>
      <c r="S1567" s="7" t="n"/>
      <c r="T1567" s="7" t="n"/>
      <c r="U1567" s="7" t="n"/>
      <c r="V1567" s="7" t="n"/>
      <c r="W1567" s="7" t="n"/>
      <c r="X1567" s="7" t="n"/>
      <c r="Y1567" s="7" t="n"/>
      <c r="Z1567" s="7" t="n"/>
      <c r="AA1567" s="9">
        <f>IF(A1567="","",A1567&amp;"|"&amp;COUNTIF($A$2:A1567,A1567))</f>
        <v/>
      </c>
    </row>
    <row r="1568">
      <c r="A1568" s="7" t="n"/>
      <c r="B1568" s="7" t="n"/>
      <c r="C1568" s="7" t="n"/>
      <c r="D1568" s="8" t="n"/>
      <c r="E1568" s="7" t="n"/>
      <c r="F1568" s="7" t="n"/>
      <c r="G1568" s="7" t="n"/>
      <c r="H1568" s="7" t="n"/>
      <c r="I1568" s="7" t="n"/>
      <c r="J1568" s="7" t="n"/>
      <c r="K1568" s="7" t="n"/>
      <c r="L1568" s="7" t="n"/>
      <c r="M1568" s="7" t="n"/>
      <c r="N1568" s="7" t="n"/>
      <c r="O1568" s="7" t="n"/>
      <c r="P1568" s="7" t="n"/>
      <c r="Q1568" s="7" t="n"/>
      <c r="R1568" s="7" t="n"/>
      <c r="S1568" s="7" t="n"/>
      <c r="T1568" s="7" t="n"/>
      <c r="U1568" s="7" t="n"/>
      <c r="V1568" s="7" t="n"/>
      <c r="W1568" s="7" t="n"/>
      <c r="X1568" s="7" t="n"/>
      <c r="Y1568" s="7" t="n"/>
      <c r="Z1568" s="7" t="n"/>
      <c r="AA1568" s="9">
        <f>IF(A1568="","",A1568&amp;"|"&amp;COUNTIF($A$2:A1568,A1568))</f>
        <v/>
      </c>
    </row>
    <row r="1569">
      <c r="A1569" s="7" t="n"/>
      <c r="B1569" s="7" t="n"/>
      <c r="C1569" s="7" t="n"/>
      <c r="D1569" s="8" t="n"/>
      <c r="E1569" s="7" t="n"/>
      <c r="F1569" s="7" t="n"/>
      <c r="G1569" s="7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  <c r="R1569" s="7" t="n"/>
      <c r="S1569" s="7" t="n"/>
      <c r="T1569" s="7" t="n"/>
      <c r="U1569" s="7" t="n"/>
      <c r="V1569" s="7" t="n"/>
      <c r="W1569" s="7" t="n"/>
      <c r="X1569" s="7" t="n"/>
      <c r="Y1569" s="7" t="n"/>
      <c r="Z1569" s="7" t="n"/>
      <c r="AA1569" s="9">
        <f>IF(A1569="","",A1569&amp;"|"&amp;COUNTIF($A$2:A1569,A1569))</f>
        <v/>
      </c>
    </row>
    <row r="1570">
      <c r="A1570" s="7" t="n"/>
      <c r="B1570" s="7" t="n"/>
      <c r="C1570" s="7" t="n"/>
      <c r="D1570" s="8" t="n"/>
      <c r="E1570" s="7" t="n"/>
      <c r="F1570" s="7" t="n"/>
      <c r="G1570" s="7" t="n"/>
      <c r="H1570" s="7" t="n"/>
      <c r="I1570" s="7" t="n"/>
      <c r="J1570" s="7" t="n"/>
      <c r="K1570" s="7" t="n"/>
      <c r="L1570" s="7" t="n"/>
      <c r="M1570" s="7" t="n"/>
      <c r="N1570" s="7" t="n"/>
      <c r="O1570" s="7" t="n"/>
      <c r="P1570" s="7" t="n"/>
      <c r="Q1570" s="7" t="n"/>
      <c r="R1570" s="7" t="n"/>
      <c r="S1570" s="7" t="n"/>
      <c r="T1570" s="7" t="n"/>
      <c r="U1570" s="7" t="n"/>
      <c r="V1570" s="7" t="n"/>
      <c r="W1570" s="7" t="n"/>
      <c r="X1570" s="7" t="n"/>
      <c r="Y1570" s="7" t="n"/>
      <c r="Z1570" s="7" t="n"/>
      <c r="AA1570" s="9">
        <f>IF(A1570="","",A1570&amp;"|"&amp;COUNTIF($A$2:A1570,A1570))</f>
        <v/>
      </c>
    </row>
    <row r="1571">
      <c r="A1571" s="7" t="n"/>
      <c r="B1571" s="7" t="n"/>
      <c r="C1571" s="7" t="n"/>
      <c r="D1571" s="8" t="n"/>
      <c r="E1571" s="7" t="n"/>
      <c r="F1571" s="7" t="n"/>
      <c r="G1571" s="7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  <c r="R1571" s="7" t="n"/>
      <c r="S1571" s="7" t="n"/>
      <c r="T1571" s="7" t="n"/>
      <c r="U1571" s="7" t="n"/>
      <c r="V1571" s="7" t="n"/>
      <c r="W1571" s="7" t="n"/>
      <c r="X1571" s="7" t="n"/>
      <c r="Y1571" s="7" t="n"/>
      <c r="Z1571" s="7" t="n"/>
      <c r="AA1571" s="9">
        <f>IF(A1571="","",A1571&amp;"|"&amp;COUNTIF($A$2:A1571,A1571))</f>
        <v/>
      </c>
    </row>
    <row r="1572">
      <c r="A1572" s="7" t="n"/>
      <c r="B1572" s="7" t="n"/>
      <c r="C1572" s="7" t="n"/>
      <c r="D1572" s="8" t="n"/>
      <c r="E1572" s="7" t="n"/>
      <c r="F1572" s="7" t="n"/>
      <c r="G1572" s="7" t="n"/>
      <c r="H1572" s="7" t="n"/>
      <c r="I1572" s="7" t="n"/>
      <c r="J1572" s="7" t="n"/>
      <c r="K1572" s="7" t="n"/>
      <c r="L1572" s="7" t="n"/>
      <c r="M1572" s="7" t="n"/>
      <c r="N1572" s="7" t="n"/>
      <c r="O1572" s="7" t="n"/>
      <c r="P1572" s="7" t="n"/>
      <c r="Q1572" s="7" t="n"/>
      <c r="R1572" s="7" t="n"/>
      <c r="S1572" s="7" t="n"/>
      <c r="T1572" s="7" t="n"/>
      <c r="U1572" s="7" t="n"/>
      <c r="V1572" s="7" t="n"/>
      <c r="W1572" s="7" t="n"/>
      <c r="X1572" s="7" t="n"/>
      <c r="Y1572" s="7" t="n"/>
      <c r="Z1572" s="7" t="n"/>
      <c r="AA1572" s="9">
        <f>IF(A1572="","",A1572&amp;"|"&amp;COUNTIF($A$2:A1572,A1572))</f>
        <v/>
      </c>
    </row>
    <row r="1573">
      <c r="A1573" s="7" t="n"/>
      <c r="B1573" s="7" t="n"/>
      <c r="C1573" s="7" t="n"/>
      <c r="D1573" s="8" t="n"/>
      <c r="E1573" s="7" t="n"/>
      <c r="F1573" s="7" t="n"/>
      <c r="G1573" s="7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  <c r="Y1573" s="7" t="n"/>
      <c r="Z1573" s="7" t="n"/>
      <c r="AA1573" s="9">
        <f>IF(A1573="","",A1573&amp;"|"&amp;COUNTIF($A$2:A1573,A1573))</f>
        <v/>
      </c>
    </row>
    <row r="1574">
      <c r="A1574" s="7" t="n"/>
      <c r="B1574" s="7" t="n"/>
      <c r="C1574" s="7" t="n"/>
      <c r="D1574" s="8" t="n"/>
      <c r="E1574" s="7" t="n"/>
      <c r="F1574" s="7" t="n"/>
      <c r="G1574" s="7" t="n"/>
      <c r="H1574" s="7" t="n"/>
      <c r="I1574" s="7" t="n"/>
      <c r="J1574" s="7" t="n"/>
      <c r="K1574" s="7" t="n"/>
      <c r="L1574" s="7" t="n"/>
      <c r="M1574" s="7" t="n"/>
      <c r="N1574" s="7" t="n"/>
      <c r="O1574" s="7" t="n"/>
      <c r="P1574" s="7" t="n"/>
      <c r="Q1574" s="7" t="n"/>
      <c r="R1574" s="7" t="n"/>
      <c r="S1574" s="7" t="n"/>
      <c r="T1574" s="7" t="n"/>
      <c r="U1574" s="7" t="n"/>
      <c r="V1574" s="7" t="n"/>
      <c r="W1574" s="7" t="n"/>
      <c r="X1574" s="7" t="n"/>
      <c r="Y1574" s="7" t="n"/>
      <c r="Z1574" s="7" t="n"/>
      <c r="AA1574" s="9">
        <f>IF(A1574="","",A1574&amp;"|"&amp;COUNTIF($A$2:A1574,A1574))</f>
        <v/>
      </c>
    </row>
    <row r="1575">
      <c r="A1575" s="7" t="n"/>
      <c r="B1575" s="7" t="n"/>
      <c r="C1575" s="7" t="n"/>
      <c r="D1575" s="8" t="n"/>
      <c r="E1575" s="7" t="n"/>
      <c r="F1575" s="7" t="n"/>
      <c r="G1575" s="7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  <c r="R1575" s="7" t="n"/>
      <c r="S1575" s="7" t="n"/>
      <c r="T1575" s="7" t="n"/>
      <c r="U1575" s="7" t="n"/>
      <c r="V1575" s="7" t="n"/>
      <c r="W1575" s="7" t="n"/>
      <c r="X1575" s="7" t="n"/>
      <c r="Y1575" s="7" t="n"/>
      <c r="Z1575" s="7" t="n"/>
      <c r="AA1575" s="9">
        <f>IF(A1575="","",A1575&amp;"|"&amp;COUNTIF($A$2:A1575,A1575))</f>
        <v/>
      </c>
    </row>
    <row r="1576">
      <c r="A1576" s="7" t="n"/>
      <c r="B1576" s="7" t="n"/>
      <c r="C1576" s="7" t="n"/>
      <c r="D1576" s="8" t="n"/>
      <c r="E1576" s="7" t="n"/>
      <c r="F1576" s="7" t="n"/>
      <c r="G1576" s="7" t="n"/>
      <c r="H1576" s="7" t="n"/>
      <c r="I1576" s="7" t="n"/>
      <c r="J1576" s="7" t="n"/>
      <c r="K1576" s="7" t="n"/>
      <c r="L1576" s="7" t="n"/>
      <c r="M1576" s="7" t="n"/>
      <c r="N1576" s="7" t="n"/>
      <c r="O1576" s="7" t="n"/>
      <c r="P1576" s="7" t="n"/>
      <c r="Q1576" s="7" t="n"/>
      <c r="R1576" s="7" t="n"/>
      <c r="S1576" s="7" t="n"/>
      <c r="T1576" s="7" t="n"/>
      <c r="U1576" s="7" t="n"/>
      <c r="V1576" s="7" t="n"/>
      <c r="W1576" s="7" t="n"/>
      <c r="X1576" s="7" t="n"/>
      <c r="Y1576" s="7" t="n"/>
      <c r="Z1576" s="7" t="n"/>
      <c r="AA1576" s="9">
        <f>IF(A1576="","",A1576&amp;"|"&amp;COUNTIF($A$2:A1576,A1576))</f>
        <v/>
      </c>
    </row>
    <row r="1577">
      <c r="A1577" s="7" t="n"/>
      <c r="B1577" s="7" t="n"/>
      <c r="C1577" s="7" t="n"/>
      <c r="D1577" s="8" t="n"/>
      <c r="E1577" s="7" t="n"/>
      <c r="F1577" s="7" t="n"/>
      <c r="G1577" s="7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  <c r="R1577" s="7" t="n"/>
      <c r="S1577" s="7" t="n"/>
      <c r="T1577" s="7" t="n"/>
      <c r="U1577" s="7" t="n"/>
      <c r="V1577" s="7" t="n"/>
      <c r="W1577" s="7" t="n"/>
      <c r="X1577" s="7" t="n"/>
      <c r="Y1577" s="7" t="n"/>
      <c r="Z1577" s="7" t="n"/>
      <c r="AA1577" s="9">
        <f>IF(A1577="","",A1577&amp;"|"&amp;COUNTIF($A$2:A1577,A1577))</f>
        <v/>
      </c>
    </row>
    <row r="1578">
      <c r="A1578" s="7" t="n"/>
      <c r="B1578" s="7" t="n"/>
      <c r="C1578" s="7" t="n"/>
      <c r="D1578" s="8" t="n"/>
      <c r="E1578" s="7" t="n"/>
      <c r="F1578" s="7" t="n"/>
      <c r="G1578" s="7" t="n"/>
      <c r="H1578" s="7" t="n"/>
      <c r="I1578" s="7" t="n"/>
      <c r="J1578" s="7" t="n"/>
      <c r="K1578" s="7" t="n"/>
      <c r="L1578" s="7" t="n"/>
      <c r="M1578" s="7" t="n"/>
      <c r="N1578" s="7" t="n"/>
      <c r="O1578" s="7" t="n"/>
      <c r="P1578" s="7" t="n"/>
      <c r="Q1578" s="7" t="n"/>
      <c r="R1578" s="7" t="n"/>
      <c r="S1578" s="7" t="n"/>
      <c r="T1578" s="7" t="n"/>
      <c r="U1578" s="7" t="n"/>
      <c r="V1578" s="7" t="n"/>
      <c r="W1578" s="7" t="n"/>
      <c r="X1578" s="7" t="n"/>
      <c r="Y1578" s="7" t="n"/>
      <c r="Z1578" s="7" t="n"/>
      <c r="AA1578" s="9">
        <f>IF(A1578="","",A1578&amp;"|"&amp;COUNTIF($A$2:A1578,A1578))</f>
        <v/>
      </c>
    </row>
    <row r="1579">
      <c r="A1579" s="7" t="n"/>
      <c r="B1579" s="7" t="n"/>
      <c r="C1579" s="7" t="n"/>
      <c r="D1579" s="8" t="n"/>
      <c r="E1579" s="7" t="n"/>
      <c r="F1579" s="7" t="n"/>
      <c r="G1579" s="7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  <c r="R1579" s="7" t="n"/>
      <c r="S1579" s="7" t="n"/>
      <c r="T1579" s="7" t="n"/>
      <c r="U1579" s="7" t="n"/>
      <c r="V1579" s="7" t="n"/>
      <c r="W1579" s="7" t="n"/>
      <c r="X1579" s="7" t="n"/>
      <c r="Y1579" s="7" t="n"/>
      <c r="Z1579" s="7" t="n"/>
      <c r="AA1579" s="9">
        <f>IF(A1579="","",A1579&amp;"|"&amp;COUNTIF($A$2:A1579,A1579))</f>
        <v/>
      </c>
    </row>
    <row r="1580">
      <c r="A1580" s="7" t="n"/>
      <c r="B1580" s="7" t="n"/>
      <c r="C1580" s="7" t="n"/>
      <c r="D1580" s="8" t="n"/>
      <c r="E1580" s="7" t="n"/>
      <c r="F1580" s="7" t="n"/>
      <c r="G1580" s="7" t="n"/>
      <c r="H1580" s="7" t="n"/>
      <c r="I1580" s="7" t="n"/>
      <c r="J1580" s="7" t="n"/>
      <c r="K1580" s="7" t="n"/>
      <c r="L1580" s="7" t="n"/>
      <c r="M1580" s="7" t="n"/>
      <c r="N1580" s="7" t="n"/>
      <c r="O1580" s="7" t="n"/>
      <c r="P1580" s="7" t="n"/>
      <c r="Q1580" s="7" t="n"/>
      <c r="R1580" s="7" t="n"/>
      <c r="S1580" s="7" t="n"/>
      <c r="T1580" s="7" t="n"/>
      <c r="U1580" s="7" t="n"/>
      <c r="V1580" s="7" t="n"/>
      <c r="W1580" s="7" t="n"/>
      <c r="X1580" s="7" t="n"/>
      <c r="Y1580" s="7" t="n"/>
      <c r="Z1580" s="7" t="n"/>
      <c r="AA1580" s="9">
        <f>IF(A1580="","",A1580&amp;"|"&amp;COUNTIF($A$2:A1580,A1580))</f>
        <v/>
      </c>
    </row>
    <row r="1581">
      <c r="A1581" s="7" t="n"/>
      <c r="B1581" s="7" t="n"/>
      <c r="C1581" s="7" t="n"/>
      <c r="D1581" s="8" t="n"/>
      <c r="E1581" s="7" t="n"/>
      <c r="F1581" s="7" t="n"/>
      <c r="G1581" s="7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  <c r="R1581" s="7" t="n"/>
      <c r="S1581" s="7" t="n"/>
      <c r="T1581" s="7" t="n"/>
      <c r="U1581" s="7" t="n"/>
      <c r="V1581" s="7" t="n"/>
      <c r="W1581" s="7" t="n"/>
      <c r="X1581" s="7" t="n"/>
      <c r="Y1581" s="7" t="n"/>
      <c r="Z1581" s="7" t="n"/>
      <c r="AA1581" s="9">
        <f>IF(A1581="","",A1581&amp;"|"&amp;COUNTIF($A$2:A1581,A1581))</f>
        <v/>
      </c>
    </row>
    <row r="1582">
      <c r="A1582" s="7" t="n"/>
      <c r="B1582" s="7" t="n"/>
      <c r="C1582" s="7" t="n"/>
      <c r="D1582" s="8" t="n"/>
      <c r="E1582" s="7" t="n"/>
      <c r="F1582" s="7" t="n"/>
      <c r="G1582" s="7" t="n"/>
      <c r="H1582" s="7" t="n"/>
      <c r="I1582" s="7" t="n"/>
      <c r="J1582" s="7" t="n"/>
      <c r="K1582" s="7" t="n"/>
      <c r="L1582" s="7" t="n"/>
      <c r="M1582" s="7" t="n"/>
      <c r="N1582" s="7" t="n"/>
      <c r="O1582" s="7" t="n"/>
      <c r="P1582" s="7" t="n"/>
      <c r="Q1582" s="7" t="n"/>
      <c r="R1582" s="7" t="n"/>
      <c r="S1582" s="7" t="n"/>
      <c r="T1582" s="7" t="n"/>
      <c r="U1582" s="7" t="n"/>
      <c r="V1582" s="7" t="n"/>
      <c r="W1582" s="7" t="n"/>
      <c r="X1582" s="7" t="n"/>
      <c r="Y1582" s="7" t="n"/>
      <c r="Z1582" s="7" t="n"/>
      <c r="AA1582" s="9">
        <f>IF(A1582="","",A1582&amp;"|"&amp;COUNTIF($A$2:A1582,A1582))</f>
        <v/>
      </c>
    </row>
    <row r="1583">
      <c r="A1583" s="7" t="n"/>
      <c r="B1583" s="7" t="n"/>
      <c r="C1583" s="7" t="n"/>
      <c r="D1583" s="8" t="n"/>
      <c r="E1583" s="7" t="n"/>
      <c r="F1583" s="7" t="n"/>
      <c r="G1583" s="7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  <c r="R1583" s="7" t="n"/>
      <c r="S1583" s="7" t="n"/>
      <c r="T1583" s="7" t="n"/>
      <c r="U1583" s="7" t="n"/>
      <c r="V1583" s="7" t="n"/>
      <c r="W1583" s="7" t="n"/>
      <c r="X1583" s="7" t="n"/>
      <c r="Y1583" s="7" t="n"/>
      <c r="Z1583" s="7" t="n"/>
      <c r="AA1583" s="9">
        <f>IF(A1583="","",A1583&amp;"|"&amp;COUNTIF($A$2:A1583,A1583))</f>
        <v/>
      </c>
    </row>
    <row r="1584">
      <c r="A1584" s="7" t="n"/>
      <c r="B1584" s="7" t="n"/>
      <c r="C1584" s="7" t="n"/>
      <c r="D1584" s="8" t="n"/>
      <c r="E1584" s="7" t="n"/>
      <c r="F1584" s="7" t="n"/>
      <c r="G1584" s="7" t="n"/>
      <c r="H1584" s="7" t="n"/>
      <c r="I1584" s="7" t="n"/>
      <c r="J1584" s="7" t="n"/>
      <c r="K1584" s="7" t="n"/>
      <c r="L1584" s="7" t="n"/>
      <c r="M1584" s="7" t="n"/>
      <c r="N1584" s="7" t="n"/>
      <c r="O1584" s="7" t="n"/>
      <c r="P1584" s="7" t="n"/>
      <c r="Q1584" s="7" t="n"/>
      <c r="R1584" s="7" t="n"/>
      <c r="S1584" s="7" t="n"/>
      <c r="T1584" s="7" t="n"/>
      <c r="U1584" s="7" t="n"/>
      <c r="V1584" s="7" t="n"/>
      <c r="W1584" s="7" t="n"/>
      <c r="X1584" s="7" t="n"/>
      <c r="Y1584" s="7" t="n"/>
      <c r="Z1584" s="7" t="n"/>
      <c r="AA1584" s="9">
        <f>IF(A1584="","",A1584&amp;"|"&amp;COUNTIF($A$2:A1584,A1584))</f>
        <v/>
      </c>
    </row>
    <row r="1585">
      <c r="A1585" s="7" t="n"/>
      <c r="B1585" s="7" t="n"/>
      <c r="C1585" s="7" t="n"/>
      <c r="D1585" s="8" t="n"/>
      <c r="E1585" s="7" t="n"/>
      <c r="F1585" s="7" t="n"/>
      <c r="G1585" s="7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  <c r="R1585" s="7" t="n"/>
      <c r="S1585" s="7" t="n"/>
      <c r="T1585" s="7" t="n"/>
      <c r="U1585" s="7" t="n"/>
      <c r="V1585" s="7" t="n"/>
      <c r="W1585" s="7" t="n"/>
      <c r="X1585" s="7" t="n"/>
      <c r="Y1585" s="7" t="n"/>
      <c r="Z1585" s="7" t="n"/>
      <c r="AA1585" s="9">
        <f>IF(A1585="","",A1585&amp;"|"&amp;COUNTIF($A$2:A1585,A1585))</f>
        <v/>
      </c>
    </row>
    <row r="1586">
      <c r="A1586" s="7" t="n"/>
      <c r="B1586" s="7" t="n"/>
      <c r="C1586" s="7" t="n"/>
      <c r="D1586" s="8" t="n"/>
      <c r="E1586" s="7" t="n"/>
      <c r="F1586" s="7" t="n"/>
      <c r="G1586" s="7" t="n"/>
      <c r="H1586" s="7" t="n"/>
      <c r="I1586" s="7" t="n"/>
      <c r="J1586" s="7" t="n"/>
      <c r="K1586" s="7" t="n"/>
      <c r="L1586" s="7" t="n"/>
      <c r="M1586" s="7" t="n"/>
      <c r="N1586" s="7" t="n"/>
      <c r="O1586" s="7" t="n"/>
      <c r="P1586" s="7" t="n"/>
      <c r="Q1586" s="7" t="n"/>
      <c r="R1586" s="7" t="n"/>
      <c r="S1586" s="7" t="n"/>
      <c r="T1586" s="7" t="n"/>
      <c r="U1586" s="7" t="n"/>
      <c r="V1586" s="7" t="n"/>
      <c r="W1586" s="7" t="n"/>
      <c r="X1586" s="7" t="n"/>
      <c r="Y1586" s="7" t="n"/>
      <c r="Z1586" s="7" t="n"/>
      <c r="AA1586" s="9">
        <f>IF(A1586="","",A1586&amp;"|"&amp;COUNTIF($A$2:A1586,A1586))</f>
        <v/>
      </c>
    </row>
    <row r="1587">
      <c r="A1587" s="7" t="n"/>
      <c r="B1587" s="7" t="n"/>
      <c r="C1587" s="7" t="n"/>
      <c r="D1587" s="8" t="n"/>
      <c r="E1587" s="7" t="n"/>
      <c r="F1587" s="7" t="n"/>
      <c r="G1587" s="7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  <c r="R1587" s="7" t="n"/>
      <c r="S1587" s="7" t="n"/>
      <c r="T1587" s="7" t="n"/>
      <c r="U1587" s="7" t="n"/>
      <c r="V1587" s="7" t="n"/>
      <c r="W1587" s="7" t="n"/>
      <c r="X1587" s="7" t="n"/>
      <c r="Y1587" s="7" t="n"/>
      <c r="Z1587" s="7" t="n"/>
      <c r="AA1587" s="9">
        <f>IF(A1587="","",A1587&amp;"|"&amp;COUNTIF($A$2:A1587,A1587))</f>
        <v/>
      </c>
    </row>
    <row r="1588">
      <c r="A1588" s="7" t="n"/>
      <c r="B1588" s="7" t="n"/>
      <c r="C1588" s="7" t="n"/>
      <c r="D1588" s="8" t="n"/>
      <c r="E1588" s="7" t="n"/>
      <c r="F1588" s="7" t="n"/>
      <c r="G1588" s="7" t="n"/>
      <c r="H1588" s="7" t="n"/>
      <c r="I1588" s="7" t="n"/>
      <c r="J1588" s="7" t="n"/>
      <c r="K1588" s="7" t="n"/>
      <c r="L1588" s="7" t="n"/>
      <c r="M1588" s="7" t="n"/>
      <c r="N1588" s="7" t="n"/>
      <c r="O1588" s="7" t="n"/>
      <c r="P1588" s="7" t="n"/>
      <c r="Q1588" s="7" t="n"/>
      <c r="R1588" s="7" t="n"/>
      <c r="S1588" s="7" t="n"/>
      <c r="T1588" s="7" t="n"/>
      <c r="U1588" s="7" t="n"/>
      <c r="V1588" s="7" t="n"/>
      <c r="W1588" s="7" t="n"/>
      <c r="X1588" s="7" t="n"/>
      <c r="Y1588" s="7" t="n"/>
      <c r="Z1588" s="7" t="n"/>
      <c r="AA1588" s="9">
        <f>IF(A1588="","",A1588&amp;"|"&amp;COUNTIF($A$2:A1588,A1588))</f>
        <v/>
      </c>
    </row>
    <row r="1589">
      <c r="A1589" s="7" t="n"/>
      <c r="B1589" s="7" t="n"/>
      <c r="C1589" s="7" t="n"/>
      <c r="D1589" s="8" t="n"/>
      <c r="E1589" s="7" t="n"/>
      <c r="F1589" s="7" t="n"/>
      <c r="G1589" s="7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  <c r="R1589" s="7" t="n"/>
      <c r="S1589" s="7" t="n"/>
      <c r="T1589" s="7" t="n"/>
      <c r="U1589" s="7" t="n"/>
      <c r="V1589" s="7" t="n"/>
      <c r="W1589" s="7" t="n"/>
      <c r="X1589" s="7" t="n"/>
      <c r="Y1589" s="7" t="n"/>
      <c r="Z1589" s="7" t="n"/>
      <c r="AA1589" s="9">
        <f>IF(A1589="","",A1589&amp;"|"&amp;COUNTIF($A$2:A1589,A1589))</f>
        <v/>
      </c>
    </row>
    <row r="1590">
      <c r="A1590" s="7" t="n"/>
      <c r="B1590" s="7" t="n"/>
      <c r="C1590" s="7" t="n"/>
      <c r="D1590" s="8" t="n"/>
      <c r="E1590" s="7" t="n"/>
      <c r="F1590" s="7" t="n"/>
      <c r="G1590" s="7" t="n"/>
      <c r="H1590" s="7" t="n"/>
      <c r="I1590" s="7" t="n"/>
      <c r="J1590" s="7" t="n"/>
      <c r="K1590" s="7" t="n"/>
      <c r="L1590" s="7" t="n"/>
      <c r="M1590" s="7" t="n"/>
      <c r="N1590" s="7" t="n"/>
      <c r="O1590" s="7" t="n"/>
      <c r="P1590" s="7" t="n"/>
      <c r="Q1590" s="7" t="n"/>
      <c r="R1590" s="7" t="n"/>
      <c r="S1590" s="7" t="n"/>
      <c r="T1590" s="7" t="n"/>
      <c r="U1590" s="7" t="n"/>
      <c r="V1590" s="7" t="n"/>
      <c r="W1590" s="7" t="n"/>
      <c r="X1590" s="7" t="n"/>
      <c r="Y1590" s="7" t="n"/>
      <c r="Z1590" s="7" t="n"/>
      <c r="AA1590" s="9">
        <f>IF(A1590="","",A1590&amp;"|"&amp;COUNTIF($A$2:A1590,A1590))</f>
        <v/>
      </c>
    </row>
    <row r="1591">
      <c r="A1591" s="7" t="n"/>
      <c r="B1591" s="7" t="n"/>
      <c r="C1591" s="7" t="n"/>
      <c r="D1591" s="8" t="n"/>
      <c r="E1591" s="7" t="n"/>
      <c r="F1591" s="7" t="n"/>
      <c r="G1591" s="7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  <c r="R1591" s="7" t="n"/>
      <c r="S1591" s="7" t="n"/>
      <c r="T1591" s="7" t="n"/>
      <c r="U1591" s="7" t="n"/>
      <c r="V1591" s="7" t="n"/>
      <c r="W1591" s="7" t="n"/>
      <c r="X1591" s="7" t="n"/>
      <c r="Y1591" s="7" t="n"/>
      <c r="Z1591" s="7" t="n"/>
      <c r="AA1591" s="9">
        <f>IF(A1591="","",A1591&amp;"|"&amp;COUNTIF($A$2:A1591,A1591))</f>
        <v/>
      </c>
    </row>
    <row r="1592">
      <c r="A1592" s="7" t="n"/>
      <c r="B1592" s="7" t="n"/>
      <c r="C1592" s="7" t="n"/>
      <c r="D1592" s="8" t="n"/>
      <c r="E1592" s="7" t="n"/>
      <c r="F1592" s="7" t="n"/>
      <c r="G1592" s="7" t="n"/>
      <c r="H1592" s="7" t="n"/>
      <c r="I1592" s="7" t="n"/>
      <c r="J1592" s="7" t="n"/>
      <c r="K1592" s="7" t="n"/>
      <c r="L1592" s="7" t="n"/>
      <c r="M1592" s="7" t="n"/>
      <c r="N1592" s="7" t="n"/>
      <c r="O1592" s="7" t="n"/>
      <c r="P1592" s="7" t="n"/>
      <c r="Q1592" s="7" t="n"/>
      <c r="R1592" s="7" t="n"/>
      <c r="S1592" s="7" t="n"/>
      <c r="T1592" s="7" t="n"/>
      <c r="U1592" s="7" t="n"/>
      <c r="V1592" s="7" t="n"/>
      <c r="W1592" s="7" t="n"/>
      <c r="X1592" s="7" t="n"/>
      <c r="Y1592" s="7" t="n"/>
      <c r="Z1592" s="7" t="n"/>
      <c r="AA1592" s="9">
        <f>IF(A1592="","",A1592&amp;"|"&amp;COUNTIF($A$2:A1592,A1592))</f>
        <v/>
      </c>
    </row>
    <row r="1593">
      <c r="A1593" s="7" t="n"/>
      <c r="B1593" s="7" t="n"/>
      <c r="C1593" s="7" t="n"/>
      <c r="D1593" s="8" t="n"/>
      <c r="E1593" s="7" t="n"/>
      <c r="F1593" s="7" t="n"/>
      <c r="G1593" s="7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  <c r="R1593" s="7" t="n"/>
      <c r="S1593" s="7" t="n"/>
      <c r="T1593" s="7" t="n"/>
      <c r="U1593" s="7" t="n"/>
      <c r="V1593" s="7" t="n"/>
      <c r="W1593" s="7" t="n"/>
      <c r="X1593" s="7" t="n"/>
      <c r="Y1593" s="7" t="n"/>
      <c r="Z1593" s="7" t="n"/>
      <c r="AA1593" s="9">
        <f>IF(A1593="","",A1593&amp;"|"&amp;COUNTIF($A$2:A1593,A1593))</f>
        <v/>
      </c>
    </row>
    <row r="1594">
      <c r="A1594" s="7" t="n"/>
      <c r="B1594" s="7" t="n"/>
      <c r="C1594" s="7" t="n"/>
      <c r="D1594" s="8" t="n"/>
      <c r="E1594" s="7" t="n"/>
      <c r="F1594" s="7" t="n"/>
      <c r="G1594" s="7" t="n"/>
      <c r="H1594" s="7" t="n"/>
      <c r="I1594" s="7" t="n"/>
      <c r="J1594" s="7" t="n"/>
      <c r="K1594" s="7" t="n"/>
      <c r="L1594" s="7" t="n"/>
      <c r="M1594" s="7" t="n"/>
      <c r="N1594" s="7" t="n"/>
      <c r="O1594" s="7" t="n"/>
      <c r="P1594" s="7" t="n"/>
      <c r="Q1594" s="7" t="n"/>
      <c r="R1594" s="7" t="n"/>
      <c r="S1594" s="7" t="n"/>
      <c r="T1594" s="7" t="n"/>
      <c r="U1594" s="7" t="n"/>
      <c r="V1594" s="7" t="n"/>
      <c r="W1594" s="7" t="n"/>
      <c r="X1594" s="7" t="n"/>
      <c r="Y1594" s="7" t="n"/>
      <c r="Z1594" s="7" t="n"/>
      <c r="AA1594" s="9">
        <f>IF(A1594="","",A1594&amp;"|"&amp;COUNTIF($A$2:A1594,A1594))</f>
        <v/>
      </c>
    </row>
    <row r="1595">
      <c r="A1595" s="7" t="n"/>
      <c r="B1595" s="7" t="n"/>
      <c r="C1595" s="7" t="n"/>
      <c r="D1595" s="8" t="n"/>
      <c r="E1595" s="7" t="n"/>
      <c r="F1595" s="7" t="n"/>
      <c r="G1595" s="7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  <c r="R1595" s="7" t="n"/>
      <c r="S1595" s="7" t="n"/>
      <c r="T1595" s="7" t="n"/>
      <c r="U1595" s="7" t="n"/>
      <c r="V1595" s="7" t="n"/>
      <c r="W1595" s="7" t="n"/>
      <c r="X1595" s="7" t="n"/>
      <c r="Y1595" s="7" t="n"/>
      <c r="Z1595" s="7" t="n"/>
      <c r="AA1595" s="9">
        <f>IF(A1595="","",A1595&amp;"|"&amp;COUNTIF($A$2:A1595,A1595))</f>
        <v/>
      </c>
    </row>
    <row r="1596">
      <c r="A1596" s="7" t="n"/>
      <c r="B1596" s="7" t="n"/>
      <c r="C1596" s="7" t="n"/>
      <c r="D1596" s="8" t="n"/>
      <c r="E1596" s="7" t="n"/>
      <c r="F1596" s="7" t="n"/>
      <c r="G1596" s="7" t="n"/>
      <c r="H1596" s="7" t="n"/>
      <c r="I1596" s="7" t="n"/>
      <c r="J1596" s="7" t="n"/>
      <c r="K1596" s="7" t="n"/>
      <c r="L1596" s="7" t="n"/>
      <c r="M1596" s="7" t="n"/>
      <c r="N1596" s="7" t="n"/>
      <c r="O1596" s="7" t="n"/>
      <c r="P1596" s="7" t="n"/>
      <c r="Q1596" s="7" t="n"/>
      <c r="R1596" s="7" t="n"/>
      <c r="S1596" s="7" t="n"/>
      <c r="T1596" s="7" t="n"/>
      <c r="U1596" s="7" t="n"/>
      <c r="V1596" s="7" t="n"/>
      <c r="W1596" s="7" t="n"/>
      <c r="X1596" s="7" t="n"/>
      <c r="Y1596" s="7" t="n"/>
      <c r="Z1596" s="7" t="n"/>
      <c r="AA1596" s="9">
        <f>IF(A1596="","",A1596&amp;"|"&amp;COUNTIF($A$2:A1596,A1596))</f>
        <v/>
      </c>
    </row>
    <row r="1597">
      <c r="A1597" s="7" t="n"/>
      <c r="B1597" s="7" t="n"/>
      <c r="C1597" s="7" t="n"/>
      <c r="D1597" s="8" t="n"/>
      <c r="E1597" s="7" t="n"/>
      <c r="F1597" s="7" t="n"/>
      <c r="G1597" s="7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  <c r="R1597" s="7" t="n"/>
      <c r="S1597" s="7" t="n"/>
      <c r="T1597" s="7" t="n"/>
      <c r="U1597" s="7" t="n"/>
      <c r="V1597" s="7" t="n"/>
      <c r="W1597" s="7" t="n"/>
      <c r="X1597" s="7" t="n"/>
      <c r="Y1597" s="7" t="n"/>
      <c r="Z1597" s="7" t="n"/>
      <c r="AA1597" s="9">
        <f>IF(A1597="","",A1597&amp;"|"&amp;COUNTIF($A$2:A1597,A1597))</f>
        <v/>
      </c>
    </row>
    <row r="1598">
      <c r="A1598" s="7" t="n"/>
      <c r="B1598" s="7" t="n"/>
      <c r="C1598" s="7" t="n"/>
      <c r="D1598" s="8" t="n"/>
      <c r="E1598" s="7" t="n"/>
      <c r="F1598" s="7" t="n"/>
      <c r="G1598" s="7" t="n"/>
      <c r="H1598" s="7" t="n"/>
      <c r="I1598" s="7" t="n"/>
      <c r="J1598" s="7" t="n"/>
      <c r="K1598" s="7" t="n"/>
      <c r="L1598" s="7" t="n"/>
      <c r="M1598" s="7" t="n"/>
      <c r="N1598" s="7" t="n"/>
      <c r="O1598" s="7" t="n"/>
      <c r="P1598" s="7" t="n"/>
      <c r="Q1598" s="7" t="n"/>
      <c r="R1598" s="7" t="n"/>
      <c r="S1598" s="7" t="n"/>
      <c r="T1598" s="7" t="n"/>
      <c r="U1598" s="7" t="n"/>
      <c r="V1598" s="7" t="n"/>
      <c r="W1598" s="7" t="n"/>
      <c r="X1598" s="7" t="n"/>
      <c r="Y1598" s="7" t="n"/>
      <c r="Z1598" s="7" t="n"/>
      <c r="AA1598" s="9">
        <f>IF(A1598="","",A1598&amp;"|"&amp;COUNTIF($A$2:A1598,A1598))</f>
        <v/>
      </c>
    </row>
    <row r="1599">
      <c r="A1599" s="7" t="n"/>
      <c r="B1599" s="7" t="n"/>
      <c r="C1599" s="7" t="n"/>
      <c r="D1599" s="8" t="n"/>
      <c r="E1599" s="7" t="n"/>
      <c r="F1599" s="7" t="n"/>
      <c r="G1599" s="7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  <c r="R1599" s="7" t="n"/>
      <c r="S1599" s="7" t="n"/>
      <c r="T1599" s="7" t="n"/>
      <c r="U1599" s="7" t="n"/>
      <c r="V1599" s="7" t="n"/>
      <c r="W1599" s="7" t="n"/>
      <c r="X1599" s="7" t="n"/>
      <c r="Y1599" s="7" t="n"/>
      <c r="Z1599" s="7" t="n"/>
      <c r="AA1599" s="9">
        <f>IF(A1599="","",A1599&amp;"|"&amp;COUNTIF($A$2:A1599,A1599))</f>
        <v/>
      </c>
    </row>
    <row r="1600">
      <c r="A1600" s="7" t="n"/>
      <c r="B1600" s="7" t="n"/>
      <c r="C1600" s="7" t="n"/>
      <c r="D1600" s="8" t="n"/>
      <c r="E1600" s="7" t="n"/>
      <c r="F1600" s="7" t="n"/>
      <c r="G1600" s="7" t="n"/>
      <c r="H1600" s="7" t="n"/>
      <c r="I1600" s="7" t="n"/>
      <c r="J1600" s="7" t="n"/>
      <c r="K1600" s="7" t="n"/>
      <c r="L1600" s="7" t="n"/>
      <c r="M1600" s="7" t="n"/>
      <c r="N1600" s="7" t="n"/>
      <c r="O1600" s="7" t="n"/>
      <c r="P1600" s="7" t="n"/>
      <c r="Q1600" s="7" t="n"/>
      <c r="R1600" s="7" t="n"/>
      <c r="S1600" s="7" t="n"/>
      <c r="T1600" s="7" t="n"/>
      <c r="U1600" s="7" t="n"/>
      <c r="V1600" s="7" t="n"/>
      <c r="W1600" s="7" t="n"/>
      <c r="X1600" s="7" t="n"/>
      <c r="Y1600" s="7" t="n"/>
      <c r="Z1600" s="7" t="n"/>
      <c r="AA1600" s="9">
        <f>IF(A1600="","",A1600&amp;"|"&amp;COUNTIF($A$2:A1600,A1600))</f>
        <v/>
      </c>
    </row>
    <row r="1601">
      <c r="A1601" s="7" t="n"/>
      <c r="B1601" s="7" t="n"/>
      <c r="C1601" s="7" t="n"/>
      <c r="D1601" s="8" t="n"/>
      <c r="E1601" s="7" t="n"/>
      <c r="F1601" s="7" t="n"/>
      <c r="G1601" s="7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  <c r="R1601" s="7" t="n"/>
      <c r="S1601" s="7" t="n"/>
      <c r="T1601" s="7" t="n"/>
      <c r="U1601" s="7" t="n"/>
      <c r="V1601" s="7" t="n"/>
      <c r="W1601" s="7" t="n"/>
      <c r="X1601" s="7" t="n"/>
      <c r="Y1601" s="7" t="n"/>
      <c r="Z1601" s="7" t="n"/>
      <c r="AA1601" s="9">
        <f>IF(A1601="","",A1601&amp;"|"&amp;COUNTIF($A$2:A1601,A1601))</f>
        <v/>
      </c>
    </row>
    <row r="1602">
      <c r="A1602" s="7" t="n"/>
      <c r="B1602" s="7" t="n"/>
      <c r="C1602" s="7" t="n"/>
      <c r="D1602" s="8" t="n"/>
      <c r="E1602" s="7" t="n"/>
      <c r="F1602" s="7" t="n"/>
      <c r="G1602" s="7" t="n"/>
      <c r="H1602" s="7" t="n"/>
      <c r="I1602" s="7" t="n"/>
      <c r="J1602" s="7" t="n"/>
      <c r="K1602" s="7" t="n"/>
      <c r="L1602" s="7" t="n"/>
      <c r="M1602" s="7" t="n"/>
      <c r="N1602" s="7" t="n"/>
      <c r="O1602" s="7" t="n"/>
      <c r="P1602" s="7" t="n"/>
      <c r="Q1602" s="7" t="n"/>
      <c r="R1602" s="7" t="n"/>
      <c r="S1602" s="7" t="n"/>
      <c r="T1602" s="7" t="n"/>
      <c r="U1602" s="7" t="n"/>
      <c r="V1602" s="7" t="n"/>
      <c r="W1602" s="7" t="n"/>
      <c r="X1602" s="7" t="n"/>
      <c r="Y1602" s="7" t="n"/>
      <c r="Z1602" s="7" t="n"/>
      <c r="AA1602" s="9">
        <f>IF(A1602="","",A1602&amp;"|"&amp;COUNTIF($A$2:A1602,A1602))</f>
        <v/>
      </c>
    </row>
    <row r="1603">
      <c r="A1603" s="7" t="n"/>
      <c r="B1603" s="7" t="n"/>
      <c r="C1603" s="7" t="n"/>
      <c r="D1603" s="8" t="n"/>
      <c r="E1603" s="7" t="n"/>
      <c r="F1603" s="7" t="n"/>
      <c r="G1603" s="7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  <c r="R1603" s="7" t="n"/>
      <c r="S1603" s="7" t="n"/>
      <c r="T1603" s="7" t="n"/>
      <c r="U1603" s="7" t="n"/>
      <c r="V1603" s="7" t="n"/>
      <c r="W1603" s="7" t="n"/>
      <c r="X1603" s="7" t="n"/>
      <c r="Y1603" s="7" t="n"/>
      <c r="Z1603" s="7" t="n"/>
      <c r="AA1603" s="9">
        <f>IF(A1603="","",A1603&amp;"|"&amp;COUNTIF($A$2:A1603,A1603))</f>
        <v/>
      </c>
    </row>
    <row r="1604">
      <c r="A1604" s="7" t="n"/>
      <c r="B1604" s="7" t="n"/>
      <c r="C1604" s="7" t="n"/>
      <c r="D1604" s="8" t="n"/>
      <c r="E1604" s="7" t="n"/>
      <c r="F1604" s="7" t="n"/>
      <c r="G1604" s="7" t="n"/>
      <c r="H1604" s="7" t="n"/>
      <c r="I1604" s="7" t="n"/>
      <c r="J1604" s="7" t="n"/>
      <c r="K1604" s="7" t="n"/>
      <c r="L1604" s="7" t="n"/>
      <c r="M1604" s="7" t="n"/>
      <c r="N1604" s="7" t="n"/>
      <c r="O1604" s="7" t="n"/>
      <c r="P1604" s="7" t="n"/>
      <c r="Q1604" s="7" t="n"/>
      <c r="R1604" s="7" t="n"/>
      <c r="S1604" s="7" t="n"/>
      <c r="T1604" s="7" t="n"/>
      <c r="U1604" s="7" t="n"/>
      <c r="V1604" s="7" t="n"/>
      <c r="W1604" s="7" t="n"/>
      <c r="X1604" s="7" t="n"/>
      <c r="Y1604" s="7" t="n"/>
      <c r="Z1604" s="7" t="n"/>
      <c r="AA1604" s="9">
        <f>IF(A1604="","",A1604&amp;"|"&amp;COUNTIF($A$2:A1604,A1604))</f>
        <v/>
      </c>
    </row>
    <row r="1605">
      <c r="A1605" s="7" t="n"/>
      <c r="B1605" s="7" t="n"/>
      <c r="C1605" s="7" t="n"/>
      <c r="D1605" s="8" t="n"/>
      <c r="E1605" s="7" t="n"/>
      <c r="F1605" s="7" t="n"/>
      <c r="G1605" s="7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  <c r="R1605" s="7" t="n"/>
      <c r="S1605" s="7" t="n"/>
      <c r="T1605" s="7" t="n"/>
      <c r="U1605" s="7" t="n"/>
      <c r="V1605" s="7" t="n"/>
      <c r="W1605" s="7" t="n"/>
      <c r="X1605" s="7" t="n"/>
      <c r="Y1605" s="7" t="n"/>
      <c r="Z1605" s="7" t="n"/>
      <c r="AA1605" s="9">
        <f>IF(A1605="","",A1605&amp;"|"&amp;COUNTIF($A$2:A1605,A1605))</f>
        <v/>
      </c>
    </row>
    <row r="1606">
      <c r="A1606" s="7" t="n"/>
      <c r="B1606" s="7" t="n"/>
      <c r="C1606" s="7" t="n"/>
      <c r="D1606" s="8" t="n"/>
      <c r="E1606" s="7" t="n"/>
      <c r="F1606" s="7" t="n"/>
      <c r="G1606" s="7" t="n"/>
      <c r="H1606" s="7" t="n"/>
      <c r="I1606" s="7" t="n"/>
      <c r="J1606" s="7" t="n"/>
      <c r="K1606" s="7" t="n"/>
      <c r="L1606" s="7" t="n"/>
      <c r="M1606" s="7" t="n"/>
      <c r="N1606" s="7" t="n"/>
      <c r="O1606" s="7" t="n"/>
      <c r="P1606" s="7" t="n"/>
      <c r="Q1606" s="7" t="n"/>
      <c r="R1606" s="7" t="n"/>
      <c r="S1606" s="7" t="n"/>
      <c r="T1606" s="7" t="n"/>
      <c r="U1606" s="7" t="n"/>
      <c r="V1606" s="7" t="n"/>
      <c r="W1606" s="7" t="n"/>
      <c r="X1606" s="7" t="n"/>
      <c r="Y1606" s="7" t="n"/>
      <c r="Z1606" s="7" t="n"/>
      <c r="AA1606" s="9">
        <f>IF(A1606="","",A1606&amp;"|"&amp;COUNTIF($A$2:A1606,A1606))</f>
        <v/>
      </c>
    </row>
    <row r="1607">
      <c r="A1607" s="7" t="n"/>
      <c r="B1607" s="7" t="n"/>
      <c r="C1607" s="7" t="n"/>
      <c r="D1607" s="8" t="n"/>
      <c r="E1607" s="7" t="n"/>
      <c r="F1607" s="7" t="n"/>
      <c r="G1607" s="7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  <c r="R1607" s="7" t="n"/>
      <c r="S1607" s="7" t="n"/>
      <c r="T1607" s="7" t="n"/>
      <c r="U1607" s="7" t="n"/>
      <c r="V1607" s="7" t="n"/>
      <c r="W1607" s="7" t="n"/>
      <c r="X1607" s="7" t="n"/>
      <c r="Y1607" s="7" t="n"/>
      <c r="Z1607" s="7" t="n"/>
      <c r="AA1607" s="9">
        <f>IF(A1607="","",A1607&amp;"|"&amp;COUNTIF($A$2:A1607,A1607))</f>
        <v/>
      </c>
    </row>
    <row r="1608">
      <c r="A1608" s="7" t="n"/>
      <c r="B1608" s="7" t="n"/>
      <c r="C1608" s="7" t="n"/>
      <c r="D1608" s="8" t="n"/>
      <c r="E1608" s="7" t="n"/>
      <c r="F1608" s="7" t="n"/>
      <c r="G1608" s="7" t="n"/>
      <c r="H1608" s="7" t="n"/>
      <c r="I1608" s="7" t="n"/>
      <c r="J1608" s="7" t="n"/>
      <c r="K1608" s="7" t="n"/>
      <c r="L1608" s="7" t="n"/>
      <c r="M1608" s="7" t="n"/>
      <c r="N1608" s="7" t="n"/>
      <c r="O1608" s="7" t="n"/>
      <c r="P1608" s="7" t="n"/>
      <c r="Q1608" s="7" t="n"/>
      <c r="R1608" s="7" t="n"/>
      <c r="S1608" s="7" t="n"/>
      <c r="T1608" s="7" t="n"/>
      <c r="U1608" s="7" t="n"/>
      <c r="V1608" s="7" t="n"/>
      <c r="W1608" s="7" t="n"/>
      <c r="X1608" s="7" t="n"/>
      <c r="Y1608" s="7" t="n"/>
      <c r="Z1608" s="7" t="n"/>
      <c r="AA1608" s="9">
        <f>IF(A1608="","",A1608&amp;"|"&amp;COUNTIF($A$2:A1608,A1608))</f>
        <v/>
      </c>
    </row>
    <row r="1609">
      <c r="A1609" s="7" t="n"/>
      <c r="B1609" s="7" t="n"/>
      <c r="C1609" s="7" t="n"/>
      <c r="D1609" s="8" t="n"/>
      <c r="E1609" s="7" t="n"/>
      <c r="F1609" s="7" t="n"/>
      <c r="G1609" s="7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  <c r="R1609" s="7" t="n"/>
      <c r="S1609" s="7" t="n"/>
      <c r="T1609" s="7" t="n"/>
      <c r="U1609" s="7" t="n"/>
      <c r="V1609" s="7" t="n"/>
      <c r="W1609" s="7" t="n"/>
      <c r="X1609" s="7" t="n"/>
      <c r="Y1609" s="7" t="n"/>
      <c r="Z1609" s="7" t="n"/>
      <c r="AA1609" s="9">
        <f>IF(A1609="","",A1609&amp;"|"&amp;COUNTIF($A$2:A1609,A1609))</f>
        <v/>
      </c>
    </row>
    <row r="1610">
      <c r="A1610" s="7" t="n"/>
      <c r="B1610" s="7" t="n"/>
      <c r="C1610" s="7" t="n"/>
      <c r="D1610" s="8" t="n"/>
      <c r="E1610" s="7" t="n"/>
      <c r="F1610" s="7" t="n"/>
      <c r="G1610" s="7" t="n"/>
      <c r="H1610" s="7" t="n"/>
      <c r="I1610" s="7" t="n"/>
      <c r="J1610" s="7" t="n"/>
      <c r="K1610" s="7" t="n"/>
      <c r="L1610" s="7" t="n"/>
      <c r="M1610" s="7" t="n"/>
      <c r="N1610" s="7" t="n"/>
      <c r="O1610" s="7" t="n"/>
      <c r="P1610" s="7" t="n"/>
      <c r="Q1610" s="7" t="n"/>
      <c r="R1610" s="7" t="n"/>
      <c r="S1610" s="7" t="n"/>
      <c r="T1610" s="7" t="n"/>
      <c r="U1610" s="7" t="n"/>
      <c r="V1610" s="7" t="n"/>
      <c r="W1610" s="7" t="n"/>
      <c r="X1610" s="7" t="n"/>
      <c r="Y1610" s="7" t="n"/>
      <c r="Z1610" s="7" t="n"/>
      <c r="AA1610" s="9">
        <f>IF(A1610="","",A1610&amp;"|"&amp;COUNTIF($A$2:A1610,A1610))</f>
        <v/>
      </c>
    </row>
    <row r="1611">
      <c r="A1611" s="7" t="n"/>
      <c r="B1611" s="7" t="n"/>
      <c r="C1611" s="7" t="n"/>
      <c r="D1611" s="8" t="n"/>
      <c r="E1611" s="7" t="n"/>
      <c r="F1611" s="7" t="n"/>
      <c r="G1611" s="7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  <c r="R1611" s="7" t="n"/>
      <c r="S1611" s="7" t="n"/>
      <c r="T1611" s="7" t="n"/>
      <c r="U1611" s="7" t="n"/>
      <c r="V1611" s="7" t="n"/>
      <c r="W1611" s="7" t="n"/>
      <c r="X1611" s="7" t="n"/>
      <c r="Y1611" s="7" t="n"/>
      <c r="Z1611" s="7" t="n"/>
      <c r="AA1611" s="9">
        <f>IF(A1611="","",A1611&amp;"|"&amp;COUNTIF($A$2:A1611,A1611))</f>
        <v/>
      </c>
    </row>
    <row r="1612">
      <c r="A1612" s="7" t="n"/>
      <c r="B1612" s="7" t="n"/>
      <c r="C1612" s="7" t="n"/>
      <c r="D1612" s="8" t="n"/>
      <c r="E1612" s="7" t="n"/>
      <c r="F1612" s="7" t="n"/>
      <c r="G1612" s="7" t="n"/>
      <c r="H1612" s="7" t="n"/>
      <c r="I1612" s="7" t="n"/>
      <c r="J1612" s="7" t="n"/>
      <c r="K1612" s="7" t="n"/>
      <c r="L1612" s="7" t="n"/>
      <c r="M1612" s="7" t="n"/>
      <c r="N1612" s="7" t="n"/>
      <c r="O1612" s="7" t="n"/>
      <c r="P1612" s="7" t="n"/>
      <c r="Q1612" s="7" t="n"/>
      <c r="R1612" s="7" t="n"/>
      <c r="S1612" s="7" t="n"/>
      <c r="T1612" s="7" t="n"/>
      <c r="U1612" s="7" t="n"/>
      <c r="V1612" s="7" t="n"/>
      <c r="W1612" s="7" t="n"/>
      <c r="X1612" s="7" t="n"/>
      <c r="Y1612" s="7" t="n"/>
      <c r="Z1612" s="7" t="n"/>
      <c r="AA1612" s="9">
        <f>IF(A1612="","",A1612&amp;"|"&amp;COUNTIF($A$2:A1612,A1612))</f>
        <v/>
      </c>
    </row>
    <row r="1613">
      <c r="A1613" s="7" t="n"/>
      <c r="B1613" s="7" t="n"/>
      <c r="C1613" s="7" t="n"/>
      <c r="D1613" s="8" t="n"/>
      <c r="E1613" s="7" t="n"/>
      <c r="F1613" s="7" t="n"/>
      <c r="G1613" s="7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  <c r="R1613" s="7" t="n"/>
      <c r="S1613" s="7" t="n"/>
      <c r="T1613" s="7" t="n"/>
      <c r="U1613" s="7" t="n"/>
      <c r="V1613" s="7" t="n"/>
      <c r="W1613" s="7" t="n"/>
      <c r="X1613" s="7" t="n"/>
      <c r="Y1613" s="7" t="n"/>
      <c r="Z1613" s="7" t="n"/>
      <c r="AA1613" s="9">
        <f>IF(A1613="","",A1613&amp;"|"&amp;COUNTIF($A$2:A1613,A1613))</f>
        <v/>
      </c>
    </row>
    <row r="1614">
      <c r="A1614" s="7" t="n"/>
      <c r="B1614" s="7" t="n"/>
      <c r="C1614" s="7" t="n"/>
      <c r="D1614" s="8" t="n"/>
      <c r="E1614" s="7" t="n"/>
      <c r="F1614" s="7" t="n"/>
      <c r="G1614" s="7" t="n"/>
      <c r="H1614" s="7" t="n"/>
      <c r="I1614" s="7" t="n"/>
      <c r="J1614" s="7" t="n"/>
      <c r="K1614" s="7" t="n"/>
      <c r="L1614" s="7" t="n"/>
      <c r="M1614" s="7" t="n"/>
      <c r="N1614" s="7" t="n"/>
      <c r="O1614" s="7" t="n"/>
      <c r="P1614" s="7" t="n"/>
      <c r="Q1614" s="7" t="n"/>
      <c r="R1614" s="7" t="n"/>
      <c r="S1614" s="7" t="n"/>
      <c r="T1614" s="7" t="n"/>
      <c r="U1614" s="7" t="n"/>
      <c r="V1614" s="7" t="n"/>
      <c r="W1614" s="7" t="n"/>
      <c r="X1614" s="7" t="n"/>
      <c r="Y1614" s="7" t="n"/>
      <c r="Z1614" s="7" t="n"/>
      <c r="AA1614" s="9">
        <f>IF(A1614="","",A1614&amp;"|"&amp;COUNTIF($A$2:A1614,A1614))</f>
        <v/>
      </c>
    </row>
    <row r="1615">
      <c r="A1615" s="7" t="n"/>
      <c r="B1615" s="7" t="n"/>
      <c r="C1615" s="7" t="n"/>
      <c r="D1615" s="8" t="n"/>
      <c r="E1615" s="7" t="n"/>
      <c r="F1615" s="7" t="n"/>
      <c r="G1615" s="7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  <c r="R1615" s="7" t="n"/>
      <c r="S1615" s="7" t="n"/>
      <c r="T1615" s="7" t="n"/>
      <c r="U1615" s="7" t="n"/>
      <c r="V1615" s="7" t="n"/>
      <c r="W1615" s="7" t="n"/>
      <c r="X1615" s="7" t="n"/>
      <c r="Y1615" s="7" t="n"/>
      <c r="Z1615" s="7" t="n"/>
      <c r="AA1615" s="9">
        <f>IF(A1615="","",A1615&amp;"|"&amp;COUNTIF($A$2:A1615,A1615))</f>
        <v/>
      </c>
    </row>
    <row r="1616">
      <c r="A1616" s="7" t="n"/>
      <c r="B1616" s="7" t="n"/>
      <c r="C1616" s="7" t="n"/>
      <c r="D1616" s="8" t="n"/>
      <c r="E1616" s="7" t="n"/>
      <c r="F1616" s="7" t="n"/>
      <c r="G1616" s="7" t="n"/>
      <c r="H1616" s="7" t="n"/>
      <c r="I1616" s="7" t="n"/>
      <c r="J1616" s="7" t="n"/>
      <c r="K1616" s="7" t="n"/>
      <c r="L1616" s="7" t="n"/>
      <c r="M1616" s="7" t="n"/>
      <c r="N1616" s="7" t="n"/>
      <c r="O1616" s="7" t="n"/>
      <c r="P1616" s="7" t="n"/>
      <c r="Q1616" s="7" t="n"/>
      <c r="R1616" s="7" t="n"/>
      <c r="S1616" s="7" t="n"/>
      <c r="T1616" s="7" t="n"/>
      <c r="U1616" s="7" t="n"/>
      <c r="V1616" s="7" t="n"/>
      <c r="W1616" s="7" t="n"/>
      <c r="X1616" s="7" t="n"/>
      <c r="Y1616" s="7" t="n"/>
      <c r="Z1616" s="7" t="n"/>
      <c r="AA1616" s="9">
        <f>IF(A1616="","",A1616&amp;"|"&amp;COUNTIF($A$2:A1616,A1616))</f>
        <v/>
      </c>
    </row>
    <row r="1617">
      <c r="A1617" s="7" t="n"/>
      <c r="B1617" s="7" t="n"/>
      <c r="C1617" s="7" t="n"/>
      <c r="D1617" s="8" t="n"/>
      <c r="E1617" s="7" t="n"/>
      <c r="F1617" s="7" t="n"/>
      <c r="G1617" s="7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  <c r="R1617" s="7" t="n"/>
      <c r="S1617" s="7" t="n"/>
      <c r="T1617" s="7" t="n"/>
      <c r="U1617" s="7" t="n"/>
      <c r="V1617" s="7" t="n"/>
      <c r="W1617" s="7" t="n"/>
      <c r="X1617" s="7" t="n"/>
      <c r="Y1617" s="7" t="n"/>
      <c r="Z1617" s="7" t="n"/>
      <c r="AA1617" s="9">
        <f>IF(A1617="","",A1617&amp;"|"&amp;COUNTIF($A$2:A1617,A1617))</f>
        <v/>
      </c>
    </row>
    <row r="1618">
      <c r="A1618" s="7" t="n"/>
      <c r="B1618" s="7" t="n"/>
      <c r="C1618" s="7" t="n"/>
      <c r="D1618" s="8" t="n"/>
      <c r="E1618" s="7" t="n"/>
      <c r="F1618" s="7" t="n"/>
      <c r="G1618" s="7" t="n"/>
      <c r="H1618" s="7" t="n"/>
      <c r="I1618" s="7" t="n"/>
      <c r="J1618" s="7" t="n"/>
      <c r="K1618" s="7" t="n"/>
      <c r="L1618" s="7" t="n"/>
      <c r="M1618" s="7" t="n"/>
      <c r="N1618" s="7" t="n"/>
      <c r="O1618" s="7" t="n"/>
      <c r="P1618" s="7" t="n"/>
      <c r="Q1618" s="7" t="n"/>
      <c r="R1618" s="7" t="n"/>
      <c r="S1618" s="7" t="n"/>
      <c r="T1618" s="7" t="n"/>
      <c r="U1618" s="7" t="n"/>
      <c r="V1618" s="7" t="n"/>
      <c r="W1618" s="7" t="n"/>
      <c r="X1618" s="7" t="n"/>
      <c r="Y1618" s="7" t="n"/>
      <c r="Z1618" s="7" t="n"/>
      <c r="AA1618" s="9">
        <f>IF(A1618="","",A1618&amp;"|"&amp;COUNTIF($A$2:A1618,A1618))</f>
        <v/>
      </c>
    </row>
    <row r="1619">
      <c r="A1619" s="7" t="n"/>
      <c r="B1619" s="7" t="n"/>
      <c r="C1619" s="7" t="n"/>
      <c r="D1619" s="8" t="n"/>
      <c r="E1619" s="7" t="n"/>
      <c r="F1619" s="7" t="n"/>
      <c r="G1619" s="7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  <c r="R1619" s="7" t="n"/>
      <c r="S1619" s="7" t="n"/>
      <c r="T1619" s="7" t="n"/>
      <c r="U1619" s="7" t="n"/>
      <c r="V1619" s="7" t="n"/>
      <c r="W1619" s="7" t="n"/>
      <c r="X1619" s="7" t="n"/>
      <c r="Y1619" s="7" t="n"/>
      <c r="Z1619" s="7" t="n"/>
      <c r="AA1619" s="9">
        <f>IF(A1619="","",A1619&amp;"|"&amp;COUNTIF($A$2:A1619,A1619))</f>
        <v/>
      </c>
    </row>
    <row r="1620">
      <c r="A1620" s="7" t="n"/>
      <c r="B1620" s="7" t="n"/>
      <c r="C1620" s="7" t="n"/>
      <c r="D1620" s="8" t="n"/>
      <c r="E1620" s="7" t="n"/>
      <c r="F1620" s="7" t="n"/>
      <c r="G1620" s="7" t="n"/>
      <c r="H1620" s="7" t="n"/>
      <c r="I1620" s="7" t="n"/>
      <c r="J1620" s="7" t="n"/>
      <c r="K1620" s="7" t="n"/>
      <c r="L1620" s="7" t="n"/>
      <c r="M1620" s="7" t="n"/>
      <c r="N1620" s="7" t="n"/>
      <c r="O1620" s="7" t="n"/>
      <c r="P1620" s="7" t="n"/>
      <c r="Q1620" s="7" t="n"/>
      <c r="R1620" s="7" t="n"/>
      <c r="S1620" s="7" t="n"/>
      <c r="T1620" s="7" t="n"/>
      <c r="U1620" s="7" t="n"/>
      <c r="V1620" s="7" t="n"/>
      <c r="W1620" s="7" t="n"/>
      <c r="X1620" s="7" t="n"/>
      <c r="Y1620" s="7" t="n"/>
      <c r="Z1620" s="7" t="n"/>
      <c r="AA1620" s="9">
        <f>IF(A1620="","",A1620&amp;"|"&amp;COUNTIF($A$2:A1620,A1620))</f>
        <v/>
      </c>
    </row>
    <row r="1621">
      <c r="A1621" s="7" t="n"/>
      <c r="B1621" s="7" t="n"/>
      <c r="C1621" s="7" t="n"/>
      <c r="D1621" s="8" t="n"/>
      <c r="E1621" s="7" t="n"/>
      <c r="F1621" s="7" t="n"/>
      <c r="G1621" s="7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  <c r="R1621" s="7" t="n"/>
      <c r="S1621" s="7" t="n"/>
      <c r="T1621" s="7" t="n"/>
      <c r="U1621" s="7" t="n"/>
      <c r="V1621" s="7" t="n"/>
      <c r="W1621" s="7" t="n"/>
      <c r="X1621" s="7" t="n"/>
      <c r="Y1621" s="7" t="n"/>
      <c r="Z1621" s="7" t="n"/>
      <c r="AA1621" s="9">
        <f>IF(A1621="","",A1621&amp;"|"&amp;COUNTIF($A$2:A1621,A1621))</f>
        <v/>
      </c>
    </row>
    <row r="1622">
      <c r="A1622" s="7" t="n"/>
      <c r="B1622" s="7" t="n"/>
      <c r="C1622" s="7" t="n"/>
      <c r="D1622" s="8" t="n"/>
      <c r="E1622" s="7" t="n"/>
      <c r="F1622" s="7" t="n"/>
      <c r="G1622" s="7" t="n"/>
      <c r="H1622" s="7" t="n"/>
      <c r="I1622" s="7" t="n"/>
      <c r="J1622" s="7" t="n"/>
      <c r="K1622" s="7" t="n"/>
      <c r="L1622" s="7" t="n"/>
      <c r="M1622" s="7" t="n"/>
      <c r="N1622" s="7" t="n"/>
      <c r="O1622" s="7" t="n"/>
      <c r="P1622" s="7" t="n"/>
      <c r="Q1622" s="7" t="n"/>
      <c r="R1622" s="7" t="n"/>
      <c r="S1622" s="7" t="n"/>
      <c r="T1622" s="7" t="n"/>
      <c r="U1622" s="7" t="n"/>
      <c r="V1622" s="7" t="n"/>
      <c r="W1622" s="7" t="n"/>
      <c r="X1622" s="7" t="n"/>
      <c r="Y1622" s="7" t="n"/>
      <c r="Z1622" s="7" t="n"/>
      <c r="AA1622" s="9">
        <f>IF(A1622="","",A1622&amp;"|"&amp;COUNTIF($A$2:A1622,A1622))</f>
        <v/>
      </c>
    </row>
    <row r="1623">
      <c r="A1623" s="7" t="n"/>
      <c r="B1623" s="7" t="n"/>
      <c r="C1623" s="7" t="n"/>
      <c r="D1623" s="8" t="n"/>
      <c r="E1623" s="7" t="n"/>
      <c r="F1623" s="7" t="n"/>
      <c r="G1623" s="7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  <c r="R1623" s="7" t="n"/>
      <c r="S1623" s="7" t="n"/>
      <c r="T1623" s="7" t="n"/>
      <c r="U1623" s="7" t="n"/>
      <c r="V1623" s="7" t="n"/>
      <c r="W1623" s="7" t="n"/>
      <c r="X1623" s="7" t="n"/>
      <c r="Y1623" s="7" t="n"/>
      <c r="Z1623" s="7" t="n"/>
      <c r="AA1623" s="9">
        <f>IF(A1623="","",A1623&amp;"|"&amp;COUNTIF($A$2:A1623,A1623))</f>
        <v/>
      </c>
    </row>
    <row r="1624">
      <c r="A1624" s="7" t="n"/>
      <c r="B1624" s="7" t="n"/>
      <c r="C1624" s="7" t="n"/>
      <c r="D1624" s="8" t="n"/>
      <c r="E1624" s="7" t="n"/>
      <c r="F1624" s="7" t="n"/>
      <c r="G1624" s="7" t="n"/>
      <c r="H1624" s="7" t="n"/>
      <c r="I1624" s="7" t="n"/>
      <c r="J1624" s="7" t="n"/>
      <c r="K1624" s="7" t="n"/>
      <c r="L1624" s="7" t="n"/>
      <c r="M1624" s="7" t="n"/>
      <c r="N1624" s="7" t="n"/>
      <c r="O1624" s="7" t="n"/>
      <c r="P1624" s="7" t="n"/>
      <c r="Q1624" s="7" t="n"/>
      <c r="R1624" s="7" t="n"/>
      <c r="S1624" s="7" t="n"/>
      <c r="T1624" s="7" t="n"/>
      <c r="U1624" s="7" t="n"/>
      <c r="V1624" s="7" t="n"/>
      <c r="W1624" s="7" t="n"/>
      <c r="X1624" s="7" t="n"/>
      <c r="Y1624" s="7" t="n"/>
      <c r="Z1624" s="7" t="n"/>
      <c r="AA1624" s="9">
        <f>IF(A1624="","",A1624&amp;"|"&amp;COUNTIF($A$2:A1624,A1624))</f>
        <v/>
      </c>
    </row>
    <row r="1625">
      <c r="A1625" s="7" t="n"/>
      <c r="B1625" s="7" t="n"/>
      <c r="C1625" s="7" t="n"/>
      <c r="D1625" s="8" t="n"/>
      <c r="E1625" s="7" t="n"/>
      <c r="F1625" s="7" t="n"/>
      <c r="G1625" s="7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  <c r="R1625" s="7" t="n"/>
      <c r="S1625" s="7" t="n"/>
      <c r="T1625" s="7" t="n"/>
      <c r="U1625" s="7" t="n"/>
      <c r="V1625" s="7" t="n"/>
      <c r="W1625" s="7" t="n"/>
      <c r="X1625" s="7" t="n"/>
      <c r="Y1625" s="7" t="n"/>
      <c r="Z1625" s="7" t="n"/>
      <c r="AA1625" s="9">
        <f>IF(A1625="","",A1625&amp;"|"&amp;COUNTIF($A$2:A1625,A1625))</f>
        <v/>
      </c>
    </row>
    <row r="1626">
      <c r="A1626" s="7" t="n"/>
      <c r="B1626" s="7" t="n"/>
      <c r="C1626" s="7" t="n"/>
      <c r="D1626" s="8" t="n"/>
      <c r="E1626" s="7" t="n"/>
      <c r="F1626" s="7" t="n"/>
      <c r="G1626" s="7" t="n"/>
      <c r="H1626" s="7" t="n"/>
      <c r="I1626" s="7" t="n"/>
      <c r="J1626" s="7" t="n"/>
      <c r="K1626" s="7" t="n"/>
      <c r="L1626" s="7" t="n"/>
      <c r="M1626" s="7" t="n"/>
      <c r="N1626" s="7" t="n"/>
      <c r="O1626" s="7" t="n"/>
      <c r="P1626" s="7" t="n"/>
      <c r="Q1626" s="7" t="n"/>
      <c r="R1626" s="7" t="n"/>
      <c r="S1626" s="7" t="n"/>
      <c r="T1626" s="7" t="n"/>
      <c r="U1626" s="7" t="n"/>
      <c r="V1626" s="7" t="n"/>
      <c r="W1626" s="7" t="n"/>
      <c r="X1626" s="7" t="n"/>
      <c r="Y1626" s="7" t="n"/>
      <c r="Z1626" s="7" t="n"/>
      <c r="AA1626" s="9">
        <f>IF(A1626="","",A1626&amp;"|"&amp;COUNTIF($A$2:A1626,A1626))</f>
        <v/>
      </c>
    </row>
    <row r="1627">
      <c r="A1627" s="7" t="n"/>
      <c r="B1627" s="7" t="n"/>
      <c r="C1627" s="7" t="n"/>
      <c r="D1627" s="8" t="n"/>
      <c r="E1627" s="7" t="n"/>
      <c r="F1627" s="7" t="n"/>
      <c r="G1627" s="7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  <c r="R1627" s="7" t="n"/>
      <c r="S1627" s="7" t="n"/>
      <c r="T1627" s="7" t="n"/>
      <c r="U1627" s="7" t="n"/>
      <c r="V1627" s="7" t="n"/>
      <c r="W1627" s="7" t="n"/>
      <c r="X1627" s="7" t="n"/>
      <c r="Y1627" s="7" t="n"/>
      <c r="Z1627" s="7" t="n"/>
      <c r="AA1627" s="9">
        <f>IF(A1627="","",A1627&amp;"|"&amp;COUNTIF($A$2:A1627,A1627))</f>
        <v/>
      </c>
    </row>
    <row r="1628">
      <c r="A1628" s="7" t="n"/>
      <c r="B1628" s="7" t="n"/>
      <c r="C1628" s="7" t="n"/>
      <c r="D1628" s="8" t="n"/>
      <c r="E1628" s="7" t="n"/>
      <c r="F1628" s="7" t="n"/>
      <c r="G1628" s="7" t="n"/>
      <c r="H1628" s="7" t="n"/>
      <c r="I1628" s="7" t="n"/>
      <c r="J1628" s="7" t="n"/>
      <c r="K1628" s="7" t="n"/>
      <c r="L1628" s="7" t="n"/>
      <c r="M1628" s="7" t="n"/>
      <c r="N1628" s="7" t="n"/>
      <c r="O1628" s="7" t="n"/>
      <c r="P1628" s="7" t="n"/>
      <c r="Q1628" s="7" t="n"/>
      <c r="R1628" s="7" t="n"/>
      <c r="S1628" s="7" t="n"/>
      <c r="T1628" s="7" t="n"/>
      <c r="U1628" s="7" t="n"/>
      <c r="V1628" s="7" t="n"/>
      <c r="W1628" s="7" t="n"/>
      <c r="X1628" s="7" t="n"/>
      <c r="Y1628" s="7" t="n"/>
      <c r="Z1628" s="7" t="n"/>
      <c r="AA1628" s="9">
        <f>IF(A1628="","",A1628&amp;"|"&amp;COUNTIF($A$2:A1628,A1628))</f>
        <v/>
      </c>
    </row>
    <row r="1629">
      <c r="A1629" s="7" t="n"/>
      <c r="B1629" s="7" t="n"/>
      <c r="C1629" s="7" t="n"/>
      <c r="D1629" s="8" t="n"/>
      <c r="E1629" s="7" t="n"/>
      <c r="F1629" s="7" t="n"/>
      <c r="G1629" s="7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  <c r="R1629" s="7" t="n"/>
      <c r="S1629" s="7" t="n"/>
      <c r="T1629" s="7" t="n"/>
      <c r="U1629" s="7" t="n"/>
      <c r="V1629" s="7" t="n"/>
      <c r="W1629" s="7" t="n"/>
      <c r="X1629" s="7" t="n"/>
      <c r="Y1629" s="7" t="n"/>
      <c r="Z1629" s="7" t="n"/>
      <c r="AA1629" s="9">
        <f>IF(A1629="","",A1629&amp;"|"&amp;COUNTIF($A$2:A1629,A1629))</f>
        <v/>
      </c>
    </row>
    <row r="1630">
      <c r="A1630" s="7" t="n"/>
      <c r="B1630" s="7" t="n"/>
      <c r="C1630" s="7" t="n"/>
      <c r="D1630" s="8" t="n"/>
      <c r="E1630" s="7" t="n"/>
      <c r="F1630" s="7" t="n"/>
      <c r="G1630" s="7" t="n"/>
      <c r="H1630" s="7" t="n"/>
      <c r="I1630" s="7" t="n"/>
      <c r="J1630" s="7" t="n"/>
      <c r="K1630" s="7" t="n"/>
      <c r="L1630" s="7" t="n"/>
      <c r="M1630" s="7" t="n"/>
      <c r="N1630" s="7" t="n"/>
      <c r="O1630" s="7" t="n"/>
      <c r="P1630" s="7" t="n"/>
      <c r="Q1630" s="7" t="n"/>
      <c r="R1630" s="7" t="n"/>
      <c r="S1630" s="7" t="n"/>
      <c r="T1630" s="7" t="n"/>
      <c r="U1630" s="7" t="n"/>
      <c r="V1630" s="7" t="n"/>
      <c r="W1630" s="7" t="n"/>
      <c r="X1630" s="7" t="n"/>
      <c r="Y1630" s="7" t="n"/>
      <c r="Z1630" s="7" t="n"/>
      <c r="AA1630" s="9">
        <f>IF(A1630="","",A1630&amp;"|"&amp;COUNTIF($A$2:A1630,A1630))</f>
        <v/>
      </c>
    </row>
    <row r="1631">
      <c r="A1631" s="7" t="n"/>
      <c r="B1631" s="7" t="n"/>
      <c r="C1631" s="7" t="n"/>
      <c r="D1631" s="8" t="n"/>
      <c r="E1631" s="7" t="n"/>
      <c r="F1631" s="7" t="n"/>
      <c r="G1631" s="7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  <c r="R1631" s="7" t="n"/>
      <c r="S1631" s="7" t="n"/>
      <c r="T1631" s="7" t="n"/>
      <c r="U1631" s="7" t="n"/>
      <c r="V1631" s="7" t="n"/>
      <c r="W1631" s="7" t="n"/>
      <c r="X1631" s="7" t="n"/>
      <c r="Y1631" s="7" t="n"/>
      <c r="Z1631" s="7" t="n"/>
      <c r="AA1631" s="9">
        <f>IF(A1631="","",A1631&amp;"|"&amp;COUNTIF($A$2:A1631,A1631))</f>
        <v/>
      </c>
    </row>
    <row r="1632">
      <c r="A1632" s="7" t="n"/>
      <c r="B1632" s="7" t="n"/>
      <c r="C1632" s="7" t="n"/>
      <c r="D1632" s="8" t="n"/>
      <c r="E1632" s="7" t="n"/>
      <c r="F1632" s="7" t="n"/>
      <c r="G1632" s="7" t="n"/>
      <c r="H1632" s="7" t="n"/>
      <c r="I1632" s="7" t="n"/>
      <c r="J1632" s="7" t="n"/>
      <c r="K1632" s="7" t="n"/>
      <c r="L1632" s="7" t="n"/>
      <c r="M1632" s="7" t="n"/>
      <c r="N1632" s="7" t="n"/>
      <c r="O1632" s="7" t="n"/>
      <c r="P1632" s="7" t="n"/>
      <c r="Q1632" s="7" t="n"/>
      <c r="R1632" s="7" t="n"/>
      <c r="S1632" s="7" t="n"/>
      <c r="T1632" s="7" t="n"/>
      <c r="U1632" s="7" t="n"/>
      <c r="V1632" s="7" t="n"/>
      <c r="W1632" s="7" t="n"/>
      <c r="X1632" s="7" t="n"/>
      <c r="Y1632" s="7" t="n"/>
      <c r="Z1632" s="7" t="n"/>
      <c r="AA1632" s="9">
        <f>IF(A1632="","",A1632&amp;"|"&amp;COUNTIF($A$2:A1632,A1632))</f>
        <v/>
      </c>
    </row>
    <row r="1633">
      <c r="A1633" s="7" t="n"/>
      <c r="B1633" s="7" t="n"/>
      <c r="C1633" s="7" t="n"/>
      <c r="D1633" s="8" t="n"/>
      <c r="E1633" s="7" t="n"/>
      <c r="F1633" s="7" t="n"/>
      <c r="G1633" s="7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  <c r="R1633" s="7" t="n"/>
      <c r="S1633" s="7" t="n"/>
      <c r="T1633" s="7" t="n"/>
      <c r="U1633" s="7" t="n"/>
      <c r="V1633" s="7" t="n"/>
      <c r="W1633" s="7" t="n"/>
      <c r="X1633" s="7" t="n"/>
      <c r="Y1633" s="7" t="n"/>
      <c r="Z1633" s="7" t="n"/>
      <c r="AA1633" s="9">
        <f>IF(A1633="","",A1633&amp;"|"&amp;COUNTIF($A$2:A1633,A1633))</f>
        <v/>
      </c>
    </row>
    <row r="1634">
      <c r="A1634" s="7" t="n"/>
      <c r="B1634" s="7" t="n"/>
      <c r="C1634" s="7" t="n"/>
      <c r="D1634" s="8" t="n"/>
      <c r="E1634" s="7" t="n"/>
      <c r="F1634" s="7" t="n"/>
      <c r="G1634" s="7" t="n"/>
      <c r="H1634" s="7" t="n"/>
      <c r="I1634" s="7" t="n"/>
      <c r="J1634" s="7" t="n"/>
      <c r="K1634" s="7" t="n"/>
      <c r="L1634" s="7" t="n"/>
      <c r="M1634" s="7" t="n"/>
      <c r="N1634" s="7" t="n"/>
      <c r="O1634" s="7" t="n"/>
      <c r="P1634" s="7" t="n"/>
      <c r="Q1634" s="7" t="n"/>
      <c r="R1634" s="7" t="n"/>
      <c r="S1634" s="7" t="n"/>
      <c r="T1634" s="7" t="n"/>
      <c r="U1634" s="7" t="n"/>
      <c r="V1634" s="7" t="n"/>
      <c r="W1634" s="7" t="n"/>
      <c r="X1634" s="7" t="n"/>
      <c r="Y1634" s="7" t="n"/>
      <c r="Z1634" s="7" t="n"/>
      <c r="AA1634" s="9">
        <f>IF(A1634="","",A1634&amp;"|"&amp;COUNTIF($A$2:A1634,A1634))</f>
        <v/>
      </c>
    </row>
    <row r="1635">
      <c r="A1635" s="7" t="n"/>
      <c r="B1635" s="7" t="n"/>
      <c r="C1635" s="7" t="n"/>
      <c r="D1635" s="8" t="n"/>
      <c r="E1635" s="7" t="n"/>
      <c r="F1635" s="7" t="n"/>
      <c r="G1635" s="7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  <c r="R1635" s="7" t="n"/>
      <c r="S1635" s="7" t="n"/>
      <c r="T1635" s="7" t="n"/>
      <c r="U1635" s="7" t="n"/>
      <c r="V1635" s="7" t="n"/>
      <c r="W1635" s="7" t="n"/>
      <c r="X1635" s="7" t="n"/>
      <c r="Y1635" s="7" t="n"/>
      <c r="Z1635" s="7" t="n"/>
      <c r="AA1635" s="9">
        <f>IF(A1635="","",A1635&amp;"|"&amp;COUNTIF($A$2:A1635,A1635))</f>
        <v/>
      </c>
    </row>
    <row r="1636">
      <c r="A1636" s="7" t="n"/>
      <c r="B1636" s="7" t="n"/>
      <c r="C1636" s="7" t="n"/>
      <c r="D1636" s="8" t="n"/>
      <c r="E1636" s="7" t="n"/>
      <c r="F1636" s="7" t="n"/>
      <c r="G1636" s="7" t="n"/>
      <c r="H1636" s="7" t="n"/>
      <c r="I1636" s="7" t="n"/>
      <c r="J1636" s="7" t="n"/>
      <c r="K1636" s="7" t="n"/>
      <c r="L1636" s="7" t="n"/>
      <c r="M1636" s="7" t="n"/>
      <c r="N1636" s="7" t="n"/>
      <c r="O1636" s="7" t="n"/>
      <c r="P1636" s="7" t="n"/>
      <c r="Q1636" s="7" t="n"/>
      <c r="R1636" s="7" t="n"/>
      <c r="S1636" s="7" t="n"/>
      <c r="T1636" s="7" t="n"/>
      <c r="U1636" s="7" t="n"/>
      <c r="V1636" s="7" t="n"/>
      <c r="W1636" s="7" t="n"/>
      <c r="X1636" s="7" t="n"/>
      <c r="Y1636" s="7" t="n"/>
      <c r="Z1636" s="7" t="n"/>
      <c r="AA1636" s="9">
        <f>IF(A1636="","",A1636&amp;"|"&amp;COUNTIF($A$2:A1636,A1636))</f>
        <v/>
      </c>
    </row>
    <row r="1637">
      <c r="A1637" s="7" t="n"/>
      <c r="B1637" s="7" t="n"/>
      <c r="C1637" s="7" t="n"/>
      <c r="D1637" s="8" t="n"/>
      <c r="E1637" s="7" t="n"/>
      <c r="F1637" s="7" t="n"/>
      <c r="G1637" s="7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  <c r="R1637" s="7" t="n"/>
      <c r="S1637" s="7" t="n"/>
      <c r="T1637" s="7" t="n"/>
      <c r="U1637" s="7" t="n"/>
      <c r="V1637" s="7" t="n"/>
      <c r="W1637" s="7" t="n"/>
      <c r="X1637" s="7" t="n"/>
      <c r="Y1637" s="7" t="n"/>
      <c r="Z1637" s="7" t="n"/>
      <c r="AA1637" s="9">
        <f>IF(A1637="","",A1637&amp;"|"&amp;COUNTIF($A$2:A1637,A1637))</f>
        <v/>
      </c>
    </row>
    <row r="1638">
      <c r="A1638" s="7" t="n"/>
      <c r="B1638" s="7" t="n"/>
      <c r="C1638" s="7" t="n"/>
      <c r="D1638" s="8" t="n"/>
      <c r="E1638" s="7" t="n"/>
      <c r="F1638" s="7" t="n"/>
      <c r="G1638" s="7" t="n"/>
      <c r="H1638" s="7" t="n"/>
      <c r="I1638" s="7" t="n"/>
      <c r="J1638" s="7" t="n"/>
      <c r="K1638" s="7" t="n"/>
      <c r="L1638" s="7" t="n"/>
      <c r="M1638" s="7" t="n"/>
      <c r="N1638" s="7" t="n"/>
      <c r="O1638" s="7" t="n"/>
      <c r="P1638" s="7" t="n"/>
      <c r="Q1638" s="7" t="n"/>
      <c r="R1638" s="7" t="n"/>
      <c r="S1638" s="7" t="n"/>
      <c r="T1638" s="7" t="n"/>
      <c r="U1638" s="7" t="n"/>
      <c r="V1638" s="7" t="n"/>
      <c r="W1638" s="7" t="n"/>
      <c r="X1638" s="7" t="n"/>
      <c r="Y1638" s="7" t="n"/>
      <c r="Z1638" s="7" t="n"/>
      <c r="AA1638" s="9">
        <f>IF(A1638="","",A1638&amp;"|"&amp;COUNTIF($A$2:A1638,A1638))</f>
        <v/>
      </c>
    </row>
    <row r="1639">
      <c r="A1639" s="7" t="n"/>
      <c r="B1639" s="7" t="n"/>
      <c r="C1639" s="7" t="n"/>
      <c r="D1639" s="8" t="n"/>
      <c r="E1639" s="7" t="n"/>
      <c r="F1639" s="7" t="n"/>
      <c r="G1639" s="7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  <c r="R1639" s="7" t="n"/>
      <c r="S1639" s="7" t="n"/>
      <c r="T1639" s="7" t="n"/>
      <c r="U1639" s="7" t="n"/>
      <c r="V1639" s="7" t="n"/>
      <c r="W1639" s="7" t="n"/>
      <c r="X1639" s="7" t="n"/>
      <c r="Y1639" s="7" t="n"/>
      <c r="Z1639" s="7" t="n"/>
      <c r="AA1639" s="9">
        <f>IF(A1639="","",A1639&amp;"|"&amp;COUNTIF($A$2:A1639,A1639))</f>
        <v/>
      </c>
    </row>
    <row r="1640">
      <c r="A1640" s="7" t="n"/>
      <c r="B1640" s="7" t="n"/>
      <c r="C1640" s="7" t="n"/>
      <c r="D1640" s="8" t="n"/>
      <c r="E1640" s="7" t="n"/>
      <c r="F1640" s="7" t="n"/>
      <c r="G1640" s="7" t="n"/>
      <c r="H1640" s="7" t="n"/>
      <c r="I1640" s="7" t="n"/>
      <c r="J1640" s="7" t="n"/>
      <c r="K1640" s="7" t="n"/>
      <c r="L1640" s="7" t="n"/>
      <c r="M1640" s="7" t="n"/>
      <c r="N1640" s="7" t="n"/>
      <c r="O1640" s="7" t="n"/>
      <c r="P1640" s="7" t="n"/>
      <c r="Q1640" s="7" t="n"/>
      <c r="R1640" s="7" t="n"/>
      <c r="S1640" s="7" t="n"/>
      <c r="T1640" s="7" t="n"/>
      <c r="U1640" s="7" t="n"/>
      <c r="V1640" s="7" t="n"/>
      <c r="W1640" s="7" t="n"/>
      <c r="X1640" s="7" t="n"/>
      <c r="Y1640" s="7" t="n"/>
      <c r="Z1640" s="7" t="n"/>
      <c r="AA1640" s="9">
        <f>IF(A1640="","",A1640&amp;"|"&amp;COUNTIF($A$2:A1640,A1640))</f>
        <v/>
      </c>
    </row>
    <row r="1641">
      <c r="A1641" s="7" t="n"/>
      <c r="B1641" s="7" t="n"/>
      <c r="C1641" s="7" t="n"/>
      <c r="D1641" s="8" t="n"/>
      <c r="E1641" s="7" t="n"/>
      <c r="F1641" s="7" t="n"/>
      <c r="G1641" s="7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  <c r="R1641" s="7" t="n"/>
      <c r="S1641" s="7" t="n"/>
      <c r="T1641" s="7" t="n"/>
      <c r="U1641" s="7" t="n"/>
      <c r="V1641" s="7" t="n"/>
      <c r="W1641" s="7" t="n"/>
      <c r="X1641" s="7" t="n"/>
      <c r="Y1641" s="7" t="n"/>
      <c r="Z1641" s="7" t="n"/>
      <c r="AA1641" s="9">
        <f>IF(A1641="","",A1641&amp;"|"&amp;COUNTIF($A$2:A1641,A1641))</f>
        <v/>
      </c>
    </row>
    <row r="1642">
      <c r="A1642" s="7" t="n"/>
      <c r="B1642" s="7" t="n"/>
      <c r="C1642" s="7" t="n"/>
      <c r="D1642" s="8" t="n"/>
      <c r="E1642" s="7" t="n"/>
      <c r="F1642" s="7" t="n"/>
      <c r="G1642" s="7" t="n"/>
      <c r="H1642" s="7" t="n"/>
      <c r="I1642" s="7" t="n"/>
      <c r="J1642" s="7" t="n"/>
      <c r="K1642" s="7" t="n"/>
      <c r="L1642" s="7" t="n"/>
      <c r="M1642" s="7" t="n"/>
      <c r="N1642" s="7" t="n"/>
      <c r="O1642" s="7" t="n"/>
      <c r="P1642" s="7" t="n"/>
      <c r="Q1642" s="7" t="n"/>
      <c r="R1642" s="7" t="n"/>
      <c r="S1642" s="7" t="n"/>
      <c r="T1642" s="7" t="n"/>
      <c r="U1642" s="7" t="n"/>
      <c r="V1642" s="7" t="n"/>
      <c r="W1642" s="7" t="n"/>
      <c r="X1642" s="7" t="n"/>
      <c r="Y1642" s="7" t="n"/>
      <c r="Z1642" s="7" t="n"/>
      <c r="AA1642" s="9">
        <f>IF(A1642="","",A1642&amp;"|"&amp;COUNTIF($A$2:A1642,A1642))</f>
        <v/>
      </c>
    </row>
    <row r="1643">
      <c r="A1643" s="7" t="n"/>
      <c r="B1643" s="7" t="n"/>
      <c r="C1643" s="7" t="n"/>
      <c r="D1643" s="8" t="n"/>
      <c r="E1643" s="7" t="n"/>
      <c r="F1643" s="7" t="n"/>
      <c r="G1643" s="7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  <c r="R1643" s="7" t="n"/>
      <c r="S1643" s="7" t="n"/>
      <c r="T1643" s="7" t="n"/>
      <c r="U1643" s="7" t="n"/>
      <c r="V1643" s="7" t="n"/>
      <c r="W1643" s="7" t="n"/>
      <c r="X1643" s="7" t="n"/>
      <c r="Y1643" s="7" t="n"/>
      <c r="Z1643" s="7" t="n"/>
      <c r="AA1643" s="9">
        <f>IF(A1643="","",A1643&amp;"|"&amp;COUNTIF($A$2:A1643,A1643))</f>
        <v/>
      </c>
    </row>
    <row r="1644">
      <c r="A1644" s="7" t="n"/>
      <c r="B1644" s="7" t="n"/>
      <c r="C1644" s="7" t="n"/>
      <c r="D1644" s="8" t="n"/>
      <c r="E1644" s="7" t="n"/>
      <c r="F1644" s="7" t="n"/>
      <c r="G1644" s="7" t="n"/>
      <c r="H1644" s="7" t="n"/>
      <c r="I1644" s="7" t="n"/>
      <c r="J1644" s="7" t="n"/>
      <c r="K1644" s="7" t="n"/>
      <c r="L1644" s="7" t="n"/>
      <c r="M1644" s="7" t="n"/>
      <c r="N1644" s="7" t="n"/>
      <c r="O1644" s="7" t="n"/>
      <c r="P1644" s="7" t="n"/>
      <c r="Q1644" s="7" t="n"/>
      <c r="R1644" s="7" t="n"/>
      <c r="S1644" s="7" t="n"/>
      <c r="T1644" s="7" t="n"/>
      <c r="U1644" s="7" t="n"/>
      <c r="V1644" s="7" t="n"/>
      <c r="W1644" s="7" t="n"/>
      <c r="X1644" s="7" t="n"/>
      <c r="Y1644" s="7" t="n"/>
      <c r="Z1644" s="7" t="n"/>
      <c r="AA1644" s="9">
        <f>IF(A1644="","",A1644&amp;"|"&amp;COUNTIF($A$2:A1644,A1644))</f>
        <v/>
      </c>
    </row>
    <row r="1645">
      <c r="A1645" s="7" t="n"/>
      <c r="B1645" s="7" t="n"/>
      <c r="C1645" s="7" t="n"/>
      <c r="D1645" s="8" t="n"/>
      <c r="E1645" s="7" t="n"/>
      <c r="F1645" s="7" t="n"/>
      <c r="G1645" s="7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  <c r="R1645" s="7" t="n"/>
      <c r="S1645" s="7" t="n"/>
      <c r="T1645" s="7" t="n"/>
      <c r="U1645" s="7" t="n"/>
      <c r="V1645" s="7" t="n"/>
      <c r="W1645" s="7" t="n"/>
      <c r="X1645" s="7" t="n"/>
      <c r="Y1645" s="7" t="n"/>
      <c r="Z1645" s="7" t="n"/>
      <c r="AA1645" s="9">
        <f>IF(A1645="","",A1645&amp;"|"&amp;COUNTIF($A$2:A1645,A1645))</f>
        <v/>
      </c>
    </row>
    <row r="1646">
      <c r="A1646" s="7" t="n"/>
      <c r="B1646" s="7" t="n"/>
      <c r="C1646" s="7" t="n"/>
      <c r="D1646" s="8" t="n"/>
      <c r="E1646" s="7" t="n"/>
      <c r="F1646" s="7" t="n"/>
      <c r="G1646" s="7" t="n"/>
      <c r="H1646" s="7" t="n"/>
      <c r="I1646" s="7" t="n"/>
      <c r="J1646" s="7" t="n"/>
      <c r="K1646" s="7" t="n"/>
      <c r="L1646" s="7" t="n"/>
      <c r="M1646" s="7" t="n"/>
      <c r="N1646" s="7" t="n"/>
      <c r="O1646" s="7" t="n"/>
      <c r="P1646" s="7" t="n"/>
      <c r="Q1646" s="7" t="n"/>
      <c r="R1646" s="7" t="n"/>
      <c r="S1646" s="7" t="n"/>
      <c r="T1646" s="7" t="n"/>
      <c r="U1646" s="7" t="n"/>
      <c r="V1646" s="7" t="n"/>
      <c r="W1646" s="7" t="n"/>
      <c r="X1646" s="7" t="n"/>
      <c r="Y1646" s="7" t="n"/>
      <c r="Z1646" s="7" t="n"/>
      <c r="AA1646" s="9">
        <f>IF(A1646="","",A1646&amp;"|"&amp;COUNTIF($A$2:A1646,A1646))</f>
        <v/>
      </c>
    </row>
    <row r="1647">
      <c r="A1647" s="7" t="n"/>
      <c r="B1647" s="7" t="n"/>
      <c r="C1647" s="7" t="n"/>
      <c r="D1647" s="8" t="n"/>
      <c r="E1647" s="7" t="n"/>
      <c r="F1647" s="7" t="n"/>
      <c r="G1647" s="7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  <c r="R1647" s="7" t="n"/>
      <c r="S1647" s="7" t="n"/>
      <c r="T1647" s="7" t="n"/>
      <c r="U1647" s="7" t="n"/>
      <c r="V1647" s="7" t="n"/>
      <c r="W1647" s="7" t="n"/>
      <c r="X1647" s="7" t="n"/>
      <c r="Y1647" s="7" t="n"/>
      <c r="Z1647" s="7" t="n"/>
      <c r="AA1647" s="9">
        <f>IF(A1647="","",A1647&amp;"|"&amp;COUNTIF($A$2:A1647,A1647))</f>
        <v/>
      </c>
    </row>
    <row r="1648">
      <c r="A1648" s="7" t="n"/>
      <c r="B1648" s="7" t="n"/>
      <c r="C1648" s="7" t="n"/>
      <c r="D1648" s="8" t="n"/>
      <c r="E1648" s="7" t="n"/>
      <c r="F1648" s="7" t="n"/>
      <c r="G1648" s="7" t="n"/>
      <c r="H1648" s="7" t="n"/>
      <c r="I1648" s="7" t="n"/>
      <c r="J1648" s="7" t="n"/>
      <c r="K1648" s="7" t="n"/>
      <c r="L1648" s="7" t="n"/>
      <c r="M1648" s="7" t="n"/>
      <c r="N1648" s="7" t="n"/>
      <c r="O1648" s="7" t="n"/>
      <c r="P1648" s="7" t="n"/>
      <c r="Q1648" s="7" t="n"/>
      <c r="R1648" s="7" t="n"/>
      <c r="S1648" s="7" t="n"/>
      <c r="T1648" s="7" t="n"/>
      <c r="U1648" s="7" t="n"/>
      <c r="V1648" s="7" t="n"/>
      <c r="W1648" s="7" t="n"/>
      <c r="X1648" s="7" t="n"/>
      <c r="Y1648" s="7" t="n"/>
      <c r="Z1648" s="7" t="n"/>
      <c r="AA1648" s="9">
        <f>IF(A1648="","",A1648&amp;"|"&amp;COUNTIF($A$2:A1648,A1648))</f>
        <v/>
      </c>
    </row>
    <row r="1649">
      <c r="A1649" s="7" t="n"/>
      <c r="B1649" s="7" t="n"/>
      <c r="C1649" s="7" t="n"/>
      <c r="D1649" s="8" t="n"/>
      <c r="E1649" s="7" t="n"/>
      <c r="F1649" s="7" t="n"/>
      <c r="G1649" s="7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  <c r="R1649" s="7" t="n"/>
      <c r="S1649" s="7" t="n"/>
      <c r="T1649" s="7" t="n"/>
      <c r="U1649" s="7" t="n"/>
      <c r="V1649" s="7" t="n"/>
      <c r="W1649" s="7" t="n"/>
      <c r="X1649" s="7" t="n"/>
      <c r="Y1649" s="7" t="n"/>
      <c r="Z1649" s="7" t="n"/>
      <c r="AA1649" s="9">
        <f>IF(A1649="","",A1649&amp;"|"&amp;COUNTIF($A$2:A1649,A1649))</f>
        <v/>
      </c>
    </row>
    <row r="1650">
      <c r="A1650" s="7" t="n"/>
      <c r="B1650" s="7" t="n"/>
      <c r="C1650" s="7" t="n"/>
      <c r="D1650" s="8" t="n"/>
      <c r="E1650" s="7" t="n"/>
      <c r="F1650" s="7" t="n"/>
      <c r="G1650" s="7" t="n"/>
      <c r="H1650" s="7" t="n"/>
      <c r="I1650" s="7" t="n"/>
      <c r="J1650" s="7" t="n"/>
      <c r="K1650" s="7" t="n"/>
      <c r="L1650" s="7" t="n"/>
      <c r="M1650" s="7" t="n"/>
      <c r="N1650" s="7" t="n"/>
      <c r="O1650" s="7" t="n"/>
      <c r="P1650" s="7" t="n"/>
      <c r="Q1650" s="7" t="n"/>
      <c r="R1650" s="7" t="n"/>
      <c r="S1650" s="7" t="n"/>
      <c r="T1650" s="7" t="n"/>
      <c r="U1650" s="7" t="n"/>
      <c r="V1650" s="7" t="n"/>
      <c r="W1650" s="7" t="n"/>
      <c r="X1650" s="7" t="n"/>
      <c r="Y1650" s="7" t="n"/>
      <c r="Z1650" s="7" t="n"/>
      <c r="AA1650" s="9">
        <f>IF(A1650="","",A1650&amp;"|"&amp;COUNTIF($A$2:A1650,A1650))</f>
        <v/>
      </c>
    </row>
    <row r="1651">
      <c r="A1651" s="7" t="n"/>
      <c r="B1651" s="7" t="n"/>
      <c r="C1651" s="7" t="n"/>
      <c r="D1651" s="8" t="n"/>
      <c r="E1651" s="7" t="n"/>
      <c r="F1651" s="7" t="n"/>
      <c r="G1651" s="7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  <c r="R1651" s="7" t="n"/>
      <c r="S1651" s="7" t="n"/>
      <c r="T1651" s="7" t="n"/>
      <c r="U1651" s="7" t="n"/>
      <c r="V1651" s="7" t="n"/>
      <c r="W1651" s="7" t="n"/>
      <c r="X1651" s="7" t="n"/>
      <c r="Y1651" s="7" t="n"/>
      <c r="Z1651" s="7" t="n"/>
      <c r="AA1651" s="9">
        <f>IF(A1651="","",A1651&amp;"|"&amp;COUNTIF($A$2:A1651,A1651))</f>
        <v/>
      </c>
    </row>
    <row r="1652">
      <c r="A1652" s="7" t="n"/>
      <c r="B1652" s="7" t="n"/>
      <c r="C1652" s="7" t="n"/>
      <c r="D1652" s="8" t="n"/>
      <c r="E1652" s="7" t="n"/>
      <c r="F1652" s="7" t="n"/>
      <c r="G1652" s="7" t="n"/>
      <c r="H1652" s="7" t="n"/>
      <c r="I1652" s="7" t="n"/>
      <c r="J1652" s="7" t="n"/>
      <c r="K1652" s="7" t="n"/>
      <c r="L1652" s="7" t="n"/>
      <c r="M1652" s="7" t="n"/>
      <c r="N1652" s="7" t="n"/>
      <c r="O1652" s="7" t="n"/>
      <c r="P1652" s="7" t="n"/>
      <c r="Q1652" s="7" t="n"/>
      <c r="R1652" s="7" t="n"/>
      <c r="S1652" s="7" t="n"/>
      <c r="T1652" s="7" t="n"/>
      <c r="U1652" s="7" t="n"/>
      <c r="V1652" s="7" t="n"/>
      <c r="W1652" s="7" t="n"/>
      <c r="X1652" s="7" t="n"/>
      <c r="Y1652" s="7" t="n"/>
      <c r="Z1652" s="7" t="n"/>
      <c r="AA1652" s="9">
        <f>IF(A1652="","",A1652&amp;"|"&amp;COUNTIF($A$2:A1652,A1652))</f>
        <v/>
      </c>
    </row>
    <row r="1653">
      <c r="A1653" s="7" t="n"/>
      <c r="B1653" s="7" t="n"/>
      <c r="C1653" s="7" t="n"/>
      <c r="D1653" s="8" t="n"/>
      <c r="E1653" s="7" t="n"/>
      <c r="F1653" s="7" t="n"/>
      <c r="G1653" s="7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  <c r="R1653" s="7" t="n"/>
      <c r="S1653" s="7" t="n"/>
      <c r="T1653" s="7" t="n"/>
      <c r="U1653" s="7" t="n"/>
      <c r="V1653" s="7" t="n"/>
      <c r="W1653" s="7" t="n"/>
      <c r="X1653" s="7" t="n"/>
      <c r="Y1653" s="7" t="n"/>
      <c r="Z1653" s="7" t="n"/>
      <c r="AA1653" s="9">
        <f>IF(A1653="","",A1653&amp;"|"&amp;COUNTIF($A$2:A1653,A1653))</f>
        <v/>
      </c>
    </row>
    <row r="1654">
      <c r="A1654" s="7" t="n"/>
      <c r="B1654" s="7" t="n"/>
      <c r="C1654" s="7" t="n"/>
      <c r="D1654" s="8" t="n"/>
      <c r="E1654" s="7" t="n"/>
      <c r="F1654" s="7" t="n"/>
      <c r="G1654" s="7" t="n"/>
      <c r="H1654" s="7" t="n"/>
      <c r="I1654" s="7" t="n"/>
      <c r="J1654" s="7" t="n"/>
      <c r="K1654" s="7" t="n"/>
      <c r="L1654" s="7" t="n"/>
      <c r="M1654" s="7" t="n"/>
      <c r="N1654" s="7" t="n"/>
      <c r="O1654" s="7" t="n"/>
      <c r="P1654" s="7" t="n"/>
      <c r="Q1654" s="7" t="n"/>
      <c r="R1654" s="7" t="n"/>
      <c r="S1654" s="7" t="n"/>
      <c r="T1654" s="7" t="n"/>
      <c r="U1654" s="7" t="n"/>
      <c r="V1654" s="7" t="n"/>
      <c r="W1654" s="7" t="n"/>
      <c r="X1654" s="7" t="n"/>
      <c r="Y1654" s="7" t="n"/>
      <c r="Z1654" s="7" t="n"/>
      <c r="AA1654" s="9">
        <f>IF(A1654="","",A1654&amp;"|"&amp;COUNTIF($A$2:A1654,A1654))</f>
        <v/>
      </c>
    </row>
    <row r="1655">
      <c r="A1655" s="7" t="n"/>
      <c r="B1655" s="7" t="n"/>
      <c r="C1655" s="7" t="n"/>
      <c r="D1655" s="8" t="n"/>
      <c r="E1655" s="7" t="n"/>
      <c r="F1655" s="7" t="n"/>
      <c r="G1655" s="7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  <c r="R1655" s="7" t="n"/>
      <c r="S1655" s="7" t="n"/>
      <c r="T1655" s="7" t="n"/>
      <c r="U1655" s="7" t="n"/>
      <c r="V1655" s="7" t="n"/>
      <c r="W1655" s="7" t="n"/>
      <c r="X1655" s="7" t="n"/>
      <c r="Y1655" s="7" t="n"/>
      <c r="Z1655" s="7" t="n"/>
      <c r="AA1655" s="9">
        <f>IF(A1655="","",A1655&amp;"|"&amp;COUNTIF($A$2:A1655,A1655))</f>
        <v/>
      </c>
    </row>
    <row r="1656">
      <c r="A1656" s="7" t="n"/>
      <c r="B1656" s="7" t="n"/>
      <c r="C1656" s="7" t="n"/>
      <c r="D1656" s="8" t="n"/>
      <c r="E1656" s="7" t="n"/>
      <c r="F1656" s="7" t="n"/>
      <c r="G1656" s="7" t="n"/>
      <c r="H1656" s="7" t="n"/>
      <c r="I1656" s="7" t="n"/>
      <c r="J1656" s="7" t="n"/>
      <c r="K1656" s="7" t="n"/>
      <c r="L1656" s="7" t="n"/>
      <c r="M1656" s="7" t="n"/>
      <c r="N1656" s="7" t="n"/>
      <c r="O1656" s="7" t="n"/>
      <c r="P1656" s="7" t="n"/>
      <c r="Q1656" s="7" t="n"/>
      <c r="R1656" s="7" t="n"/>
      <c r="S1656" s="7" t="n"/>
      <c r="T1656" s="7" t="n"/>
      <c r="U1656" s="7" t="n"/>
      <c r="V1656" s="7" t="n"/>
      <c r="W1656" s="7" t="n"/>
      <c r="X1656" s="7" t="n"/>
      <c r="Y1656" s="7" t="n"/>
      <c r="Z1656" s="7" t="n"/>
      <c r="AA1656" s="9">
        <f>IF(A1656="","",A1656&amp;"|"&amp;COUNTIF($A$2:A1656,A1656))</f>
        <v/>
      </c>
    </row>
    <row r="1657">
      <c r="A1657" s="7" t="n"/>
      <c r="B1657" s="7" t="n"/>
      <c r="C1657" s="7" t="n"/>
      <c r="D1657" s="8" t="n"/>
      <c r="E1657" s="7" t="n"/>
      <c r="F1657" s="7" t="n"/>
      <c r="G1657" s="7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  <c r="R1657" s="7" t="n"/>
      <c r="S1657" s="7" t="n"/>
      <c r="T1657" s="7" t="n"/>
      <c r="U1657" s="7" t="n"/>
      <c r="V1657" s="7" t="n"/>
      <c r="W1657" s="7" t="n"/>
      <c r="X1657" s="7" t="n"/>
      <c r="Y1657" s="7" t="n"/>
      <c r="Z1657" s="7" t="n"/>
      <c r="AA1657" s="9">
        <f>IF(A1657="","",A1657&amp;"|"&amp;COUNTIF($A$2:A1657,A1657))</f>
        <v/>
      </c>
    </row>
    <row r="1658">
      <c r="A1658" s="7" t="n"/>
      <c r="B1658" s="7" t="n"/>
      <c r="C1658" s="7" t="n"/>
      <c r="D1658" s="8" t="n"/>
      <c r="E1658" s="7" t="n"/>
      <c r="F1658" s="7" t="n"/>
      <c r="G1658" s="7" t="n"/>
      <c r="H1658" s="7" t="n"/>
      <c r="I1658" s="7" t="n"/>
      <c r="J1658" s="7" t="n"/>
      <c r="K1658" s="7" t="n"/>
      <c r="L1658" s="7" t="n"/>
      <c r="M1658" s="7" t="n"/>
      <c r="N1658" s="7" t="n"/>
      <c r="O1658" s="7" t="n"/>
      <c r="P1658" s="7" t="n"/>
      <c r="Q1658" s="7" t="n"/>
      <c r="R1658" s="7" t="n"/>
      <c r="S1658" s="7" t="n"/>
      <c r="T1658" s="7" t="n"/>
      <c r="U1658" s="7" t="n"/>
      <c r="V1658" s="7" t="n"/>
      <c r="W1658" s="7" t="n"/>
      <c r="X1658" s="7" t="n"/>
      <c r="Y1658" s="7" t="n"/>
      <c r="Z1658" s="7" t="n"/>
      <c r="AA1658" s="9">
        <f>IF(A1658="","",A1658&amp;"|"&amp;COUNTIF($A$2:A1658,A1658))</f>
        <v/>
      </c>
    </row>
    <row r="1659">
      <c r="A1659" s="7" t="n"/>
      <c r="B1659" s="7" t="n"/>
      <c r="C1659" s="7" t="n"/>
      <c r="D1659" s="8" t="n"/>
      <c r="E1659" s="7" t="n"/>
      <c r="F1659" s="7" t="n"/>
      <c r="G1659" s="7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  <c r="R1659" s="7" t="n"/>
      <c r="S1659" s="7" t="n"/>
      <c r="T1659" s="7" t="n"/>
      <c r="U1659" s="7" t="n"/>
      <c r="V1659" s="7" t="n"/>
      <c r="W1659" s="7" t="n"/>
      <c r="X1659" s="7" t="n"/>
      <c r="Y1659" s="7" t="n"/>
      <c r="Z1659" s="7" t="n"/>
      <c r="AA1659" s="9">
        <f>IF(A1659="","",A1659&amp;"|"&amp;COUNTIF($A$2:A1659,A1659))</f>
        <v/>
      </c>
    </row>
    <row r="1660">
      <c r="A1660" s="7" t="n"/>
      <c r="B1660" s="7" t="n"/>
      <c r="C1660" s="7" t="n"/>
      <c r="D1660" s="8" t="n"/>
      <c r="E1660" s="7" t="n"/>
      <c r="F1660" s="7" t="n"/>
      <c r="G1660" s="7" t="n"/>
      <c r="H1660" s="7" t="n"/>
      <c r="I1660" s="7" t="n"/>
      <c r="J1660" s="7" t="n"/>
      <c r="K1660" s="7" t="n"/>
      <c r="L1660" s="7" t="n"/>
      <c r="M1660" s="7" t="n"/>
      <c r="N1660" s="7" t="n"/>
      <c r="O1660" s="7" t="n"/>
      <c r="P1660" s="7" t="n"/>
      <c r="Q1660" s="7" t="n"/>
      <c r="R1660" s="7" t="n"/>
      <c r="S1660" s="7" t="n"/>
      <c r="T1660" s="7" t="n"/>
      <c r="U1660" s="7" t="n"/>
      <c r="V1660" s="7" t="n"/>
      <c r="W1660" s="7" t="n"/>
      <c r="X1660" s="7" t="n"/>
      <c r="Y1660" s="7" t="n"/>
      <c r="Z1660" s="7" t="n"/>
      <c r="AA1660" s="9">
        <f>IF(A1660="","",A1660&amp;"|"&amp;COUNTIF($A$2:A1660,A1660))</f>
        <v/>
      </c>
    </row>
    <row r="1661">
      <c r="A1661" s="7" t="n"/>
      <c r="B1661" s="7" t="n"/>
      <c r="C1661" s="7" t="n"/>
      <c r="D1661" s="8" t="n"/>
      <c r="E1661" s="7" t="n"/>
      <c r="F1661" s="7" t="n"/>
      <c r="G1661" s="7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  <c r="R1661" s="7" t="n"/>
      <c r="S1661" s="7" t="n"/>
      <c r="T1661" s="7" t="n"/>
      <c r="U1661" s="7" t="n"/>
      <c r="V1661" s="7" t="n"/>
      <c r="W1661" s="7" t="n"/>
      <c r="X1661" s="7" t="n"/>
      <c r="Y1661" s="7" t="n"/>
      <c r="Z1661" s="7" t="n"/>
      <c r="AA1661" s="9">
        <f>IF(A1661="","",A1661&amp;"|"&amp;COUNTIF($A$2:A1661,A1661))</f>
        <v/>
      </c>
    </row>
    <row r="1662">
      <c r="A1662" s="7" t="n"/>
      <c r="B1662" s="7" t="n"/>
      <c r="C1662" s="7" t="n"/>
      <c r="D1662" s="8" t="n"/>
      <c r="E1662" s="7" t="n"/>
      <c r="F1662" s="7" t="n"/>
      <c r="G1662" s="7" t="n"/>
      <c r="H1662" s="7" t="n"/>
      <c r="I1662" s="7" t="n"/>
      <c r="J1662" s="7" t="n"/>
      <c r="K1662" s="7" t="n"/>
      <c r="L1662" s="7" t="n"/>
      <c r="M1662" s="7" t="n"/>
      <c r="N1662" s="7" t="n"/>
      <c r="O1662" s="7" t="n"/>
      <c r="P1662" s="7" t="n"/>
      <c r="Q1662" s="7" t="n"/>
      <c r="R1662" s="7" t="n"/>
      <c r="S1662" s="7" t="n"/>
      <c r="T1662" s="7" t="n"/>
      <c r="U1662" s="7" t="n"/>
      <c r="V1662" s="7" t="n"/>
      <c r="W1662" s="7" t="n"/>
      <c r="X1662" s="7" t="n"/>
      <c r="Y1662" s="7" t="n"/>
      <c r="Z1662" s="7" t="n"/>
      <c r="AA1662" s="9">
        <f>IF(A1662="","",A1662&amp;"|"&amp;COUNTIF($A$2:A1662,A1662))</f>
        <v/>
      </c>
    </row>
    <row r="1663">
      <c r="A1663" s="7" t="n"/>
      <c r="B1663" s="7" t="n"/>
      <c r="C1663" s="7" t="n"/>
      <c r="D1663" s="8" t="n"/>
      <c r="E1663" s="7" t="n"/>
      <c r="F1663" s="7" t="n"/>
      <c r="G1663" s="7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  <c r="R1663" s="7" t="n"/>
      <c r="S1663" s="7" t="n"/>
      <c r="T1663" s="7" t="n"/>
      <c r="U1663" s="7" t="n"/>
      <c r="V1663" s="7" t="n"/>
      <c r="W1663" s="7" t="n"/>
      <c r="X1663" s="7" t="n"/>
      <c r="Y1663" s="7" t="n"/>
      <c r="Z1663" s="7" t="n"/>
      <c r="AA1663" s="9">
        <f>IF(A1663="","",A1663&amp;"|"&amp;COUNTIF($A$2:A1663,A1663))</f>
        <v/>
      </c>
    </row>
    <row r="1664">
      <c r="A1664" s="7" t="n"/>
      <c r="B1664" s="7" t="n"/>
      <c r="C1664" s="7" t="n"/>
      <c r="D1664" s="8" t="n"/>
      <c r="E1664" s="7" t="n"/>
      <c r="F1664" s="7" t="n"/>
      <c r="G1664" s="7" t="n"/>
      <c r="H1664" s="7" t="n"/>
      <c r="I1664" s="7" t="n"/>
      <c r="J1664" s="7" t="n"/>
      <c r="K1664" s="7" t="n"/>
      <c r="L1664" s="7" t="n"/>
      <c r="M1664" s="7" t="n"/>
      <c r="N1664" s="7" t="n"/>
      <c r="O1664" s="7" t="n"/>
      <c r="P1664" s="7" t="n"/>
      <c r="Q1664" s="7" t="n"/>
      <c r="R1664" s="7" t="n"/>
      <c r="S1664" s="7" t="n"/>
      <c r="T1664" s="7" t="n"/>
      <c r="U1664" s="7" t="n"/>
      <c r="V1664" s="7" t="n"/>
      <c r="W1664" s="7" t="n"/>
      <c r="X1664" s="7" t="n"/>
      <c r="Y1664" s="7" t="n"/>
      <c r="Z1664" s="7" t="n"/>
      <c r="AA1664" s="9">
        <f>IF(A1664="","",A1664&amp;"|"&amp;COUNTIF($A$2:A1664,A1664))</f>
        <v/>
      </c>
    </row>
    <row r="1665">
      <c r="A1665" s="7" t="n"/>
      <c r="B1665" s="7" t="n"/>
      <c r="C1665" s="7" t="n"/>
      <c r="D1665" s="8" t="n"/>
      <c r="E1665" s="7" t="n"/>
      <c r="F1665" s="7" t="n"/>
      <c r="G1665" s="7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  <c r="R1665" s="7" t="n"/>
      <c r="S1665" s="7" t="n"/>
      <c r="T1665" s="7" t="n"/>
      <c r="U1665" s="7" t="n"/>
      <c r="V1665" s="7" t="n"/>
      <c r="W1665" s="7" t="n"/>
      <c r="X1665" s="7" t="n"/>
      <c r="Y1665" s="7" t="n"/>
      <c r="Z1665" s="7" t="n"/>
      <c r="AA1665" s="9">
        <f>IF(A1665="","",A1665&amp;"|"&amp;COUNTIF($A$2:A1665,A1665))</f>
        <v/>
      </c>
    </row>
    <row r="1666">
      <c r="A1666" s="7" t="n"/>
      <c r="B1666" s="7" t="n"/>
      <c r="C1666" s="7" t="n"/>
      <c r="D1666" s="8" t="n"/>
      <c r="E1666" s="7" t="n"/>
      <c r="F1666" s="7" t="n"/>
      <c r="G1666" s="7" t="n"/>
      <c r="H1666" s="7" t="n"/>
      <c r="I1666" s="7" t="n"/>
      <c r="J1666" s="7" t="n"/>
      <c r="K1666" s="7" t="n"/>
      <c r="L1666" s="7" t="n"/>
      <c r="M1666" s="7" t="n"/>
      <c r="N1666" s="7" t="n"/>
      <c r="O1666" s="7" t="n"/>
      <c r="P1666" s="7" t="n"/>
      <c r="Q1666" s="7" t="n"/>
      <c r="R1666" s="7" t="n"/>
      <c r="S1666" s="7" t="n"/>
      <c r="T1666" s="7" t="n"/>
      <c r="U1666" s="7" t="n"/>
      <c r="V1666" s="7" t="n"/>
      <c r="W1666" s="7" t="n"/>
      <c r="X1666" s="7" t="n"/>
      <c r="Y1666" s="7" t="n"/>
      <c r="Z1666" s="7" t="n"/>
      <c r="AA1666" s="9">
        <f>IF(A1666="","",A1666&amp;"|"&amp;COUNTIF($A$2:A1666,A1666))</f>
        <v/>
      </c>
    </row>
    <row r="1667">
      <c r="A1667" s="7" t="n"/>
      <c r="B1667" s="7" t="n"/>
      <c r="C1667" s="7" t="n"/>
      <c r="D1667" s="8" t="n"/>
      <c r="E1667" s="7" t="n"/>
      <c r="F1667" s="7" t="n"/>
      <c r="G1667" s="7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  <c r="R1667" s="7" t="n"/>
      <c r="S1667" s="7" t="n"/>
      <c r="T1667" s="7" t="n"/>
      <c r="U1667" s="7" t="n"/>
      <c r="V1667" s="7" t="n"/>
      <c r="W1667" s="7" t="n"/>
      <c r="X1667" s="7" t="n"/>
      <c r="Y1667" s="7" t="n"/>
      <c r="Z1667" s="7" t="n"/>
      <c r="AA1667" s="9">
        <f>IF(A1667="","",A1667&amp;"|"&amp;COUNTIF($A$2:A1667,A1667))</f>
        <v/>
      </c>
    </row>
    <row r="1668">
      <c r="A1668" s="7" t="n"/>
      <c r="B1668" s="7" t="n"/>
      <c r="C1668" s="7" t="n"/>
      <c r="D1668" s="8" t="n"/>
      <c r="E1668" s="7" t="n"/>
      <c r="F1668" s="7" t="n"/>
      <c r="G1668" s="7" t="n"/>
      <c r="H1668" s="7" t="n"/>
      <c r="I1668" s="7" t="n"/>
      <c r="J1668" s="7" t="n"/>
      <c r="K1668" s="7" t="n"/>
      <c r="L1668" s="7" t="n"/>
      <c r="M1668" s="7" t="n"/>
      <c r="N1668" s="7" t="n"/>
      <c r="O1668" s="7" t="n"/>
      <c r="P1668" s="7" t="n"/>
      <c r="Q1668" s="7" t="n"/>
      <c r="R1668" s="7" t="n"/>
      <c r="S1668" s="7" t="n"/>
      <c r="T1668" s="7" t="n"/>
      <c r="U1668" s="7" t="n"/>
      <c r="V1668" s="7" t="n"/>
      <c r="W1668" s="7" t="n"/>
      <c r="X1668" s="7" t="n"/>
      <c r="Y1668" s="7" t="n"/>
      <c r="Z1668" s="7" t="n"/>
      <c r="AA1668" s="9">
        <f>IF(A1668="","",A1668&amp;"|"&amp;COUNTIF($A$2:A1668,A1668))</f>
        <v/>
      </c>
    </row>
    <row r="1669">
      <c r="A1669" s="7" t="n"/>
      <c r="B1669" s="7" t="n"/>
      <c r="C1669" s="7" t="n"/>
      <c r="D1669" s="8" t="n"/>
      <c r="E1669" s="7" t="n"/>
      <c r="F1669" s="7" t="n"/>
      <c r="G1669" s="7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  <c r="R1669" s="7" t="n"/>
      <c r="S1669" s="7" t="n"/>
      <c r="T1669" s="7" t="n"/>
      <c r="U1669" s="7" t="n"/>
      <c r="V1669" s="7" t="n"/>
      <c r="W1669" s="7" t="n"/>
      <c r="X1669" s="7" t="n"/>
      <c r="Y1669" s="7" t="n"/>
      <c r="Z1669" s="7" t="n"/>
      <c r="AA1669" s="9">
        <f>IF(A1669="","",A1669&amp;"|"&amp;COUNTIF($A$2:A1669,A1669))</f>
        <v/>
      </c>
    </row>
    <row r="1670">
      <c r="A1670" s="7" t="n"/>
      <c r="B1670" s="7" t="n"/>
      <c r="C1670" s="7" t="n"/>
      <c r="D1670" s="8" t="n"/>
      <c r="E1670" s="7" t="n"/>
      <c r="F1670" s="7" t="n"/>
      <c r="G1670" s="7" t="n"/>
      <c r="H1670" s="7" t="n"/>
      <c r="I1670" s="7" t="n"/>
      <c r="J1670" s="7" t="n"/>
      <c r="K1670" s="7" t="n"/>
      <c r="L1670" s="7" t="n"/>
      <c r="M1670" s="7" t="n"/>
      <c r="N1670" s="7" t="n"/>
      <c r="O1670" s="7" t="n"/>
      <c r="P1670" s="7" t="n"/>
      <c r="Q1670" s="7" t="n"/>
      <c r="R1670" s="7" t="n"/>
      <c r="S1670" s="7" t="n"/>
      <c r="T1670" s="7" t="n"/>
      <c r="U1670" s="7" t="n"/>
      <c r="V1670" s="7" t="n"/>
      <c r="W1670" s="7" t="n"/>
      <c r="X1670" s="7" t="n"/>
      <c r="Y1670" s="7" t="n"/>
      <c r="Z1670" s="7" t="n"/>
      <c r="AA1670" s="9">
        <f>IF(A1670="","",A1670&amp;"|"&amp;COUNTIF($A$2:A1670,A1670))</f>
        <v/>
      </c>
    </row>
    <row r="1671">
      <c r="A1671" s="7" t="n"/>
      <c r="B1671" s="7" t="n"/>
      <c r="C1671" s="7" t="n"/>
      <c r="D1671" s="8" t="n"/>
      <c r="E1671" s="7" t="n"/>
      <c r="F1671" s="7" t="n"/>
      <c r="G1671" s="7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  <c r="R1671" s="7" t="n"/>
      <c r="S1671" s="7" t="n"/>
      <c r="T1671" s="7" t="n"/>
      <c r="U1671" s="7" t="n"/>
      <c r="V1671" s="7" t="n"/>
      <c r="W1671" s="7" t="n"/>
      <c r="X1671" s="7" t="n"/>
      <c r="Y1671" s="7" t="n"/>
      <c r="Z1671" s="7" t="n"/>
      <c r="AA1671" s="9">
        <f>IF(A1671="","",A1671&amp;"|"&amp;COUNTIF($A$2:A1671,A1671))</f>
        <v/>
      </c>
    </row>
    <row r="1672">
      <c r="A1672" s="7" t="n"/>
      <c r="B1672" s="7" t="n"/>
      <c r="C1672" s="7" t="n"/>
      <c r="D1672" s="8" t="n"/>
      <c r="E1672" s="7" t="n"/>
      <c r="F1672" s="7" t="n"/>
      <c r="G1672" s="7" t="n"/>
      <c r="H1672" s="7" t="n"/>
      <c r="I1672" s="7" t="n"/>
      <c r="J1672" s="7" t="n"/>
      <c r="K1672" s="7" t="n"/>
      <c r="L1672" s="7" t="n"/>
      <c r="M1672" s="7" t="n"/>
      <c r="N1672" s="7" t="n"/>
      <c r="O1672" s="7" t="n"/>
      <c r="P1672" s="7" t="n"/>
      <c r="Q1672" s="7" t="n"/>
      <c r="R1672" s="7" t="n"/>
      <c r="S1672" s="7" t="n"/>
      <c r="T1672" s="7" t="n"/>
      <c r="U1672" s="7" t="n"/>
      <c r="V1672" s="7" t="n"/>
      <c r="W1672" s="7" t="n"/>
      <c r="X1672" s="7" t="n"/>
      <c r="Y1672" s="7" t="n"/>
      <c r="Z1672" s="7" t="n"/>
      <c r="AA1672" s="9">
        <f>IF(A1672="","",A1672&amp;"|"&amp;COUNTIF($A$2:A1672,A1672))</f>
        <v/>
      </c>
    </row>
    <row r="1673">
      <c r="A1673" s="7" t="n"/>
      <c r="B1673" s="7" t="n"/>
      <c r="C1673" s="7" t="n"/>
      <c r="D1673" s="8" t="n"/>
      <c r="E1673" s="7" t="n"/>
      <c r="F1673" s="7" t="n"/>
      <c r="G1673" s="7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  <c r="R1673" s="7" t="n"/>
      <c r="S1673" s="7" t="n"/>
      <c r="T1673" s="7" t="n"/>
      <c r="U1673" s="7" t="n"/>
      <c r="V1673" s="7" t="n"/>
      <c r="W1673" s="7" t="n"/>
      <c r="X1673" s="7" t="n"/>
      <c r="Y1673" s="7" t="n"/>
      <c r="Z1673" s="7" t="n"/>
      <c r="AA1673" s="9">
        <f>IF(A1673="","",A1673&amp;"|"&amp;COUNTIF($A$2:A1673,A1673))</f>
        <v/>
      </c>
    </row>
    <row r="1674">
      <c r="A1674" s="7" t="n"/>
      <c r="B1674" s="7" t="n"/>
      <c r="C1674" s="7" t="n"/>
      <c r="D1674" s="8" t="n"/>
      <c r="E1674" s="7" t="n"/>
      <c r="F1674" s="7" t="n"/>
      <c r="G1674" s="7" t="n"/>
      <c r="H1674" s="7" t="n"/>
      <c r="I1674" s="7" t="n"/>
      <c r="J1674" s="7" t="n"/>
      <c r="K1674" s="7" t="n"/>
      <c r="L1674" s="7" t="n"/>
      <c r="M1674" s="7" t="n"/>
      <c r="N1674" s="7" t="n"/>
      <c r="O1674" s="7" t="n"/>
      <c r="P1674" s="7" t="n"/>
      <c r="Q1674" s="7" t="n"/>
      <c r="R1674" s="7" t="n"/>
      <c r="S1674" s="7" t="n"/>
      <c r="T1674" s="7" t="n"/>
      <c r="U1674" s="7" t="n"/>
      <c r="V1674" s="7" t="n"/>
      <c r="W1674" s="7" t="n"/>
      <c r="X1674" s="7" t="n"/>
      <c r="Y1674" s="7" t="n"/>
      <c r="Z1674" s="7" t="n"/>
      <c r="AA1674" s="9">
        <f>IF(A1674="","",A1674&amp;"|"&amp;COUNTIF($A$2:A1674,A1674))</f>
        <v/>
      </c>
    </row>
    <row r="1675">
      <c r="A1675" s="7" t="n"/>
      <c r="B1675" s="7" t="n"/>
      <c r="C1675" s="7" t="n"/>
      <c r="D1675" s="8" t="n"/>
      <c r="E1675" s="7" t="n"/>
      <c r="F1675" s="7" t="n"/>
      <c r="G1675" s="7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  <c r="R1675" s="7" t="n"/>
      <c r="S1675" s="7" t="n"/>
      <c r="T1675" s="7" t="n"/>
      <c r="U1675" s="7" t="n"/>
      <c r="V1675" s="7" t="n"/>
      <c r="W1675" s="7" t="n"/>
      <c r="X1675" s="7" t="n"/>
      <c r="Y1675" s="7" t="n"/>
      <c r="Z1675" s="7" t="n"/>
      <c r="AA1675" s="9">
        <f>IF(A1675="","",A1675&amp;"|"&amp;COUNTIF($A$2:A1675,A1675))</f>
        <v/>
      </c>
    </row>
    <row r="1676">
      <c r="A1676" s="7" t="n"/>
      <c r="B1676" s="7" t="n"/>
      <c r="C1676" s="7" t="n"/>
      <c r="D1676" s="8" t="n"/>
      <c r="E1676" s="7" t="n"/>
      <c r="F1676" s="7" t="n"/>
      <c r="G1676" s="7" t="n"/>
      <c r="H1676" s="7" t="n"/>
      <c r="I1676" s="7" t="n"/>
      <c r="J1676" s="7" t="n"/>
      <c r="K1676" s="7" t="n"/>
      <c r="L1676" s="7" t="n"/>
      <c r="M1676" s="7" t="n"/>
      <c r="N1676" s="7" t="n"/>
      <c r="O1676" s="7" t="n"/>
      <c r="P1676" s="7" t="n"/>
      <c r="Q1676" s="7" t="n"/>
      <c r="R1676" s="7" t="n"/>
      <c r="S1676" s="7" t="n"/>
      <c r="T1676" s="7" t="n"/>
      <c r="U1676" s="7" t="n"/>
      <c r="V1676" s="7" t="n"/>
      <c r="W1676" s="7" t="n"/>
      <c r="X1676" s="7" t="n"/>
      <c r="Y1676" s="7" t="n"/>
      <c r="Z1676" s="7" t="n"/>
      <c r="AA1676" s="9">
        <f>IF(A1676="","",A1676&amp;"|"&amp;COUNTIF($A$2:A1676,A1676))</f>
        <v/>
      </c>
    </row>
    <row r="1677">
      <c r="A1677" s="7" t="n"/>
      <c r="B1677" s="7" t="n"/>
      <c r="C1677" s="7" t="n"/>
      <c r="D1677" s="8" t="n"/>
      <c r="E1677" s="7" t="n"/>
      <c r="F1677" s="7" t="n"/>
      <c r="G1677" s="7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  <c r="R1677" s="7" t="n"/>
      <c r="S1677" s="7" t="n"/>
      <c r="T1677" s="7" t="n"/>
      <c r="U1677" s="7" t="n"/>
      <c r="V1677" s="7" t="n"/>
      <c r="W1677" s="7" t="n"/>
      <c r="X1677" s="7" t="n"/>
      <c r="Y1677" s="7" t="n"/>
      <c r="Z1677" s="7" t="n"/>
      <c r="AA1677" s="9">
        <f>IF(A1677="","",A1677&amp;"|"&amp;COUNTIF($A$2:A1677,A1677))</f>
        <v/>
      </c>
    </row>
    <row r="1678">
      <c r="A1678" s="7" t="n"/>
      <c r="B1678" s="7" t="n"/>
      <c r="C1678" s="7" t="n"/>
      <c r="D1678" s="8" t="n"/>
      <c r="E1678" s="7" t="n"/>
      <c r="F1678" s="7" t="n"/>
      <c r="G1678" s="7" t="n"/>
      <c r="H1678" s="7" t="n"/>
      <c r="I1678" s="7" t="n"/>
      <c r="J1678" s="7" t="n"/>
      <c r="K1678" s="7" t="n"/>
      <c r="L1678" s="7" t="n"/>
      <c r="M1678" s="7" t="n"/>
      <c r="N1678" s="7" t="n"/>
      <c r="O1678" s="7" t="n"/>
      <c r="P1678" s="7" t="n"/>
      <c r="Q1678" s="7" t="n"/>
      <c r="R1678" s="7" t="n"/>
      <c r="S1678" s="7" t="n"/>
      <c r="T1678" s="7" t="n"/>
      <c r="U1678" s="7" t="n"/>
      <c r="V1678" s="7" t="n"/>
      <c r="W1678" s="7" t="n"/>
      <c r="X1678" s="7" t="n"/>
      <c r="Y1678" s="7" t="n"/>
      <c r="Z1678" s="7" t="n"/>
      <c r="AA1678" s="9">
        <f>IF(A1678="","",A1678&amp;"|"&amp;COUNTIF($A$2:A1678,A1678))</f>
        <v/>
      </c>
    </row>
    <row r="1679">
      <c r="A1679" s="7" t="n"/>
      <c r="B1679" s="7" t="n"/>
      <c r="C1679" s="7" t="n"/>
      <c r="D1679" s="8" t="n"/>
      <c r="E1679" s="7" t="n"/>
      <c r="F1679" s="7" t="n"/>
      <c r="G1679" s="7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  <c r="R1679" s="7" t="n"/>
      <c r="S1679" s="7" t="n"/>
      <c r="T1679" s="7" t="n"/>
      <c r="U1679" s="7" t="n"/>
      <c r="V1679" s="7" t="n"/>
      <c r="W1679" s="7" t="n"/>
      <c r="X1679" s="7" t="n"/>
      <c r="Y1679" s="7" t="n"/>
      <c r="Z1679" s="7" t="n"/>
      <c r="AA1679" s="9">
        <f>IF(A1679="","",A1679&amp;"|"&amp;COUNTIF($A$2:A1679,A1679))</f>
        <v/>
      </c>
    </row>
    <row r="1680">
      <c r="A1680" s="7" t="n"/>
      <c r="B1680" s="7" t="n"/>
      <c r="C1680" s="7" t="n"/>
      <c r="D1680" s="8" t="n"/>
      <c r="E1680" s="7" t="n"/>
      <c r="F1680" s="7" t="n"/>
      <c r="G1680" s="7" t="n"/>
      <c r="H1680" s="7" t="n"/>
      <c r="I1680" s="7" t="n"/>
      <c r="J1680" s="7" t="n"/>
      <c r="K1680" s="7" t="n"/>
      <c r="L1680" s="7" t="n"/>
      <c r="M1680" s="7" t="n"/>
      <c r="N1680" s="7" t="n"/>
      <c r="O1680" s="7" t="n"/>
      <c r="P1680" s="7" t="n"/>
      <c r="Q1680" s="7" t="n"/>
      <c r="R1680" s="7" t="n"/>
      <c r="S1680" s="7" t="n"/>
      <c r="T1680" s="7" t="n"/>
      <c r="U1680" s="7" t="n"/>
      <c r="V1680" s="7" t="n"/>
      <c r="W1680" s="7" t="n"/>
      <c r="X1680" s="7" t="n"/>
      <c r="Y1680" s="7" t="n"/>
      <c r="Z1680" s="7" t="n"/>
      <c r="AA1680" s="9">
        <f>IF(A1680="","",A1680&amp;"|"&amp;COUNTIF($A$2:A1680,A1680))</f>
        <v/>
      </c>
    </row>
    <row r="1681">
      <c r="A1681" s="7" t="n"/>
      <c r="B1681" s="7" t="n"/>
      <c r="C1681" s="7" t="n"/>
      <c r="D1681" s="8" t="n"/>
      <c r="E1681" s="7" t="n"/>
      <c r="F1681" s="7" t="n"/>
      <c r="G1681" s="7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  <c r="R1681" s="7" t="n"/>
      <c r="S1681" s="7" t="n"/>
      <c r="T1681" s="7" t="n"/>
      <c r="U1681" s="7" t="n"/>
      <c r="V1681" s="7" t="n"/>
      <c r="W1681" s="7" t="n"/>
      <c r="X1681" s="7" t="n"/>
      <c r="Y1681" s="7" t="n"/>
      <c r="Z1681" s="7" t="n"/>
      <c r="AA1681" s="9">
        <f>IF(A1681="","",A1681&amp;"|"&amp;COUNTIF($A$2:A1681,A1681))</f>
        <v/>
      </c>
    </row>
    <row r="1682">
      <c r="A1682" s="7" t="n"/>
      <c r="B1682" s="7" t="n"/>
      <c r="C1682" s="7" t="n"/>
      <c r="D1682" s="8" t="n"/>
      <c r="E1682" s="7" t="n"/>
      <c r="F1682" s="7" t="n"/>
      <c r="G1682" s="7" t="n"/>
      <c r="H1682" s="7" t="n"/>
      <c r="I1682" s="7" t="n"/>
      <c r="J1682" s="7" t="n"/>
      <c r="K1682" s="7" t="n"/>
      <c r="L1682" s="7" t="n"/>
      <c r="M1682" s="7" t="n"/>
      <c r="N1682" s="7" t="n"/>
      <c r="O1682" s="7" t="n"/>
      <c r="P1682" s="7" t="n"/>
      <c r="Q1682" s="7" t="n"/>
      <c r="R1682" s="7" t="n"/>
      <c r="S1682" s="7" t="n"/>
      <c r="T1682" s="7" t="n"/>
      <c r="U1682" s="7" t="n"/>
      <c r="V1682" s="7" t="n"/>
      <c r="W1682" s="7" t="n"/>
      <c r="X1682" s="7" t="n"/>
      <c r="Y1682" s="7" t="n"/>
      <c r="Z1682" s="7" t="n"/>
      <c r="AA1682" s="9">
        <f>IF(A1682="","",A1682&amp;"|"&amp;COUNTIF($A$2:A1682,A1682))</f>
        <v/>
      </c>
    </row>
    <row r="1683">
      <c r="A1683" s="7" t="n"/>
      <c r="B1683" s="7" t="n"/>
      <c r="C1683" s="7" t="n"/>
      <c r="D1683" s="8" t="n"/>
      <c r="E1683" s="7" t="n"/>
      <c r="F1683" s="7" t="n"/>
      <c r="G1683" s="7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  <c r="R1683" s="7" t="n"/>
      <c r="S1683" s="7" t="n"/>
      <c r="T1683" s="7" t="n"/>
      <c r="U1683" s="7" t="n"/>
      <c r="V1683" s="7" t="n"/>
      <c r="W1683" s="7" t="n"/>
      <c r="X1683" s="7" t="n"/>
      <c r="Y1683" s="7" t="n"/>
      <c r="Z1683" s="7" t="n"/>
      <c r="AA1683" s="9">
        <f>IF(A1683="","",A1683&amp;"|"&amp;COUNTIF($A$2:A1683,A1683))</f>
        <v/>
      </c>
    </row>
    <row r="1684">
      <c r="A1684" s="7" t="n"/>
      <c r="B1684" s="7" t="n"/>
      <c r="C1684" s="7" t="n"/>
      <c r="D1684" s="8" t="n"/>
      <c r="E1684" s="7" t="n"/>
      <c r="F1684" s="7" t="n"/>
      <c r="G1684" s="7" t="n"/>
      <c r="H1684" s="7" t="n"/>
      <c r="I1684" s="7" t="n"/>
      <c r="J1684" s="7" t="n"/>
      <c r="K1684" s="7" t="n"/>
      <c r="L1684" s="7" t="n"/>
      <c r="M1684" s="7" t="n"/>
      <c r="N1684" s="7" t="n"/>
      <c r="O1684" s="7" t="n"/>
      <c r="P1684" s="7" t="n"/>
      <c r="Q1684" s="7" t="n"/>
      <c r="R1684" s="7" t="n"/>
      <c r="S1684" s="7" t="n"/>
      <c r="T1684" s="7" t="n"/>
      <c r="U1684" s="7" t="n"/>
      <c r="V1684" s="7" t="n"/>
      <c r="W1684" s="7" t="n"/>
      <c r="X1684" s="7" t="n"/>
      <c r="Y1684" s="7" t="n"/>
      <c r="Z1684" s="7" t="n"/>
      <c r="AA1684" s="9">
        <f>IF(A1684="","",A1684&amp;"|"&amp;COUNTIF($A$2:A1684,A1684))</f>
        <v/>
      </c>
    </row>
    <row r="1685">
      <c r="A1685" s="7" t="n"/>
      <c r="B1685" s="7" t="n"/>
      <c r="C1685" s="7" t="n"/>
      <c r="D1685" s="8" t="n"/>
      <c r="E1685" s="7" t="n"/>
      <c r="F1685" s="7" t="n"/>
      <c r="G1685" s="7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  <c r="R1685" s="7" t="n"/>
      <c r="S1685" s="7" t="n"/>
      <c r="T1685" s="7" t="n"/>
      <c r="U1685" s="7" t="n"/>
      <c r="V1685" s="7" t="n"/>
      <c r="W1685" s="7" t="n"/>
      <c r="X1685" s="7" t="n"/>
      <c r="Y1685" s="7" t="n"/>
      <c r="Z1685" s="7" t="n"/>
      <c r="AA1685" s="9">
        <f>IF(A1685="","",A1685&amp;"|"&amp;COUNTIF($A$2:A1685,A1685))</f>
        <v/>
      </c>
    </row>
    <row r="1686">
      <c r="A1686" s="7" t="n"/>
      <c r="B1686" s="7" t="n"/>
      <c r="C1686" s="7" t="n"/>
      <c r="D1686" s="8" t="n"/>
      <c r="E1686" s="7" t="n"/>
      <c r="F1686" s="7" t="n"/>
      <c r="G1686" s="7" t="n"/>
      <c r="H1686" s="7" t="n"/>
      <c r="I1686" s="7" t="n"/>
      <c r="J1686" s="7" t="n"/>
      <c r="K1686" s="7" t="n"/>
      <c r="L1686" s="7" t="n"/>
      <c r="M1686" s="7" t="n"/>
      <c r="N1686" s="7" t="n"/>
      <c r="O1686" s="7" t="n"/>
      <c r="P1686" s="7" t="n"/>
      <c r="Q1686" s="7" t="n"/>
      <c r="R1686" s="7" t="n"/>
      <c r="S1686" s="7" t="n"/>
      <c r="T1686" s="7" t="n"/>
      <c r="U1686" s="7" t="n"/>
      <c r="V1686" s="7" t="n"/>
      <c r="W1686" s="7" t="n"/>
      <c r="X1686" s="7" t="n"/>
      <c r="Y1686" s="7" t="n"/>
      <c r="Z1686" s="7" t="n"/>
      <c r="AA1686" s="9">
        <f>IF(A1686="","",A1686&amp;"|"&amp;COUNTIF($A$2:A1686,A1686))</f>
        <v/>
      </c>
    </row>
    <row r="1687">
      <c r="A1687" s="7" t="n"/>
      <c r="B1687" s="7" t="n"/>
      <c r="C1687" s="7" t="n"/>
      <c r="D1687" s="8" t="n"/>
      <c r="E1687" s="7" t="n"/>
      <c r="F1687" s="7" t="n"/>
      <c r="G1687" s="7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  <c r="R1687" s="7" t="n"/>
      <c r="S1687" s="7" t="n"/>
      <c r="T1687" s="7" t="n"/>
      <c r="U1687" s="7" t="n"/>
      <c r="V1687" s="7" t="n"/>
      <c r="W1687" s="7" t="n"/>
      <c r="X1687" s="7" t="n"/>
      <c r="Y1687" s="7" t="n"/>
      <c r="Z1687" s="7" t="n"/>
      <c r="AA1687" s="9">
        <f>IF(A1687="","",A1687&amp;"|"&amp;COUNTIF($A$2:A1687,A1687))</f>
        <v/>
      </c>
    </row>
    <row r="1688">
      <c r="A1688" s="7" t="n"/>
      <c r="B1688" s="7" t="n"/>
      <c r="C1688" s="7" t="n"/>
      <c r="D1688" s="8" t="n"/>
      <c r="E1688" s="7" t="n"/>
      <c r="F1688" s="7" t="n"/>
      <c r="G1688" s="7" t="n"/>
      <c r="H1688" s="7" t="n"/>
      <c r="I1688" s="7" t="n"/>
      <c r="J1688" s="7" t="n"/>
      <c r="K1688" s="7" t="n"/>
      <c r="L1688" s="7" t="n"/>
      <c r="M1688" s="7" t="n"/>
      <c r="N1688" s="7" t="n"/>
      <c r="O1688" s="7" t="n"/>
      <c r="P1688" s="7" t="n"/>
      <c r="Q1688" s="7" t="n"/>
      <c r="R1688" s="7" t="n"/>
      <c r="S1688" s="7" t="n"/>
      <c r="T1688" s="7" t="n"/>
      <c r="U1688" s="7" t="n"/>
      <c r="V1688" s="7" t="n"/>
      <c r="W1688" s="7" t="n"/>
      <c r="X1688" s="7" t="n"/>
      <c r="Y1688" s="7" t="n"/>
      <c r="Z1688" s="7" t="n"/>
      <c r="AA1688" s="9">
        <f>IF(A1688="","",A1688&amp;"|"&amp;COUNTIF($A$2:A1688,A1688))</f>
        <v/>
      </c>
    </row>
    <row r="1689">
      <c r="A1689" s="7" t="n"/>
      <c r="B1689" s="7" t="n"/>
      <c r="C1689" s="7" t="n"/>
      <c r="D1689" s="8" t="n"/>
      <c r="E1689" s="7" t="n"/>
      <c r="F1689" s="7" t="n"/>
      <c r="G1689" s="7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  <c r="R1689" s="7" t="n"/>
      <c r="S1689" s="7" t="n"/>
      <c r="T1689" s="7" t="n"/>
      <c r="U1689" s="7" t="n"/>
      <c r="V1689" s="7" t="n"/>
      <c r="W1689" s="7" t="n"/>
      <c r="X1689" s="7" t="n"/>
      <c r="Y1689" s="7" t="n"/>
      <c r="Z1689" s="7" t="n"/>
      <c r="AA1689" s="9">
        <f>IF(A1689="","",A1689&amp;"|"&amp;COUNTIF($A$2:A1689,A1689))</f>
        <v/>
      </c>
    </row>
    <row r="1690">
      <c r="A1690" s="7" t="n"/>
      <c r="B1690" s="7" t="n"/>
      <c r="C1690" s="7" t="n"/>
      <c r="D1690" s="8" t="n"/>
      <c r="E1690" s="7" t="n"/>
      <c r="F1690" s="7" t="n"/>
      <c r="G1690" s="7" t="n"/>
      <c r="H1690" s="7" t="n"/>
      <c r="I1690" s="7" t="n"/>
      <c r="J1690" s="7" t="n"/>
      <c r="K1690" s="7" t="n"/>
      <c r="L1690" s="7" t="n"/>
      <c r="M1690" s="7" t="n"/>
      <c r="N1690" s="7" t="n"/>
      <c r="O1690" s="7" t="n"/>
      <c r="P1690" s="7" t="n"/>
      <c r="Q1690" s="7" t="n"/>
      <c r="R1690" s="7" t="n"/>
      <c r="S1690" s="7" t="n"/>
      <c r="T1690" s="7" t="n"/>
      <c r="U1690" s="7" t="n"/>
      <c r="V1690" s="7" t="n"/>
      <c r="W1690" s="7" t="n"/>
      <c r="X1690" s="7" t="n"/>
      <c r="Y1690" s="7" t="n"/>
      <c r="Z1690" s="7" t="n"/>
      <c r="AA1690" s="9">
        <f>IF(A1690="","",A1690&amp;"|"&amp;COUNTIF($A$2:A1690,A1690))</f>
        <v/>
      </c>
    </row>
    <row r="1691">
      <c r="A1691" s="7" t="n"/>
      <c r="B1691" s="7" t="n"/>
      <c r="C1691" s="7" t="n"/>
      <c r="D1691" s="8" t="n"/>
      <c r="E1691" s="7" t="n"/>
      <c r="F1691" s="7" t="n"/>
      <c r="G1691" s="7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  <c r="R1691" s="7" t="n"/>
      <c r="S1691" s="7" t="n"/>
      <c r="T1691" s="7" t="n"/>
      <c r="U1691" s="7" t="n"/>
      <c r="V1691" s="7" t="n"/>
      <c r="W1691" s="7" t="n"/>
      <c r="X1691" s="7" t="n"/>
      <c r="Y1691" s="7" t="n"/>
      <c r="Z1691" s="7" t="n"/>
      <c r="AA1691" s="9">
        <f>IF(A1691="","",A1691&amp;"|"&amp;COUNTIF($A$2:A1691,A1691))</f>
        <v/>
      </c>
    </row>
    <row r="1692">
      <c r="A1692" s="7" t="n"/>
      <c r="B1692" s="7" t="n"/>
      <c r="C1692" s="7" t="n"/>
      <c r="D1692" s="8" t="n"/>
      <c r="E1692" s="7" t="n"/>
      <c r="F1692" s="7" t="n"/>
      <c r="G1692" s="7" t="n"/>
      <c r="H1692" s="7" t="n"/>
      <c r="I1692" s="7" t="n"/>
      <c r="J1692" s="7" t="n"/>
      <c r="K1692" s="7" t="n"/>
      <c r="L1692" s="7" t="n"/>
      <c r="M1692" s="7" t="n"/>
      <c r="N1692" s="7" t="n"/>
      <c r="O1692" s="7" t="n"/>
      <c r="P1692" s="7" t="n"/>
      <c r="Q1692" s="7" t="n"/>
      <c r="R1692" s="7" t="n"/>
      <c r="S1692" s="7" t="n"/>
      <c r="T1692" s="7" t="n"/>
      <c r="U1692" s="7" t="n"/>
      <c r="V1692" s="7" t="n"/>
      <c r="W1692" s="7" t="n"/>
      <c r="X1692" s="7" t="n"/>
      <c r="Y1692" s="7" t="n"/>
      <c r="Z1692" s="7" t="n"/>
      <c r="AA1692" s="9">
        <f>IF(A1692="","",A1692&amp;"|"&amp;COUNTIF($A$2:A1692,A1692))</f>
        <v/>
      </c>
    </row>
    <row r="1693">
      <c r="A1693" s="7" t="n"/>
      <c r="B1693" s="7" t="n"/>
      <c r="C1693" s="7" t="n"/>
      <c r="D1693" s="8" t="n"/>
      <c r="E1693" s="7" t="n"/>
      <c r="F1693" s="7" t="n"/>
      <c r="G1693" s="7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  <c r="R1693" s="7" t="n"/>
      <c r="S1693" s="7" t="n"/>
      <c r="T1693" s="7" t="n"/>
      <c r="U1693" s="7" t="n"/>
      <c r="V1693" s="7" t="n"/>
      <c r="W1693" s="7" t="n"/>
      <c r="X1693" s="7" t="n"/>
      <c r="Y1693" s="7" t="n"/>
      <c r="Z1693" s="7" t="n"/>
      <c r="AA1693" s="9">
        <f>IF(A1693="","",A1693&amp;"|"&amp;COUNTIF($A$2:A1693,A1693))</f>
        <v/>
      </c>
    </row>
    <row r="1694">
      <c r="A1694" s="7" t="n"/>
      <c r="B1694" s="7" t="n"/>
      <c r="C1694" s="7" t="n"/>
      <c r="D1694" s="8" t="n"/>
      <c r="E1694" s="7" t="n"/>
      <c r="F1694" s="7" t="n"/>
      <c r="G1694" s="7" t="n"/>
      <c r="H1694" s="7" t="n"/>
      <c r="I1694" s="7" t="n"/>
      <c r="J1694" s="7" t="n"/>
      <c r="K1694" s="7" t="n"/>
      <c r="L1694" s="7" t="n"/>
      <c r="M1694" s="7" t="n"/>
      <c r="N1694" s="7" t="n"/>
      <c r="O1694" s="7" t="n"/>
      <c r="P1694" s="7" t="n"/>
      <c r="Q1694" s="7" t="n"/>
      <c r="R1694" s="7" t="n"/>
      <c r="S1694" s="7" t="n"/>
      <c r="T1694" s="7" t="n"/>
      <c r="U1694" s="7" t="n"/>
      <c r="V1694" s="7" t="n"/>
      <c r="W1694" s="7" t="n"/>
      <c r="X1694" s="7" t="n"/>
      <c r="Y1694" s="7" t="n"/>
      <c r="Z1694" s="7" t="n"/>
      <c r="AA1694" s="9">
        <f>IF(A1694="","",A1694&amp;"|"&amp;COUNTIF($A$2:A1694,A1694))</f>
        <v/>
      </c>
    </row>
    <row r="1695">
      <c r="A1695" s="7" t="n"/>
      <c r="B1695" s="7" t="n"/>
      <c r="C1695" s="7" t="n"/>
      <c r="D1695" s="8" t="n"/>
      <c r="E1695" s="7" t="n"/>
      <c r="F1695" s="7" t="n"/>
      <c r="G1695" s="7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  <c r="R1695" s="7" t="n"/>
      <c r="S1695" s="7" t="n"/>
      <c r="T1695" s="7" t="n"/>
      <c r="U1695" s="7" t="n"/>
      <c r="V1695" s="7" t="n"/>
      <c r="W1695" s="7" t="n"/>
      <c r="X1695" s="7" t="n"/>
      <c r="Y1695" s="7" t="n"/>
      <c r="Z1695" s="7" t="n"/>
      <c r="AA1695" s="9">
        <f>IF(A1695="","",A1695&amp;"|"&amp;COUNTIF($A$2:A1695,A1695))</f>
        <v/>
      </c>
    </row>
    <row r="1696">
      <c r="A1696" s="7" t="n"/>
      <c r="B1696" s="7" t="n"/>
      <c r="C1696" s="7" t="n"/>
      <c r="D1696" s="8" t="n"/>
      <c r="E1696" s="7" t="n"/>
      <c r="F1696" s="7" t="n"/>
      <c r="G1696" s="7" t="n"/>
      <c r="H1696" s="7" t="n"/>
      <c r="I1696" s="7" t="n"/>
      <c r="J1696" s="7" t="n"/>
      <c r="K1696" s="7" t="n"/>
      <c r="L1696" s="7" t="n"/>
      <c r="M1696" s="7" t="n"/>
      <c r="N1696" s="7" t="n"/>
      <c r="O1696" s="7" t="n"/>
      <c r="P1696" s="7" t="n"/>
      <c r="Q1696" s="7" t="n"/>
      <c r="R1696" s="7" t="n"/>
      <c r="S1696" s="7" t="n"/>
      <c r="T1696" s="7" t="n"/>
      <c r="U1696" s="7" t="n"/>
      <c r="V1696" s="7" t="n"/>
      <c r="W1696" s="7" t="n"/>
      <c r="X1696" s="7" t="n"/>
      <c r="Y1696" s="7" t="n"/>
      <c r="Z1696" s="7" t="n"/>
      <c r="AA1696" s="9">
        <f>IF(A1696="","",A1696&amp;"|"&amp;COUNTIF($A$2:A1696,A1696))</f>
        <v/>
      </c>
    </row>
    <row r="1697">
      <c r="A1697" s="7" t="n"/>
      <c r="B1697" s="7" t="n"/>
      <c r="C1697" s="7" t="n"/>
      <c r="D1697" s="8" t="n"/>
      <c r="E1697" s="7" t="n"/>
      <c r="F1697" s="7" t="n"/>
      <c r="G1697" s="7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  <c r="R1697" s="7" t="n"/>
      <c r="S1697" s="7" t="n"/>
      <c r="T1697" s="7" t="n"/>
      <c r="U1697" s="7" t="n"/>
      <c r="V1697" s="7" t="n"/>
      <c r="W1697" s="7" t="n"/>
      <c r="X1697" s="7" t="n"/>
      <c r="Y1697" s="7" t="n"/>
      <c r="Z1697" s="7" t="n"/>
      <c r="AA1697" s="9">
        <f>IF(A1697="","",A1697&amp;"|"&amp;COUNTIF($A$2:A1697,A1697))</f>
        <v/>
      </c>
    </row>
    <row r="1698">
      <c r="A1698" s="7" t="n"/>
      <c r="B1698" s="7" t="n"/>
      <c r="C1698" s="7" t="n"/>
      <c r="D1698" s="8" t="n"/>
      <c r="E1698" s="7" t="n"/>
      <c r="F1698" s="7" t="n"/>
      <c r="G1698" s="7" t="n"/>
      <c r="H1698" s="7" t="n"/>
      <c r="I1698" s="7" t="n"/>
      <c r="J1698" s="7" t="n"/>
      <c r="K1698" s="7" t="n"/>
      <c r="L1698" s="7" t="n"/>
      <c r="M1698" s="7" t="n"/>
      <c r="N1698" s="7" t="n"/>
      <c r="O1698" s="7" t="n"/>
      <c r="P1698" s="7" t="n"/>
      <c r="Q1698" s="7" t="n"/>
      <c r="R1698" s="7" t="n"/>
      <c r="S1698" s="7" t="n"/>
      <c r="T1698" s="7" t="n"/>
      <c r="U1698" s="7" t="n"/>
      <c r="V1698" s="7" t="n"/>
      <c r="W1698" s="7" t="n"/>
      <c r="X1698" s="7" t="n"/>
      <c r="Y1698" s="7" t="n"/>
      <c r="Z1698" s="7" t="n"/>
      <c r="AA1698" s="9">
        <f>IF(A1698="","",A1698&amp;"|"&amp;COUNTIF($A$2:A1698,A1698))</f>
        <v/>
      </c>
    </row>
    <row r="1699">
      <c r="A1699" s="7" t="n"/>
      <c r="B1699" s="7" t="n"/>
      <c r="C1699" s="7" t="n"/>
      <c r="D1699" s="8" t="n"/>
      <c r="E1699" s="7" t="n"/>
      <c r="F1699" s="7" t="n"/>
      <c r="G1699" s="7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  <c r="R1699" s="7" t="n"/>
      <c r="S1699" s="7" t="n"/>
      <c r="T1699" s="7" t="n"/>
      <c r="U1699" s="7" t="n"/>
      <c r="V1699" s="7" t="n"/>
      <c r="W1699" s="7" t="n"/>
      <c r="X1699" s="7" t="n"/>
      <c r="Y1699" s="7" t="n"/>
      <c r="Z1699" s="7" t="n"/>
      <c r="AA1699" s="9">
        <f>IF(A1699="","",A1699&amp;"|"&amp;COUNTIF($A$2:A1699,A1699))</f>
        <v/>
      </c>
    </row>
    <row r="1700">
      <c r="A1700" s="7" t="n"/>
      <c r="B1700" s="7" t="n"/>
      <c r="C1700" s="7" t="n"/>
      <c r="D1700" s="8" t="n"/>
      <c r="E1700" s="7" t="n"/>
      <c r="F1700" s="7" t="n"/>
      <c r="G1700" s="7" t="n"/>
      <c r="H1700" s="7" t="n"/>
      <c r="I1700" s="7" t="n"/>
      <c r="J1700" s="7" t="n"/>
      <c r="K1700" s="7" t="n"/>
      <c r="L1700" s="7" t="n"/>
      <c r="M1700" s="7" t="n"/>
      <c r="N1700" s="7" t="n"/>
      <c r="O1700" s="7" t="n"/>
      <c r="P1700" s="7" t="n"/>
      <c r="Q1700" s="7" t="n"/>
      <c r="R1700" s="7" t="n"/>
      <c r="S1700" s="7" t="n"/>
      <c r="T1700" s="7" t="n"/>
      <c r="U1700" s="7" t="n"/>
      <c r="V1700" s="7" t="n"/>
      <c r="W1700" s="7" t="n"/>
      <c r="X1700" s="7" t="n"/>
      <c r="Y1700" s="7" t="n"/>
      <c r="Z1700" s="7" t="n"/>
      <c r="AA1700" s="9">
        <f>IF(A1700="","",A1700&amp;"|"&amp;COUNTIF($A$2:A1700,A1700))</f>
        <v/>
      </c>
    </row>
    <row r="1701">
      <c r="A1701" s="7" t="n"/>
      <c r="B1701" s="7" t="n"/>
      <c r="C1701" s="7" t="n"/>
      <c r="D1701" s="8" t="n"/>
      <c r="E1701" s="7" t="n"/>
      <c r="F1701" s="7" t="n"/>
      <c r="G1701" s="7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  <c r="R1701" s="7" t="n"/>
      <c r="S1701" s="7" t="n"/>
      <c r="T1701" s="7" t="n"/>
      <c r="U1701" s="7" t="n"/>
      <c r="V1701" s="7" t="n"/>
      <c r="W1701" s="7" t="n"/>
      <c r="X1701" s="7" t="n"/>
      <c r="Y1701" s="7" t="n"/>
      <c r="Z1701" s="7" t="n"/>
      <c r="AA1701" s="9">
        <f>IF(A1701="","",A1701&amp;"|"&amp;COUNTIF($A$2:A1701,A1701))</f>
        <v/>
      </c>
    </row>
    <row r="1702">
      <c r="A1702" s="7" t="n"/>
      <c r="B1702" s="7" t="n"/>
      <c r="C1702" s="7" t="n"/>
      <c r="D1702" s="8" t="n"/>
      <c r="E1702" s="7" t="n"/>
      <c r="F1702" s="7" t="n"/>
      <c r="G1702" s="7" t="n"/>
      <c r="H1702" s="7" t="n"/>
      <c r="I1702" s="7" t="n"/>
      <c r="J1702" s="7" t="n"/>
      <c r="K1702" s="7" t="n"/>
      <c r="L1702" s="7" t="n"/>
      <c r="M1702" s="7" t="n"/>
      <c r="N1702" s="7" t="n"/>
      <c r="O1702" s="7" t="n"/>
      <c r="P1702" s="7" t="n"/>
      <c r="Q1702" s="7" t="n"/>
      <c r="R1702" s="7" t="n"/>
      <c r="S1702" s="7" t="n"/>
      <c r="T1702" s="7" t="n"/>
      <c r="U1702" s="7" t="n"/>
      <c r="V1702" s="7" t="n"/>
      <c r="W1702" s="7" t="n"/>
      <c r="X1702" s="7" t="n"/>
      <c r="Y1702" s="7" t="n"/>
      <c r="Z1702" s="7" t="n"/>
      <c r="AA1702" s="9">
        <f>IF(A1702="","",A1702&amp;"|"&amp;COUNTIF($A$2:A1702,A1702))</f>
        <v/>
      </c>
    </row>
    <row r="1703">
      <c r="A1703" s="7" t="n"/>
      <c r="B1703" s="7" t="n"/>
      <c r="C1703" s="7" t="n"/>
      <c r="D1703" s="8" t="n"/>
      <c r="E1703" s="7" t="n"/>
      <c r="F1703" s="7" t="n"/>
      <c r="G1703" s="7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  <c r="R1703" s="7" t="n"/>
      <c r="S1703" s="7" t="n"/>
      <c r="T1703" s="7" t="n"/>
      <c r="U1703" s="7" t="n"/>
      <c r="V1703" s="7" t="n"/>
      <c r="W1703" s="7" t="n"/>
      <c r="X1703" s="7" t="n"/>
      <c r="Y1703" s="7" t="n"/>
      <c r="Z1703" s="7" t="n"/>
      <c r="AA1703" s="9">
        <f>IF(A1703="","",A1703&amp;"|"&amp;COUNTIF($A$2:A1703,A1703))</f>
        <v/>
      </c>
    </row>
    <row r="1704">
      <c r="A1704" s="7" t="n"/>
      <c r="B1704" s="7" t="n"/>
      <c r="C1704" s="7" t="n"/>
      <c r="D1704" s="8" t="n"/>
      <c r="E1704" s="7" t="n"/>
      <c r="F1704" s="7" t="n"/>
      <c r="G1704" s="7" t="n"/>
      <c r="H1704" s="7" t="n"/>
      <c r="I1704" s="7" t="n"/>
      <c r="J1704" s="7" t="n"/>
      <c r="K1704" s="7" t="n"/>
      <c r="L1704" s="7" t="n"/>
      <c r="M1704" s="7" t="n"/>
      <c r="N1704" s="7" t="n"/>
      <c r="O1704" s="7" t="n"/>
      <c r="P1704" s="7" t="n"/>
      <c r="Q1704" s="7" t="n"/>
      <c r="R1704" s="7" t="n"/>
      <c r="S1704" s="7" t="n"/>
      <c r="T1704" s="7" t="n"/>
      <c r="U1704" s="7" t="n"/>
      <c r="V1704" s="7" t="n"/>
      <c r="W1704" s="7" t="n"/>
      <c r="X1704" s="7" t="n"/>
      <c r="Y1704" s="7" t="n"/>
      <c r="Z1704" s="7" t="n"/>
      <c r="AA1704" s="9">
        <f>IF(A1704="","",A1704&amp;"|"&amp;COUNTIF($A$2:A1704,A1704))</f>
        <v/>
      </c>
    </row>
    <row r="1705">
      <c r="A1705" s="7" t="n"/>
      <c r="B1705" s="7" t="n"/>
      <c r="C1705" s="7" t="n"/>
      <c r="D1705" s="8" t="n"/>
      <c r="E1705" s="7" t="n"/>
      <c r="F1705" s="7" t="n"/>
      <c r="G1705" s="7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  <c r="R1705" s="7" t="n"/>
      <c r="S1705" s="7" t="n"/>
      <c r="T1705" s="7" t="n"/>
      <c r="U1705" s="7" t="n"/>
      <c r="V1705" s="7" t="n"/>
      <c r="W1705" s="7" t="n"/>
      <c r="X1705" s="7" t="n"/>
      <c r="Y1705" s="7" t="n"/>
      <c r="Z1705" s="7" t="n"/>
      <c r="AA1705" s="9">
        <f>IF(A1705="","",A1705&amp;"|"&amp;COUNTIF($A$2:A1705,A1705))</f>
        <v/>
      </c>
    </row>
    <row r="1706">
      <c r="A1706" s="7" t="n"/>
      <c r="B1706" s="7" t="n"/>
      <c r="C1706" s="7" t="n"/>
      <c r="D1706" s="8" t="n"/>
      <c r="E1706" s="7" t="n"/>
      <c r="F1706" s="7" t="n"/>
      <c r="G1706" s="7" t="n"/>
      <c r="H1706" s="7" t="n"/>
      <c r="I1706" s="7" t="n"/>
      <c r="J1706" s="7" t="n"/>
      <c r="K1706" s="7" t="n"/>
      <c r="L1706" s="7" t="n"/>
      <c r="M1706" s="7" t="n"/>
      <c r="N1706" s="7" t="n"/>
      <c r="O1706" s="7" t="n"/>
      <c r="P1706" s="7" t="n"/>
      <c r="Q1706" s="7" t="n"/>
      <c r="R1706" s="7" t="n"/>
      <c r="S1706" s="7" t="n"/>
      <c r="T1706" s="7" t="n"/>
      <c r="U1706" s="7" t="n"/>
      <c r="V1706" s="7" t="n"/>
      <c r="W1706" s="7" t="n"/>
      <c r="X1706" s="7" t="n"/>
      <c r="Y1706" s="7" t="n"/>
      <c r="Z1706" s="7" t="n"/>
      <c r="AA1706" s="9">
        <f>IF(A1706="","",A1706&amp;"|"&amp;COUNTIF($A$2:A1706,A1706))</f>
        <v/>
      </c>
    </row>
    <row r="1707">
      <c r="A1707" s="7" t="n"/>
      <c r="B1707" s="7" t="n"/>
      <c r="C1707" s="7" t="n"/>
      <c r="D1707" s="8" t="n"/>
      <c r="E1707" s="7" t="n"/>
      <c r="F1707" s="7" t="n"/>
      <c r="G1707" s="7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  <c r="R1707" s="7" t="n"/>
      <c r="S1707" s="7" t="n"/>
      <c r="T1707" s="7" t="n"/>
      <c r="U1707" s="7" t="n"/>
      <c r="V1707" s="7" t="n"/>
      <c r="W1707" s="7" t="n"/>
      <c r="X1707" s="7" t="n"/>
      <c r="Y1707" s="7" t="n"/>
      <c r="Z1707" s="7" t="n"/>
      <c r="AA1707" s="9">
        <f>IF(A1707="","",A1707&amp;"|"&amp;COUNTIF($A$2:A1707,A1707))</f>
        <v/>
      </c>
    </row>
    <row r="1708">
      <c r="A1708" s="7" t="n"/>
      <c r="B1708" s="7" t="n"/>
      <c r="C1708" s="7" t="n"/>
      <c r="D1708" s="8" t="n"/>
      <c r="E1708" s="7" t="n"/>
      <c r="F1708" s="7" t="n"/>
      <c r="G1708" s="7" t="n"/>
      <c r="H1708" s="7" t="n"/>
      <c r="I1708" s="7" t="n"/>
      <c r="J1708" s="7" t="n"/>
      <c r="K1708" s="7" t="n"/>
      <c r="L1708" s="7" t="n"/>
      <c r="M1708" s="7" t="n"/>
      <c r="N1708" s="7" t="n"/>
      <c r="O1708" s="7" t="n"/>
      <c r="P1708" s="7" t="n"/>
      <c r="Q1708" s="7" t="n"/>
      <c r="R1708" s="7" t="n"/>
      <c r="S1708" s="7" t="n"/>
      <c r="T1708" s="7" t="n"/>
      <c r="U1708" s="7" t="n"/>
      <c r="V1708" s="7" t="n"/>
      <c r="W1708" s="7" t="n"/>
      <c r="X1708" s="7" t="n"/>
      <c r="Y1708" s="7" t="n"/>
      <c r="Z1708" s="7" t="n"/>
      <c r="AA1708" s="9">
        <f>IF(A1708="","",A1708&amp;"|"&amp;COUNTIF($A$2:A1708,A1708))</f>
        <v/>
      </c>
    </row>
    <row r="1709">
      <c r="A1709" s="7" t="n"/>
      <c r="B1709" s="7" t="n"/>
      <c r="C1709" s="7" t="n"/>
      <c r="D1709" s="8" t="n"/>
      <c r="E1709" s="7" t="n"/>
      <c r="F1709" s="7" t="n"/>
      <c r="G1709" s="7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  <c r="R1709" s="7" t="n"/>
      <c r="S1709" s="7" t="n"/>
      <c r="T1709" s="7" t="n"/>
      <c r="U1709" s="7" t="n"/>
      <c r="V1709" s="7" t="n"/>
      <c r="W1709" s="7" t="n"/>
      <c r="X1709" s="7" t="n"/>
      <c r="Y1709" s="7" t="n"/>
      <c r="Z1709" s="7" t="n"/>
      <c r="AA1709" s="9">
        <f>IF(A1709="","",A1709&amp;"|"&amp;COUNTIF($A$2:A1709,A1709))</f>
        <v/>
      </c>
    </row>
    <row r="1710">
      <c r="A1710" s="7" t="n"/>
      <c r="B1710" s="7" t="n"/>
      <c r="C1710" s="7" t="n"/>
      <c r="D1710" s="8" t="n"/>
      <c r="E1710" s="7" t="n"/>
      <c r="F1710" s="7" t="n"/>
      <c r="G1710" s="7" t="n"/>
      <c r="H1710" s="7" t="n"/>
      <c r="I1710" s="7" t="n"/>
      <c r="J1710" s="7" t="n"/>
      <c r="K1710" s="7" t="n"/>
      <c r="L1710" s="7" t="n"/>
      <c r="M1710" s="7" t="n"/>
      <c r="N1710" s="7" t="n"/>
      <c r="O1710" s="7" t="n"/>
      <c r="P1710" s="7" t="n"/>
      <c r="Q1710" s="7" t="n"/>
      <c r="R1710" s="7" t="n"/>
      <c r="S1710" s="7" t="n"/>
      <c r="T1710" s="7" t="n"/>
      <c r="U1710" s="7" t="n"/>
      <c r="V1710" s="7" t="n"/>
      <c r="W1710" s="7" t="n"/>
      <c r="X1710" s="7" t="n"/>
      <c r="Y1710" s="7" t="n"/>
      <c r="Z1710" s="7" t="n"/>
      <c r="AA1710" s="9">
        <f>IF(A1710="","",A1710&amp;"|"&amp;COUNTIF($A$2:A1710,A1710))</f>
        <v/>
      </c>
    </row>
    <row r="1711">
      <c r="A1711" s="7" t="n"/>
      <c r="B1711" s="7" t="n"/>
      <c r="C1711" s="7" t="n"/>
      <c r="D1711" s="8" t="n"/>
      <c r="E1711" s="7" t="n"/>
      <c r="F1711" s="7" t="n"/>
      <c r="G1711" s="7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  <c r="R1711" s="7" t="n"/>
      <c r="S1711" s="7" t="n"/>
      <c r="T1711" s="7" t="n"/>
      <c r="U1711" s="7" t="n"/>
      <c r="V1711" s="7" t="n"/>
      <c r="W1711" s="7" t="n"/>
      <c r="X1711" s="7" t="n"/>
      <c r="Y1711" s="7" t="n"/>
      <c r="Z1711" s="7" t="n"/>
      <c r="AA1711" s="9">
        <f>IF(A1711="","",A1711&amp;"|"&amp;COUNTIF($A$2:A1711,A1711))</f>
        <v/>
      </c>
    </row>
    <row r="1712">
      <c r="A1712" s="7" t="n"/>
      <c r="B1712" s="7" t="n"/>
      <c r="C1712" s="7" t="n"/>
      <c r="D1712" s="8" t="n"/>
      <c r="E1712" s="7" t="n"/>
      <c r="F1712" s="7" t="n"/>
      <c r="G1712" s="7" t="n"/>
      <c r="H1712" s="7" t="n"/>
      <c r="I1712" s="7" t="n"/>
      <c r="J1712" s="7" t="n"/>
      <c r="K1712" s="7" t="n"/>
      <c r="L1712" s="7" t="n"/>
      <c r="M1712" s="7" t="n"/>
      <c r="N1712" s="7" t="n"/>
      <c r="O1712" s="7" t="n"/>
      <c r="P1712" s="7" t="n"/>
      <c r="Q1712" s="7" t="n"/>
      <c r="R1712" s="7" t="n"/>
      <c r="S1712" s="7" t="n"/>
      <c r="T1712" s="7" t="n"/>
      <c r="U1712" s="7" t="n"/>
      <c r="V1712" s="7" t="n"/>
      <c r="W1712" s="7" t="n"/>
      <c r="X1712" s="7" t="n"/>
      <c r="Y1712" s="7" t="n"/>
      <c r="Z1712" s="7" t="n"/>
      <c r="AA1712" s="9">
        <f>IF(A1712="","",A1712&amp;"|"&amp;COUNTIF($A$2:A1712,A1712))</f>
        <v/>
      </c>
    </row>
    <row r="1713">
      <c r="A1713" s="7" t="n"/>
      <c r="B1713" s="7" t="n"/>
      <c r="C1713" s="7" t="n"/>
      <c r="D1713" s="8" t="n"/>
      <c r="E1713" s="7" t="n"/>
      <c r="F1713" s="7" t="n"/>
      <c r="G1713" s="7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  <c r="R1713" s="7" t="n"/>
      <c r="S1713" s="7" t="n"/>
      <c r="T1713" s="7" t="n"/>
      <c r="U1713" s="7" t="n"/>
      <c r="V1713" s="7" t="n"/>
      <c r="W1713" s="7" t="n"/>
      <c r="X1713" s="7" t="n"/>
      <c r="Y1713" s="7" t="n"/>
      <c r="Z1713" s="7" t="n"/>
      <c r="AA1713" s="9">
        <f>IF(A1713="","",A1713&amp;"|"&amp;COUNTIF($A$2:A1713,A1713))</f>
        <v/>
      </c>
    </row>
    <row r="1714">
      <c r="A1714" s="7" t="n"/>
      <c r="B1714" s="7" t="n"/>
      <c r="C1714" s="7" t="n"/>
      <c r="D1714" s="8" t="n"/>
      <c r="E1714" s="7" t="n"/>
      <c r="F1714" s="7" t="n"/>
      <c r="G1714" s="7" t="n"/>
      <c r="H1714" s="7" t="n"/>
      <c r="I1714" s="7" t="n"/>
      <c r="J1714" s="7" t="n"/>
      <c r="K1714" s="7" t="n"/>
      <c r="L1714" s="7" t="n"/>
      <c r="M1714" s="7" t="n"/>
      <c r="N1714" s="7" t="n"/>
      <c r="O1714" s="7" t="n"/>
      <c r="P1714" s="7" t="n"/>
      <c r="Q1714" s="7" t="n"/>
      <c r="R1714" s="7" t="n"/>
      <c r="S1714" s="7" t="n"/>
      <c r="T1714" s="7" t="n"/>
      <c r="U1714" s="7" t="n"/>
      <c r="V1714" s="7" t="n"/>
      <c r="W1714" s="7" t="n"/>
      <c r="X1714" s="7" t="n"/>
      <c r="Y1714" s="7" t="n"/>
      <c r="Z1714" s="7" t="n"/>
      <c r="AA1714" s="9">
        <f>IF(A1714="","",A1714&amp;"|"&amp;COUNTIF($A$2:A1714,A1714))</f>
        <v/>
      </c>
    </row>
    <row r="1715">
      <c r="A1715" s="7" t="n"/>
      <c r="B1715" s="7" t="n"/>
      <c r="C1715" s="7" t="n"/>
      <c r="D1715" s="8" t="n"/>
      <c r="E1715" s="7" t="n"/>
      <c r="F1715" s="7" t="n"/>
      <c r="G1715" s="7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  <c r="R1715" s="7" t="n"/>
      <c r="S1715" s="7" t="n"/>
      <c r="T1715" s="7" t="n"/>
      <c r="U1715" s="7" t="n"/>
      <c r="V1715" s="7" t="n"/>
      <c r="W1715" s="7" t="n"/>
      <c r="X1715" s="7" t="n"/>
      <c r="Y1715" s="7" t="n"/>
      <c r="Z1715" s="7" t="n"/>
      <c r="AA1715" s="9">
        <f>IF(A1715="","",A1715&amp;"|"&amp;COUNTIF($A$2:A1715,A1715))</f>
        <v/>
      </c>
    </row>
    <row r="1716">
      <c r="A1716" s="7" t="n"/>
      <c r="B1716" s="7" t="n"/>
      <c r="C1716" s="7" t="n"/>
      <c r="D1716" s="8" t="n"/>
      <c r="E1716" s="7" t="n"/>
      <c r="F1716" s="7" t="n"/>
      <c r="G1716" s="7" t="n"/>
      <c r="H1716" s="7" t="n"/>
      <c r="I1716" s="7" t="n"/>
      <c r="J1716" s="7" t="n"/>
      <c r="K1716" s="7" t="n"/>
      <c r="L1716" s="7" t="n"/>
      <c r="M1716" s="7" t="n"/>
      <c r="N1716" s="7" t="n"/>
      <c r="O1716" s="7" t="n"/>
      <c r="P1716" s="7" t="n"/>
      <c r="Q1716" s="7" t="n"/>
      <c r="R1716" s="7" t="n"/>
      <c r="S1716" s="7" t="n"/>
      <c r="T1716" s="7" t="n"/>
      <c r="U1716" s="7" t="n"/>
      <c r="V1716" s="7" t="n"/>
      <c r="W1716" s="7" t="n"/>
      <c r="X1716" s="7" t="n"/>
      <c r="Y1716" s="7" t="n"/>
      <c r="Z1716" s="7" t="n"/>
      <c r="AA1716" s="9">
        <f>IF(A1716="","",A1716&amp;"|"&amp;COUNTIF($A$2:A1716,A1716))</f>
        <v/>
      </c>
    </row>
    <row r="1717">
      <c r="A1717" s="7" t="n"/>
      <c r="B1717" s="7" t="n"/>
      <c r="C1717" s="7" t="n"/>
      <c r="D1717" s="8" t="n"/>
      <c r="E1717" s="7" t="n"/>
      <c r="F1717" s="7" t="n"/>
      <c r="G1717" s="7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  <c r="R1717" s="7" t="n"/>
      <c r="S1717" s="7" t="n"/>
      <c r="T1717" s="7" t="n"/>
      <c r="U1717" s="7" t="n"/>
      <c r="V1717" s="7" t="n"/>
      <c r="W1717" s="7" t="n"/>
      <c r="X1717" s="7" t="n"/>
      <c r="Y1717" s="7" t="n"/>
      <c r="Z1717" s="7" t="n"/>
      <c r="AA1717" s="9">
        <f>IF(A1717="","",A1717&amp;"|"&amp;COUNTIF($A$2:A1717,A1717))</f>
        <v/>
      </c>
    </row>
    <row r="1718">
      <c r="A1718" s="7" t="n"/>
      <c r="B1718" s="7" t="n"/>
      <c r="C1718" s="7" t="n"/>
      <c r="D1718" s="8" t="n"/>
      <c r="E1718" s="7" t="n"/>
      <c r="F1718" s="7" t="n"/>
      <c r="G1718" s="7" t="n"/>
      <c r="H1718" s="7" t="n"/>
      <c r="I1718" s="7" t="n"/>
      <c r="J1718" s="7" t="n"/>
      <c r="K1718" s="7" t="n"/>
      <c r="L1718" s="7" t="n"/>
      <c r="M1718" s="7" t="n"/>
      <c r="N1718" s="7" t="n"/>
      <c r="O1718" s="7" t="n"/>
      <c r="P1718" s="7" t="n"/>
      <c r="Q1718" s="7" t="n"/>
      <c r="R1718" s="7" t="n"/>
      <c r="S1718" s="7" t="n"/>
      <c r="T1718" s="7" t="n"/>
      <c r="U1718" s="7" t="n"/>
      <c r="V1718" s="7" t="n"/>
      <c r="W1718" s="7" t="n"/>
      <c r="X1718" s="7" t="n"/>
      <c r="Y1718" s="7" t="n"/>
      <c r="Z1718" s="7" t="n"/>
      <c r="AA1718" s="9">
        <f>IF(A1718="","",A1718&amp;"|"&amp;COUNTIF($A$2:A1718,A1718))</f>
        <v/>
      </c>
    </row>
    <row r="1719">
      <c r="A1719" s="7" t="n"/>
      <c r="B1719" s="7" t="n"/>
      <c r="C1719" s="7" t="n"/>
      <c r="D1719" s="8" t="n"/>
      <c r="E1719" s="7" t="n"/>
      <c r="F1719" s="7" t="n"/>
      <c r="G1719" s="7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  <c r="R1719" s="7" t="n"/>
      <c r="S1719" s="7" t="n"/>
      <c r="T1719" s="7" t="n"/>
      <c r="U1719" s="7" t="n"/>
      <c r="V1719" s="7" t="n"/>
      <c r="W1719" s="7" t="n"/>
      <c r="X1719" s="7" t="n"/>
      <c r="Y1719" s="7" t="n"/>
      <c r="Z1719" s="7" t="n"/>
      <c r="AA1719" s="9">
        <f>IF(A1719="","",A1719&amp;"|"&amp;COUNTIF($A$2:A1719,A1719))</f>
        <v/>
      </c>
    </row>
    <row r="1720">
      <c r="A1720" s="7" t="n"/>
      <c r="B1720" s="7" t="n"/>
      <c r="C1720" s="7" t="n"/>
      <c r="D1720" s="8" t="n"/>
      <c r="E1720" s="7" t="n"/>
      <c r="F1720" s="7" t="n"/>
      <c r="G1720" s="7" t="n"/>
      <c r="H1720" s="7" t="n"/>
      <c r="I1720" s="7" t="n"/>
      <c r="J1720" s="7" t="n"/>
      <c r="K1720" s="7" t="n"/>
      <c r="L1720" s="7" t="n"/>
      <c r="M1720" s="7" t="n"/>
      <c r="N1720" s="7" t="n"/>
      <c r="O1720" s="7" t="n"/>
      <c r="P1720" s="7" t="n"/>
      <c r="Q1720" s="7" t="n"/>
      <c r="R1720" s="7" t="n"/>
      <c r="S1720" s="7" t="n"/>
      <c r="T1720" s="7" t="n"/>
      <c r="U1720" s="7" t="n"/>
      <c r="V1720" s="7" t="n"/>
      <c r="W1720" s="7" t="n"/>
      <c r="X1720" s="7" t="n"/>
      <c r="Y1720" s="7" t="n"/>
      <c r="Z1720" s="7" t="n"/>
      <c r="AA1720" s="9">
        <f>IF(A1720="","",A1720&amp;"|"&amp;COUNTIF($A$2:A1720,A1720))</f>
        <v/>
      </c>
    </row>
    <row r="1721">
      <c r="A1721" s="7" t="n"/>
      <c r="B1721" s="7" t="n"/>
      <c r="C1721" s="7" t="n"/>
      <c r="D1721" s="8" t="n"/>
      <c r="E1721" s="7" t="n"/>
      <c r="F1721" s="7" t="n"/>
      <c r="G1721" s="7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  <c r="R1721" s="7" t="n"/>
      <c r="S1721" s="7" t="n"/>
      <c r="T1721" s="7" t="n"/>
      <c r="U1721" s="7" t="n"/>
      <c r="V1721" s="7" t="n"/>
      <c r="W1721" s="7" t="n"/>
      <c r="X1721" s="7" t="n"/>
      <c r="Y1721" s="7" t="n"/>
      <c r="Z1721" s="7" t="n"/>
      <c r="AA1721" s="9">
        <f>IF(A1721="","",A1721&amp;"|"&amp;COUNTIF($A$2:A1721,A1721))</f>
        <v/>
      </c>
    </row>
    <row r="1722">
      <c r="A1722" s="7" t="n"/>
      <c r="B1722" s="7" t="n"/>
      <c r="C1722" s="7" t="n"/>
      <c r="D1722" s="8" t="n"/>
      <c r="E1722" s="7" t="n"/>
      <c r="F1722" s="7" t="n"/>
      <c r="G1722" s="7" t="n"/>
      <c r="H1722" s="7" t="n"/>
      <c r="I1722" s="7" t="n"/>
      <c r="J1722" s="7" t="n"/>
      <c r="K1722" s="7" t="n"/>
      <c r="L1722" s="7" t="n"/>
      <c r="M1722" s="7" t="n"/>
      <c r="N1722" s="7" t="n"/>
      <c r="O1722" s="7" t="n"/>
      <c r="P1722" s="7" t="n"/>
      <c r="Q1722" s="7" t="n"/>
      <c r="R1722" s="7" t="n"/>
      <c r="S1722" s="7" t="n"/>
      <c r="T1722" s="7" t="n"/>
      <c r="U1722" s="7" t="n"/>
      <c r="V1722" s="7" t="n"/>
      <c r="W1722" s="7" t="n"/>
      <c r="X1722" s="7" t="n"/>
      <c r="Y1722" s="7" t="n"/>
      <c r="Z1722" s="7" t="n"/>
      <c r="AA1722" s="9">
        <f>IF(A1722="","",A1722&amp;"|"&amp;COUNTIF($A$2:A1722,A1722))</f>
        <v/>
      </c>
    </row>
    <row r="1723">
      <c r="A1723" s="7" t="n"/>
      <c r="B1723" s="7" t="n"/>
      <c r="C1723" s="7" t="n"/>
      <c r="D1723" s="8" t="n"/>
      <c r="E1723" s="7" t="n"/>
      <c r="F1723" s="7" t="n"/>
      <c r="G1723" s="7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  <c r="R1723" s="7" t="n"/>
      <c r="S1723" s="7" t="n"/>
      <c r="T1723" s="7" t="n"/>
      <c r="U1723" s="7" t="n"/>
      <c r="V1723" s="7" t="n"/>
      <c r="W1723" s="7" t="n"/>
      <c r="X1723" s="7" t="n"/>
      <c r="Y1723" s="7" t="n"/>
      <c r="Z1723" s="7" t="n"/>
      <c r="AA1723" s="9">
        <f>IF(A1723="","",A1723&amp;"|"&amp;COUNTIF($A$2:A1723,A1723))</f>
        <v/>
      </c>
    </row>
    <row r="1724">
      <c r="A1724" s="7" t="n"/>
      <c r="B1724" s="7" t="n"/>
      <c r="C1724" s="7" t="n"/>
      <c r="D1724" s="8" t="n"/>
      <c r="E1724" s="7" t="n"/>
      <c r="F1724" s="7" t="n"/>
      <c r="G1724" s="7" t="n"/>
      <c r="H1724" s="7" t="n"/>
      <c r="I1724" s="7" t="n"/>
      <c r="J1724" s="7" t="n"/>
      <c r="K1724" s="7" t="n"/>
      <c r="L1724" s="7" t="n"/>
      <c r="M1724" s="7" t="n"/>
      <c r="N1724" s="7" t="n"/>
      <c r="O1724" s="7" t="n"/>
      <c r="P1724" s="7" t="n"/>
      <c r="Q1724" s="7" t="n"/>
      <c r="R1724" s="7" t="n"/>
      <c r="S1724" s="7" t="n"/>
      <c r="T1724" s="7" t="n"/>
      <c r="U1724" s="7" t="n"/>
      <c r="V1724" s="7" t="n"/>
      <c r="W1724" s="7" t="n"/>
      <c r="X1724" s="7" t="n"/>
      <c r="Y1724" s="7" t="n"/>
      <c r="Z1724" s="7" t="n"/>
      <c r="AA1724" s="9">
        <f>IF(A1724="","",A1724&amp;"|"&amp;COUNTIF($A$2:A1724,A1724))</f>
        <v/>
      </c>
    </row>
    <row r="1725">
      <c r="A1725" s="7" t="n"/>
      <c r="B1725" s="7" t="n"/>
      <c r="C1725" s="7" t="n"/>
      <c r="D1725" s="8" t="n"/>
      <c r="E1725" s="7" t="n"/>
      <c r="F1725" s="7" t="n"/>
      <c r="G1725" s="7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  <c r="R1725" s="7" t="n"/>
      <c r="S1725" s="7" t="n"/>
      <c r="T1725" s="7" t="n"/>
      <c r="U1725" s="7" t="n"/>
      <c r="V1725" s="7" t="n"/>
      <c r="W1725" s="7" t="n"/>
      <c r="X1725" s="7" t="n"/>
      <c r="Y1725" s="7" t="n"/>
      <c r="Z1725" s="7" t="n"/>
      <c r="AA1725" s="9">
        <f>IF(A1725="","",A1725&amp;"|"&amp;COUNTIF($A$2:A1725,A1725))</f>
        <v/>
      </c>
    </row>
    <row r="1726">
      <c r="A1726" s="7" t="n"/>
      <c r="B1726" s="7" t="n"/>
      <c r="C1726" s="7" t="n"/>
      <c r="D1726" s="8" t="n"/>
      <c r="E1726" s="7" t="n"/>
      <c r="F1726" s="7" t="n"/>
      <c r="G1726" s="7" t="n"/>
      <c r="H1726" s="7" t="n"/>
      <c r="I1726" s="7" t="n"/>
      <c r="J1726" s="7" t="n"/>
      <c r="K1726" s="7" t="n"/>
      <c r="L1726" s="7" t="n"/>
      <c r="M1726" s="7" t="n"/>
      <c r="N1726" s="7" t="n"/>
      <c r="O1726" s="7" t="n"/>
      <c r="P1726" s="7" t="n"/>
      <c r="Q1726" s="7" t="n"/>
      <c r="R1726" s="7" t="n"/>
      <c r="S1726" s="7" t="n"/>
      <c r="T1726" s="7" t="n"/>
      <c r="U1726" s="7" t="n"/>
      <c r="V1726" s="7" t="n"/>
      <c r="W1726" s="7" t="n"/>
      <c r="X1726" s="7" t="n"/>
      <c r="Y1726" s="7" t="n"/>
      <c r="Z1726" s="7" t="n"/>
      <c r="AA1726" s="9">
        <f>IF(A1726="","",A1726&amp;"|"&amp;COUNTIF($A$2:A1726,A1726))</f>
        <v/>
      </c>
    </row>
    <row r="1727">
      <c r="A1727" s="7" t="n"/>
      <c r="B1727" s="7" t="n"/>
      <c r="C1727" s="7" t="n"/>
      <c r="D1727" s="8" t="n"/>
      <c r="E1727" s="7" t="n"/>
      <c r="F1727" s="7" t="n"/>
      <c r="G1727" s="7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  <c r="R1727" s="7" t="n"/>
      <c r="S1727" s="7" t="n"/>
      <c r="T1727" s="7" t="n"/>
      <c r="U1727" s="7" t="n"/>
      <c r="V1727" s="7" t="n"/>
      <c r="W1727" s="7" t="n"/>
      <c r="X1727" s="7" t="n"/>
      <c r="Y1727" s="7" t="n"/>
      <c r="Z1727" s="7" t="n"/>
      <c r="AA1727" s="9">
        <f>IF(A1727="","",A1727&amp;"|"&amp;COUNTIF($A$2:A1727,A1727))</f>
        <v/>
      </c>
    </row>
    <row r="1728">
      <c r="A1728" s="7" t="n"/>
      <c r="B1728" s="7" t="n"/>
      <c r="C1728" s="7" t="n"/>
      <c r="D1728" s="8" t="n"/>
      <c r="E1728" s="7" t="n"/>
      <c r="F1728" s="7" t="n"/>
      <c r="G1728" s="7" t="n"/>
      <c r="H1728" s="7" t="n"/>
      <c r="I1728" s="7" t="n"/>
      <c r="J1728" s="7" t="n"/>
      <c r="K1728" s="7" t="n"/>
      <c r="L1728" s="7" t="n"/>
      <c r="M1728" s="7" t="n"/>
      <c r="N1728" s="7" t="n"/>
      <c r="O1728" s="7" t="n"/>
      <c r="P1728" s="7" t="n"/>
      <c r="Q1728" s="7" t="n"/>
      <c r="R1728" s="7" t="n"/>
      <c r="S1728" s="7" t="n"/>
      <c r="T1728" s="7" t="n"/>
      <c r="U1728" s="7" t="n"/>
      <c r="V1728" s="7" t="n"/>
      <c r="W1728" s="7" t="n"/>
      <c r="X1728" s="7" t="n"/>
      <c r="Y1728" s="7" t="n"/>
      <c r="Z1728" s="7" t="n"/>
      <c r="AA1728" s="9">
        <f>IF(A1728="","",A1728&amp;"|"&amp;COUNTIF($A$2:A1728,A1728))</f>
        <v/>
      </c>
    </row>
    <row r="1729">
      <c r="A1729" s="7" t="n"/>
      <c r="B1729" s="7" t="n"/>
      <c r="C1729" s="7" t="n"/>
      <c r="D1729" s="8" t="n"/>
      <c r="E1729" s="7" t="n"/>
      <c r="F1729" s="7" t="n"/>
      <c r="G1729" s="7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  <c r="R1729" s="7" t="n"/>
      <c r="S1729" s="7" t="n"/>
      <c r="T1729" s="7" t="n"/>
      <c r="U1729" s="7" t="n"/>
      <c r="V1729" s="7" t="n"/>
      <c r="W1729" s="7" t="n"/>
      <c r="X1729" s="7" t="n"/>
      <c r="Y1729" s="7" t="n"/>
      <c r="Z1729" s="7" t="n"/>
      <c r="AA1729" s="9">
        <f>IF(A1729="","",A1729&amp;"|"&amp;COUNTIF($A$2:A1729,A1729))</f>
        <v/>
      </c>
    </row>
    <row r="1730">
      <c r="A1730" s="7" t="n"/>
      <c r="B1730" s="7" t="n"/>
      <c r="C1730" s="7" t="n"/>
      <c r="D1730" s="8" t="n"/>
      <c r="E1730" s="7" t="n"/>
      <c r="F1730" s="7" t="n"/>
      <c r="G1730" s="7" t="n"/>
      <c r="H1730" s="7" t="n"/>
      <c r="I1730" s="7" t="n"/>
      <c r="J1730" s="7" t="n"/>
      <c r="K1730" s="7" t="n"/>
      <c r="L1730" s="7" t="n"/>
      <c r="M1730" s="7" t="n"/>
      <c r="N1730" s="7" t="n"/>
      <c r="O1730" s="7" t="n"/>
      <c r="P1730" s="7" t="n"/>
      <c r="Q1730" s="7" t="n"/>
      <c r="R1730" s="7" t="n"/>
      <c r="S1730" s="7" t="n"/>
      <c r="T1730" s="7" t="n"/>
      <c r="U1730" s="7" t="n"/>
      <c r="V1730" s="7" t="n"/>
      <c r="W1730" s="7" t="n"/>
      <c r="X1730" s="7" t="n"/>
      <c r="Y1730" s="7" t="n"/>
      <c r="Z1730" s="7" t="n"/>
      <c r="AA1730" s="9">
        <f>IF(A1730="","",A1730&amp;"|"&amp;COUNTIF($A$2:A1730,A1730))</f>
        <v/>
      </c>
    </row>
    <row r="1731">
      <c r="A1731" s="7" t="n"/>
      <c r="B1731" s="7" t="n"/>
      <c r="C1731" s="7" t="n"/>
      <c r="D1731" s="8" t="n"/>
      <c r="E1731" s="7" t="n"/>
      <c r="F1731" s="7" t="n"/>
      <c r="G1731" s="7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  <c r="R1731" s="7" t="n"/>
      <c r="S1731" s="7" t="n"/>
      <c r="T1731" s="7" t="n"/>
      <c r="U1731" s="7" t="n"/>
      <c r="V1731" s="7" t="n"/>
      <c r="W1731" s="7" t="n"/>
      <c r="X1731" s="7" t="n"/>
      <c r="Y1731" s="7" t="n"/>
      <c r="Z1731" s="7" t="n"/>
      <c r="AA1731" s="9">
        <f>IF(A1731="","",A1731&amp;"|"&amp;COUNTIF($A$2:A1731,A1731))</f>
        <v/>
      </c>
    </row>
    <row r="1732">
      <c r="A1732" s="7" t="n"/>
      <c r="B1732" s="7" t="n"/>
      <c r="C1732" s="7" t="n"/>
      <c r="D1732" s="8" t="n"/>
      <c r="E1732" s="7" t="n"/>
      <c r="F1732" s="7" t="n"/>
      <c r="G1732" s="7" t="n"/>
      <c r="H1732" s="7" t="n"/>
      <c r="I1732" s="7" t="n"/>
      <c r="J1732" s="7" t="n"/>
      <c r="K1732" s="7" t="n"/>
      <c r="L1732" s="7" t="n"/>
      <c r="M1732" s="7" t="n"/>
      <c r="N1732" s="7" t="n"/>
      <c r="O1732" s="7" t="n"/>
      <c r="P1732" s="7" t="n"/>
      <c r="Q1732" s="7" t="n"/>
      <c r="R1732" s="7" t="n"/>
      <c r="S1732" s="7" t="n"/>
      <c r="T1732" s="7" t="n"/>
      <c r="U1732" s="7" t="n"/>
      <c r="V1732" s="7" t="n"/>
      <c r="W1732" s="7" t="n"/>
      <c r="X1732" s="7" t="n"/>
      <c r="Y1732" s="7" t="n"/>
      <c r="Z1732" s="7" t="n"/>
      <c r="AA1732" s="9">
        <f>IF(A1732="","",A1732&amp;"|"&amp;COUNTIF($A$2:A1732,A1732))</f>
        <v/>
      </c>
    </row>
    <row r="1733">
      <c r="A1733" s="7" t="n"/>
      <c r="B1733" s="7" t="n"/>
      <c r="C1733" s="7" t="n"/>
      <c r="D1733" s="8" t="n"/>
      <c r="E1733" s="7" t="n"/>
      <c r="F1733" s="7" t="n"/>
      <c r="G1733" s="7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  <c r="R1733" s="7" t="n"/>
      <c r="S1733" s="7" t="n"/>
      <c r="T1733" s="7" t="n"/>
      <c r="U1733" s="7" t="n"/>
      <c r="V1733" s="7" t="n"/>
      <c r="W1733" s="7" t="n"/>
      <c r="X1733" s="7" t="n"/>
      <c r="Y1733" s="7" t="n"/>
      <c r="Z1733" s="7" t="n"/>
      <c r="AA1733" s="9">
        <f>IF(A1733="","",A1733&amp;"|"&amp;COUNTIF($A$2:A1733,A1733))</f>
        <v/>
      </c>
    </row>
    <row r="1734">
      <c r="A1734" s="7" t="n"/>
      <c r="B1734" s="7" t="n"/>
      <c r="C1734" s="7" t="n"/>
      <c r="D1734" s="8" t="n"/>
      <c r="E1734" s="7" t="n"/>
      <c r="F1734" s="7" t="n"/>
      <c r="G1734" s="7" t="n"/>
      <c r="H1734" s="7" t="n"/>
      <c r="I1734" s="7" t="n"/>
      <c r="J1734" s="7" t="n"/>
      <c r="K1734" s="7" t="n"/>
      <c r="L1734" s="7" t="n"/>
      <c r="M1734" s="7" t="n"/>
      <c r="N1734" s="7" t="n"/>
      <c r="O1734" s="7" t="n"/>
      <c r="P1734" s="7" t="n"/>
      <c r="Q1734" s="7" t="n"/>
      <c r="R1734" s="7" t="n"/>
      <c r="S1734" s="7" t="n"/>
      <c r="T1734" s="7" t="n"/>
      <c r="U1734" s="7" t="n"/>
      <c r="V1734" s="7" t="n"/>
      <c r="W1734" s="7" t="n"/>
      <c r="X1734" s="7" t="n"/>
      <c r="Y1734" s="7" t="n"/>
      <c r="Z1734" s="7" t="n"/>
      <c r="AA1734" s="9">
        <f>IF(A1734="","",A1734&amp;"|"&amp;COUNTIF($A$2:A1734,A1734))</f>
        <v/>
      </c>
    </row>
    <row r="1735">
      <c r="A1735" s="7" t="n"/>
      <c r="B1735" s="7" t="n"/>
      <c r="C1735" s="7" t="n"/>
      <c r="D1735" s="8" t="n"/>
      <c r="E1735" s="7" t="n"/>
      <c r="F1735" s="7" t="n"/>
      <c r="G1735" s="7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  <c r="R1735" s="7" t="n"/>
      <c r="S1735" s="7" t="n"/>
      <c r="T1735" s="7" t="n"/>
      <c r="U1735" s="7" t="n"/>
      <c r="V1735" s="7" t="n"/>
      <c r="W1735" s="7" t="n"/>
      <c r="X1735" s="7" t="n"/>
      <c r="Y1735" s="7" t="n"/>
      <c r="Z1735" s="7" t="n"/>
      <c r="AA1735" s="9">
        <f>IF(A1735="","",A1735&amp;"|"&amp;COUNTIF($A$2:A1735,A1735))</f>
        <v/>
      </c>
    </row>
    <row r="1736">
      <c r="A1736" s="7" t="n"/>
      <c r="B1736" s="7" t="n"/>
      <c r="C1736" s="7" t="n"/>
      <c r="D1736" s="8" t="n"/>
      <c r="E1736" s="7" t="n"/>
      <c r="F1736" s="7" t="n"/>
      <c r="G1736" s="7" t="n"/>
      <c r="H1736" s="7" t="n"/>
      <c r="I1736" s="7" t="n"/>
      <c r="J1736" s="7" t="n"/>
      <c r="K1736" s="7" t="n"/>
      <c r="L1736" s="7" t="n"/>
      <c r="M1736" s="7" t="n"/>
      <c r="N1736" s="7" t="n"/>
      <c r="O1736" s="7" t="n"/>
      <c r="P1736" s="7" t="n"/>
      <c r="Q1736" s="7" t="n"/>
      <c r="R1736" s="7" t="n"/>
      <c r="S1736" s="7" t="n"/>
      <c r="T1736" s="7" t="n"/>
      <c r="U1736" s="7" t="n"/>
      <c r="V1736" s="7" t="n"/>
      <c r="W1736" s="7" t="n"/>
      <c r="X1736" s="7" t="n"/>
      <c r="Y1736" s="7" t="n"/>
      <c r="Z1736" s="7" t="n"/>
      <c r="AA1736" s="9">
        <f>IF(A1736="","",A1736&amp;"|"&amp;COUNTIF($A$2:A1736,A1736))</f>
        <v/>
      </c>
    </row>
    <row r="1737">
      <c r="A1737" s="7" t="n"/>
      <c r="B1737" s="7" t="n"/>
      <c r="C1737" s="7" t="n"/>
      <c r="D1737" s="8" t="n"/>
      <c r="E1737" s="7" t="n"/>
      <c r="F1737" s="7" t="n"/>
      <c r="G1737" s="7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  <c r="R1737" s="7" t="n"/>
      <c r="S1737" s="7" t="n"/>
      <c r="T1737" s="7" t="n"/>
      <c r="U1737" s="7" t="n"/>
      <c r="V1737" s="7" t="n"/>
      <c r="W1737" s="7" t="n"/>
      <c r="X1737" s="7" t="n"/>
      <c r="Y1737" s="7" t="n"/>
      <c r="Z1737" s="7" t="n"/>
      <c r="AA1737" s="9">
        <f>IF(A1737="","",A1737&amp;"|"&amp;COUNTIF($A$2:A1737,A1737))</f>
        <v/>
      </c>
    </row>
    <row r="1738">
      <c r="A1738" s="7" t="n"/>
      <c r="B1738" s="7" t="n"/>
      <c r="C1738" s="7" t="n"/>
      <c r="D1738" s="8" t="n"/>
      <c r="E1738" s="7" t="n"/>
      <c r="F1738" s="7" t="n"/>
      <c r="G1738" s="7" t="n"/>
      <c r="H1738" s="7" t="n"/>
      <c r="I1738" s="7" t="n"/>
      <c r="J1738" s="7" t="n"/>
      <c r="K1738" s="7" t="n"/>
      <c r="L1738" s="7" t="n"/>
      <c r="M1738" s="7" t="n"/>
      <c r="N1738" s="7" t="n"/>
      <c r="O1738" s="7" t="n"/>
      <c r="P1738" s="7" t="n"/>
      <c r="Q1738" s="7" t="n"/>
      <c r="R1738" s="7" t="n"/>
      <c r="S1738" s="7" t="n"/>
      <c r="T1738" s="7" t="n"/>
      <c r="U1738" s="7" t="n"/>
      <c r="V1738" s="7" t="n"/>
      <c r="W1738" s="7" t="n"/>
      <c r="X1738" s="7" t="n"/>
      <c r="Y1738" s="7" t="n"/>
      <c r="Z1738" s="7" t="n"/>
      <c r="AA1738" s="9">
        <f>IF(A1738="","",A1738&amp;"|"&amp;COUNTIF($A$2:A1738,A1738))</f>
        <v/>
      </c>
    </row>
    <row r="1739">
      <c r="A1739" s="7" t="n"/>
      <c r="B1739" s="7" t="n"/>
      <c r="C1739" s="7" t="n"/>
      <c r="D1739" s="8" t="n"/>
      <c r="E1739" s="7" t="n"/>
      <c r="F1739" s="7" t="n"/>
      <c r="G1739" s="7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  <c r="R1739" s="7" t="n"/>
      <c r="S1739" s="7" t="n"/>
      <c r="T1739" s="7" t="n"/>
      <c r="U1739" s="7" t="n"/>
      <c r="V1739" s="7" t="n"/>
      <c r="W1739" s="7" t="n"/>
      <c r="X1739" s="7" t="n"/>
      <c r="Y1739" s="7" t="n"/>
      <c r="Z1739" s="7" t="n"/>
      <c r="AA1739" s="9">
        <f>IF(A1739="","",A1739&amp;"|"&amp;COUNTIF($A$2:A1739,A1739))</f>
        <v/>
      </c>
    </row>
    <row r="1740">
      <c r="A1740" s="7" t="n"/>
      <c r="B1740" s="7" t="n"/>
      <c r="C1740" s="7" t="n"/>
      <c r="D1740" s="8" t="n"/>
      <c r="E1740" s="7" t="n"/>
      <c r="F1740" s="7" t="n"/>
      <c r="G1740" s="7" t="n"/>
      <c r="H1740" s="7" t="n"/>
      <c r="I1740" s="7" t="n"/>
      <c r="J1740" s="7" t="n"/>
      <c r="K1740" s="7" t="n"/>
      <c r="L1740" s="7" t="n"/>
      <c r="M1740" s="7" t="n"/>
      <c r="N1740" s="7" t="n"/>
      <c r="O1740" s="7" t="n"/>
      <c r="P1740" s="7" t="n"/>
      <c r="Q1740" s="7" t="n"/>
      <c r="R1740" s="7" t="n"/>
      <c r="S1740" s="7" t="n"/>
      <c r="T1740" s="7" t="n"/>
      <c r="U1740" s="7" t="n"/>
      <c r="V1740" s="7" t="n"/>
      <c r="W1740" s="7" t="n"/>
      <c r="X1740" s="7" t="n"/>
      <c r="Y1740" s="7" t="n"/>
      <c r="Z1740" s="7" t="n"/>
      <c r="AA1740" s="9">
        <f>IF(A1740="","",A1740&amp;"|"&amp;COUNTIF($A$2:A1740,A1740))</f>
        <v/>
      </c>
    </row>
    <row r="1741">
      <c r="A1741" s="7" t="n"/>
      <c r="B1741" s="7" t="n"/>
      <c r="C1741" s="7" t="n"/>
      <c r="D1741" s="8" t="n"/>
      <c r="E1741" s="7" t="n"/>
      <c r="F1741" s="7" t="n"/>
      <c r="G1741" s="7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  <c r="R1741" s="7" t="n"/>
      <c r="S1741" s="7" t="n"/>
      <c r="T1741" s="7" t="n"/>
      <c r="U1741" s="7" t="n"/>
      <c r="V1741" s="7" t="n"/>
      <c r="W1741" s="7" t="n"/>
      <c r="X1741" s="7" t="n"/>
      <c r="Y1741" s="7" t="n"/>
      <c r="Z1741" s="7" t="n"/>
      <c r="AA1741" s="9">
        <f>IF(A1741="","",A1741&amp;"|"&amp;COUNTIF($A$2:A1741,A1741))</f>
        <v/>
      </c>
    </row>
    <row r="1742">
      <c r="A1742" s="7" t="n"/>
      <c r="B1742" s="7" t="n"/>
      <c r="C1742" s="7" t="n"/>
      <c r="D1742" s="8" t="n"/>
      <c r="E1742" s="7" t="n"/>
      <c r="F1742" s="7" t="n"/>
      <c r="G1742" s="7" t="n"/>
      <c r="H1742" s="7" t="n"/>
      <c r="I1742" s="7" t="n"/>
      <c r="J1742" s="7" t="n"/>
      <c r="K1742" s="7" t="n"/>
      <c r="L1742" s="7" t="n"/>
      <c r="M1742" s="7" t="n"/>
      <c r="N1742" s="7" t="n"/>
      <c r="O1742" s="7" t="n"/>
      <c r="P1742" s="7" t="n"/>
      <c r="Q1742" s="7" t="n"/>
      <c r="R1742" s="7" t="n"/>
      <c r="S1742" s="7" t="n"/>
      <c r="T1742" s="7" t="n"/>
      <c r="U1742" s="7" t="n"/>
      <c r="V1742" s="7" t="n"/>
      <c r="W1742" s="7" t="n"/>
      <c r="X1742" s="7" t="n"/>
      <c r="Y1742" s="7" t="n"/>
      <c r="Z1742" s="7" t="n"/>
      <c r="AA1742" s="9">
        <f>IF(A1742="","",A1742&amp;"|"&amp;COUNTIF($A$2:A1742,A1742))</f>
        <v/>
      </c>
    </row>
    <row r="1743">
      <c r="A1743" s="7" t="n"/>
      <c r="B1743" s="7" t="n"/>
      <c r="C1743" s="7" t="n"/>
      <c r="D1743" s="8" t="n"/>
      <c r="E1743" s="7" t="n"/>
      <c r="F1743" s="7" t="n"/>
      <c r="G1743" s="7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  <c r="R1743" s="7" t="n"/>
      <c r="S1743" s="7" t="n"/>
      <c r="T1743" s="7" t="n"/>
      <c r="U1743" s="7" t="n"/>
      <c r="V1743" s="7" t="n"/>
      <c r="W1743" s="7" t="n"/>
      <c r="X1743" s="7" t="n"/>
      <c r="Y1743" s="7" t="n"/>
      <c r="Z1743" s="7" t="n"/>
      <c r="AA1743" s="9">
        <f>IF(A1743="","",A1743&amp;"|"&amp;COUNTIF($A$2:A1743,A1743))</f>
        <v/>
      </c>
    </row>
    <row r="1744">
      <c r="A1744" s="7" t="n"/>
      <c r="B1744" s="7" t="n"/>
      <c r="C1744" s="7" t="n"/>
      <c r="D1744" s="8" t="n"/>
      <c r="E1744" s="7" t="n"/>
      <c r="F1744" s="7" t="n"/>
      <c r="G1744" s="7" t="n"/>
      <c r="H1744" s="7" t="n"/>
      <c r="I1744" s="7" t="n"/>
      <c r="J1744" s="7" t="n"/>
      <c r="K1744" s="7" t="n"/>
      <c r="L1744" s="7" t="n"/>
      <c r="M1744" s="7" t="n"/>
      <c r="N1744" s="7" t="n"/>
      <c r="O1744" s="7" t="n"/>
      <c r="P1744" s="7" t="n"/>
      <c r="Q1744" s="7" t="n"/>
      <c r="R1744" s="7" t="n"/>
      <c r="S1744" s="7" t="n"/>
      <c r="T1744" s="7" t="n"/>
      <c r="U1744" s="7" t="n"/>
      <c r="V1744" s="7" t="n"/>
      <c r="W1744" s="7" t="n"/>
      <c r="X1744" s="7" t="n"/>
      <c r="Y1744" s="7" t="n"/>
      <c r="Z1744" s="7" t="n"/>
      <c r="AA1744" s="9">
        <f>IF(A1744="","",A1744&amp;"|"&amp;COUNTIF($A$2:A1744,A1744))</f>
        <v/>
      </c>
    </row>
    <row r="1745">
      <c r="A1745" s="7" t="n"/>
      <c r="B1745" s="7" t="n"/>
      <c r="C1745" s="7" t="n"/>
      <c r="D1745" s="8" t="n"/>
      <c r="E1745" s="7" t="n"/>
      <c r="F1745" s="7" t="n"/>
      <c r="G1745" s="7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  <c r="R1745" s="7" t="n"/>
      <c r="S1745" s="7" t="n"/>
      <c r="T1745" s="7" t="n"/>
      <c r="U1745" s="7" t="n"/>
      <c r="V1745" s="7" t="n"/>
      <c r="W1745" s="7" t="n"/>
      <c r="X1745" s="7" t="n"/>
      <c r="Y1745" s="7" t="n"/>
      <c r="Z1745" s="7" t="n"/>
      <c r="AA1745" s="9">
        <f>IF(A1745="","",A1745&amp;"|"&amp;COUNTIF($A$2:A1745,A1745))</f>
        <v/>
      </c>
    </row>
    <row r="1746">
      <c r="A1746" s="7" t="n"/>
      <c r="B1746" s="7" t="n"/>
      <c r="C1746" s="7" t="n"/>
      <c r="D1746" s="8" t="n"/>
      <c r="E1746" s="7" t="n"/>
      <c r="F1746" s="7" t="n"/>
      <c r="G1746" s="7" t="n"/>
      <c r="H1746" s="7" t="n"/>
      <c r="I1746" s="7" t="n"/>
      <c r="J1746" s="7" t="n"/>
      <c r="K1746" s="7" t="n"/>
      <c r="L1746" s="7" t="n"/>
      <c r="M1746" s="7" t="n"/>
      <c r="N1746" s="7" t="n"/>
      <c r="O1746" s="7" t="n"/>
      <c r="P1746" s="7" t="n"/>
      <c r="Q1746" s="7" t="n"/>
      <c r="R1746" s="7" t="n"/>
      <c r="S1746" s="7" t="n"/>
      <c r="T1746" s="7" t="n"/>
      <c r="U1746" s="7" t="n"/>
      <c r="V1746" s="7" t="n"/>
      <c r="W1746" s="7" t="n"/>
      <c r="X1746" s="7" t="n"/>
      <c r="Y1746" s="7" t="n"/>
      <c r="Z1746" s="7" t="n"/>
      <c r="AA1746" s="9">
        <f>IF(A1746="","",A1746&amp;"|"&amp;COUNTIF($A$2:A1746,A1746))</f>
        <v/>
      </c>
    </row>
    <row r="1747">
      <c r="A1747" s="7" t="n"/>
      <c r="B1747" s="7" t="n"/>
      <c r="C1747" s="7" t="n"/>
      <c r="D1747" s="8" t="n"/>
      <c r="E1747" s="7" t="n"/>
      <c r="F1747" s="7" t="n"/>
      <c r="G1747" s="7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  <c r="R1747" s="7" t="n"/>
      <c r="S1747" s="7" t="n"/>
      <c r="T1747" s="7" t="n"/>
      <c r="U1747" s="7" t="n"/>
      <c r="V1747" s="7" t="n"/>
      <c r="W1747" s="7" t="n"/>
      <c r="X1747" s="7" t="n"/>
      <c r="Y1747" s="7" t="n"/>
      <c r="Z1747" s="7" t="n"/>
      <c r="AA1747" s="9">
        <f>IF(A1747="","",A1747&amp;"|"&amp;COUNTIF($A$2:A1747,A1747))</f>
        <v/>
      </c>
    </row>
    <row r="1748">
      <c r="A1748" s="7" t="n"/>
      <c r="B1748" s="7" t="n"/>
      <c r="C1748" s="7" t="n"/>
      <c r="D1748" s="8" t="n"/>
      <c r="E1748" s="7" t="n"/>
      <c r="F1748" s="7" t="n"/>
      <c r="G1748" s="7" t="n"/>
      <c r="H1748" s="7" t="n"/>
      <c r="I1748" s="7" t="n"/>
      <c r="J1748" s="7" t="n"/>
      <c r="K1748" s="7" t="n"/>
      <c r="L1748" s="7" t="n"/>
      <c r="M1748" s="7" t="n"/>
      <c r="N1748" s="7" t="n"/>
      <c r="O1748" s="7" t="n"/>
      <c r="P1748" s="7" t="n"/>
      <c r="Q1748" s="7" t="n"/>
      <c r="R1748" s="7" t="n"/>
      <c r="S1748" s="7" t="n"/>
      <c r="T1748" s="7" t="n"/>
      <c r="U1748" s="7" t="n"/>
      <c r="V1748" s="7" t="n"/>
      <c r="W1748" s="7" t="n"/>
      <c r="X1748" s="7" t="n"/>
      <c r="Y1748" s="7" t="n"/>
      <c r="Z1748" s="7" t="n"/>
      <c r="AA1748" s="9">
        <f>IF(A1748="","",A1748&amp;"|"&amp;COUNTIF($A$2:A1748,A1748))</f>
        <v/>
      </c>
    </row>
    <row r="1749">
      <c r="A1749" s="7" t="n"/>
      <c r="B1749" s="7" t="n"/>
      <c r="C1749" s="7" t="n"/>
      <c r="D1749" s="8" t="n"/>
      <c r="E1749" s="7" t="n"/>
      <c r="F1749" s="7" t="n"/>
      <c r="G1749" s="7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  <c r="R1749" s="7" t="n"/>
      <c r="S1749" s="7" t="n"/>
      <c r="T1749" s="7" t="n"/>
      <c r="U1749" s="7" t="n"/>
      <c r="V1749" s="7" t="n"/>
      <c r="W1749" s="7" t="n"/>
      <c r="X1749" s="7" t="n"/>
      <c r="Y1749" s="7" t="n"/>
      <c r="Z1749" s="7" t="n"/>
      <c r="AA1749" s="9">
        <f>IF(A1749="","",A1749&amp;"|"&amp;COUNTIF($A$2:A1749,A1749))</f>
        <v/>
      </c>
    </row>
    <row r="1750">
      <c r="A1750" s="7" t="n"/>
      <c r="B1750" s="7" t="n"/>
      <c r="C1750" s="7" t="n"/>
      <c r="D1750" s="8" t="n"/>
      <c r="E1750" s="7" t="n"/>
      <c r="F1750" s="7" t="n"/>
      <c r="G1750" s="7" t="n"/>
      <c r="H1750" s="7" t="n"/>
      <c r="I1750" s="7" t="n"/>
      <c r="J1750" s="7" t="n"/>
      <c r="K1750" s="7" t="n"/>
      <c r="L1750" s="7" t="n"/>
      <c r="M1750" s="7" t="n"/>
      <c r="N1750" s="7" t="n"/>
      <c r="O1750" s="7" t="n"/>
      <c r="P1750" s="7" t="n"/>
      <c r="Q1750" s="7" t="n"/>
      <c r="R1750" s="7" t="n"/>
      <c r="S1750" s="7" t="n"/>
      <c r="T1750" s="7" t="n"/>
      <c r="U1750" s="7" t="n"/>
      <c r="V1750" s="7" t="n"/>
      <c r="W1750" s="7" t="n"/>
      <c r="X1750" s="7" t="n"/>
      <c r="Y1750" s="7" t="n"/>
      <c r="Z1750" s="7" t="n"/>
      <c r="AA1750" s="9">
        <f>IF(A1750="","",A1750&amp;"|"&amp;COUNTIF($A$2:A1750,A1750))</f>
        <v/>
      </c>
    </row>
    <row r="1751">
      <c r="A1751" s="7" t="n"/>
      <c r="B1751" s="7" t="n"/>
      <c r="C1751" s="7" t="n"/>
      <c r="D1751" s="8" t="n"/>
      <c r="E1751" s="7" t="n"/>
      <c r="F1751" s="7" t="n"/>
      <c r="G1751" s="7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  <c r="R1751" s="7" t="n"/>
      <c r="S1751" s="7" t="n"/>
      <c r="T1751" s="7" t="n"/>
      <c r="U1751" s="7" t="n"/>
      <c r="V1751" s="7" t="n"/>
      <c r="W1751" s="7" t="n"/>
      <c r="X1751" s="7" t="n"/>
      <c r="Y1751" s="7" t="n"/>
      <c r="Z1751" s="7" t="n"/>
      <c r="AA1751" s="9">
        <f>IF(A1751="","",A1751&amp;"|"&amp;COUNTIF($A$2:A1751,A1751))</f>
        <v/>
      </c>
    </row>
    <row r="1752">
      <c r="A1752" s="7" t="n"/>
      <c r="B1752" s="7" t="n"/>
      <c r="C1752" s="7" t="n"/>
      <c r="D1752" s="8" t="n"/>
      <c r="E1752" s="7" t="n"/>
      <c r="F1752" s="7" t="n"/>
      <c r="G1752" s="7" t="n"/>
      <c r="H1752" s="7" t="n"/>
      <c r="I1752" s="7" t="n"/>
      <c r="J1752" s="7" t="n"/>
      <c r="K1752" s="7" t="n"/>
      <c r="L1752" s="7" t="n"/>
      <c r="M1752" s="7" t="n"/>
      <c r="N1752" s="7" t="n"/>
      <c r="O1752" s="7" t="n"/>
      <c r="P1752" s="7" t="n"/>
      <c r="Q1752" s="7" t="n"/>
      <c r="R1752" s="7" t="n"/>
      <c r="S1752" s="7" t="n"/>
      <c r="T1752" s="7" t="n"/>
      <c r="U1752" s="7" t="n"/>
      <c r="V1752" s="7" t="n"/>
      <c r="W1752" s="7" t="n"/>
      <c r="X1752" s="7" t="n"/>
      <c r="Y1752" s="7" t="n"/>
      <c r="Z1752" s="7" t="n"/>
      <c r="AA1752" s="9">
        <f>IF(A1752="","",A1752&amp;"|"&amp;COUNTIF($A$2:A1752,A1752))</f>
        <v/>
      </c>
    </row>
    <row r="1753">
      <c r="A1753" s="7" t="n"/>
      <c r="B1753" s="7" t="n"/>
      <c r="C1753" s="7" t="n"/>
      <c r="D1753" s="8" t="n"/>
      <c r="E1753" s="7" t="n"/>
      <c r="F1753" s="7" t="n"/>
      <c r="G1753" s="7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  <c r="R1753" s="7" t="n"/>
      <c r="S1753" s="7" t="n"/>
      <c r="T1753" s="7" t="n"/>
      <c r="U1753" s="7" t="n"/>
      <c r="V1753" s="7" t="n"/>
      <c r="W1753" s="7" t="n"/>
      <c r="X1753" s="7" t="n"/>
      <c r="Y1753" s="7" t="n"/>
      <c r="Z1753" s="7" t="n"/>
      <c r="AA1753" s="9">
        <f>IF(A1753="","",A1753&amp;"|"&amp;COUNTIF($A$2:A1753,A1753))</f>
        <v/>
      </c>
    </row>
    <row r="1754">
      <c r="A1754" s="7" t="n"/>
      <c r="B1754" s="7" t="n"/>
      <c r="C1754" s="7" t="n"/>
      <c r="D1754" s="8" t="n"/>
      <c r="E1754" s="7" t="n"/>
      <c r="F1754" s="7" t="n"/>
      <c r="G1754" s="7" t="n"/>
      <c r="H1754" s="7" t="n"/>
      <c r="I1754" s="7" t="n"/>
      <c r="J1754" s="7" t="n"/>
      <c r="K1754" s="7" t="n"/>
      <c r="L1754" s="7" t="n"/>
      <c r="M1754" s="7" t="n"/>
      <c r="N1754" s="7" t="n"/>
      <c r="O1754" s="7" t="n"/>
      <c r="P1754" s="7" t="n"/>
      <c r="Q1754" s="7" t="n"/>
      <c r="R1754" s="7" t="n"/>
      <c r="S1754" s="7" t="n"/>
      <c r="T1754" s="7" t="n"/>
      <c r="U1754" s="7" t="n"/>
      <c r="V1754" s="7" t="n"/>
      <c r="W1754" s="7" t="n"/>
      <c r="X1754" s="7" t="n"/>
      <c r="Y1754" s="7" t="n"/>
      <c r="Z1754" s="7" t="n"/>
      <c r="AA1754" s="9">
        <f>IF(A1754="","",A1754&amp;"|"&amp;COUNTIF($A$2:A1754,A1754))</f>
        <v/>
      </c>
    </row>
    <row r="1755">
      <c r="A1755" s="7" t="n"/>
      <c r="B1755" s="7" t="n"/>
      <c r="C1755" s="7" t="n"/>
      <c r="D1755" s="8" t="n"/>
      <c r="E1755" s="7" t="n"/>
      <c r="F1755" s="7" t="n"/>
      <c r="G1755" s="7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  <c r="R1755" s="7" t="n"/>
      <c r="S1755" s="7" t="n"/>
      <c r="T1755" s="7" t="n"/>
      <c r="U1755" s="7" t="n"/>
      <c r="V1755" s="7" t="n"/>
      <c r="W1755" s="7" t="n"/>
      <c r="X1755" s="7" t="n"/>
      <c r="Y1755" s="7" t="n"/>
      <c r="Z1755" s="7" t="n"/>
      <c r="AA1755" s="9">
        <f>IF(A1755="","",A1755&amp;"|"&amp;COUNTIF($A$2:A1755,A1755))</f>
        <v/>
      </c>
    </row>
    <row r="1756">
      <c r="A1756" s="7" t="n"/>
      <c r="B1756" s="7" t="n"/>
      <c r="C1756" s="7" t="n"/>
      <c r="D1756" s="8" t="n"/>
      <c r="E1756" s="7" t="n"/>
      <c r="F1756" s="7" t="n"/>
      <c r="G1756" s="7" t="n"/>
      <c r="H1756" s="7" t="n"/>
      <c r="I1756" s="7" t="n"/>
      <c r="J1756" s="7" t="n"/>
      <c r="K1756" s="7" t="n"/>
      <c r="L1756" s="7" t="n"/>
      <c r="M1756" s="7" t="n"/>
      <c r="N1756" s="7" t="n"/>
      <c r="O1756" s="7" t="n"/>
      <c r="P1756" s="7" t="n"/>
      <c r="Q1756" s="7" t="n"/>
      <c r="R1756" s="7" t="n"/>
      <c r="S1756" s="7" t="n"/>
      <c r="T1756" s="7" t="n"/>
      <c r="U1756" s="7" t="n"/>
      <c r="V1756" s="7" t="n"/>
      <c r="W1756" s="7" t="n"/>
      <c r="X1756" s="7" t="n"/>
      <c r="Y1756" s="7" t="n"/>
      <c r="Z1756" s="7" t="n"/>
      <c r="AA1756" s="9">
        <f>IF(A1756="","",A1756&amp;"|"&amp;COUNTIF($A$2:A1756,A1756))</f>
        <v/>
      </c>
    </row>
    <row r="1757">
      <c r="A1757" s="7" t="n"/>
      <c r="B1757" s="7" t="n"/>
      <c r="C1757" s="7" t="n"/>
      <c r="D1757" s="8" t="n"/>
      <c r="E1757" s="7" t="n"/>
      <c r="F1757" s="7" t="n"/>
      <c r="G1757" s="7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  <c r="R1757" s="7" t="n"/>
      <c r="S1757" s="7" t="n"/>
      <c r="T1757" s="7" t="n"/>
      <c r="U1757" s="7" t="n"/>
      <c r="V1757" s="7" t="n"/>
      <c r="W1757" s="7" t="n"/>
      <c r="X1757" s="7" t="n"/>
      <c r="Y1757" s="7" t="n"/>
      <c r="Z1757" s="7" t="n"/>
      <c r="AA1757" s="9">
        <f>IF(A1757="","",A1757&amp;"|"&amp;COUNTIF($A$2:A1757,A1757))</f>
        <v/>
      </c>
    </row>
    <row r="1758">
      <c r="A1758" s="7" t="n"/>
      <c r="B1758" s="7" t="n"/>
      <c r="C1758" s="7" t="n"/>
      <c r="D1758" s="8" t="n"/>
      <c r="E1758" s="7" t="n"/>
      <c r="F1758" s="7" t="n"/>
      <c r="G1758" s="7" t="n"/>
      <c r="H1758" s="7" t="n"/>
      <c r="I1758" s="7" t="n"/>
      <c r="J1758" s="7" t="n"/>
      <c r="K1758" s="7" t="n"/>
      <c r="L1758" s="7" t="n"/>
      <c r="M1758" s="7" t="n"/>
      <c r="N1758" s="7" t="n"/>
      <c r="O1758" s="7" t="n"/>
      <c r="P1758" s="7" t="n"/>
      <c r="Q1758" s="7" t="n"/>
      <c r="R1758" s="7" t="n"/>
      <c r="S1758" s="7" t="n"/>
      <c r="T1758" s="7" t="n"/>
      <c r="U1758" s="7" t="n"/>
      <c r="V1758" s="7" t="n"/>
      <c r="W1758" s="7" t="n"/>
      <c r="X1758" s="7" t="n"/>
      <c r="Y1758" s="7" t="n"/>
      <c r="Z1758" s="7" t="n"/>
      <c r="AA1758" s="9">
        <f>IF(A1758="","",A1758&amp;"|"&amp;COUNTIF($A$2:A1758,A1758))</f>
        <v/>
      </c>
    </row>
    <row r="1759">
      <c r="A1759" s="7" t="n"/>
      <c r="B1759" s="7" t="n"/>
      <c r="C1759" s="7" t="n"/>
      <c r="D1759" s="8" t="n"/>
      <c r="E1759" s="7" t="n"/>
      <c r="F1759" s="7" t="n"/>
      <c r="G1759" s="7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  <c r="R1759" s="7" t="n"/>
      <c r="S1759" s="7" t="n"/>
      <c r="T1759" s="7" t="n"/>
      <c r="U1759" s="7" t="n"/>
      <c r="V1759" s="7" t="n"/>
      <c r="W1759" s="7" t="n"/>
      <c r="X1759" s="7" t="n"/>
      <c r="Y1759" s="7" t="n"/>
      <c r="Z1759" s="7" t="n"/>
      <c r="AA1759" s="9">
        <f>IF(A1759="","",A1759&amp;"|"&amp;COUNTIF($A$2:A1759,A1759))</f>
        <v/>
      </c>
    </row>
    <row r="1760">
      <c r="A1760" s="7" t="n"/>
      <c r="B1760" s="7" t="n"/>
      <c r="C1760" s="7" t="n"/>
      <c r="D1760" s="8" t="n"/>
      <c r="E1760" s="7" t="n"/>
      <c r="F1760" s="7" t="n"/>
      <c r="G1760" s="7" t="n"/>
      <c r="H1760" s="7" t="n"/>
      <c r="I1760" s="7" t="n"/>
      <c r="J1760" s="7" t="n"/>
      <c r="K1760" s="7" t="n"/>
      <c r="L1760" s="7" t="n"/>
      <c r="M1760" s="7" t="n"/>
      <c r="N1760" s="7" t="n"/>
      <c r="O1760" s="7" t="n"/>
      <c r="P1760" s="7" t="n"/>
      <c r="Q1760" s="7" t="n"/>
      <c r="R1760" s="7" t="n"/>
      <c r="S1760" s="7" t="n"/>
      <c r="T1760" s="7" t="n"/>
      <c r="U1760" s="7" t="n"/>
      <c r="V1760" s="7" t="n"/>
      <c r="W1760" s="7" t="n"/>
      <c r="X1760" s="7" t="n"/>
      <c r="Y1760" s="7" t="n"/>
      <c r="Z1760" s="7" t="n"/>
      <c r="AA1760" s="9">
        <f>IF(A1760="","",A1760&amp;"|"&amp;COUNTIF($A$2:A1760,A1760))</f>
        <v/>
      </c>
    </row>
    <row r="1761">
      <c r="A1761" s="7" t="n"/>
      <c r="B1761" s="7" t="n"/>
      <c r="C1761" s="7" t="n"/>
      <c r="D1761" s="8" t="n"/>
      <c r="E1761" s="7" t="n"/>
      <c r="F1761" s="7" t="n"/>
      <c r="G1761" s="7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  <c r="R1761" s="7" t="n"/>
      <c r="S1761" s="7" t="n"/>
      <c r="T1761" s="7" t="n"/>
      <c r="U1761" s="7" t="n"/>
      <c r="V1761" s="7" t="n"/>
      <c r="W1761" s="7" t="n"/>
      <c r="X1761" s="7" t="n"/>
      <c r="Y1761" s="7" t="n"/>
      <c r="Z1761" s="7" t="n"/>
      <c r="AA1761" s="9">
        <f>IF(A1761="","",A1761&amp;"|"&amp;COUNTIF($A$2:A1761,A1761))</f>
        <v/>
      </c>
    </row>
    <row r="1762">
      <c r="A1762" s="7" t="n"/>
      <c r="B1762" s="7" t="n"/>
      <c r="C1762" s="7" t="n"/>
      <c r="D1762" s="8" t="n"/>
      <c r="E1762" s="7" t="n"/>
      <c r="F1762" s="7" t="n"/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/>
      <c r="X1762" s="7" t="n"/>
      <c r="Y1762" s="7" t="n"/>
      <c r="Z1762" s="7" t="n"/>
      <c r="AA1762" s="9">
        <f>IF(A1762="","",A1762&amp;"|"&amp;COUNTIF($A$2:A1762,A1762))</f>
        <v/>
      </c>
    </row>
    <row r="1763">
      <c r="A1763" s="7" t="n"/>
      <c r="B1763" s="7" t="n"/>
      <c r="C1763" s="7" t="n"/>
      <c r="D1763" s="8" t="n"/>
      <c r="E1763" s="7" t="n"/>
      <c r="F1763" s="7" t="n"/>
      <c r="G1763" s="7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  <c r="R1763" s="7" t="n"/>
      <c r="S1763" s="7" t="n"/>
      <c r="T1763" s="7" t="n"/>
      <c r="U1763" s="7" t="n"/>
      <c r="V1763" s="7" t="n"/>
      <c r="W1763" s="7" t="n"/>
      <c r="X1763" s="7" t="n"/>
      <c r="Y1763" s="7" t="n"/>
      <c r="Z1763" s="7" t="n"/>
      <c r="AA1763" s="9">
        <f>IF(A1763="","",A1763&amp;"|"&amp;COUNTIF($A$2:A1763,A1763))</f>
        <v/>
      </c>
    </row>
    <row r="1764">
      <c r="A1764" s="7" t="n"/>
      <c r="B1764" s="7" t="n"/>
      <c r="C1764" s="7" t="n"/>
      <c r="D1764" s="8" t="n"/>
      <c r="E1764" s="7" t="n"/>
      <c r="F1764" s="7" t="n"/>
      <c r="G1764" s="7" t="n"/>
      <c r="H1764" s="7" t="n"/>
      <c r="I1764" s="7" t="n"/>
      <c r="J1764" s="7" t="n"/>
      <c r="K1764" s="7" t="n"/>
      <c r="L1764" s="7" t="n"/>
      <c r="M1764" s="7" t="n"/>
      <c r="N1764" s="7" t="n"/>
      <c r="O1764" s="7" t="n"/>
      <c r="P1764" s="7" t="n"/>
      <c r="Q1764" s="7" t="n"/>
      <c r="R1764" s="7" t="n"/>
      <c r="S1764" s="7" t="n"/>
      <c r="T1764" s="7" t="n"/>
      <c r="U1764" s="7" t="n"/>
      <c r="V1764" s="7" t="n"/>
      <c r="W1764" s="7" t="n"/>
      <c r="X1764" s="7" t="n"/>
      <c r="Y1764" s="7" t="n"/>
      <c r="Z1764" s="7" t="n"/>
      <c r="AA1764" s="9">
        <f>IF(A1764="","",A1764&amp;"|"&amp;COUNTIF($A$2:A1764,A1764))</f>
        <v/>
      </c>
    </row>
    <row r="1765">
      <c r="A1765" s="7" t="n"/>
      <c r="B1765" s="7" t="n"/>
      <c r="C1765" s="7" t="n"/>
      <c r="D1765" s="8" t="n"/>
      <c r="E1765" s="7" t="n"/>
      <c r="F1765" s="7" t="n"/>
      <c r="G1765" s="7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  <c r="R1765" s="7" t="n"/>
      <c r="S1765" s="7" t="n"/>
      <c r="T1765" s="7" t="n"/>
      <c r="U1765" s="7" t="n"/>
      <c r="V1765" s="7" t="n"/>
      <c r="W1765" s="7" t="n"/>
      <c r="X1765" s="7" t="n"/>
      <c r="Y1765" s="7" t="n"/>
      <c r="Z1765" s="7" t="n"/>
      <c r="AA1765" s="9">
        <f>IF(A1765="","",A1765&amp;"|"&amp;COUNTIF($A$2:A1765,A1765))</f>
        <v/>
      </c>
    </row>
    <row r="1766">
      <c r="A1766" s="7" t="n"/>
      <c r="B1766" s="7" t="n"/>
      <c r="C1766" s="7" t="n"/>
      <c r="D1766" s="8" t="n"/>
      <c r="E1766" s="7" t="n"/>
      <c r="F1766" s="7" t="n"/>
      <c r="G1766" s="7" t="n"/>
      <c r="H1766" s="7" t="n"/>
      <c r="I1766" s="7" t="n"/>
      <c r="J1766" s="7" t="n"/>
      <c r="K1766" s="7" t="n"/>
      <c r="L1766" s="7" t="n"/>
      <c r="M1766" s="7" t="n"/>
      <c r="N1766" s="7" t="n"/>
      <c r="O1766" s="7" t="n"/>
      <c r="P1766" s="7" t="n"/>
      <c r="Q1766" s="7" t="n"/>
      <c r="R1766" s="7" t="n"/>
      <c r="S1766" s="7" t="n"/>
      <c r="T1766" s="7" t="n"/>
      <c r="U1766" s="7" t="n"/>
      <c r="V1766" s="7" t="n"/>
      <c r="W1766" s="7" t="n"/>
      <c r="X1766" s="7" t="n"/>
      <c r="Y1766" s="7" t="n"/>
      <c r="Z1766" s="7" t="n"/>
      <c r="AA1766" s="9">
        <f>IF(A1766="","",A1766&amp;"|"&amp;COUNTIF($A$2:A1766,A1766))</f>
        <v/>
      </c>
    </row>
    <row r="1767">
      <c r="A1767" s="7" t="n"/>
      <c r="B1767" s="7" t="n"/>
      <c r="C1767" s="7" t="n"/>
      <c r="D1767" s="8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/>
      <c r="X1767" s="7" t="n"/>
      <c r="Y1767" s="7" t="n"/>
      <c r="Z1767" s="7" t="n"/>
      <c r="AA1767" s="9">
        <f>IF(A1767="","",A1767&amp;"|"&amp;COUNTIF($A$2:A1767,A1767))</f>
        <v/>
      </c>
    </row>
    <row r="1768">
      <c r="A1768" s="7" t="n"/>
      <c r="B1768" s="7" t="n"/>
      <c r="C1768" s="7" t="n"/>
      <c r="D1768" s="8" t="n"/>
      <c r="E1768" s="7" t="n"/>
      <c r="F1768" s="7" t="n"/>
      <c r="G1768" s="7" t="n"/>
      <c r="H1768" s="7" t="n"/>
      <c r="I1768" s="7" t="n"/>
      <c r="J1768" s="7" t="n"/>
      <c r="K1768" s="7" t="n"/>
      <c r="L1768" s="7" t="n"/>
      <c r="M1768" s="7" t="n"/>
      <c r="N1768" s="7" t="n"/>
      <c r="O1768" s="7" t="n"/>
      <c r="P1768" s="7" t="n"/>
      <c r="Q1768" s="7" t="n"/>
      <c r="R1768" s="7" t="n"/>
      <c r="S1768" s="7" t="n"/>
      <c r="T1768" s="7" t="n"/>
      <c r="U1768" s="7" t="n"/>
      <c r="V1768" s="7" t="n"/>
      <c r="W1768" s="7" t="n"/>
      <c r="X1768" s="7" t="n"/>
      <c r="Y1768" s="7" t="n"/>
      <c r="Z1768" s="7" t="n"/>
      <c r="AA1768" s="9">
        <f>IF(A1768="","",A1768&amp;"|"&amp;COUNTIF($A$2:A1768,A1768))</f>
        <v/>
      </c>
    </row>
    <row r="1769">
      <c r="A1769" s="7" t="n"/>
      <c r="B1769" s="7" t="n"/>
      <c r="C1769" s="7" t="n"/>
      <c r="D1769" s="8" t="n"/>
      <c r="E1769" s="7" t="n"/>
      <c r="F1769" s="7" t="n"/>
      <c r="G1769" s="7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  <c r="R1769" s="7" t="n"/>
      <c r="S1769" s="7" t="n"/>
      <c r="T1769" s="7" t="n"/>
      <c r="U1769" s="7" t="n"/>
      <c r="V1769" s="7" t="n"/>
      <c r="W1769" s="7" t="n"/>
      <c r="X1769" s="7" t="n"/>
      <c r="Y1769" s="7" t="n"/>
      <c r="Z1769" s="7" t="n"/>
      <c r="AA1769" s="9">
        <f>IF(A1769="","",A1769&amp;"|"&amp;COUNTIF($A$2:A1769,A1769))</f>
        <v/>
      </c>
    </row>
    <row r="1770">
      <c r="A1770" s="7" t="n"/>
      <c r="B1770" s="7" t="n"/>
      <c r="C1770" s="7" t="n"/>
      <c r="D1770" s="8" t="n"/>
      <c r="E1770" s="7" t="n"/>
      <c r="F1770" s="7" t="n"/>
      <c r="G1770" s="7" t="n"/>
      <c r="H1770" s="7" t="n"/>
      <c r="I1770" s="7" t="n"/>
      <c r="J1770" s="7" t="n"/>
      <c r="K1770" s="7" t="n"/>
      <c r="L1770" s="7" t="n"/>
      <c r="M1770" s="7" t="n"/>
      <c r="N1770" s="7" t="n"/>
      <c r="O1770" s="7" t="n"/>
      <c r="P1770" s="7" t="n"/>
      <c r="Q1770" s="7" t="n"/>
      <c r="R1770" s="7" t="n"/>
      <c r="S1770" s="7" t="n"/>
      <c r="T1770" s="7" t="n"/>
      <c r="U1770" s="7" t="n"/>
      <c r="V1770" s="7" t="n"/>
      <c r="W1770" s="7" t="n"/>
      <c r="X1770" s="7" t="n"/>
      <c r="Y1770" s="7" t="n"/>
      <c r="Z1770" s="7" t="n"/>
      <c r="AA1770" s="9">
        <f>IF(A1770="","",A1770&amp;"|"&amp;COUNTIF($A$2:A1770,A1770))</f>
        <v/>
      </c>
    </row>
    <row r="1771">
      <c r="A1771" s="7" t="n"/>
      <c r="B1771" s="7" t="n"/>
      <c r="C1771" s="7" t="n"/>
      <c r="D1771" s="8" t="n"/>
      <c r="E1771" s="7" t="n"/>
      <c r="F1771" s="7" t="n"/>
      <c r="G1771" s="7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  <c r="R1771" s="7" t="n"/>
      <c r="S1771" s="7" t="n"/>
      <c r="T1771" s="7" t="n"/>
      <c r="U1771" s="7" t="n"/>
      <c r="V1771" s="7" t="n"/>
      <c r="W1771" s="7" t="n"/>
      <c r="X1771" s="7" t="n"/>
      <c r="Y1771" s="7" t="n"/>
      <c r="Z1771" s="7" t="n"/>
      <c r="AA1771" s="9">
        <f>IF(A1771="","",A1771&amp;"|"&amp;COUNTIF($A$2:A1771,A1771))</f>
        <v/>
      </c>
    </row>
    <row r="1772">
      <c r="A1772" s="7" t="n"/>
      <c r="B1772" s="7" t="n"/>
      <c r="C1772" s="7" t="n"/>
      <c r="D1772" s="8" t="n"/>
      <c r="E1772" s="7" t="n"/>
      <c r="F1772" s="7" t="n"/>
      <c r="G1772" s="7" t="n"/>
      <c r="H1772" s="7" t="n"/>
      <c r="I1772" s="7" t="n"/>
      <c r="J1772" s="7" t="n"/>
      <c r="K1772" s="7" t="n"/>
      <c r="L1772" s="7" t="n"/>
      <c r="M1772" s="7" t="n"/>
      <c r="N1772" s="7" t="n"/>
      <c r="O1772" s="7" t="n"/>
      <c r="P1772" s="7" t="n"/>
      <c r="Q1772" s="7" t="n"/>
      <c r="R1772" s="7" t="n"/>
      <c r="S1772" s="7" t="n"/>
      <c r="T1772" s="7" t="n"/>
      <c r="U1772" s="7" t="n"/>
      <c r="V1772" s="7" t="n"/>
      <c r="W1772" s="7" t="n"/>
      <c r="X1772" s="7" t="n"/>
      <c r="Y1772" s="7" t="n"/>
      <c r="Z1772" s="7" t="n"/>
      <c r="AA1772" s="9">
        <f>IF(A1772="","",A1772&amp;"|"&amp;COUNTIF($A$2:A1772,A1772))</f>
        <v/>
      </c>
    </row>
    <row r="1773">
      <c r="A1773" s="7" t="n"/>
      <c r="B1773" s="7" t="n"/>
      <c r="C1773" s="7" t="n"/>
      <c r="D1773" s="8" t="n"/>
      <c r="E1773" s="7" t="n"/>
      <c r="F1773" s="7" t="n"/>
      <c r="G1773" s="7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  <c r="R1773" s="7" t="n"/>
      <c r="S1773" s="7" t="n"/>
      <c r="T1773" s="7" t="n"/>
      <c r="U1773" s="7" t="n"/>
      <c r="V1773" s="7" t="n"/>
      <c r="W1773" s="7" t="n"/>
      <c r="X1773" s="7" t="n"/>
      <c r="Y1773" s="7" t="n"/>
      <c r="Z1773" s="7" t="n"/>
      <c r="AA1773" s="9">
        <f>IF(A1773="","",A1773&amp;"|"&amp;COUNTIF($A$2:A1773,A1773))</f>
        <v/>
      </c>
    </row>
    <row r="1774">
      <c r="A1774" s="7" t="n"/>
      <c r="B1774" s="7" t="n"/>
      <c r="C1774" s="7" t="n"/>
      <c r="D1774" s="8" t="n"/>
      <c r="E1774" s="7" t="n"/>
      <c r="F1774" s="7" t="n"/>
      <c r="G1774" s="7" t="n"/>
      <c r="H1774" s="7" t="n"/>
      <c r="I1774" s="7" t="n"/>
      <c r="J1774" s="7" t="n"/>
      <c r="K1774" s="7" t="n"/>
      <c r="L1774" s="7" t="n"/>
      <c r="M1774" s="7" t="n"/>
      <c r="N1774" s="7" t="n"/>
      <c r="O1774" s="7" t="n"/>
      <c r="P1774" s="7" t="n"/>
      <c r="Q1774" s="7" t="n"/>
      <c r="R1774" s="7" t="n"/>
      <c r="S1774" s="7" t="n"/>
      <c r="T1774" s="7" t="n"/>
      <c r="U1774" s="7" t="n"/>
      <c r="V1774" s="7" t="n"/>
      <c r="W1774" s="7" t="n"/>
      <c r="X1774" s="7" t="n"/>
      <c r="Y1774" s="7" t="n"/>
      <c r="Z1774" s="7" t="n"/>
      <c r="AA1774" s="9">
        <f>IF(A1774="","",A1774&amp;"|"&amp;COUNTIF($A$2:A1774,A1774))</f>
        <v/>
      </c>
    </row>
    <row r="1775">
      <c r="A1775" s="7" t="n"/>
      <c r="B1775" s="7" t="n"/>
      <c r="C1775" s="7" t="n"/>
      <c r="D1775" s="8" t="n"/>
      <c r="E1775" s="7" t="n"/>
      <c r="F1775" s="7" t="n"/>
      <c r="G1775" s="7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  <c r="R1775" s="7" t="n"/>
      <c r="S1775" s="7" t="n"/>
      <c r="T1775" s="7" t="n"/>
      <c r="U1775" s="7" t="n"/>
      <c r="V1775" s="7" t="n"/>
      <c r="W1775" s="7" t="n"/>
      <c r="X1775" s="7" t="n"/>
      <c r="Y1775" s="7" t="n"/>
      <c r="Z1775" s="7" t="n"/>
      <c r="AA1775" s="9">
        <f>IF(A1775="","",A1775&amp;"|"&amp;COUNTIF($A$2:A1775,A1775))</f>
        <v/>
      </c>
    </row>
    <row r="1776">
      <c r="A1776" s="7" t="n"/>
      <c r="B1776" s="7" t="n"/>
      <c r="C1776" s="7" t="n"/>
      <c r="D1776" s="8" t="n"/>
      <c r="E1776" s="7" t="n"/>
      <c r="F1776" s="7" t="n"/>
      <c r="G1776" s="7" t="n"/>
      <c r="H1776" s="7" t="n"/>
      <c r="I1776" s="7" t="n"/>
      <c r="J1776" s="7" t="n"/>
      <c r="K1776" s="7" t="n"/>
      <c r="L1776" s="7" t="n"/>
      <c r="M1776" s="7" t="n"/>
      <c r="N1776" s="7" t="n"/>
      <c r="O1776" s="7" t="n"/>
      <c r="P1776" s="7" t="n"/>
      <c r="Q1776" s="7" t="n"/>
      <c r="R1776" s="7" t="n"/>
      <c r="S1776" s="7" t="n"/>
      <c r="T1776" s="7" t="n"/>
      <c r="U1776" s="7" t="n"/>
      <c r="V1776" s="7" t="n"/>
      <c r="W1776" s="7" t="n"/>
      <c r="X1776" s="7" t="n"/>
      <c r="Y1776" s="7" t="n"/>
      <c r="Z1776" s="7" t="n"/>
      <c r="AA1776" s="9">
        <f>IF(A1776="","",A1776&amp;"|"&amp;COUNTIF($A$2:A1776,A1776))</f>
        <v/>
      </c>
    </row>
    <row r="1777">
      <c r="A1777" s="7" t="n"/>
      <c r="B1777" s="7" t="n"/>
      <c r="C1777" s="7" t="n"/>
      <c r="D1777" s="8" t="n"/>
      <c r="E1777" s="7" t="n"/>
      <c r="F1777" s="7" t="n"/>
      <c r="G1777" s="7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  <c r="R1777" s="7" t="n"/>
      <c r="S1777" s="7" t="n"/>
      <c r="T1777" s="7" t="n"/>
      <c r="U1777" s="7" t="n"/>
      <c r="V1777" s="7" t="n"/>
      <c r="W1777" s="7" t="n"/>
      <c r="X1777" s="7" t="n"/>
      <c r="Y1777" s="7" t="n"/>
      <c r="Z1777" s="7" t="n"/>
      <c r="AA1777" s="9">
        <f>IF(A1777="","",A1777&amp;"|"&amp;COUNTIF($A$2:A1777,A1777))</f>
        <v/>
      </c>
    </row>
    <row r="1778">
      <c r="A1778" s="7" t="n"/>
      <c r="B1778" s="7" t="n"/>
      <c r="C1778" s="7" t="n"/>
      <c r="D1778" s="8" t="n"/>
      <c r="E1778" s="7" t="n"/>
      <c r="F1778" s="7" t="n"/>
      <c r="G1778" s="7" t="n"/>
      <c r="H1778" s="7" t="n"/>
      <c r="I1778" s="7" t="n"/>
      <c r="J1778" s="7" t="n"/>
      <c r="K1778" s="7" t="n"/>
      <c r="L1778" s="7" t="n"/>
      <c r="M1778" s="7" t="n"/>
      <c r="N1778" s="7" t="n"/>
      <c r="O1778" s="7" t="n"/>
      <c r="P1778" s="7" t="n"/>
      <c r="Q1778" s="7" t="n"/>
      <c r="R1778" s="7" t="n"/>
      <c r="S1778" s="7" t="n"/>
      <c r="T1778" s="7" t="n"/>
      <c r="U1778" s="7" t="n"/>
      <c r="V1778" s="7" t="n"/>
      <c r="W1778" s="7" t="n"/>
      <c r="X1778" s="7" t="n"/>
      <c r="Y1778" s="7" t="n"/>
      <c r="Z1778" s="7" t="n"/>
      <c r="AA1778" s="9">
        <f>IF(A1778="","",A1778&amp;"|"&amp;COUNTIF($A$2:A1778,A1778))</f>
        <v/>
      </c>
    </row>
    <row r="1779">
      <c r="A1779" s="7" t="n"/>
      <c r="B1779" s="7" t="n"/>
      <c r="C1779" s="7" t="n"/>
      <c r="D1779" s="8" t="n"/>
      <c r="E1779" s="7" t="n"/>
      <c r="F1779" s="7" t="n"/>
      <c r="G1779" s="7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  <c r="R1779" s="7" t="n"/>
      <c r="S1779" s="7" t="n"/>
      <c r="T1779" s="7" t="n"/>
      <c r="U1779" s="7" t="n"/>
      <c r="V1779" s="7" t="n"/>
      <c r="W1779" s="7" t="n"/>
      <c r="X1779" s="7" t="n"/>
      <c r="Y1779" s="7" t="n"/>
      <c r="Z1779" s="7" t="n"/>
      <c r="AA1779" s="9">
        <f>IF(A1779="","",A1779&amp;"|"&amp;COUNTIF($A$2:A1779,A1779))</f>
        <v/>
      </c>
    </row>
    <row r="1780">
      <c r="A1780" s="7" t="n"/>
      <c r="B1780" s="7" t="n"/>
      <c r="C1780" s="7" t="n"/>
      <c r="D1780" s="8" t="n"/>
      <c r="E1780" s="7" t="n"/>
      <c r="F1780" s="7" t="n"/>
      <c r="G1780" s="7" t="n"/>
      <c r="H1780" s="7" t="n"/>
      <c r="I1780" s="7" t="n"/>
      <c r="J1780" s="7" t="n"/>
      <c r="K1780" s="7" t="n"/>
      <c r="L1780" s="7" t="n"/>
      <c r="M1780" s="7" t="n"/>
      <c r="N1780" s="7" t="n"/>
      <c r="O1780" s="7" t="n"/>
      <c r="P1780" s="7" t="n"/>
      <c r="Q1780" s="7" t="n"/>
      <c r="R1780" s="7" t="n"/>
      <c r="S1780" s="7" t="n"/>
      <c r="T1780" s="7" t="n"/>
      <c r="U1780" s="7" t="n"/>
      <c r="V1780" s="7" t="n"/>
      <c r="W1780" s="7" t="n"/>
      <c r="X1780" s="7" t="n"/>
      <c r="Y1780" s="7" t="n"/>
      <c r="Z1780" s="7" t="n"/>
      <c r="AA1780" s="9">
        <f>IF(A1780="","",A1780&amp;"|"&amp;COUNTIF($A$2:A1780,A1780))</f>
        <v/>
      </c>
    </row>
    <row r="1781">
      <c r="A1781" s="7" t="n"/>
      <c r="B1781" s="7" t="n"/>
      <c r="C1781" s="7" t="n"/>
      <c r="D1781" s="8" t="n"/>
      <c r="E1781" s="7" t="n"/>
      <c r="F1781" s="7" t="n"/>
      <c r="G1781" s="7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  <c r="R1781" s="7" t="n"/>
      <c r="S1781" s="7" t="n"/>
      <c r="T1781" s="7" t="n"/>
      <c r="U1781" s="7" t="n"/>
      <c r="V1781" s="7" t="n"/>
      <c r="W1781" s="7" t="n"/>
      <c r="X1781" s="7" t="n"/>
      <c r="Y1781" s="7" t="n"/>
      <c r="Z1781" s="7" t="n"/>
      <c r="AA1781" s="9">
        <f>IF(A1781="","",A1781&amp;"|"&amp;COUNTIF($A$2:A1781,A1781))</f>
        <v/>
      </c>
    </row>
    <row r="1782">
      <c r="A1782" s="7" t="n"/>
      <c r="B1782" s="7" t="n"/>
      <c r="C1782" s="7" t="n"/>
      <c r="D1782" s="8" t="n"/>
      <c r="E1782" s="7" t="n"/>
      <c r="F1782" s="7" t="n"/>
      <c r="G1782" s="7" t="n"/>
      <c r="H1782" s="7" t="n"/>
      <c r="I1782" s="7" t="n"/>
      <c r="J1782" s="7" t="n"/>
      <c r="K1782" s="7" t="n"/>
      <c r="L1782" s="7" t="n"/>
      <c r="M1782" s="7" t="n"/>
      <c r="N1782" s="7" t="n"/>
      <c r="O1782" s="7" t="n"/>
      <c r="P1782" s="7" t="n"/>
      <c r="Q1782" s="7" t="n"/>
      <c r="R1782" s="7" t="n"/>
      <c r="S1782" s="7" t="n"/>
      <c r="T1782" s="7" t="n"/>
      <c r="U1782" s="7" t="n"/>
      <c r="V1782" s="7" t="n"/>
      <c r="W1782" s="7" t="n"/>
      <c r="X1782" s="7" t="n"/>
      <c r="Y1782" s="7" t="n"/>
      <c r="Z1782" s="7" t="n"/>
      <c r="AA1782" s="9">
        <f>IF(A1782="","",A1782&amp;"|"&amp;COUNTIF($A$2:A1782,A1782))</f>
        <v/>
      </c>
    </row>
    <row r="1783">
      <c r="A1783" s="7" t="n"/>
      <c r="B1783" s="7" t="n"/>
      <c r="C1783" s="7" t="n"/>
      <c r="D1783" s="8" t="n"/>
      <c r="E1783" s="7" t="n"/>
      <c r="F1783" s="7" t="n"/>
      <c r="G1783" s="7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  <c r="R1783" s="7" t="n"/>
      <c r="S1783" s="7" t="n"/>
      <c r="T1783" s="7" t="n"/>
      <c r="U1783" s="7" t="n"/>
      <c r="V1783" s="7" t="n"/>
      <c r="W1783" s="7" t="n"/>
      <c r="X1783" s="7" t="n"/>
      <c r="Y1783" s="7" t="n"/>
      <c r="Z1783" s="7" t="n"/>
      <c r="AA1783" s="9">
        <f>IF(A1783="","",A1783&amp;"|"&amp;COUNTIF($A$2:A1783,A1783))</f>
        <v/>
      </c>
    </row>
    <row r="1784">
      <c r="A1784" s="7" t="n"/>
      <c r="B1784" s="7" t="n"/>
      <c r="C1784" s="7" t="n"/>
      <c r="D1784" s="8" t="n"/>
      <c r="E1784" s="7" t="n"/>
      <c r="F1784" s="7" t="n"/>
      <c r="G1784" s="7" t="n"/>
      <c r="H1784" s="7" t="n"/>
      <c r="I1784" s="7" t="n"/>
      <c r="J1784" s="7" t="n"/>
      <c r="K1784" s="7" t="n"/>
      <c r="L1784" s="7" t="n"/>
      <c r="M1784" s="7" t="n"/>
      <c r="N1784" s="7" t="n"/>
      <c r="O1784" s="7" t="n"/>
      <c r="P1784" s="7" t="n"/>
      <c r="Q1784" s="7" t="n"/>
      <c r="R1784" s="7" t="n"/>
      <c r="S1784" s="7" t="n"/>
      <c r="T1784" s="7" t="n"/>
      <c r="U1784" s="7" t="n"/>
      <c r="V1784" s="7" t="n"/>
      <c r="W1784" s="7" t="n"/>
      <c r="X1784" s="7" t="n"/>
      <c r="Y1784" s="7" t="n"/>
      <c r="Z1784" s="7" t="n"/>
      <c r="AA1784" s="9">
        <f>IF(A1784="","",A1784&amp;"|"&amp;COUNTIF($A$2:A1784,A1784))</f>
        <v/>
      </c>
    </row>
    <row r="1785">
      <c r="A1785" s="7" t="n"/>
      <c r="B1785" s="7" t="n"/>
      <c r="C1785" s="7" t="n"/>
      <c r="D1785" s="8" t="n"/>
      <c r="E1785" s="7" t="n"/>
      <c r="F1785" s="7" t="n"/>
      <c r="G1785" s="7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  <c r="R1785" s="7" t="n"/>
      <c r="S1785" s="7" t="n"/>
      <c r="T1785" s="7" t="n"/>
      <c r="U1785" s="7" t="n"/>
      <c r="V1785" s="7" t="n"/>
      <c r="W1785" s="7" t="n"/>
      <c r="X1785" s="7" t="n"/>
      <c r="Y1785" s="7" t="n"/>
      <c r="Z1785" s="7" t="n"/>
      <c r="AA1785" s="9">
        <f>IF(A1785="","",A1785&amp;"|"&amp;COUNTIF($A$2:A1785,A1785))</f>
        <v/>
      </c>
    </row>
    <row r="1786">
      <c r="A1786" s="7" t="n"/>
      <c r="B1786" s="7" t="n"/>
      <c r="C1786" s="7" t="n"/>
      <c r="D1786" s="8" t="n"/>
      <c r="E1786" s="7" t="n"/>
      <c r="F1786" s="7" t="n"/>
      <c r="G1786" s="7" t="n"/>
      <c r="H1786" s="7" t="n"/>
      <c r="I1786" s="7" t="n"/>
      <c r="J1786" s="7" t="n"/>
      <c r="K1786" s="7" t="n"/>
      <c r="L1786" s="7" t="n"/>
      <c r="M1786" s="7" t="n"/>
      <c r="N1786" s="7" t="n"/>
      <c r="O1786" s="7" t="n"/>
      <c r="P1786" s="7" t="n"/>
      <c r="Q1786" s="7" t="n"/>
      <c r="R1786" s="7" t="n"/>
      <c r="S1786" s="7" t="n"/>
      <c r="T1786" s="7" t="n"/>
      <c r="U1786" s="7" t="n"/>
      <c r="V1786" s="7" t="n"/>
      <c r="W1786" s="7" t="n"/>
      <c r="X1786" s="7" t="n"/>
      <c r="Y1786" s="7" t="n"/>
      <c r="Z1786" s="7" t="n"/>
      <c r="AA1786" s="9">
        <f>IF(A1786="","",A1786&amp;"|"&amp;COUNTIF($A$2:A1786,A1786))</f>
        <v/>
      </c>
    </row>
    <row r="1787">
      <c r="A1787" s="7" t="n"/>
      <c r="B1787" s="7" t="n"/>
      <c r="C1787" s="7" t="n"/>
      <c r="D1787" s="8" t="n"/>
      <c r="E1787" s="7" t="n"/>
      <c r="F1787" s="7" t="n"/>
      <c r="G1787" s="7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  <c r="R1787" s="7" t="n"/>
      <c r="S1787" s="7" t="n"/>
      <c r="T1787" s="7" t="n"/>
      <c r="U1787" s="7" t="n"/>
      <c r="V1787" s="7" t="n"/>
      <c r="W1787" s="7" t="n"/>
      <c r="X1787" s="7" t="n"/>
      <c r="Y1787" s="7" t="n"/>
      <c r="Z1787" s="7" t="n"/>
      <c r="AA1787" s="9">
        <f>IF(A1787="","",A1787&amp;"|"&amp;COUNTIF($A$2:A1787,A1787))</f>
        <v/>
      </c>
    </row>
    <row r="1788">
      <c r="A1788" s="7" t="n"/>
      <c r="B1788" s="7" t="n"/>
      <c r="C1788" s="7" t="n"/>
      <c r="D1788" s="8" t="n"/>
      <c r="E1788" s="7" t="n"/>
      <c r="F1788" s="7" t="n"/>
      <c r="G1788" s="7" t="n"/>
      <c r="H1788" s="7" t="n"/>
      <c r="I1788" s="7" t="n"/>
      <c r="J1788" s="7" t="n"/>
      <c r="K1788" s="7" t="n"/>
      <c r="L1788" s="7" t="n"/>
      <c r="M1788" s="7" t="n"/>
      <c r="N1788" s="7" t="n"/>
      <c r="O1788" s="7" t="n"/>
      <c r="P1788" s="7" t="n"/>
      <c r="Q1788" s="7" t="n"/>
      <c r="R1788" s="7" t="n"/>
      <c r="S1788" s="7" t="n"/>
      <c r="T1788" s="7" t="n"/>
      <c r="U1788" s="7" t="n"/>
      <c r="V1788" s="7" t="n"/>
      <c r="W1788" s="7" t="n"/>
      <c r="X1788" s="7" t="n"/>
      <c r="Y1788" s="7" t="n"/>
      <c r="Z1788" s="7" t="n"/>
      <c r="AA1788" s="9">
        <f>IF(A1788="","",A1788&amp;"|"&amp;COUNTIF($A$2:A1788,A1788))</f>
        <v/>
      </c>
    </row>
    <row r="1789">
      <c r="A1789" s="7" t="n"/>
      <c r="B1789" s="7" t="n"/>
      <c r="C1789" s="7" t="n"/>
      <c r="D1789" s="8" t="n"/>
      <c r="E1789" s="7" t="n"/>
      <c r="F1789" s="7" t="n"/>
      <c r="G1789" s="7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  <c r="R1789" s="7" t="n"/>
      <c r="S1789" s="7" t="n"/>
      <c r="T1789" s="7" t="n"/>
      <c r="U1789" s="7" t="n"/>
      <c r="V1789" s="7" t="n"/>
      <c r="W1789" s="7" t="n"/>
      <c r="X1789" s="7" t="n"/>
      <c r="Y1789" s="7" t="n"/>
      <c r="Z1789" s="7" t="n"/>
      <c r="AA1789" s="9">
        <f>IF(A1789="","",A1789&amp;"|"&amp;COUNTIF($A$2:A1789,A1789))</f>
        <v/>
      </c>
    </row>
    <row r="1790">
      <c r="A1790" s="7" t="n"/>
      <c r="B1790" s="7" t="n"/>
      <c r="C1790" s="7" t="n"/>
      <c r="D1790" s="8" t="n"/>
      <c r="E1790" s="7" t="n"/>
      <c r="F1790" s="7" t="n"/>
      <c r="G1790" s="7" t="n"/>
      <c r="H1790" s="7" t="n"/>
      <c r="I1790" s="7" t="n"/>
      <c r="J1790" s="7" t="n"/>
      <c r="K1790" s="7" t="n"/>
      <c r="L1790" s="7" t="n"/>
      <c r="M1790" s="7" t="n"/>
      <c r="N1790" s="7" t="n"/>
      <c r="O1790" s="7" t="n"/>
      <c r="P1790" s="7" t="n"/>
      <c r="Q1790" s="7" t="n"/>
      <c r="R1790" s="7" t="n"/>
      <c r="S1790" s="7" t="n"/>
      <c r="T1790" s="7" t="n"/>
      <c r="U1790" s="7" t="n"/>
      <c r="V1790" s="7" t="n"/>
      <c r="W1790" s="7" t="n"/>
      <c r="X1790" s="7" t="n"/>
      <c r="Y1790" s="7" t="n"/>
      <c r="Z1790" s="7" t="n"/>
      <c r="AA1790" s="9">
        <f>IF(A1790="","",A1790&amp;"|"&amp;COUNTIF($A$2:A1790,A1790))</f>
        <v/>
      </c>
    </row>
    <row r="1791">
      <c r="A1791" s="7" t="n"/>
      <c r="B1791" s="7" t="n"/>
      <c r="C1791" s="7" t="n"/>
      <c r="D1791" s="8" t="n"/>
      <c r="E1791" s="7" t="n"/>
      <c r="F1791" s="7" t="n"/>
      <c r="G1791" s="7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  <c r="R1791" s="7" t="n"/>
      <c r="S1791" s="7" t="n"/>
      <c r="T1791" s="7" t="n"/>
      <c r="U1791" s="7" t="n"/>
      <c r="V1791" s="7" t="n"/>
      <c r="W1791" s="7" t="n"/>
      <c r="X1791" s="7" t="n"/>
      <c r="Y1791" s="7" t="n"/>
      <c r="Z1791" s="7" t="n"/>
      <c r="AA1791" s="9">
        <f>IF(A1791="","",A1791&amp;"|"&amp;COUNTIF($A$2:A1791,A1791))</f>
        <v/>
      </c>
    </row>
    <row r="1792">
      <c r="A1792" s="7" t="n"/>
      <c r="B1792" s="7" t="n"/>
      <c r="C1792" s="7" t="n"/>
      <c r="D1792" s="8" t="n"/>
      <c r="E1792" s="7" t="n"/>
      <c r="F1792" s="7" t="n"/>
      <c r="G1792" s="7" t="n"/>
      <c r="H1792" s="7" t="n"/>
      <c r="I1792" s="7" t="n"/>
      <c r="J1792" s="7" t="n"/>
      <c r="K1792" s="7" t="n"/>
      <c r="L1792" s="7" t="n"/>
      <c r="M1792" s="7" t="n"/>
      <c r="N1792" s="7" t="n"/>
      <c r="O1792" s="7" t="n"/>
      <c r="P1792" s="7" t="n"/>
      <c r="Q1792" s="7" t="n"/>
      <c r="R1792" s="7" t="n"/>
      <c r="S1792" s="7" t="n"/>
      <c r="T1792" s="7" t="n"/>
      <c r="U1792" s="7" t="n"/>
      <c r="V1792" s="7" t="n"/>
      <c r="W1792" s="7" t="n"/>
      <c r="X1792" s="7" t="n"/>
      <c r="Y1792" s="7" t="n"/>
      <c r="Z1792" s="7" t="n"/>
      <c r="AA1792" s="9">
        <f>IF(A1792="","",A1792&amp;"|"&amp;COUNTIF($A$2:A1792,A1792))</f>
        <v/>
      </c>
    </row>
    <row r="1793">
      <c r="A1793" s="7" t="n"/>
      <c r="B1793" s="7" t="n"/>
      <c r="C1793" s="7" t="n"/>
      <c r="D1793" s="8" t="n"/>
      <c r="E1793" s="7" t="n"/>
      <c r="F1793" s="7" t="n"/>
      <c r="G1793" s="7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  <c r="R1793" s="7" t="n"/>
      <c r="S1793" s="7" t="n"/>
      <c r="T1793" s="7" t="n"/>
      <c r="U1793" s="7" t="n"/>
      <c r="V1793" s="7" t="n"/>
      <c r="W1793" s="7" t="n"/>
      <c r="X1793" s="7" t="n"/>
      <c r="Y1793" s="7" t="n"/>
      <c r="Z1793" s="7" t="n"/>
      <c r="AA1793" s="9">
        <f>IF(A1793="","",A1793&amp;"|"&amp;COUNTIF($A$2:A1793,A1793))</f>
        <v/>
      </c>
    </row>
    <row r="1794">
      <c r="A1794" s="7" t="n"/>
      <c r="B1794" s="7" t="n"/>
      <c r="C1794" s="7" t="n"/>
      <c r="D1794" s="8" t="n"/>
      <c r="E1794" s="7" t="n"/>
      <c r="F1794" s="7" t="n"/>
      <c r="G1794" s="7" t="n"/>
      <c r="H1794" s="7" t="n"/>
      <c r="I1794" s="7" t="n"/>
      <c r="J1794" s="7" t="n"/>
      <c r="K1794" s="7" t="n"/>
      <c r="L1794" s="7" t="n"/>
      <c r="M1794" s="7" t="n"/>
      <c r="N1794" s="7" t="n"/>
      <c r="O1794" s="7" t="n"/>
      <c r="P1794" s="7" t="n"/>
      <c r="Q1794" s="7" t="n"/>
      <c r="R1794" s="7" t="n"/>
      <c r="S1794" s="7" t="n"/>
      <c r="T1794" s="7" t="n"/>
      <c r="U1794" s="7" t="n"/>
      <c r="V1794" s="7" t="n"/>
      <c r="W1794" s="7" t="n"/>
      <c r="X1794" s="7" t="n"/>
      <c r="Y1794" s="7" t="n"/>
      <c r="Z1794" s="7" t="n"/>
      <c r="AA1794" s="9">
        <f>IF(A1794="","",A1794&amp;"|"&amp;COUNTIF($A$2:A1794,A1794))</f>
        <v/>
      </c>
    </row>
    <row r="1795">
      <c r="A1795" s="7" t="n"/>
      <c r="B1795" s="7" t="n"/>
      <c r="C1795" s="7" t="n"/>
      <c r="D1795" s="8" t="n"/>
      <c r="E1795" s="7" t="n"/>
      <c r="F1795" s="7" t="n"/>
      <c r="G1795" s="7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  <c r="R1795" s="7" t="n"/>
      <c r="S1795" s="7" t="n"/>
      <c r="T1795" s="7" t="n"/>
      <c r="U1795" s="7" t="n"/>
      <c r="V1795" s="7" t="n"/>
      <c r="W1795" s="7" t="n"/>
      <c r="X1795" s="7" t="n"/>
      <c r="Y1795" s="7" t="n"/>
      <c r="Z1795" s="7" t="n"/>
      <c r="AA1795" s="9">
        <f>IF(A1795="","",A1795&amp;"|"&amp;COUNTIF($A$2:A1795,A1795))</f>
        <v/>
      </c>
    </row>
    <row r="1796">
      <c r="A1796" s="7" t="n"/>
      <c r="B1796" s="7" t="n"/>
      <c r="C1796" s="7" t="n"/>
      <c r="D1796" s="8" t="n"/>
      <c r="E1796" s="7" t="n"/>
      <c r="F1796" s="7" t="n"/>
      <c r="G1796" s="7" t="n"/>
      <c r="H1796" s="7" t="n"/>
      <c r="I1796" s="7" t="n"/>
      <c r="J1796" s="7" t="n"/>
      <c r="K1796" s="7" t="n"/>
      <c r="L1796" s="7" t="n"/>
      <c r="M1796" s="7" t="n"/>
      <c r="N1796" s="7" t="n"/>
      <c r="O1796" s="7" t="n"/>
      <c r="P1796" s="7" t="n"/>
      <c r="Q1796" s="7" t="n"/>
      <c r="R1796" s="7" t="n"/>
      <c r="S1796" s="7" t="n"/>
      <c r="T1796" s="7" t="n"/>
      <c r="U1796" s="7" t="n"/>
      <c r="V1796" s="7" t="n"/>
      <c r="W1796" s="7" t="n"/>
      <c r="X1796" s="7" t="n"/>
      <c r="Y1796" s="7" t="n"/>
      <c r="Z1796" s="7" t="n"/>
      <c r="AA1796" s="9">
        <f>IF(A1796="","",A1796&amp;"|"&amp;COUNTIF($A$2:A1796,A1796))</f>
        <v/>
      </c>
    </row>
    <row r="1797">
      <c r="A1797" s="7" t="n"/>
      <c r="B1797" s="7" t="n"/>
      <c r="C1797" s="7" t="n"/>
      <c r="D1797" s="8" t="n"/>
      <c r="E1797" s="7" t="n"/>
      <c r="F1797" s="7" t="n"/>
      <c r="G1797" s="7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  <c r="R1797" s="7" t="n"/>
      <c r="S1797" s="7" t="n"/>
      <c r="T1797" s="7" t="n"/>
      <c r="U1797" s="7" t="n"/>
      <c r="V1797" s="7" t="n"/>
      <c r="W1797" s="7" t="n"/>
      <c r="X1797" s="7" t="n"/>
      <c r="Y1797" s="7" t="n"/>
      <c r="Z1797" s="7" t="n"/>
      <c r="AA1797" s="9">
        <f>IF(A1797="","",A1797&amp;"|"&amp;COUNTIF($A$2:A1797,A1797))</f>
        <v/>
      </c>
    </row>
    <row r="1798">
      <c r="A1798" s="7" t="n"/>
      <c r="B1798" s="7" t="n"/>
      <c r="C1798" s="7" t="n"/>
      <c r="D1798" s="8" t="n"/>
      <c r="E1798" s="7" t="n"/>
      <c r="F1798" s="7" t="n"/>
      <c r="G1798" s="7" t="n"/>
      <c r="H1798" s="7" t="n"/>
      <c r="I1798" s="7" t="n"/>
      <c r="J1798" s="7" t="n"/>
      <c r="K1798" s="7" t="n"/>
      <c r="L1798" s="7" t="n"/>
      <c r="M1798" s="7" t="n"/>
      <c r="N1798" s="7" t="n"/>
      <c r="O1798" s="7" t="n"/>
      <c r="P1798" s="7" t="n"/>
      <c r="Q1798" s="7" t="n"/>
      <c r="R1798" s="7" t="n"/>
      <c r="S1798" s="7" t="n"/>
      <c r="T1798" s="7" t="n"/>
      <c r="U1798" s="7" t="n"/>
      <c r="V1798" s="7" t="n"/>
      <c r="W1798" s="7" t="n"/>
      <c r="X1798" s="7" t="n"/>
      <c r="Y1798" s="7" t="n"/>
      <c r="Z1798" s="7" t="n"/>
      <c r="AA1798" s="9">
        <f>IF(A1798="","",A1798&amp;"|"&amp;COUNTIF($A$2:A1798,A1798))</f>
        <v/>
      </c>
    </row>
    <row r="1799">
      <c r="A1799" s="7" t="n"/>
      <c r="B1799" s="7" t="n"/>
      <c r="C1799" s="7" t="n"/>
      <c r="D1799" s="8" t="n"/>
      <c r="E1799" s="7" t="n"/>
      <c r="F1799" s="7" t="n"/>
      <c r="G1799" s="7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  <c r="R1799" s="7" t="n"/>
      <c r="S1799" s="7" t="n"/>
      <c r="T1799" s="7" t="n"/>
      <c r="U1799" s="7" t="n"/>
      <c r="V1799" s="7" t="n"/>
      <c r="W1799" s="7" t="n"/>
      <c r="X1799" s="7" t="n"/>
      <c r="Y1799" s="7" t="n"/>
      <c r="Z1799" s="7" t="n"/>
      <c r="AA1799" s="9">
        <f>IF(A1799="","",A1799&amp;"|"&amp;COUNTIF($A$2:A1799,A1799))</f>
        <v/>
      </c>
    </row>
    <row r="1800">
      <c r="A1800" s="7" t="n"/>
      <c r="B1800" s="7" t="n"/>
      <c r="C1800" s="7" t="n"/>
      <c r="D1800" s="8" t="n"/>
      <c r="E1800" s="7" t="n"/>
      <c r="F1800" s="7" t="n"/>
      <c r="G1800" s="7" t="n"/>
      <c r="H1800" s="7" t="n"/>
      <c r="I1800" s="7" t="n"/>
      <c r="J1800" s="7" t="n"/>
      <c r="K1800" s="7" t="n"/>
      <c r="L1800" s="7" t="n"/>
      <c r="M1800" s="7" t="n"/>
      <c r="N1800" s="7" t="n"/>
      <c r="O1800" s="7" t="n"/>
      <c r="P1800" s="7" t="n"/>
      <c r="Q1800" s="7" t="n"/>
      <c r="R1800" s="7" t="n"/>
      <c r="S1800" s="7" t="n"/>
      <c r="T1800" s="7" t="n"/>
      <c r="U1800" s="7" t="n"/>
      <c r="V1800" s="7" t="n"/>
      <c r="W1800" s="7" t="n"/>
      <c r="X1800" s="7" t="n"/>
      <c r="Y1800" s="7" t="n"/>
      <c r="Z1800" s="7" t="n"/>
      <c r="AA1800" s="9">
        <f>IF(A1800="","",A1800&amp;"|"&amp;COUNTIF($A$2:A1800,A1800))</f>
        <v/>
      </c>
    </row>
    <row r="1801">
      <c r="A1801" s="7" t="n"/>
      <c r="B1801" s="7" t="n"/>
      <c r="C1801" s="7" t="n"/>
      <c r="D1801" s="8" t="n"/>
      <c r="E1801" s="7" t="n"/>
      <c r="F1801" s="7" t="n"/>
      <c r="G1801" s="7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  <c r="R1801" s="7" t="n"/>
      <c r="S1801" s="7" t="n"/>
      <c r="T1801" s="7" t="n"/>
      <c r="U1801" s="7" t="n"/>
      <c r="V1801" s="7" t="n"/>
      <c r="W1801" s="7" t="n"/>
      <c r="X1801" s="7" t="n"/>
      <c r="Y1801" s="7" t="n"/>
      <c r="Z1801" s="7" t="n"/>
      <c r="AA1801" s="9">
        <f>IF(A1801="","",A1801&amp;"|"&amp;COUNTIF($A$2:A1801,A1801))</f>
        <v/>
      </c>
    </row>
    <row r="1802">
      <c r="A1802" s="7" t="n"/>
      <c r="B1802" s="7" t="n"/>
      <c r="C1802" s="7" t="n"/>
      <c r="D1802" s="8" t="n"/>
      <c r="E1802" s="7" t="n"/>
      <c r="F1802" s="7" t="n"/>
      <c r="G1802" s="7" t="n"/>
      <c r="H1802" s="7" t="n"/>
      <c r="I1802" s="7" t="n"/>
      <c r="J1802" s="7" t="n"/>
      <c r="K1802" s="7" t="n"/>
      <c r="L1802" s="7" t="n"/>
      <c r="M1802" s="7" t="n"/>
      <c r="N1802" s="7" t="n"/>
      <c r="O1802" s="7" t="n"/>
      <c r="P1802" s="7" t="n"/>
      <c r="Q1802" s="7" t="n"/>
      <c r="R1802" s="7" t="n"/>
      <c r="S1802" s="7" t="n"/>
      <c r="T1802" s="7" t="n"/>
      <c r="U1802" s="7" t="n"/>
      <c r="V1802" s="7" t="n"/>
      <c r="W1802" s="7" t="n"/>
      <c r="X1802" s="7" t="n"/>
      <c r="Y1802" s="7" t="n"/>
      <c r="Z1802" s="7" t="n"/>
      <c r="AA1802" s="9">
        <f>IF(A1802="","",A1802&amp;"|"&amp;COUNTIF($A$2:A1802,A1802))</f>
        <v/>
      </c>
    </row>
    <row r="1803">
      <c r="A1803" s="7" t="n"/>
      <c r="B1803" s="7" t="n"/>
      <c r="C1803" s="7" t="n"/>
      <c r="D1803" s="8" t="n"/>
      <c r="E1803" s="7" t="n"/>
      <c r="F1803" s="7" t="n"/>
      <c r="G1803" s="7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  <c r="R1803" s="7" t="n"/>
      <c r="S1803" s="7" t="n"/>
      <c r="T1803" s="7" t="n"/>
      <c r="U1803" s="7" t="n"/>
      <c r="V1803" s="7" t="n"/>
      <c r="W1803" s="7" t="n"/>
      <c r="X1803" s="7" t="n"/>
      <c r="Y1803" s="7" t="n"/>
      <c r="Z1803" s="7" t="n"/>
      <c r="AA1803" s="9">
        <f>IF(A1803="","",A1803&amp;"|"&amp;COUNTIF($A$2:A1803,A1803))</f>
        <v/>
      </c>
    </row>
    <row r="1804">
      <c r="A1804" s="7" t="n"/>
      <c r="B1804" s="7" t="n"/>
      <c r="C1804" s="7" t="n"/>
      <c r="D1804" s="8" t="n"/>
      <c r="E1804" s="7" t="n"/>
      <c r="F1804" s="7" t="n"/>
      <c r="G1804" s="7" t="n"/>
      <c r="H1804" s="7" t="n"/>
      <c r="I1804" s="7" t="n"/>
      <c r="J1804" s="7" t="n"/>
      <c r="K1804" s="7" t="n"/>
      <c r="L1804" s="7" t="n"/>
      <c r="M1804" s="7" t="n"/>
      <c r="N1804" s="7" t="n"/>
      <c r="O1804" s="7" t="n"/>
      <c r="P1804" s="7" t="n"/>
      <c r="Q1804" s="7" t="n"/>
      <c r="R1804" s="7" t="n"/>
      <c r="S1804" s="7" t="n"/>
      <c r="T1804" s="7" t="n"/>
      <c r="U1804" s="7" t="n"/>
      <c r="V1804" s="7" t="n"/>
      <c r="W1804" s="7" t="n"/>
      <c r="X1804" s="7" t="n"/>
      <c r="Y1804" s="7" t="n"/>
      <c r="Z1804" s="7" t="n"/>
      <c r="AA1804" s="9">
        <f>IF(A1804="","",A1804&amp;"|"&amp;COUNTIF($A$2:A1804,A1804))</f>
        <v/>
      </c>
    </row>
    <row r="1805">
      <c r="A1805" s="7" t="n"/>
      <c r="B1805" s="7" t="n"/>
      <c r="C1805" s="7" t="n"/>
      <c r="D1805" s="8" t="n"/>
      <c r="E1805" s="7" t="n"/>
      <c r="F1805" s="7" t="n"/>
      <c r="G1805" s="7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  <c r="R1805" s="7" t="n"/>
      <c r="S1805" s="7" t="n"/>
      <c r="T1805" s="7" t="n"/>
      <c r="U1805" s="7" t="n"/>
      <c r="V1805" s="7" t="n"/>
      <c r="W1805" s="7" t="n"/>
      <c r="X1805" s="7" t="n"/>
      <c r="Y1805" s="7" t="n"/>
      <c r="Z1805" s="7" t="n"/>
      <c r="AA1805" s="9">
        <f>IF(A1805="","",A1805&amp;"|"&amp;COUNTIF($A$2:A1805,A1805))</f>
        <v/>
      </c>
    </row>
    <row r="1806">
      <c r="A1806" s="7" t="n"/>
      <c r="B1806" s="7" t="n"/>
      <c r="C1806" s="7" t="n"/>
      <c r="D1806" s="8" t="n"/>
      <c r="E1806" s="7" t="n"/>
      <c r="F1806" s="7" t="n"/>
      <c r="G1806" s="7" t="n"/>
      <c r="H1806" s="7" t="n"/>
      <c r="I1806" s="7" t="n"/>
      <c r="J1806" s="7" t="n"/>
      <c r="K1806" s="7" t="n"/>
      <c r="L1806" s="7" t="n"/>
      <c r="M1806" s="7" t="n"/>
      <c r="N1806" s="7" t="n"/>
      <c r="O1806" s="7" t="n"/>
      <c r="P1806" s="7" t="n"/>
      <c r="Q1806" s="7" t="n"/>
      <c r="R1806" s="7" t="n"/>
      <c r="S1806" s="7" t="n"/>
      <c r="T1806" s="7" t="n"/>
      <c r="U1806" s="7" t="n"/>
      <c r="V1806" s="7" t="n"/>
      <c r="W1806" s="7" t="n"/>
      <c r="X1806" s="7" t="n"/>
      <c r="Y1806" s="7" t="n"/>
      <c r="Z1806" s="7" t="n"/>
      <c r="AA1806" s="9">
        <f>IF(A1806="","",A1806&amp;"|"&amp;COUNTIF($A$2:A1806,A1806))</f>
        <v/>
      </c>
    </row>
    <row r="1807">
      <c r="A1807" s="7" t="n"/>
      <c r="B1807" s="7" t="n"/>
      <c r="C1807" s="7" t="n"/>
      <c r="D1807" s="8" t="n"/>
      <c r="E1807" s="7" t="n"/>
      <c r="F1807" s="7" t="n"/>
      <c r="G1807" s="7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  <c r="R1807" s="7" t="n"/>
      <c r="S1807" s="7" t="n"/>
      <c r="T1807" s="7" t="n"/>
      <c r="U1807" s="7" t="n"/>
      <c r="V1807" s="7" t="n"/>
      <c r="W1807" s="7" t="n"/>
      <c r="X1807" s="7" t="n"/>
      <c r="Y1807" s="7" t="n"/>
      <c r="Z1807" s="7" t="n"/>
      <c r="AA1807" s="9">
        <f>IF(A1807="","",A1807&amp;"|"&amp;COUNTIF($A$2:A1807,A1807))</f>
        <v/>
      </c>
    </row>
    <row r="1808">
      <c r="A1808" s="7" t="n"/>
      <c r="B1808" s="7" t="n"/>
      <c r="C1808" s="7" t="n"/>
      <c r="D1808" s="8" t="n"/>
      <c r="E1808" s="7" t="n"/>
      <c r="F1808" s="7" t="n"/>
      <c r="G1808" s="7" t="n"/>
      <c r="H1808" s="7" t="n"/>
      <c r="I1808" s="7" t="n"/>
      <c r="J1808" s="7" t="n"/>
      <c r="K1808" s="7" t="n"/>
      <c r="L1808" s="7" t="n"/>
      <c r="M1808" s="7" t="n"/>
      <c r="N1808" s="7" t="n"/>
      <c r="O1808" s="7" t="n"/>
      <c r="P1808" s="7" t="n"/>
      <c r="Q1808" s="7" t="n"/>
      <c r="R1808" s="7" t="n"/>
      <c r="S1808" s="7" t="n"/>
      <c r="T1808" s="7" t="n"/>
      <c r="U1808" s="7" t="n"/>
      <c r="V1808" s="7" t="n"/>
      <c r="W1808" s="7" t="n"/>
      <c r="X1808" s="7" t="n"/>
      <c r="Y1808" s="7" t="n"/>
      <c r="Z1808" s="7" t="n"/>
      <c r="AA1808" s="9">
        <f>IF(A1808="","",A1808&amp;"|"&amp;COUNTIF($A$2:A1808,A1808))</f>
        <v/>
      </c>
    </row>
    <row r="1809">
      <c r="A1809" s="7" t="n"/>
      <c r="B1809" s="7" t="n"/>
      <c r="C1809" s="7" t="n"/>
      <c r="D1809" s="8" t="n"/>
      <c r="E1809" s="7" t="n"/>
      <c r="F1809" s="7" t="n"/>
      <c r="G1809" s="7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  <c r="R1809" s="7" t="n"/>
      <c r="S1809" s="7" t="n"/>
      <c r="T1809" s="7" t="n"/>
      <c r="U1809" s="7" t="n"/>
      <c r="V1809" s="7" t="n"/>
      <c r="W1809" s="7" t="n"/>
      <c r="X1809" s="7" t="n"/>
      <c r="Y1809" s="7" t="n"/>
      <c r="Z1809" s="7" t="n"/>
      <c r="AA1809" s="9">
        <f>IF(A1809="","",A1809&amp;"|"&amp;COUNTIF($A$2:A1809,A1809))</f>
        <v/>
      </c>
    </row>
    <row r="1810">
      <c r="A1810" s="7" t="n"/>
      <c r="B1810" s="7" t="n"/>
      <c r="C1810" s="7" t="n"/>
      <c r="D1810" s="8" t="n"/>
      <c r="E1810" s="7" t="n"/>
      <c r="F1810" s="7" t="n"/>
      <c r="G1810" s="7" t="n"/>
      <c r="H1810" s="7" t="n"/>
      <c r="I1810" s="7" t="n"/>
      <c r="J1810" s="7" t="n"/>
      <c r="K1810" s="7" t="n"/>
      <c r="L1810" s="7" t="n"/>
      <c r="M1810" s="7" t="n"/>
      <c r="N1810" s="7" t="n"/>
      <c r="O1810" s="7" t="n"/>
      <c r="P1810" s="7" t="n"/>
      <c r="Q1810" s="7" t="n"/>
      <c r="R1810" s="7" t="n"/>
      <c r="S1810" s="7" t="n"/>
      <c r="T1810" s="7" t="n"/>
      <c r="U1810" s="7" t="n"/>
      <c r="V1810" s="7" t="n"/>
      <c r="W1810" s="7" t="n"/>
      <c r="X1810" s="7" t="n"/>
      <c r="Y1810" s="7" t="n"/>
      <c r="Z1810" s="7" t="n"/>
      <c r="AA1810" s="9">
        <f>IF(A1810="","",A1810&amp;"|"&amp;COUNTIF($A$2:A1810,A1810))</f>
        <v/>
      </c>
    </row>
    <row r="1811">
      <c r="A1811" s="7" t="n"/>
      <c r="B1811" s="7" t="n"/>
      <c r="C1811" s="7" t="n"/>
      <c r="D1811" s="8" t="n"/>
      <c r="E1811" s="7" t="n"/>
      <c r="F1811" s="7" t="n"/>
      <c r="G1811" s="7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  <c r="R1811" s="7" t="n"/>
      <c r="S1811" s="7" t="n"/>
      <c r="T1811" s="7" t="n"/>
      <c r="U1811" s="7" t="n"/>
      <c r="V1811" s="7" t="n"/>
      <c r="W1811" s="7" t="n"/>
      <c r="X1811" s="7" t="n"/>
      <c r="Y1811" s="7" t="n"/>
      <c r="Z1811" s="7" t="n"/>
      <c r="AA1811" s="9">
        <f>IF(A1811="","",A1811&amp;"|"&amp;COUNTIF($A$2:A1811,A1811))</f>
        <v/>
      </c>
    </row>
    <row r="1812">
      <c r="A1812" s="7" t="n"/>
      <c r="B1812" s="7" t="n"/>
      <c r="C1812" s="7" t="n"/>
      <c r="D1812" s="8" t="n"/>
      <c r="E1812" s="7" t="n"/>
      <c r="F1812" s="7" t="n"/>
      <c r="G1812" s="7" t="n"/>
      <c r="H1812" s="7" t="n"/>
      <c r="I1812" s="7" t="n"/>
      <c r="J1812" s="7" t="n"/>
      <c r="K1812" s="7" t="n"/>
      <c r="L1812" s="7" t="n"/>
      <c r="M1812" s="7" t="n"/>
      <c r="N1812" s="7" t="n"/>
      <c r="O1812" s="7" t="n"/>
      <c r="P1812" s="7" t="n"/>
      <c r="Q1812" s="7" t="n"/>
      <c r="R1812" s="7" t="n"/>
      <c r="S1812" s="7" t="n"/>
      <c r="T1812" s="7" t="n"/>
      <c r="U1812" s="7" t="n"/>
      <c r="V1812" s="7" t="n"/>
      <c r="W1812" s="7" t="n"/>
      <c r="X1812" s="7" t="n"/>
      <c r="Y1812" s="7" t="n"/>
      <c r="Z1812" s="7" t="n"/>
      <c r="AA1812" s="9">
        <f>IF(A1812="","",A1812&amp;"|"&amp;COUNTIF($A$2:A1812,A1812))</f>
        <v/>
      </c>
    </row>
    <row r="1813">
      <c r="A1813" s="7" t="n"/>
      <c r="B1813" s="7" t="n"/>
      <c r="C1813" s="7" t="n"/>
      <c r="D1813" s="8" t="n"/>
      <c r="E1813" s="7" t="n"/>
      <c r="F1813" s="7" t="n"/>
      <c r="G1813" s="7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  <c r="R1813" s="7" t="n"/>
      <c r="S1813" s="7" t="n"/>
      <c r="T1813" s="7" t="n"/>
      <c r="U1813" s="7" t="n"/>
      <c r="V1813" s="7" t="n"/>
      <c r="W1813" s="7" t="n"/>
      <c r="X1813" s="7" t="n"/>
      <c r="Y1813" s="7" t="n"/>
      <c r="Z1813" s="7" t="n"/>
      <c r="AA1813" s="9">
        <f>IF(A1813="","",A1813&amp;"|"&amp;COUNTIF($A$2:A1813,A1813))</f>
        <v/>
      </c>
    </row>
    <row r="1814">
      <c r="A1814" s="7" t="n"/>
      <c r="B1814" s="7" t="n"/>
      <c r="C1814" s="7" t="n"/>
      <c r="D1814" s="8" t="n"/>
      <c r="E1814" s="7" t="n"/>
      <c r="F1814" s="7" t="n"/>
      <c r="G1814" s="7" t="n"/>
      <c r="H1814" s="7" t="n"/>
      <c r="I1814" s="7" t="n"/>
      <c r="J1814" s="7" t="n"/>
      <c r="K1814" s="7" t="n"/>
      <c r="L1814" s="7" t="n"/>
      <c r="M1814" s="7" t="n"/>
      <c r="N1814" s="7" t="n"/>
      <c r="O1814" s="7" t="n"/>
      <c r="P1814" s="7" t="n"/>
      <c r="Q1814" s="7" t="n"/>
      <c r="R1814" s="7" t="n"/>
      <c r="S1814" s="7" t="n"/>
      <c r="T1814" s="7" t="n"/>
      <c r="U1814" s="7" t="n"/>
      <c r="V1814" s="7" t="n"/>
      <c r="W1814" s="7" t="n"/>
      <c r="X1814" s="7" t="n"/>
      <c r="Y1814" s="7" t="n"/>
      <c r="Z1814" s="7" t="n"/>
      <c r="AA1814" s="9">
        <f>IF(A1814="","",A1814&amp;"|"&amp;COUNTIF($A$2:A1814,A1814))</f>
        <v/>
      </c>
    </row>
    <row r="1815">
      <c r="A1815" s="7" t="n"/>
      <c r="B1815" s="7" t="n"/>
      <c r="C1815" s="7" t="n"/>
      <c r="D1815" s="8" t="n"/>
      <c r="E1815" s="7" t="n"/>
      <c r="F1815" s="7" t="n"/>
      <c r="G1815" s="7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  <c r="R1815" s="7" t="n"/>
      <c r="S1815" s="7" t="n"/>
      <c r="T1815" s="7" t="n"/>
      <c r="U1815" s="7" t="n"/>
      <c r="V1815" s="7" t="n"/>
      <c r="W1815" s="7" t="n"/>
      <c r="X1815" s="7" t="n"/>
      <c r="Y1815" s="7" t="n"/>
      <c r="Z1815" s="7" t="n"/>
      <c r="AA1815" s="9">
        <f>IF(A1815="","",A1815&amp;"|"&amp;COUNTIF($A$2:A1815,A1815))</f>
        <v/>
      </c>
    </row>
    <row r="1816">
      <c r="A1816" s="7" t="n"/>
      <c r="B1816" s="7" t="n"/>
      <c r="C1816" s="7" t="n"/>
      <c r="D1816" s="8" t="n"/>
      <c r="E1816" s="7" t="n"/>
      <c r="F1816" s="7" t="n"/>
      <c r="G1816" s="7" t="n"/>
      <c r="H1816" s="7" t="n"/>
      <c r="I1816" s="7" t="n"/>
      <c r="J1816" s="7" t="n"/>
      <c r="K1816" s="7" t="n"/>
      <c r="L1816" s="7" t="n"/>
      <c r="M1816" s="7" t="n"/>
      <c r="N1816" s="7" t="n"/>
      <c r="O1816" s="7" t="n"/>
      <c r="P1816" s="7" t="n"/>
      <c r="Q1816" s="7" t="n"/>
      <c r="R1816" s="7" t="n"/>
      <c r="S1816" s="7" t="n"/>
      <c r="T1816" s="7" t="n"/>
      <c r="U1816" s="7" t="n"/>
      <c r="V1816" s="7" t="n"/>
      <c r="W1816" s="7" t="n"/>
      <c r="X1816" s="7" t="n"/>
      <c r="Y1816" s="7" t="n"/>
      <c r="Z1816" s="7" t="n"/>
      <c r="AA1816" s="9">
        <f>IF(A1816="","",A1816&amp;"|"&amp;COUNTIF($A$2:A1816,A1816))</f>
        <v/>
      </c>
    </row>
    <row r="1817">
      <c r="A1817" s="7" t="n"/>
      <c r="B1817" s="7" t="n"/>
      <c r="C1817" s="7" t="n"/>
      <c r="D1817" s="8" t="n"/>
      <c r="E1817" s="7" t="n"/>
      <c r="F1817" s="7" t="n"/>
      <c r="G1817" s="7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  <c r="R1817" s="7" t="n"/>
      <c r="S1817" s="7" t="n"/>
      <c r="T1817" s="7" t="n"/>
      <c r="U1817" s="7" t="n"/>
      <c r="V1817" s="7" t="n"/>
      <c r="W1817" s="7" t="n"/>
      <c r="X1817" s="7" t="n"/>
      <c r="Y1817" s="7" t="n"/>
      <c r="Z1817" s="7" t="n"/>
      <c r="AA1817" s="9">
        <f>IF(A1817="","",A1817&amp;"|"&amp;COUNTIF($A$2:A1817,A1817))</f>
        <v/>
      </c>
    </row>
    <row r="1818">
      <c r="A1818" s="7" t="n"/>
      <c r="B1818" s="7" t="n"/>
      <c r="C1818" s="7" t="n"/>
      <c r="D1818" s="8" t="n"/>
      <c r="E1818" s="7" t="n"/>
      <c r="F1818" s="7" t="n"/>
      <c r="G1818" s="7" t="n"/>
      <c r="H1818" s="7" t="n"/>
      <c r="I1818" s="7" t="n"/>
      <c r="J1818" s="7" t="n"/>
      <c r="K1818" s="7" t="n"/>
      <c r="L1818" s="7" t="n"/>
      <c r="M1818" s="7" t="n"/>
      <c r="N1818" s="7" t="n"/>
      <c r="O1818" s="7" t="n"/>
      <c r="P1818" s="7" t="n"/>
      <c r="Q1818" s="7" t="n"/>
      <c r="R1818" s="7" t="n"/>
      <c r="S1818" s="7" t="n"/>
      <c r="T1818" s="7" t="n"/>
      <c r="U1818" s="7" t="n"/>
      <c r="V1818" s="7" t="n"/>
      <c r="W1818" s="7" t="n"/>
      <c r="X1818" s="7" t="n"/>
      <c r="Y1818" s="7" t="n"/>
      <c r="Z1818" s="7" t="n"/>
      <c r="AA1818" s="9">
        <f>IF(A1818="","",A1818&amp;"|"&amp;COUNTIF($A$2:A1818,A1818))</f>
        <v/>
      </c>
    </row>
    <row r="1819">
      <c r="A1819" s="7" t="n"/>
      <c r="B1819" s="7" t="n"/>
      <c r="C1819" s="7" t="n"/>
      <c r="D1819" s="8" t="n"/>
      <c r="E1819" s="7" t="n"/>
      <c r="F1819" s="7" t="n"/>
      <c r="G1819" s="7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  <c r="R1819" s="7" t="n"/>
      <c r="S1819" s="7" t="n"/>
      <c r="T1819" s="7" t="n"/>
      <c r="U1819" s="7" t="n"/>
      <c r="V1819" s="7" t="n"/>
      <c r="W1819" s="7" t="n"/>
      <c r="X1819" s="7" t="n"/>
      <c r="Y1819" s="7" t="n"/>
      <c r="Z1819" s="7" t="n"/>
      <c r="AA1819" s="9">
        <f>IF(A1819="","",A1819&amp;"|"&amp;COUNTIF($A$2:A1819,A1819))</f>
        <v/>
      </c>
    </row>
    <row r="1820">
      <c r="A1820" s="7" t="n"/>
      <c r="B1820" s="7" t="n"/>
      <c r="C1820" s="7" t="n"/>
      <c r="D1820" s="8" t="n"/>
      <c r="E1820" s="7" t="n"/>
      <c r="F1820" s="7" t="n"/>
      <c r="G1820" s="7" t="n"/>
      <c r="H1820" s="7" t="n"/>
      <c r="I1820" s="7" t="n"/>
      <c r="J1820" s="7" t="n"/>
      <c r="K1820" s="7" t="n"/>
      <c r="L1820" s="7" t="n"/>
      <c r="M1820" s="7" t="n"/>
      <c r="N1820" s="7" t="n"/>
      <c r="O1820" s="7" t="n"/>
      <c r="P1820" s="7" t="n"/>
      <c r="Q1820" s="7" t="n"/>
      <c r="R1820" s="7" t="n"/>
      <c r="S1820" s="7" t="n"/>
      <c r="T1820" s="7" t="n"/>
      <c r="U1820" s="7" t="n"/>
      <c r="V1820" s="7" t="n"/>
      <c r="W1820" s="7" t="n"/>
      <c r="X1820" s="7" t="n"/>
      <c r="Y1820" s="7" t="n"/>
      <c r="Z1820" s="7" t="n"/>
      <c r="AA1820" s="9">
        <f>IF(A1820="","",A1820&amp;"|"&amp;COUNTIF($A$2:A1820,A1820))</f>
        <v/>
      </c>
    </row>
    <row r="1821">
      <c r="A1821" s="7" t="n"/>
      <c r="B1821" s="7" t="n"/>
      <c r="C1821" s="7" t="n"/>
      <c r="D1821" s="8" t="n"/>
      <c r="E1821" s="7" t="n"/>
      <c r="F1821" s="7" t="n"/>
      <c r="G1821" s="7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  <c r="R1821" s="7" t="n"/>
      <c r="S1821" s="7" t="n"/>
      <c r="T1821" s="7" t="n"/>
      <c r="U1821" s="7" t="n"/>
      <c r="V1821" s="7" t="n"/>
      <c r="W1821" s="7" t="n"/>
      <c r="X1821" s="7" t="n"/>
      <c r="Y1821" s="7" t="n"/>
      <c r="Z1821" s="7" t="n"/>
      <c r="AA1821" s="9">
        <f>IF(A1821="","",A1821&amp;"|"&amp;COUNTIF($A$2:A1821,A1821))</f>
        <v/>
      </c>
    </row>
    <row r="1822">
      <c r="A1822" s="7" t="n"/>
      <c r="B1822" s="7" t="n"/>
      <c r="C1822" s="7" t="n"/>
      <c r="D1822" s="8" t="n"/>
      <c r="E1822" s="7" t="n"/>
      <c r="F1822" s="7" t="n"/>
      <c r="G1822" s="7" t="n"/>
      <c r="H1822" s="7" t="n"/>
      <c r="I1822" s="7" t="n"/>
      <c r="J1822" s="7" t="n"/>
      <c r="K1822" s="7" t="n"/>
      <c r="L1822" s="7" t="n"/>
      <c r="M1822" s="7" t="n"/>
      <c r="N1822" s="7" t="n"/>
      <c r="O1822" s="7" t="n"/>
      <c r="P1822" s="7" t="n"/>
      <c r="Q1822" s="7" t="n"/>
      <c r="R1822" s="7" t="n"/>
      <c r="S1822" s="7" t="n"/>
      <c r="T1822" s="7" t="n"/>
      <c r="U1822" s="7" t="n"/>
      <c r="V1822" s="7" t="n"/>
      <c r="W1822" s="7" t="n"/>
      <c r="X1822" s="7" t="n"/>
      <c r="Y1822" s="7" t="n"/>
      <c r="Z1822" s="7" t="n"/>
      <c r="AA1822" s="9">
        <f>IF(A1822="","",A1822&amp;"|"&amp;COUNTIF($A$2:A1822,A1822))</f>
        <v/>
      </c>
    </row>
    <row r="1823">
      <c r="A1823" s="7" t="n"/>
      <c r="B1823" s="7" t="n"/>
      <c r="C1823" s="7" t="n"/>
      <c r="D1823" s="8" t="n"/>
      <c r="E1823" s="7" t="n"/>
      <c r="F1823" s="7" t="n"/>
      <c r="G1823" s="7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  <c r="R1823" s="7" t="n"/>
      <c r="S1823" s="7" t="n"/>
      <c r="T1823" s="7" t="n"/>
      <c r="U1823" s="7" t="n"/>
      <c r="V1823" s="7" t="n"/>
      <c r="W1823" s="7" t="n"/>
      <c r="X1823" s="7" t="n"/>
      <c r="Y1823" s="7" t="n"/>
      <c r="Z1823" s="7" t="n"/>
      <c r="AA1823" s="9">
        <f>IF(A1823="","",A1823&amp;"|"&amp;COUNTIF($A$2:A1823,A1823))</f>
        <v/>
      </c>
    </row>
    <row r="1824">
      <c r="A1824" s="7" t="n"/>
      <c r="B1824" s="7" t="n"/>
      <c r="C1824" s="7" t="n"/>
      <c r="D1824" s="8" t="n"/>
      <c r="E1824" s="7" t="n"/>
      <c r="F1824" s="7" t="n"/>
      <c r="G1824" s="7" t="n"/>
      <c r="H1824" s="7" t="n"/>
      <c r="I1824" s="7" t="n"/>
      <c r="J1824" s="7" t="n"/>
      <c r="K1824" s="7" t="n"/>
      <c r="L1824" s="7" t="n"/>
      <c r="M1824" s="7" t="n"/>
      <c r="N1824" s="7" t="n"/>
      <c r="O1824" s="7" t="n"/>
      <c r="P1824" s="7" t="n"/>
      <c r="Q1824" s="7" t="n"/>
      <c r="R1824" s="7" t="n"/>
      <c r="S1824" s="7" t="n"/>
      <c r="T1824" s="7" t="n"/>
      <c r="U1824" s="7" t="n"/>
      <c r="V1824" s="7" t="n"/>
      <c r="W1824" s="7" t="n"/>
      <c r="X1824" s="7" t="n"/>
      <c r="Y1824" s="7" t="n"/>
      <c r="Z1824" s="7" t="n"/>
      <c r="AA1824" s="9">
        <f>IF(A1824="","",A1824&amp;"|"&amp;COUNTIF($A$2:A1824,A1824))</f>
        <v/>
      </c>
    </row>
    <row r="1825">
      <c r="A1825" s="7" t="n"/>
      <c r="B1825" s="7" t="n"/>
      <c r="C1825" s="7" t="n"/>
      <c r="D1825" s="8" t="n"/>
      <c r="E1825" s="7" t="n"/>
      <c r="F1825" s="7" t="n"/>
      <c r="G1825" s="7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  <c r="R1825" s="7" t="n"/>
      <c r="S1825" s="7" t="n"/>
      <c r="T1825" s="7" t="n"/>
      <c r="U1825" s="7" t="n"/>
      <c r="V1825" s="7" t="n"/>
      <c r="W1825" s="7" t="n"/>
      <c r="X1825" s="7" t="n"/>
      <c r="Y1825" s="7" t="n"/>
      <c r="Z1825" s="7" t="n"/>
      <c r="AA1825" s="9">
        <f>IF(A1825="","",A1825&amp;"|"&amp;COUNTIF($A$2:A1825,A1825))</f>
        <v/>
      </c>
    </row>
    <row r="1826">
      <c r="A1826" s="7" t="n"/>
      <c r="B1826" s="7" t="n"/>
      <c r="C1826" s="7" t="n"/>
      <c r="D1826" s="8" t="n"/>
      <c r="E1826" s="7" t="n"/>
      <c r="F1826" s="7" t="n"/>
      <c r="G1826" s="7" t="n"/>
      <c r="H1826" s="7" t="n"/>
      <c r="I1826" s="7" t="n"/>
      <c r="J1826" s="7" t="n"/>
      <c r="K1826" s="7" t="n"/>
      <c r="L1826" s="7" t="n"/>
      <c r="M1826" s="7" t="n"/>
      <c r="N1826" s="7" t="n"/>
      <c r="O1826" s="7" t="n"/>
      <c r="P1826" s="7" t="n"/>
      <c r="Q1826" s="7" t="n"/>
      <c r="R1826" s="7" t="n"/>
      <c r="S1826" s="7" t="n"/>
      <c r="T1826" s="7" t="n"/>
      <c r="U1826" s="7" t="n"/>
      <c r="V1826" s="7" t="n"/>
      <c r="W1826" s="7" t="n"/>
      <c r="X1826" s="7" t="n"/>
      <c r="Y1826" s="7" t="n"/>
      <c r="Z1826" s="7" t="n"/>
      <c r="AA1826" s="9">
        <f>IF(A1826="","",A1826&amp;"|"&amp;COUNTIF($A$2:A1826,A1826))</f>
        <v/>
      </c>
    </row>
    <row r="1827">
      <c r="A1827" s="7" t="n"/>
      <c r="B1827" s="7" t="n"/>
      <c r="C1827" s="7" t="n"/>
      <c r="D1827" s="8" t="n"/>
      <c r="E1827" s="7" t="n"/>
      <c r="F1827" s="7" t="n"/>
      <c r="G1827" s="7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  <c r="R1827" s="7" t="n"/>
      <c r="S1827" s="7" t="n"/>
      <c r="T1827" s="7" t="n"/>
      <c r="U1827" s="7" t="n"/>
      <c r="V1827" s="7" t="n"/>
      <c r="W1827" s="7" t="n"/>
      <c r="X1827" s="7" t="n"/>
      <c r="Y1827" s="7" t="n"/>
      <c r="Z1827" s="7" t="n"/>
      <c r="AA1827" s="9">
        <f>IF(A1827="","",A1827&amp;"|"&amp;COUNTIF($A$2:A1827,A1827))</f>
        <v/>
      </c>
    </row>
    <row r="1828">
      <c r="A1828" s="7" t="n"/>
      <c r="B1828" s="7" t="n"/>
      <c r="C1828" s="7" t="n"/>
      <c r="D1828" s="8" t="n"/>
      <c r="E1828" s="7" t="n"/>
      <c r="F1828" s="7" t="n"/>
      <c r="G1828" s="7" t="n"/>
      <c r="H1828" s="7" t="n"/>
      <c r="I1828" s="7" t="n"/>
      <c r="J1828" s="7" t="n"/>
      <c r="K1828" s="7" t="n"/>
      <c r="L1828" s="7" t="n"/>
      <c r="M1828" s="7" t="n"/>
      <c r="N1828" s="7" t="n"/>
      <c r="O1828" s="7" t="n"/>
      <c r="P1828" s="7" t="n"/>
      <c r="Q1828" s="7" t="n"/>
      <c r="R1828" s="7" t="n"/>
      <c r="S1828" s="7" t="n"/>
      <c r="T1828" s="7" t="n"/>
      <c r="U1828" s="7" t="n"/>
      <c r="V1828" s="7" t="n"/>
      <c r="W1828" s="7" t="n"/>
      <c r="X1828" s="7" t="n"/>
      <c r="Y1828" s="7" t="n"/>
      <c r="Z1828" s="7" t="n"/>
      <c r="AA1828" s="9">
        <f>IF(A1828="","",A1828&amp;"|"&amp;COUNTIF($A$2:A1828,A1828))</f>
        <v/>
      </c>
    </row>
    <row r="1829">
      <c r="A1829" s="7" t="n"/>
      <c r="B1829" s="7" t="n"/>
      <c r="C1829" s="7" t="n"/>
      <c r="D1829" s="8" t="n"/>
      <c r="E1829" s="7" t="n"/>
      <c r="F1829" s="7" t="n"/>
      <c r="G1829" s="7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  <c r="R1829" s="7" t="n"/>
      <c r="S1829" s="7" t="n"/>
      <c r="T1829" s="7" t="n"/>
      <c r="U1829" s="7" t="n"/>
      <c r="V1829" s="7" t="n"/>
      <c r="W1829" s="7" t="n"/>
      <c r="X1829" s="7" t="n"/>
      <c r="Y1829" s="7" t="n"/>
      <c r="Z1829" s="7" t="n"/>
      <c r="AA1829" s="9">
        <f>IF(A1829="","",A1829&amp;"|"&amp;COUNTIF($A$2:A1829,A1829))</f>
        <v/>
      </c>
    </row>
    <row r="1830">
      <c r="A1830" s="7" t="n"/>
      <c r="B1830" s="7" t="n"/>
      <c r="C1830" s="7" t="n"/>
      <c r="D1830" s="8" t="n"/>
      <c r="E1830" s="7" t="n"/>
      <c r="F1830" s="7" t="n"/>
      <c r="G1830" s="7" t="n"/>
      <c r="H1830" s="7" t="n"/>
      <c r="I1830" s="7" t="n"/>
      <c r="J1830" s="7" t="n"/>
      <c r="K1830" s="7" t="n"/>
      <c r="L1830" s="7" t="n"/>
      <c r="M1830" s="7" t="n"/>
      <c r="N1830" s="7" t="n"/>
      <c r="O1830" s="7" t="n"/>
      <c r="P1830" s="7" t="n"/>
      <c r="Q1830" s="7" t="n"/>
      <c r="R1830" s="7" t="n"/>
      <c r="S1830" s="7" t="n"/>
      <c r="T1830" s="7" t="n"/>
      <c r="U1830" s="7" t="n"/>
      <c r="V1830" s="7" t="n"/>
      <c r="W1830" s="7" t="n"/>
      <c r="X1830" s="7" t="n"/>
      <c r="Y1830" s="7" t="n"/>
      <c r="Z1830" s="7" t="n"/>
      <c r="AA1830" s="9">
        <f>IF(A1830="","",A1830&amp;"|"&amp;COUNTIF($A$2:A1830,A1830))</f>
        <v/>
      </c>
    </row>
    <row r="1831">
      <c r="A1831" s="7" t="n"/>
      <c r="B1831" s="7" t="n"/>
      <c r="C1831" s="7" t="n"/>
      <c r="D1831" s="8" t="n"/>
      <c r="E1831" s="7" t="n"/>
      <c r="F1831" s="7" t="n"/>
      <c r="G1831" s="7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  <c r="R1831" s="7" t="n"/>
      <c r="S1831" s="7" t="n"/>
      <c r="T1831" s="7" t="n"/>
      <c r="U1831" s="7" t="n"/>
      <c r="V1831" s="7" t="n"/>
      <c r="W1831" s="7" t="n"/>
      <c r="X1831" s="7" t="n"/>
      <c r="Y1831" s="7" t="n"/>
      <c r="Z1831" s="7" t="n"/>
      <c r="AA1831" s="9">
        <f>IF(A1831="","",A1831&amp;"|"&amp;COUNTIF($A$2:A1831,A1831))</f>
        <v/>
      </c>
    </row>
    <row r="1832">
      <c r="A1832" s="7" t="n"/>
      <c r="B1832" s="7" t="n"/>
      <c r="C1832" s="7" t="n"/>
      <c r="D1832" s="8" t="n"/>
      <c r="E1832" s="7" t="n"/>
      <c r="F1832" s="7" t="n"/>
      <c r="G1832" s="7" t="n"/>
      <c r="H1832" s="7" t="n"/>
      <c r="I1832" s="7" t="n"/>
      <c r="J1832" s="7" t="n"/>
      <c r="K1832" s="7" t="n"/>
      <c r="L1832" s="7" t="n"/>
      <c r="M1832" s="7" t="n"/>
      <c r="N1832" s="7" t="n"/>
      <c r="O1832" s="7" t="n"/>
      <c r="P1832" s="7" t="n"/>
      <c r="Q1832" s="7" t="n"/>
      <c r="R1832" s="7" t="n"/>
      <c r="S1832" s="7" t="n"/>
      <c r="T1832" s="7" t="n"/>
      <c r="U1832" s="7" t="n"/>
      <c r="V1832" s="7" t="n"/>
      <c r="W1832" s="7" t="n"/>
      <c r="X1832" s="7" t="n"/>
      <c r="Y1832" s="7" t="n"/>
      <c r="Z1832" s="7" t="n"/>
      <c r="AA1832" s="9">
        <f>IF(A1832="","",A1832&amp;"|"&amp;COUNTIF($A$2:A1832,A1832))</f>
        <v/>
      </c>
    </row>
    <row r="1833">
      <c r="A1833" s="7" t="n"/>
      <c r="B1833" s="7" t="n"/>
      <c r="C1833" s="7" t="n"/>
      <c r="D1833" s="8" t="n"/>
      <c r="E1833" s="7" t="n"/>
      <c r="F1833" s="7" t="n"/>
      <c r="G1833" s="7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  <c r="R1833" s="7" t="n"/>
      <c r="S1833" s="7" t="n"/>
      <c r="T1833" s="7" t="n"/>
      <c r="U1833" s="7" t="n"/>
      <c r="V1833" s="7" t="n"/>
      <c r="W1833" s="7" t="n"/>
      <c r="X1833" s="7" t="n"/>
      <c r="Y1833" s="7" t="n"/>
      <c r="Z1833" s="7" t="n"/>
      <c r="AA1833" s="9">
        <f>IF(A1833="","",A1833&amp;"|"&amp;COUNTIF($A$2:A1833,A1833))</f>
        <v/>
      </c>
    </row>
    <row r="1834">
      <c r="A1834" s="7" t="n"/>
      <c r="B1834" s="7" t="n"/>
      <c r="C1834" s="7" t="n"/>
      <c r="D1834" s="8" t="n"/>
      <c r="E1834" s="7" t="n"/>
      <c r="F1834" s="7" t="n"/>
      <c r="G1834" s="7" t="n"/>
      <c r="H1834" s="7" t="n"/>
      <c r="I1834" s="7" t="n"/>
      <c r="J1834" s="7" t="n"/>
      <c r="K1834" s="7" t="n"/>
      <c r="L1834" s="7" t="n"/>
      <c r="M1834" s="7" t="n"/>
      <c r="N1834" s="7" t="n"/>
      <c r="O1834" s="7" t="n"/>
      <c r="P1834" s="7" t="n"/>
      <c r="Q1834" s="7" t="n"/>
      <c r="R1834" s="7" t="n"/>
      <c r="S1834" s="7" t="n"/>
      <c r="T1834" s="7" t="n"/>
      <c r="U1834" s="7" t="n"/>
      <c r="V1834" s="7" t="n"/>
      <c r="W1834" s="7" t="n"/>
      <c r="X1834" s="7" t="n"/>
      <c r="Y1834" s="7" t="n"/>
      <c r="Z1834" s="7" t="n"/>
      <c r="AA1834" s="9">
        <f>IF(A1834="","",A1834&amp;"|"&amp;COUNTIF($A$2:A1834,A1834))</f>
        <v/>
      </c>
    </row>
    <row r="1835">
      <c r="A1835" s="7" t="n"/>
      <c r="B1835" s="7" t="n"/>
      <c r="C1835" s="7" t="n"/>
      <c r="D1835" s="8" t="n"/>
      <c r="E1835" s="7" t="n"/>
      <c r="F1835" s="7" t="n"/>
      <c r="G1835" s="7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  <c r="R1835" s="7" t="n"/>
      <c r="S1835" s="7" t="n"/>
      <c r="T1835" s="7" t="n"/>
      <c r="U1835" s="7" t="n"/>
      <c r="V1835" s="7" t="n"/>
      <c r="W1835" s="7" t="n"/>
      <c r="X1835" s="7" t="n"/>
      <c r="Y1835" s="7" t="n"/>
      <c r="Z1835" s="7" t="n"/>
      <c r="AA1835" s="9">
        <f>IF(A1835="","",A1835&amp;"|"&amp;COUNTIF($A$2:A1835,A1835))</f>
        <v/>
      </c>
    </row>
    <row r="1836">
      <c r="A1836" s="7" t="n"/>
      <c r="B1836" s="7" t="n"/>
      <c r="C1836" s="7" t="n"/>
      <c r="D1836" s="8" t="n"/>
      <c r="E1836" s="7" t="n"/>
      <c r="F1836" s="7" t="n"/>
      <c r="G1836" s="7" t="n"/>
      <c r="H1836" s="7" t="n"/>
      <c r="I1836" s="7" t="n"/>
      <c r="J1836" s="7" t="n"/>
      <c r="K1836" s="7" t="n"/>
      <c r="L1836" s="7" t="n"/>
      <c r="M1836" s="7" t="n"/>
      <c r="N1836" s="7" t="n"/>
      <c r="O1836" s="7" t="n"/>
      <c r="P1836" s="7" t="n"/>
      <c r="Q1836" s="7" t="n"/>
      <c r="R1836" s="7" t="n"/>
      <c r="S1836" s="7" t="n"/>
      <c r="T1836" s="7" t="n"/>
      <c r="U1836" s="7" t="n"/>
      <c r="V1836" s="7" t="n"/>
      <c r="W1836" s="7" t="n"/>
      <c r="X1836" s="7" t="n"/>
      <c r="Y1836" s="7" t="n"/>
      <c r="Z1836" s="7" t="n"/>
      <c r="AA1836" s="9">
        <f>IF(A1836="","",A1836&amp;"|"&amp;COUNTIF($A$2:A1836,A1836))</f>
        <v/>
      </c>
    </row>
    <row r="1837">
      <c r="A1837" s="7" t="n"/>
      <c r="B1837" s="7" t="n"/>
      <c r="C1837" s="7" t="n"/>
      <c r="D1837" s="8" t="n"/>
      <c r="E1837" s="7" t="n"/>
      <c r="F1837" s="7" t="n"/>
      <c r="G1837" s="7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  <c r="R1837" s="7" t="n"/>
      <c r="S1837" s="7" t="n"/>
      <c r="T1837" s="7" t="n"/>
      <c r="U1837" s="7" t="n"/>
      <c r="V1837" s="7" t="n"/>
      <c r="W1837" s="7" t="n"/>
      <c r="X1837" s="7" t="n"/>
      <c r="Y1837" s="7" t="n"/>
      <c r="Z1837" s="7" t="n"/>
      <c r="AA1837" s="9">
        <f>IF(A1837="","",A1837&amp;"|"&amp;COUNTIF($A$2:A1837,A1837))</f>
        <v/>
      </c>
    </row>
    <row r="1838">
      <c r="A1838" s="7" t="n"/>
      <c r="B1838" s="7" t="n"/>
      <c r="C1838" s="7" t="n"/>
      <c r="D1838" s="8" t="n"/>
      <c r="E1838" s="7" t="n"/>
      <c r="F1838" s="7" t="n"/>
      <c r="G1838" s="7" t="n"/>
      <c r="H1838" s="7" t="n"/>
      <c r="I1838" s="7" t="n"/>
      <c r="J1838" s="7" t="n"/>
      <c r="K1838" s="7" t="n"/>
      <c r="L1838" s="7" t="n"/>
      <c r="M1838" s="7" t="n"/>
      <c r="N1838" s="7" t="n"/>
      <c r="O1838" s="7" t="n"/>
      <c r="P1838" s="7" t="n"/>
      <c r="Q1838" s="7" t="n"/>
      <c r="R1838" s="7" t="n"/>
      <c r="S1838" s="7" t="n"/>
      <c r="T1838" s="7" t="n"/>
      <c r="U1838" s="7" t="n"/>
      <c r="V1838" s="7" t="n"/>
      <c r="W1838" s="7" t="n"/>
      <c r="X1838" s="7" t="n"/>
      <c r="Y1838" s="7" t="n"/>
      <c r="Z1838" s="7" t="n"/>
      <c r="AA1838" s="9">
        <f>IF(A1838="","",A1838&amp;"|"&amp;COUNTIF($A$2:A1838,A1838))</f>
        <v/>
      </c>
    </row>
    <row r="1839">
      <c r="A1839" s="7" t="n"/>
      <c r="B1839" s="7" t="n"/>
      <c r="C1839" s="7" t="n"/>
      <c r="D1839" s="8" t="n"/>
      <c r="E1839" s="7" t="n"/>
      <c r="F1839" s="7" t="n"/>
      <c r="G1839" s="7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  <c r="R1839" s="7" t="n"/>
      <c r="S1839" s="7" t="n"/>
      <c r="T1839" s="7" t="n"/>
      <c r="U1839" s="7" t="n"/>
      <c r="V1839" s="7" t="n"/>
      <c r="W1839" s="7" t="n"/>
      <c r="X1839" s="7" t="n"/>
      <c r="Y1839" s="7" t="n"/>
      <c r="Z1839" s="7" t="n"/>
      <c r="AA1839" s="9">
        <f>IF(A1839="","",A1839&amp;"|"&amp;COUNTIF($A$2:A1839,A1839))</f>
        <v/>
      </c>
    </row>
    <row r="1840">
      <c r="A1840" s="7" t="n"/>
      <c r="B1840" s="7" t="n"/>
      <c r="C1840" s="7" t="n"/>
      <c r="D1840" s="8" t="n"/>
      <c r="E1840" s="7" t="n"/>
      <c r="F1840" s="7" t="n"/>
      <c r="G1840" s="7" t="n"/>
      <c r="H1840" s="7" t="n"/>
      <c r="I1840" s="7" t="n"/>
      <c r="J1840" s="7" t="n"/>
      <c r="K1840" s="7" t="n"/>
      <c r="L1840" s="7" t="n"/>
      <c r="M1840" s="7" t="n"/>
      <c r="N1840" s="7" t="n"/>
      <c r="O1840" s="7" t="n"/>
      <c r="P1840" s="7" t="n"/>
      <c r="Q1840" s="7" t="n"/>
      <c r="R1840" s="7" t="n"/>
      <c r="S1840" s="7" t="n"/>
      <c r="T1840" s="7" t="n"/>
      <c r="U1840" s="7" t="n"/>
      <c r="V1840" s="7" t="n"/>
      <c r="W1840" s="7" t="n"/>
      <c r="X1840" s="7" t="n"/>
      <c r="Y1840" s="7" t="n"/>
      <c r="Z1840" s="7" t="n"/>
      <c r="AA1840" s="9">
        <f>IF(A1840="","",A1840&amp;"|"&amp;COUNTIF($A$2:A1840,A1840))</f>
        <v/>
      </c>
    </row>
    <row r="1841">
      <c r="A1841" s="7" t="n"/>
      <c r="B1841" s="7" t="n"/>
      <c r="C1841" s="7" t="n"/>
      <c r="D1841" s="8" t="n"/>
      <c r="E1841" s="7" t="n"/>
      <c r="F1841" s="7" t="n"/>
      <c r="G1841" s="7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  <c r="R1841" s="7" t="n"/>
      <c r="S1841" s="7" t="n"/>
      <c r="T1841" s="7" t="n"/>
      <c r="U1841" s="7" t="n"/>
      <c r="V1841" s="7" t="n"/>
      <c r="W1841" s="7" t="n"/>
      <c r="X1841" s="7" t="n"/>
      <c r="Y1841" s="7" t="n"/>
      <c r="Z1841" s="7" t="n"/>
      <c r="AA1841" s="9">
        <f>IF(A1841="","",A1841&amp;"|"&amp;COUNTIF($A$2:A1841,A1841))</f>
        <v/>
      </c>
    </row>
    <row r="1842">
      <c r="A1842" s="7" t="n"/>
      <c r="B1842" s="7" t="n"/>
      <c r="C1842" s="7" t="n"/>
      <c r="D1842" s="8" t="n"/>
      <c r="E1842" s="7" t="n"/>
      <c r="F1842" s="7" t="n"/>
      <c r="G1842" s="7" t="n"/>
      <c r="H1842" s="7" t="n"/>
      <c r="I1842" s="7" t="n"/>
      <c r="J1842" s="7" t="n"/>
      <c r="K1842" s="7" t="n"/>
      <c r="L1842" s="7" t="n"/>
      <c r="M1842" s="7" t="n"/>
      <c r="N1842" s="7" t="n"/>
      <c r="O1842" s="7" t="n"/>
      <c r="P1842" s="7" t="n"/>
      <c r="Q1842" s="7" t="n"/>
      <c r="R1842" s="7" t="n"/>
      <c r="S1842" s="7" t="n"/>
      <c r="T1842" s="7" t="n"/>
      <c r="U1842" s="7" t="n"/>
      <c r="V1842" s="7" t="n"/>
      <c r="W1842" s="7" t="n"/>
      <c r="X1842" s="7" t="n"/>
      <c r="Y1842" s="7" t="n"/>
      <c r="Z1842" s="7" t="n"/>
      <c r="AA1842" s="9">
        <f>IF(A1842="","",A1842&amp;"|"&amp;COUNTIF($A$2:A1842,A1842))</f>
        <v/>
      </c>
    </row>
    <row r="1843">
      <c r="A1843" s="7" t="n"/>
      <c r="B1843" s="7" t="n"/>
      <c r="C1843" s="7" t="n"/>
      <c r="D1843" s="8" t="n"/>
      <c r="E1843" s="7" t="n"/>
      <c r="F1843" s="7" t="n"/>
      <c r="G1843" s="7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  <c r="R1843" s="7" t="n"/>
      <c r="S1843" s="7" t="n"/>
      <c r="T1843" s="7" t="n"/>
      <c r="U1843" s="7" t="n"/>
      <c r="V1843" s="7" t="n"/>
      <c r="W1843" s="7" t="n"/>
      <c r="X1843" s="7" t="n"/>
      <c r="Y1843" s="7" t="n"/>
      <c r="Z1843" s="7" t="n"/>
      <c r="AA1843" s="9">
        <f>IF(A1843="","",A1843&amp;"|"&amp;COUNTIF($A$2:A1843,A1843))</f>
        <v/>
      </c>
    </row>
    <row r="1844">
      <c r="A1844" s="7" t="n"/>
      <c r="B1844" s="7" t="n"/>
      <c r="C1844" s="7" t="n"/>
      <c r="D1844" s="8" t="n"/>
      <c r="E1844" s="7" t="n"/>
      <c r="F1844" s="7" t="n"/>
      <c r="G1844" s="7" t="n"/>
      <c r="H1844" s="7" t="n"/>
      <c r="I1844" s="7" t="n"/>
      <c r="J1844" s="7" t="n"/>
      <c r="K1844" s="7" t="n"/>
      <c r="L1844" s="7" t="n"/>
      <c r="M1844" s="7" t="n"/>
      <c r="N1844" s="7" t="n"/>
      <c r="O1844" s="7" t="n"/>
      <c r="P1844" s="7" t="n"/>
      <c r="Q1844" s="7" t="n"/>
      <c r="R1844" s="7" t="n"/>
      <c r="S1844" s="7" t="n"/>
      <c r="T1844" s="7" t="n"/>
      <c r="U1844" s="7" t="n"/>
      <c r="V1844" s="7" t="n"/>
      <c r="W1844" s="7" t="n"/>
      <c r="X1844" s="7" t="n"/>
      <c r="Y1844" s="7" t="n"/>
      <c r="Z1844" s="7" t="n"/>
      <c r="AA1844" s="9">
        <f>IF(A1844="","",A1844&amp;"|"&amp;COUNTIF($A$2:A1844,A1844))</f>
        <v/>
      </c>
    </row>
    <row r="1845">
      <c r="A1845" s="7" t="n"/>
      <c r="B1845" s="7" t="n"/>
      <c r="C1845" s="7" t="n"/>
      <c r="D1845" s="8" t="n"/>
      <c r="E1845" s="7" t="n"/>
      <c r="F1845" s="7" t="n"/>
      <c r="G1845" s="7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  <c r="R1845" s="7" t="n"/>
      <c r="S1845" s="7" t="n"/>
      <c r="T1845" s="7" t="n"/>
      <c r="U1845" s="7" t="n"/>
      <c r="V1845" s="7" t="n"/>
      <c r="W1845" s="7" t="n"/>
      <c r="X1845" s="7" t="n"/>
      <c r="Y1845" s="7" t="n"/>
      <c r="Z1845" s="7" t="n"/>
      <c r="AA1845" s="9">
        <f>IF(A1845="","",A1845&amp;"|"&amp;COUNTIF($A$2:A1845,A1845))</f>
        <v/>
      </c>
    </row>
    <row r="1846">
      <c r="A1846" s="7" t="n"/>
      <c r="B1846" s="7" t="n"/>
      <c r="C1846" s="7" t="n"/>
      <c r="D1846" s="8" t="n"/>
      <c r="E1846" s="7" t="n"/>
      <c r="F1846" s="7" t="n"/>
      <c r="G1846" s="7" t="n"/>
      <c r="H1846" s="7" t="n"/>
      <c r="I1846" s="7" t="n"/>
      <c r="J1846" s="7" t="n"/>
      <c r="K1846" s="7" t="n"/>
      <c r="L1846" s="7" t="n"/>
      <c r="M1846" s="7" t="n"/>
      <c r="N1846" s="7" t="n"/>
      <c r="O1846" s="7" t="n"/>
      <c r="P1846" s="7" t="n"/>
      <c r="Q1846" s="7" t="n"/>
      <c r="R1846" s="7" t="n"/>
      <c r="S1846" s="7" t="n"/>
      <c r="T1846" s="7" t="n"/>
      <c r="U1846" s="7" t="n"/>
      <c r="V1846" s="7" t="n"/>
      <c r="W1846" s="7" t="n"/>
      <c r="X1846" s="7" t="n"/>
      <c r="Y1846" s="7" t="n"/>
      <c r="Z1846" s="7" t="n"/>
      <c r="AA1846" s="9">
        <f>IF(A1846="","",A1846&amp;"|"&amp;COUNTIF($A$2:A1846,A1846))</f>
        <v/>
      </c>
    </row>
    <row r="1847">
      <c r="A1847" s="7" t="n"/>
      <c r="B1847" s="7" t="n"/>
      <c r="C1847" s="7" t="n"/>
      <c r="D1847" s="8" t="n"/>
      <c r="E1847" s="7" t="n"/>
      <c r="F1847" s="7" t="n"/>
      <c r="G1847" s="7" t="n"/>
      <c r="H1847" s="7" t="n"/>
      <c r="I1847" s="7" t="n"/>
      <c r="J1847" s="7" t="n"/>
      <c r="K1847" s="7" t="n"/>
      <c r="L1847" s="7" t="n"/>
      <c r="M1847" s="7" t="n"/>
      <c r="N1847" s="7" t="n"/>
      <c r="O1847" s="7" t="n"/>
      <c r="P1847" s="7" t="n"/>
      <c r="Q1847" s="7" t="n"/>
      <c r="R1847" s="7" t="n"/>
      <c r="S1847" s="7" t="n"/>
      <c r="T1847" s="7" t="n"/>
      <c r="U1847" s="7" t="n"/>
      <c r="V1847" s="7" t="n"/>
      <c r="W1847" s="7" t="n"/>
      <c r="X1847" s="7" t="n"/>
      <c r="Y1847" s="7" t="n"/>
      <c r="Z1847" s="7" t="n"/>
      <c r="AA1847" s="9">
        <f>IF(A1847="","",A1847&amp;"|"&amp;COUNTIF($A$2:A1847,A1847))</f>
        <v/>
      </c>
    </row>
    <row r="1848">
      <c r="A1848" s="7" t="n"/>
      <c r="B1848" s="7" t="n"/>
      <c r="C1848" s="7" t="n"/>
      <c r="D1848" s="8" t="n"/>
      <c r="E1848" s="7" t="n"/>
      <c r="F1848" s="7" t="n"/>
      <c r="G1848" s="7" t="n"/>
      <c r="H1848" s="7" t="n"/>
      <c r="I1848" s="7" t="n"/>
      <c r="J1848" s="7" t="n"/>
      <c r="K1848" s="7" t="n"/>
      <c r="L1848" s="7" t="n"/>
      <c r="M1848" s="7" t="n"/>
      <c r="N1848" s="7" t="n"/>
      <c r="O1848" s="7" t="n"/>
      <c r="P1848" s="7" t="n"/>
      <c r="Q1848" s="7" t="n"/>
      <c r="R1848" s="7" t="n"/>
      <c r="S1848" s="7" t="n"/>
      <c r="T1848" s="7" t="n"/>
      <c r="U1848" s="7" t="n"/>
      <c r="V1848" s="7" t="n"/>
      <c r="W1848" s="7" t="n"/>
      <c r="X1848" s="7" t="n"/>
      <c r="Y1848" s="7" t="n"/>
      <c r="Z1848" s="7" t="n"/>
      <c r="AA1848" s="9">
        <f>IF(A1848="","",A1848&amp;"|"&amp;COUNTIF($A$2:A1848,A1848))</f>
        <v/>
      </c>
    </row>
    <row r="1849">
      <c r="A1849" s="7" t="n"/>
      <c r="B1849" s="7" t="n"/>
      <c r="C1849" s="7" t="n"/>
      <c r="D1849" s="8" t="n"/>
      <c r="E1849" s="7" t="n"/>
      <c r="F1849" s="7" t="n"/>
      <c r="G1849" s="7" t="n"/>
      <c r="H1849" s="7" t="n"/>
      <c r="I1849" s="7" t="n"/>
      <c r="J1849" s="7" t="n"/>
      <c r="K1849" s="7" t="n"/>
      <c r="L1849" s="7" t="n"/>
      <c r="M1849" s="7" t="n"/>
      <c r="N1849" s="7" t="n"/>
      <c r="O1849" s="7" t="n"/>
      <c r="P1849" s="7" t="n"/>
      <c r="Q1849" s="7" t="n"/>
      <c r="R1849" s="7" t="n"/>
      <c r="S1849" s="7" t="n"/>
      <c r="T1849" s="7" t="n"/>
      <c r="U1849" s="7" t="n"/>
      <c r="V1849" s="7" t="n"/>
      <c r="W1849" s="7" t="n"/>
      <c r="X1849" s="7" t="n"/>
      <c r="Y1849" s="7" t="n"/>
      <c r="Z1849" s="7" t="n"/>
      <c r="AA1849" s="9">
        <f>IF(A1849="","",A1849&amp;"|"&amp;COUNTIF($A$2:A1849,A1849))</f>
        <v/>
      </c>
    </row>
    <row r="1850">
      <c r="A1850" s="7" t="n"/>
      <c r="B1850" s="7" t="n"/>
      <c r="C1850" s="7" t="n"/>
      <c r="D1850" s="8" t="n"/>
      <c r="E1850" s="7" t="n"/>
      <c r="F1850" s="7" t="n"/>
      <c r="G1850" s="7" t="n"/>
      <c r="H1850" s="7" t="n"/>
      <c r="I1850" s="7" t="n"/>
      <c r="J1850" s="7" t="n"/>
      <c r="K1850" s="7" t="n"/>
      <c r="L1850" s="7" t="n"/>
      <c r="M1850" s="7" t="n"/>
      <c r="N1850" s="7" t="n"/>
      <c r="O1850" s="7" t="n"/>
      <c r="P1850" s="7" t="n"/>
      <c r="Q1850" s="7" t="n"/>
      <c r="R1850" s="7" t="n"/>
      <c r="S1850" s="7" t="n"/>
      <c r="T1850" s="7" t="n"/>
      <c r="U1850" s="7" t="n"/>
      <c r="V1850" s="7" t="n"/>
      <c r="W1850" s="7" t="n"/>
      <c r="X1850" s="7" t="n"/>
      <c r="Y1850" s="7" t="n"/>
      <c r="Z1850" s="7" t="n"/>
      <c r="AA1850" s="9">
        <f>IF(A1850="","",A1850&amp;"|"&amp;COUNTIF($A$2:A1850,A1850))</f>
        <v/>
      </c>
    </row>
    <row r="1851">
      <c r="A1851" s="7" t="n"/>
      <c r="B1851" s="7" t="n"/>
      <c r="C1851" s="7" t="n"/>
      <c r="D1851" s="8" t="n"/>
      <c r="E1851" s="7" t="n"/>
      <c r="F1851" s="7" t="n"/>
      <c r="G1851" s="7" t="n"/>
      <c r="H1851" s="7" t="n"/>
      <c r="I1851" s="7" t="n"/>
      <c r="J1851" s="7" t="n"/>
      <c r="K1851" s="7" t="n"/>
      <c r="L1851" s="7" t="n"/>
      <c r="M1851" s="7" t="n"/>
      <c r="N1851" s="7" t="n"/>
      <c r="O1851" s="7" t="n"/>
      <c r="P1851" s="7" t="n"/>
      <c r="Q1851" s="7" t="n"/>
      <c r="R1851" s="7" t="n"/>
      <c r="S1851" s="7" t="n"/>
      <c r="T1851" s="7" t="n"/>
      <c r="U1851" s="7" t="n"/>
      <c r="V1851" s="7" t="n"/>
      <c r="W1851" s="7" t="n"/>
      <c r="X1851" s="7" t="n"/>
      <c r="Y1851" s="7" t="n"/>
      <c r="Z1851" s="7" t="n"/>
      <c r="AA1851" s="9">
        <f>IF(A1851="","",A1851&amp;"|"&amp;COUNTIF($A$2:A1851,A1851))</f>
        <v/>
      </c>
    </row>
    <row r="1852">
      <c r="A1852" s="7" t="n"/>
      <c r="B1852" s="7" t="n"/>
      <c r="C1852" s="7" t="n"/>
      <c r="D1852" s="8" t="n"/>
      <c r="E1852" s="7" t="n"/>
      <c r="F1852" s="7" t="n"/>
      <c r="G1852" s="7" t="n"/>
      <c r="H1852" s="7" t="n"/>
      <c r="I1852" s="7" t="n"/>
      <c r="J1852" s="7" t="n"/>
      <c r="K1852" s="7" t="n"/>
      <c r="L1852" s="7" t="n"/>
      <c r="M1852" s="7" t="n"/>
      <c r="N1852" s="7" t="n"/>
      <c r="O1852" s="7" t="n"/>
      <c r="P1852" s="7" t="n"/>
      <c r="Q1852" s="7" t="n"/>
      <c r="R1852" s="7" t="n"/>
      <c r="S1852" s="7" t="n"/>
      <c r="T1852" s="7" t="n"/>
      <c r="U1852" s="7" t="n"/>
      <c r="V1852" s="7" t="n"/>
      <c r="W1852" s="7" t="n"/>
      <c r="X1852" s="7" t="n"/>
      <c r="Y1852" s="7" t="n"/>
      <c r="Z1852" s="7" t="n"/>
      <c r="AA1852" s="9">
        <f>IF(A1852="","",A1852&amp;"|"&amp;COUNTIF($A$2:A1852,A1852))</f>
        <v/>
      </c>
    </row>
    <row r="1853">
      <c r="A1853" s="7" t="n"/>
      <c r="B1853" s="7" t="n"/>
      <c r="C1853" s="7" t="n"/>
      <c r="D1853" s="8" t="n"/>
      <c r="E1853" s="7" t="n"/>
      <c r="F1853" s="7" t="n"/>
      <c r="G1853" s="7" t="n"/>
      <c r="H1853" s="7" t="n"/>
      <c r="I1853" s="7" t="n"/>
      <c r="J1853" s="7" t="n"/>
      <c r="K1853" s="7" t="n"/>
      <c r="L1853" s="7" t="n"/>
      <c r="M1853" s="7" t="n"/>
      <c r="N1853" s="7" t="n"/>
      <c r="O1853" s="7" t="n"/>
      <c r="P1853" s="7" t="n"/>
      <c r="Q1853" s="7" t="n"/>
      <c r="R1853" s="7" t="n"/>
      <c r="S1853" s="7" t="n"/>
      <c r="T1853" s="7" t="n"/>
      <c r="U1853" s="7" t="n"/>
      <c r="V1853" s="7" t="n"/>
      <c r="W1853" s="7" t="n"/>
      <c r="X1853" s="7" t="n"/>
      <c r="Y1853" s="7" t="n"/>
      <c r="Z1853" s="7" t="n"/>
      <c r="AA1853" s="9">
        <f>IF(A1853="","",A1853&amp;"|"&amp;COUNTIF($A$2:A1853,A1853))</f>
        <v/>
      </c>
    </row>
    <row r="1854">
      <c r="A1854" s="7" t="n"/>
      <c r="B1854" s="7" t="n"/>
      <c r="C1854" s="7" t="n"/>
      <c r="D1854" s="8" t="n"/>
      <c r="E1854" s="7" t="n"/>
      <c r="F1854" s="7" t="n"/>
      <c r="G1854" s="7" t="n"/>
      <c r="H1854" s="7" t="n"/>
      <c r="I1854" s="7" t="n"/>
      <c r="J1854" s="7" t="n"/>
      <c r="K1854" s="7" t="n"/>
      <c r="L1854" s="7" t="n"/>
      <c r="M1854" s="7" t="n"/>
      <c r="N1854" s="7" t="n"/>
      <c r="O1854" s="7" t="n"/>
      <c r="P1854" s="7" t="n"/>
      <c r="Q1854" s="7" t="n"/>
      <c r="R1854" s="7" t="n"/>
      <c r="S1854" s="7" t="n"/>
      <c r="T1854" s="7" t="n"/>
      <c r="U1854" s="7" t="n"/>
      <c r="V1854" s="7" t="n"/>
      <c r="W1854" s="7" t="n"/>
      <c r="X1854" s="7" t="n"/>
      <c r="Y1854" s="7" t="n"/>
      <c r="Z1854" s="7" t="n"/>
      <c r="AA1854" s="9">
        <f>IF(A1854="","",A1854&amp;"|"&amp;COUNTIF($A$2:A1854,A1854))</f>
        <v/>
      </c>
    </row>
    <row r="1855">
      <c r="A1855" s="7" t="n"/>
      <c r="B1855" s="7" t="n"/>
      <c r="C1855" s="7" t="n"/>
      <c r="D1855" s="8" t="n"/>
      <c r="E1855" s="7" t="n"/>
      <c r="F1855" s="7" t="n"/>
      <c r="G1855" s="7" t="n"/>
      <c r="H1855" s="7" t="n"/>
      <c r="I1855" s="7" t="n"/>
      <c r="J1855" s="7" t="n"/>
      <c r="K1855" s="7" t="n"/>
      <c r="L1855" s="7" t="n"/>
      <c r="M1855" s="7" t="n"/>
      <c r="N1855" s="7" t="n"/>
      <c r="O1855" s="7" t="n"/>
      <c r="P1855" s="7" t="n"/>
      <c r="Q1855" s="7" t="n"/>
      <c r="R1855" s="7" t="n"/>
      <c r="S1855" s="7" t="n"/>
      <c r="T1855" s="7" t="n"/>
      <c r="U1855" s="7" t="n"/>
      <c r="V1855" s="7" t="n"/>
      <c r="W1855" s="7" t="n"/>
      <c r="X1855" s="7" t="n"/>
      <c r="Y1855" s="7" t="n"/>
      <c r="Z1855" s="7" t="n"/>
      <c r="AA1855" s="9">
        <f>IF(A1855="","",A1855&amp;"|"&amp;COUNTIF($A$2:A1855,A1855))</f>
        <v/>
      </c>
    </row>
    <row r="1856">
      <c r="A1856" s="7" t="n"/>
      <c r="B1856" s="7" t="n"/>
      <c r="C1856" s="7" t="n"/>
      <c r="D1856" s="8" t="n"/>
      <c r="E1856" s="7" t="n"/>
      <c r="F1856" s="7" t="n"/>
      <c r="G1856" s="7" t="n"/>
      <c r="H1856" s="7" t="n"/>
      <c r="I1856" s="7" t="n"/>
      <c r="J1856" s="7" t="n"/>
      <c r="K1856" s="7" t="n"/>
      <c r="L1856" s="7" t="n"/>
      <c r="M1856" s="7" t="n"/>
      <c r="N1856" s="7" t="n"/>
      <c r="O1856" s="7" t="n"/>
      <c r="P1856" s="7" t="n"/>
      <c r="Q1856" s="7" t="n"/>
      <c r="R1856" s="7" t="n"/>
      <c r="S1856" s="7" t="n"/>
      <c r="T1856" s="7" t="n"/>
      <c r="U1856" s="7" t="n"/>
      <c r="V1856" s="7" t="n"/>
      <c r="W1856" s="7" t="n"/>
      <c r="X1856" s="7" t="n"/>
      <c r="Y1856" s="7" t="n"/>
      <c r="Z1856" s="7" t="n"/>
      <c r="AA1856" s="9">
        <f>IF(A1856="","",A1856&amp;"|"&amp;COUNTIF($A$2:A1856,A1856))</f>
        <v/>
      </c>
    </row>
    <row r="1857">
      <c r="A1857" s="7" t="n"/>
      <c r="B1857" s="7" t="n"/>
      <c r="C1857" s="7" t="n"/>
      <c r="D1857" s="8" t="n"/>
      <c r="E1857" s="7" t="n"/>
      <c r="F1857" s="7" t="n"/>
      <c r="G1857" s="7" t="n"/>
      <c r="H1857" s="7" t="n"/>
      <c r="I1857" s="7" t="n"/>
      <c r="J1857" s="7" t="n"/>
      <c r="K1857" s="7" t="n"/>
      <c r="L1857" s="7" t="n"/>
      <c r="M1857" s="7" t="n"/>
      <c r="N1857" s="7" t="n"/>
      <c r="O1857" s="7" t="n"/>
      <c r="P1857" s="7" t="n"/>
      <c r="Q1857" s="7" t="n"/>
      <c r="R1857" s="7" t="n"/>
      <c r="S1857" s="7" t="n"/>
      <c r="T1857" s="7" t="n"/>
      <c r="U1857" s="7" t="n"/>
      <c r="V1857" s="7" t="n"/>
      <c r="W1857" s="7" t="n"/>
      <c r="X1857" s="7" t="n"/>
      <c r="Y1857" s="7" t="n"/>
      <c r="Z1857" s="7" t="n"/>
      <c r="AA1857" s="9">
        <f>IF(A1857="","",A1857&amp;"|"&amp;COUNTIF($A$2:A1857,A1857))</f>
        <v/>
      </c>
    </row>
    <row r="1858">
      <c r="A1858" s="7" t="n"/>
      <c r="B1858" s="7" t="n"/>
      <c r="C1858" s="7" t="n"/>
      <c r="D1858" s="8" t="n"/>
      <c r="E1858" s="7" t="n"/>
      <c r="F1858" s="7" t="n"/>
      <c r="G1858" s="7" t="n"/>
      <c r="H1858" s="7" t="n"/>
      <c r="I1858" s="7" t="n"/>
      <c r="J1858" s="7" t="n"/>
      <c r="K1858" s="7" t="n"/>
      <c r="L1858" s="7" t="n"/>
      <c r="M1858" s="7" t="n"/>
      <c r="N1858" s="7" t="n"/>
      <c r="O1858" s="7" t="n"/>
      <c r="P1858" s="7" t="n"/>
      <c r="Q1858" s="7" t="n"/>
      <c r="R1858" s="7" t="n"/>
      <c r="S1858" s="7" t="n"/>
      <c r="T1858" s="7" t="n"/>
      <c r="U1858" s="7" t="n"/>
      <c r="V1858" s="7" t="n"/>
      <c r="W1858" s="7" t="n"/>
      <c r="X1858" s="7" t="n"/>
      <c r="Y1858" s="7" t="n"/>
      <c r="Z1858" s="7" t="n"/>
      <c r="AA1858" s="9">
        <f>IF(A1858="","",A1858&amp;"|"&amp;COUNTIF($A$2:A1858,A1858))</f>
        <v/>
      </c>
    </row>
    <row r="1859">
      <c r="A1859" s="7" t="n"/>
      <c r="B1859" s="7" t="n"/>
      <c r="C1859" s="7" t="n"/>
      <c r="D1859" s="8" t="n"/>
      <c r="E1859" s="7" t="n"/>
      <c r="F1859" s="7" t="n"/>
      <c r="G1859" s="7" t="n"/>
      <c r="H1859" s="7" t="n"/>
      <c r="I1859" s="7" t="n"/>
      <c r="J1859" s="7" t="n"/>
      <c r="K1859" s="7" t="n"/>
      <c r="L1859" s="7" t="n"/>
      <c r="M1859" s="7" t="n"/>
      <c r="N1859" s="7" t="n"/>
      <c r="O1859" s="7" t="n"/>
      <c r="P1859" s="7" t="n"/>
      <c r="Q1859" s="7" t="n"/>
      <c r="R1859" s="7" t="n"/>
      <c r="S1859" s="7" t="n"/>
      <c r="T1859" s="7" t="n"/>
      <c r="U1859" s="7" t="n"/>
      <c r="V1859" s="7" t="n"/>
      <c r="W1859" s="7" t="n"/>
      <c r="X1859" s="7" t="n"/>
      <c r="Y1859" s="7" t="n"/>
      <c r="Z1859" s="7" t="n"/>
      <c r="AA1859" s="9">
        <f>IF(A1859="","",A1859&amp;"|"&amp;COUNTIF($A$2:A1859,A1859))</f>
        <v/>
      </c>
    </row>
    <row r="1860">
      <c r="A1860" s="7" t="n"/>
      <c r="B1860" s="7" t="n"/>
      <c r="C1860" s="7" t="n"/>
      <c r="D1860" s="8" t="n"/>
      <c r="E1860" s="7" t="n"/>
      <c r="F1860" s="7" t="n"/>
      <c r="G1860" s="7" t="n"/>
      <c r="H1860" s="7" t="n"/>
      <c r="I1860" s="7" t="n"/>
      <c r="J1860" s="7" t="n"/>
      <c r="K1860" s="7" t="n"/>
      <c r="L1860" s="7" t="n"/>
      <c r="M1860" s="7" t="n"/>
      <c r="N1860" s="7" t="n"/>
      <c r="O1860" s="7" t="n"/>
      <c r="P1860" s="7" t="n"/>
      <c r="Q1860" s="7" t="n"/>
      <c r="R1860" s="7" t="n"/>
      <c r="S1860" s="7" t="n"/>
      <c r="T1860" s="7" t="n"/>
      <c r="U1860" s="7" t="n"/>
      <c r="V1860" s="7" t="n"/>
      <c r="W1860" s="7" t="n"/>
      <c r="X1860" s="7" t="n"/>
      <c r="Y1860" s="7" t="n"/>
      <c r="Z1860" s="7" t="n"/>
      <c r="AA1860" s="9">
        <f>IF(A1860="","",A1860&amp;"|"&amp;COUNTIF($A$2:A1860,A1860))</f>
        <v/>
      </c>
    </row>
    <row r="1861">
      <c r="A1861" s="7" t="n"/>
      <c r="B1861" s="7" t="n"/>
      <c r="C1861" s="7" t="n"/>
      <c r="D1861" s="8" t="n"/>
      <c r="E1861" s="7" t="n"/>
      <c r="F1861" s="7" t="n"/>
      <c r="G1861" s="7" t="n"/>
      <c r="H1861" s="7" t="n"/>
      <c r="I1861" s="7" t="n"/>
      <c r="J1861" s="7" t="n"/>
      <c r="K1861" s="7" t="n"/>
      <c r="L1861" s="7" t="n"/>
      <c r="M1861" s="7" t="n"/>
      <c r="N1861" s="7" t="n"/>
      <c r="O1861" s="7" t="n"/>
      <c r="P1861" s="7" t="n"/>
      <c r="Q1861" s="7" t="n"/>
      <c r="R1861" s="7" t="n"/>
      <c r="S1861" s="7" t="n"/>
      <c r="T1861" s="7" t="n"/>
      <c r="U1861" s="7" t="n"/>
      <c r="V1861" s="7" t="n"/>
      <c r="W1861" s="7" t="n"/>
      <c r="X1861" s="7" t="n"/>
      <c r="Y1861" s="7" t="n"/>
      <c r="Z1861" s="7" t="n"/>
      <c r="AA1861" s="9">
        <f>IF(A1861="","",A1861&amp;"|"&amp;COUNTIF($A$2:A1861,A1861))</f>
        <v/>
      </c>
    </row>
    <row r="1862">
      <c r="A1862" s="7" t="n"/>
      <c r="B1862" s="7" t="n"/>
      <c r="C1862" s="7" t="n"/>
      <c r="D1862" s="8" t="n"/>
      <c r="E1862" s="7" t="n"/>
      <c r="F1862" s="7" t="n"/>
      <c r="G1862" s="7" t="n"/>
      <c r="H1862" s="7" t="n"/>
      <c r="I1862" s="7" t="n"/>
      <c r="J1862" s="7" t="n"/>
      <c r="K1862" s="7" t="n"/>
      <c r="L1862" s="7" t="n"/>
      <c r="M1862" s="7" t="n"/>
      <c r="N1862" s="7" t="n"/>
      <c r="O1862" s="7" t="n"/>
      <c r="P1862" s="7" t="n"/>
      <c r="Q1862" s="7" t="n"/>
      <c r="R1862" s="7" t="n"/>
      <c r="S1862" s="7" t="n"/>
      <c r="T1862" s="7" t="n"/>
      <c r="U1862" s="7" t="n"/>
      <c r="V1862" s="7" t="n"/>
      <c r="W1862" s="7" t="n"/>
      <c r="X1862" s="7" t="n"/>
      <c r="Y1862" s="7" t="n"/>
      <c r="Z1862" s="7" t="n"/>
      <c r="AA1862" s="9">
        <f>IF(A1862="","",A1862&amp;"|"&amp;COUNTIF($A$2:A1862,A1862))</f>
        <v/>
      </c>
    </row>
    <row r="1863">
      <c r="A1863" s="7" t="n"/>
      <c r="B1863" s="7" t="n"/>
      <c r="C1863" s="7" t="n"/>
      <c r="D1863" s="8" t="n"/>
      <c r="E1863" s="7" t="n"/>
      <c r="F1863" s="7" t="n"/>
      <c r="G1863" s="7" t="n"/>
      <c r="H1863" s="7" t="n"/>
      <c r="I1863" s="7" t="n"/>
      <c r="J1863" s="7" t="n"/>
      <c r="K1863" s="7" t="n"/>
      <c r="L1863" s="7" t="n"/>
      <c r="M1863" s="7" t="n"/>
      <c r="N1863" s="7" t="n"/>
      <c r="O1863" s="7" t="n"/>
      <c r="P1863" s="7" t="n"/>
      <c r="Q1863" s="7" t="n"/>
      <c r="R1863" s="7" t="n"/>
      <c r="S1863" s="7" t="n"/>
      <c r="T1863" s="7" t="n"/>
      <c r="U1863" s="7" t="n"/>
      <c r="V1863" s="7" t="n"/>
      <c r="W1863" s="7" t="n"/>
      <c r="X1863" s="7" t="n"/>
      <c r="Y1863" s="7" t="n"/>
      <c r="Z1863" s="7" t="n"/>
      <c r="AA1863" s="9">
        <f>IF(A1863="","",A1863&amp;"|"&amp;COUNTIF($A$2:A1863,A1863))</f>
        <v/>
      </c>
    </row>
    <row r="1864">
      <c r="A1864" s="7" t="n"/>
      <c r="B1864" s="7" t="n"/>
      <c r="C1864" s="7" t="n"/>
      <c r="D1864" s="8" t="n"/>
      <c r="E1864" s="7" t="n"/>
      <c r="F1864" s="7" t="n"/>
      <c r="G1864" s="7" t="n"/>
      <c r="H1864" s="7" t="n"/>
      <c r="I1864" s="7" t="n"/>
      <c r="J1864" s="7" t="n"/>
      <c r="K1864" s="7" t="n"/>
      <c r="L1864" s="7" t="n"/>
      <c r="M1864" s="7" t="n"/>
      <c r="N1864" s="7" t="n"/>
      <c r="O1864" s="7" t="n"/>
      <c r="P1864" s="7" t="n"/>
      <c r="Q1864" s="7" t="n"/>
      <c r="R1864" s="7" t="n"/>
      <c r="S1864" s="7" t="n"/>
      <c r="T1864" s="7" t="n"/>
      <c r="U1864" s="7" t="n"/>
      <c r="V1864" s="7" t="n"/>
      <c r="W1864" s="7" t="n"/>
      <c r="X1864" s="7" t="n"/>
      <c r="Y1864" s="7" t="n"/>
      <c r="Z1864" s="7" t="n"/>
      <c r="AA1864" s="9">
        <f>IF(A1864="","",A1864&amp;"|"&amp;COUNTIF($A$2:A1864,A1864))</f>
        <v/>
      </c>
    </row>
    <row r="1865">
      <c r="A1865" s="7" t="n"/>
      <c r="B1865" s="7" t="n"/>
      <c r="C1865" s="7" t="n"/>
      <c r="D1865" s="8" t="n"/>
      <c r="E1865" s="7" t="n"/>
      <c r="F1865" s="7" t="n"/>
      <c r="G1865" s="7" t="n"/>
      <c r="H1865" s="7" t="n"/>
      <c r="I1865" s="7" t="n"/>
      <c r="J1865" s="7" t="n"/>
      <c r="K1865" s="7" t="n"/>
      <c r="L1865" s="7" t="n"/>
      <c r="M1865" s="7" t="n"/>
      <c r="N1865" s="7" t="n"/>
      <c r="O1865" s="7" t="n"/>
      <c r="P1865" s="7" t="n"/>
      <c r="Q1865" s="7" t="n"/>
      <c r="R1865" s="7" t="n"/>
      <c r="S1865" s="7" t="n"/>
      <c r="T1865" s="7" t="n"/>
      <c r="U1865" s="7" t="n"/>
      <c r="V1865" s="7" t="n"/>
      <c r="W1865" s="7" t="n"/>
      <c r="X1865" s="7" t="n"/>
      <c r="Y1865" s="7" t="n"/>
      <c r="Z1865" s="7" t="n"/>
      <c r="AA1865" s="9">
        <f>IF(A1865="","",A1865&amp;"|"&amp;COUNTIF($A$2:A1865,A1865))</f>
        <v/>
      </c>
    </row>
    <row r="1866">
      <c r="A1866" s="7" t="n"/>
      <c r="B1866" s="7" t="n"/>
      <c r="C1866" s="7" t="n"/>
      <c r="D1866" s="8" t="n"/>
      <c r="E1866" s="7" t="n"/>
      <c r="F1866" s="7" t="n"/>
      <c r="G1866" s="7" t="n"/>
      <c r="H1866" s="7" t="n"/>
      <c r="I1866" s="7" t="n"/>
      <c r="J1866" s="7" t="n"/>
      <c r="K1866" s="7" t="n"/>
      <c r="L1866" s="7" t="n"/>
      <c r="M1866" s="7" t="n"/>
      <c r="N1866" s="7" t="n"/>
      <c r="O1866" s="7" t="n"/>
      <c r="P1866" s="7" t="n"/>
      <c r="Q1866" s="7" t="n"/>
      <c r="R1866" s="7" t="n"/>
      <c r="S1866" s="7" t="n"/>
      <c r="T1866" s="7" t="n"/>
      <c r="U1866" s="7" t="n"/>
      <c r="V1866" s="7" t="n"/>
      <c r="W1866" s="7" t="n"/>
      <c r="X1866" s="7" t="n"/>
      <c r="Y1866" s="7" t="n"/>
      <c r="Z1866" s="7" t="n"/>
      <c r="AA1866" s="9">
        <f>IF(A1866="","",A1866&amp;"|"&amp;COUNTIF($A$2:A1866,A1866))</f>
        <v/>
      </c>
    </row>
    <row r="1867">
      <c r="A1867" s="7" t="n"/>
      <c r="B1867" s="7" t="n"/>
      <c r="C1867" s="7" t="n"/>
      <c r="D1867" s="8" t="n"/>
      <c r="E1867" s="7" t="n"/>
      <c r="F1867" s="7" t="n"/>
      <c r="G1867" s="7" t="n"/>
      <c r="H1867" s="7" t="n"/>
      <c r="I1867" s="7" t="n"/>
      <c r="J1867" s="7" t="n"/>
      <c r="K1867" s="7" t="n"/>
      <c r="L1867" s="7" t="n"/>
      <c r="M1867" s="7" t="n"/>
      <c r="N1867" s="7" t="n"/>
      <c r="O1867" s="7" t="n"/>
      <c r="P1867" s="7" t="n"/>
      <c r="Q1867" s="7" t="n"/>
      <c r="R1867" s="7" t="n"/>
      <c r="S1867" s="7" t="n"/>
      <c r="T1867" s="7" t="n"/>
      <c r="U1867" s="7" t="n"/>
      <c r="V1867" s="7" t="n"/>
      <c r="W1867" s="7" t="n"/>
      <c r="X1867" s="7" t="n"/>
      <c r="Y1867" s="7" t="n"/>
      <c r="Z1867" s="7" t="n"/>
      <c r="AA1867" s="9">
        <f>IF(A1867="","",A1867&amp;"|"&amp;COUNTIF($A$2:A1867,A1867))</f>
        <v/>
      </c>
    </row>
    <row r="1868">
      <c r="A1868" s="7" t="n"/>
      <c r="B1868" s="7" t="n"/>
      <c r="C1868" s="7" t="n"/>
      <c r="D1868" s="8" t="n"/>
      <c r="E1868" s="7" t="n"/>
      <c r="F1868" s="7" t="n"/>
      <c r="G1868" s="7" t="n"/>
      <c r="H1868" s="7" t="n"/>
      <c r="I1868" s="7" t="n"/>
      <c r="J1868" s="7" t="n"/>
      <c r="K1868" s="7" t="n"/>
      <c r="L1868" s="7" t="n"/>
      <c r="M1868" s="7" t="n"/>
      <c r="N1868" s="7" t="n"/>
      <c r="O1868" s="7" t="n"/>
      <c r="P1868" s="7" t="n"/>
      <c r="Q1868" s="7" t="n"/>
      <c r="R1868" s="7" t="n"/>
      <c r="S1868" s="7" t="n"/>
      <c r="T1868" s="7" t="n"/>
      <c r="U1868" s="7" t="n"/>
      <c r="V1868" s="7" t="n"/>
      <c r="W1868" s="7" t="n"/>
      <c r="X1868" s="7" t="n"/>
      <c r="Y1868" s="7" t="n"/>
      <c r="Z1868" s="7" t="n"/>
      <c r="AA1868" s="9">
        <f>IF(A1868="","",A1868&amp;"|"&amp;COUNTIF($A$2:A1868,A1868))</f>
        <v/>
      </c>
    </row>
    <row r="1869">
      <c r="A1869" s="7" t="n"/>
      <c r="B1869" s="7" t="n"/>
      <c r="C1869" s="7" t="n"/>
      <c r="D1869" s="8" t="n"/>
      <c r="E1869" s="7" t="n"/>
      <c r="F1869" s="7" t="n"/>
      <c r="G1869" s="7" t="n"/>
      <c r="H1869" s="7" t="n"/>
      <c r="I1869" s="7" t="n"/>
      <c r="J1869" s="7" t="n"/>
      <c r="K1869" s="7" t="n"/>
      <c r="L1869" s="7" t="n"/>
      <c r="M1869" s="7" t="n"/>
      <c r="N1869" s="7" t="n"/>
      <c r="O1869" s="7" t="n"/>
      <c r="P1869" s="7" t="n"/>
      <c r="Q1869" s="7" t="n"/>
      <c r="R1869" s="7" t="n"/>
      <c r="S1869" s="7" t="n"/>
      <c r="T1869" s="7" t="n"/>
      <c r="U1869" s="7" t="n"/>
      <c r="V1869" s="7" t="n"/>
      <c r="W1869" s="7" t="n"/>
      <c r="X1869" s="7" t="n"/>
      <c r="Y1869" s="7" t="n"/>
      <c r="Z1869" s="7" t="n"/>
      <c r="AA1869" s="9">
        <f>IF(A1869="","",A1869&amp;"|"&amp;COUNTIF($A$2:A1869,A1869))</f>
        <v/>
      </c>
    </row>
    <row r="1870">
      <c r="A1870" s="7" t="n"/>
      <c r="B1870" s="7" t="n"/>
      <c r="C1870" s="7" t="n"/>
      <c r="D1870" s="8" t="n"/>
      <c r="E1870" s="7" t="n"/>
      <c r="F1870" s="7" t="n"/>
      <c r="G1870" s="7" t="n"/>
      <c r="H1870" s="7" t="n"/>
      <c r="I1870" s="7" t="n"/>
      <c r="J1870" s="7" t="n"/>
      <c r="K1870" s="7" t="n"/>
      <c r="L1870" s="7" t="n"/>
      <c r="M1870" s="7" t="n"/>
      <c r="N1870" s="7" t="n"/>
      <c r="O1870" s="7" t="n"/>
      <c r="P1870" s="7" t="n"/>
      <c r="Q1870" s="7" t="n"/>
      <c r="R1870" s="7" t="n"/>
      <c r="S1870" s="7" t="n"/>
      <c r="T1870" s="7" t="n"/>
      <c r="U1870" s="7" t="n"/>
      <c r="V1870" s="7" t="n"/>
      <c r="W1870" s="7" t="n"/>
      <c r="X1870" s="7" t="n"/>
      <c r="Y1870" s="7" t="n"/>
      <c r="Z1870" s="7" t="n"/>
      <c r="AA1870" s="9">
        <f>IF(A1870="","",A1870&amp;"|"&amp;COUNTIF($A$2:A1870,A1870))</f>
        <v/>
      </c>
    </row>
    <row r="1871">
      <c r="A1871" s="7" t="n"/>
      <c r="B1871" s="7" t="n"/>
      <c r="C1871" s="7" t="n"/>
      <c r="D1871" s="8" t="n"/>
      <c r="E1871" s="7" t="n"/>
      <c r="F1871" s="7" t="n"/>
      <c r="G1871" s="7" t="n"/>
      <c r="H1871" s="7" t="n"/>
      <c r="I1871" s="7" t="n"/>
      <c r="J1871" s="7" t="n"/>
      <c r="K1871" s="7" t="n"/>
      <c r="L1871" s="7" t="n"/>
      <c r="M1871" s="7" t="n"/>
      <c r="N1871" s="7" t="n"/>
      <c r="O1871" s="7" t="n"/>
      <c r="P1871" s="7" t="n"/>
      <c r="Q1871" s="7" t="n"/>
      <c r="R1871" s="7" t="n"/>
      <c r="S1871" s="7" t="n"/>
      <c r="T1871" s="7" t="n"/>
      <c r="U1871" s="7" t="n"/>
      <c r="V1871" s="7" t="n"/>
      <c r="W1871" s="7" t="n"/>
      <c r="X1871" s="7" t="n"/>
      <c r="Y1871" s="7" t="n"/>
      <c r="Z1871" s="7" t="n"/>
      <c r="AA1871" s="9">
        <f>IF(A1871="","",A1871&amp;"|"&amp;COUNTIF($A$2:A1871,A1871))</f>
        <v/>
      </c>
    </row>
    <row r="1872">
      <c r="A1872" s="7" t="n"/>
      <c r="B1872" s="7" t="n"/>
      <c r="C1872" s="7" t="n"/>
      <c r="D1872" s="8" t="n"/>
      <c r="E1872" s="7" t="n"/>
      <c r="F1872" s="7" t="n"/>
      <c r="G1872" s="7" t="n"/>
      <c r="H1872" s="7" t="n"/>
      <c r="I1872" s="7" t="n"/>
      <c r="J1872" s="7" t="n"/>
      <c r="K1872" s="7" t="n"/>
      <c r="L1872" s="7" t="n"/>
      <c r="M1872" s="7" t="n"/>
      <c r="N1872" s="7" t="n"/>
      <c r="O1872" s="7" t="n"/>
      <c r="P1872" s="7" t="n"/>
      <c r="Q1872" s="7" t="n"/>
      <c r="R1872" s="7" t="n"/>
      <c r="S1872" s="7" t="n"/>
      <c r="T1872" s="7" t="n"/>
      <c r="U1872" s="7" t="n"/>
      <c r="V1872" s="7" t="n"/>
      <c r="W1872" s="7" t="n"/>
      <c r="X1872" s="7" t="n"/>
      <c r="Y1872" s="7" t="n"/>
      <c r="Z1872" s="7" t="n"/>
      <c r="AA1872" s="9">
        <f>IF(A1872="","",A1872&amp;"|"&amp;COUNTIF($A$2:A1872,A1872))</f>
        <v/>
      </c>
    </row>
    <row r="1873">
      <c r="A1873" s="7" t="n"/>
      <c r="B1873" s="7" t="n"/>
      <c r="C1873" s="7" t="n"/>
      <c r="D1873" s="8" t="n"/>
      <c r="E1873" s="7" t="n"/>
      <c r="F1873" s="7" t="n"/>
      <c r="G1873" s="7" t="n"/>
      <c r="H1873" s="7" t="n"/>
      <c r="I1873" s="7" t="n"/>
      <c r="J1873" s="7" t="n"/>
      <c r="K1873" s="7" t="n"/>
      <c r="L1873" s="7" t="n"/>
      <c r="M1873" s="7" t="n"/>
      <c r="N1873" s="7" t="n"/>
      <c r="O1873" s="7" t="n"/>
      <c r="P1873" s="7" t="n"/>
      <c r="Q1873" s="7" t="n"/>
      <c r="R1873" s="7" t="n"/>
      <c r="S1873" s="7" t="n"/>
      <c r="T1873" s="7" t="n"/>
      <c r="U1873" s="7" t="n"/>
      <c r="V1873" s="7" t="n"/>
      <c r="W1873" s="7" t="n"/>
      <c r="X1873" s="7" t="n"/>
      <c r="Y1873" s="7" t="n"/>
      <c r="Z1873" s="7" t="n"/>
      <c r="AA1873" s="9">
        <f>IF(A1873="","",A1873&amp;"|"&amp;COUNTIF($A$2:A1873,A1873))</f>
        <v/>
      </c>
    </row>
    <row r="1874">
      <c r="A1874" s="7" t="n"/>
      <c r="B1874" s="7" t="n"/>
      <c r="C1874" s="7" t="n"/>
      <c r="D1874" s="8" t="n"/>
      <c r="E1874" s="7" t="n"/>
      <c r="F1874" s="7" t="n"/>
      <c r="G1874" s="7" t="n"/>
      <c r="H1874" s="7" t="n"/>
      <c r="I1874" s="7" t="n"/>
      <c r="J1874" s="7" t="n"/>
      <c r="K1874" s="7" t="n"/>
      <c r="L1874" s="7" t="n"/>
      <c r="M1874" s="7" t="n"/>
      <c r="N1874" s="7" t="n"/>
      <c r="O1874" s="7" t="n"/>
      <c r="P1874" s="7" t="n"/>
      <c r="Q1874" s="7" t="n"/>
      <c r="R1874" s="7" t="n"/>
      <c r="S1874" s="7" t="n"/>
      <c r="T1874" s="7" t="n"/>
      <c r="U1874" s="7" t="n"/>
      <c r="V1874" s="7" t="n"/>
      <c r="W1874" s="7" t="n"/>
      <c r="X1874" s="7" t="n"/>
      <c r="Y1874" s="7" t="n"/>
      <c r="Z1874" s="7" t="n"/>
      <c r="AA1874" s="9">
        <f>IF(A1874="","",A1874&amp;"|"&amp;COUNTIF($A$2:A1874,A1874))</f>
        <v/>
      </c>
    </row>
    <row r="1875">
      <c r="A1875" s="7" t="n"/>
      <c r="B1875" s="7" t="n"/>
      <c r="C1875" s="7" t="n"/>
      <c r="D1875" s="8" t="n"/>
      <c r="E1875" s="7" t="n"/>
      <c r="F1875" s="7" t="n"/>
      <c r="G1875" s="7" t="n"/>
      <c r="H1875" s="7" t="n"/>
      <c r="I1875" s="7" t="n"/>
      <c r="J1875" s="7" t="n"/>
      <c r="K1875" s="7" t="n"/>
      <c r="L1875" s="7" t="n"/>
      <c r="M1875" s="7" t="n"/>
      <c r="N1875" s="7" t="n"/>
      <c r="O1875" s="7" t="n"/>
      <c r="P1875" s="7" t="n"/>
      <c r="Q1875" s="7" t="n"/>
      <c r="R1875" s="7" t="n"/>
      <c r="S1875" s="7" t="n"/>
      <c r="T1875" s="7" t="n"/>
      <c r="U1875" s="7" t="n"/>
      <c r="V1875" s="7" t="n"/>
      <c r="W1875" s="7" t="n"/>
      <c r="X1875" s="7" t="n"/>
      <c r="Y1875" s="7" t="n"/>
      <c r="Z1875" s="7" t="n"/>
      <c r="AA1875" s="9">
        <f>IF(A1875="","",A1875&amp;"|"&amp;COUNTIF($A$2:A1875,A1875))</f>
        <v/>
      </c>
    </row>
    <row r="1876">
      <c r="A1876" s="7" t="n"/>
      <c r="B1876" s="7" t="n"/>
      <c r="C1876" s="7" t="n"/>
      <c r="D1876" s="8" t="n"/>
      <c r="E1876" s="7" t="n"/>
      <c r="F1876" s="7" t="n"/>
      <c r="G1876" s="7" t="n"/>
      <c r="H1876" s="7" t="n"/>
      <c r="I1876" s="7" t="n"/>
      <c r="J1876" s="7" t="n"/>
      <c r="K1876" s="7" t="n"/>
      <c r="L1876" s="7" t="n"/>
      <c r="M1876" s="7" t="n"/>
      <c r="N1876" s="7" t="n"/>
      <c r="O1876" s="7" t="n"/>
      <c r="P1876" s="7" t="n"/>
      <c r="Q1876" s="7" t="n"/>
      <c r="R1876" s="7" t="n"/>
      <c r="S1876" s="7" t="n"/>
      <c r="T1876" s="7" t="n"/>
      <c r="U1876" s="7" t="n"/>
      <c r="V1876" s="7" t="n"/>
      <c r="W1876" s="7" t="n"/>
      <c r="X1876" s="7" t="n"/>
      <c r="Y1876" s="7" t="n"/>
      <c r="Z1876" s="7" t="n"/>
      <c r="AA1876" s="9">
        <f>IF(A1876="","",A1876&amp;"|"&amp;COUNTIF($A$2:A1876,A1876))</f>
        <v/>
      </c>
    </row>
    <row r="1877">
      <c r="A1877" s="7" t="n"/>
      <c r="B1877" s="7" t="n"/>
      <c r="C1877" s="7" t="n"/>
      <c r="D1877" s="8" t="n"/>
      <c r="E1877" s="7" t="n"/>
      <c r="F1877" s="7" t="n"/>
      <c r="G1877" s="7" t="n"/>
      <c r="H1877" s="7" t="n"/>
      <c r="I1877" s="7" t="n"/>
      <c r="J1877" s="7" t="n"/>
      <c r="K1877" s="7" t="n"/>
      <c r="L1877" s="7" t="n"/>
      <c r="M1877" s="7" t="n"/>
      <c r="N1877" s="7" t="n"/>
      <c r="O1877" s="7" t="n"/>
      <c r="P1877" s="7" t="n"/>
      <c r="Q1877" s="7" t="n"/>
      <c r="R1877" s="7" t="n"/>
      <c r="S1877" s="7" t="n"/>
      <c r="T1877" s="7" t="n"/>
      <c r="U1877" s="7" t="n"/>
      <c r="V1877" s="7" t="n"/>
      <c r="W1877" s="7" t="n"/>
      <c r="X1877" s="7" t="n"/>
      <c r="Y1877" s="7" t="n"/>
      <c r="Z1877" s="7" t="n"/>
      <c r="AA1877" s="9">
        <f>IF(A1877="","",A1877&amp;"|"&amp;COUNTIF($A$2:A1877,A1877))</f>
        <v/>
      </c>
    </row>
    <row r="1878">
      <c r="A1878" s="7" t="n"/>
      <c r="B1878" s="7" t="n"/>
      <c r="C1878" s="7" t="n"/>
      <c r="D1878" s="8" t="n"/>
      <c r="E1878" s="7" t="n"/>
      <c r="F1878" s="7" t="n"/>
      <c r="G1878" s="7" t="n"/>
      <c r="H1878" s="7" t="n"/>
      <c r="I1878" s="7" t="n"/>
      <c r="J1878" s="7" t="n"/>
      <c r="K1878" s="7" t="n"/>
      <c r="L1878" s="7" t="n"/>
      <c r="M1878" s="7" t="n"/>
      <c r="N1878" s="7" t="n"/>
      <c r="O1878" s="7" t="n"/>
      <c r="P1878" s="7" t="n"/>
      <c r="Q1878" s="7" t="n"/>
      <c r="R1878" s="7" t="n"/>
      <c r="S1878" s="7" t="n"/>
      <c r="T1878" s="7" t="n"/>
      <c r="U1878" s="7" t="n"/>
      <c r="V1878" s="7" t="n"/>
      <c r="W1878" s="7" t="n"/>
      <c r="X1878" s="7" t="n"/>
      <c r="Y1878" s="7" t="n"/>
      <c r="Z1878" s="7" t="n"/>
      <c r="AA1878" s="9">
        <f>IF(A1878="","",A1878&amp;"|"&amp;COUNTIF($A$2:A1878,A1878))</f>
        <v/>
      </c>
    </row>
    <row r="1879">
      <c r="A1879" s="7" t="n"/>
      <c r="B1879" s="7" t="n"/>
      <c r="C1879" s="7" t="n"/>
      <c r="D1879" s="8" t="n"/>
      <c r="E1879" s="7" t="n"/>
      <c r="F1879" s="7" t="n"/>
      <c r="G1879" s="7" t="n"/>
      <c r="H1879" s="7" t="n"/>
      <c r="I1879" s="7" t="n"/>
      <c r="J1879" s="7" t="n"/>
      <c r="K1879" s="7" t="n"/>
      <c r="L1879" s="7" t="n"/>
      <c r="M1879" s="7" t="n"/>
      <c r="N1879" s="7" t="n"/>
      <c r="O1879" s="7" t="n"/>
      <c r="P1879" s="7" t="n"/>
      <c r="Q1879" s="7" t="n"/>
      <c r="R1879" s="7" t="n"/>
      <c r="S1879" s="7" t="n"/>
      <c r="T1879" s="7" t="n"/>
      <c r="U1879" s="7" t="n"/>
      <c r="V1879" s="7" t="n"/>
      <c r="W1879" s="7" t="n"/>
      <c r="X1879" s="7" t="n"/>
      <c r="Y1879" s="7" t="n"/>
      <c r="Z1879" s="7" t="n"/>
      <c r="AA1879" s="9">
        <f>IF(A1879="","",A1879&amp;"|"&amp;COUNTIF($A$2:A1879,A1879))</f>
        <v/>
      </c>
    </row>
    <row r="1880">
      <c r="A1880" s="7" t="n"/>
      <c r="B1880" s="7" t="n"/>
      <c r="C1880" s="7" t="n"/>
      <c r="D1880" s="8" t="n"/>
      <c r="E1880" s="7" t="n"/>
      <c r="F1880" s="7" t="n"/>
      <c r="G1880" s="7" t="n"/>
      <c r="H1880" s="7" t="n"/>
      <c r="I1880" s="7" t="n"/>
      <c r="J1880" s="7" t="n"/>
      <c r="K1880" s="7" t="n"/>
      <c r="L1880" s="7" t="n"/>
      <c r="M1880" s="7" t="n"/>
      <c r="N1880" s="7" t="n"/>
      <c r="O1880" s="7" t="n"/>
      <c r="P1880" s="7" t="n"/>
      <c r="Q1880" s="7" t="n"/>
      <c r="R1880" s="7" t="n"/>
      <c r="S1880" s="7" t="n"/>
      <c r="T1880" s="7" t="n"/>
      <c r="U1880" s="7" t="n"/>
      <c r="V1880" s="7" t="n"/>
      <c r="W1880" s="7" t="n"/>
      <c r="X1880" s="7" t="n"/>
      <c r="Y1880" s="7" t="n"/>
      <c r="Z1880" s="7" t="n"/>
      <c r="AA1880" s="9">
        <f>IF(A1880="","",A1880&amp;"|"&amp;COUNTIF($A$2:A1880,A1880))</f>
        <v/>
      </c>
    </row>
    <row r="1881">
      <c r="A1881" s="7" t="n"/>
      <c r="B1881" s="7" t="n"/>
      <c r="C1881" s="7" t="n"/>
      <c r="D1881" s="8" t="n"/>
      <c r="E1881" s="7" t="n"/>
      <c r="F1881" s="7" t="n"/>
      <c r="G1881" s="7" t="n"/>
      <c r="H1881" s="7" t="n"/>
      <c r="I1881" s="7" t="n"/>
      <c r="J1881" s="7" t="n"/>
      <c r="K1881" s="7" t="n"/>
      <c r="L1881" s="7" t="n"/>
      <c r="M1881" s="7" t="n"/>
      <c r="N1881" s="7" t="n"/>
      <c r="O1881" s="7" t="n"/>
      <c r="P1881" s="7" t="n"/>
      <c r="Q1881" s="7" t="n"/>
      <c r="R1881" s="7" t="n"/>
      <c r="S1881" s="7" t="n"/>
      <c r="T1881" s="7" t="n"/>
      <c r="U1881" s="7" t="n"/>
      <c r="V1881" s="7" t="n"/>
      <c r="W1881" s="7" t="n"/>
      <c r="X1881" s="7" t="n"/>
      <c r="Y1881" s="7" t="n"/>
      <c r="Z1881" s="7" t="n"/>
      <c r="AA1881" s="9">
        <f>IF(A1881="","",A1881&amp;"|"&amp;COUNTIF($A$2:A1881,A1881))</f>
        <v/>
      </c>
    </row>
    <row r="1882">
      <c r="A1882" s="7" t="n"/>
      <c r="B1882" s="7" t="n"/>
      <c r="C1882" s="7" t="n"/>
      <c r="D1882" s="8" t="n"/>
      <c r="E1882" s="7" t="n"/>
      <c r="F1882" s="7" t="n"/>
      <c r="G1882" s="7" t="n"/>
      <c r="H1882" s="7" t="n"/>
      <c r="I1882" s="7" t="n"/>
      <c r="J1882" s="7" t="n"/>
      <c r="K1882" s="7" t="n"/>
      <c r="L1882" s="7" t="n"/>
      <c r="M1882" s="7" t="n"/>
      <c r="N1882" s="7" t="n"/>
      <c r="O1882" s="7" t="n"/>
      <c r="P1882" s="7" t="n"/>
      <c r="Q1882" s="7" t="n"/>
      <c r="R1882" s="7" t="n"/>
      <c r="S1882" s="7" t="n"/>
      <c r="T1882" s="7" t="n"/>
      <c r="U1882" s="7" t="n"/>
      <c r="V1882" s="7" t="n"/>
      <c r="W1882" s="7" t="n"/>
      <c r="X1882" s="7" t="n"/>
      <c r="Y1882" s="7" t="n"/>
      <c r="Z1882" s="7" t="n"/>
      <c r="AA1882" s="9">
        <f>IF(A1882="","",A1882&amp;"|"&amp;COUNTIF($A$2:A1882,A1882))</f>
        <v/>
      </c>
    </row>
    <row r="1883">
      <c r="A1883" s="7" t="n"/>
      <c r="B1883" s="7" t="n"/>
      <c r="C1883" s="7" t="n"/>
      <c r="D1883" s="8" t="n"/>
      <c r="E1883" s="7" t="n"/>
      <c r="F1883" s="7" t="n"/>
      <c r="G1883" s="7" t="n"/>
      <c r="H1883" s="7" t="n"/>
      <c r="I1883" s="7" t="n"/>
      <c r="J1883" s="7" t="n"/>
      <c r="K1883" s="7" t="n"/>
      <c r="L1883" s="7" t="n"/>
      <c r="M1883" s="7" t="n"/>
      <c r="N1883" s="7" t="n"/>
      <c r="O1883" s="7" t="n"/>
      <c r="P1883" s="7" t="n"/>
      <c r="Q1883" s="7" t="n"/>
      <c r="R1883" s="7" t="n"/>
      <c r="S1883" s="7" t="n"/>
      <c r="T1883" s="7" t="n"/>
      <c r="U1883" s="7" t="n"/>
      <c r="V1883" s="7" t="n"/>
      <c r="W1883" s="7" t="n"/>
      <c r="X1883" s="7" t="n"/>
      <c r="Y1883" s="7" t="n"/>
      <c r="Z1883" s="7" t="n"/>
      <c r="AA1883" s="9">
        <f>IF(A1883="","",A1883&amp;"|"&amp;COUNTIF($A$2:A1883,A1883))</f>
        <v/>
      </c>
    </row>
    <row r="1884">
      <c r="A1884" s="7" t="n"/>
      <c r="B1884" s="7" t="n"/>
      <c r="C1884" s="7" t="n"/>
      <c r="D1884" s="8" t="n"/>
      <c r="E1884" s="7" t="n"/>
      <c r="F1884" s="7" t="n"/>
      <c r="G1884" s="7" t="n"/>
      <c r="H1884" s="7" t="n"/>
      <c r="I1884" s="7" t="n"/>
      <c r="J1884" s="7" t="n"/>
      <c r="K1884" s="7" t="n"/>
      <c r="L1884" s="7" t="n"/>
      <c r="M1884" s="7" t="n"/>
      <c r="N1884" s="7" t="n"/>
      <c r="O1884" s="7" t="n"/>
      <c r="P1884" s="7" t="n"/>
      <c r="Q1884" s="7" t="n"/>
      <c r="R1884" s="7" t="n"/>
      <c r="S1884" s="7" t="n"/>
      <c r="T1884" s="7" t="n"/>
      <c r="U1884" s="7" t="n"/>
      <c r="V1884" s="7" t="n"/>
      <c r="W1884" s="7" t="n"/>
      <c r="X1884" s="7" t="n"/>
      <c r="Y1884" s="7" t="n"/>
      <c r="Z1884" s="7" t="n"/>
      <c r="AA1884" s="9">
        <f>IF(A1884="","",A1884&amp;"|"&amp;COUNTIF($A$2:A1884,A1884))</f>
        <v/>
      </c>
    </row>
    <row r="1885">
      <c r="A1885" s="7" t="n"/>
      <c r="B1885" s="7" t="n"/>
      <c r="C1885" s="7" t="n"/>
      <c r="D1885" s="8" t="n"/>
      <c r="E1885" s="7" t="n"/>
      <c r="F1885" s="7" t="n"/>
      <c r="G1885" s="7" t="n"/>
      <c r="H1885" s="7" t="n"/>
      <c r="I1885" s="7" t="n"/>
      <c r="J1885" s="7" t="n"/>
      <c r="K1885" s="7" t="n"/>
      <c r="L1885" s="7" t="n"/>
      <c r="M1885" s="7" t="n"/>
      <c r="N1885" s="7" t="n"/>
      <c r="O1885" s="7" t="n"/>
      <c r="P1885" s="7" t="n"/>
      <c r="Q1885" s="7" t="n"/>
      <c r="R1885" s="7" t="n"/>
      <c r="S1885" s="7" t="n"/>
      <c r="T1885" s="7" t="n"/>
      <c r="U1885" s="7" t="n"/>
      <c r="V1885" s="7" t="n"/>
      <c r="W1885" s="7" t="n"/>
      <c r="X1885" s="7" t="n"/>
      <c r="Y1885" s="7" t="n"/>
      <c r="Z1885" s="7" t="n"/>
      <c r="AA1885" s="9">
        <f>IF(A1885="","",A1885&amp;"|"&amp;COUNTIF($A$2:A1885,A1885))</f>
        <v/>
      </c>
    </row>
    <row r="1886">
      <c r="A1886" s="7" t="n"/>
      <c r="B1886" s="7" t="n"/>
      <c r="C1886" s="7" t="n"/>
      <c r="D1886" s="8" t="n"/>
      <c r="E1886" s="7" t="n"/>
      <c r="F1886" s="7" t="n"/>
      <c r="G1886" s="7" t="n"/>
      <c r="H1886" s="7" t="n"/>
      <c r="I1886" s="7" t="n"/>
      <c r="J1886" s="7" t="n"/>
      <c r="K1886" s="7" t="n"/>
      <c r="L1886" s="7" t="n"/>
      <c r="M1886" s="7" t="n"/>
      <c r="N1886" s="7" t="n"/>
      <c r="O1886" s="7" t="n"/>
      <c r="P1886" s="7" t="n"/>
      <c r="Q1886" s="7" t="n"/>
      <c r="R1886" s="7" t="n"/>
      <c r="S1886" s="7" t="n"/>
      <c r="T1886" s="7" t="n"/>
      <c r="U1886" s="7" t="n"/>
      <c r="V1886" s="7" t="n"/>
      <c r="W1886" s="7" t="n"/>
      <c r="X1886" s="7" t="n"/>
      <c r="Y1886" s="7" t="n"/>
      <c r="Z1886" s="7" t="n"/>
      <c r="AA1886" s="9">
        <f>IF(A1886="","",A1886&amp;"|"&amp;COUNTIF($A$2:A1886,A1886))</f>
        <v/>
      </c>
    </row>
    <row r="1887">
      <c r="A1887" s="7" t="n"/>
      <c r="B1887" s="7" t="n"/>
      <c r="C1887" s="7" t="n"/>
      <c r="D1887" s="8" t="n"/>
      <c r="E1887" s="7" t="n"/>
      <c r="F1887" s="7" t="n"/>
      <c r="G1887" s="7" t="n"/>
      <c r="H1887" s="7" t="n"/>
      <c r="I1887" s="7" t="n"/>
      <c r="J1887" s="7" t="n"/>
      <c r="K1887" s="7" t="n"/>
      <c r="L1887" s="7" t="n"/>
      <c r="M1887" s="7" t="n"/>
      <c r="N1887" s="7" t="n"/>
      <c r="O1887" s="7" t="n"/>
      <c r="P1887" s="7" t="n"/>
      <c r="Q1887" s="7" t="n"/>
      <c r="R1887" s="7" t="n"/>
      <c r="S1887" s="7" t="n"/>
      <c r="T1887" s="7" t="n"/>
      <c r="U1887" s="7" t="n"/>
      <c r="V1887" s="7" t="n"/>
      <c r="W1887" s="7" t="n"/>
      <c r="X1887" s="7" t="n"/>
      <c r="Y1887" s="7" t="n"/>
      <c r="Z1887" s="7" t="n"/>
      <c r="AA1887" s="9">
        <f>IF(A1887="","",A1887&amp;"|"&amp;COUNTIF($A$2:A1887,A1887))</f>
        <v/>
      </c>
    </row>
    <row r="1888">
      <c r="A1888" s="7" t="n"/>
      <c r="B1888" s="7" t="n"/>
      <c r="C1888" s="7" t="n"/>
      <c r="D1888" s="8" t="n"/>
      <c r="E1888" s="7" t="n"/>
      <c r="F1888" s="7" t="n"/>
      <c r="G1888" s="7" t="n"/>
      <c r="H1888" s="7" t="n"/>
      <c r="I1888" s="7" t="n"/>
      <c r="J1888" s="7" t="n"/>
      <c r="K1888" s="7" t="n"/>
      <c r="L1888" s="7" t="n"/>
      <c r="M1888" s="7" t="n"/>
      <c r="N1888" s="7" t="n"/>
      <c r="O1888" s="7" t="n"/>
      <c r="P1888" s="7" t="n"/>
      <c r="Q1888" s="7" t="n"/>
      <c r="R1888" s="7" t="n"/>
      <c r="S1888" s="7" t="n"/>
      <c r="T1888" s="7" t="n"/>
      <c r="U1888" s="7" t="n"/>
      <c r="V1888" s="7" t="n"/>
      <c r="W1888" s="7" t="n"/>
      <c r="X1888" s="7" t="n"/>
      <c r="Y1888" s="7" t="n"/>
      <c r="Z1888" s="7" t="n"/>
      <c r="AA1888" s="9">
        <f>IF(A1888="","",A1888&amp;"|"&amp;COUNTIF($A$2:A1888,A1888))</f>
        <v/>
      </c>
    </row>
    <row r="1889">
      <c r="A1889" s="7" t="n"/>
      <c r="B1889" s="7" t="n"/>
      <c r="C1889" s="7" t="n"/>
      <c r="D1889" s="8" t="n"/>
      <c r="E1889" s="7" t="n"/>
      <c r="F1889" s="7" t="n"/>
      <c r="G1889" s="7" t="n"/>
      <c r="H1889" s="7" t="n"/>
      <c r="I1889" s="7" t="n"/>
      <c r="J1889" s="7" t="n"/>
      <c r="K1889" s="7" t="n"/>
      <c r="L1889" s="7" t="n"/>
      <c r="M1889" s="7" t="n"/>
      <c r="N1889" s="7" t="n"/>
      <c r="O1889" s="7" t="n"/>
      <c r="P1889" s="7" t="n"/>
      <c r="Q1889" s="7" t="n"/>
      <c r="R1889" s="7" t="n"/>
      <c r="S1889" s="7" t="n"/>
      <c r="T1889" s="7" t="n"/>
      <c r="U1889" s="7" t="n"/>
      <c r="V1889" s="7" t="n"/>
      <c r="W1889" s="7" t="n"/>
      <c r="X1889" s="7" t="n"/>
      <c r="Y1889" s="7" t="n"/>
      <c r="Z1889" s="7" t="n"/>
      <c r="AA1889" s="9">
        <f>IF(A1889="","",A1889&amp;"|"&amp;COUNTIF($A$2:A1889,A1889))</f>
        <v/>
      </c>
    </row>
    <row r="1890">
      <c r="A1890" s="7" t="n"/>
      <c r="B1890" s="7" t="n"/>
      <c r="C1890" s="7" t="n"/>
      <c r="D1890" s="8" t="n"/>
      <c r="E1890" s="7" t="n"/>
      <c r="F1890" s="7" t="n"/>
      <c r="G1890" s="7" t="n"/>
      <c r="H1890" s="7" t="n"/>
      <c r="I1890" s="7" t="n"/>
      <c r="J1890" s="7" t="n"/>
      <c r="K1890" s="7" t="n"/>
      <c r="L1890" s="7" t="n"/>
      <c r="M1890" s="7" t="n"/>
      <c r="N1890" s="7" t="n"/>
      <c r="O1890" s="7" t="n"/>
      <c r="P1890" s="7" t="n"/>
      <c r="Q1890" s="7" t="n"/>
      <c r="R1890" s="7" t="n"/>
      <c r="S1890" s="7" t="n"/>
      <c r="T1890" s="7" t="n"/>
      <c r="U1890" s="7" t="n"/>
      <c r="V1890" s="7" t="n"/>
      <c r="W1890" s="7" t="n"/>
      <c r="X1890" s="7" t="n"/>
      <c r="Y1890" s="7" t="n"/>
      <c r="Z1890" s="7" t="n"/>
      <c r="AA1890" s="9">
        <f>IF(A1890="","",A1890&amp;"|"&amp;COUNTIF($A$2:A1890,A1890))</f>
        <v/>
      </c>
    </row>
    <row r="1891">
      <c r="A1891" s="7" t="n"/>
      <c r="B1891" s="7" t="n"/>
      <c r="C1891" s="7" t="n"/>
      <c r="D1891" s="8" t="n"/>
      <c r="E1891" s="7" t="n"/>
      <c r="F1891" s="7" t="n"/>
      <c r="G1891" s="7" t="n"/>
      <c r="H1891" s="7" t="n"/>
      <c r="I1891" s="7" t="n"/>
      <c r="J1891" s="7" t="n"/>
      <c r="K1891" s="7" t="n"/>
      <c r="L1891" s="7" t="n"/>
      <c r="M1891" s="7" t="n"/>
      <c r="N1891" s="7" t="n"/>
      <c r="O1891" s="7" t="n"/>
      <c r="P1891" s="7" t="n"/>
      <c r="Q1891" s="7" t="n"/>
      <c r="R1891" s="7" t="n"/>
      <c r="S1891" s="7" t="n"/>
      <c r="T1891" s="7" t="n"/>
      <c r="U1891" s="7" t="n"/>
      <c r="V1891" s="7" t="n"/>
      <c r="W1891" s="7" t="n"/>
      <c r="X1891" s="7" t="n"/>
      <c r="Y1891" s="7" t="n"/>
      <c r="Z1891" s="7" t="n"/>
      <c r="AA1891" s="9">
        <f>IF(A1891="","",A1891&amp;"|"&amp;COUNTIF($A$2:A1891,A1891))</f>
        <v/>
      </c>
    </row>
    <row r="1892">
      <c r="A1892" s="7" t="n"/>
      <c r="B1892" s="7" t="n"/>
      <c r="C1892" s="7" t="n"/>
      <c r="D1892" s="8" t="n"/>
      <c r="E1892" s="7" t="n"/>
      <c r="F1892" s="7" t="n"/>
      <c r="G1892" s="7" t="n"/>
      <c r="H1892" s="7" t="n"/>
      <c r="I1892" s="7" t="n"/>
      <c r="J1892" s="7" t="n"/>
      <c r="K1892" s="7" t="n"/>
      <c r="L1892" s="7" t="n"/>
      <c r="M1892" s="7" t="n"/>
      <c r="N1892" s="7" t="n"/>
      <c r="O1892" s="7" t="n"/>
      <c r="P1892" s="7" t="n"/>
      <c r="Q1892" s="7" t="n"/>
      <c r="R1892" s="7" t="n"/>
      <c r="S1892" s="7" t="n"/>
      <c r="T1892" s="7" t="n"/>
      <c r="U1892" s="7" t="n"/>
      <c r="V1892" s="7" t="n"/>
      <c r="W1892" s="7" t="n"/>
      <c r="X1892" s="7" t="n"/>
      <c r="Y1892" s="7" t="n"/>
      <c r="Z1892" s="7" t="n"/>
      <c r="AA1892" s="9">
        <f>IF(A1892="","",A1892&amp;"|"&amp;COUNTIF($A$2:A1892,A1892))</f>
        <v/>
      </c>
    </row>
    <row r="1893">
      <c r="A1893" s="7" t="n"/>
      <c r="B1893" s="7" t="n"/>
      <c r="C1893" s="7" t="n"/>
      <c r="D1893" s="8" t="n"/>
      <c r="E1893" s="7" t="n"/>
      <c r="F1893" s="7" t="n"/>
      <c r="G1893" s="7" t="n"/>
      <c r="H1893" s="7" t="n"/>
      <c r="I1893" s="7" t="n"/>
      <c r="J1893" s="7" t="n"/>
      <c r="K1893" s="7" t="n"/>
      <c r="L1893" s="7" t="n"/>
      <c r="M1893" s="7" t="n"/>
      <c r="N1893" s="7" t="n"/>
      <c r="O1893" s="7" t="n"/>
      <c r="P1893" s="7" t="n"/>
      <c r="Q1893" s="7" t="n"/>
      <c r="R1893" s="7" t="n"/>
      <c r="S1893" s="7" t="n"/>
      <c r="T1893" s="7" t="n"/>
      <c r="U1893" s="7" t="n"/>
      <c r="V1893" s="7" t="n"/>
      <c r="W1893" s="7" t="n"/>
      <c r="X1893" s="7" t="n"/>
      <c r="Y1893" s="7" t="n"/>
      <c r="Z1893" s="7" t="n"/>
      <c r="AA1893" s="9">
        <f>IF(A1893="","",A1893&amp;"|"&amp;COUNTIF($A$2:A1893,A1893))</f>
        <v/>
      </c>
    </row>
    <row r="1894">
      <c r="A1894" s="7" t="n"/>
      <c r="B1894" s="7" t="n"/>
      <c r="C1894" s="7" t="n"/>
      <c r="D1894" s="8" t="n"/>
      <c r="E1894" s="7" t="n"/>
      <c r="F1894" s="7" t="n"/>
      <c r="G1894" s="7" t="n"/>
      <c r="H1894" s="7" t="n"/>
      <c r="I1894" s="7" t="n"/>
      <c r="J1894" s="7" t="n"/>
      <c r="K1894" s="7" t="n"/>
      <c r="L1894" s="7" t="n"/>
      <c r="M1894" s="7" t="n"/>
      <c r="N1894" s="7" t="n"/>
      <c r="O1894" s="7" t="n"/>
      <c r="P1894" s="7" t="n"/>
      <c r="Q1894" s="7" t="n"/>
      <c r="R1894" s="7" t="n"/>
      <c r="S1894" s="7" t="n"/>
      <c r="T1894" s="7" t="n"/>
      <c r="U1894" s="7" t="n"/>
      <c r="V1894" s="7" t="n"/>
      <c r="W1894" s="7" t="n"/>
      <c r="X1894" s="7" t="n"/>
      <c r="Y1894" s="7" t="n"/>
      <c r="Z1894" s="7" t="n"/>
      <c r="AA1894" s="9">
        <f>IF(A1894="","",A1894&amp;"|"&amp;COUNTIF($A$2:A1894,A1894))</f>
        <v/>
      </c>
    </row>
    <row r="1895">
      <c r="A1895" s="7" t="n"/>
      <c r="B1895" s="7" t="n"/>
      <c r="C1895" s="7" t="n"/>
      <c r="D1895" s="8" t="n"/>
      <c r="E1895" s="7" t="n"/>
      <c r="F1895" s="7" t="n"/>
      <c r="G1895" s="7" t="n"/>
      <c r="H1895" s="7" t="n"/>
      <c r="I1895" s="7" t="n"/>
      <c r="J1895" s="7" t="n"/>
      <c r="K1895" s="7" t="n"/>
      <c r="L1895" s="7" t="n"/>
      <c r="M1895" s="7" t="n"/>
      <c r="N1895" s="7" t="n"/>
      <c r="O1895" s="7" t="n"/>
      <c r="P1895" s="7" t="n"/>
      <c r="Q1895" s="7" t="n"/>
      <c r="R1895" s="7" t="n"/>
      <c r="S1895" s="7" t="n"/>
      <c r="T1895" s="7" t="n"/>
      <c r="U1895" s="7" t="n"/>
      <c r="V1895" s="7" t="n"/>
      <c r="W1895" s="7" t="n"/>
      <c r="X1895" s="7" t="n"/>
      <c r="Y1895" s="7" t="n"/>
      <c r="Z1895" s="7" t="n"/>
      <c r="AA1895" s="9">
        <f>IF(A1895="","",A1895&amp;"|"&amp;COUNTIF($A$2:A1895,A1895))</f>
        <v/>
      </c>
    </row>
    <row r="1896">
      <c r="A1896" s="7" t="n"/>
      <c r="B1896" s="7" t="n"/>
      <c r="C1896" s="7" t="n"/>
      <c r="D1896" s="8" t="n"/>
      <c r="E1896" s="7" t="n"/>
      <c r="F1896" s="7" t="n"/>
      <c r="G1896" s="7" t="n"/>
      <c r="H1896" s="7" t="n"/>
      <c r="I1896" s="7" t="n"/>
      <c r="J1896" s="7" t="n"/>
      <c r="K1896" s="7" t="n"/>
      <c r="L1896" s="7" t="n"/>
      <c r="M1896" s="7" t="n"/>
      <c r="N1896" s="7" t="n"/>
      <c r="O1896" s="7" t="n"/>
      <c r="P1896" s="7" t="n"/>
      <c r="Q1896" s="7" t="n"/>
      <c r="R1896" s="7" t="n"/>
      <c r="S1896" s="7" t="n"/>
      <c r="T1896" s="7" t="n"/>
      <c r="U1896" s="7" t="n"/>
      <c r="V1896" s="7" t="n"/>
      <c r="W1896" s="7" t="n"/>
      <c r="X1896" s="7" t="n"/>
      <c r="Y1896" s="7" t="n"/>
      <c r="Z1896" s="7" t="n"/>
      <c r="AA1896" s="9">
        <f>IF(A1896="","",A1896&amp;"|"&amp;COUNTIF($A$2:A1896,A1896))</f>
        <v/>
      </c>
    </row>
    <row r="1897">
      <c r="A1897" s="7" t="n"/>
      <c r="B1897" s="7" t="n"/>
      <c r="C1897" s="7" t="n"/>
      <c r="D1897" s="8" t="n"/>
      <c r="E1897" s="7" t="n"/>
      <c r="F1897" s="7" t="n"/>
      <c r="G1897" s="7" t="n"/>
      <c r="H1897" s="7" t="n"/>
      <c r="I1897" s="7" t="n"/>
      <c r="J1897" s="7" t="n"/>
      <c r="K1897" s="7" t="n"/>
      <c r="L1897" s="7" t="n"/>
      <c r="M1897" s="7" t="n"/>
      <c r="N1897" s="7" t="n"/>
      <c r="O1897" s="7" t="n"/>
      <c r="P1897" s="7" t="n"/>
      <c r="Q1897" s="7" t="n"/>
      <c r="R1897" s="7" t="n"/>
      <c r="S1897" s="7" t="n"/>
      <c r="T1897" s="7" t="n"/>
      <c r="U1897" s="7" t="n"/>
      <c r="V1897" s="7" t="n"/>
      <c r="W1897" s="7" t="n"/>
      <c r="X1897" s="7" t="n"/>
      <c r="Y1897" s="7" t="n"/>
      <c r="Z1897" s="7" t="n"/>
      <c r="AA1897" s="9">
        <f>IF(A1897="","",A1897&amp;"|"&amp;COUNTIF($A$2:A1897,A1897))</f>
        <v/>
      </c>
    </row>
    <row r="1898">
      <c r="A1898" s="7" t="n"/>
      <c r="B1898" s="7" t="n"/>
      <c r="C1898" s="7" t="n"/>
      <c r="D1898" s="8" t="n"/>
      <c r="E1898" s="7" t="n"/>
      <c r="F1898" s="7" t="n"/>
      <c r="G1898" s="7" t="n"/>
      <c r="H1898" s="7" t="n"/>
      <c r="I1898" s="7" t="n"/>
      <c r="J1898" s="7" t="n"/>
      <c r="K1898" s="7" t="n"/>
      <c r="L1898" s="7" t="n"/>
      <c r="M1898" s="7" t="n"/>
      <c r="N1898" s="7" t="n"/>
      <c r="O1898" s="7" t="n"/>
      <c r="P1898" s="7" t="n"/>
      <c r="Q1898" s="7" t="n"/>
      <c r="R1898" s="7" t="n"/>
      <c r="S1898" s="7" t="n"/>
      <c r="T1898" s="7" t="n"/>
      <c r="U1898" s="7" t="n"/>
      <c r="V1898" s="7" t="n"/>
      <c r="W1898" s="7" t="n"/>
      <c r="X1898" s="7" t="n"/>
      <c r="Y1898" s="7" t="n"/>
      <c r="Z1898" s="7" t="n"/>
      <c r="AA1898" s="9">
        <f>IF(A1898="","",A1898&amp;"|"&amp;COUNTIF($A$2:A1898,A1898))</f>
        <v/>
      </c>
    </row>
    <row r="1899">
      <c r="A1899" s="7" t="n"/>
      <c r="B1899" s="7" t="n"/>
      <c r="C1899" s="7" t="n"/>
      <c r="D1899" s="8" t="n"/>
      <c r="E1899" s="7" t="n"/>
      <c r="F1899" s="7" t="n"/>
      <c r="G1899" s="7" t="n"/>
      <c r="H1899" s="7" t="n"/>
      <c r="I1899" s="7" t="n"/>
      <c r="J1899" s="7" t="n"/>
      <c r="K1899" s="7" t="n"/>
      <c r="L1899" s="7" t="n"/>
      <c r="M1899" s="7" t="n"/>
      <c r="N1899" s="7" t="n"/>
      <c r="O1899" s="7" t="n"/>
      <c r="P1899" s="7" t="n"/>
      <c r="Q1899" s="7" t="n"/>
      <c r="R1899" s="7" t="n"/>
      <c r="S1899" s="7" t="n"/>
      <c r="T1899" s="7" t="n"/>
      <c r="U1899" s="7" t="n"/>
      <c r="V1899" s="7" t="n"/>
      <c r="W1899" s="7" t="n"/>
      <c r="X1899" s="7" t="n"/>
      <c r="Y1899" s="7" t="n"/>
      <c r="Z1899" s="7" t="n"/>
      <c r="AA1899" s="9">
        <f>IF(A1899="","",A1899&amp;"|"&amp;COUNTIF($A$2:A1899,A1899))</f>
        <v/>
      </c>
    </row>
    <row r="1900">
      <c r="A1900" s="7" t="n"/>
      <c r="B1900" s="7" t="n"/>
      <c r="C1900" s="7" t="n"/>
      <c r="D1900" s="8" t="n"/>
      <c r="E1900" s="7" t="n"/>
      <c r="F1900" s="7" t="n"/>
      <c r="G1900" s="7" t="n"/>
      <c r="H1900" s="7" t="n"/>
      <c r="I1900" s="7" t="n"/>
      <c r="J1900" s="7" t="n"/>
      <c r="K1900" s="7" t="n"/>
      <c r="L1900" s="7" t="n"/>
      <c r="M1900" s="7" t="n"/>
      <c r="N1900" s="7" t="n"/>
      <c r="O1900" s="7" t="n"/>
      <c r="P1900" s="7" t="n"/>
      <c r="Q1900" s="7" t="n"/>
      <c r="R1900" s="7" t="n"/>
      <c r="S1900" s="7" t="n"/>
      <c r="T1900" s="7" t="n"/>
      <c r="U1900" s="7" t="n"/>
      <c r="V1900" s="7" t="n"/>
      <c r="W1900" s="7" t="n"/>
      <c r="X1900" s="7" t="n"/>
      <c r="Y1900" s="7" t="n"/>
      <c r="Z1900" s="7" t="n"/>
      <c r="AA1900" s="9">
        <f>IF(A1900="","",A1900&amp;"|"&amp;COUNTIF($A$2:A1900,A1900))</f>
        <v/>
      </c>
    </row>
    <row r="1901">
      <c r="A1901" s="7" t="n"/>
      <c r="B1901" s="7" t="n"/>
      <c r="C1901" s="7" t="n"/>
      <c r="D1901" s="8" t="n"/>
      <c r="E1901" s="7" t="n"/>
      <c r="F1901" s="7" t="n"/>
      <c r="G1901" s="7" t="n"/>
      <c r="H1901" s="7" t="n"/>
      <c r="I1901" s="7" t="n"/>
      <c r="J1901" s="7" t="n"/>
      <c r="K1901" s="7" t="n"/>
      <c r="L1901" s="7" t="n"/>
      <c r="M1901" s="7" t="n"/>
      <c r="N1901" s="7" t="n"/>
      <c r="O1901" s="7" t="n"/>
      <c r="P1901" s="7" t="n"/>
      <c r="Q1901" s="7" t="n"/>
      <c r="R1901" s="7" t="n"/>
      <c r="S1901" s="7" t="n"/>
      <c r="T1901" s="7" t="n"/>
      <c r="U1901" s="7" t="n"/>
      <c r="V1901" s="7" t="n"/>
      <c r="W1901" s="7" t="n"/>
      <c r="X1901" s="7" t="n"/>
      <c r="Y1901" s="7" t="n"/>
      <c r="Z1901" s="7" t="n"/>
      <c r="AA1901" s="9">
        <f>IF(A1901="","",A1901&amp;"|"&amp;COUNTIF($A$2:A1901,A1901))</f>
        <v/>
      </c>
    </row>
    <row r="1902">
      <c r="A1902" s="7" t="n"/>
      <c r="B1902" s="7" t="n"/>
      <c r="C1902" s="7" t="n"/>
      <c r="D1902" s="8" t="n"/>
      <c r="E1902" s="7" t="n"/>
      <c r="F1902" s="7" t="n"/>
      <c r="G1902" s="7" t="n"/>
      <c r="H1902" s="7" t="n"/>
      <c r="I1902" s="7" t="n"/>
      <c r="J1902" s="7" t="n"/>
      <c r="K1902" s="7" t="n"/>
      <c r="L1902" s="7" t="n"/>
      <c r="M1902" s="7" t="n"/>
      <c r="N1902" s="7" t="n"/>
      <c r="O1902" s="7" t="n"/>
      <c r="P1902" s="7" t="n"/>
      <c r="Q1902" s="7" t="n"/>
      <c r="R1902" s="7" t="n"/>
      <c r="S1902" s="7" t="n"/>
      <c r="T1902" s="7" t="n"/>
      <c r="U1902" s="7" t="n"/>
      <c r="V1902" s="7" t="n"/>
      <c r="W1902" s="7" t="n"/>
      <c r="X1902" s="7" t="n"/>
      <c r="Y1902" s="7" t="n"/>
      <c r="Z1902" s="7" t="n"/>
      <c r="AA1902" s="9">
        <f>IF(A1902="","",A1902&amp;"|"&amp;COUNTIF($A$2:A1902,A1902))</f>
        <v/>
      </c>
    </row>
    <row r="1903">
      <c r="A1903" s="7" t="n"/>
      <c r="B1903" s="7" t="n"/>
      <c r="C1903" s="7" t="n"/>
      <c r="D1903" s="8" t="n"/>
      <c r="E1903" s="7" t="n"/>
      <c r="F1903" s="7" t="n"/>
      <c r="G1903" s="7" t="n"/>
      <c r="H1903" s="7" t="n"/>
      <c r="I1903" s="7" t="n"/>
      <c r="J1903" s="7" t="n"/>
      <c r="K1903" s="7" t="n"/>
      <c r="L1903" s="7" t="n"/>
      <c r="M1903" s="7" t="n"/>
      <c r="N1903" s="7" t="n"/>
      <c r="O1903" s="7" t="n"/>
      <c r="P1903" s="7" t="n"/>
      <c r="Q1903" s="7" t="n"/>
      <c r="R1903" s="7" t="n"/>
      <c r="S1903" s="7" t="n"/>
      <c r="T1903" s="7" t="n"/>
      <c r="U1903" s="7" t="n"/>
      <c r="V1903" s="7" t="n"/>
      <c r="W1903" s="7" t="n"/>
      <c r="X1903" s="7" t="n"/>
      <c r="Y1903" s="7" t="n"/>
      <c r="Z1903" s="7" t="n"/>
      <c r="AA1903" s="9">
        <f>IF(A1903="","",A1903&amp;"|"&amp;COUNTIF($A$2:A1903,A1903))</f>
        <v/>
      </c>
    </row>
    <row r="1904">
      <c r="A1904" s="7" t="n"/>
      <c r="B1904" s="7" t="n"/>
      <c r="C1904" s="7" t="n"/>
      <c r="D1904" s="8" t="n"/>
      <c r="E1904" s="7" t="n"/>
      <c r="F1904" s="7" t="n"/>
      <c r="G1904" s="7" t="n"/>
      <c r="H1904" s="7" t="n"/>
      <c r="I1904" s="7" t="n"/>
      <c r="J1904" s="7" t="n"/>
      <c r="K1904" s="7" t="n"/>
      <c r="L1904" s="7" t="n"/>
      <c r="M1904" s="7" t="n"/>
      <c r="N1904" s="7" t="n"/>
      <c r="O1904" s="7" t="n"/>
      <c r="P1904" s="7" t="n"/>
      <c r="Q1904" s="7" t="n"/>
      <c r="R1904" s="7" t="n"/>
      <c r="S1904" s="7" t="n"/>
      <c r="T1904" s="7" t="n"/>
      <c r="U1904" s="7" t="n"/>
      <c r="V1904" s="7" t="n"/>
      <c r="W1904" s="7" t="n"/>
      <c r="X1904" s="7" t="n"/>
      <c r="Y1904" s="7" t="n"/>
      <c r="Z1904" s="7" t="n"/>
      <c r="AA1904" s="9">
        <f>IF(A1904="","",A1904&amp;"|"&amp;COUNTIF($A$2:A1904,A1904))</f>
        <v/>
      </c>
    </row>
    <row r="1905">
      <c r="A1905" s="7" t="n"/>
      <c r="B1905" s="7" t="n"/>
      <c r="C1905" s="7" t="n"/>
      <c r="D1905" s="8" t="n"/>
      <c r="E1905" s="7" t="n"/>
      <c r="F1905" s="7" t="n"/>
      <c r="G1905" s="7" t="n"/>
      <c r="H1905" s="7" t="n"/>
      <c r="I1905" s="7" t="n"/>
      <c r="J1905" s="7" t="n"/>
      <c r="K1905" s="7" t="n"/>
      <c r="L1905" s="7" t="n"/>
      <c r="M1905" s="7" t="n"/>
      <c r="N1905" s="7" t="n"/>
      <c r="O1905" s="7" t="n"/>
      <c r="P1905" s="7" t="n"/>
      <c r="Q1905" s="7" t="n"/>
      <c r="R1905" s="7" t="n"/>
      <c r="S1905" s="7" t="n"/>
      <c r="T1905" s="7" t="n"/>
      <c r="U1905" s="7" t="n"/>
      <c r="V1905" s="7" t="n"/>
      <c r="W1905" s="7" t="n"/>
      <c r="X1905" s="7" t="n"/>
      <c r="Y1905" s="7" t="n"/>
      <c r="Z1905" s="7" t="n"/>
      <c r="AA1905" s="9">
        <f>IF(A1905="","",A1905&amp;"|"&amp;COUNTIF($A$2:A1905,A1905))</f>
        <v/>
      </c>
    </row>
    <row r="1906">
      <c r="A1906" s="7" t="n"/>
      <c r="B1906" s="7" t="n"/>
      <c r="C1906" s="7" t="n"/>
      <c r="D1906" s="8" t="n"/>
      <c r="E1906" s="7" t="n"/>
      <c r="F1906" s="7" t="n"/>
      <c r="G1906" s="7" t="n"/>
      <c r="H1906" s="7" t="n"/>
      <c r="I1906" s="7" t="n"/>
      <c r="J1906" s="7" t="n"/>
      <c r="K1906" s="7" t="n"/>
      <c r="L1906" s="7" t="n"/>
      <c r="M1906" s="7" t="n"/>
      <c r="N1906" s="7" t="n"/>
      <c r="O1906" s="7" t="n"/>
      <c r="P1906" s="7" t="n"/>
      <c r="Q1906" s="7" t="n"/>
      <c r="R1906" s="7" t="n"/>
      <c r="S1906" s="7" t="n"/>
      <c r="T1906" s="7" t="n"/>
      <c r="U1906" s="7" t="n"/>
      <c r="V1906" s="7" t="n"/>
      <c r="W1906" s="7" t="n"/>
      <c r="X1906" s="7" t="n"/>
      <c r="Y1906" s="7" t="n"/>
      <c r="Z1906" s="7" t="n"/>
      <c r="AA1906" s="9">
        <f>IF(A1906="","",A1906&amp;"|"&amp;COUNTIF($A$2:A1906,A1906))</f>
        <v/>
      </c>
    </row>
    <row r="1907">
      <c r="A1907" s="7" t="n"/>
      <c r="B1907" s="7" t="n"/>
      <c r="C1907" s="7" t="n"/>
      <c r="D1907" s="8" t="n"/>
      <c r="E1907" s="7" t="n"/>
      <c r="F1907" s="7" t="n"/>
      <c r="G1907" s="7" t="n"/>
      <c r="H1907" s="7" t="n"/>
      <c r="I1907" s="7" t="n"/>
      <c r="J1907" s="7" t="n"/>
      <c r="K1907" s="7" t="n"/>
      <c r="L1907" s="7" t="n"/>
      <c r="M1907" s="7" t="n"/>
      <c r="N1907" s="7" t="n"/>
      <c r="O1907" s="7" t="n"/>
      <c r="P1907" s="7" t="n"/>
      <c r="Q1907" s="7" t="n"/>
      <c r="R1907" s="7" t="n"/>
      <c r="S1907" s="7" t="n"/>
      <c r="T1907" s="7" t="n"/>
      <c r="U1907" s="7" t="n"/>
      <c r="V1907" s="7" t="n"/>
      <c r="W1907" s="7" t="n"/>
      <c r="X1907" s="7" t="n"/>
      <c r="Y1907" s="7" t="n"/>
      <c r="Z1907" s="7" t="n"/>
      <c r="AA1907" s="9">
        <f>IF(A1907="","",A1907&amp;"|"&amp;COUNTIF($A$2:A1907,A1907))</f>
        <v/>
      </c>
    </row>
    <row r="1908">
      <c r="A1908" s="7" t="n"/>
      <c r="B1908" s="7" t="n"/>
      <c r="C1908" s="7" t="n"/>
      <c r="D1908" s="8" t="n"/>
      <c r="E1908" s="7" t="n"/>
      <c r="F1908" s="7" t="n"/>
      <c r="G1908" s="7" t="n"/>
      <c r="H1908" s="7" t="n"/>
      <c r="I1908" s="7" t="n"/>
      <c r="J1908" s="7" t="n"/>
      <c r="K1908" s="7" t="n"/>
      <c r="L1908" s="7" t="n"/>
      <c r="M1908" s="7" t="n"/>
      <c r="N1908" s="7" t="n"/>
      <c r="O1908" s="7" t="n"/>
      <c r="P1908" s="7" t="n"/>
      <c r="Q1908" s="7" t="n"/>
      <c r="R1908" s="7" t="n"/>
      <c r="S1908" s="7" t="n"/>
      <c r="T1908" s="7" t="n"/>
      <c r="U1908" s="7" t="n"/>
      <c r="V1908" s="7" t="n"/>
      <c r="W1908" s="7" t="n"/>
      <c r="X1908" s="7" t="n"/>
      <c r="Y1908" s="7" t="n"/>
      <c r="Z1908" s="7" t="n"/>
      <c r="AA1908" s="9">
        <f>IF(A1908="","",A1908&amp;"|"&amp;COUNTIF($A$2:A1908,A1908))</f>
        <v/>
      </c>
    </row>
    <row r="1909">
      <c r="A1909" s="7" t="n"/>
      <c r="B1909" s="7" t="n"/>
      <c r="C1909" s="7" t="n"/>
      <c r="D1909" s="8" t="n"/>
      <c r="E1909" s="7" t="n"/>
      <c r="F1909" s="7" t="n"/>
      <c r="G1909" s="7" t="n"/>
      <c r="H1909" s="7" t="n"/>
      <c r="I1909" s="7" t="n"/>
      <c r="J1909" s="7" t="n"/>
      <c r="K1909" s="7" t="n"/>
      <c r="L1909" s="7" t="n"/>
      <c r="M1909" s="7" t="n"/>
      <c r="N1909" s="7" t="n"/>
      <c r="O1909" s="7" t="n"/>
      <c r="P1909" s="7" t="n"/>
      <c r="Q1909" s="7" t="n"/>
      <c r="R1909" s="7" t="n"/>
      <c r="S1909" s="7" t="n"/>
      <c r="T1909" s="7" t="n"/>
      <c r="U1909" s="7" t="n"/>
      <c r="V1909" s="7" t="n"/>
      <c r="W1909" s="7" t="n"/>
      <c r="X1909" s="7" t="n"/>
      <c r="Y1909" s="7" t="n"/>
      <c r="Z1909" s="7" t="n"/>
      <c r="AA1909" s="9">
        <f>IF(A1909="","",A1909&amp;"|"&amp;COUNTIF($A$2:A1909,A1909))</f>
        <v/>
      </c>
    </row>
    <row r="1910">
      <c r="A1910" s="7" t="n"/>
      <c r="B1910" s="7" t="n"/>
      <c r="C1910" s="7" t="n"/>
      <c r="D1910" s="8" t="n"/>
      <c r="E1910" s="7" t="n"/>
      <c r="F1910" s="7" t="n"/>
      <c r="G1910" s="7" t="n"/>
      <c r="H1910" s="7" t="n"/>
      <c r="I1910" s="7" t="n"/>
      <c r="J1910" s="7" t="n"/>
      <c r="K1910" s="7" t="n"/>
      <c r="L1910" s="7" t="n"/>
      <c r="M1910" s="7" t="n"/>
      <c r="N1910" s="7" t="n"/>
      <c r="O1910" s="7" t="n"/>
      <c r="P1910" s="7" t="n"/>
      <c r="Q1910" s="7" t="n"/>
      <c r="R1910" s="7" t="n"/>
      <c r="S1910" s="7" t="n"/>
      <c r="T1910" s="7" t="n"/>
      <c r="U1910" s="7" t="n"/>
      <c r="V1910" s="7" t="n"/>
      <c r="W1910" s="7" t="n"/>
      <c r="X1910" s="7" t="n"/>
      <c r="Y1910" s="7" t="n"/>
      <c r="Z1910" s="7" t="n"/>
      <c r="AA1910" s="9">
        <f>IF(A1910="","",A1910&amp;"|"&amp;COUNTIF($A$2:A1910,A1910))</f>
        <v/>
      </c>
    </row>
    <row r="1911">
      <c r="A1911" s="7" t="n"/>
      <c r="B1911" s="7" t="n"/>
      <c r="C1911" s="7" t="n"/>
      <c r="D1911" s="8" t="n"/>
      <c r="E1911" s="7" t="n"/>
      <c r="F1911" s="7" t="n"/>
      <c r="G1911" s="7" t="n"/>
      <c r="H1911" s="7" t="n"/>
      <c r="I1911" s="7" t="n"/>
      <c r="J1911" s="7" t="n"/>
      <c r="K1911" s="7" t="n"/>
      <c r="L1911" s="7" t="n"/>
      <c r="M1911" s="7" t="n"/>
      <c r="N1911" s="7" t="n"/>
      <c r="O1911" s="7" t="n"/>
      <c r="P1911" s="7" t="n"/>
      <c r="Q1911" s="7" t="n"/>
      <c r="R1911" s="7" t="n"/>
      <c r="S1911" s="7" t="n"/>
      <c r="T1911" s="7" t="n"/>
      <c r="U1911" s="7" t="n"/>
      <c r="V1911" s="7" t="n"/>
      <c r="W1911" s="7" t="n"/>
      <c r="X1911" s="7" t="n"/>
      <c r="Y1911" s="7" t="n"/>
      <c r="Z1911" s="7" t="n"/>
      <c r="AA1911" s="9">
        <f>IF(A1911="","",A1911&amp;"|"&amp;COUNTIF($A$2:A1911,A1911))</f>
        <v/>
      </c>
    </row>
    <row r="1912">
      <c r="A1912" s="7" t="n"/>
      <c r="B1912" s="7" t="n"/>
      <c r="C1912" s="7" t="n"/>
      <c r="D1912" s="8" t="n"/>
      <c r="E1912" s="7" t="n"/>
      <c r="F1912" s="7" t="n"/>
      <c r="G1912" s="7" t="n"/>
      <c r="H1912" s="7" t="n"/>
      <c r="I1912" s="7" t="n"/>
      <c r="J1912" s="7" t="n"/>
      <c r="K1912" s="7" t="n"/>
      <c r="L1912" s="7" t="n"/>
      <c r="M1912" s="7" t="n"/>
      <c r="N1912" s="7" t="n"/>
      <c r="O1912" s="7" t="n"/>
      <c r="P1912" s="7" t="n"/>
      <c r="Q1912" s="7" t="n"/>
      <c r="R1912" s="7" t="n"/>
      <c r="S1912" s="7" t="n"/>
      <c r="T1912" s="7" t="n"/>
      <c r="U1912" s="7" t="n"/>
      <c r="V1912" s="7" t="n"/>
      <c r="W1912" s="7" t="n"/>
      <c r="X1912" s="7" t="n"/>
      <c r="Y1912" s="7" t="n"/>
      <c r="Z1912" s="7" t="n"/>
      <c r="AA1912" s="9">
        <f>IF(A1912="","",A1912&amp;"|"&amp;COUNTIF($A$2:A1912,A1912))</f>
        <v/>
      </c>
    </row>
    <row r="1913">
      <c r="A1913" s="7" t="n"/>
      <c r="B1913" s="7" t="n"/>
      <c r="C1913" s="7" t="n"/>
      <c r="D1913" s="8" t="n"/>
      <c r="E1913" s="7" t="n"/>
      <c r="F1913" s="7" t="n"/>
      <c r="G1913" s="7" t="n"/>
      <c r="H1913" s="7" t="n"/>
      <c r="I1913" s="7" t="n"/>
      <c r="J1913" s="7" t="n"/>
      <c r="K1913" s="7" t="n"/>
      <c r="L1913" s="7" t="n"/>
      <c r="M1913" s="7" t="n"/>
      <c r="N1913" s="7" t="n"/>
      <c r="O1913" s="7" t="n"/>
      <c r="P1913" s="7" t="n"/>
      <c r="Q1913" s="7" t="n"/>
      <c r="R1913" s="7" t="n"/>
      <c r="S1913" s="7" t="n"/>
      <c r="T1913" s="7" t="n"/>
      <c r="U1913" s="7" t="n"/>
      <c r="V1913" s="7" t="n"/>
      <c r="W1913" s="7" t="n"/>
      <c r="X1913" s="7" t="n"/>
      <c r="Y1913" s="7" t="n"/>
      <c r="Z1913" s="7" t="n"/>
      <c r="AA1913" s="9">
        <f>IF(A1913="","",A1913&amp;"|"&amp;COUNTIF($A$2:A1913,A1913))</f>
        <v/>
      </c>
    </row>
    <row r="1914">
      <c r="A1914" s="7" t="n"/>
      <c r="B1914" s="7" t="n"/>
      <c r="C1914" s="7" t="n"/>
      <c r="D1914" s="8" t="n"/>
      <c r="E1914" s="7" t="n"/>
      <c r="F1914" s="7" t="n"/>
      <c r="G1914" s="7" t="n"/>
      <c r="H1914" s="7" t="n"/>
      <c r="I1914" s="7" t="n"/>
      <c r="J1914" s="7" t="n"/>
      <c r="K1914" s="7" t="n"/>
      <c r="L1914" s="7" t="n"/>
      <c r="M1914" s="7" t="n"/>
      <c r="N1914" s="7" t="n"/>
      <c r="O1914" s="7" t="n"/>
      <c r="P1914" s="7" t="n"/>
      <c r="Q1914" s="7" t="n"/>
      <c r="R1914" s="7" t="n"/>
      <c r="S1914" s="7" t="n"/>
      <c r="T1914" s="7" t="n"/>
      <c r="U1914" s="7" t="n"/>
      <c r="V1914" s="7" t="n"/>
      <c r="W1914" s="7" t="n"/>
      <c r="X1914" s="7" t="n"/>
      <c r="Y1914" s="7" t="n"/>
      <c r="Z1914" s="7" t="n"/>
      <c r="AA1914" s="9">
        <f>IF(A1914="","",A1914&amp;"|"&amp;COUNTIF($A$2:A1914,A1914))</f>
        <v/>
      </c>
    </row>
    <row r="1915">
      <c r="A1915" s="7" t="n"/>
      <c r="B1915" s="7" t="n"/>
      <c r="C1915" s="7" t="n"/>
      <c r="D1915" s="8" t="n"/>
      <c r="E1915" s="7" t="n"/>
      <c r="F1915" s="7" t="n"/>
      <c r="G1915" s="7" t="n"/>
      <c r="H1915" s="7" t="n"/>
      <c r="I1915" s="7" t="n"/>
      <c r="J1915" s="7" t="n"/>
      <c r="K1915" s="7" t="n"/>
      <c r="L1915" s="7" t="n"/>
      <c r="M1915" s="7" t="n"/>
      <c r="N1915" s="7" t="n"/>
      <c r="O1915" s="7" t="n"/>
      <c r="P1915" s="7" t="n"/>
      <c r="Q1915" s="7" t="n"/>
      <c r="R1915" s="7" t="n"/>
      <c r="S1915" s="7" t="n"/>
      <c r="T1915" s="7" t="n"/>
      <c r="U1915" s="7" t="n"/>
      <c r="V1915" s="7" t="n"/>
      <c r="W1915" s="7" t="n"/>
      <c r="X1915" s="7" t="n"/>
      <c r="Y1915" s="7" t="n"/>
      <c r="Z1915" s="7" t="n"/>
      <c r="AA1915" s="9">
        <f>IF(A1915="","",A1915&amp;"|"&amp;COUNTIF($A$2:A1915,A1915))</f>
        <v/>
      </c>
    </row>
    <row r="1916">
      <c r="A1916" s="7" t="n"/>
      <c r="B1916" s="7" t="n"/>
      <c r="C1916" s="7" t="n"/>
      <c r="D1916" s="8" t="n"/>
      <c r="E1916" s="7" t="n"/>
      <c r="F1916" s="7" t="n"/>
      <c r="G1916" s="7" t="n"/>
      <c r="H1916" s="7" t="n"/>
      <c r="I1916" s="7" t="n"/>
      <c r="J1916" s="7" t="n"/>
      <c r="K1916" s="7" t="n"/>
      <c r="L1916" s="7" t="n"/>
      <c r="M1916" s="7" t="n"/>
      <c r="N1916" s="7" t="n"/>
      <c r="O1916" s="7" t="n"/>
      <c r="P1916" s="7" t="n"/>
      <c r="Q1916" s="7" t="n"/>
      <c r="R1916" s="7" t="n"/>
      <c r="S1916" s="7" t="n"/>
      <c r="T1916" s="7" t="n"/>
      <c r="U1916" s="7" t="n"/>
      <c r="V1916" s="7" t="n"/>
      <c r="W1916" s="7" t="n"/>
      <c r="X1916" s="7" t="n"/>
      <c r="Y1916" s="7" t="n"/>
      <c r="Z1916" s="7" t="n"/>
      <c r="AA1916" s="9">
        <f>IF(A1916="","",A1916&amp;"|"&amp;COUNTIF($A$2:A1916,A1916))</f>
        <v/>
      </c>
    </row>
    <row r="1917">
      <c r="A1917" s="7" t="n"/>
      <c r="B1917" s="7" t="n"/>
      <c r="C1917" s="7" t="n"/>
      <c r="D1917" s="8" t="n"/>
      <c r="E1917" s="7" t="n"/>
      <c r="F1917" s="7" t="n"/>
      <c r="G1917" s="7" t="n"/>
      <c r="H1917" s="7" t="n"/>
      <c r="I1917" s="7" t="n"/>
      <c r="J1917" s="7" t="n"/>
      <c r="K1917" s="7" t="n"/>
      <c r="L1917" s="7" t="n"/>
      <c r="M1917" s="7" t="n"/>
      <c r="N1917" s="7" t="n"/>
      <c r="O1917" s="7" t="n"/>
      <c r="P1917" s="7" t="n"/>
      <c r="Q1917" s="7" t="n"/>
      <c r="R1917" s="7" t="n"/>
      <c r="S1917" s="7" t="n"/>
      <c r="T1917" s="7" t="n"/>
      <c r="U1917" s="7" t="n"/>
      <c r="V1917" s="7" t="n"/>
      <c r="W1917" s="7" t="n"/>
      <c r="X1917" s="7" t="n"/>
      <c r="Y1917" s="7" t="n"/>
      <c r="Z1917" s="7" t="n"/>
      <c r="AA1917" s="9">
        <f>IF(A1917="","",A1917&amp;"|"&amp;COUNTIF($A$2:A1917,A1917))</f>
        <v/>
      </c>
    </row>
    <row r="1918">
      <c r="A1918" s="7" t="n"/>
      <c r="B1918" s="7" t="n"/>
      <c r="C1918" s="7" t="n"/>
      <c r="D1918" s="8" t="n"/>
      <c r="E1918" s="7" t="n"/>
      <c r="F1918" s="7" t="n"/>
      <c r="G1918" s="7" t="n"/>
      <c r="H1918" s="7" t="n"/>
      <c r="I1918" s="7" t="n"/>
      <c r="J1918" s="7" t="n"/>
      <c r="K1918" s="7" t="n"/>
      <c r="L1918" s="7" t="n"/>
      <c r="M1918" s="7" t="n"/>
      <c r="N1918" s="7" t="n"/>
      <c r="O1918" s="7" t="n"/>
      <c r="P1918" s="7" t="n"/>
      <c r="Q1918" s="7" t="n"/>
      <c r="R1918" s="7" t="n"/>
      <c r="S1918" s="7" t="n"/>
      <c r="T1918" s="7" t="n"/>
      <c r="U1918" s="7" t="n"/>
      <c r="V1918" s="7" t="n"/>
      <c r="W1918" s="7" t="n"/>
      <c r="X1918" s="7" t="n"/>
      <c r="Y1918" s="7" t="n"/>
      <c r="Z1918" s="7" t="n"/>
      <c r="AA1918" s="9">
        <f>IF(A1918="","",A1918&amp;"|"&amp;COUNTIF($A$2:A1918,A1918))</f>
        <v/>
      </c>
    </row>
    <row r="1919">
      <c r="A1919" s="7" t="n"/>
      <c r="B1919" s="7" t="n"/>
      <c r="C1919" s="7" t="n"/>
      <c r="D1919" s="8" t="n"/>
      <c r="E1919" s="7" t="n"/>
      <c r="F1919" s="7" t="n"/>
      <c r="G1919" s="7" t="n"/>
      <c r="H1919" s="7" t="n"/>
      <c r="I1919" s="7" t="n"/>
      <c r="J1919" s="7" t="n"/>
      <c r="K1919" s="7" t="n"/>
      <c r="L1919" s="7" t="n"/>
      <c r="M1919" s="7" t="n"/>
      <c r="N1919" s="7" t="n"/>
      <c r="O1919" s="7" t="n"/>
      <c r="P1919" s="7" t="n"/>
      <c r="Q1919" s="7" t="n"/>
      <c r="R1919" s="7" t="n"/>
      <c r="S1919" s="7" t="n"/>
      <c r="T1919" s="7" t="n"/>
      <c r="U1919" s="7" t="n"/>
      <c r="V1919" s="7" t="n"/>
      <c r="W1919" s="7" t="n"/>
      <c r="X1919" s="7" t="n"/>
      <c r="Y1919" s="7" t="n"/>
      <c r="Z1919" s="7" t="n"/>
      <c r="AA1919" s="9">
        <f>IF(A1919="","",A1919&amp;"|"&amp;COUNTIF($A$2:A1919,A1919))</f>
        <v/>
      </c>
    </row>
    <row r="1920">
      <c r="A1920" s="7" t="n"/>
      <c r="B1920" s="7" t="n"/>
      <c r="C1920" s="7" t="n"/>
      <c r="D1920" s="8" t="n"/>
      <c r="E1920" s="7" t="n"/>
      <c r="F1920" s="7" t="n"/>
      <c r="G1920" s="7" t="n"/>
      <c r="H1920" s="7" t="n"/>
      <c r="I1920" s="7" t="n"/>
      <c r="J1920" s="7" t="n"/>
      <c r="K1920" s="7" t="n"/>
      <c r="L1920" s="7" t="n"/>
      <c r="M1920" s="7" t="n"/>
      <c r="N1920" s="7" t="n"/>
      <c r="O1920" s="7" t="n"/>
      <c r="P1920" s="7" t="n"/>
      <c r="Q1920" s="7" t="n"/>
      <c r="R1920" s="7" t="n"/>
      <c r="S1920" s="7" t="n"/>
      <c r="T1920" s="7" t="n"/>
      <c r="U1920" s="7" t="n"/>
      <c r="V1920" s="7" t="n"/>
      <c r="W1920" s="7" t="n"/>
      <c r="X1920" s="7" t="n"/>
      <c r="Y1920" s="7" t="n"/>
      <c r="Z1920" s="7" t="n"/>
      <c r="AA1920" s="9">
        <f>IF(A1920="","",A1920&amp;"|"&amp;COUNTIF($A$2:A1920,A1920))</f>
        <v/>
      </c>
    </row>
    <row r="1921">
      <c r="A1921" s="7" t="n"/>
      <c r="B1921" s="7" t="n"/>
      <c r="C1921" s="7" t="n"/>
      <c r="D1921" s="8" t="n"/>
      <c r="E1921" s="7" t="n"/>
      <c r="F1921" s="7" t="n"/>
      <c r="G1921" s="7" t="n"/>
      <c r="H1921" s="7" t="n"/>
      <c r="I1921" s="7" t="n"/>
      <c r="J1921" s="7" t="n"/>
      <c r="K1921" s="7" t="n"/>
      <c r="L1921" s="7" t="n"/>
      <c r="M1921" s="7" t="n"/>
      <c r="N1921" s="7" t="n"/>
      <c r="O1921" s="7" t="n"/>
      <c r="P1921" s="7" t="n"/>
      <c r="Q1921" s="7" t="n"/>
      <c r="R1921" s="7" t="n"/>
      <c r="S1921" s="7" t="n"/>
      <c r="T1921" s="7" t="n"/>
      <c r="U1921" s="7" t="n"/>
      <c r="V1921" s="7" t="n"/>
      <c r="W1921" s="7" t="n"/>
      <c r="X1921" s="7" t="n"/>
      <c r="Y1921" s="7" t="n"/>
      <c r="Z1921" s="7" t="n"/>
      <c r="AA1921" s="9">
        <f>IF(A1921="","",A1921&amp;"|"&amp;COUNTIF($A$2:A1921,A1921))</f>
        <v/>
      </c>
    </row>
    <row r="1922">
      <c r="A1922" s="7" t="n"/>
      <c r="B1922" s="7" t="n"/>
      <c r="C1922" s="7" t="n"/>
      <c r="D1922" s="8" t="n"/>
      <c r="E1922" s="7" t="n"/>
      <c r="F1922" s="7" t="n"/>
      <c r="G1922" s="7" t="n"/>
      <c r="H1922" s="7" t="n"/>
      <c r="I1922" s="7" t="n"/>
      <c r="J1922" s="7" t="n"/>
      <c r="K1922" s="7" t="n"/>
      <c r="L1922" s="7" t="n"/>
      <c r="M1922" s="7" t="n"/>
      <c r="N1922" s="7" t="n"/>
      <c r="O1922" s="7" t="n"/>
      <c r="P1922" s="7" t="n"/>
      <c r="Q1922" s="7" t="n"/>
      <c r="R1922" s="7" t="n"/>
      <c r="S1922" s="7" t="n"/>
      <c r="T1922" s="7" t="n"/>
      <c r="U1922" s="7" t="n"/>
      <c r="V1922" s="7" t="n"/>
      <c r="W1922" s="7" t="n"/>
      <c r="X1922" s="7" t="n"/>
      <c r="Y1922" s="7" t="n"/>
      <c r="Z1922" s="7" t="n"/>
      <c r="AA1922" s="9">
        <f>IF(A1922="","",A1922&amp;"|"&amp;COUNTIF($A$2:A1922,A1922))</f>
        <v/>
      </c>
    </row>
    <row r="1923">
      <c r="A1923" s="7" t="n"/>
      <c r="B1923" s="7" t="n"/>
      <c r="C1923" s="7" t="n"/>
      <c r="D1923" s="8" t="n"/>
      <c r="E1923" s="7" t="n"/>
      <c r="F1923" s="7" t="n"/>
      <c r="G1923" s="7" t="n"/>
      <c r="H1923" s="7" t="n"/>
      <c r="I1923" s="7" t="n"/>
      <c r="J1923" s="7" t="n"/>
      <c r="K1923" s="7" t="n"/>
      <c r="L1923" s="7" t="n"/>
      <c r="M1923" s="7" t="n"/>
      <c r="N1923" s="7" t="n"/>
      <c r="O1923" s="7" t="n"/>
      <c r="P1923" s="7" t="n"/>
      <c r="Q1923" s="7" t="n"/>
      <c r="R1923" s="7" t="n"/>
      <c r="S1923" s="7" t="n"/>
      <c r="T1923" s="7" t="n"/>
      <c r="U1923" s="7" t="n"/>
      <c r="V1923" s="7" t="n"/>
      <c r="W1923" s="7" t="n"/>
      <c r="X1923" s="7" t="n"/>
      <c r="Y1923" s="7" t="n"/>
      <c r="Z1923" s="7" t="n"/>
      <c r="AA1923" s="9">
        <f>IF(A1923="","",A1923&amp;"|"&amp;COUNTIF($A$2:A1923,A1923))</f>
        <v/>
      </c>
    </row>
    <row r="1924">
      <c r="A1924" s="7" t="n"/>
      <c r="B1924" s="7" t="n"/>
      <c r="C1924" s="7" t="n"/>
      <c r="D1924" s="8" t="n"/>
      <c r="E1924" s="7" t="n"/>
      <c r="F1924" s="7" t="n"/>
      <c r="G1924" s="7" t="n"/>
      <c r="H1924" s="7" t="n"/>
      <c r="I1924" s="7" t="n"/>
      <c r="J1924" s="7" t="n"/>
      <c r="K1924" s="7" t="n"/>
      <c r="L1924" s="7" t="n"/>
      <c r="M1924" s="7" t="n"/>
      <c r="N1924" s="7" t="n"/>
      <c r="O1924" s="7" t="n"/>
      <c r="P1924" s="7" t="n"/>
      <c r="Q1924" s="7" t="n"/>
      <c r="R1924" s="7" t="n"/>
      <c r="S1924" s="7" t="n"/>
      <c r="T1924" s="7" t="n"/>
      <c r="U1924" s="7" t="n"/>
      <c r="V1924" s="7" t="n"/>
      <c r="W1924" s="7" t="n"/>
      <c r="X1924" s="7" t="n"/>
      <c r="Y1924" s="7" t="n"/>
      <c r="Z1924" s="7" t="n"/>
      <c r="AA1924" s="9">
        <f>IF(A1924="","",A1924&amp;"|"&amp;COUNTIF($A$2:A1924,A1924))</f>
        <v/>
      </c>
    </row>
    <row r="1925">
      <c r="A1925" s="7" t="n"/>
      <c r="B1925" s="7" t="n"/>
      <c r="C1925" s="7" t="n"/>
      <c r="D1925" s="8" t="n"/>
      <c r="E1925" s="7" t="n"/>
      <c r="F1925" s="7" t="n"/>
      <c r="G1925" s="7" t="n"/>
      <c r="H1925" s="7" t="n"/>
      <c r="I1925" s="7" t="n"/>
      <c r="J1925" s="7" t="n"/>
      <c r="K1925" s="7" t="n"/>
      <c r="L1925" s="7" t="n"/>
      <c r="M1925" s="7" t="n"/>
      <c r="N1925" s="7" t="n"/>
      <c r="O1925" s="7" t="n"/>
      <c r="P1925" s="7" t="n"/>
      <c r="Q1925" s="7" t="n"/>
      <c r="R1925" s="7" t="n"/>
      <c r="S1925" s="7" t="n"/>
      <c r="T1925" s="7" t="n"/>
      <c r="U1925" s="7" t="n"/>
      <c r="V1925" s="7" t="n"/>
      <c r="W1925" s="7" t="n"/>
      <c r="X1925" s="7" t="n"/>
      <c r="Y1925" s="7" t="n"/>
      <c r="Z1925" s="7" t="n"/>
      <c r="AA1925" s="9">
        <f>IF(A1925="","",A1925&amp;"|"&amp;COUNTIF($A$2:A1925,A1925))</f>
        <v/>
      </c>
    </row>
    <row r="1926">
      <c r="A1926" s="7" t="n"/>
      <c r="B1926" s="7" t="n"/>
      <c r="C1926" s="7" t="n"/>
      <c r="D1926" s="8" t="n"/>
      <c r="E1926" s="7" t="n"/>
      <c r="F1926" s="7" t="n"/>
      <c r="G1926" s="7" t="n"/>
      <c r="H1926" s="7" t="n"/>
      <c r="I1926" s="7" t="n"/>
      <c r="J1926" s="7" t="n"/>
      <c r="K1926" s="7" t="n"/>
      <c r="L1926" s="7" t="n"/>
      <c r="M1926" s="7" t="n"/>
      <c r="N1926" s="7" t="n"/>
      <c r="O1926" s="7" t="n"/>
      <c r="P1926" s="7" t="n"/>
      <c r="Q1926" s="7" t="n"/>
      <c r="R1926" s="7" t="n"/>
      <c r="S1926" s="7" t="n"/>
      <c r="T1926" s="7" t="n"/>
      <c r="U1926" s="7" t="n"/>
      <c r="V1926" s="7" t="n"/>
      <c r="W1926" s="7" t="n"/>
      <c r="X1926" s="7" t="n"/>
      <c r="Y1926" s="7" t="n"/>
      <c r="Z1926" s="7" t="n"/>
      <c r="AA1926" s="9">
        <f>IF(A1926="","",A1926&amp;"|"&amp;COUNTIF($A$2:A1926,A1926))</f>
        <v/>
      </c>
    </row>
    <row r="1927">
      <c r="A1927" s="7" t="n"/>
      <c r="B1927" s="7" t="n"/>
      <c r="C1927" s="7" t="n"/>
      <c r="D1927" s="8" t="n"/>
      <c r="E1927" s="7" t="n"/>
      <c r="F1927" s="7" t="n"/>
      <c r="G1927" s="7" t="n"/>
      <c r="H1927" s="7" t="n"/>
      <c r="I1927" s="7" t="n"/>
      <c r="J1927" s="7" t="n"/>
      <c r="K1927" s="7" t="n"/>
      <c r="L1927" s="7" t="n"/>
      <c r="M1927" s="7" t="n"/>
      <c r="N1927" s="7" t="n"/>
      <c r="O1927" s="7" t="n"/>
      <c r="P1927" s="7" t="n"/>
      <c r="Q1927" s="7" t="n"/>
      <c r="R1927" s="7" t="n"/>
      <c r="S1927" s="7" t="n"/>
      <c r="T1927" s="7" t="n"/>
      <c r="U1927" s="7" t="n"/>
      <c r="V1927" s="7" t="n"/>
      <c r="W1927" s="7" t="n"/>
      <c r="X1927" s="7" t="n"/>
      <c r="Y1927" s="7" t="n"/>
      <c r="Z1927" s="7" t="n"/>
      <c r="AA1927" s="9">
        <f>IF(A1927="","",A1927&amp;"|"&amp;COUNTIF($A$2:A1927,A1927))</f>
        <v/>
      </c>
    </row>
    <row r="1928">
      <c r="A1928" s="7" t="n"/>
      <c r="B1928" s="7" t="n"/>
      <c r="C1928" s="7" t="n"/>
      <c r="D1928" s="8" t="n"/>
      <c r="E1928" s="7" t="n"/>
      <c r="F1928" s="7" t="n"/>
      <c r="G1928" s="7" t="n"/>
      <c r="H1928" s="7" t="n"/>
      <c r="I1928" s="7" t="n"/>
      <c r="J1928" s="7" t="n"/>
      <c r="K1928" s="7" t="n"/>
      <c r="L1928" s="7" t="n"/>
      <c r="M1928" s="7" t="n"/>
      <c r="N1928" s="7" t="n"/>
      <c r="O1928" s="7" t="n"/>
      <c r="P1928" s="7" t="n"/>
      <c r="Q1928" s="7" t="n"/>
      <c r="R1928" s="7" t="n"/>
      <c r="S1928" s="7" t="n"/>
      <c r="T1928" s="7" t="n"/>
      <c r="U1928" s="7" t="n"/>
      <c r="V1928" s="7" t="n"/>
      <c r="W1928" s="7" t="n"/>
      <c r="X1928" s="7" t="n"/>
      <c r="Y1928" s="7" t="n"/>
      <c r="Z1928" s="7" t="n"/>
      <c r="AA1928" s="9">
        <f>IF(A1928="","",A1928&amp;"|"&amp;COUNTIF($A$2:A1928,A1928))</f>
        <v/>
      </c>
    </row>
    <row r="1929">
      <c r="A1929" s="7" t="n"/>
      <c r="B1929" s="7" t="n"/>
      <c r="C1929" s="7" t="n"/>
      <c r="D1929" s="8" t="n"/>
      <c r="E1929" s="7" t="n"/>
      <c r="F1929" s="7" t="n"/>
      <c r="G1929" s="7" t="n"/>
      <c r="H1929" s="7" t="n"/>
      <c r="I1929" s="7" t="n"/>
      <c r="J1929" s="7" t="n"/>
      <c r="K1929" s="7" t="n"/>
      <c r="L1929" s="7" t="n"/>
      <c r="M1929" s="7" t="n"/>
      <c r="N1929" s="7" t="n"/>
      <c r="O1929" s="7" t="n"/>
      <c r="P1929" s="7" t="n"/>
      <c r="Q1929" s="7" t="n"/>
      <c r="R1929" s="7" t="n"/>
      <c r="S1929" s="7" t="n"/>
      <c r="T1929" s="7" t="n"/>
      <c r="U1929" s="7" t="n"/>
      <c r="V1929" s="7" t="n"/>
      <c r="W1929" s="7" t="n"/>
      <c r="X1929" s="7" t="n"/>
      <c r="Y1929" s="7" t="n"/>
      <c r="Z1929" s="7" t="n"/>
      <c r="AA1929" s="9">
        <f>IF(A1929="","",A1929&amp;"|"&amp;COUNTIF($A$2:A1929,A1929))</f>
        <v/>
      </c>
    </row>
    <row r="1930">
      <c r="A1930" s="7" t="n"/>
      <c r="B1930" s="7" t="n"/>
      <c r="C1930" s="7" t="n"/>
      <c r="D1930" s="8" t="n"/>
      <c r="E1930" s="7" t="n"/>
      <c r="F1930" s="7" t="n"/>
      <c r="G1930" s="7" t="n"/>
      <c r="H1930" s="7" t="n"/>
      <c r="I1930" s="7" t="n"/>
      <c r="J1930" s="7" t="n"/>
      <c r="K1930" s="7" t="n"/>
      <c r="L1930" s="7" t="n"/>
      <c r="M1930" s="7" t="n"/>
      <c r="N1930" s="7" t="n"/>
      <c r="O1930" s="7" t="n"/>
      <c r="P1930" s="7" t="n"/>
      <c r="Q1930" s="7" t="n"/>
      <c r="R1930" s="7" t="n"/>
      <c r="S1930" s="7" t="n"/>
      <c r="T1930" s="7" t="n"/>
      <c r="U1930" s="7" t="n"/>
      <c r="V1930" s="7" t="n"/>
      <c r="W1930" s="7" t="n"/>
      <c r="X1930" s="7" t="n"/>
      <c r="Y1930" s="7" t="n"/>
      <c r="Z1930" s="7" t="n"/>
      <c r="AA1930" s="9">
        <f>IF(A1930="","",A1930&amp;"|"&amp;COUNTIF($A$2:A1930,A1930))</f>
        <v/>
      </c>
    </row>
    <row r="1931">
      <c r="A1931" s="7" t="n"/>
      <c r="B1931" s="7" t="n"/>
      <c r="C1931" s="7" t="n"/>
      <c r="D1931" s="8" t="n"/>
      <c r="E1931" s="7" t="n"/>
      <c r="F1931" s="7" t="n"/>
      <c r="G1931" s="7" t="n"/>
      <c r="H1931" s="7" t="n"/>
      <c r="I1931" s="7" t="n"/>
      <c r="J1931" s="7" t="n"/>
      <c r="K1931" s="7" t="n"/>
      <c r="L1931" s="7" t="n"/>
      <c r="M1931" s="7" t="n"/>
      <c r="N1931" s="7" t="n"/>
      <c r="O1931" s="7" t="n"/>
      <c r="P1931" s="7" t="n"/>
      <c r="Q1931" s="7" t="n"/>
      <c r="R1931" s="7" t="n"/>
      <c r="S1931" s="7" t="n"/>
      <c r="T1931" s="7" t="n"/>
      <c r="U1931" s="7" t="n"/>
      <c r="V1931" s="7" t="n"/>
      <c r="W1931" s="7" t="n"/>
      <c r="X1931" s="7" t="n"/>
      <c r="Y1931" s="7" t="n"/>
      <c r="Z1931" s="7" t="n"/>
      <c r="AA1931" s="9">
        <f>IF(A1931="","",A1931&amp;"|"&amp;COUNTIF($A$2:A1931,A1931))</f>
        <v/>
      </c>
    </row>
    <row r="1932">
      <c r="A1932" s="7" t="n"/>
      <c r="B1932" s="7" t="n"/>
      <c r="C1932" s="7" t="n"/>
      <c r="D1932" s="8" t="n"/>
      <c r="E1932" s="7" t="n"/>
      <c r="F1932" s="7" t="n"/>
      <c r="G1932" s="7" t="n"/>
      <c r="H1932" s="7" t="n"/>
      <c r="I1932" s="7" t="n"/>
      <c r="J1932" s="7" t="n"/>
      <c r="K1932" s="7" t="n"/>
      <c r="L1932" s="7" t="n"/>
      <c r="M1932" s="7" t="n"/>
      <c r="N1932" s="7" t="n"/>
      <c r="O1932" s="7" t="n"/>
      <c r="P1932" s="7" t="n"/>
      <c r="Q1932" s="7" t="n"/>
      <c r="R1932" s="7" t="n"/>
      <c r="S1932" s="7" t="n"/>
      <c r="T1932" s="7" t="n"/>
      <c r="U1932" s="7" t="n"/>
      <c r="V1932" s="7" t="n"/>
      <c r="W1932" s="7" t="n"/>
      <c r="X1932" s="7" t="n"/>
      <c r="Y1932" s="7" t="n"/>
      <c r="Z1932" s="7" t="n"/>
      <c r="AA1932" s="9">
        <f>IF(A1932="","",A1932&amp;"|"&amp;COUNTIF($A$2:A1932,A1932))</f>
        <v/>
      </c>
    </row>
    <row r="1933">
      <c r="A1933" s="7" t="n"/>
      <c r="B1933" s="7" t="n"/>
      <c r="C1933" s="7" t="n"/>
      <c r="D1933" s="8" t="n"/>
      <c r="E1933" s="7" t="n"/>
      <c r="F1933" s="7" t="n"/>
      <c r="G1933" s="7" t="n"/>
      <c r="H1933" s="7" t="n"/>
      <c r="I1933" s="7" t="n"/>
      <c r="J1933" s="7" t="n"/>
      <c r="K1933" s="7" t="n"/>
      <c r="L1933" s="7" t="n"/>
      <c r="M1933" s="7" t="n"/>
      <c r="N1933" s="7" t="n"/>
      <c r="O1933" s="7" t="n"/>
      <c r="P1933" s="7" t="n"/>
      <c r="Q1933" s="7" t="n"/>
      <c r="R1933" s="7" t="n"/>
      <c r="S1933" s="7" t="n"/>
      <c r="T1933" s="7" t="n"/>
      <c r="U1933" s="7" t="n"/>
      <c r="V1933" s="7" t="n"/>
      <c r="W1933" s="7" t="n"/>
      <c r="X1933" s="7" t="n"/>
      <c r="Y1933" s="7" t="n"/>
      <c r="Z1933" s="7" t="n"/>
      <c r="AA1933" s="9">
        <f>IF(A1933="","",A1933&amp;"|"&amp;COUNTIF($A$2:A1933,A1933))</f>
        <v/>
      </c>
    </row>
    <row r="1934">
      <c r="A1934" s="7" t="n"/>
      <c r="B1934" s="7" t="n"/>
      <c r="C1934" s="7" t="n"/>
      <c r="D1934" s="8" t="n"/>
      <c r="E1934" s="7" t="n"/>
      <c r="F1934" s="7" t="n"/>
      <c r="G1934" s="7" t="n"/>
      <c r="H1934" s="7" t="n"/>
      <c r="I1934" s="7" t="n"/>
      <c r="J1934" s="7" t="n"/>
      <c r="K1934" s="7" t="n"/>
      <c r="L1934" s="7" t="n"/>
      <c r="M1934" s="7" t="n"/>
      <c r="N1934" s="7" t="n"/>
      <c r="O1934" s="7" t="n"/>
      <c r="P1934" s="7" t="n"/>
      <c r="Q1934" s="7" t="n"/>
      <c r="R1934" s="7" t="n"/>
      <c r="S1934" s="7" t="n"/>
      <c r="T1934" s="7" t="n"/>
      <c r="U1934" s="7" t="n"/>
      <c r="V1934" s="7" t="n"/>
      <c r="W1934" s="7" t="n"/>
      <c r="X1934" s="7" t="n"/>
      <c r="Y1934" s="7" t="n"/>
      <c r="Z1934" s="7" t="n"/>
      <c r="AA1934" s="9">
        <f>IF(A1934="","",A1934&amp;"|"&amp;COUNTIF($A$2:A1934,A1934))</f>
        <v/>
      </c>
    </row>
    <row r="1935">
      <c r="A1935" s="7" t="n"/>
      <c r="B1935" s="7" t="n"/>
      <c r="C1935" s="7" t="n"/>
      <c r="D1935" s="8" t="n"/>
      <c r="E1935" s="7" t="n"/>
      <c r="F1935" s="7" t="n"/>
      <c r="G1935" s="7" t="n"/>
      <c r="H1935" s="7" t="n"/>
      <c r="I1935" s="7" t="n"/>
      <c r="J1935" s="7" t="n"/>
      <c r="K1935" s="7" t="n"/>
      <c r="L1935" s="7" t="n"/>
      <c r="M1935" s="7" t="n"/>
      <c r="N1935" s="7" t="n"/>
      <c r="O1935" s="7" t="n"/>
      <c r="P1935" s="7" t="n"/>
      <c r="Q1935" s="7" t="n"/>
      <c r="R1935" s="7" t="n"/>
      <c r="S1935" s="7" t="n"/>
      <c r="T1935" s="7" t="n"/>
      <c r="U1935" s="7" t="n"/>
      <c r="V1935" s="7" t="n"/>
      <c r="W1935" s="7" t="n"/>
      <c r="X1935" s="7" t="n"/>
      <c r="Y1935" s="7" t="n"/>
      <c r="Z1935" s="7" t="n"/>
      <c r="AA1935" s="9">
        <f>IF(A1935="","",A1935&amp;"|"&amp;COUNTIF($A$2:A1935,A1935))</f>
        <v/>
      </c>
    </row>
    <row r="1936">
      <c r="A1936" s="7" t="n"/>
      <c r="B1936" s="7" t="n"/>
      <c r="C1936" s="7" t="n"/>
      <c r="D1936" s="8" t="n"/>
      <c r="E1936" s="7" t="n"/>
      <c r="F1936" s="7" t="n"/>
      <c r="G1936" s="7" t="n"/>
      <c r="H1936" s="7" t="n"/>
      <c r="I1936" s="7" t="n"/>
      <c r="J1936" s="7" t="n"/>
      <c r="K1936" s="7" t="n"/>
      <c r="L1936" s="7" t="n"/>
      <c r="M1936" s="7" t="n"/>
      <c r="N1936" s="7" t="n"/>
      <c r="O1936" s="7" t="n"/>
      <c r="P1936" s="7" t="n"/>
      <c r="Q1936" s="7" t="n"/>
      <c r="R1936" s="7" t="n"/>
      <c r="S1936" s="7" t="n"/>
      <c r="T1936" s="7" t="n"/>
      <c r="U1936" s="7" t="n"/>
      <c r="V1936" s="7" t="n"/>
      <c r="W1936" s="7" t="n"/>
      <c r="X1936" s="7" t="n"/>
      <c r="Y1936" s="7" t="n"/>
      <c r="Z1936" s="7" t="n"/>
      <c r="AA1936" s="9">
        <f>IF(A1936="","",A1936&amp;"|"&amp;COUNTIF($A$2:A1936,A1936))</f>
        <v/>
      </c>
    </row>
    <row r="1937">
      <c r="A1937" s="7" t="n"/>
      <c r="B1937" s="7" t="n"/>
      <c r="C1937" s="7" t="n"/>
      <c r="D1937" s="8" t="n"/>
      <c r="E1937" s="7" t="n"/>
      <c r="F1937" s="7" t="n"/>
      <c r="G1937" s="7" t="n"/>
      <c r="H1937" s="7" t="n"/>
      <c r="I1937" s="7" t="n"/>
      <c r="J1937" s="7" t="n"/>
      <c r="K1937" s="7" t="n"/>
      <c r="L1937" s="7" t="n"/>
      <c r="M1937" s="7" t="n"/>
      <c r="N1937" s="7" t="n"/>
      <c r="O1937" s="7" t="n"/>
      <c r="P1937" s="7" t="n"/>
      <c r="Q1937" s="7" t="n"/>
      <c r="R1937" s="7" t="n"/>
      <c r="S1937" s="7" t="n"/>
      <c r="T1937" s="7" t="n"/>
      <c r="U1937" s="7" t="n"/>
      <c r="V1937" s="7" t="n"/>
      <c r="W1937" s="7" t="n"/>
      <c r="X1937" s="7" t="n"/>
      <c r="Y1937" s="7" t="n"/>
      <c r="Z1937" s="7" t="n"/>
      <c r="AA1937" s="9">
        <f>IF(A1937="","",A1937&amp;"|"&amp;COUNTIF($A$2:A1937,A1937))</f>
        <v/>
      </c>
    </row>
    <row r="1938">
      <c r="A1938" s="7" t="n"/>
      <c r="B1938" s="7" t="n"/>
      <c r="C1938" s="7" t="n"/>
      <c r="D1938" s="8" t="n"/>
      <c r="E1938" s="7" t="n"/>
      <c r="F1938" s="7" t="n"/>
      <c r="G1938" s="7" t="n"/>
      <c r="H1938" s="7" t="n"/>
      <c r="I1938" s="7" t="n"/>
      <c r="J1938" s="7" t="n"/>
      <c r="K1938" s="7" t="n"/>
      <c r="L1938" s="7" t="n"/>
      <c r="M1938" s="7" t="n"/>
      <c r="N1938" s="7" t="n"/>
      <c r="O1938" s="7" t="n"/>
      <c r="P1938" s="7" t="n"/>
      <c r="Q1938" s="7" t="n"/>
      <c r="R1938" s="7" t="n"/>
      <c r="S1938" s="7" t="n"/>
      <c r="T1938" s="7" t="n"/>
      <c r="U1938" s="7" t="n"/>
      <c r="V1938" s="7" t="n"/>
      <c r="W1938" s="7" t="n"/>
      <c r="X1938" s="7" t="n"/>
      <c r="Y1938" s="7" t="n"/>
      <c r="Z1938" s="7" t="n"/>
      <c r="AA1938" s="9">
        <f>IF(A1938="","",A1938&amp;"|"&amp;COUNTIF($A$2:A1938,A1938))</f>
        <v/>
      </c>
    </row>
    <row r="1939">
      <c r="A1939" s="7" t="n"/>
      <c r="B1939" s="7" t="n"/>
      <c r="C1939" s="7" t="n"/>
      <c r="D1939" s="8" t="n"/>
      <c r="E1939" s="7" t="n"/>
      <c r="F1939" s="7" t="n"/>
      <c r="G1939" s="7" t="n"/>
      <c r="H1939" s="7" t="n"/>
      <c r="I1939" s="7" t="n"/>
      <c r="J1939" s="7" t="n"/>
      <c r="K1939" s="7" t="n"/>
      <c r="L1939" s="7" t="n"/>
      <c r="M1939" s="7" t="n"/>
      <c r="N1939" s="7" t="n"/>
      <c r="O1939" s="7" t="n"/>
      <c r="P1939" s="7" t="n"/>
      <c r="Q1939" s="7" t="n"/>
      <c r="R1939" s="7" t="n"/>
      <c r="S1939" s="7" t="n"/>
      <c r="T1939" s="7" t="n"/>
      <c r="U1939" s="7" t="n"/>
      <c r="V1939" s="7" t="n"/>
      <c r="W1939" s="7" t="n"/>
      <c r="X1939" s="7" t="n"/>
      <c r="Y1939" s="7" t="n"/>
      <c r="Z1939" s="7" t="n"/>
      <c r="AA1939" s="9">
        <f>IF(A1939="","",A1939&amp;"|"&amp;COUNTIF($A$2:A1939,A1939))</f>
        <v/>
      </c>
    </row>
    <row r="1940">
      <c r="A1940" s="7" t="n"/>
      <c r="B1940" s="7" t="n"/>
      <c r="C1940" s="7" t="n"/>
      <c r="D1940" s="8" t="n"/>
      <c r="E1940" s="7" t="n"/>
      <c r="F1940" s="7" t="n"/>
      <c r="G1940" s="7" t="n"/>
      <c r="H1940" s="7" t="n"/>
      <c r="I1940" s="7" t="n"/>
      <c r="J1940" s="7" t="n"/>
      <c r="K1940" s="7" t="n"/>
      <c r="L1940" s="7" t="n"/>
      <c r="M1940" s="7" t="n"/>
      <c r="N1940" s="7" t="n"/>
      <c r="O1940" s="7" t="n"/>
      <c r="P1940" s="7" t="n"/>
      <c r="Q1940" s="7" t="n"/>
      <c r="R1940" s="7" t="n"/>
      <c r="S1940" s="7" t="n"/>
      <c r="T1940" s="7" t="n"/>
      <c r="U1940" s="7" t="n"/>
      <c r="V1940" s="7" t="n"/>
      <c r="W1940" s="7" t="n"/>
      <c r="X1940" s="7" t="n"/>
      <c r="Y1940" s="7" t="n"/>
      <c r="Z1940" s="7" t="n"/>
      <c r="AA1940" s="9">
        <f>IF(A1940="","",A1940&amp;"|"&amp;COUNTIF($A$2:A1940,A1940))</f>
        <v/>
      </c>
    </row>
    <row r="1941">
      <c r="A1941" s="7" t="n"/>
      <c r="B1941" s="7" t="n"/>
      <c r="C1941" s="7" t="n"/>
      <c r="D1941" s="8" t="n"/>
      <c r="E1941" s="7" t="n"/>
      <c r="F1941" s="7" t="n"/>
      <c r="G1941" s="7" t="n"/>
      <c r="H1941" s="7" t="n"/>
      <c r="I1941" s="7" t="n"/>
      <c r="J1941" s="7" t="n"/>
      <c r="K1941" s="7" t="n"/>
      <c r="L1941" s="7" t="n"/>
      <c r="M1941" s="7" t="n"/>
      <c r="N1941" s="7" t="n"/>
      <c r="O1941" s="7" t="n"/>
      <c r="P1941" s="7" t="n"/>
      <c r="Q1941" s="7" t="n"/>
      <c r="R1941" s="7" t="n"/>
      <c r="S1941" s="7" t="n"/>
      <c r="T1941" s="7" t="n"/>
      <c r="U1941" s="7" t="n"/>
      <c r="V1941" s="7" t="n"/>
      <c r="W1941" s="7" t="n"/>
      <c r="X1941" s="7" t="n"/>
      <c r="Y1941" s="7" t="n"/>
      <c r="Z1941" s="7" t="n"/>
      <c r="AA1941" s="9">
        <f>IF(A1941="","",A1941&amp;"|"&amp;COUNTIF($A$2:A1941,A1941))</f>
        <v/>
      </c>
    </row>
    <row r="1942">
      <c r="A1942" s="7" t="n"/>
      <c r="B1942" s="7" t="n"/>
      <c r="C1942" s="7" t="n"/>
      <c r="D1942" s="8" t="n"/>
      <c r="E1942" s="7" t="n"/>
      <c r="F1942" s="7" t="n"/>
      <c r="G1942" s="7" t="n"/>
      <c r="H1942" s="7" t="n"/>
      <c r="I1942" s="7" t="n"/>
      <c r="J1942" s="7" t="n"/>
      <c r="K1942" s="7" t="n"/>
      <c r="L1942" s="7" t="n"/>
      <c r="M1942" s="7" t="n"/>
      <c r="N1942" s="7" t="n"/>
      <c r="O1942" s="7" t="n"/>
      <c r="P1942" s="7" t="n"/>
      <c r="Q1942" s="7" t="n"/>
      <c r="R1942" s="7" t="n"/>
      <c r="S1942" s="7" t="n"/>
      <c r="T1942" s="7" t="n"/>
      <c r="U1942" s="7" t="n"/>
      <c r="V1942" s="7" t="n"/>
      <c r="W1942" s="7" t="n"/>
      <c r="X1942" s="7" t="n"/>
      <c r="Y1942" s="7" t="n"/>
      <c r="Z1942" s="7" t="n"/>
      <c r="AA1942" s="9">
        <f>IF(A1942="","",A1942&amp;"|"&amp;COUNTIF($A$2:A1942,A1942))</f>
        <v/>
      </c>
    </row>
    <row r="1943">
      <c r="A1943" s="7" t="n"/>
      <c r="B1943" s="7" t="n"/>
      <c r="C1943" s="7" t="n"/>
      <c r="D1943" s="8" t="n"/>
      <c r="E1943" s="7" t="n"/>
      <c r="F1943" s="7" t="n"/>
      <c r="G1943" s="7" t="n"/>
      <c r="H1943" s="7" t="n"/>
      <c r="I1943" s="7" t="n"/>
      <c r="J1943" s="7" t="n"/>
      <c r="K1943" s="7" t="n"/>
      <c r="L1943" s="7" t="n"/>
      <c r="M1943" s="7" t="n"/>
      <c r="N1943" s="7" t="n"/>
      <c r="O1943" s="7" t="n"/>
      <c r="P1943" s="7" t="n"/>
      <c r="Q1943" s="7" t="n"/>
      <c r="R1943" s="7" t="n"/>
      <c r="S1943" s="7" t="n"/>
      <c r="T1943" s="7" t="n"/>
      <c r="U1943" s="7" t="n"/>
      <c r="V1943" s="7" t="n"/>
      <c r="W1943" s="7" t="n"/>
      <c r="X1943" s="7" t="n"/>
      <c r="Y1943" s="7" t="n"/>
      <c r="Z1943" s="7" t="n"/>
      <c r="AA1943" s="9">
        <f>IF(A1943="","",A1943&amp;"|"&amp;COUNTIF($A$2:A1943,A1943))</f>
        <v/>
      </c>
    </row>
    <row r="1944">
      <c r="A1944" s="7" t="n"/>
      <c r="B1944" s="7" t="n"/>
      <c r="C1944" s="7" t="n"/>
      <c r="D1944" s="8" t="n"/>
      <c r="E1944" s="7" t="n"/>
      <c r="F1944" s="7" t="n"/>
      <c r="G1944" s="7" t="n"/>
      <c r="H1944" s="7" t="n"/>
      <c r="I1944" s="7" t="n"/>
      <c r="J1944" s="7" t="n"/>
      <c r="K1944" s="7" t="n"/>
      <c r="L1944" s="7" t="n"/>
      <c r="M1944" s="7" t="n"/>
      <c r="N1944" s="7" t="n"/>
      <c r="O1944" s="7" t="n"/>
      <c r="P1944" s="7" t="n"/>
      <c r="Q1944" s="7" t="n"/>
      <c r="R1944" s="7" t="n"/>
      <c r="S1944" s="7" t="n"/>
      <c r="T1944" s="7" t="n"/>
      <c r="U1944" s="7" t="n"/>
      <c r="V1944" s="7" t="n"/>
      <c r="W1944" s="7" t="n"/>
      <c r="X1944" s="7" t="n"/>
      <c r="Y1944" s="7" t="n"/>
      <c r="Z1944" s="7" t="n"/>
      <c r="AA1944" s="9">
        <f>IF(A1944="","",A1944&amp;"|"&amp;COUNTIF($A$2:A1944,A1944))</f>
        <v/>
      </c>
    </row>
    <row r="1945">
      <c r="A1945" s="7" t="n"/>
      <c r="B1945" s="7" t="n"/>
      <c r="C1945" s="7" t="n"/>
      <c r="D1945" s="8" t="n"/>
      <c r="E1945" s="7" t="n"/>
      <c r="F1945" s="7" t="n"/>
      <c r="G1945" s="7" t="n"/>
      <c r="H1945" s="7" t="n"/>
      <c r="I1945" s="7" t="n"/>
      <c r="J1945" s="7" t="n"/>
      <c r="K1945" s="7" t="n"/>
      <c r="L1945" s="7" t="n"/>
      <c r="M1945" s="7" t="n"/>
      <c r="N1945" s="7" t="n"/>
      <c r="O1945" s="7" t="n"/>
      <c r="P1945" s="7" t="n"/>
      <c r="Q1945" s="7" t="n"/>
      <c r="R1945" s="7" t="n"/>
      <c r="S1945" s="7" t="n"/>
      <c r="T1945" s="7" t="n"/>
      <c r="U1945" s="7" t="n"/>
      <c r="V1945" s="7" t="n"/>
      <c r="W1945" s="7" t="n"/>
      <c r="X1945" s="7" t="n"/>
      <c r="Y1945" s="7" t="n"/>
      <c r="Z1945" s="7" t="n"/>
      <c r="AA1945" s="9">
        <f>IF(A1945="","",A1945&amp;"|"&amp;COUNTIF($A$2:A1945,A1945))</f>
        <v/>
      </c>
    </row>
    <row r="1946">
      <c r="A1946" s="7" t="n"/>
      <c r="B1946" s="7" t="n"/>
      <c r="C1946" s="7" t="n"/>
      <c r="D1946" s="8" t="n"/>
      <c r="E1946" s="7" t="n"/>
      <c r="F1946" s="7" t="n"/>
      <c r="G1946" s="7" t="n"/>
      <c r="H1946" s="7" t="n"/>
      <c r="I1946" s="7" t="n"/>
      <c r="J1946" s="7" t="n"/>
      <c r="K1946" s="7" t="n"/>
      <c r="L1946" s="7" t="n"/>
      <c r="M1946" s="7" t="n"/>
      <c r="N1946" s="7" t="n"/>
      <c r="O1946" s="7" t="n"/>
      <c r="P1946" s="7" t="n"/>
      <c r="Q1946" s="7" t="n"/>
      <c r="R1946" s="7" t="n"/>
      <c r="S1946" s="7" t="n"/>
      <c r="T1946" s="7" t="n"/>
      <c r="U1946" s="7" t="n"/>
      <c r="V1946" s="7" t="n"/>
      <c r="W1946" s="7" t="n"/>
      <c r="X1946" s="7" t="n"/>
      <c r="Y1946" s="7" t="n"/>
      <c r="Z1946" s="7" t="n"/>
      <c r="AA1946" s="9">
        <f>IF(A1946="","",A1946&amp;"|"&amp;COUNTIF($A$2:A1946,A1946))</f>
        <v/>
      </c>
    </row>
    <row r="1947">
      <c r="A1947" s="7" t="n"/>
      <c r="B1947" s="7" t="n"/>
      <c r="C1947" s="7" t="n"/>
      <c r="D1947" s="8" t="n"/>
      <c r="E1947" s="7" t="n"/>
      <c r="F1947" s="7" t="n"/>
      <c r="G1947" s="7" t="n"/>
      <c r="H1947" s="7" t="n"/>
      <c r="I1947" s="7" t="n"/>
      <c r="J1947" s="7" t="n"/>
      <c r="K1947" s="7" t="n"/>
      <c r="L1947" s="7" t="n"/>
      <c r="M1947" s="7" t="n"/>
      <c r="N1947" s="7" t="n"/>
      <c r="O1947" s="7" t="n"/>
      <c r="P1947" s="7" t="n"/>
      <c r="Q1947" s="7" t="n"/>
      <c r="R1947" s="7" t="n"/>
      <c r="S1947" s="7" t="n"/>
      <c r="T1947" s="7" t="n"/>
      <c r="U1947" s="7" t="n"/>
      <c r="V1947" s="7" t="n"/>
      <c r="W1947" s="7" t="n"/>
      <c r="X1947" s="7" t="n"/>
      <c r="Y1947" s="7" t="n"/>
      <c r="Z1947" s="7" t="n"/>
      <c r="AA1947" s="9">
        <f>IF(A1947="","",A1947&amp;"|"&amp;COUNTIF($A$2:A1947,A1947))</f>
        <v/>
      </c>
    </row>
    <row r="1948">
      <c r="A1948" s="7" t="n"/>
      <c r="B1948" s="7" t="n"/>
      <c r="C1948" s="7" t="n"/>
      <c r="D1948" s="8" t="n"/>
      <c r="E1948" s="7" t="n"/>
      <c r="F1948" s="7" t="n"/>
      <c r="G1948" s="7" t="n"/>
      <c r="H1948" s="7" t="n"/>
      <c r="I1948" s="7" t="n"/>
      <c r="J1948" s="7" t="n"/>
      <c r="K1948" s="7" t="n"/>
      <c r="L1948" s="7" t="n"/>
      <c r="M1948" s="7" t="n"/>
      <c r="N1948" s="7" t="n"/>
      <c r="O1948" s="7" t="n"/>
      <c r="P1948" s="7" t="n"/>
      <c r="Q1948" s="7" t="n"/>
      <c r="R1948" s="7" t="n"/>
      <c r="S1948" s="7" t="n"/>
      <c r="T1948" s="7" t="n"/>
      <c r="U1948" s="7" t="n"/>
      <c r="V1948" s="7" t="n"/>
      <c r="W1948" s="7" t="n"/>
      <c r="X1948" s="7" t="n"/>
      <c r="Y1948" s="7" t="n"/>
      <c r="Z1948" s="7" t="n"/>
      <c r="AA1948" s="9">
        <f>IF(A1948="","",A1948&amp;"|"&amp;COUNTIF($A$2:A1948,A1948))</f>
        <v/>
      </c>
    </row>
    <row r="1949">
      <c r="A1949" s="7" t="n"/>
      <c r="B1949" s="7" t="n"/>
      <c r="C1949" s="7" t="n"/>
      <c r="D1949" s="8" t="n"/>
      <c r="E1949" s="7" t="n"/>
      <c r="F1949" s="7" t="n"/>
      <c r="G1949" s="7" t="n"/>
      <c r="H1949" s="7" t="n"/>
      <c r="I1949" s="7" t="n"/>
      <c r="J1949" s="7" t="n"/>
      <c r="K1949" s="7" t="n"/>
      <c r="L1949" s="7" t="n"/>
      <c r="M1949" s="7" t="n"/>
      <c r="N1949" s="7" t="n"/>
      <c r="O1949" s="7" t="n"/>
      <c r="P1949" s="7" t="n"/>
      <c r="Q1949" s="7" t="n"/>
      <c r="R1949" s="7" t="n"/>
      <c r="S1949" s="7" t="n"/>
      <c r="T1949" s="7" t="n"/>
      <c r="U1949" s="7" t="n"/>
      <c r="V1949" s="7" t="n"/>
      <c r="W1949" s="7" t="n"/>
      <c r="X1949" s="7" t="n"/>
      <c r="Y1949" s="7" t="n"/>
      <c r="Z1949" s="7" t="n"/>
      <c r="AA1949" s="9">
        <f>IF(A1949="","",A1949&amp;"|"&amp;COUNTIF($A$2:A1949,A1949))</f>
        <v/>
      </c>
    </row>
    <row r="1950">
      <c r="A1950" s="7" t="n"/>
      <c r="B1950" s="7" t="n"/>
      <c r="C1950" s="7" t="n"/>
      <c r="D1950" s="8" t="n"/>
      <c r="E1950" s="7" t="n"/>
      <c r="F1950" s="7" t="n"/>
      <c r="G1950" s="7" t="n"/>
      <c r="H1950" s="7" t="n"/>
      <c r="I1950" s="7" t="n"/>
      <c r="J1950" s="7" t="n"/>
      <c r="K1950" s="7" t="n"/>
      <c r="L1950" s="7" t="n"/>
      <c r="M1950" s="7" t="n"/>
      <c r="N1950" s="7" t="n"/>
      <c r="O1950" s="7" t="n"/>
      <c r="P1950" s="7" t="n"/>
      <c r="Q1950" s="7" t="n"/>
      <c r="R1950" s="7" t="n"/>
      <c r="S1950" s="7" t="n"/>
      <c r="T1950" s="7" t="n"/>
      <c r="U1950" s="7" t="n"/>
      <c r="V1950" s="7" t="n"/>
      <c r="W1950" s="7" t="n"/>
      <c r="X1950" s="7" t="n"/>
      <c r="Y1950" s="7" t="n"/>
      <c r="Z1950" s="7" t="n"/>
      <c r="AA1950" s="9">
        <f>IF(A1950="","",A1950&amp;"|"&amp;COUNTIF($A$2:A1950,A1950))</f>
        <v/>
      </c>
    </row>
    <row r="1951">
      <c r="A1951" s="7" t="n"/>
      <c r="B1951" s="7" t="n"/>
      <c r="C1951" s="7" t="n"/>
      <c r="D1951" s="8" t="n"/>
      <c r="E1951" s="7" t="n"/>
      <c r="F1951" s="7" t="n"/>
      <c r="G1951" s="7" t="n"/>
      <c r="H1951" s="7" t="n"/>
      <c r="I1951" s="7" t="n"/>
      <c r="J1951" s="7" t="n"/>
      <c r="K1951" s="7" t="n"/>
      <c r="L1951" s="7" t="n"/>
      <c r="M1951" s="7" t="n"/>
      <c r="N1951" s="7" t="n"/>
      <c r="O1951" s="7" t="n"/>
      <c r="P1951" s="7" t="n"/>
      <c r="Q1951" s="7" t="n"/>
      <c r="R1951" s="7" t="n"/>
      <c r="S1951" s="7" t="n"/>
      <c r="T1951" s="7" t="n"/>
      <c r="U1951" s="7" t="n"/>
      <c r="V1951" s="7" t="n"/>
      <c r="W1951" s="7" t="n"/>
      <c r="X1951" s="7" t="n"/>
      <c r="Y1951" s="7" t="n"/>
      <c r="Z1951" s="7" t="n"/>
      <c r="AA1951" s="9">
        <f>IF(A1951="","",A1951&amp;"|"&amp;COUNTIF($A$2:A1951,A1951))</f>
        <v/>
      </c>
    </row>
    <row r="1952">
      <c r="A1952" s="7" t="n"/>
      <c r="B1952" s="7" t="n"/>
      <c r="C1952" s="7" t="n"/>
      <c r="D1952" s="8" t="n"/>
      <c r="E1952" s="7" t="n"/>
      <c r="F1952" s="7" t="n"/>
      <c r="G1952" s="7" t="n"/>
      <c r="H1952" s="7" t="n"/>
      <c r="I1952" s="7" t="n"/>
      <c r="J1952" s="7" t="n"/>
      <c r="K1952" s="7" t="n"/>
      <c r="L1952" s="7" t="n"/>
      <c r="M1952" s="7" t="n"/>
      <c r="N1952" s="7" t="n"/>
      <c r="O1952" s="7" t="n"/>
      <c r="P1952" s="7" t="n"/>
      <c r="Q1952" s="7" t="n"/>
      <c r="R1952" s="7" t="n"/>
      <c r="S1952" s="7" t="n"/>
      <c r="T1952" s="7" t="n"/>
      <c r="U1952" s="7" t="n"/>
      <c r="V1952" s="7" t="n"/>
      <c r="W1952" s="7" t="n"/>
      <c r="X1952" s="7" t="n"/>
      <c r="Y1952" s="7" t="n"/>
      <c r="Z1952" s="7" t="n"/>
      <c r="AA1952" s="9">
        <f>IF(A1952="","",A1952&amp;"|"&amp;COUNTIF($A$2:A1952,A1952))</f>
        <v/>
      </c>
    </row>
    <row r="1953">
      <c r="A1953" s="7" t="n"/>
      <c r="B1953" s="7" t="n"/>
      <c r="C1953" s="7" t="n"/>
      <c r="D1953" s="8" t="n"/>
      <c r="E1953" s="7" t="n"/>
      <c r="F1953" s="7" t="n"/>
      <c r="G1953" s="7" t="n"/>
      <c r="H1953" s="7" t="n"/>
      <c r="I1953" s="7" t="n"/>
      <c r="J1953" s="7" t="n"/>
      <c r="K1953" s="7" t="n"/>
      <c r="L1953" s="7" t="n"/>
      <c r="M1953" s="7" t="n"/>
      <c r="N1953" s="7" t="n"/>
      <c r="O1953" s="7" t="n"/>
      <c r="P1953" s="7" t="n"/>
      <c r="Q1953" s="7" t="n"/>
      <c r="R1953" s="7" t="n"/>
      <c r="S1953" s="7" t="n"/>
      <c r="T1953" s="7" t="n"/>
      <c r="U1953" s="7" t="n"/>
      <c r="V1953" s="7" t="n"/>
      <c r="W1953" s="7" t="n"/>
      <c r="X1953" s="7" t="n"/>
      <c r="Y1953" s="7" t="n"/>
      <c r="Z1953" s="7" t="n"/>
      <c r="AA1953" s="9">
        <f>IF(A1953="","",A1953&amp;"|"&amp;COUNTIF($A$2:A1953,A1953))</f>
        <v/>
      </c>
    </row>
    <row r="1954">
      <c r="A1954" s="7" t="n"/>
      <c r="B1954" s="7" t="n"/>
      <c r="C1954" s="7" t="n"/>
      <c r="D1954" s="8" t="n"/>
      <c r="E1954" s="7" t="n"/>
      <c r="F1954" s="7" t="n"/>
      <c r="G1954" s="7" t="n"/>
      <c r="H1954" s="7" t="n"/>
      <c r="I1954" s="7" t="n"/>
      <c r="J1954" s="7" t="n"/>
      <c r="K1954" s="7" t="n"/>
      <c r="L1954" s="7" t="n"/>
      <c r="M1954" s="7" t="n"/>
      <c r="N1954" s="7" t="n"/>
      <c r="O1954" s="7" t="n"/>
      <c r="P1954" s="7" t="n"/>
      <c r="Q1954" s="7" t="n"/>
      <c r="R1954" s="7" t="n"/>
      <c r="S1954" s="7" t="n"/>
      <c r="T1954" s="7" t="n"/>
      <c r="U1954" s="7" t="n"/>
      <c r="V1954" s="7" t="n"/>
      <c r="W1954" s="7" t="n"/>
      <c r="X1954" s="7" t="n"/>
      <c r="Y1954" s="7" t="n"/>
      <c r="Z1954" s="7" t="n"/>
      <c r="AA1954" s="9">
        <f>IF(A1954="","",A1954&amp;"|"&amp;COUNTIF($A$2:A1954,A1954))</f>
        <v/>
      </c>
    </row>
    <row r="1955">
      <c r="A1955" s="7" t="n"/>
      <c r="B1955" s="7" t="n"/>
      <c r="C1955" s="7" t="n"/>
      <c r="D1955" s="8" t="n"/>
      <c r="E1955" s="7" t="n"/>
      <c r="F1955" s="7" t="n"/>
      <c r="G1955" s="7" t="n"/>
      <c r="H1955" s="7" t="n"/>
      <c r="I1955" s="7" t="n"/>
      <c r="J1955" s="7" t="n"/>
      <c r="K1955" s="7" t="n"/>
      <c r="L1955" s="7" t="n"/>
      <c r="M1955" s="7" t="n"/>
      <c r="N1955" s="7" t="n"/>
      <c r="O1955" s="7" t="n"/>
      <c r="P1955" s="7" t="n"/>
      <c r="Q1955" s="7" t="n"/>
      <c r="R1955" s="7" t="n"/>
      <c r="S1955" s="7" t="n"/>
      <c r="T1955" s="7" t="n"/>
      <c r="U1955" s="7" t="n"/>
      <c r="V1955" s="7" t="n"/>
      <c r="W1955" s="7" t="n"/>
      <c r="X1955" s="7" t="n"/>
      <c r="Y1955" s="7" t="n"/>
      <c r="Z1955" s="7" t="n"/>
      <c r="AA1955" s="9">
        <f>IF(A1955="","",A1955&amp;"|"&amp;COUNTIF($A$2:A1955,A1955))</f>
        <v/>
      </c>
    </row>
    <row r="1956">
      <c r="A1956" s="7" t="n"/>
      <c r="B1956" s="7" t="n"/>
      <c r="C1956" s="7" t="n"/>
      <c r="D1956" s="8" t="n"/>
      <c r="E1956" s="7" t="n"/>
      <c r="F1956" s="7" t="n"/>
      <c r="G1956" s="7" t="n"/>
      <c r="H1956" s="7" t="n"/>
      <c r="I1956" s="7" t="n"/>
      <c r="J1956" s="7" t="n"/>
      <c r="K1956" s="7" t="n"/>
      <c r="L1956" s="7" t="n"/>
      <c r="M1956" s="7" t="n"/>
      <c r="N1956" s="7" t="n"/>
      <c r="O1956" s="7" t="n"/>
      <c r="P1956" s="7" t="n"/>
      <c r="Q1956" s="7" t="n"/>
      <c r="R1956" s="7" t="n"/>
      <c r="S1956" s="7" t="n"/>
      <c r="T1956" s="7" t="n"/>
      <c r="U1956" s="7" t="n"/>
      <c r="V1956" s="7" t="n"/>
      <c r="W1956" s="7" t="n"/>
      <c r="X1956" s="7" t="n"/>
      <c r="Y1956" s="7" t="n"/>
      <c r="Z1956" s="7" t="n"/>
      <c r="AA1956" s="9">
        <f>IF(A1956="","",A1956&amp;"|"&amp;COUNTIF($A$2:A1956,A1956))</f>
        <v/>
      </c>
    </row>
    <row r="1957">
      <c r="A1957" s="7" t="n"/>
      <c r="B1957" s="7" t="n"/>
      <c r="C1957" s="7" t="n"/>
      <c r="D1957" s="8" t="n"/>
      <c r="E1957" s="7" t="n"/>
      <c r="F1957" s="7" t="n"/>
      <c r="G1957" s="7" t="n"/>
      <c r="H1957" s="7" t="n"/>
      <c r="I1957" s="7" t="n"/>
      <c r="J1957" s="7" t="n"/>
      <c r="K1957" s="7" t="n"/>
      <c r="L1957" s="7" t="n"/>
      <c r="M1957" s="7" t="n"/>
      <c r="N1957" s="7" t="n"/>
      <c r="O1957" s="7" t="n"/>
      <c r="P1957" s="7" t="n"/>
      <c r="Q1957" s="7" t="n"/>
      <c r="R1957" s="7" t="n"/>
      <c r="S1957" s="7" t="n"/>
      <c r="T1957" s="7" t="n"/>
      <c r="U1957" s="7" t="n"/>
      <c r="V1957" s="7" t="n"/>
      <c r="W1957" s="7" t="n"/>
      <c r="X1957" s="7" t="n"/>
      <c r="Y1957" s="7" t="n"/>
      <c r="Z1957" s="7" t="n"/>
      <c r="AA1957" s="9">
        <f>IF(A1957="","",A1957&amp;"|"&amp;COUNTIF($A$2:A1957,A1957))</f>
        <v/>
      </c>
    </row>
    <row r="1958">
      <c r="A1958" s="7" t="n"/>
      <c r="B1958" s="7" t="n"/>
      <c r="C1958" s="7" t="n"/>
      <c r="D1958" s="8" t="n"/>
      <c r="E1958" s="7" t="n"/>
      <c r="F1958" s="7" t="n"/>
      <c r="G1958" s="7" t="n"/>
      <c r="H1958" s="7" t="n"/>
      <c r="I1958" s="7" t="n"/>
      <c r="J1958" s="7" t="n"/>
      <c r="K1958" s="7" t="n"/>
      <c r="L1958" s="7" t="n"/>
      <c r="M1958" s="7" t="n"/>
      <c r="N1958" s="7" t="n"/>
      <c r="O1958" s="7" t="n"/>
      <c r="P1958" s="7" t="n"/>
      <c r="Q1958" s="7" t="n"/>
      <c r="R1958" s="7" t="n"/>
      <c r="S1958" s="7" t="n"/>
      <c r="T1958" s="7" t="n"/>
      <c r="U1958" s="7" t="n"/>
      <c r="V1958" s="7" t="n"/>
      <c r="W1958" s="7" t="n"/>
      <c r="X1958" s="7" t="n"/>
      <c r="Y1958" s="7" t="n"/>
      <c r="Z1958" s="7" t="n"/>
      <c r="AA1958" s="9">
        <f>IF(A1958="","",A1958&amp;"|"&amp;COUNTIF($A$2:A1958,A1958))</f>
        <v/>
      </c>
    </row>
    <row r="1959">
      <c r="A1959" s="7" t="n"/>
      <c r="B1959" s="7" t="n"/>
      <c r="C1959" s="7" t="n"/>
      <c r="D1959" s="8" t="n"/>
      <c r="E1959" s="7" t="n"/>
      <c r="F1959" s="7" t="n"/>
      <c r="G1959" s="7" t="n"/>
      <c r="H1959" s="7" t="n"/>
      <c r="I1959" s="7" t="n"/>
      <c r="J1959" s="7" t="n"/>
      <c r="K1959" s="7" t="n"/>
      <c r="L1959" s="7" t="n"/>
      <c r="M1959" s="7" t="n"/>
      <c r="N1959" s="7" t="n"/>
      <c r="O1959" s="7" t="n"/>
      <c r="P1959" s="7" t="n"/>
      <c r="Q1959" s="7" t="n"/>
      <c r="R1959" s="7" t="n"/>
      <c r="S1959" s="7" t="n"/>
      <c r="T1959" s="7" t="n"/>
      <c r="U1959" s="7" t="n"/>
      <c r="V1959" s="7" t="n"/>
      <c r="W1959" s="7" t="n"/>
      <c r="X1959" s="7" t="n"/>
      <c r="Y1959" s="7" t="n"/>
      <c r="Z1959" s="7" t="n"/>
      <c r="AA1959" s="9">
        <f>IF(A1959="","",A1959&amp;"|"&amp;COUNTIF($A$2:A1959,A1959))</f>
        <v/>
      </c>
    </row>
    <row r="1960">
      <c r="A1960" s="7" t="n"/>
      <c r="B1960" s="7" t="n"/>
      <c r="C1960" s="7" t="n"/>
      <c r="D1960" s="8" t="n"/>
      <c r="E1960" s="7" t="n"/>
      <c r="F1960" s="7" t="n"/>
      <c r="G1960" s="7" t="n"/>
      <c r="H1960" s="7" t="n"/>
      <c r="I1960" s="7" t="n"/>
      <c r="J1960" s="7" t="n"/>
      <c r="K1960" s="7" t="n"/>
      <c r="L1960" s="7" t="n"/>
      <c r="M1960" s="7" t="n"/>
      <c r="N1960" s="7" t="n"/>
      <c r="O1960" s="7" t="n"/>
      <c r="P1960" s="7" t="n"/>
      <c r="Q1960" s="7" t="n"/>
      <c r="R1960" s="7" t="n"/>
      <c r="S1960" s="7" t="n"/>
      <c r="T1960" s="7" t="n"/>
      <c r="U1960" s="7" t="n"/>
      <c r="V1960" s="7" t="n"/>
      <c r="W1960" s="7" t="n"/>
      <c r="X1960" s="7" t="n"/>
      <c r="Y1960" s="7" t="n"/>
      <c r="Z1960" s="7" t="n"/>
      <c r="AA1960" s="9">
        <f>IF(A1960="","",A1960&amp;"|"&amp;COUNTIF($A$2:A1960,A1960))</f>
        <v/>
      </c>
    </row>
    <row r="1961">
      <c r="A1961" s="7" t="n"/>
      <c r="B1961" s="7" t="n"/>
      <c r="C1961" s="7" t="n"/>
      <c r="D1961" s="8" t="n"/>
      <c r="E1961" s="7" t="n"/>
      <c r="F1961" s="7" t="n"/>
      <c r="G1961" s="7" t="n"/>
      <c r="H1961" s="7" t="n"/>
      <c r="I1961" s="7" t="n"/>
      <c r="J1961" s="7" t="n"/>
      <c r="K1961" s="7" t="n"/>
      <c r="L1961" s="7" t="n"/>
      <c r="M1961" s="7" t="n"/>
      <c r="N1961" s="7" t="n"/>
      <c r="O1961" s="7" t="n"/>
      <c r="P1961" s="7" t="n"/>
      <c r="Q1961" s="7" t="n"/>
      <c r="R1961" s="7" t="n"/>
      <c r="S1961" s="7" t="n"/>
      <c r="T1961" s="7" t="n"/>
      <c r="U1961" s="7" t="n"/>
      <c r="V1961" s="7" t="n"/>
      <c r="W1961" s="7" t="n"/>
      <c r="X1961" s="7" t="n"/>
      <c r="Y1961" s="7" t="n"/>
      <c r="Z1961" s="7" t="n"/>
      <c r="AA1961" s="9">
        <f>IF(A1961="","",A1961&amp;"|"&amp;COUNTIF($A$2:A1961,A1961))</f>
        <v/>
      </c>
    </row>
    <row r="1962">
      <c r="A1962" s="7" t="n"/>
      <c r="B1962" s="7" t="n"/>
      <c r="C1962" s="7" t="n"/>
      <c r="D1962" s="8" t="n"/>
      <c r="E1962" s="7" t="n"/>
      <c r="F1962" s="7" t="n"/>
      <c r="G1962" s="7" t="n"/>
      <c r="H1962" s="7" t="n"/>
      <c r="I1962" s="7" t="n"/>
      <c r="J1962" s="7" t="n"/>
      <c r="K1962" s="7" t="n"/>
      <c r="L1962" s="7" t="n"/>
      <c r="M1962" s="7" t="n"/>
      <c r="N1962" s="7" t="n"/>
      <c r="O1962" s="7" t="n"/>
      <c r="P1962" s="7" t="n"/>
      <c r="Q1962" s="7" t="n"/>
      <c r="R1962" s="7" t="n"/>
      <c r="S1962" s="7" t="n"/>
      <c r="T1962" s="7" t="n"/>
      <c r="U1962" s="7" t="n"/>
      <c r="V1962" s="7" t="n"/>
      <c r="W1962" s="7" t="n"/>
      <c r="X1962" s="7" t="n"/>
      <c r="Y1962" s="7" t="n"/>
      <c r="Z1962" s="7" t="n"/>
      <c r="AA1962" s="9">
        <f>IF(A1962="","",A1962&amp;"|"&amp;COUNTIF($A$2:A1962,A1962))</f>
        <v/>
      </c>
    </row>
    <row r="1963">
      <c r="A1963" s="7" t="n"/>
      <c r="B1963" s="7" t="n"/>
      <c r="C1963" s="7" t="n"/>
      <c r="D1963" s="8" t="n"/>
      <c r="E1963" s="7" t="n"/>
      <c r="F1963" s="7" t="n"/>
      <c r="G1963" s="7" t="n"/>
      <c r="H1963" s="7" t="n"/>
      <c r="I1963" s="7" t="n"/>
      <c r="J1963" s="7" t="n"/>
      <c r="K1963" s="7" t="n"/>
      <c r="L1963" s="7" t="n"/>
      <c r="M1963" s="7" t="n"/>
      <c r="N1963" s="7" t="n"/>
      <c r="O1963" s="7" t="n"/>
      <c r="P1963" s="7" t="n"/>
      <c r="Q1963" s="7" t="n"/>
      <c r="R1963" s="7" t="n"/>
      <c r="S1963" s="7" t="n"/>
      <c r="T1963" s="7" t="n"/>
      <c r="U1963" s="7" t="n"/>
      <c r="V1963" s="7" t="n"/>
      <c r="W1963" s="7" t="n"/>
      <c r="X1963" s="7" t="n"/>
      <c r="Y1963" s="7" t="n"/>
      <c r="Z1963" s="7" t="n"/>
      <c r="AA1963" s="9">
        <f>IF(A1963="","",A1963&amp;"|"&amp;COUNTIF($A$2:A1963,A1963))</f>
        <v/>
      </c>
    </row>
    <row r="1964">
      <c r="A1964" s="7" t="n"/>
      <c r="B1964" s="7" t="n"/>
      <c r="C1964" s="7" t="n"/>
      <c r="D1964" s="8" t="n"/>
      <c r="E1964" s="7" t="n"/>
      <c r="F1964" s="7" t="n"/>
      <c r="G1964" s="7" t="n"/>
      <c r="H1964" s="7" t="n"/>
      <c r="I1964" s="7" t="n"/>
      <c r="J1964" s="7" t="n"/>
      <c r="K1964" s="7" t="n"/>
      <c r="L1964" s="7" t="n"/>
      <c r="M1964" s="7" t="n"/>
      <c r="N1964" s="7" t="n"/>
      <c r="O1964" s="7" t="n"/>
      <c r="P1964" s="7" t="n"/>
      <c r="Q1964" s="7" t="n"/>
      <c r="R1964" s="7" t="n"/>
      <c r="S1964" s="7" t="n"/>
      <c r="T1964" s="7" t="n"/>
      <c r="U1964" s="7" t="n"/>
      <c r="V1964" s="7" t="n"/>
      <c r="W1964" s="7" t="n"/>
      <c r="X1964" s="7" t="n"/>
      <c r="Y1964" s="7" t="n"/>
      <c r="Z1964" s="7" t="n"/>
      <c r="AA1964" s="9">
        <f>IF(A1964="","",A1964&amp;"|"&amp;COUNTIF($A$2:A1964,A1964))</f>
        <v/>
      </c>
    </row>
    <row r="1965">
      <c r="A1965" s="7" t="n"/>
      <c r="B1965" s="7" t="n"/>
      <c r="C1965" s="7" t="n"/>
      <c r="D1965" s="8" t="n"/>
      <c r="E1965" s="7" t="n"/>
      <c r="F1965" s="7" t="n"/>
      <c r="G1965" s="7" t="n"/>
      <c r="H1965" s="7" t="n"/>
      <c r="I1965" s="7" t="n"/>
      <c r="J1965" s="7" t="n"/>
      <c r="K1965" s="7" t="n"/>
      <c r="L1965" s="7" t="n"/>
      <c r="M1965" s="7" t="n"/>
      <c r="N1965" s="7" t="n"/>
      <c r="O1965" s="7" t="n"/>
      <c r="P1965" s="7" t="n"/>
      <c r="Q1965" s="7" t="n"/>
      <c r="R1965" s="7" t="n"/>
      <c r="S1965" s="7" t="n"/>
      <c r="T1965" s="7" t="n"/>
      <c r="U1965" s="7" t="n"/>
      <c r="V1965" s="7" t="n"/>
      <c r="W1965" s="7" t="n"/>
      <c r="X1965" s="7" t="n"/>
      <c r="Y1965" s="7" t="n"/>
      <c r="Z1965" s="7" t="n"/>
      <c r="AA1965" s="9">
        <f>IF(A1965="","",A1965&amp;"|"&amp;COUNTIF($A$2:A1965,A1965))</f>
        <v/>
      </c>
    </row>
    <row r="1966">
      <c r="A1966" s="7" t="n"/>
      <c r="B1966" s="7" t="n"/>
      <c r="C1966" s="7" t="n"/>
      <c r="D1966" s="8" t="n"/>
      <c r="E1966" s="7" t="n"/>
      <c r="F1966" s="7" t="n"/>
      <c r="G1966" s="7" t="n"/>
      <c r="H1966" s="7" t="n"/>
      <c r="I1966" s="7" t="n"/>
      <c r="J1966" s="7" t="n"/>
      <c r="K1966" s="7" t="n"/>
      <c r="L1966" s="7" t="n"/>
      <c r="M1966" s="7" t="n"/>
      <c r="N1966" s="7" t="n"/>
      <c r="O1966" s="7" t="n"/>
      <c r="P1966" s="7" t="n"/>
      <c r="Q1966" s="7" t="n"/>
      <c r="R1966" s="7" t="n"/>
      <c r="S1966" s="7" t="n"/>
      <c r="T1966" s="7" t="n"/>
      <c r="U1966" s="7" t="n"/>
      <c r="V1966" s="7" t="n"/>
      <c r="W1966" s="7" t="n"/>
      <c r="X1966" s="7" t="n"/>
      <c r="Y1966" s="7" t="n"/>
      <c r="Z1966" s="7" t="n"/>
      <c r="AA1966" s="9">
        <f>IF(A1966="","",A1966&amp;"|"&amp;COUNTIF($A$2:A1966,A1966))</f>
        <v/>
      </c>
    </row>
    <row r="1967">
      <c r="A1967" s="7" t="n"/>
      <c r="B1967" s="7" t="n"/>
      <c r="C1967" s="7" t="n"/>
      <c r="D1967" s="8" t="n"/>
      <c r="E1967" s="7" t="n"/>
      <c r="F1967" s="7" t="n"/>
      <c r="G1967" s="7" t="n"/>
      <c r="H1967" s="7" t="n"/>
      <c r="I1967" s="7" t="n"/>
      <c r="J1967" s="7" t="n"/>
      <c r="K1967" s="7" t="n"/>
      <c r="L1967" s="7" t="n"/>
      <c r="M1967" s="7" t="n"/>
      <c r="N1967" s="7" t="n"/>
      <c r="O1967" s="7" t="n"/>
      <c r="P1967" s="7" t="n"/>
      <c r="Q1967" s="7" t="n"/>
      <c r="R1967" s="7" t="n"/>
      <c r="S1967" s="7" t="n"/>
      <c r="T1967" s="7" t="n"/>
      <c r="U1967" s="7" t="n"/>
      <c r="V1967" s="7" t="n"/>
      <c r="W1967" s="7" t="n"/>
      <c r="X1967" s="7" t="n"/>
      <c r="Y1967" s="7" t="n"/>
      <c r="Z1967" s="7" t="n"/>
      <c r="AA1967" s="9">
        <f>IF(A1967="","",A1967&amp;"|"&amp;COUNTIF($A$2:A1967,A1967))</f>
        <v/>
      </c>
    </row>
    <row r="1968">
      <c r="A1968" s="7" t="n"/>
      <c r="B1968" s="7" t="n"/>
      <c r="C1968" s="7" t="n"/>
      <c r="D1968" s="8" t="n"/>
      <c r="E1968" s="7" t="n"/>
      <c r="F1968" s="7" t="n"/>
      <c r="G1968" s="7" t="n"/>
      <c r="H1968" s="7" t="n"/>
      <c r="I1968" s="7" t="n"/>
      <c r="J1968" s="7" t="n"/>
      <c r="K1968" s="7" t="n"/>
      <c r="L1968" s="7" t="n"/>
      <c r="M1968" s="7" t="n"/>
      <c r="N1968" s="7" t="n"/>
      <c r="O1968" s="7" t="n"/>
      <c r="P1968" s="7" t="n"/>
      <c r="Q1968" s="7" t="n"/>
      <c r="R1968" s="7" t="n"/>
      <c r="S1968" s="7" t="n"/>
      <c r="T1968" s="7" t="n"/>
      <c r="U1968" s="7" t="n"/>
      <c r="V1968" s="7" t="n"/>
      <c r="W1968" s="7" t="n"/>
      <c r="X1968" s="7" t="n"/>
      <c r="Y1968" s="7" t="n"/>
      <c r="Z1968" s="7" t="n"/>
      <c r="AA1968" s="9">
        <f>IF(A1968="","",A1968&amp;"|"&amp;COUNTIF($A$2:A1968,A1968))</f>
        <v/>
      </c>
    </row>
    <row r="1969">
      <c r="A1969" s="7" t="n"/>
      <c r="B1969" s="7" t="n"/>
      <c r="C1969" s="7" t="n"/>
      <c r="D1969" s="8" t="n"/>
      <c r="E1969" s="7" t="n"/>
      <c r="F1969" s="7" t="n"/>
      <c r="G1969" s="7" t="n"/>
      <c r="H1969" s="7" t="n"/>
      <c r="I1969" s="7" t="n"/>
      <c r="J1969" s="7" t="n"/>
      <c r="K1969" s="7" t="n"/>
      <c r="L1969" s="7" t="n"/>
      <c r="M1969" s="7" t="n"/>
      <c r="N1969" s="7" t="n"/>
      <c r="O1969" s="7" t="n"/>
      <c r="P1969" s="7" t="n"/>
      <c r="Q1969" s="7" t="n"/>
      <c r="R1969" s="7" t="n"/>
      <c r="S1969" s="7" t="n"/>
      <c r="T1969" s="7" t="n"/>
      <c r="U1969" s="7" t="n"/>
      <c r="V1969" s="7" t="n"/>
      <c r="W1969" s="7" t="n"/>
      <c r="X1969" s="7" t="n"/>
      <c r="Y1969" s="7" t="n"/>
      <c r="Z1969" s="7" t="n"/>
      <c r="AA1969" s="9">
        <f>IF(A1969="","",A1969&amp;"|"&amp;COUNTIF($A$2:A1969,A1969))</f>
        <v/>
      </c>
    </row>
    <row r="1970">
      <c r="A1970" s="7" t="n"/>
      <c r="B1970" s="7" t="n"/>
      <c r="C1970" s="7" t="n"/>
      <c r="D1970" s="8" t="n"/>
      <c r="E1970" s="7" t="n"/>
      <c r="F1970" s="7" t="n"/>
      <c r="G1970" s="7" t="n"/>
      <c r="H1970" s="7" t="n"/>
      <c r="I1970" s="7" t="n"/>
      <c r="J1970" s="7" t="n"/>
      <c r="K1970" s="7" t="n"/>
      <c r="L1970" s="7" t="n"/>
      <c r="M1970" s="7" t="n"/>
      <c r="N1970" s="7" t="n"/>
      <c r="O1970" s="7" t="n"/>
      <c r="P1970" s="7" t="n"/>
      <c r="Q1970" s="7" t="n"/>
      <c r="R1970" s="7" t="n"/>
      <c r="S1970" s="7" t="n"/>
      <c r="T1970" s="7" t="n"/>
      <c r="U1970" s="7" t="n"/>
      <c r="V1970" s="7" t="n"/>
      <c r="W1970" s="7" t="n"/>
      <c r="X1970" s="7" t="n"/>
      <c r="Y1970" s="7" t="n"/>
      <c r="Z1970" s="7" t="n"/>
      <c r="AA1970" s="9">
        <f>IF(A1970="","",A1970&amp;"|"&amp;COUNTIF($A$2:A1970,A1970))</f>
        <v/>
      </c>
    </row>
    <row r="1971">
      <c r="A1971" s="7" t="n"/>
      <c r="B1971" s="7" t="n"/>
      <c r="C1971" s="7" t="n"/>
      <c r="D1971" s="8" t="n"/>
      <c r="E1971" s="7" t="n"/>
      <c r="F1971" s="7" t="n"/>
      <c r="G1971" s="7" t="n"/>
      <c r="H1971" s="7" t="n"/>
      <c r="I1971" s="7" t="n"/>
      <c r="J1971" s="7" t="n"/>
      <c r="K1971" s="7" t="n"/>
      <c r="L1971" s="7" t="n"/>
      <c r="M1971" s="7" t="n"/>
      <c r="N1971" s="7" t="n"/>
      <c r="O1971" s="7" t="n"/>
      <c r="P1971" s="7" t="n"/>
      <c r="Q1971" s="7" t="n"/>
      <c r="R1971" s="7" t="n"/>
      <c r="S1971" s="7" t="n"/>
      <c r="T1971" s="7" t="n"/>
      <c r="U1971" s="7" t="n"/>
      <c r="V1971" s="7" t="n"/>
      <c r="W1971" s="7" t="n"/>
      <c r="X1971" s="7" t="n"/>
      <c r="Y1971" s="7" t="n"/>
      <c r="Z1971" s="7" t="n"/>
      <c r="AA1971" s="9">
        <f>IF(A1971="","",A1971&amp;"|"&amp;COUNTIF($A$2:A1971,A1971))</f>
        <v/>
      </c>
    </row>
    <row r="1972">
      <c r="A1972" s="7" t="n"/>
      <c r="B1972" s="7" t="n"/>
      <c r="C1972" s="7" t="n"/>
      <c r="D1972" s="8" t="n"/>
      <c r="E1972" s="7" t="n"/>
      <c r="F1972" s="7" t="n"/>
      <c r="G1972" s="7" t="n"/>
      <c r="H1972" s="7" t="n"/>
      <c r="I1972" s="7" t="n"/>
      <c r="J1972" s="7" t="n"/>
      <c r="K1972" s="7" t="n"/>
      <c r="L1972" s="7" t="n"/>
      <c r="M1972" s="7" t="n"/>
      <c r="N1972" s="7" t="n"/>
      <c r="O1972" s="7" t="n"/>
      <c r="P1972" s="7" t="n"/>
      <c r="Q1972" s="7" t="n"/>
      <c r="R1972" s="7" t="n"/>
      <c r="S1972" s="7" t="n"/>
      <c r="T1972" s="7" t="n"/>
      <c r="U1972" s="7" t="n"/>
      <c r="V1972" s="7" t="n"/>
      <c r="W1972" s="7" t="n"/>
      <c r="X1972" s="7" t="n"/>
      <c r="Y1972" s="7" t="n"/>
      <c r="Z1972" s="7" t="n"/>
      <c r="AA1972" s="9">
        <f>IF(A1972="","",A1972&amp;"|"&amp;COUNTIF($A$2:A1972,A1972))</f>
        <v/>
      </c>
    </row>
    <row r="1973">
      <c r="A1973" s="7" t="n"/>
      <c r="B1973" s="7" t="n"/>
      <c r="C1973" s="7" t="n"/>
      <c r="D1973" s="8" t="n"/>
      <c r="E1973" s="7" t="n"/>
      <c r="F1973" s="7" t="n"/>
      <c r="G1973" s="7" t="n"/>
      <c r="H1973" s="7" t="n"/>
      <c r="I1973" s="7" t="n"/>
      <c r="J1973" s="7" t="n"/>
      <c r="K1973" s="7" t="n"/>
      <c r="L1973" s="7" t="n"/>
      <c r="M1973" s="7" t="n"/>
      <c r="N1973" s="7" t="n"/>
      <c r="O1973" s="7" t="n"/>
      <c r="P1973" s="7" t="n"/>
      <c r="Q1973" s="7" t="n"/>
      <c r="R1973" s="7" t="n"/>
      <c r="S1973" s="7" t="n"/>
      <c r="T1973" s="7" t="n"/>
      <c r="U1973" s="7" t="n"/>
      <c r="V1973" s="7" t="n"/>
      <c r="W1973" s="7" t="n"/>
      <c r="X1973" s="7" t="n"/>
      <c r="Y1973" s="7" t="n"/>
      <c r="Z1973" s="7" t="n"/>
      <c r="AA1973" s="9">
        <f>IF(A1973="","",A1973&amp;"|"&amp;COUNTIF($A$2:A1973,A1973))</f>
        <v/>
      </c>
    </row>
    <row r="1974">
      <c r="A1974" s="7" t="n"/>
      <c r="B1974" s="7" t="n"/>
      <c r="C1974" s="7" t="n"/>
      <c r="D1974" s="8" t="n"/>
      <c r="E1974" s="7" t="n"/>
      <c r="F1974" s="7" t="n"/>
      <c r="G1974" s="7" t="n"/>
      <c r="H1974" s="7" t="n"/>
      <c r="I1974" s="7" t="n"/>
      <c r="J1974" s="7" t="n"/>
      <c r="K1974" s="7" t="n"/>
      <c r="L1974" s="7" t="n"/>
      <c r="M1974" s="7" t="n"/>
      <c r="N1974" s="7" t="n"/>
      <c r="O1974" s="7" t="n"/>
      <c r="P1974" s="7" t="n"/>
      <c r="Q1974" s="7" t="n"/>
      <c r="R1974" s="7" t="n"/>
      <c r="S1974" s="7" t="n"/>
      <c r="T1974" s="7" t="n"/>
      <c r="U1974" s="7" t="n"/>
      <c r="V1974" s="7" t="n"/>
      <c r="W1974" s="7" t="n"/>
      <c r="X1974" s="7" t="n"/>
      <c r="Y1974" s="7" t="n"/>
      <c r="Z1974" s="7" t="n"/>
      <c r="AA1974" s="9">
        <f>IF(A1974="","",A1974&amp;"|"&amp;COUNTIF($A$2:A1974,A1974))</f>
        <v/>
      </c>
    </row>
    <row r="1975">
      <c r="A1975" s="7" t="n"/>
      <c r="B1975" s="7" t="n"/>
      <c r="C1975" s="7" t="n"/>
      <c r="D1975" s="8" t="n"/>
      <c r="E1975" s="7" t="n"/>
      <c r="F1975" s="7" t="n"/>
      <c r="G1975" s="7" t="n"/>
      <c r="H1975" s="7" t="n"/>
      <c r="I1975" s="7" t="n"/>
      <c r="J1975" s="7" t="n"/>
      <c r="K1975" s="7" t="n"/>
      <c r="L1975" s="7" t="n"/>
      <c r="M1975" s="7" t="n"/>
      <c r="N1975" s="7" t="n"/>
      <c r="O1975" s="7" t="n"/>
      <c r="P1975" s="7" t="n"/>
      <c r="Q1975" s="7" t="n"/>
      <c r="R1975" s="7" t="n"/>
      <c r="S1975" s="7" t="n"/>
      <c r="T1975" s="7" t="n"/>
      <c r="U1975" s="7" t="n"/>
      <c r="V1975" s="7" t="n"/>
      <c r="W1975" s="7" t="n"/>
      <c r="X1975" s="7" t="n"/>
      <c r="Y1975" s="7" t="n"/>
      <c r="Z1975" s="7" t="n"/>
      <c r="AA1975" s="9">
        <f>IF(A1975="","",A1975&amp;"|"&amp;COUNTIF($A$2:A1975,A1975))</f>
        <v/>
      </c>
    </row>
    <row r="1976">
      <c r="A1976" s="7" t="n"/>
      <c r="B1976" s="7" t="n"/>
      <c r="C1976" s="7" t="n"/>
      <c r="D1976" s="8" t="n"/>
      <c r="E1976" s="7" t="n"/>
      <c r="F1976" s="7" t="n"/>
      <c r="G1976" s="7" t="n"/>
      <c r="H1976" s="7" t="n"/>
      <c r="I1976" s="7" t="n"/>
      <c r="J1976" s="7" t="n"/>
      <c r="K1976" s="7" t="n"/>
      <c r="L1976" s="7" t="n"/>
      <c r="M1976" s="7" t="n"/>
      <c r="N1976" s="7" t="n"/>
      <c r="O1976" s="7" t="n"/>
      <c r="P1976" s="7" t="n"/>
      <c r="Q1976" s="7" t="n"/>
      <c r="R1976" s="7" t="n"/>
      <c r="S1976" s="7" t="n"/>
      <c r="T1976" s="7" t="n"/>
      <c r="U1976" s="7" t="n"/>
      <c r="V1976" s="7" t="n"/>
      <c r="W1976" s="7" t="n"/>
      <c r="X1976" s="7" t="n"/>
      <c r="Y1976" s="7" t="n"/>
      <c r="Z1976" s="7" t="n"/>
      <c r="AA1976" s="9">
        <f>IF(A1976="","",A1976&amp;"|"&amp;COUNTIF($A$2:A1976,A1976))</f>
        <v/>
      </c>
    </row>
    <row r="1977">
      <c r="A1977" s="7" t="n"/>
      <c r="B1977" s="7" t="n"/>
      <c r="C1977" s="7" t="n"/>
      <c r="D1977" s="8" t="n"/>
      <c r="E1977" s="7" t="n"/>
      <c r="F1977" s="7" t="n"/>
      <c r="G1977" s="7" t="n"/>
      <c r="H1977" s="7" t="n"/>
      <c r="I1977" s="7" t="n"/>
      <c r="J1977" s="7" t="n"/>
      <c r="K1977" s="7" t="n"/>
      <c r="L1977" s="7" t="n"/>
      <c r="M1977" s="7" t="n"/>
      <c r="N1977" s="7" t="n"/>
      <c r="O1977" s="7" t="n"/>
      <c r="P1977" s="7" t="n"/>
      <c r="Q1977" s="7" t="n"/>
      <c r="R1977" s="7" t="n"/>
      <c r="S1977" s="7" t="n"/>
      <c r="T1977" s="7" t="n"/>
      <c r="U1977" s="7" t="n"/>
      <c r="V1977" s="7" t="n"/>
      <c r="W1977" s="7" t="n"/>
      <c r="X1977" s="7" t="n"/>
      <c r="Y1977" s="7" t="n"/>
      <c r="Z1977" s="7" t="n"/>
      <c r="AA1977" s="9">
        <f>IF(A1977="","",A1977&amp;"|"&amp;COUNTIF($A$2:A1977,A1977))</f>
        <v/>
      </c>
    </row>
    <row r="1978">
      <c r="A1978" s="7" t="n"/>
      <c r="B1978" s="7" t="n"/>
      <c r="C1978" s="7" t="n"/>
      <c r="D1978" s="8" t="n"/>
      <c r="E1978" s="7" t="n"/>
      <c r="F1978" s="7" t="n"/>
      <c r="G1978" s="7" t="n"/>
      <c r="H1978" s="7" t="n"/>
      <c r="I1978" s="7" t="n"/>
      <c r="J1978" s="7" t="n"/>
      <c r="K1978" s="7" t="n"/>
      <c r="L1978" s="7" t="n"/>
      <c r="M1978" s="7" t="n"/>
      <c r="N1978" s="7" t="n"/>
      <c r="O1978" s="7" t="n"/>
      <c r="P1978" s="7" t="n"/>
      <c r="Q1978" s="7" t="n"/>
      <c r="R1978" s="7" t="n"/>
      <c r="S1978" s="7" t="n"/>
      <c r="T1978" s="7" t="n"/>
      <c r="U1978" s="7" t="n"/>
      <c r="V1978" s="7" t="n"/>
      <c r="W1978" s="7" t="n"/>
      <c r="X1978" s="7" t="n"/>
      <c r="Y1978" s="7" t="n"/>
      <c r="Z1978" s="7" t="n"/>
      <c r="AA1978" s="9">
        <f>IF(A1978="","",A1978&amp;"|"&amp;COUNTIF($A$2:A1978,A1978))</f>
        <v/>
      </c>
    </row>
    <row r="1979">
      <c r="A1979" s="7" t="n"/>
      <c r="B1979" s="7" t="n"/>
      <c r="C1979" s="7" t="n"/>
      <c r="D1979" s="8" t="n"/>
      <c r="E1979" s="7" t="n"/>
      <c r="F1979" s="7" t="n"/>
      <c r="G1979" s="7" t="n"/>
      <c r="H1979" s="7" t="n"/>
      <c r="I1979" s="7" t="n"/>
      <c r="J1979" s="7" t="n"/>
      <c r="K1979" s="7" t="n"/>
      <c r="L1979" s="7" t="n"/>
      <c r="M1979" s="7" t="n"/>
      <c r="N1979" s="7" t="n"/>
      <c r="O1979" s="7" t="n"/>
      <c r="P1979" s="7" t="n"/>
      <c r="Q1979" s="7" t="n"/>
      <c r="R1979" s="7" t="n"/>
      <c r="S1979" s="7" t="n"/>
      <c r="T1979" s="7" t="n"/>
      <c r="U1979" s="7" t="n"/>
      <c r="V1979" s="7" t="n"/>
      <c r="W1979" s="7" t="n"/>
      <c r="X1979" s="7" t="n"/>
      <c r="Y1979" s="7" t="n"/>
      <c r="Z1979" s="7" t="n"/>
      <c r="AA1979" s="9">
        <f>IF(A1979="","",A1979&amp;"|"&amp;COUNTIF($A$2:A1979,A1979))</f>
        <v/>
      </c>
    </row>
    <row r="1980">
      <c r="A1980" s="7" t="n"/>
      <c r="B1980" s="7" t="n"/>
      <c r="C1980" s="7" t="n"/>
      <c r="D1980" s="8" t="n"/>
      <c r="E1980" s="7" t="n"/>
      <c r="F1980" s="7" t="n"/>
      <c r="G1980" s="7" t="n"/>
      <c r="H1980" s="7" t="n"/>
      <c r="I1980" s="7" t="n"/>
      <c r="J1980" s="7" t="n"/>
      <c r="K1980" s="7" t="n"/>
      <c r="L1980" s="7" t="n"/>
      <c r="M1980" s="7" t="n"/>
      <c r="N1980" s="7" t="n"/>
      <c r="O1980" s="7" t="n"/>
      <c r="P1980" s="7" t="n"/>
      <c r="Q1980" s="7" t="n"/>
      <c r="R1980" s="7" t="n"/>
      <c r="S1980" s="7" t="n"/>
      <c r="T1980" s="7" t="n"/>
      <c r="U1980" s="7" t="n"/>
      <c r="V1980" s="7" t="n"/>
      <c r="W1980" s="7" t="n"/>
      <c r="X1980" s="7" t="n"/>
      <c r="Y1980" s="7" t="n"/>
      <c r="Z1980" s="7" t="n"/>
      <c r="AA1980" s="9">
        <f>IF(A1980="","",A1980&amp;"|"&amp;COUNTIF($A$2:A1980,A1980))</f>
        <v/>
      </c>
    </row>
    <row r="1981">
      <c r="A1981" s="7" t="n"/>
      <c r="B1981" s="7" t="n"/>
      <c r="C1981" s="7" t="n"/>
      <c r="D1981" s="8" t="n"/>
      <c r="E1981" s="7" t="n"/>
      <c r="F1981" s="7" t="n"/>
      <c r="G1981" s="7" t="n"/>
      <c r="H1981" s="7" t="n"/>
      <c r="I1981" s="7" t="n"/>
      <c r="J1981" s="7" t="n"/>
      <c r="K1981" s="7" t="n"/>
      <c r="L1981" s="7" t="n"/>
      <c r="M1981" s="7" t="n"/>
      <c r="N1981" s="7" t="n"/>
      <c r="O1981" s="7" t="n"/>
      <c r="P1981" s="7" t="n"/>
      <c r="Q1981" s="7" t="n"/>
      <c r="R1981" s="7" t="n"/>
      <c r="S1981" s="7" t="n"/>
      <c r="T1981" s="7" t="n"/>
      <c r="U1981" s="7" t="n"/>
      <c r="V1981" s="7" t="n"/>
      <c r="W1981" s="7" t="n"/>
      <c r="X1981" s="7" t="n"/>
      <c r="Y1981" s="7" t="n"/>
      <c r="Z1981" s="7" t="n"/>
      <c r="AA1981" s="9">
        <f>IF(A1981="","",A1981&amp;"|"&amp;COUNTIF($A$2:A1981,A1981))</f>
        <v/>
      </c>
    </row>
    <row r="1982">
      <c r="A1982" s="7" t="n"/>
      <c r="B1982" s="7" t="n"/>
      <c r="C1982" s="7" t="n"/>
      <c r="D1982" s="8" t="n"/>
      <c r="E1982" s="7" t="n"/>
      <c r="F1982" s="7" t="n"/>
      <c r="G1982" s="7" t="n"/>
      <c r="H1982" s="7" t="n"/>
      <c r="I1982" s="7" t="n"/>
      <c r="J1982" s="7" t="n"/>
      <c r="K1982" s="7" t="n"/>
      <c r="L1982" s="7" t="n"/>
      <c r="M1982" s="7" t="n"/>
      <c r="N1982" s="7" t="n"/>
      <c r="O1982" s="7" t="n"/>
      <c r="P1982" s="7" t="n"/>
      <c r="Q1982" s="7" t="n"/>
      <c r="R1982" s="7" t="n"/>
      <c r="S1982" s="7" t="n"/>
      <c r="T1982" s="7" t="n"/>
      <c r="U1982" s="7" t="n"/>
      <c r="V1982" s="7" t="n"/>
      <c r="W1982" s="7" t="n"/>
      <c r="X1982" s="7" t="n"/>
      <c r="Y1982" s="7" t="n"/>
      <c r="Z1982" s="7" t="n"/>
      <c r="AA1982" s="9">
        <f>IF(A1982="","",A1982&amp;"|"&amp;COUNTIF($A$2:A1982,A1982))</f>
        <v/>
      </c>
    </row>
    <row r="1983">
      <c r="A1983" s="7" t="n"/>
      <c r="B1983" s="7" t="n"/>
      <c r="C1983" s="7" t="n"/>
      <c r="D1983" s="8" t="n"/>
      <c r="E1983" s="7" t="n"/>
      <c r="F1983" s="7" t="n"/>
      <c r="G1983" s="7" t="n"/>
      <c r="H1983" s="7" t="n"/>
      <c r="I1983" s="7" t="n"/>
      <c r="J1983" s="7" t="n"/>
      <c r="K1983" s="7" t="n"/>
      <c r="L1983" s="7" t="n"/>
      <c r="M1983" s="7" t="n"/>
      <c r="N1983" s="7" t="n"/>
      <c r="O1983" s="7" t="n"/>
      <c r="P1983" s="7" t="n"/>
      <c r="Q1983" s="7" t="n"/>
      <c r="R1983" s="7" t="n"/>
      <c r="S1983" s="7" t="n"/>
      <c r="T1983" s="7" t="n"/>
      <c r="U1983" s="7" t="n"/>
      <c r="V1983" s="7" t="n"/>
      <c r="W1983" s="7" t="n"/>
      <c r="X1983" s="7" t="n"/>
      <c r="Y1983" s="7" t="n"/>
      <c r="Z1983" s="7" t="n"/>
      <c r="AA1983" s="9">
        <f>IF(A1983="","",A1983&amp;"|"&amp;COUNTIF($A$2:A1983,A1983))</f>
        <v/>
      </c>
    </row>
    <row r="1984">
      <c r="A1984" s="7" t="n"/>
      <c r="B1984" s="7" t="n"/>
      <c r="C1984" s="7" t="n"/>
      <c r="D1984" s="8" t="n"/>
      <c r="E1984" s="7" t="n"/>
      <c r="F1984" s="7" t="n"/>
      <c r="G1984" s="7" t="n"/>
      <c r="H1984" s="7" t="n"/>
      <c r="I1984" s="7" t="n"/>
      <c r="J1984" s="7" t="n"/>
      <c r="K1984" s="7" t="n"/>
      <c r="L1984" s="7" t="n"/>
      <c r="M1984" s="7" t="n"/>
      <c r="N1984" s="7" t="n"/>
      <c r="O1984" s="7" t="n"/>
      <c r="P1984" s="7" t="n"/>
      <c r="Q1984" s="7" t="n"/>
      <c r="R1984" s="7" t="n"/>
      <c r="S1984" s="7" t="n"/>
      <c r="T1984" s="7" t="n"/>
      <c r="U1984" s="7" t="n"/>
      <c r="V1984" s="7" t="n"/>
      <c r="W1984" s="7" t="n"/>
      <c r="X1984" s="7" t="n"/>
      <c r="Y1984" s="7" t="n"/>
      <c r="Z1984" s="7" t="n"/>
      <c r="AA1984" s="9">
        <f>IF(A1984="","",A1984&amp;"|"&amp;COUNTIF($A$2:A1984,A1984))</f>
        <v/>
      </c>
    </row>
    <row r="1985">
      <c r="A1985" s="7" t="n"/>
      <c r="B1985" s="7" t="n"/>
      <c r="C1985" s="7" t="n"/>
      <c r="D1985" s="8" t="n"/>
      <c r="E1985" s="7" t="n"/>
      <c r="F1985" s="7" t="n"/>
      <c r="G1985" s="7" t="n"/>
      <c r="H1985" s="7" t="n"/>
      <c r="I1985" s="7" t="n"/>
      <c r="J1985" s="7" t="n"/>
      <c r="K1985" s="7" t="n"/>
      <c r="L1985" s="7" t="n"/>
      <c r="M1985" s="7" t="n"/>
      <c r="N1985" s="7" t="n"/>
      <c r="O1985" s="7" t="n"/>
      <c r="P1985" s="7" t="n"/>
      <c r="Q1985" s="7" t="n"/>
      <c r="R1985" s="7" t="n"/>
      <c r="S1985" s="7" t="n"/>
      <c r="T1985" s="7" t="n"/>
      <c r="U1985" s="7" t="n"/>
      <c r="V1985" s="7" t="n"/>
      <c r="W1985" s="7" t="n"/>
      <c r="X1985" s="7" t="n"/>
      <c r="Y1985" s="7" t="n"/>
      <c r="Z1985" s="7" t="n"/>
      <c r="AA1985" s="9">
        <f>IF(A1985="","",A1985&amp;"|"&amp;COUNTIF($A$2:A1985,A1985))</f>
        <v/>
      </c>
    </row>
    <row r="1986">
      <c r="A1986" s="7" t="n"/>
      <c r="B1986" s="7" t="n"/>
      <c r="C1986" s="7" t="n"/>
      <c r="D1986" s="8" t="n"/>
      <c r="E1986" s="7" t="n"/>
      <c r="F1986" s="7" t="n"/>
      <c r="G1986" s="7" t="n"/>
      <c r="H1986" s="7" t="n"/>
      <c r="I1986" s="7" t="n"/>
      <c r="J1986" s="7" t="n"/>
      <c r="K1986" s="7" t="n"/>
      <c r="L1986" s="7" t="n"/>
      <c r="M1986" s="7" t="n"/>
      <c r="N1986" s="7" t="n"/>
      <c r="O1986" s="7" t="n"/>
      <c r="P1986" s="7" t="n"/>
      <c r="Q1986" s="7" t="n"/>
      <c r="R1986" s="7" t="n"/>
      <c r="S1986" s="7" t="n"/>
      <c r="T1986" s="7" t="n"/>
      <c r="U1986" s="7" t="n"/>
      <c r="V1986" s="7" t="n"/>
      <c r="W1986" s="7" t="n"/>
      <c r="X1986" s="7" t="n"/>
      <c r="Y1986" s="7" t="n"/>
      <c r="Z1986" s="7" t="n"/>
      <c r="AA1986" s="9">
        <f>IF(A1986="","",A1986&amp;"|"&amp;COUNTIF($A$2:A1986,A1986))</f>
        <v/>
      </c>
    </row>
    <row r="1987">
      <c r="A1987" s="7" t="n"/>
      <c r="B1987" s="7" t="n"/>
      <c r="C1987" s="7" t="n"/>
      <c r="D1987" s="8" t="n"/>
      <c r="E1987" s="7" t="n"/>
      <c r="F1987" s="7" t="n"/>
      <c r="G1987" s="7" t="n"/>
      <c r="H1987" s="7" t="n"/>
      <c r="I1987" s="7" t="n"/>
      <c r="J1987" s="7" t="n"/>
      <c r="K1987" s="7" t="n"/>
      <c r="L1987" s="7" t="n"/>
      <c r="M1987" s="7" t="n"/>
      <c r="N1987" s="7" t="n"/>
      <c r="O1987" s="7" t="n"/>
      <c r="P1987" s="7" t="n"/>
      <c r="Q1987" s="7" t="n"/>
      <c r="R1987" s="7" t="n"/>
      <c r="S1987" s="7" t="n"/>
      <c r="T1987" s="7" t="n"/>
      <c r="U1987" s="7" t="n"/>
      <c r="V1987" s="7" t="n"/>
      <c r="W1987" s="7" t="n"/>
      <c r="X1987" s="7" t="n"/>
      <c r="Y1987" s="7" t="n"/>
      <c r="Z1987" s="7" t="n"/>
      <c r="AA1987" s="9">
        <f>IF(A1987="","",A1987&amp;"|"&amp;COUNTIF($A$2:A1987,A1987))</f>
        <v/>
      </c>
    </row>
    <row r="1988">
      <c r="A1988" s="7" t="n"/>
      <c r="B1988" s="7" t="n"/>
      <c r="C1988" s="7" t="n"/>
      <c r="D1988" s="8" t="n"/>
      <c r="E1988" s="7" t="n"/>
      <c r="F1988" s="7" t="n"/>
      <c r="G1988" s="7" t="n"/>
      <c r="H1988" s="7" t="n"/>
      <c r="I1988" s="7" t="n"/>
      <c r="J1988" s="7" t="n"/>
      <c r="K1988" s="7" t="n"/>
      <c r="L1988" s="7" t="n"/>
      <c r="M1988" s="7" t="n"/>
      <c r="N1988" s="7" t="n"/>
      <c r="O1988" s="7" t="n"/>
      <c r="P1988" s="7" t="n"/>
      <c r="Q1988" s="7" t="n"/>
      <c r="R1988" s="7" t="n"/>
      <c r="S1988" s="7" t="n"/>
      <c r="T1988" s="7" t="n"/>
      <c r="U1988" s="7" t="n"/>
      <c r="V1988" s="7" t="n"/>
      <c r="W1988" s="7" t="n"/>
      <c r="X1988" s="7" t="n"/>
      <c r="Y1988" s="7" t="n"/>
      <c r="Z1988" s="7" t="n"/>
      <c r="AA1988" s="9">
        <f>IF(A1988="","",A1988&amp;"|"&amp;COUNTIF($A$2:A1988,A1988))</f>
        <v/>
      </c>
    </row>
    <row r="1989">
      <c r="A1989" s="7" t="n"/>
      <c r="B1989" s="7" t="n"/>
      <c r="C1989" s="7" t="n"/>
      <c r="D1989" s="8" t="n"/>
      <c r="E1989" s="7" t="n"/>
      <c r="F1989" s="7" t="n"/>
      <c r="G1989" s="7" t="n"/>
      <c r="H1989" s="7" t="n"/>
      <c r="I1989" s="7" t="n"/>
      <c r="J1989" s="7" t="n"/>
      <c r="K1989" s="7" t="n"/>
      <c r="L1989" s="7" t="n"/>
      <c r="M1989" s="7" t="n"/>
      <c r="N1989" s="7" t="n"/>
      <c r="O1989" s="7" t="n"/>
      <c r="P1989" s="7" t="n"/>
      <c r="Q1989" s="7" t="n"/>
      <c r="R1989" s="7" t="n"/>
      <c r="S1989" s="7" t="n"/>
      <c r="T1989" s="7" t="n"/>
      <c r="U1989" s="7" t="n"/>
      <c r="V1989" s="7" t="n"/>
      <c r="W1989" s="7" t="n"/>
      <c r="X1989" s="7" t="n"/>
      <c r="Y1989" s="7" t="n"/>
      <c r="Z1989" s="7" t="n"/>
      <c r="AA1989" s="9">
        <f>IF(A1989="","",A1989&amp;"|"&amp;COUNTIF($A$2:A1989,A1989))</f>
        <v/>
      </c>
    </row>
    <row r="1990">
      <c r="A1990" s="7" t="n"/>
      <c r="B1990" s="7" t="n"/>
      <c r="C1990" s="7" t="n"/>
      <c r="D1990" s="8" t="n"/>
      <c r="E1990" s="7" t="n"/>
      <c r="F1990" s="7" t="n"/>
      <c r="G1990" s="7" t="n"/>
      <c r="H1990" s="7" t="n"/>
      <c r="I1990" s="7" t="n"/>
      <c r="J1990" s="7" t="n"/>
      <c r="K1990" s="7" t="n"/>
      <c r="L1990" s="7" t="n"/>
      <c r="M1990" s="7" t="n"/>
      <c r="N1990" s="7" t="n"/>
      <c r="O1990" s="7" t="n"/>
      <c r="P1990" s="7" t="n"/>
      <c r="Q1990" s="7" t="n"/>
      <c r="R1990" s="7" t="n"/>
      <c r="S1990" s="7" t="n"/>
      <c r="T1990" s="7" t="n"/>
      <c r="U1990" s="7" t="n"/>
      <c r="V1990" s="7" t="n"/>
      <c r="W1990" s="7" t="n"/>
      <c r="X1990" s="7" t="n"/>
      <c r="Y1990" s="7" t="n"/>
      <c r="Z1990" s="7" t="n"/>
      <c r="AA1990" s="9">
        <f>IF(A1990="","",A1990&amp;"|"&amp;COUNTIF($A$2:A1990,A1990))</f>
        <v/>
      </c>
    </row>
    <row r="1991">
      <c r="A1991" s="7" t="n"/>
      <c r="B1991" s="7" t="n"/>
      <c r="C1991" s="7" t="n"/>
      <c r="D1991" s="8" t="n"/>
      <c r="E1991" s="7" t="n"/>
      <c r="F1991" s="7" t="n"/>
      <c r="G1991" s="7" t="n"/>
      <c r="H1991" s="7" t="n"/>
      <c r="I1991" s="7" t="n"/>
      <c r="J1991" s="7" t="n"/>
      <c r="K1991" s="7" t="n"/>
      <c r="L1991" s="7" t="n"/>
      <c r="M1991" s="7" t="n"/>
      <c r="N1991" s="7" t="n"/>
      <c r="O1991" s="7" t="n"/>
      <c r="P1991" s="7" t="n"/>
      <c r="Q1991" s="7" t="n"/>
      <c r="R1991" s="7" t="n"/>
      <c r="S1991" s="7" t="n"/>
      <c r="T1991" s="7" t="n"/>
      <c r="U1991" s="7" t="n"/>
      <c r="V1991" s="7" t="n"/>
      <c r="W1991" s="7" t="n"/>
      <c r="X1991" s="7" t="n"/>
      <c r="Y1991" s="7" t="n"/>
      <c r="Z1991" s="7" t="n"/>
      <c r="AA1991" s="9">
        <f>IF(A1991="","",A1991&amp;"|"&amp;COUNTIF($A$2:A1991,A1991))</f>
        <v/>
      </c>
    </row>
    <row r="1992">
      <c r="A1992" s="7" t="n"/>
      <c r="B1992" s="7" t="n"/>
      <c r="C1992" s="7" t="n"/>
      <c r="D1992" s="8" t="n"/>
      <c r="E1992" s="7" t="n"/>
      <c r="F1992" s="7" t="n"/>
      <c r="G1992" s="7" t="n"/>
      <c r="H1992" s="7" t="n"/>
      <c r="I1992" s="7" t="n"/>
      <c r="J1992" s="7" t="n"/>
      <c r="K1992" s="7" t="n"/>
      <c r="L1992" s="7" t="n"/>
      <c r="M1992" s="7" t="n"/>
      <c r="N1992" s="7" t="n"/>
      <c r="O1992" s="7" t="n"/>
      <c r="P1992" s="7" t="n"/>
      <c r="Q1992" s="7" t="n"/>
      <c r="R1992" s="7" t="n"/>
      <c r="S1992" s="7" t="n"/>
      <c r="T1992" s="7" t="n"/>
      <c r="U1992" s="7" t="n"/>
      <c r="V1992" s="7" t="n"/>
      <c r="W1992" s="7" t="n"/>
      <c r="X1992" s="7" t="n"/>
      <c r="Y1992" s="7" t="n"/>
      <c r="Z1992" s="7" t="n"/>
      <c r="AA1992" s="9">
        <f>IF(A1992="","",A1992&amp;"|"&amp;COUNTIF($A$2:A1992,A1992))</f>
        <v/>
      </c>
    </row>
    <row r="1993">
      <c r="A1993" s="7" t="n"/>
      <c r="B1993" s="7" t="n"/>
      <c r="C1993" s="7" t="n"/>
      <c r="D1993" s="8" t="n"/>
      <c r="E1993" s="7" t="n"/>
      <c r="F1993" s="7" t="n"/>
      <c r="G1993" s="7" t="n"/>
      <c r="H1993" s="7" t="n"/>
      <c r="I1993" s="7" t="n"/>
      <c r="J1993" s="7" t="n"/>
      <c r="K1993" s="7" t="n"/>
      <c r="L1993" s="7" t="n"/>
      <c r="M1993" s="7" t="n"/>
      <c r="N1993" s="7" t="n"/>
      <c r="O1993" s="7" t="n"/>
      <c r="P1993" s="7" t="n"/>
      <c r="Q1993" s="7" t="n"/>
      <c r="R1993" s="7" t="n"/>
      <c r="S1993" s="7" t="n"/>
      <c r="T1993" s="7" t="n"/>
      <c r="U1993" s="7" t="n"/>
      <c r="V1993" s="7" t="n"/>
      <c r="W1993" s="7" t="n"/>
      <c r="X1993" s="7" t="n"/>
      <c r="Y1993" s="7" t="n"/>
      <c r="Z1993" s="7" t="n"/>
      <c r="AA1993" s="9">
        <f>IF(A1993="","",A1993&amp;"|"&amp;COUNTIF($A$2:A1993,A1993))</f>
        <v/>
      </c>
    </row>
    <row r="1994">
      <c r="A1994" s="7" t="n"/>
      <c r="B1994" s="7" t="n"/>
      <c r="C1994" s="7" t="n"/>
      <c r="D1994" s="8" t="n"/>
      <c r="E1994" s="7" t="n"/>
      <c r="F1994" s="7" t="n"/>
      <c r="G1994" s="7" t="n"/>
      <c r="H1994" s="7" t="n"/>
      <c r="I1994" s="7" t="n"/>
      <c r="J1994" s="7" t="n"/>
      <c r="K1994" s="7" t="n"/>
      <c r="L1994" s="7" t="n"/>
      <c r="M1994" s="7" t="n"/>
      <c r="N1994" s="7" t="n"/>
      <c r="O1994" s="7" t="n"/>
      <c r="P1994" s="7" t="n"/>
      <c r="Q1994" s="7" t="n"/>
      <c r="R1994" s="7" t="n"/>
      <c r="S1994" s="7" t="n"/>
      <c r="T1994" s="7" t="n"/>
      <c r="U1994" s="7" t="n"/>
      <c r="V1994" s="7" t="n"/>
      <c r="W1994" s="7" t="n"/>
      <c r="X1994" s="7" t="n"/>
      <c r="Y1994" s="7" t="n"/>
      <c r="Z1994" s="7" t="n"/>
      <c r="AA1994" s="9">
        <f>IF(A1994="","",A1994&amp;"|"&amp;COUNTIF($A$2:A1994,A1994))</f>
        <v/>
      </c>
    </row>
    <row r="1995">
      <c r="A1995" s="7" t="n"/>
      <c r="B1995" s="7" t="n"/>
      <c r="C1995" s="7" t="n"/>
      <c r="D1995" s="8" t="n"/>
      <c r="E1995" s="7" t="n"/>
      <c r="F1995" s="7" t="n"/>
      <c r="G1995" s="7" t="n"/>
      <c r="H1995" s="7" t="n"/>
      <c r="I1995" s="7" t="n"/>
      <c r="J1995" s="7" t="n"/>
      <c r="K1995" s="7" t="n"/>
      <c r="L1995" s="7" t="n"/>
      <c r="M1995" s="7" t="n"/>
      <c r="N1995" s="7" t="n"/>
      <c r="O1995" s="7" t="n"/>
      <c r="P1995" s="7" t="n"/>
      <c r="Q1995" s="7" t="n"/>
      <c r="R1995" s="7" t="n"/>
      <c r="S1995" s="7" t="n"/>
      <c r="T1995" s="7" t="n"/>
      <c r="U1995" s="7" t="n"/>
      <c r="V1995" s="7" t="n"/>
      <c r="W1995" s="7" t="n"/>
      <c r="X1995" s="7" t="n"/>
      <c r="Y1995" s="7" t="n"/>
      <c r="Z1995" s="7" t="n"/>
      <c r="AA1995" s="9">
        <f>IF(A1995="","",A1995&amp;"|"&amp;COUNTIF($A$2:A1995,A1995))</f>
        <v/>
      </c>
    </row>
    <row r="1996">
      <c r="A1996" s="7" t="n"/>
      <c r="B1996" s="7" t="n"/>
      <c r="C1996" s="7" t="n"/>
      <c r="D1996" s="8" t="n"/>
      <c r="E1996" s="7" t="n"/>
      <c r="F1996" s="7" t="n"/>
      <c r="G1996" s="7" t="n"/>
      <c r="H1996" s="7" t="n"/>
      <c r="I1996" s="7" t="n"/>
      <c r="J1996" s="7" t="n"/>
      <c r="K1996" s="7" t="n"/>
      <c r="L1996" s="7" t="n"/>
      <c r="M1996" s="7" t="n"/>
      <c r="N1996" s="7" t="n"/>
      <c r="O1996" s="7" t="n"/>
      <c r="P1996" s="7" t="n"/>
      <c r="Q1996" s="7" t="n"/>
      <c r="R1996" s="7" t="n"/>
      <c r="S1996" s="7" t="n"/>
      <c r="T1996" s="7" t="n"/>
      <c r="U1996" s="7" t="n"/>
      <c r="V1996" s="7" t="n"/>
      <c r="W1996" s="7" t="n"/>
      <c r="X1996" s="7" t="n"/>
      <c r="Y1996" s="7" t="n"/>
      <c r="Z1996" s="7" t="n"/>
      <c r="AA1996" s="9">
        <f>IF(A1996="","",A1996&amp;"|"&amp;COUNTIF($A$2:A1996,A1996))</f>
        <v/>
      </c>
    </row>
    <row r="1997">
      <c r="A1997" s="7" t="n"/>
      <c r="B1997" s="7" t="n"/>
      <c r="C1997" s="7" t="n"/>
      <c r="D1997" s="8" t="n"/>
      <c r="E1997" s="7" t="n"/>
      <c r="F1997" s="7" t="n"/>
      <c r="G1997" s="7" t="n"/>
      <c r="H1997" s="7" t="n"/>
      <c r="I1997" s="7" t="n"/>
      <c r="J1997" s="7" t="n"/>
      <c r="K1997" s="7" t="n"/>
      <c r="L1997" s="7" t="n"/>
      <c r="M1997" s="7" t="n"/>
      <c r="N1997" s="7" t="n"/>
      <c r="O1997" s="7" t="n"/>
      <c r="P1997" s="7" t="n"/>
      <c r="Q1997" s="7" t="n"/>
      <c r="R1997" s="7" t="n"/>
      <c r="S1997" s="7" t="n"/>
      <c r="T1997" s="7" t="n"/>
      <c r="U1997" s="7" t="n"/>
      <c r="V1997" s="7" t="n"/>
      <c r="W1997" s="7" t="n"/>
      <c r="X1997" s="7" t="n"/>
      <c r="Y1997" s="7" t="n"/>
      <c r="Z1997" s="7" t="n"/>
      <c r="AA1997" s="9">
        <f>IF(A1997="","",A1997&amp;"|"&amp;COUNTIF($A$2:A1997,A1997))</f>
        <v/>
      </c>
    </row>
    <row r="1998">
      <c r="A1998" s="7" t="n"/>
      <c r="B1998" s="7" t="n"/>
      <c r="C1998" s="7" t="n"/>
      <c r="D1998" s="8" t="n"/>
      <c r="E1998" s="7" t="n"/>
      <c r="F1998" s="7" t="n"/>
      <c r="G1998" s="7" t="n"/>
      <c r="H1998" s="7" t="n"/>
      <c r="I1998" s="7" t="n"/>
      <c r="J1998" s="7" t="n"/>
      <c r="K1998" s="7" t="n"/>
      <c r="L1998" s="7" t="n"/>
      <c r="M1998" s="7" t="n"/>
      <c r="N1998" s="7" t="n"/>
      <c r="O1998" s="7" t="n"/>
      <c r="P1998" s="7" t="n"/>
      <c r="Q1998" s="7" t="n"/>
      <c r="R1998" s="7" t="n"/>
      <c r="S1998" s="7" t="n"/>
      <c r="T1998" s="7" t="n"/>
      <c r="U1998" s="7" t="n"/>
      <c r="V1998" s="7" t="n"/>
      <c r="W1998" s="7" t="n"/>
      <c r="X1998" s="7" t="n"/>
      <c r="Y1998" s="7" t="n"/>
      <c r="Z1998" s="7" t="n"/>
      <c r="AA1998" s="9">
        <f>IF(A1998="","",A1998&amp;"|"&amp;COUNTIF($A$2:A1998,A1998))</f>
        <v/>
      </c>
    </row>
    <row r="1999">
      <c r="A1999" s="7" t="n"/>
      <c r="B1999" s="7" t="n"/>
      <c r="C1999" s="7" t="n"/>
      <c r="D1999" s="8" t="n"/>
      <c r="E1999" s="7" t="n"/>
      <c r="F1999" s="7" t="n"/>
      <c r="G1999" s="7" t="n"/>
      <c r="H1999" s="7" t="n"/>
      <c r="I1999" s="7" t="n"/>
      <c r="J1999" s="7" t="n"/>
      <c r="K1999" s="7" t="n"/>
      <c r="L1999" s="7" t="n"/>
      <c r="M1999" s="7" t="n"/>
      <c r="N1999" s="7" t="n"/>
      <c r="O1999" s="7" t="n"/>
      <c r="P1999" s="7" t="n"/>
      <c r="Q1999" s="7" t="n"/>
      <c r="R1999" s="7" t="n"/>
      <c r="S1999" s="7" t="n"/>
      <c r="T1999" s="7" t="n"/>
      <c r="U1999" s="7" t="n"/>
      <c r="V1999" s="7" t="n"/>
      <c r="W1999" s="7" t="n"/>
      <c r="X1999" s="7" t="n"/>
      <c r="Y1999" s="7" t="n"/>
      <c r="Z1999" s="7" t="n"/>
      <c r="AA1999" s="9">
        <f>IF(A1999="","",A1999&amp;"|"&amp;COUNTIF($A$2:A1999,A1999))</f>
        <v/>
      </c>
    </row>
    <row r="2000">
      <c r="A2000" s="7" t="n"/>
      <c r="B2000" s="7" t="n"/>
      <c r="C2000" s="7" t="n"/>
      <c r="D2000" s="8" t="n"/>
      <c r="E2000" s="7" t="n"/>
      <c r="F2000" s="7" t="n"/>
      <c r="G2000" s="7" t="n"/>
      <c r="H2000" s="7" t="n"/>
      <c r="I2000" s="7" t="n"/>
      <c r="J2000" s="7" t="n"/>
      <c r="K2000" s="7" t="n"/>
      <c r="L2000" s="7" t="n"/>
      <c r="M2000" s="7" t="n"/>
      <c r="N2000" s="7" t="n"/>
      <c r="O2000" s="7" t="n"/>
      <c r="P2000" s="7" t="n"/>
      <c r="Q2000" s="7" t="n"/>
      <c r="R2000" s="7" t="n"/>
      <c r="S2000" s="7" t="n"/>
      <c r="T2000" s="7" t="n"/>
      <c r="U2000" s="7" t="n"/>
      <c r="V2000" s="7" t="n"/>
      <c r="W2000" s="7" t="n"/>
      <c r="X2000" s="7" t="n"/>
      <c r="Y2000" s="7" t="n"/>
      <c r="Z2000" s="7" t="n"/>
      <c r="AA2000" s="9">
        <f>IF(A2000="","",A2000&amp;"|"&amp;COUNTIF($A$2:A2000,A2000))</f>
        <v/>
      </c>
    </row>
    <row r="2001">
      <c r="A2001" s="7" t="n"/>
      <c r="B2001" s="7" t="n"/>
      <c r="C2001" s="7" t="n"/>
      <c r="D2001" s="8" t="n"/>
      <c r="E2001" s="7" t="n"/>
      <c r="F2001" s="7" t="n"/>
      <c r="G2001" s="7" t="n"/>
      <c r="H2001" s="7" t="n"/>
      <c r="I2001" s="7" t="n"/>
      <c r="J2001" s="7" t="n"/>
      <c r="K2001" s="7" t="n"/>
      <c r="L2001" s="7" t="n"/>
      <c r="M2001" s="7" t="n"/>
      <c r="N2001" s="7" t="n"/>
      <c r="O2001" s="7" t="n"/>
      <c r="P2001" s="7" t="n"/>
      <c r="Q2001" s="7" t="n"/>
      <c r="R2001" s="7" t="n"/>
      <c r="S2001" s="7" t="n"/>
      <c r="T2001" s="7" t="n"/>
      <c r="U2001" s="7" t="n"/>
      <c r="V2001" s="7" t="n"/>
      <c r="W2001" s="7" t="n"/>
      <c r="X2001" s="7" t="n"/>
      <c r="Y2001" s="7" t="n"/>
      <c r="Z2001" s="7" t="n"/>
      <c r="AA2001" s="9">
        <f>IF(A2001="","",A2001&amp;"|"&amp;COUNTIF($A$2:A2001,A2001))</f>
        <v/>
      </c>
    </row>
  </sheetData>
  <autoFilter ref="A1:Z2001"/>
  <conditionalFormatting sqref="B2:B2001">
    <cfRule type="expression" priority="1" dxfId="0">
      <formula>AND(B2&lt;&gt;"",COUNTIF($B$2:$B$2001,B2)&gt;1)</formula>
    </cfRule>
  </conditionalFormatting>
  <dataValidations count="8">
    <dataValidation sqref="A2:A2001" showDropDown="0" showInputMessage="0" showErrorMessage="1" allowBlank="1" type="list">
      <formula1>=Listes!$A$2:$A$9</formula1>
    </dataValidation>
    <dataValidation sqref="N2:N2001" showDropDown="0" showInputMessage="0" showErrorMessage="1" allowBlank="1" type="list">
      <formula1>=Listes!$B$2:$B$4</formula1>
    </dataValidation>
    <dataValidation sqref="U2:U2001" showDropDown="0" showInputMessage="0" showErrorMessage="1" allowBlank="1" type="list">
      <formula1>=Listes!$G$2:$G$6</formula1>
    </dataValidation>
    <dataValidation sqref="V2:V2001" showDropDown="0" showInputMessage="0" showErrorMessage="1" allowBlank="1" type="list">
      <formula1>=Listes!$G$2:$G$6</formula1>
    </dataValidation>
    <dataValidation sqref="W2:W2001" showDropDown="0" showInputMessage="0" showErrorMessage="1" allowBlank="1" type="list">
      <formula1>=Listes!$G$2:$G$6</formula1>
    </dataValidation>
    <dataValidation sqref="X2:X2001" showDropDown="0" showInputMessage="0" showErrorMessage="1" allowBlank="1" type="list">
      <formula1>=Listes!$G$2:$G$6</formula1>
    </dataValidation>
    <dataValidation sqref="Y2:Y2001" showDropDown="0" showInputMessage="0" showErrorMessage="1" allowBlank="1" type="list">
      <formula1>=Listes!$G$2:$G$6</formula1>
    </dataValidation>
    <dataValidation sqref="Z2:Z2001" showDropDown="0" showInputMessage="0" showErrorMessage="1" allowBlank="1" type="list">
      <formula1>=Listes!$G$2:$G$6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Paramètres!$C$2</f>
        <v/>
      </c>
      <c r="D1" s="11" t="n"/>
      <c r="E1" s="11" t="n"/>
      <c r="F1" s="11" t="n"/>
      <c r="G1" s="11" t="n"/>
      <c r="H1" s="11" t="n"/>
      <c r="I1" s="13">
        <f>Paramètres!$D$2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"&amp;Paramètres!$E$2</f>
        <v/>
      </c>
      <c r="J2" s="11" t="n"/>
      <c r="L2" s="15">
        <f>IFERROR(MATCH($G$5,Registre!$B$2:$B$2001,0),0)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</row>
    <row r="4" ht="22" customHeight="1">
      <c r="A4" s="16" t="inlineStr">
        <is>
          <t>Demande d’inspection ( RFI )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</row>
    <row r="5" ht="24" customHeight="1">
      <c r="A5" s="17">
        <f>"Discipline : "&amp;IFERROR(INDEX(Registre!$P$2:$P$2001,$L$2)&amp;"","")</f>
        <v/>
      </c>
      <c r="B5" s="11" t="n"/>
      <c r="C5" s="11" t="n"/>
      <c r="D5" s="11" t="n"/>
      <c r="E5" s="11" t="n"/>
      <c r="F5" s="18" t="inlineStr">
        <is>
          <t>RFI No:</t>
        </is>
      </c>
      <c r="G5" s="19" t="inlineStr">
        <is>
          <t>21063-G26-PPL-RFI-0062</t>
        </is>
      </c>
      <c r="H5" s="11" t="n"/>
      <c r="I5" s="11" t="n"/>
      <c r="J5" s="11" t="n"/>
    </row>
    <row r="6" ht="24" customHeight="1">
      <c r="A6" s="17">
        <f>"Date d'inspection : "&amp;IFERROR(TEXT(INDEX(Registre!$D$2:$D$2001,$L$2),"dd/mm/yyyy"),"")</f>
        <v/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30" customHeight="1">
      <c r="A7" s="17">
        <f>"Lieu : "&amp;IF(IFERROR(INDEX(Registre!$Q$2:$Q$2001,$L$2)&amp;"","")&lt;&gt;"",IFERROR(INDEX(Registre!$Q$2:$Q$2001,$L$2)&amp;"",""),IFERROR(INDEX(Registre!$E$2:$E$2001,$L$2)&amp;"",""))</f>
        <v/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22" customHeight="1">
      <c r="A8" s="21" t="inlineStr">
        <is>
          <t>Heure de réception</t>
        </is>
      </c>
      <c r="B8" s="11" t="n"/>
      <c r="C8" s="17" t="inlineStr">
        <is>
          <t>CPECC  QA/QC</t>
        </is>
      </c>
      <c r="D8" s="11" t="n"/>
      <c r="E8" s="11" t="n"/>
      <c r="F8" s="11" t="n"/>
      <c r="G8" s="17" t="inlineStr">
        <is>
          <t>GTFT  QA/QC</t>
        </is>
      </c>
      <c r="H8" s="11" t="n"/>
      <c r="I8" s="11" t="n"/>
      <c r="J8" s="11" t="n"/>
    </row>
    <row r="9" ht="22" customHeight="1">
      <c r="A9" s="11" t="n"/>
      <c r="B9" s="11" t="n"/>
      <c r="C9" s="17" t="inlineStr">
        <is>
          <t>Nom/Date :</t>
        </is>
      </c>
      <c r="D9" s="11" t="n"/>
      <c r="E9" s="11" t="n"/>
      <c r="F9" s="11" t="n"/>
      <c r="G9" s="17" t="inlineStr">
        <is>
          <t>Nom/Date :</t>
        </is>
      </c>
      <c r="H9" s="11" t="n"/>
      <c r="I9" s="11" t="n"/>
      <c r="J9" s="11" t="n"/>
    </row>
    <row r="10">
      <c r="A10" s="21" t="inlineStr">
        <is>
          <t>Item No.</t>
        </is>
      </c>
      <c r="B10" s="21" t="inlineStr">
        <is>
          <t>heure</t>
        </is>
      </c>
      <c r="C10" s="21" t="inlineStr">
        <is>
          <t>Description de l'inspection</t>
        </is>
      </c>
      <c r="D10" s="11" t="n"/>
      <c r="E10" s="21" t="inlineStr">
        <is>
          <t>Point d'inspection</t>
        </is>
      </c>
      <c r="F10" s="11" t="n"/>
      <c r="G10" s="11" t="n"/>
      <c r="H10" s="11" t="n"/>
      <c r="I10" s="11" t="n"/>
      <c r="J10" s="11" t="n"/>
    </row>
    <row r="11">
      <c r="A11" s="11" t="n"/>
      <c r="B11" s="11" t="n"/>
      <c r="C11" s="11" t="n"/>
      <c r="D11" s="11" t="n"/>
      <c r="E11" s="21" t="inlineStr">
        <is>
          <t>C3</t>
        </is>
      </c>
      <c r="F11" s="11" t="n"/>
      <c r="G11" s="12" t="inlineStr">
        <is>
          <t>C1</t>
        </is>
      </c>
      <c r="H11" s="12" t="inlineStr">
        <is>
          <t>CA</t>
        </is>
      </c>
      <c r="I11" s="12" t="inlineStr">
        <is>
          <t>TPI1</t>
        </is>
      </c>
      <c r="J11" s="12" t="inlineStr">
        <is>
          <t>TPI2</t>
        </is>
      </c>
    </row>
    <row r="12">
      <c r="A12" s="11" t="n"/>
      <c r="B12" s="11" t="n"/>
      <c r="C12" s="11" t="n"/>
      <c r="D12" s="11" t="n"/>
      <c r="E12" s="12" t="inlineStr">
        <is>
          <t>CST</t>
        </is>
      </c>
      <c r="F12" s="12" t="inlineStr">
        <is>
          <t>QCI</t>
        </is>
      </c>
      <c r="G12" s="11" t="n"/>
      <c r="H12" s="11" t="n"/>
      <c r="I12" s="11" t="n"/>
      <c r="J12" s="11" t="n"/>
    </row>
    <row r="13" ht="45" customHeight="1">
      <c r="A13" s="22">
        <f>IFERROR(INDEX(Registre!$R$2:$R$2001,$L$2)&amp;"","")</f>
        <v/>
      </c>
      <c r="B13" s="22">
        <f>IFERROR(INDEX(Registre!$S$2:$S$2001,$L$2)&amp;"","")</f>
        <v/>
      </c>
      <c r="C13" s="23">
        <f>IF(IFERROR(INDEX(Registre!$T$2:$T$2001,$L$2)&amp;"","")&lt;&gt;"",IFERROR(INDEX(Registre!$T$2:$T$2001,$L$2)&amp;"",""),IFERROR(INDEX(Registre!$G$2:$G$2001,$L$2)&amp;"",""))</f>
        <v/>
      </c>
      <c r="D13" s="11" t="n"/>
      <c r="E13" s="21">
        <f>IFERROR(INDEX(Registre!$U$2:$U$2001,$L$2)&amp;"","")</f>
        <v/>
      </c>
      <c r="F13" s="21">
        <f>IFERROR(INDEX(Registre!$V$2:$V$2001,$L$2)&amp;"","")</f>
        <v/>
      </c>
      <c r="G13" s="21">
        <f>IFERROR(INDEX(Registre!$W$2:$W$2001,$L$2)&amp;"","")</f>
        <v/>
      </c>
      <c r="H13" s="21">
        <f>IFERROR(INDEX(Registre!$X$2:$X$2001,$L$2)&amp;"","")</f>
        <v/>
      </c>
      <c r="I13" s="21">
        <f>IFERROR(INDEX(Registre!$Y$2:$Y$2001,$L$2)&amp;"","")</f>
        <v/>
      </c>
      <c r="J13" s="21">
        <f>IFERROR(INDEX(Registre!$Z$2:$Z$2001,$L$2)&amp;"","")</f>
        <v/>
      </c>
    </row>
    <row r="14" ht="22" customHeight="1">
      <c r="A14" s="24" t="inlineStr">
        <is>
          <t>CONCLUSION DE L'INSPECTION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20" customHeight="1">
      <c r="A15" s="17" t="inlineStr">
        <is>
          <t>PV No.</t>
        </is>
      </c>
      <c r="B15" s="10">
        <f>IF(IFERROR(INDEX(Registre!$C$2:$C$2001,$L$2)&amp;"","")="","",IFERROR(INDEX(Registre!$A$2:$A$2001,$L$2)&amp;"","")&amp;" – Rapport nº "&amp;IFERROR(INDEX(Registre!$C$2:$C$2001,$L$2)&amp;"",""))</f>
        <v/>
      </c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 ht="20" customHeight="1">
      <c r="A16" s="17">
        <f>IF(IFERROR(INDEX(Registre!$N$2:$N$2001,$L$2)&amp;"","")="Accepté","☒","☐")&amp;"  Approuvé"</f>
        <v/>
      </c>
      <c r="B16" s="11" t="n"/>
      <c r="C16" s="11" t="n"/>
      <c r="D16" s="17">
        <f>IF(IFERROR(INDEX(Registre!$N$2:$N$2001,$L$2)&amp;"","")="Approuvé avec commentaires","☒","☐")&amp;"  Approuvé avec commentaires"</f>
        <v/>
      </c>
      <c r="E16" s="11" t="n"/>
      <c r="F16" s="11" t="n"/>
      <c r="G16" s="11" t="n"/>
      <c r="H16" s="17">
        <f>IF(IFERROR(INDEX(Registre!$N$2:$N$2001,$L$2)&amp;"","")="Rejeté","☒","☐")&amp;"  Rejeté"</f>
        <v/>
      </c>
      <c r="I16" s="11" t="n"/>
      <c r="J16" s="11" t="n"/>
    </row>
    <row r="17" ht="230" customHeight="1">
      <c r="A17" s="25">
        <f>"Remarques : "&amp;IFERROR(INDEX(Registre!$O$2:$O$2001,$L$2)&amp;"","")</f>
        <v/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A18" s="21" t="inlineStr">
        <is>
          <t>APPROBATION</t>
        </is>
      </c>
      <c r="B18" s="11" t="n"/>
      <c r="C18" s="21" t="inlineStr">
        <is>
          <t>C3</t>
        </is>
      </c>
      <c r="D18" s="11" t="n"/>
      <c r="E18" s="11" t="n"/>
      <c r="F18" s="11" t="n"/>
      <c r="G18" s="21" t="inlineStr">
        <is>
          <t>C1</t>
        </is>
      </c>
      <c r="H18" s="11" t="n"/>
      <c r="I18" s="21" t="inlineStr">
        <is>
          <t>CA</t>
        </is>
      </c>
      <c r="J18" s="11" t="n"/>
    </row>
    <row r="19">
      <c r="A19" s="11" t="n"/>
      <c r="B19" s="11" t="n"/>
      <c r="C19" s="21" t="inlineStr">
        <is>
          <t>CST</t>
        </is>
      </c>
      <c r="D19" s="11" t="n"/>
      <c r="E19" s="21" t="inlineStr">
        <is>
          <t>QCI</t>
        </is>
      </c>
      <c r="F19" s="11" t="n"/>
      <c r="G19" s="11" t="n"/>
      <c r="H19" s="11" t="n"/>
      <c r="I19" s="11" t="n"/>
      <c r="J19" s="11" t="n"/>
    </row>
    <row r="20" ht="22" customHeight="1">
      <c r="A20" s="21" t="inlineStr">
        <is>
          <t>Nom</t>
        </is>
      </c>
      <c r="B20" s="11" t="n"/>
      <c r="C20" s="10" t="n"/>
      <c r="D20" s="11" t="n"/>
      <c r="E20" s="10" t="n"/>
      <c r="F20" s="11" t="n"/>
      <c r="G20" s="10" t="n"/>
      <c r="H20" s="11" t="n"/>
      <c r="I20" s="10" t="n"/>
      <c r="J20" s="11" t="n"/>
    </row>
    <row r="21" ht="22" customHeight="1">
      <c r="A21" s="21" t="inlineStr">
        <is>
          <t>Signature</t>
        </is>
      </c>
      <c r="B21" s="11" t="n"/>
      <c r="C21" s="10" t="n"/>
      <c r="D21" s="11" t="n"/>
      <c r="E21" s="10" t="n"/>
      <c r="F21" s="11" t="n"/>
      <c r="G21" s="10" t="n"/>
      <c r="H21" s="11" t="n"/>
      <c r="I21" s="10" t="n"/>
      <c r="J21" s="11" t="n"/>
    </row>
    <row r="22" ht="22" customHeight="1">
      <c r="A22" s="21" t="inlineStr">
        <is>
          <t>Date</t>
        </is>
      </c>
      <c r="B22" s="11" t="n"/>
      <c r="C22" s="10" t="n"/>
      <c r="D22" s="11" t="n"/>
      <c r="E22" s="10" t="n"/>
      <c r="F22" s="11" t="n"/>
      <c r="G22" s="10" t="n"/>
      <c r="H22" s="11" t="n"/>
      <c r="I22" s="10" t="n"/>
      <c r="J22" s="11" t="n"/>
    </row>
  </sheetData>
  <mergeCells count="52">
    <mergeCell ref="G21:H21"/>
    <mergeCell ref="E10:J10"/>
    <mergeCell ref="A14:J14"/>
    <mergeCell ref="C8:F8"/>
    <mergeCell ref="A17:J17"/>
    <mergeCell ref="I2:J2"/>
    <mergeCell ref="G18:H19"/>
    <mergeCell ref="A4:J4"/>
    <mergeCell ref="A18:B19"/>
    <mergeCell ref="C1:H3"/>
    <mergeCell ref="H11:H12"/>
    <mergeCell ref="A1:B3"/>
    <mergeCell ref="A8:B9"/>
    <mergeCell ref="J11:J12"/>
    <mergeCell ref="H16:J16"/>
    <mergeCell ref="C18:F18"/>
    <mergeCell ref="C20:D20"/>
    <mergeCell ref="G9:J9"/>
    <mergeCell ref="E20:F20"/>
    <mergeCell ref="G22:H22"/>
    <mergeCell ref="C10:D12"/>
    <mergeCell ref="A10:A12"/>
    <mergeCell ref="E19:F19"/>
    <mergeCell ref="C22:D22"/>
    <mergeCell ref="I22:J22"/>
    <mergeCell ref="I3:J3"/>
    <mergeCell ref="B15:J15"/>
    <mergeCell ref="I21:J21"/>
    <mergeCell ref="A21:B21"/>
    <mergeCell ref="C21:D21"/>
    <mergeCell ref="A6:J6"/>
    <mergeCell ref="G8:J8"/>
    <mergeCell ref="E11:F11"/>
    <mergeCell ref="A5:E5"/>
    <mergeCell ref="A7:J7"/>
    <mergeCell ref="I1:J1"/>
    <mergeCell ref="A22:B22"/>
    <mergeCell ref="C9:F9"/>
    <mergeCell ref="A20:B20"/>
    <mergeCell ref="G20:H20"/>
    <mergeCell ref="I20:J20"/>
    <mergeCell ref="B10:B12"/>
    <mergeCell ref="D16:G16"/>
    <mergeCell ref="C19:D19"/>
    <mergeCell ref="E22:F22"/>
    <mergeCell ref="C13:D13"/>
    <mergeCell ref="G11:G12"/>
    <mergeCell ref="I11:I12"/>
    <mergeCell ref="G5:J5"/>
    <mergeCell ref="A16:C16"/>
    <mergeCell ref="E21:F21"/>
    <mergeCell ref="I18:J19"/>
  </mergeCells>
  <dataValidations count="1">
    <dataValidation sqref="G5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=Liste_RFI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Paramètres!$C$3</f>
        <v/>
      </c>
      <c r="D1" s="11" t="n"/>
      <c r="E1" s="11" t="n"/>
      <c r="F1" s="11" t="n"/>
      <c r="G1" s="11" t="n"/>
      <c r="H1" s="11" t="n"/>
      <c r="I1" s="13">
        <f>Paramètres!$D$3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"&amp;Paramètres!$E$3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  <c r="L3" s="15">
        <f>IFERROR(MATCH($H$8,'Données Ouverture'!$A$2:$A$501,0),0)</f>
        <v/>
      </c>
    </row>
    <row r="4" ht="22" customHeight="1">
      <c r="A4" s="16" t="inlineStr">
        <is>
          <t>PROCÈS-VERBAL OUVERTURE DE LA TRANCHÉE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Registre",IF(INDEX(Registre!$A$2:$A$2001,$L$2)&lt;&gt;"Ouverture de la tranchée","⚠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RFI nº</t>
        </is>
      </c>
      <c r="F8" s="11" t="n"/>
      <c r="G8" s="11" t="n"/>
      <c r="H8" s="19" t="inlineStr">
        <is>
          <t>21063-G26-PPL-RFI-0016</t>
        </is>
      </c>
      <c r="I8" s="11" t="n"/>
      <c r="J8" s="11" t="n"/>
    </row>
    <row r="9" ht="20" customHeight="1">
      <c r="A9" s="17">
        <f>"Tronçon n° : "&amp;IFERROR(INDEX(Registre!$H$2:$H$2001,$L$2)&amp;"","")&amp;"   du "&amp;IF(IFERROR(INDEX(Registre!$I$2:$I$2001,$L$2)&amp;"","")&lt;&gt;"","Joint N° "&amp;IFERROR(INDEX(Registre!$I$2:$I$2001,$L$2)&amp;"","")&amp;"  ","")&amp;"PK "&amp;IFERROR(INDEX(Registre!$K$2:$K$2001,$L$2)&amp;"","")&amp;IF(OR(IFERROR(INDEX(Registre!$L$2:$L$2001,$L$2)&amp;"","")&lt;&gt;"",IFERROR(INDEX(Registre!$J$2:$J$2001,$L$2)&amp;"","")&lt;&gt;""),"   au "&amp;IF(IFERROR(INDEX(Registre!$J$2:$J$2001,$L$2)&amp;"","")&lt;&gt;"","Joint N° "&amp;IFERROR(INDEX(Registre!$J$2:$J$2001,$L$2)&amp;"","")&amp;"  ","")&amp;IF(IFERROR(INDEX(Registre!$L$2:$L$2001,$L$2)&amp;"","")&lt;&gt;"","PK "&amp;IFERROR(INDEX(Registre!$L$2:$L$2001,$L$2)&amp;"",""),""),"")</f>
        <v/>
      </c>
      <c r="B9" s="11" t="n"/>
      <c r="C9" s="11" t="n"/>
      <c r="D9" s="11" t="n"/>
      <c r="E9" s="11" t="n"/>
      <c r="F9" s="11" t="n"/>
      <c r="G9" s="11" t="n"/>
      <c r="H9" s="11" t="n"/>
      <c r="I9" s="10">
        <f>IF(IFERROR(INDEX(Registre!$M$2:$M$2001,$L$2)&amp;"","")="","Long :","Long : "&amp;IFERROR(INDEX(Registre!$M$2:$M$2001,$L$2)&amp;"","")&amp;" ml")</f>
        <v/>
      </c>
      <c r="J9" s="11" t="n"/>
    </row>
    <row r="10">
      <c r="A10" s="28" t="inlineStr">
        <is>
          <t>Inspection</t>
        </is>
      </c>
      <c r="B10" s="11" t="n"/>
      <c r="C10" s="11" t="n"/>
      <c r="D10" s="11" t="n"/>
      <c r="E10" s="11" t="n"/>
      <c r="F10" s="11" t="n"/>
      <c r="G10" s="11" t="n"/>
      <c r="H10" s="11" t="n"/>
      <c r="I10" s="28" t="inlineStr">
        <is>
          <t>jugement</t>
        </is>
      </c>
      <c r="J10" s="11" t="n"/>
    </row>
    <row r="11" ht="18" customHeight="1">
      <c r="A11" s="23" t="inlineStr">
        <is>
          <t>Vérification de la profondeur de la tranchée selon diamètre de pipe et zone</t>
        </is>
      </c>
      <c r="B11" s="11" t="n"/>
      <c r="C11" s="11" t="n"/>
      <c r="D11" s="11" t="n"/>
      <c r="E11" s="11" t="n"/>
      <c r="F11" s="11" t="n"/>
      <c r="G11" s="11" t="n"/>
      <c r="H11" s="11" t="n"/>
      <c r="I11" s="22">
        <f>IF(IFERROR(INDEX('Données Ouverture'!$B$2:$B$501,$L$3)&amp;"","")="C","☒","☐")&amp;"  C"&amp;"      "&amp;IF(IFERROR(INDEX('Données Ouverture'!$B$2:$B$501,$L$3)&amp;"","")="NC","☒","☐")&amp;"  NC"</f>
        <v/>
      </c>
      <c r="J11" s="11" t="n"/>
    </row>
    <row r="12" ht="18" customHeight="1">
      <c r="A12" s="23" t="inlineStr">
        <is>
          <t>Vérification de la largeur de la tranchée</t>
        </is>
      </c>
      <c r="B12" s="11" t="n"/>
      <c r="C12" s="11" t="n"/>
      <c r="D12" s="11" t="n"/>
      <c r="E12" s="11" t="n"/>
      <c r="F12" s="11" t="n"/>
      <c r="G12" s="11" t="n"/>
      <c r="H12" s="11" t="n"/>
      <c r="I12" s="22">
        <f>IF(IFERROR(INDEX('Données Ouverture'!$C$2:$C$501,$L$3)&amp;"","")="C","☒","☐")&amp;"  C"&amp;"      "&amp;IF(IFERROR(INDEX('Données Ouverture'!$C$2:$C$501,$L$3)&amp;"","")="NC","☒","☐")&amp;"  NC"</f>
        <v/>
      </c>
      <c r="J12" s="11" t="n"/>
    </row>
    <row r="13" ht="20" customHeight="1">
      <c r="A13" s="10">
        <f>"Nature du terrain :     "&amp;IF(IFERROR(INDEX('Données Ouverture'!$D$2:$D$501,$L$3)&amp;"","")="Dune de sable","☒","☐")&amp;" Dune de sable"&amp;"      "&amp;IF(IFERROR(INDEX('Données Ouverture'!$D$2:$D$501,$L$3)&amp;"","")="Rocheux","☒","☐")&amp;" Rocheux"&amp;"      "&amp;IF(IFERROR(INDEX('Données Ouverture'!$D$2:$D$501,$L$3)&amp;"","")="semi rocheux","☒","☐")&amp;" semi rocheux"&amp;"      "&amp;IF(IFERROR(INDEX('Données Ouverture'!$D$2:$D$501,$L$3)&amp;"","")="Autres","☒","☐")&amp;" Autres"</f>
        <v/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 ht="300" customHeight="1">
      <c r="A14" s="25">
        <f>"Remarques : "&amp;IFERROR(INDEX(Registre!$O$2:$O$2001,$L$2)&amp;"","")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24" customHeight="1">
      <c r="A15" s="12" t="inlineStr">
        <is>
          <t>Conclusion de l’inspection</t>
        </is>
      </c>
      <c r="B15" s="11" t="n"/>
      <c r="C15" s="21">
        <f>IF(IFERROR(INDEX(Registre!$N$2:$N$2001,$L$2)&amp;"","")="Non applicable","☒","☐")&amp;"  Non applicable"</f>
        <v/>
      </c>
      <c r="D15" s="11" t="n"/>
      <c r="E15" s="11" t="n"/>
      <c r="F15" s="11" t="n"/>
      <c r="G15" s="21">
        <f>IF(IFERROR(INDEX(Registre!$N$2:$N$2001,$L$2)&amp;"","")="Accepté","☒","☐")&amp;"  Accepté"</f>
        <v/>
      </c>
      <c r="H15" s="11" t="n"/>
      <c r="I15" s="21">
        <f>IF(IFERROR(INDEX(Registre!$N$2:$N$2001,$L$2)&amp;"","")="Rejeté","☒","☐")&amp;"  Rejeté"</f>
        <v/>
      </c>
      <c r="J15" s="11" t="n"/>
    </row>
    <row r="16">
      <c r="A16" s="12" t="inlineStr">
        <is>
          <t>APPROBATION</t>
        </is>
      </c>
      <c r="B16" s="11" t="n"/>
      <c r="C16" s="12" t="inlineStr">
        <is>
          <t>C3</t>
        </is>
      </c>
      <c r="D16" s="11" t="n"/>
      <c r="E16" s="11" t="n"/>
      <c r="F16" s="11" t="n"/>
      <c r="G16" s="12" t="inlineStr">
        <is>
          <t>C1</t>
        </is>
      </c>
      <c r="H16" s="11" t="n"/>
      <c r="I16" s="12" t="inlineStr">
        <is>
          <t>CA</t>
        </is>
      </c>
      <c r="J16" s="11" t="n"/>
    </row>
    <row r="17">
      <c r="A17" s="11" t="n"/>
      <c r="B17" s="11" t="n"/>
      <c r="C17" s="12" t="inlineStr">
        <is>
          <t>CST</t>
        </is>
      </c>
      <c r="D17" s="11" t="n"/>
      <c r="E17" s="12" t="inlineStr">
        <is>
          <t>QCI</t>
        </is>
      </c>
      <c r="F17" s="11" t="n"/>
      <c r="G17" s="11" t="n"/>
      <c r="H17" s="11" t="n"/>
      <c r="I17" s="11" t="n"/>
      <c r="J17" s="11" t="n"/>
    </row>
    <row r="18" ht="20" customHeight="1">
      <c r="A18" s="12" t="inlineStr">
        <is>
          <t>Nom</t>
        </is>
      </c>
      <c r="B18" s="11" t="n"/>
      <c r="C18" s="10" t="n"/>
      <c r="D18" s="11" t="n"/>
      <c r="E18" s="10" t="n"/>
      <c r="F18" s="11" t="n"/>
      <c r="G18" s="10" t="n"/>
      <c r="H18" s="11" t="n"/>
      <c r="I18" s="10" t="n"/>
      <c r="J18" s="11" t="n"/>
    </row>
    <row r="19" ht="30" customHeight="1">
      <c r="A19" s="12" t="inlineStr">
        <is>
          <t>Signature</t>
        </is>
      </c>
      <c r="B19" s="11" t="n"/>
      <c r="C19" s="10" t="n"/>
      <c r="D19" s="11" t="n"/>
      <c r="E19" s="10" t="n"/>
      <c r="F19" s="11" t="n"/>
      <c r="G19" s="10" t="n"/>
      <c r="H19" s="11" t="n"/>
      <c r="I19" s="10" t="n"/>
      <c r="J19" s="11" t="n"/>
    </row>
    <row r="20" ht="20" customHeight="1">
      <c r="A20" s="12" t="inlineStr">
        <is>
          <t>Date</t>
        </is>
      </c>
      <c r="B20" s="11" t="n"/>
      <c r="C20" s="10" t="n"/>
      <c r="D20" s="11" t="n"/>
      <c r="E20" s="10" t="n"/>
      <c r="F20" s="11" t="n"/>
      <c r="G20" s="10" t="n"/>
      <c r="H20" s="11" t="n"/>
      <c r="I20" s="10" t="n"/>
      <c r="J20" s="11" t="n"/>
    </row>
  </sheetData>
  <mergeCells count="51">
    <mergeCell ref="A9:H9"/>
    <mergeCell ref="A14:J14"/>
    <mergeCell ref="A15:B15"/>
    <mergeCell ref="I15:J15"/>
    <mergeCell ref="I2:J2"/>
    <mergeCell ref="C6:J6"/>
    <mergeCell ref="I11:J11"/>
    <mergeCell ref="A4:J4"/>
    <mergeCell ref="A11:H11"/>
    <mergeCell ref="C1:H3"/>
    <mergeCell ref="C5:J5"/>
    <mergeCell ref="E17:F17"/>
    <mergeCell ref="A1:B3"/>
    <mergeCell ref="A6:B6"/>
    <mergeCell ref="A13:J13"/>
    <mergeCell ref="C20:D20"/>
    <mergeCell ref="E20:F20"/>
    <mergeCell ref="A7:B7"/>
    <mergeCell ref="G16:H17"/>
    <mergeCell ref="E19:F19"/>
    <mergeCell ref="G19:H19"/>
    <mergeCell ref="C15:F15"/>
    <mergeCell ref="A18:B18"/>
    <mergeCell ref="G18:H18"/>
    <mergeCell ref="I18:J18"/>
    <mergeCell ref="I3:J3"/>
    <mergeCell ref="A12:H12"/>
    <mergeCell ref="I12:J12"/>
    <mergeCell ref="G15:H15"/>
    <mergeCell ref="A5:B5"/>
    <mergeCell ref="H8:J8"/>
    <mergeCell ref="C16:F16"/>
    <mergeCell ref="A8:B8"/>
    <mergeCell ref="C17:D17"/>
    <mergeCell ref="C8:D8"/>
    <mergeCell ref="I1:J1"/>
    <mergeCell ref="A20:B20"/>
    <mergeCell ref="G20:H20"/>
    <mergeCell ref="I20:J20"/>
    <mergeCell ref="C7:J7"/>
    <mergeCell ref="A16:B17"/>
    <mergeCell ref="I10:J10"/>
    <mergeCell ref="I16:J17"/>
    <mergeCell ref="A19:B19"/>
    <mergeCell ref="E8:G8"/>
    <mergeCell ref="A10:H10"/>
    <mergeCell ref="C19:D19"/>
    <mergeCell ref="I19:J19"/>
    <mergeCell ref="C18:D18"/>
    <mergeCell ref="E18:F18"/>
    <mergeCell ref="I9:J9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=Liste_OUV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Paramètres!$C$4</f>
        <v/>
      </c>
      <c r="D1" s="11" t="n"/>
      <c r="E1" s="11" t="n"/>
      <c r="F1" s="11" t="n"/>
      <c r="G1" s="11" t="n"/>
      <c r="H1" s="11" t="n"/>
      <c r="I1" s="13">
        <f>Paramètres!$D$4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"&amp;Paramètres!$E$4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  <c r="L3" s="15">
        <f>IFERROR(MATCH($H$8,'Données Piste'!$A$2:$A$501,0),0)</f>
        <v/>
      </c>
    </row>
    <row r="4" ht="22" customHeight="1">
      <c r="A4" s="16" t="inlineStr">
        <is>
          <t>PROCÈS VERBAL D’AMENAGEMENT DE LA PISTE DE TRAVAIL / PISTE DE SERVICE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Registre",IF(INDEX(Registre!$A$2:$A$2001,$L$2)&lt;&gt;"Piste de travail","⚠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RFI nº</t>
        </is>
      </c>
      <c r="F8" s="11" t="n"/>
      <c r="G8" s="11" t="n"/>
      <c r="H8" s="19" t="inlineStr">
        <is>
          <t>21063-G26-PPL-RFI-0002</t>
        </is>
      </c>
      <c r="I8" s="11" t="n"/>
      <c r="J8" s="11" t="n"/>
    </row>
    <row r="9" ht="20" customHeight="1">
      <c r="A9" s="17">
        <f>"Tronçon n° : "&amp;IFERROR(INDEX(Registre!$H$2:$H$2001,$L$2)&amp;"","")&amp;"   du "&amp;IF(IFERROR(INDEX(Registre!$I$2:$I$2001,$L$2)&amp;"","")&lt;&gt;"","Joint N° "&amp;IFERROR(INDEX(Registre!$I$2:$I$2001,$L$2)&amp;"","")&amp;"  ","")&amp;"PK "&amp;IFERROR(INDEX(Registre!$K$2:$K$2001,$L$2)&amp;"","")&amp;IF(OR(IFERROR(INDEX(Registre!$L$2:$L$2001,$L$2)&amp;"","")&lt;&gt;"",IFERROR(INDEX(Registre!$J$2:$J$2001,$L$2)&amp;"","")&lt;&gt;""),"   au "&amp;IF(IFERROR(INDEX(Registre!$J$2:$J$2001,$L$2)&amp;"","")&lt;&gt;"","Joint N° "&amp;IFERROR(INDEX(Registre!$J$2:$J$2001,$L$2)&amp;"","")&amp;"  ","")&amp;IF(IFERROR(INDEX(Registre!$L$2:$L$2001,$L$2)&amp;"","")&lt;&gt;"","PK "&amp;IFERROR(INDEX(Registre!$L$2:$L$2001,$L$2)&amp;"",""),""),"")</f>
        <v/>
      </c>
      <c r="B9" s="11" t="n"/>
      <c r="C9" s="11" t="n"/>
      <c r="D9" s="11" t="n"/>
      <c r="E9" s="11" t="n"/>
      <c r="F9" s="11" t="n"/>
      <c r="G9" s="11" t="n"/>
      <c r="H9" s="11" t="n"/>
      <c r="I9" s="10">
        <f>IF(IFERROR(INDEX(Registre!$M$2:$M$2001,$L$2)&amp;"","")="","Long :","Long : "&amp;IFERROR(INDEX(Registre!$M$2:$M$2001,$L$2)&amp;"","")&amp;" ml")</f>
        <v/>
      </c>
      <c r="J9" s="11" t="n"/>
    </row>
    <row r="10" ht="22" customHeight="1">
      <c r="A10" s="23">
        <f>"Type de végétation :   "&amp;IF(IFERROR(INDEX('Données Piste'!$B$2:$B$501,$L$3)&amp;"","")="Zone dégagée","☒","☐")&amp;" Zone dégagée"&amp;"     "&amp;IF(IFERROR(INDEX('Données Piste'!$B$2:$B$501,$L$3)&amp;"","")="Cultivée","☒","☐")&amp;" Cultivée"&amp;"     "&amp;IF(IFERROR(INDEX('Données Piste'!$B$2:$B$501,$L$3)&amp;"","")="Désertique","☒","☐")&amp;" Désertique"&amp;"     "&amp;IF(IFERROR(INDEX('Données Piste'!$B$2:$B$501,$L$3)&amp;"","")="Marécageuses","☒","☐")&amp;" Marécageuses"&amp;"     "&amp;IF(IFERROR(INDEX('Données Piste'!$B$2:$B$501,$L$3)&amp;"","")="Bois","☒","☐")&amp;" Bois"&amp;"     "&amp;IF(IFERROR(INDEX('Données Piste'!$B$2:$B$501,$L$3)&amp;"","")="Autres","☒","☐")&amp;" Autres"</f>
        <v/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</row>
    <row r="11" ht="22" customHeight="1">
      <c r="A11" s="23">
        <f>"Nature de terrain :   "&amp;IF(IFERROR(INDEX('Données Piste'!$C$2:$C$501,$L$3)&amp;"","")="nature","☒","☐")&amp;" nature"&amp;"     "&amp;IF(IFERROR(INDEX('Données Piste'!$C$2:$C$501,$L$3)&amp;"","")="Relief","☒","☐")&amp;" Relief"&amp;"     "&amp;IF(IFERROR(INDEX('Données Piste'!$C$2:$C$501,$L$3)&amp;"","")="Terrain désertique","☒","☐")&amp;" Terrain désertique"&amp;"     "&amp;IF(IFERROR(INDEX('Données Piste'!$C$2:$C$501,$L$3)&amp;"","")="dunes de sable","☒","☐")&amp;" dunes de sable"</f>
        <v/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 ht="20" customHeight="1">
      <c r="A12" s="23" t="inlineStr">
        <is>
          <t>Certificat des matériaux utilisés</t>
        </is>
      </c>
      <c r="B12" s="11" t="n"/>
      <c r="C12" s="11" t="n"/>
      <c r="D12" s="11" t="n"/>
      <c r="E12" s="11" t="n"/>
      <c r="F12" s="11" t="n"/>
      <c r="G12" s="22">
        <f>IF(IFERROR(INDEX('Données Piste'!$D$2:$D$501,$L$3)&amp;"","")="Oui","☒","☐")&amp;" Oui"&amp;"       "&amp;IF(IFERROR(INDEX('Données Piste'!$D$2:$D$501,$L$3)&amp;"","")="Non","☒","☐")&amp;" Non"&amp;"       "&amp;IF(IFERROR(INDEX('Données Piste'!$D$2:$D$501,$L$3)&amp;"","")="NA","☒","☐")&amp;" NA"</f>
        <v/>
      </c>
      <c r="H12" s="11" t="n"/>
      <c r="I12" s="11" t="n"/>
      <c r="J12" s="11" t="n"/>
    </row>
    <row r="13" ht="20" customHeight="1">
      <c r="A13" s="23" t="inlineStr">
        <is>
          <t>Compactage selon spec projet</t>
        </is>
      </c>
      <c r="B13" s="11" t="n"/>
      <c r="C13" s="11" t="n"/>
      <c r="D13" s="11" t="n"/>
      <c r="E13" s="11" t="n"/>
      <c r="F13" s="11" t="n"/>
      <c r="G13" s="22">
        <f>IF(IFERROR(INDEX('Données Piste'!$E$2:$E$501,$L$3)&amp;"","")="Oui","☒","☐")&amp;" Oui"&amp;"       "&amp;IF(IFERROR(INDEX('Données Piste'!$E$2:$E$501,$L$3)&amp;"","")="Non","☒","☐")&amp;" Non"&amp;"       "&amp;IF(IFERROR(INDEX('Données Piste'!$E$2:$E$501,$L$3)&amp;"","")="NA","☒","☐")&amp;" NA"</f>
        <v/>
      </c>
      <c r="H13" s="11" t="n"/>
      <c r="I13" s="11" t="n"/>
      <c r="J13" s="11" t="n"/>
    </row>
    <row r="14" ht="20" customHeight="1">
      <c r="A14" s="23" t="inlineStr">
        <is>
          <t>Marquage et repérage de la limite de la piste</t>
        </is>
      </c>
      <c r="B14" s="11" t="n"/>
      <c r="C14" s="11" t="n"/>
      <c r="D14" s="11" t="n"/>
      <c r="E14" s="11" t="n"/>
      <c r="F14" s="11" t="n"/>
      <c r="G14" s="22">
        <f>IF(IFERROR(INDEX('Données Piste'!$F$2:$F$501,$L$3)&amp;"","")="C","☒","☐")&amp;" C"&amp;"       "&amp;IF(IFERROR(INDEX('Données Piste'!$F$2:$F$501,$L$3)&amp;"","")="NC","☒","☐")&amp;" NC"</f>
        <v/>
      </c>
      <c r="H14" s="11" t="n"/>
      <c r="I14" s="11" t="n"/>
      <c r="J14" s="11" t="n"/>
    </row>
    <row r="15" ht="20" customHeight="1">
      <c r="A15" s="23" t="inlineStr">
        <is>
          <t>Largeur de la piste</t>
        </is>
      </c>
      <c r="B15" s="11" t="n"/>
      <c r="C15" s="11" t="n"/>
      <c r="D15" s="11" t="n"/>
      <c r="E15" s="11" t="n"/>
      <c r="F15" s="11" t="n"/>
      <c r="G15" s="22">
        <f>IF(IFERROR(INDEX('Données Piste'!$G$2:$G$501,$L$3)&amp;"","")="C","☒","☐")&amp;" C"&amp;"       "&amp;IF(IFERROR(INDEX('Données Piste'!$G$2:$G$501,$L$3)&amp;"","")="NC","☒","☐")&amp;" NC"</f>
        <v/>
      </c>
      <c r="H15" s="11" t="n"/>
      <c r="I15" s="11" t="n"/>
      <c r="J15" s="11" t="n"/>
    </row>
    <row r="16" ht="20" customHeight="1">
      <c r="A16" s="23" t="inlineStr">
        <is>
          <t>Localisation et Protection des Installations Existantes</t>
        </is>
      </c>
      <c r="B16" s="11" t="n"/>
      <c r="C16" s="11" t="n"/>
      <c r="D16" s="11" t="n"/>
      <c r="E16" s="11" t="n"/>
      <c r="F16" s="11" t="n"/>
      <c r="G16" s="22">
        <f>IF(IFERROR(INDEX('Données Piste'!$H$2:$H$501,$L$3)&amp;"","")="C","☒","☐")&amp;" C"&amp;"       "&amp;IF(IFERROR(INDEX('Données Piste'!$H$2:$H$501,$L$3)&amp;"","")="NC","☒","☐")&amp;" NC"&amp;"       "&amp;IF(IFERROR(INDEX('Données Piste'!$H$2:$H$501,$L$3)&amp;"","")="NA","☒","☐")&amp;" NA"</f>
        <v/>
      </c>
      <c r="H16" s="11" t="n"/>
      <c r="I16" s="11" t="n"/>
      <c r="J16" s="11" t="n"/>
    </row>
    <row r="17" ht="200" customHeight="1">
      <c r="A17" s="25">
        <f>"Remarques : "&amp;IFERROR(INDEX(Registre!$O$2:$O$2001,$L$2)&amp;"","")</f>
        <v/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24" customHeight="1">
      <c r="A18" s="12" t="inlineStr">
        <is>
          <t>Conclusion de l’inspection</t>
        </is>
      </c>
      <c r="B18" s="11" t="n"/>
      <c r="C18" s="21">
        <f>IF(IFERROR(INDEX(Registre!$N$2:$N$2001,$L$2)&amp;"","")="Non applicable","☒","☐")&amp;"  Non applicable"</f>
        <v/>
      </c>
      <c r="D18" s="11" t="n"/>
      <c r="E18" s="11" t="n"/>
      <c r="F18" s="11" t="n"/>
      <c r="G18" s="21">
        <f>IF(IFERROR(INDEX(Registre!$N$2:$N$2001,$L$2)&amp;"","")="Accepté","☒","☐")&amp;"  Accepté"</f>
        <v/>
      </c>
      <c r="H18" s="11" t="n"/>
      <c r="I18" s="21">
        <f>IF(IFERROR(INDEX(Registre!$N$2:$N$2001,$L$2)&amp;"","")="Rejeté","☒","☐")&amp;"  Rejeté"</f>
        <v/>
      </c>
      <c r="J18" s="11" t="n"/>
    </row>
    <row r="19">
      <c r="A19" s="12" t="inlineStr">
        <is>
          <t>APPROBATION</t>
        </is>
      </c>
      <c r="B19" s="11" t="n"/>
      <c r="C19" s="12" t="inlineStr">
        <is>
          <t>C3</t>
        </is>
      </c>
      <c r="D19" s="11" t="n"/>
      <c r="E19" s="11" t="n"/>
      <c r="F19" s="11" t="n"/>
      <c r="G19" s="12" t="inlineStr">
        <is>
          <t>C1</t>
        </is>
      </c>
      <c r="H19" s="11" t="n"/>
      <c r="I19" s="12" t="inlineStr">
        <is>
          <t>CA</t>
        </is>
      </c>
      <c r="J19" s="11" t="n"/>
    </row>
    <row r="20">
      <c r="A20" s="11" t="n"/>
      <c r="B20" s="11" t="n"/>
      <c r="C20" s="12" t="inlineStr">
        <is>
          <t>CST</t>
        </is>
      </c>
      <c r="D20" s="11" t="n"/>
      <c r="E20" s="12" t="inlineStr">
        <is>
          <t>QCI</t>
        </is>
      </c>
      <c r="F20" s="11" t="n"/>
      <c r="G20" s="11" t="n"/>
      <c r="H20" s="11" t="n"/>
      <c r="I20" s="11" t="n"/>
      <c r="J20" s="11" t="n"/>
    </row>
    <row r="21" ht="20" customHeight="1">
      <c r="A21" s="12" t="inlineStr">
        <is>
          <t>Nom</t>
        </is>
      </c>
      <c r="B21" s="11" t="n"/>
      <c r="C21" s="10" t="n"/>
      <c r="D21" s="11" t="n"/>
      <c r="E21" s="10" t="n"/>
      <c r="F21" s="11" t="n"/>
      <c r="G21" s="10" t="n"/>
      <c r="H21" s="11" t="n"/>
      <c r="I21" s="10" t="n"/>
      <c r="J21" s="11" t="n"/>
    </row>
    <row r="22" ht="30" customHeight="1">
      <c r="A22" s="12" t="inlineStr">
        <is>
          <t>Signature</t>
        </is>
      </c>
      <c r="B22" s="11" t="n"/>
      <c r="C22" s="10" t="n"/>
      <c r="D22" s="11" t="n"/>
      <c r="E22" s="10" t="n"/>
      <c r="F22" s="11" t="n"/>
      <c r="G22" s="10" t="n"/>
      <c r="H22" s="11" t="n"/>
      <c r="I22" s="10" t="n"/>
      <c r="J22" s="11" t="n"/>
    </row>
    <row r="23" ht="20" customHeight="1">
      <c r="A23" s="12" t="inlineStr">
        <is>
          <t>Date</t>
        </is>
      </c>
      <c r="B23" s="11" t="n"/>
      <c r="C23" s="10" t="n"/>
      <c r="D23" s="11" t="n"/>
      <c r="E23" s="10" t="n"/>
      <c r="F23" s="11" t="n"/>
      <c r="G23" s="10" t="n"/>
      <c r="H23" s="11" t="n"/>
      <c r="I23" s="10" t="n"/>
      <c r="J23" s="11" t="n"/>
    </row>
  </sheetData>
  <mergeCells count="56">
    <mergeCell ref="A9:H9"/>
    <mergeCell ref="A16:F16"/>
    <mergeCell ref="G21:H21"/>
    <mergeCell ref="A17:J17"/>
    <mergeCell ref="I2:J2"/>
    <mergeCell ref="C6:J6"/>
    <mergeCell ref="E23:F23"/>
    <mergeCell ref="A4:J4"/>
    <mergeCell ref="G16:J16"/>
    <mergeCell ref="A12:F12"/>
    <mergeCell ref="C1:H3"/>
    <mergeCell ref="C5:J5"/>
    <mergeCell ref="G23:H23"/>
    <mergeCell ref="C19:F19"/>
    <mergeCell ref="A10:J10"/>
    <mergeCell ref="A1:B3"/>
    <mergeCell ref="A6:B6"/>
    <mergeCell ref="C20:D20"/>
    <mergeCell ref="C18:F18"/>
    <mergeCell ref="E20:F20"/>
    <mergeCell ref="A7:B7"/>
    <mergeCell ref="A14:F14"/>
    <mergeCell ref="A19:B20"/>
    <mergeCell ref="G12:J12"/>
    <mergeCell ref="I19:J20"/>
    <mergeCell ref="C22:D22"/>
    <mergeCell ref="I22:J22"/>
    <mergeCell ref="A18:B18"/>
    <mergeCell ref="G18:H18"/>
    <mergeCell ref="I18:J18"/>
    <mergeCell ref="I3:J3"/>
    <mergeCell ref="A11:J11"/>
    <mergeCell ref="I21:J21"/>
    <mergeCell ref="A21:B21"/>
    <mergeCell ref="C21:D21"/>
    <mergeCell ref="A13:F13"/>
    <mergeCell ref="A5:B5"/>
    <mergeCell ref="H8:J8"/>
    <mergeCell ref="I23:J23"/>
    <mergeCell ref="A23:B23"/>
    <mergeCell ref="A8:B8"/>
    <mergeCell ref="C23:D23"/>
    <mergeCell ref="A15:F15"/>
    <mergeCell ref="C8:D8"/>
    <mergeCell ref="I1:J1"/>
    <mergeCell ref="A22:B22"/>
    <mergeCell ref="G13:J13"/>
    <mergeCell ref="C7:J7"/>
    <mergeCell ref="E8:G8"/>
    <mergeCell ref="G19:H20"/>
    <mergeCell ref="E22:F22"/>
    <mergeCell ref="G15:J15"/>
    <mergeCell ref="G22:H22"/>
    <mergeCell ref="I9:J9"/>
    <mergeCell ref="E21:F21"/>
    <mergeCell ref="G14:J14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=Liste_PIS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Paramètres!$C$5</f>
        <v/>
      </c>
      <c r="D1" s="11" t="n"/>
      <c r="E1" s="11" t="n"/>
      <c r="F1" s="11" t="n"/>
      <c r="G1" s="11" t="n"/>
      <c r="H1" s="11" t="n"/>
      <c r="I1" s="13">
        <f>Paramètres!$D$5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"&amp;Paramètres!$E$5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</row>
    <row r="4" ht="22" customHeight="1">
      <c r="A4" s="16" t="inlineStr">
        <is>
          <t>Procès-Verbal de transport et bardage Pipe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Registre",IF(INDEX(Registre!$A$2:$A$2001,$L$2)&lt;&gt;"Transport et bardage","⚠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DI/ (RFI) nº</t>
        </is>
      </c>
      <c r="F8" s="11" t="n"/>
      <c r="G8" s="11" t="n"/>
      <c r="H8" s="19" t="inlineStr">
        <is>
          <t>21063-G2-PPL-RFI-0050</t>
        </is>
      </c>
      <c r="I8" s="11" t="n"/>
      <c r="J8" s="11" t="n"/>
    </row>
    <row r="9" ht="20" customHeight="1">
      <c r="A9" s="17">
        <f>"Tronçon n° : "&amp;IFERROR(INDEX(Registre!$H$2:$H$2001,$L$2)&amp;"","")&amp;"   du "&amp;IF(IFERROR(INDEX(Registre!$I$2:$I$2001,$L$2)&amp;"","")&lt;&gt;"","Joint N° "&amp;IFERROR(INDEX(Registre!$I$2:$I$2001,$L$2)&amp;"","")&amp;"  ","")&amp;"PK "&amp;IFERROR(INDEX(Registre!$K$2:$K$2001,$L$2)&amp;"","")&amp;IF(OR(IFERROR(INDEX(Registre!$L$2:$L$2001,$L$2)&amp;"","")&lt;&gt;"",IFERROR(INDEX(Registre!$J$2:$J$2001,$L$2)&amp;"","")&lt;&gt;""),"   au "&amp;IF(IFERROR(INDEX(Registre!$J$2:$J$2001,$L$2)&amp;"","")&lt;&gt;"","Joint N° "&amp;IFERROR(INDEX(Registre!$J$2:$J$2001,$L$2)&amp;"","")&amp;"  ","")&amp;IF(IFERROR(INDEX(Registre!$L$2:$L$2001,$L$2)&amp;"","")&lt;&gt;"","PK "&amp;IFERROR(INDEX(Registre!$L$2:$L$2001,$L$2)&amp;"",""),""),"")</f>
        <v/>
      </c>
      <c r="B9" s="11" t="n"/>
      <c r="C9" s="11" t="n"/>
      <c r="D9" s="11" t="n"/>
      <c r="E9" s="11" t="n"/>
      <c r="F9" s="11" t="n"/>
      <c r="G9" s="11" t="n"/>
      <c r="H9" s="11" t="n"/>
      <c r="I9" s="10">
        <f>IF(IFERROR(INDEX(Registre!$M$2:$M$2001,$L$2)&amp;"","")="","Long :","Long : "&amp;IFERROR(INDEX(Registre!$M$2:$M$2001,$L$2)&amp;"","")&amp;" ml")</f>
        <v/>
      </c>
      <c r="J9" s="11" t="n"/>
    </row>
    <row r="10">
      <c r="A10" s="28" t="inlineStr">
        <is>
          <t>Inspection</t>
        </is>
      </c>
      <c r="B10" s="11" t="n"/>
      <c r="C10" s="11" t="n"/>
      <c r="D10" s="11" t="n"/>
      <c r="E10" s="11" t="n"/>
      <c r="F10" s="11" t="n"/>
      <c r="G10" s="11" t="n"/>
      <c r="H10" s="11" t="n"/>
      <c r="I10" s="28" t="inlineStr">
        <is>
          <t>jugement</t>
        </is>
      </c>
      <c r="J10" s="11" t="n"/>
    </row>
    <row r="11" ht="26" customHeight="1">
      <c r="A11" s="12" t="inlineStr">
        <is>
          <t>N°</t>
        </is>
      </c>
      <c r="B11" s="12" t="inlineStr">
        <is>
          <t>N° pipe</t>
        </is>
      </c>
      <c r="C11" s="12" t="inlineStr">
        <is>
          <t>N° de coulée</t>
        </is>
      </c>
      <c r="D11" s="12" t="inlineStr">
        <is>
          <t>Diamètre</t>
        </is>
      </c>
      <c r="E11" s="12" t="inlineStr">
        <is>
          <t>EP mm</t>
        </is>
      </c>
      <c r="F11" s="12" t="inlineStr">
        <is>
          <t>Long (ml)</t>
        </is>
      </c>
      <c r="G11" s="12" t="inlineStr">
        <is>
          <t>Contrôle visuel</t>
        </is>
      </c>
      <c r="H11" s="11" t="n"/>
      <c r="I11" s="12" t="inlineStr"/>
      <c r="J11" s="11" t="n"/>
    </row>
    <row r="12" ht="17" customHeight="1">
      <c r="A12" s="29">
        <f>IF(IFERROR(INDEX('Tubes Bardage'!$B$2:$B$501,MATCH($H$8&amp;"|1",'Tubes Bardage'!$I$2:$I$501,0))&amp;"","")="","",TEXT(1,"00"))</f>
        <v/>
      </c>
      <c r="B12" s="29">
        <f>IFERROR(INDEX('Tubes Bardage'!$B$2:$B$501,MATCH($H$8&amp;"|1",'Tubes Bardage'!$I$2:$I$501,0))&amp;"","")</f>
        <v/>
      </c>
      <c r="C12" s="29">
        <f>IFERROR(INDEX('Tubes Bardage'!$C$2:$C$501,MATCH($H$8&amp;"|1",'Tubes Bardage'!$I$2:$I$501,0))&amp;"","")</f>
        <v/>
      </c>
      <c r="D12" s="29">
        <f>IFERROR(INDEX('Tubes Bardage'!$D$2:$D$501,MATCH($H$8&amp;"|1",'Tubes Bardage'!$I$2:$I$501,0))&amp;"","")</f>
        <v/>
      </c>
      <c r="E12" s="29">
        <f>IFERROR(INDEX('Tubes Bardage'!$E$2:$E$501,MATCH($H$8&amp;"|1",'Tubes Bardage'!$I$2:$I$501,0))&amp;"","")</f>
        <v/>
      </c>
      <c r="F12" s="29">
        <f>IFERROR(INDEX('Tubes Bardage'!$F$2:$F$501,MATCH($H$8&amp;"|1",'Tubes Bardage'!$I$2:$I$501,0))&amp;"","")</f>
        <v/>
      </c>
      <c r="G12" s="29">
        <f>IFERROR(INDEX('Tubes Bardage'!$G$2:$G$501,MATCH($H$8&amp;"|1",'Tubes Bardage'!$I$2:$I$501,0))&amp;"","")</f>
        <v/>
      </c>
      <c r="H12" s="11" t="n"/>
      <c r="I12" s="29">
        <f>IF(IFERROR(INDEX('Tubes Bardage'!$H$2:$H$501,MATCH($H$8&amp;"|1",'Tubes Bardage'!$I$2:$I$501,0))&amp;"","")="C","☒","☐")&amp;" C"&amp;"      "&amp;IF(IFERROR(INDEX('Tubes Bardage'!$H$2:$H$501,MATCH($H$8&amp;"|1",'Tubes Bardage'!$I$2:$I$501,0))&amp;"","")="NC","☒","☐")&amp;" NC"</f>
        <v/>
      </c>
      <c r="J12" s="11" t="n"/>
    </row>
    <row r="13" ht="17" customHeight="1">
      <c r="A13" s="29">
        <f>IF(IFERROR(INDEX('Tubes Bardage'!$B$2:$B$501,MATCH($H$8&amp;"|2",'Tubes Bardage'!$I$2:$I$501,0))&amp;"","")="","",TEXT(2,"00"))</f>
        <v/>
      </c>
      <c r="B13" s="29">
        <f>IFERROR(INDEX('Tubes Bardage'!$B$2:$B$501,MATCH($H$8&amp;"|2",'Tubes Bardage'!$I$2:$I$501,0))&amp;"","")</f>
        <v/>
      </c>
      <c r="C13" s="29">
        <f>IFERROR(INDEX('Tubes Bardage'!$C$2:$C$501,MATCH($H$8&amp;"|2",'Tubes Bardage'!$I$2:$I$501,0))&amp;"","")</f>
        <v/>
      </c>
      <c r="D13" s="29">
        <f>IFERROR(INDEX('Tubes Bardage'!$D$2:$D$501,MATCH($H$8&amp;"|2",'Tubes Bardage'!$I$2:$I$501,0))&amp;"","")</f>
        <v/>
      </c>
      <c r="E13" s="29">
        <f>IFERROR(INDEX('Tubes Bardage'!$E$2:$E$501,MATCH($H$8&amp;"|2",'Tubes Bardage'!$I$2:$I$501,0))&amp;"","")</f>
        <v/>
      </c>
      <c r="F13" s="29">
        <f>IFERROR(INDEX('Tubes Bardage'!$F$2:$F$501,MATCH($H$8&amp;"|2",'Tubes Bardage'!$I$2:$I$501,0))&amp;"","")</f>
        <v/>
      </c>
      <c r="G13" s="29">
        <f>IFERROR(INDEX('Tubes Bardage'!$G$2:$G$501,MATCH($H$8&amp;"|2",'Tubes Bardage'!$I$2:$I$501,0))&amp;"","")</f>
        <v/>
      </c>
      <c r="H13" s="11" t="n"/>
      <c r="I13" s="29">
        <f>IF(IFERROR(INDEX('Tubes Bardage'!$H$2:$H$501,MATCH($H$8&amp;"|2",'Tubes Bardage'!$I$2:$I$501,0))&amp;"","")="C","☒","☐")&amp;" C"&amp;"      "&amp;IF(IFERROR(INDEX('Tubes Bardage'!$H$2:$H$501,MATCH($H$8&amp;"|2",'Tubes Bardage'!$I$2:$I$501,0))&amp;"","")="NC","☒","☐")&amp;" NC"</f>
        <v/>
      </c>
      <c r="J13" s="11" t="n"/>
    </row>
    <row r="14" ht="17" customHeight="1">
      <c r="A14" s="29">
        <f>IF(IFERROR(INDEX('Tubes Bardage'!$B$2:$B$501,MATCH($H$8&amp;"|3",'Tubes Bardage'!$I$2:$I$501,0))&amp;"","")="","",TEXT(3,"00"))</f>
        <v/>
      </c>
      <c r="B14" s="29">
        <f>IFERROR(INDEX('Tubes Bardage'!$B$2:$B$501,MATCH($H$8&amp;"|3",'Tubes Bardage'!$I$2:$I$501,0))&amp;"","")</f>
        <v/>
      </c>
      <c r="C14" s="29">
        <f>IFERROR(INDEX('Tubes Bardage'!$C$2:$C$501,MATCH($H$8&amp;"|3",'Tubes Bardage'!$I$2:$I$501,0))&amp;"","")</f>
        <v/>
      </c>
      <c r="D14" s="29">
        <f>IFERROR(INDEX('Tubes Bardage'!$D$2:$D$501,MATCH($H$8&amp;"|3",'Tubes Bardage'!$I$2:$I$501,0))&amp;"","")</f>
        <v/>
      </c>
      <c r="E14" s="29">
        <f>IFERROR(INDEX('Tubes Bardage'!$E$2:$E$501,MATCH($H$8&amp;"|3",'Tubes Bardage'!$I$2:$I$501,0))&amp;"","")</f>
        <v/>
      </c>
      <c r="F14" s="29">
        <f>IFERROR(INDEX('Tubes Bardage'!$F$2:$F$501,MATCH($H$8&amp;"|3",'Tubes Bardage'!$I$2:$I$501,0))&amp;"","")</f>
        <v/>
      </c>
      <c r="G14" s="29">
        <f>IFERROR(INDEX('Tubes Bardage'!$G$2:$G$501,MATCH($H$8&amp;"|3",'Tubes Bardage'!$I$2:$I$501,0))&amp;"","")</f>
        <v/>
      </c>
      <c r="H14" s="11" t="n"/>
      <c r="I14" s="29">
        <f>IF(IFERROR(INDEX('Tubes Bardage'!$H$2:$H$501,MATCH($H$8&amp;"|3",'Tubes Bardage'!$I$2:$I$501,0))&amp;"","")="C","☒","☐")&amp;" C"&amp;"      "&amp;IF(IFERROR(INDEX('Tubes Bardage'!$H$2:$H$501,MATCH($H$8&amp;"|3",'Tubes Bardage'!$I$2:$I$501,0))&amp;"","")="NC","☒","☐")&amp;" NC"</f>
        <v/>
      </c>
      <c r="J14" s="11" t="n"/>
    </row>
    <row r="15" ht="17" customHeight="1">
      <c r="A15" s="29">
        <f>IF(IFERROR(INDEX('Tubes Bardage'!$B$2:$B$501,MATCH($H$8&amp;"|4",'Tubes Bardage'!$I$2:$I$501,0))&amp;"","")="","",TEXT(4,"00"))</f>
        <v/>
      </c>
      <c r="B15" s="29">
        <f>IFERROR(INDEX('Tubes Bardage'!$B$2:$B$501,MATCH($H$8&amp;"|4",'Tubes Bardage'!$I$2:$I$501,0))&amp;"","")</f>
        <v/>
      </c>
      <c r="C15" s="29">
        <f>IFERROR(INDEX('Tubes Bardage'!$C$2:$C$501,MATCH($H$8&amp;"|4",'Tubes Bardage'!$I$2:$I$501,0))&amp;"","")</f>
        <v/>
      </c>
      <c r="D15" s="29">
        <f>IFERROR(INDEX('Tubes Bardage'!$D$2:$D$501,MATCH($H$8&amp;"|4",'Tubes Bardage'!$I$2:$I$501,0))&amp;"","")</f>
        <v/>
      </c>
      <c r="E15" s="29">
        <f>IFERROR(INDEX('Tubes Bardage'!$E$2:$E$501,MATCH($H$8&amp;"|4",'Tubes Bardage'!$I$2:$I$501,0))&amp;"","")</f>
        <v/>
      </c>
      <c r="F15" s="29">
        <f>IFERROR(INDEX('Tubes Bardage'!$F$2:$F$501,MATCH($H$8&amp;"|4",'Tubes Bardage'!$I$2:$I$501,0))&amp;"","")</f>
        <v/>
      </c>
      <c r="G15" s="29">
        <f>IFERROR(INDEX('Tubes Bardage'!$G$2:$G$501,MATCH($H$8&amp;"|4",'Tubes Bardage'!$I$2:$I$501,0))&amp;"","")</f>
        <v/>
      </c>
      <c r="H15" s="11" t="n"/>
      <c r="I15" s="29">
        <f>IF(IFERROR(INDEX('Tubes Bardage'!$H$2:$H$501,MATCH($H$8&amp;"|4",'Tubes Bardage'!$I$2:$I$501,0))&amp;"","")="C","☒","☐")&amp;" C"&amp;"      "&amp;IF(IFERROR(INDEX('Tubes Bardage'!$H$2:$H$501,MATCH($H$8&amp;"|4",'Tubes Bardage'!$I$2:$I$501,0))&amp;"","")="NC","☒","☐")&amp;" NC"</f>
        <v/>
      </c>
      <c r="J15" s="11" t="n"/>
    </row>
    <row r="16" ht="17" customHeight="1">
      <c r="A16" s="29">
        <f>IF(IFERROR(INDEX('Tubes Bardage'!$B$2:$B$501,MATCH($H$8&amp;"|5",'Tubes Bardage'!$I$2:$I$501,0))&amp;"","")="","",TEXT(5,"00"))</f>
        <v/>
      </c>
      <c r="B16" s="29">
        <f>IFERROR(INDEX('Tubes Bardage'!$B$2:$B$501,MATCH($H$8&amp;"|5",'Tubes Bardage'!$I$2:$I$501,0))&amp;"","")</f>
        <v/>
      </c>
      <c r="C16" s="29">
        <f>IFERROR(INDEX('Tubes Bardage'!$C$2:$C$501,MATCH($H$8&amp;"|5",'Tubes Bardage'!$I$2:$I$501,0))&amp;"","")</f>
        <v/>
      </c>
      <c r="D16" s="29">
        <f>IFERROR(INDEX('Tubes Bardage'!$D$2:$D$501,MATCH($H$8&amp;"|5",'Tubes Bardage'!$I$2:$I$501,0))&amp;"","")</f>
        <v/>
      </c>
      <c r="E16" s="29">
        <f>IFERROR(INDEX('Tubes Bardage'!$E$2:$E$501,MATCH($H$8&amp;"|5",'Tubes Bardage'!$I$2:$I$501,0))&amp;"","")</f>
        <v/>
      </c>
      <c r="F16" s="29">
        <f>IFERROR(INDEX('Tubes Bardage'!$F$2:$F$501,MATCH($H$8&amp;"|5",'Tubes Bardage'!$I$2:$I$501,0))&amp;"","")</f>
        <v/>
      </c>
      <c r="G16" s="29">
        <f>IFERROR(INDEX('Tubes Bardage'!$G$2:$G$501,MATCH($H$8&amp;"|5",'Tubes Bardage'!$I$2:$I$501,0))&amp;"","")</f>
        <v/>
      </c>
      <c r="H16" s="11" t="n"/>
      <c r="I16" s="29">
        <f>IF(IFERROR(INDEX('Tubes Bardage'!$H$2:$H$501,MATCH($H$8&amp;"|5",'Tubes Bardage'!$I$2:$I$501,0))&amp;"","")="C","☒","☐")&amp;" C"&amp;"      "&amp;IF(IFERROR(INDEX('Tubes Bardage'!$H$2:$H$501,MATCH($H$8&amp;"|5",'Tubes Bardage'!$I$2:$I$501,0))&amp;"","")="NC","☒","☐")&amp;" NC"</f>
        <v/>
      </c>
      <c r="J16" s="11" t="n"/>
    </row>
    <row r="17" ht="17" customHeight="1">
      <c r="A17" s="29">
        <f>IF(IFERROR(INDEX('Tubes Bardage'!$B$2:$B$501,MATCH($H$8&amp;"|6",'Tubes Bardage'!$I$2:$I$501,0))&amp;"","")="","",TEXT(6,"00"))</f>
        <v/>
      </c>
      <c r="B17" s="29">
        <f>IFERROR(INDEX('Tubes Bardage'!$B$2:$B$501,MATCH($H$8&amp;"|6",'Tubes Bardage'!$I$2:$I$501,0))&amp;"","")</f>
        <v/>
      </c>
      <c r="C17" s="29">
        <f>IFERROR(INDEX('Tubes Bardage'!$C$2:$C$501,MATCH($H$8&amp;"|6",'Tubes Bardage'!$I$2:$I$501,0))&amp;"","")</f>
        <v/>
      </c>
      <c r="D17" s="29">
        <f>IFERROR(INDEX('Tubes Bardage'!$D$2:$D$501,MATCH($H$8&amp;"|6",'Tubes Bardage'!$I$2:$I$501,0))&amp;"","")</f>
        <v/>
      </c>
      <c r="E17" s="29">
        <f>IFERROR(INDEX('Tubes Bardage'!$E$2:$E$501,MATCH($H$8&amp;"|6",'Tubes Bardage'!$I$2:$I$501,0))&amp;"","")</f>
        <v/>
      </c>
      <c r="F17" s="29">
        <f>IFERROR(INDEX('Tubes Bardage'!$F$2:$F$501,MATCH($H$8&amp;"|6",'Tubes Bardage'!$I$2:$I$501,0))&amp;"","")</f>
        <v/>
      </c>
      <c r="G17" s="29">
        <f>IFERROR(INDEX('Tubes Bardage'!$G$2:$G$501,MATCH($H$8&amp;"|6",'Tubes Bardage'!$I$2:$I$501,0))&amp;"","")</f>
        <v/>
      </c>
      <c r="H17" s="11" t="n"/>
      <c r="I17" s="29">
        <f>IF(IFERROR(INDEX('Tubes Bardage'!$H$2:$H$501,MATCH($H$8&amp;"|6",'Tubes Bardage'!$I$2:$I$501,0))&amp;"","")="C","☒","☐")&amp;" C"&amp;"      "&amp;IF(IFERROR(INDEX('Tubes Bardage'!$H$2:$H$501,MATCH($H$8&amp;"|6",'Tubes Bardage'!$I$2:$I$501,0))&amp;"","")="NC","☒","☐")&amp;" NC"</f>
        <v/>
      </c>
      <c r="J17" s="11" t="n"/>
    </row>
    <row r="18" ht="17" customHeight="1">
      <c r="A18" s="29">
        <f>IF(IFERROR(INDEX('Tubes Bardage'!$B$2:$B$501,MATCH($H$8&amp;"|7",'Tubes Bardage'!$I$2:$I$501,0))&amp;"","")="","",TEXT(7,"00"))</f>
        <v/>
      </c>
      <c r="B18" s="29">
        <f>IFERROR(INDEX('Tubes Bardage'!$B$2:$B$501,MATCH($H$8&amp;"|7",'Tubes Bardage'!$I$2:$I$501,0))&amp;"","")</f>
        <v/>
      </c>
      <c r="C18" s="29">
        <f>IFERROR(INDEX('Tubes Bardage'!$C$2:$C$501,MATCH($H$8&amp;"|7",'Tubes Bardage'!$I$2:$I$501,0))&amp;"","")</f>
        <v/>
      </c>
      <c r="D18" s="29">
        <f>IFERROR(INDEX('Tubes Bardage'!$D$2:$D$501,MATCH($H$8&amp;"|7",'Tubes Bardage'!$I$2:$I$501,0))&amp;"","")</f>
        <v/>
      </c>
      <c r="E18" s="29">
        <f>IFERROR(INDEX('Tubes Bardage'!$E$2:$E$501,MATCH($H$8&amp;"|7",'Tubes Bardage'!$I$2:$I$501,0))&amp;"","")</f>
        <v/>
      </c>
      <c r="F18" s="29">
        <f>IFERROR(INDEX('Tubes Bardage'!$F$2:$F$501,MATCH($H$8&amp;"|7",'Tubes Bardage'!$I$2:$I$501,0))&amp;"","")</f>
        <v/>
      </c>
      <c r="G18" s="29">
        <f>IFERROR(INDEX('Tubes Bardage'!$G$2:$G$501,MATCH($H$8&amp;"|7",'Tubes Bardage'!$I$2:$I$501,0))&amp;"","")</f>
        <v/>
      </c>
      <c r="H18" s="11" t="n"/>
      <c r="I18" s="29">
        <f>IF(IFERROR(INDEX('Tubes Bardage'!$H$2:$H$501,MATCH($H$8&amp;"|7",'Tubes Bardage'!$I$2:$I$501,0))&amp;"","")="C","☒","☐")&amp;" C"&amp;"      "&amp;IF(IFERROR(INDEX('Tubes Bardage'!$H$2:$H$501,MATCH($H$8&amp;"|7",'Tubes Bardage'!$I$2:$I$501,0))&amp;"","")="NC","☒","☐")&amp;" NC"</f>
        <v/>
      </c>
      <c r="J18" s="11" t="n"/>
    </row>
    <row r="19" ht="17" customHeight="1">
      <c r="A19" s="29">
        <f>IF(IFERROR(INDEX('Tubes Bardage'!$B$2:$B$501,MATCH($H$8&amp;"|8",'Tubes Bardage'!$I$2:$I$501,0))&amp;"","")="","",TEXT(8,"00"))</f>
        <v/>
      </c>
      <c r="B19" s="29">
        <f>IFERROR(INDEX('Tubes Bardage'!$B$2:$B$501,MATCH($H$8&amp;"|8",'Tubes Bardage'!$I$2:$I$501,0))&amp;"","")</f>
        <v/>
      </c>
      <c r="C19" s="29">
        <f>IFERROR(INDEX('Tubes Bardage'!$C$2:$C$501,MATCH($H$8&amp;"|8",'Tubes Bardage'!$I$2:$I$501,0))&amp;"","")</f>
        <v/>
      </c>
      <c r="D19" s="29">
        <f>IFERROR(INDEX('Tubes Bardage'!$D$2:$D$501,MATCH($H$8&amp;"|8",'Tubes Bardage'!$I$2:$I$501,0))&amp;"","")</f>
        <v/>
      </c>
      <c r="E19" s="29">
        <f>IFERROR(INDEX('Tubes Bardage'!$E$2:$E$501,MATCH($H$8&amp;"|8",'Tubes Bardage'!$I$2:$I$501,0))&amp;"","")</f>
        <v/>
      </c>
      <c r="F19" s="29">
        <f>IFERROR(INDEX('Tubes Bardage'!$F$2:$F$501,MATCH($H$8&amp;"|8",'Tubes Bardage'!$I$2:$I$501,0))&amp;"","")</f>
        <v/>
      </c>
      <c r="G19" s="29">
        <f>IFERROR(INDEX('Tubes Bardage'!$G$2:$G$501,MATCH($H$8&amp;"|8",'Tubes Bardage'!$I$2:$I$501,0))&amp;"","")</f>
        <v/>
      </c>
      <c r="H19" s="11" t="n"/>
      <c r="I19" s="29">
        <f>IF(IFERROR(INDEX('Tubes Bardage'!$H$2:$H$501,MATCH($H$8&amp;"|8",'Tubes Bardage'!$I$2:$I$501,0))&amp;"","")="C","☒","☐")&amp;" C"&amp;"      "&amp;IF(IFERROR(INDEX('Tubes Bardage'!$H$2:$H$501,MATCH($H$8&amp;"|8",'Tubes Bardage'!$I$2:$I$501,0))&amp;"","")="NC","☒","☐")&amp;" NC"</f>
        <v/>
      </c>
      <c r="J19" s="11" t="n"/>
    </row>
    <row r="20" ht="17" customHeight="1">
      <c r="A20" s="29">
        <f>IF(IFERROR(INDEX('Tubes Bardage'!$B$2:$B$501,MATCH($H$8&amp;"|9",'Tubes Bardage'!$I$2:$I$501,0))&amp;"","")="","",TEXT(9,"00"))</f>
        <v/>
      </c>
      <c r="B20" s="29">
        <f>IFERROR(INDEX('Tubes Bardage'!$B$2:$B$501,MATCH($H$8&amp;"|9",'Tubes Bardage'!$I$2:$I$501,0))&amp;"","")</f>
        <v/>
      </c>
      <c r="C20" s="29">
        <f>IFERROR(INDEX('Tubes Bardage'!$C$2:$C$501,MATCH($H$8&amp;"|9",'Tubes Bardage'!$I$2:$I$501,0))&amp;"","")</f>
        <v/>
      </c>
      <c r="D20" s="29">
        <f>IFERROR(INDEX('Tubes Bardage'!$D$2:$D$501,MATCH($H$8&amp;"|9",'Tubes Bardage'!$I$2:$I$501,0))&amp;"","")</f>
        <v/>
      </c>
      <c r="E20" s="29">
        <f>IFERROR(INDEX('Tubes Bardage'!$E$2:$E$501,MATCH($H$8&amp;"|9",'Tubes Bardage'!$I$2:$I$501,0))&amp;"","")</f>
        <v/>
      </c>
      <c r="F20" s="29">
        <f>IFERROR(INDEX('Tubes Bardage'!$F$2:$F$501,MATCH($H$8&amp;"|9",'Tubes Bardage'!$I$2:$I$501,0))&amp;"","")</f>
        <v/>
      </c>
      <c r="G20" s="29">
        <f>IFERROR(INDEX('Tubes Bardage'!$G$2:$G$501,MATCH($H$8&amp;"|9",'Tubes Bardage'!$I$2:$I$501,0))&amp;"","")</f>
        <v/>
      </c>
      <c r="H20" s="11" t="n"/>
      <c r="I20" s="29">
        <f>IF(IFERROR(INDEX('Tubes Bardage'!$H$2:$H$501,MATCH($H$8&amp;"|9",'Tubes Bardage'!$I$2:$I$501,0))&amp;"","")="C","☒","☐")&amp;" C"&amp;"      "&amp;IF(IFERROR(INDEX('Tubes Bardage'!$H$2:$H$501,MATCH($H$8&amp;"|9",'Tubes Bardage'!$I$2:$I$501,0))&amp;"","")="NC","☒","☐")&amp;" NC"</f>
        <v/>
      </c>
      <c r="J20" s="11" t="n"/>
    </row>
    <row r="21" ht="17" customHeight="1">
      <c r="A21" s="29">
        <f>IF(IFERROR(INDEX('Tubes Bardage'!$B$2:$B$501,MATCH($H$8&amp;"|10",'Tubes Bardage'!$I$2:$I$501,0))&amp;"","")="","",TEXT(10,"00"))</f>
        <v/>
      </c>
      <c r="B21" s="29">
        <f>IFERROR(INDEX('Tubes Bardage'!$B$2:$B$501,MATCH($H$8&amp;"|10",'Tubes Bardage'!$I$2:$I$501,0))&amp;"","")</f>
        <v/>
      </c>
      <c r="C21" s="29">
        <f>IFERROR(INDEX('Tubes Bardage'!$C$2:$C$501,MATCH($H$8&amp;"|10",'Tubes Bardage'!$I$2:$I$501,0))&amp;"","")</f>
        <v/>
      </c>
      <c r="D21" s="29">
        <f>IFERROR(INDEX('Tubes Bardage'!$D$2:$D$501,MATCH($H$8&amp;"|10",'Tubes Bardage'!$I$2:$I$501,0))&amp;"","")</f>
        <v/>
      </c>
      <c r="E21" s="29">
        <f>IFERROR(INDEX('Tubes Bardage'!$E$2:$E$501,MATCH($H$8&amp;"|10",'Tubes Bardage'!$I$2:$I$501,0))&amp;"","")</f>
        <v/>
      </c>
      <c r="F21" s="29">
        <f>IFERROR(INDEX('Tubes Bardage'!$F$2:$F$501,MATCH($H$8&amp;"|10",'Tubes Bardage'!$I$2:$I$501,0))&amp;"","")</f>
        <v/>
      </c>
      <c r="G21" s="29">
        <f>IFERROR(INDEX('Tubes Bardage'!$G$2:$G$501,MATCH($H$8&amp;"|10",'Tubes Bardage'!$I$2:$I$501,0))&amp;"","")</f>
        <v/>
      </c>
      <c r="H21" s="11" t="n"/>
      <c r="I21" s="29">
        <f>IF(IFERROR(INDEX('Tubes Bardage'!$H$2:$H$501,MATCH($H$8&amp;"|10",'Tubes Bardage'!$I$2:$I$501,0))&amp;"","")="C","☒","☐")&amp;" C"&amp;"      "&amp;IF(IFERROR(INDEX('Tubes Bardage'!$H$2:$H$501,MATCH($H$8&amp;"|10",'Tubes Bardage'!$I$2:$I$501,0))&amp;"","")="NC","☒","☐")&amp;" NC"</f>
        <v/>
      </c>
      <c r="J21" s="11" t="n"/>
    </row>
    <row r="22" ht="17" customHeight="1">
      <c r="A22" s="29">
        <f>IF(IFERROR(INDEX('Tubes Bardage'!$B$2:$B$501,MATCH($H$8&amp;"|11",'Tubes Bardage'!$I$2:$I$501,0))&amp;"","")="","",TEXT(11,"00"))</f>
        <v/>
      </c>
      <c r="B22" s="29">
        <f>IFERROR(INDEX('Tubes Bardage'!$B$2:$B$501,MATCH($H$8&amp;"|11",'Tubes Bardage'!$I$2:$I$501,0))&amp;"","")</f>
        <v/>
      </c>
      <c r="C22" s="29">
        <f>IFERROR(INDEX('Tubes Bardage'!$C$2:$C$501,MATCH($H$8&amp;"|11",'Tubes Bardage'!$I$2:$I$501,0))&amp;"","")</f>
        <v/>
      </c>
      <c r="D22" s="29">
        <f>IFERROR(INDEX('Tubes Bardage'!$D$2:$D$501,MATCH($H$8&amp;"|11",'Tubes Bardage'!$I$2:$I$501,0))&amp;"","")</f>
        <v/>
      </c>
      <c r="E22" s="29">
        <f>IFERROR(INDEX('Tubes Bardage'!$E$2:$E$501,MATCH($H$8&amp;"|11",'Tubes Bardage'!$I$2:$I$501,0))&amp;"","")</f>
        <v/>
      </c>
      <c r="F22" s="29">
        <f>IFERROR(INDEX('Tubes Bardage'!$F$2:$F$501,MATCH($H$8&amp;"|11",'Tubes Bardage'!$I$2:$I$501,0))&amp;"","")</f>
        <v/>
      </c>
      <c r="G22" s="29">
        <f>IFERROR(INDEX('Tubes Bardage'!$G$2:$G$501,MATCH($H$8&amp;"|11",'Tubes Bardage'!$I$2:$I$501,0))&amp;"","")</f>
        <v/>
      </c>
      <c r="H22" s="11" t="n"/>
      <c r="I22" s="29">
        <f>IF(IFERROR(INDEX('Tubes Bardage'!$H$2:$H$501,MATCH($H$8&amp;"|11",'Tubes Bardage'!$I$2:$I$501,0))&amp;"","")="C","☒","☐")&amp;" C"&amp;"      "&amp;IF(IFERROR(INDEX('Tubes Bardage'!$H$2:$H$501,MATCH($H$8&amp;"|11",'Tubes Bardage'!$I$2:$I$501,0))&amp;"","")="NC","☒","☐")&amp;" NC"</f>
        <v/>
      </c>
      <c r="J22" s="11" t="n"/>
    </row>
    <row r="23" ht="17" customHeight="1">
      <c r="A23" s="29">
        <f>IF(IFERROR(INDEX('Tubes Bardage'!$B$2:$B$501,MATCH($H$8&amp;"|12",'Tubes Bardage'!$I$2:$I$501,0))&amp;"","")="","",TEXT(12,"00"))</f>
        <v/>
      </c>
      <c r="B23" s="29">
        <f>IFERROR(INDEX('Tubes Bardage'!$B$2:$B$501,MATCH($H$8&amp;"|12",'Tubes Bardage'!$I$2:$I$501,0))&amp;"","")</f>
        <v/>
      </c>
      <c r="C23" s="29">
        <f>IFERROR(INDEX('Tubes Bardage'!$C$2:$C$501,MATCH($H$8&amp;"|12",'Tubes Bardage'!$I$2:$I$501,0))&amp;"","")</f>
        <v/>
      </c>
      <c r="D23" s="29">
        <f>IFERROR(INDEX('Tubes Bardage'!$D$2:$D$501,MATCH($H$8&amp;"|12",'Tubes Bardage'!$I$2:$I$501,0))&amp;"","")</f>
        <v/>
      </c>
      <c r="E23" s="29">
        <f>IFERROR(INDEX('Tubes Bardage'!$E$2:$E$501,MATCH($H$8&amp;"|12",'Tubes Bardage'!$I$2:$I$501,0))&amp;"","")</f>
        <v/>
      </c>
      <c r="F23" s="29">
        <f>IFERROR(INDEX('Tubes Bardage'!$F$2:$F$501,MATCH($H$8&amp;"|12",'Tubes Bardage'!$I$2:$I$501,0))&amp;"","")</f>
        <v/>
      </c>
      <c r="G23" s="29">
        <f>IFERROR(INDEX('Tubes Bardage'!$G$2:$G$501,MATCH($H$8&amp;"|12",'Tubes Bardage'!$I$2:$I$501,0))&amp;"","")</f>
        <v/>
      </c>
      <c r="H23" s="11" t="n"/>
      <c r="I23" s="29">
        <f>IF(IFERROR(INDEX('Tubes Bardage'!$H$2:$H$501,MATCH($H$8&amp;"|12",'Tubes Bardage'!$I$2:$I$501,0))&amp;"","")="C","☒","☐")&amp;" C"&amp;"      "&amp;IF(IFERROR(INDEX('Tubes Bardage'!$H$2:$H$501,MATCH($H$8&amp;"|12",'Tubes Bardage'!$I$2:$I$501,0))&amp;"","")="NC","☒","☐")&amp;" NC"</f>
        <v/>
      </c>
      <c r="J23" s="11" t="n"/>
    </row>
    <row r="24" ht="17" customHeight="1">
      <c r="A24" s="29">
        <f>IF(IFERROR(INDEX('Tubes Bardage'!$B$2:$B$501,MATCH($H$8&amp;"|13",'Tubes Bardage'!$I$2:$I$501,0))&amp;"","")="","",TEXT(13,"00"))</f>
        <v/>
      </c>
      <c r="B24" s="29">
        <f>IFERROR(INDEX('Tubes Bardage'!$B$2:$B$501,MATCH($H$8&amp;"|13",'Tubes Bardage'!$I$2:$I$501,0))&amp;"","")</f>
        <v/>
      </c>
      <c r="C24" s="29">
        <f>IFERROR(INDEX('Tubes Bardage'!$C$2:$C$501,MATCH($H$8&amp;"|13",'Tubes Bardage'!$I$2:$I$501,0))&amp;"","")</f>
        <v/>
      </c>
      <c r="D24" s="29">
        <f>IFERROR(INDEX('Tubes Bardage'!$D$2:$D$501,MATCH($H$8&amp;"|13",'Tubes Bardage'!$I$2:$I$501,0))&amp;"","")</f>
        <v/>
      </c>
      <c r="E24" s="29">
        <f>IFERROR(INDEX('Tubes Bardage'!$E$2:$E$501,MATCH($H$8&amp;"|13",'Tubes Bardage'!$I$2:$I$501,0))&amp;"","")</f>
        <v/>
      </c>
      <c r="F24" s="29">
        <f>IFERROR(INDEX('Tubes Bardage'!$F$2:$F$501,MATCH($H$8&amp;"|13",'Tubes Bardage'!$I$2:$I$501,0))&amp;"","")</f>
        <v/>
      </c>
      <c r="G24" s="29">
        <f>IFERROR(INDEX('Tubes Bardage'!$G$2:$G$501,MATCH($H$8&amp;"|13",'Tubes Bardage'!$I$2:$I$501,0))&amp;"","")</f>
        <v/>
      </c>
      <c r="H24" s="11" t="n"/>
      <c r="I24" s="29">
        <f>IF(IFERROR(INDEX('Tubes Bardage'!$H$2:$H$501,MATCH($H$8&amp;"|13",'Tubes Bardage'!$I$2:$I$501,0))&amp;"","")="C","☒","☐")&amp;" C"&amp;"      "&amp;IF(IFERROR(INDEX('Tubes Bardage'!$H$2:$H$501,MATCH($H$8&amp;"|13",'Tubes Bardage'!$I$2:$I$501,0))&amp;"","")="NC","☒","☐")&amp;" NC"</f>
        <v/>
      </c>
      <c r="J24" s="11" t="n"/>
    </row>
    <row r="25" ht="17" customHeight="1">
      <c r="A25" s="29">
        <f>IF(IFERROR(INDEX('Tubes Bardage'!$B$2:$B$501,MATCH($H$8&amp;"|14",'Tubes Bardage'!$I$2:$I$501,0))&amp;"","")="","",TEXT(14,"00"))</f>
        <v/>
      </c>
      <c r="B25" s="29">
        <f>IFERROR(INDEX('Tubes Bardage'!$B$2:$B$501,MATCH($H$8&amp;"|14",'Tubes Bardage'!$I$2:$I$501,0))&amp;"","")</f>
        <v/>
      </c>
      <c r="C25" s="29">
        <f>IFERROR(INDEX('Tubes Bardage'!$C$2:$C$501,MATCH($H$8&amp;"|14",'Tubes Bardage'!$I$2:$I$501,0))&amp;"","")</f>
        <v/>
      </c>
      <c r="D25" s="29">
        <f>IFERROR(INDEX('Tubes Bardage'!$D$2:$D$501,MATCH($H$8&amp;"|14",'Tubes Bardage'!$I$2:$I$501,0))&amp;"","")</f>
        <v/>
      </c>
      <c r="E25" s="29">
        <f>IFERROR(INDEX('Tubes Bardage'!$E$2:$E$501,MATCH($H$8&amp;"|14",'Tubes Bardage'!$I$2:$I$501,0))&amp;"","")</f>
        <v/>
      </c>
      <c r="F25" s="29">
        <f>IFERROR(INDEX('Tubes Bardage'!$F$2:$F$501,MATCH($H$8&amp;"|14",'Tubes Bardage'!$I$2:$I$501,0))&amp;"","")</f>
        <v/>
      </c>
      <c r="G25" s="29">
        <f>IFERROR(INDEX('Tubes Bardage'!$G$2:$G$501,MATCH($H$8&amp;"|14",'Tubes Bardage'!$I$2:$I$501,0))&amp;"","")</f>
        <v/>
      </c>
      <c r="H25" s="11" t="n"/>
      <c r="I25" s="29">
        <f>IF(IFERROR(INDEX('Tubes Bardage'!$H$2:$H$501,MATCH($H$8&amp;"|14",'Tubes Bardage'!$I$2:$I$501,0))&amp;"","")="C","☒","☐")&amp;" C"&amp;"      "&amp;IF(IFERROR(INDEX('Tubes Bardage'!$H$2:$H$501,MATCH($H$8&amp;"|14",'Tubes Bardage'!$I$2:$I$501,0))&amp;"","")="NC","☒","☐")&amp;" NC"</f>
        <v/>
      </c>
      <c r="J25" s="11" t="n"/>
    </row>
    <row r="26" ht="17" customHeight="1">
      <c r="A26" s="29">
        <f>IF(IFERROR(INDEX('Tubes Bardage'!$B$2:$B$501,MATCH($H$8&amp;"|15",'Tubes Bardage'!$I$2:$I$501,0))&amp;"","")="","",TEXT(15,"00"))</f>
        <v/>
      </c>
      <c r="B26" s="29">
        <f>IFERROR(INDEX('Tubes Bardage'!$B$2:$B$501,MATCH($H$8&amp;"|15",'Tubes Bardage'!$I$2:$I$501,0))&amp;"","")</f>
        <v/>
      </c>
      <c r="C26" s="29">
        <f>IFERROR(INDEX('Tubes Bardage'!$C$2:$C$501,MATCH($H$8&amp;"|15",'Tubes Bardage'!$I$2:$I$501,0))&amp;"","")</f>
        <v/>
      </c>
      <c r="D26" s="29">
        <f>IFERROR(INDEX('Tubes Bardage'!$D$2:$D$501,MATCH($H$8&amp;"|15",'Tubes Bardage'!$I$2:$I$501,0))&amp;"","")</f>
        <v/>
      </c>
      <c r="E26" s="29">
        <f>IFERROR(INDEX('Tubes Bardage'!$E$2:$E$501,MATCH($H$8&amp;"|15",'Tubes Bardage'!$I$2:$I$501,0))&amp;"","")</f>
        <v/>
      </c>
      <c r="F26" s="29">
        <f>IFERROR(INDEX('Tubes Bardage'!$F$2:$F$501,MATCH($H$8&amp;"|15",'Tubes Bardage'!$I$2:$I$501,0))&amp;"","")</f>
        <v/>
      </c>
      <c r="G26" s="29">
        <f>IFERROR(INDEX('Tubes Bardage'!$G$2:$G$501,MATCH($H$8&amp;"|15",'Tubes Bardage'!$I$2:$I$501,0))&amp;"","")</f>
        <v/>
      </c>
      <c r="H26" s="11" t="n"/>
      <c r="I26" s="29">
        <f>IF(IFERROR(INDEX('Tubes Bardage'!$H$2:$H$501,MATCH($H$8&amp;"|15",'Tubes Bardage'!$I$2:$I$501,0))&amp;"","")="C","☒","☐")&amp;" C"&amp;"      "&amp;IF(IFERROR(INDEX('Tubes Bardage'!$H$2:$H$501,MATCH($H$8&amp;"|15",'Tubes Bardage'!$I$2:$I$501,0))&amp;"","")="NC","☒","☐")&amp;" NC"</f>
        <v/>
      </c>
      <c r="J26" s="11" t="n"/>
    </row>
    <row r="27" ht="17" customHeight="1">
      <c r="A27" s="29">
        <f>IF(IFERROR(INDEX('Tubes Bardage'!$B$2:$B$501,MATCH($H$8&amp;"|16",'Tubes Bardage'!$I$2:$I$501,0))&amp;"","")="","",TEXT(16,"00"))</f>
        <v/>
      </c>
      <c r="B27" s="29">
        <f>IFERROR(INDEX('Tubes Bardage'!$B$2:$B$501,MATCH($H$8&amp;"|16",'Tubes Bardage'!$I$2:$I$501,0))&amp;"","")</f>
        <v/>
      </c>
      <c r="C27" s="29">
        <f>IFERROR(INDEX('Tubes Bardage'!$C$2:$C$501,MATCH($H$8&amp;"|16",'Tubes Bardage'!$I$2:$I$501,0))&amp;"","")</f>
        <v/>
      </c>
      <c r="D27" s="29">
        <f>IFERROR(INDEX('Tubes Bardage'!$D$2:$D$501,MATCH($H$8&amp;"|16",'Tubes Bardage'!$I$2:$I$501,0))&amp;"","")</f>
        <v/>
      </c>
      <c r="E27" s="29">
        <f>IFERROR(INDEX('Tubes Bardage'!$E$2:$E$501,MATCH($H$8&amp;"|16",'Tubes Bardage'!$I$2:$I$501,0))&amp;"","")</f>
        <v/>
      </c>
      <c r="F27" s="29">
        <f>IFERROR(INDEX('Tubes Bardage'!$F$2:$F$501,MATCH($H$8&amp;"|16",'Tubes Bardage'!$I$2:$I$501,0))&amp;"","")</f>
        <v/>
      </c>
      <c r="G27" s="29">
        <f>IFERROR(INDEX('Tubes Bardage'!$G$2:$G$501,MATCH($H$8&amp;"|16",'Tubes Bardage'!$I$2:$I$501,0))&amp;"","")</f>
        <v/>
      </c>
      <c r="H27" s="11" t="n"/>
      <c r="I27" s="29">
        <f>IF(IFERROR(INDEX('Tubes Bardage'!$H$2:$H$501,MATCH($H$8&amp;"|16",'Tubes Bardage'!$I$2:$I$501,0))&amp;"","")="C","☒","☐")&amp;" C"&amp;"      "&amp;IF(IFERROR(INDEX('Tubes Bardage'!$H$2:$H$501,MATCH($H$8&amp;"|16",'Tubes Bardage'!$I$2:$I$501,0))&amp;"","")="NC","☒","☐")&amp;" NC"</f>
        <v/>
      </c>
      <c r="J27" s="11" t="n"/>
    </row>
    <row r="28" ht="17" customHeight="1">
      <c r="A28" s="29">
        <f>IF(IFERROR(INDEX('Tubes Bardage'!$B$2:$B$501,MATCH($H$8&amp;"|17",'Tubes Bardage'!$I$2:$I$501,0))&amp;"","")="","",TEXT(17,"00"))</f>
        <v/>
      </c>
      <c r="B28" s="29">
        <f>IFERROR(INDEX('Tubes Bardage'!$B$2:$B$501,MATCH($H$8&amp;"|17",'Tubes Bardage'!$I$2:$I$501,0))&amp;"","")</f>
        <v/>
      </c>
      <c r="C28" s="29">
        <f>IFERROR(INDEX('Tubes Bardage'!$C$2:$C$501,MATCH($H$8&amp;"|17",'Tubes Bardage'!$I$2:$I$501,0))&amp;"","")</f>
        <v/>
      </c>
      <c r="D28" s="29">
        <f>IFERROR(INDEX('Tubes Bardage'!$D$2:$D$501,MATCH($H$8&amp;"|17",'Tubes Bardage'!$I$2:$I$501,0))&amp;"","")</f>
        <v/>
      </c>
      <c r="E28" s="29">
        <f>IFERROR(INDEX('Tubes Bardage'!$E$2:$E$501,MATCH($H$8&amp;"|17",'Tubes Bardage'!$I$2:$I$501,0))&amp;"","")</f>
        <v/>
      </c>
      <c r="F28" s="29">
        <f>IFERROR(INDEX('Tubes Bardage'!$F$2:$F$501,MATCH($H$8&amp;"|17",'Tubes Bardage'!$I$2:$I$501,0))&amp;"","")</f>
        <v/>
      </c>
      <c r="G28" s="29">
        <f>IFERROR(INDEX('Tubes Bardage'!$G$2:$G$501,MATCH($H$8&amp;"|17",'Tubes Bardage'!$I$2:$I$501,0))&amp;"","")</f>
        <v/>
      </c>
      <c r="H28" s="11" t="n"/>
      <c r="I28" s="29">
        <f>IF(IFERROR(INDEX('Tubes Bardage'!$H$2:$H$501,MATCH($H$8&amp;"|17",'Tubes Bardage'!$I$2:$I$501,0))&amp;"","")="C","☒","☐")&amp;" C"&amp;"      "&amp;IF(IFERROR(INDEX('Tubes Bardage'!$H$2:$H$501,MATCH($H$8&amp;"|17",'Tubes Bardage'!$I$2:$I$501,0))&amp;"","")="NC","☒","☐")&amp;" NC"</f>
        <v/>
      </c>
      <c r="J28" s="11" t="n"/>
    </row>
    <row r="29" ht="40" customHeight="1">
      <c r="A29" s="25">
        <f>"Remarques : "&amp;IFERROR(INDEX(Registre!$O$2:$O$2001,$L$2)&amp;"","")</f>
        <v/>
      </c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 ht="24" customHeight="1">
      <c r="A30" s="12" t="inlineStr">
        <is>
          <t>Conclusion de l’inspection</t>
        </is>
      </c>
      <c r="B30" s="11" t="n"/>
      <c r="C30" s="21">
        <f>IF(IFERROR(INDEX(Registre!$N$2:$N$2001,$L$2)&amp;"","")="Non applicable","☒","☐")&amp;"  Non applicable"</f>
        <v/>
      </c>
      <c r="D30" s="11" t="n"/>
      <c r="E30" s="11" t="n"/>
      <c r="F30" s="11" t="n"/>
      <c r="G30" s="21">
        <f>IF(IFERROR(INDEX(Registre!$N$2:$N$2001,$L$2)&amp;"","")="Accepté","☒","☐")&amp;"  Accepté"</f>
        <v/>
      </c>
      <c r="H30" s="11" t="n"/>
      <c r="I30" s="21">
        <f>IF(IFERROR(INDEX(Registre!$N$2:$N$2001,$L$2)&amp;"","")="Rejeté","☒","☐")&amp;"  Rejeté"</f>
        <v/>
      </c>
      <c r="J30" s="11" t="n"/>
    </row>
    <row r="31">
      <c r="A31" s="12" t="inlineStr">
        <is>
          <t>APPROBATION</t>
        </is>
      </c>
      <c r="B31" s="11" t="n"/>
      <c r="C31" s="12" t="inlineStr">
        <is>
          <t>C3</t>
        </is>
      </c>
      <c r="D31" s="11" t="n"/>
      <c r="E31" s="11" t="n"/>
      <c r="F31" s="11" t="n"/>
      <c r="G31" s="12" t="inlineStr">
        <is>
          <t>C1</t>
        </is>
      </c>
      <c r="H31" s="11" t="n"/>
      <c r="I31" s="12" t="inlineStr">
        <is>
          <t>CA</t>
        </is>
      </c>
      <c r="J31" s="11" t="n"/>
    </row>
    <row r="32">
      <c r="A32" s="11" t="n"/>
      <c r="B32" s="11" t="n"/>
      <c r="C32" s="12" t="inlineStr">
        <is>
          <t>CST</t>
        </is>
      </c>
      <c r="D32" s="11" t="n"/>
      <c r="E32" s="12" t="inlineStr">
        <is>
          <t>QCI</t>
        </is>
      </c>
      <c r="F32" s="11" t="n"/>
      <c r="G32" s="11" t="n"/>
      <c r="H32" s="11" t="n"/>
      <c r="I32" s="11" t="n"/>
      <c r="J32" s="11" t="n"/>
    </row>
    <row r="33" ht="20" customHeight="1">
      <c r="A33" s="12" t="inlineStr">
        <is>
          <t>Nom</t>
        </is>
      </c>
      <c r="B33" s="11" t="n"/>
      <c r="C33" s="10" t="n"/>
      <c r="D33" s="11" t="n"/>
      <c r="E33" s="10" t="n"/>
      <c r="F33" s="11" t="n"/>
      <c r="G33" s="10" t="n"/>
      <c r="H33" s="11" t="n"/>
      <c r="I33" s="10" t="n"/>
      <c r="J33" s="11" t="n"/>
    </row>
    <row r="34" ht="30" customHeight="1">
      <c r="A34" s="12" t="inlineStr">
        <is>
          <t>Signature</t>
        </is>
      </c>
      <c r="B34" s="11" t="n"/>
      <c r="C34" s="10" t="n"/>
      <c r="D34" s="11" t="n"/>
      <c r="E34" s="10" t="n"/>
      <c r="F34" s="11" t="n"/>
      <c r="G34" s="10" t="n"/>
      <c r="H34" s="11" t="n"/>
      <c r="I34" s="10" t="n"/>
      <c r="J34" s="11" t="n"/>
    </row>
    <row r="35" ht="20" customHeight="1">
      <c r="A35" s="12" t="inlineStr">
        <is>
          <t>Date</t>
        </is>
      </c>
      <c r="B35" s="11" t="n"/>
      <c r="C35" s="10" t="n"/>
      <c r="D35" s="11" t="n"/>
      <c r="E35" s="10" t="n"/>
      <c r="F35" s="11" t="n"/>
      <c r="G35" s="10" t="n"/>
      <c r="H35" s="11" t="n"/>
      <c r="I35" s="10" t="n"/>
      <c r="J35" s="11" t="n"/>
    </row>
  </sheetData>
  <mergeCells count="82">
    <mergeCell ref="G21:H21"/>
    <mergeCell ref="G23:H23"/>
    <mergeCell ref="I26:J26"/>
    <mergeCell ref="A7:B7"/>
    <mergeCell ref="I16:J16"/>
    <mergeCell ref="I25:J25"/>
    <mergeCell ref="G18:H18"/>
    <mergeCell ref="I18:J18"/>
    <mergeCell ref="E34:F34"/>
    <mergeCell ref="G34:H34"/>
    <mergeCell ref="A33:B33"/>
    <mergeCell ref="A35:B35"/>
    <mergeCell ref="G20:H20"/>
    <mergeCell ref="I20:J20"/>
    <mergeCell ref="I13:J13"/>
    <mergeCell ref="G22:H22"/>
    <mergeCell ref="I30:J30"/>
    <mergeCell ref="A30:B30"/>
    <mergeCell ref="G12:H12"/>
    <mergeCell ref="I15:J15"/>
    <mergeCell ref="A29:J29"/>
    <mergeCell ref="A4:J4"/>
    <mergeCell ref="C1:H3"/>
    <mergeCell ref="A1:B3"/>
    <mergeCell ref="C30:F30"/>
    <mergeCell ref="G24:H24"/>
    <mergeCell ref="I24:J24"/>
    <mergeCell ref="G33:H33"/>
    <mergeCell ref="A31:B32"/>
    <mergeCell ref="I33:J33"/>
    <mergeCell ref="A8:B8"/>
    <mergeCell ref="I17:J17"/>
    <mergeCell ref="G26:H26"/>
    <mergeCell ref="C8:D8"/>
    <mergeCell ref="G35:H35"/>
    <mergeCell ref="I35:J35"/>
    <mergeCell ref="G16:H16"/>
    <mergeCell ref="I10:J10"/>
    <mergeCell ref="G25:H25"/>
    <mergeCell ref="E8:G8"/>
    <mergeCell ref="I19:J19"/>
    <mergeCell ref="I9:J9"/>
    <mergeCell ref="A34:B34"/>
    <mergeCell ref="C34:D34"/>
    <mergeCell ref="I2:J2"/>
    <mergeCell ref="C6:J6"/>
    <mergeCell ref="G11:H11"/>
    <mergeCell ref="I11:J11"/>
    <mergeCell ref="G13:H13"/>
    <mergeCell ref="I31:J32"/>
    <mergeCell ref="I21:J21"/>
    <mergeCell ref="G15:H15"/>
    <mergeCell ref="A5:B5"/>
    <mergeCell ref="H8:J8"/>
    <mergeCell ref="G31:H32"/>
    <mergeCell ref="I23:J23"/>
    <mergeCell ref="C31:F31"/>
    <mergeCell ref="C32:D32"/>
    <mergeCell ref="E32:F32"/>
    <mergeCell ref="A10:H10"/>
    <mergeCell ref="A9:H9"/>
    <mergeCell ref="I34:J34"/>
    <mergeCell ref="C33:D33"/>
    <mergeCell ref="E33:F33"/>
    <mergeCell ref="G27:H27"/>
    <mergeCell ref="I27:J27"/>
    <mergeCell ref="C5:J5"/>
    <mergeCell ref="A6:B6"/>
    <mergeCell ref="G17:H17"/>
    <mergeCell ref="C35:D35"/>
    <mergeCell ref="E35:F35"/>
    <mergeCell ref="G19:H19"/>
    <mergeCell ref="G28:H28"/>
    <mergeCell ref="I22:J22"/>
    <mergeCell ref="I28:J28"/>
    <mergeCell ref="I3:J3"/>
    <mergeCell ref="I12:J12"/>
    <mergeCell ref="G30:H30"/>
    <mergeCell ref="G14:H14"/>
    <mergeCell ref="I14:J14"/>
    <mergeCell ref="I1:J1"/>
    <mergeCell ref="C7:J7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=Liste_BAR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Paramètres!$C$6</f>
        <v/>
      </c>
      <c r="D1" s="11" t="n"/>
      <c r="E1" s="11" t="n"/>
      <c r="F1" s="11" t="n"/>
      <c r="G1" s="11" t="n"/>
      <c r="H1" s="11" t="n"/>
      <c r="I1" s="13">
        <f>Paramètres!$D$6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"&amp;Paramètres!$E$6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  <c r="L3" s="15">
        <f>IFERROR(MATCH($H$8,'Données Cintrage'!$A$2:$A$501,0),0)</f>
        <v/>
      </c>
    </row>
    <row r="4" ht="22" customHeight="1">
      <c r="A4" s="16" t="inlineStr">
        <is>
          <t>Procès-Verbal De Cintrage Pipe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Registre",IF(INDEX(Registre!$A$2:$A$2001,$L$2)&lt;&gt;"Cintrage","⚠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DI/ (RFI) nº</t>
        </is>
      </c>
      <c r="F8" s="11" t="n"/>
      <c r="G8" s="11" t="n"/>
      <c r="H8" s="19" t="inlineStr">
        <is>
          <t>21063-G26-PPL-RFI-00188</t>
        </is>
      </c>
      <c r="I8" s="11" t="n"/>
      <c r="J8" s="11" t="n"/>
    </row>
    <row r="9">
      <c r="A9" s="28" t="inlineStr">
        <is>
          <t>Caractéristique De La Section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</row>
    <row r="10" ht="30" customHeight="1">
      <c r="A10" s="12" t="inlineStr">
        <is>
          <t>N° pipe</t>
        </is>
      </c>
      <c r="B10" s="11" t="n"/>
      <c r="C10" s="12" t="inlineStr">
        <is>
          <t>N° de coulée</t>
        </is>
      </c>
      <c r="D10" s="11" t="n"/>
      <c r="E10" s="12" t="inlineStr">
        <is>
          <t>Diamètre</t>
        </is>
      </c>
      <c r="F10" s="12" t="inlineStr">
        <is>
          <t>Matériel</t>
        </is>
      </c>
      <c r="G10" s="12" t="inlineStr">
        <is>
          <t>Epaisseur Nominale (mm)</t>
        </is>
      </c>
      <c r="H10" s="11" t="n"/>
      <c r="I10" s="12" t="inlineStr">
        <is>
          <t>Epaisseur Mesurée (mm)</t>
        </is>
      </c>
      <c r="J10" s="11" t="n"/>
    </row>
    <row r="11" ht="20" customHeight="1">
      <c r="A11" s="22">
        <f>IFERROR(INDEX('Données Cintrage'!$B$2:$B$501,$L$3)&amp;"","")</f>
        <v/>
      </c>
      <c r="B11" s="11" t="n"/>
      <c r="C11" s="22">
        <f>IFERROR(INDEX('Données Cintrage'!$C$2:$C$501,$L$3)&amp;"","")</f>
        <v/>
      </c>
      <c r="D11" s="11" t="n"/>
      <c r="E11" s="22">
        <f>IFERROR(INDEX('Données Cintrage'!$D$2:$D$501,$L$3)&amp;"","")</f>
        <v/>
      </c>
      <c r="F11" s="22">
        <f>IFERROR(INDEX('Données Cintrage'!$E$2:$E$501,$L$3)&amp;"","")</f>
        <v/>
      </c>
      <c r="G11" s="22">
        <f>IFERROR(INDEX('Données Cintrage'!$F$2:$F$501,$L$3)&amp;"","")</f>
        <v/>
      </c>
      <c r="H11" s="11" t="n"/>
      <c r="I11" s="22">
        <f>IFERROR(INDEX('Données Cintrage'!$G$2:$G$501,$L$3)&amp;"","")</f>
        <v/>
      </c>
      <c r="J11" s="11" t="n"/>
    </row>
    <row r="12" ht="20" customHeight="1">
      <c r="A12" s="10">
        <f>"Rayon de courbure : "&amp;IFERROR(INDEX('Données Cintrage'!$H$2:$H$501,$L$3)&amp;"","")</f>
        <v/>
      </c>
      <c r="B12" s="11" t="n"/>
      <c r="C12" s="11" t="n"/>
      <c r="D12" s="11" t="n"/>
      <c r="E12" s="11" t="n"/>
      <c r="F12" s="10">
        <f>"Angle : "&amp;IFERROR(INDEX('Données Cintrage'!$I$2:$I$501,$L$3)&amp;"","")</f>
        <v/>
      </c>
      <c r="G12" s="11" t="n"/>
      <c r="H12" s="11" t="n"/>
      <c r="I12" s="11" t="n"/>
      <c r="J12" s="11" t="n"/>
    </row>
    <row r="13" ht="20" customHeight="1">
      <c r="A13" s="10" t="inlineStr">
        <is>
          <t>Jauge 97 % ND interne appliqué</t>
        </is>
      </c>
      <c r="B13" s="11" t="n"/>
      <c r="C13" s="11" t="n"/>
      <c r="D13" s="11" t="n"/>
      <c r="E13" s="11" t="n"/>
      <c r="F13" s="22">
        <f>IF(IFERROR(INDEX('Données Cintrage'!$J$2:$J$501,$L$3)&amp;"","")="Oui","☒","☐")&amp;" Oui"&amp;"          "&amp;IF(IFERROR(INDEX('Données Cintrage'!$J$2:$J$501,$L$3)&amp;"","")="Non","☒","☐")&amp;" Non"</f>
        <v/>
      </c>
      <c r="G13" s="11" t="n"/>
      <c r="H13" s="11" t="n"/>
      <c r="I13" s="11" t="n"/>
      <c r="J13" s="11" t="n"/>
    </row>
    <row r="14">
      <c r="A14" s="28" t="inlineStr">
        <is>
          <t>Vérification de la section cintrée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8" customHeight="1">
      <c r="A15" s="30" t="inlineStr">
        <is>
          <t>Position longitudinale de la soudure</t>
        </is>
      </c>
      <c r="B15" s="11" t="n"/>
      <c r="C15" s="11" t="n"/>
      <c r="D15" s="11" t="n"/>
      <c r="E15" s="31">
        <f>"Extrémités rectilignes"&amp;CHAR(10)&amp;"&gt;= 1.5 m"&amp;CHAR(10)&amp;CHAR(10)&amp;CHAR(10)&amp;IF(IFERROR(INDEX('Données Cintrage'!$K$2:$K$501,$L$3)&amp;"","")="Oui","☒","☐")&amp;" Oui"&amp;"       "&amp;IF(IFERROR(INDEX('Données Cintrage'!$K$2:$K$501,$L$3)&amp;"","")="Non","☒","☐")&amp;" Non"</f>
        <v/>
      </c>
      <c r="F15" s="11" t="n"/>
      <c r="G15" s="11" t="n"/>
      <c r="H15" s="32">
        <f>"Traçabilité du pipe cintrée"&amp;CHAR(10)&amp;"Ligne, diamètre, angle"&amp;CHAR(10)&amp;"N du PK d’installation"&amp;CHAR(10)&amp;CHAR(10)&amp;IF(IFERROR(INDEX('Données Cintrage'!$L$2:$L$501,$L$3)&amp;"","")="C","☒","☐")&amp;" C"&amp;"       "&amp;IF(IFERROR(INDEX('Données Cintrage'!$L$2:$L$501,$L$3)&amp;"","")="NC","☒","☐")&amp;" NC"</f>
        <v/>
      </c>
      <c r="I15" s="11" t="n"/>
      <c r="J15" s="11" t="n"/>
    </row>
    <row r="16" ht="18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 ht="18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 ht="18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 ht="18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 ht="18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20" customHeight="1">
      <c r="A21" s="10" t="inlineStr">
        <is>
          <t>Évaluation générale</t>
        </is>
      </c>
      <c r="B21" s="11" t="n"/>
      <c r="C21" s="11" t="n"/>
      <c r="D21" s="11" t="n"/>
      <c r="E21" s="22">
        <f>IF(IFERROR(INDEX('Données Cintrage'!$M$2:$M$501,$L$3)&amp;"","")="Acc","☒","☐")&amp;" Acc"</f>
        <v/>
      </c>
      <c r="F21" s="11" t="n"/>
      <c r="G21" s="11" t="n"/>
      <c r="H21" s="22">
        <f>IF(IFERROR(INDEX('Données Cintrage'!$M$2:$M$501,$L$3)&amp;"","")="Rej","☒","☐")&amp;" Rej"</f>
        <v/>
      </c>
      <c r="I21" s="11" t="n"/>
      <c r="J21" s="11" t="n"/>
    </row>
    <row r="22" ht="110" customHeight="1">
      <c r="A22" s="25">
        <f>"Remarques : "&amp;IFERROR(INDEX(Registre!$O$2:$O$2001,$L$2)&amp;"","")</f>
        <v/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 ht="24" customHeight="1">
      <c r="A23" s="12" t="inlineStr">
        <is>
          <t>Conclusion de l’inspection</t>
        </is>
      </c>
      <c r="B23" s="11" t="n"/>
      <c r="C23" s="21">
        <f>IF(IFERROR(INDEX(Registre!$N$2:$N$2001,$L$2)&amp;"","")="Non applicable","☒","☐")&amp;"  Non applicable"</f>
        <v/>
      </c>
      <c r="D23" s="11" t="n"/>
      <c r="E23" s="11" t="n"/>
      <c r="F23" s="11" t="n"/>
      <c r="G23" s="21">
        <f>IF(IFERROR(INDEX(Registre!$N$2:$N$2001,$L$2)&amp;"","")="Accepté","☒","☐")&amp;"  Accepté"</f>
        <v/>
      </c>
      <c r="H23" s="11" t="n"/>
      <c r="I23" s="21">
        <f>IF(IFERROR(INDEX(Registre!$N$2:$N$2001,$L$2)&amp;"","")="Rejeté","☒","☐")&amp;"  Rejeté"</f>
        <v/>
      </c>
      <c r="J23" s="11" t="n"/>
    </row>
    <row r="24">
      <c r="A24" s="12" t="inlineStr">
        <is>
          <t>APPROBATION</t>
        </is>
      </c>
      <c r="B24" s="11" t="n"/>
      <c r="C24" s="12" t="inlineStr">
        <is>
          <t>C3</t>
        </is>
      </c>
      <c r="D24" s="11" t="n"/>
      <c r="E24" s="11" t="n"/>
      <c r="F24" s="11" t="n"/>
      <c r="G24" s="12" t="inlineStr">
        <is>
          <t>C1</t>
        </is>
      </c>
      <c r="H24" s="11" t="n"/>
      <c r="I24" s="12" t="inlineStr">
        <is>
          <t>CA</t>
        </is>
      </c>
      <c r="J24" s="11" t="n"/>
    </row>
    <row r="25">
      <c r="A25" s="11" t="n"/>
      <c r="B25" s="11" t="n"/>
      <c r="C25" s="12" t="inlineStr">
        <is>
          <t>CST</t>
        </is>
      </c>
      <c r="D25" s="11" t="n"/>
      <c r="E25" s="12" t="inlineStr">
        <is>
          <t>QCI</t>
        </is>
      </c>
      <c r="F25" s="11" t="n"/>
      <c r="G25" s="11" t="n"/>
      <c r="H25" s="11" t="n"/>
      <c r="I25" s="11" t="n"/>
      <c r="J25" s="11" t="n"/>
    </row>
    <row r="26" ht="20" customHeight="1">
      <c r="A26" s="12" t="inlineStr">
        <is>
          <t>Nom</t>
        </is>
      </c>
      <c r="B26" s="11" t="n"/>
      <c r="C26" s="10" t="n"/>
      <c r="D26" s="11" t="n"/>
      <c r="E26" s="10" t="n"/>
      <c r="F26" s="11" t="n"/>
      <c r="G26" s="10" t="n"/>
      <c r="H26" s="11" t="n"/>
      <c r="I26" s="10" t="n"/>
      <c r="J26" s="11" t="n"/>
    </row>
    <row r="27" ht="30" customHeight="1">
      <c r="A27" s="12" t="inlineStr">
        <is>
          <t>Signature</t>
        </is>
      </c>
      <c r="B27" s="11" t="n"/>
      <c r="C27" s="10" t="n"/>
      <c r="D27" s="11" t="n"/>
      <c r="E27" s="10" t="n"/>
      <c r="F27" s="11" t="n"/>
      <c r="G27" s="10" t="n"/>
      <c r="H27" s="11" t="n"/>
      <c r="I27" s="10" t="n"/>
      <c r="J27" s="11" t="n"/>
    </row>
    <row r="28" ht="20" customHeight="1">
      <c r="A28" s="12" t="inlineStr">
        <is>
          <t>Date</t>
        </is>
      </c>
      <c r="B28" s="11" t="n"/>
      <c r="C28" s="10" t="n"/>
      <c r="D28" s="11" t="n"/>
      <c r="E28" s="10" t="n"/>
      <c r="F28" s="11" t="n"/>
      <c r="G28" s="10" t="n"/>
      <c r="H28" s="11" t="n"/>
      <c r="I28" s="10" t="n"/>
      <c r="J28" s="11" t="n"/>
    </row>
  </sheetData>
  <mergeCells count="62">
    <mergeCell ref="C23:F23"/>
    <mergeCell ref="A14:J14"/>
    <mergeCell ref="A22:J22"/>
    <mergeCell ref="G24:H25"/>
    <mergeCell ref="I2:J2"/>
    <mergeCell ref="C6:J6"/>
    <mergeCell ref="A11:B11"/>
    <mergeCell ref="G11:H11"/>
    <mergeCell ref="I11:J11"/>
    <mergeCell ref="A15:D20"/>
    <mergeCell ref="I24:J25"/>
    <mergeCell ref="A4:J4"/>
    <mergeCell ref="G27:H27"/>
    <mergeCell ref="G23:H23"/>
    <mergeCell ref="C1:H3"/>
    <mergeCell ref="C5:J5"/>
    <mergeCell ref="I27:J27"/>
    <mergeCell ref="C26:D26"/>
    <mergeCell ref="A1:B3"/>
    <mergeCell ref="A6:B6"/>
    <mergeCell ref="I26:J26"/>
    <mergeCell ref="H15:J20"/>
    <mergeCell ref="C10:D10"/>
    <mergeCell ref="A7:B7"/>
    <mergeCell ref="F12:J12"/>
    <mergeCell ref="A9:J9"/>
    <mergeCell ref="G10:H10"/>
    <mergeCell ref="C25:D25"/>
    <mergeCell ref="E28:F28"/>
    <mergeCell ref="G28:H28"/>
    <mergeCell ref="I28:J28"/>
    <mergeCell ref="C24:F24"/>
    <mergeCell ref="A27:B27"/>
    <mergeCell ref="I3:J3"/>
    <mergeCell ref="A26:B26"/>
    <mergeCell ref="A12:E12"/>
    <mergeCell ref="C11:D11"/>
    <mergeCell ref="C27:D27"/>
    <mergeCell ref="A5:B5"/>
    <mergeCell ref="H8:J8"/>
    <mergeCell ref="E27:F27"/>
    <mergeCell ref="I23:J23"/>
    <mergeCell ref="E21:G21"/>
    <mergeCell ref="A23:B23"/>
    <mergeCell ref="E26:F26"/>
    <mergeCell ref="A8:B8"/>
    <mergeCell ref="F13:J13"/>
    <mergeCell ref="G26:H26"/>
    <mergeCell ref="C8:D8"/>
    <mergeCell ref="I1:J1"/>
    <mergeCell ref="A24:B25"/>
    <mergeCell ref="C7:J7"/>
    <mergeCell ref="E25:F25"/>
    <mergeCell ref="I10:J10"/>
    <mergeCell ref="E8:G8"/>
    <mergeCell ref="A10:B10"/>
    <mergeCell ref="A21:D21"/>
    <mergeCell ref="A28:B28"/>
    <mergeCell ref="C28:D28"/>
    <mergeCell ref="A13:E13"/>
    <mergeCell ref="E15:G20"/>
    <mergeCell ref="H21:J21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=Liste_CIN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O3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9" customWidth="1" min="8" max="8"/>
    <col width="15" customWidth="1" min="9" max="9"/>
    <col width="11" customWidth="1" min="10" max="10"/>
    <col width="10" customWidth="1" min="11" max="11"/>
    <col width="10" customWidth="1" min="12" max="12"/>
    <col width="18" customWidth="1" min="13" max="13"/>
    <col width="3" customWidth="1" min="14" max="14"/>
    <col width="42" customWidth="1" min="15" max="15"/>
  </cols>
  <sheetData>
    <row r="1" ht="22" customHeight="1">
      <c r="A1" s="10" t="n"/>
      <c r="B1" s="11" t="n"/>
      <c r="C1" s="12">
        <f>Paramètres!$C$7</f>
        <v/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3">
        <f>Paramètres!$D$7</f>
        <v/>
      </c>
      <c r="M1" s="11" t="n"/>
      <c r="O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3">
        <f>"Date: "&amp;Paramètres!$E$7</f>
        <v/>
      </c>
      <c r="M2" s="11" t="n"/>
      <c r="O2" s="15">
        <f>IFERROR(MATCH($K$7,Registre!$B$2:$B$2001,0),0)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3" t="inlineStr">
        <is>
          <t>Page 1/1</t>
        </is>
      </c>
      <c r="M3" s="11" t="n"/>
      <c r="O3" s="15">
        <f>IFERROR(MATCH($K$7,'Données Enrobage'!$A$2:$A$501,0),0)</f>
        <v/>
      </c>
    </row>
    <row r="4" ht="22" customHeight="1">
      <c r="A4" s="16" t="inlineStr">
        <is>
          <t>Procès-Verbal d’enrobage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O4" s="26">
        <f>IF($K$7="","",IF($O$2=0,"⚠ RFI absent du Registre",IF(INDEX(Registre!$A$2:$A$2001,$O$2)&lt;&gt;"Enrobage","⚠ Ce RFI est de type : "&amp;INDEX(Registre!$A$2:$A$2001,$O$2),"")))</f>
        <v/>
      </c>
    </row>
    <row r="5" ht="18" customHeight="1">
      <c r="A5" s="10">
        <f>"Ouvrages : "&amp;IFERROR(INDEX(Registre!$E$2:$E$2001,$O$2)&amp;"","")</f>
        <v/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0">
        <f>"Date : "&amp;IFERROR(TEXT(INDEX(Registre!$D$2:$D$2001,$O$2),"dd/mm/yyyy"),"")</f>
        <v/>
      </c>
      <c r="L5" s="11" t="n"/>
      <c r="M5" s="11" t="n"/>
    </row>
    <row r="6" ht="18" customHeight="1">
      <c r="A6" s="10">
        <f>"Désignation : "&amp;IFERROR(INDEX(Registre!$G$2:$G$2001,$O$2)&amp;"","")</f>
        <v/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O6" s="20" t="inlineStr">
        <is>
          <t>◀ Choisissez le RFI dans la case jaune</t>
        </is>
      </c>
    </row>
    <row r="7" ht="18" customHeight="1">
      <c r="A7" s="10">
        <f>"Plan Nº : "&amp;IFERROR(INDEX(Registre!$F$2:$F$2001,$O$2)&amp;"","")</f>
        <v/>
      </c>
      <c r="B7" s="11" t="n"/>
      <c r="C7" s="11" t="n"/>
      <c r="D7" s="11" t="n"/>
      <c r="E7" s="11" t="n"/>
      <c r="F7" s="11" t="n"/>
      <c r="G7" s="10">
        <f>"Report No : "&amp;IFERROR(INDEX(Registre!$C$2:$C$2001,$O$2)&amp;"","")</f>
        <v/>
      </c>
      <c r="H7" s="11" t="n"/>
      <c r="I7" s="27" t="inlineStr">
        <is>
          <t>DI/ (RFI) No :</t>
        </is>
      </c>
      <c r="J7" s="11" t="n"/>
      <c r="K7" s="19" t="inlineStr">
        <is>
          <t>21063-G26-PPL-RFI-0194</t>
        </is>
      </c>
      <c r="L7" s="11" t="n"/>
      <c r="M7" s="11" t="n"/>
    </row>
    <row r="8" ht="18" customHeight="1">
      <c r="A8" s="17">
        <f>"Tronçon N° : "&amp;IFERROR(INDEX(Registre!$H$2:$H$2001,$O$2)&amp;"","")&amp;"   du PK "&amp;IFERROR(INDEX(Registre!$K$2:$K$2001,$O$2)&amp;"","")&amp;"   au PK "&amp;IFERROR(INDEX(Registre!$L$2:$L$2001,$O$2)&amp;"","")</f>
        <v/>
      </c>
      <c r="B8" s="11" t="n"/>
      <c r="C8" s="11" t="n"/>
      <c r="D8" s="11" t="n"/>
      <c r="E8" s="11" t="n"/>
      <c r="F8" s="11" t="n"/>
      <c r="G8" s="10">
        <f>"Long : "&amp;IFERROR(INDEX(Registre!$M$2:$M$2001,$O$2)&amp;"","")&amp;" ml"</f>
        <v/>
      </c>
      <c r="H8" s="11" t="n"/>
      <c r="I8" s="21" t="inlineStr">
        <is>
          <t>CONDITIONS ENVIRONNEMENTALES</t>
        </is>
      </c>
      <c r="J8" s="11" t="n"/>
      <c r="K8" s="11" t="n"/>
      <c r="L8" s="11" t="n"/>
      <c r="M8" s="11" t="n"/>
    </row>
    <row r="9" ht="26" customHeight="1">
      <c r="A9" s="23" t="inlineStr">
        <is>
          <t>Abrasif</t>
        </is>
      </c>
      <c r="B9" s="11" t="n"/>
      <c r="C9" s="23">
        <f>"N° de lot : "&amp;IFERROR(INDEX('Données Enrobage'!$B$2:$B$501,$O$3)&amp;"","")</f>
        <v/>
      </c>
      <c r="D9" s="11" t="n"/>
      <c r="E9" s="11" t="n"/>
      <c r="F9" s="11" t="n"/>
      <c r="G9" s="11" t="n"/>
      <c r="H9" s="11" t="n"/>
      <c r="I9" s="33" t="inlineStr">
        <is>
          <t>Temp de l'air</t>
        </is>
      </c>
      <c r="J9" s="29">
        <f>IFERROR(INDEX('Données Enrobage'!$F$2:$F$501,$O$3)&amp;"","")</f>
        <v/>
      </c>
      <c r="K9" s="29">
        <f>IFERROR(INDEX('Données Enrobage'!$G$2:$G$501,$O$3)&amp;"","")</f>
        <v/>
      </c>
      <c r="L9" s="29">
        <f>IFERROR(INDEX('Données Enrobage'!$H$2:$H$501,$O$3)&amp;"","")</f>
        <v/>
      </c>
      <c r="M9" s="29">
        <f>IFERROR(INDEX('Données Enrobage'!$I$2:$I$501,$O$3)&amp;"","")</f>
        <v/>
      </c>
    </row>
    <row r="10" ht="26" customHeight="1">
      <c r="A10" s="23" t="inlineStr">
        <is>
          <t>Apprêt / FBE</t>
        </is>
      </c>
      <c r="B10" s="11" t="n"/>
      <c r="C10" s="23">
        <f>"N° de lot : "&amp;IFERROR(INDEX('Données Enrobage'!$C$2:$C$501,$O$3)&amp;"","")</f>
        <v/>
      </c>
      <c r="D10" s="11" t="n"/>
      <c r="E10" s="11" t="n"/>
      <c r="F10" s="11" t="n"/>
      <c r="G10" s="11" t="n"/>
      <c r="H10" s="11" t="n"/>
      <c r="I10" s="33" t="inlineStr">
        <is>
          <t>Point de rosée</t>
        </is>
      </c>
      <c r="J10" s="29">
        <f>IFERROR(INDEX('Données Enrobage'!$J$2:$J$501,$O$3)&amp;"","")</f>
        <v/>
      </c>
      <c r="K10" s="29">
        <f>IFERROR(INDEX('Données Enrobage'!$K$2:$K$501,$O$3)&amp;"","")</f>
        <v/>
      </c>
      <c r="L10" s="29">
        <f>IFERROR(INDEX('Données Enrobage'!$L$2:$L$501,$O$3)&amp;"","")</f>
        <v/>
      </c>
      <c r="M10" s="29">
        <f>IFERROR(INDEX('Données Enrobage'!$M$2:$M$501,$O$3)&amp;"","")</f>
        <v/>
      </c>
    </row>
    <row r="11" ht="26" customHeight="1">
      <c r="A11" s="23" t="inlineStr">
        <is>
          <t>HSS</t>
        </is>
      </c>
      <c r="B11" s="11" t="n"/>
      <c r="C11" s="23">
        <f>"N° de lot : "&amp;IFERROR(INDEX('Données Enrobage'!$D$2:$D$501,$O$3)&amp;"","")</f>
        <v/>
      </c>
      <c r="D11" s="11" t="n"/>
      <c r="E11" s="11" t="n"/>
      <c r="F11" s="11" t="n"/>
      <c r="G11" s="11" t="n"/>
      <c r="H11" s="11" t="n"/>
      <c r="I11" s="33" t="inlineStr">
        <is>
          <t>Humidité relative (RH)</t>
        </is>
      </c>
      <c r="J11" s="29">
        <f>IFERROR(INDEX('Données Enrobage'!$N$2:$N$501,$O$3)&amp;"","")</f>
        <v/>
      </c>
      <c r="K11" s="29">
        <f>IFERROR(INDEX('Données Enrobage'!$O$2:$O$501,$O$3)&amp;"","")</f>
        <v/>
      </c>
      <c r="L11" s="29">
        <f>IFERROR(INDEX('Données Enrobage'!$P$2:$P$501,$O$3)&amp;"","")</f>
        <v/>
      </c>
      <c r="M11" s="29">
        <f>IFERROR(INDEX('Données Enrobage'!$Q$2:$Q$501,$O$3)&amp;"","")</f>
        <v/>
      </c>
    </row>
    <row r="12" ht="26" customHeight="1">
      <c r="A12" s="23" t="inlineStr">
        <is>
          <t>Solvant</t>
        </is>
      </c>
      <c r="B12" s="11" t="n"/>
      <c r="C12" s="23">
        <f>"N° de lot : "&amp;IFERROR(INDEX('Données Enrobage'!$E$2:$E$501,$O$3)&amp;"","")</f>
        <v/>
      </c>
      <c r="D12" s="11" t="n"/>
      <c r="E12" s="11" t="n"/>
      <c r="F12" s="11" t="n"/>
      <c r="G12" s="11" t="n"/>
      <c r="H12" s="11" t="n"/>
      <c r="I12" s="33" t="inlineStr">
        <is>
          <t>Qualité de l'air comprimé</t>
        </is>
      </c>
      <c r="J12" s="29">
        <f>IFERROR(INDEX('Données Enrobage'!$R$2:$R$501,$O$3)&amp;"","")</f>
        <v/>
      </c>
      <c r="K12" s="29">
        <f>IFERROR(INDEX('Données Enrobage'!$S$2:$S$501,$O$3)&amp;"","")</f>
        <v/>
      </c>
      <c r="L12" s="29">
        <f>IFERROR(INDEX('Données Enrobage'!$T$2:$T$501,$O$3)&amp;"","")</f>
        <v/>
      </c>
      <c r="M12" s="29">
        <f>IFERROR(INDEX('Données Enrobage'!$U$2:$U$501,$O$3)&amp;"","")</f>
        <v/>
      </c>
    </row>
    <row r="13">
      <c r="A13" s="28" t="inlineStr">
        <is>
          <t>SURFACE PREPARATION</t>
        </is>
      </c>
      <c r="B13" s="11" t="n"/>
      <c r="C13" s="11" t="n"/>
      <c r="D13" s="11" t="n"/>
      <c r="E13" s="11" t="n"/>
      <c r="F13" s="11" t="n"/>
      <c r="G13" s="11" t="n"/>
      <c r="H13" s="28" t="inlineStr">
        <is>
          <t>FINAL INSPECTION AND TESTING</t>
        </is>
      </c>
      <c r="I13" s="11" t="n"/>
      <c r="J13" s="11" t="n"/>
      <c r="K13" s="11" t="n"/>
      <c r="L13" s="11" t="n"/>
      <c r="M13" s="11" t="n"/>
    </row>
    <row r="14" ht="52" customHeight="1">
      <c r="A14" s="13" t="inlineStr">
        <is>
          <t>N° de joint</t>
        </is>
      </c>
      <c r="B14" s="13" t="inlineStr">
        <is>
          <t>État de surface avant sablage</t>
        </is>
      </c>
      <c r="C14" s="13" t="inlineStr">
        <is>
          <t>Temp de surface</t>
        </is>
      </c>
      <c r="D14" s="13" t="inlineStr">
        <is>
          <t>Profil de sablage µm</t>
        </is>
      </c>
      <c r="E14" s="13" t="inlineStr">
        <is>
          <t>Chlorures en surface µg/cm²</t>
        </is>
      </c>
      <c r="F14" s="13" t="inlineStr">
        <is>
          <t>Test poussière (ruban adhésif)</t>
        </is>
      </c>
      <c r="G14" s="13" t="inlineStr">
        <is>
          <t>Température de préchauffage °C</t>
        </is>
      </c>
      <c r="H14" s="13" t="inlineStr">
        <is>
          <t>Visuel</t>
        </is>
      </c>
      <c r="I14" s="13" t="inlineStr">
        <is>
          <t>Test d'adhérence</t>
        </is>
      </c>
      <c r="J14" s="13" t="inlineStr">
        <is>
          <t>Détection de porosités (Holiday Test – 25 kV / 100)</t>
        </is>
      </c>
      <c r="K14" s="13" t="inlineStr">
        <is>
          <t>Accepté / Rejeté</t>
        </is>
      </c>
      <c r="L14" s="13" t="inlineStr">
        <is>
          <t>Remarques</t>
        </is>
      </c>
      <c r="M14" s="11" t="n"/>
    </row>
    <row r="15" ht="15" customHeight="1">
      <c r="A15" s="29">
        <f>IFERROR(INDEX('Joints Enrobage'!$B$2:$B$501,MATCH($K$7&amp;"|1",'Joints Enrobage'!$N$2:$N$501,0))&amp;"","")</f>
        <v/>
      </c>
      <c r="B15" s="29">
        <f>IFERROR(INDEX('Joints Enrobage'!$C$2:$C$501,MATCH($K$7&amp;"|1",'Joints Enrobage'!$N$2:$N$501,0))&amp;"","")</f>
        <v/>
      </c>
      <c r="C15" s="29">
        <f>IFERROR(INDEX('Joints Enrobage'!$D$2:$D$501,MATCH($K$7&amp;"|1",'Joints Enrobage'!$N$2:$N$501,0))&amp;"","")</f>
        <v/>
      </c>
      <c r="D15" s="29">
        <f>IFERROR(INDEX('Joints Enrobage'!$E$2:$E$501,MATCH($K$7&amp;"|1",'Joints Enrobage'!$N$2:$N$501,0))&amp;"","")</f>
        <v/>
      </c>
      <c r="E15" s="29">
        <f>IFERROR(INDEX('Joints Enrobage'!$F$2:$F$501,MATCH($K$7&amp;"|1",'Joints Enrobage'!$N$2:$N$501,0))&amp;"","")</f>
        <v/>
      </c>
      <c r="F15" s="29">
        <f>IFERROR(INDEX('Joints Enrobage'!$G$2:$G$501,MATCH($K$7&amp;"|1",'Joints Enrobage'!$N$2:$N$501,0))&amp;"","")</f>
        <v/>
      </c>
      <c r="G15" s="29">
        <f>IFERROR(INDEX('Joints Enrobage'!$H$2:$H$501,MATCH($K$7&amp;"|1",'Joints Enrobage'!$N$2:$N$501,0))&amp;"","")</f>
        <v/>
      </c>
      <c r="H15" s="29">
        <f>IFERROR(INDEX('Joints Enrobage'!$I$2:$I$501,MATCH($K$7&amp;"|1",'Joints Enrobage'!$N$2:$N$501,0))&amp;"","")</f>
        <v/>
      </c>
      <c r="I15" s="29">
        <f>IFERROR(INDEX('Joints Enrobage'!$J$2:$J$501,MATCH($K$7&amp;"|1",'Joints Enrobage'!$N$2:$N$501,0))&amp;"","")</f>
        <v/>
      </c>
      <c r="J15" s="29">
        <f>IFERROR(INDEX('Joints Enrobage'!$K$2:$K$501,MATCH($K$7&amp;"|1",'Joints Enrobage'!$N$2:$N$501,0))&amp;"","")</f>
        <v/>
      </c>
      <c r="K15" s="29">
        <f>IFERROR(INDEX('Joints Enrobage'!$L$2:$L$501,MATCH($K$7&amp;"|1",'Joints Enrobage'!$N$2:$N$501,0))&amp;"","")</f>
        <v/>
      </c>
      <c r="L15" s="29">
        <f>IFERROR(INDEX('Joints Enrobage'!$M$2:$M$501,MATCH($K$7&amp;"|1",'Joints Enrobage'!$N$2:$N$501,0))&amp;"","")</f>
        <v/>
      </c>
      <c r="M15" s="11" t="n"/>
    </row>
    <row r="16" ht="15" customHeight="1">
      <c r="A16" s="29">
        <f>IFERROR(INDEX('Joints Enrobage'!$B$2:$B$501,MATCH($K$7&amp;"|2",'Joints Enrobage'!$N$2:$N$501,0))&amp;"","")</f>
        <v/>
      </c>
      <c r="B16" s="29">
        <f>IFERROR(INDEX('Joints Enrobage'!$C$2:$C$501,MATCH($K$7&amp;"|2",'Joints Enrobage'!$N$2:$N$501,0))&amp;"","")</f>
        <v/>
      </c>
      <c r="C16" s="29">
        <f>IFERROR(INDEX('Joints Enrobage'!$D$2:$D$501,MATCH($K$7&amp;"|2",'Joints Enrobage'!$N$2:$N$501,0))&amp;"","")</f>
        <v/>
      </c>
      <c r="D16" s="29">
        <f>IFERROR(INDEX('Joints Enrobage'!$E$2:$E$501,MATCH($K$7&amp;"|2",'Joints Enrobage'!$N$2:$N$501,0))&amp;"","")</f>
        <v/>
      </c>
      <c r="E16" s="29">
        <f>IFERROR(INDEX('Joints Enrobage'!$F$2:$F$501,MATCH($K$7&amp;"|2",'Joints Enrobage'!$N$2:$N$501,0))&amp;"","")</f>
        <v/>
      </c>
      <c r="F16" s="29">
        <f>IFERROR(INDEX('Joints Enrobage'!$G$2:$G$501,MATCH($K$7&amp;"|2",'Joints Enrobage'!$N$2:$N$501,0))&amp;"","")</f>
        <v/>
      </c>
      <c r="G16" s="29">
        <f>IFERROR(INDEX('Joints Enrobage'!$H$2:$H$501,MATCH($K$7&amp;"|2",'Joints Enrobage'!$N$2:$N$501,0))&amp;"","")</f>
        <v/>
      </c>
      <c r="H16" s="29">
        <f>IFERROR(INDEX('Joints Enrobage'!$I$2:$I$501,MATCH($K$7&amp;"|2",'Joints Enrobage'!$N$2:$N$501,0))&amp;"","")</f>
        <v/>
      </c>
      <c r="I16" s="29">
        <f>IFERROR(INDEX('Joints Enrobage'!$J$2:$J$501,MATCH($K$7&amp;"|2",'Joints Enrobage'!$N$2:$N$501,0))&amp;"","")</f>
        <v/>
      </c>
      <c r="J16" s="29">
        <f>IFERROR(INDEX('Joints Enrobage'!$K$2:$K$501,MATCH($K$7&amp;"|2",'Joints Enrobage'!$N$2:$N$501,0))&amp;"","")</f>
        <v/>
      </c>
      <c r="K16" s="29">
        <f>IFERROR(INDEX('Joints Enrobage'!$L$2:$L$501,MATCH($K$7&amp;"|2",'Joints Enrobage'!$N$2:$N$501,0))&amp;"","")</f>
        <v/>
      </c>
      <c r="L16" s="29">
        <f>IFERROR(INDEX('Joints Enrobage'!$M$2:$M$501,MATCH($K$7&amp;"|2",'Joints Enrobage'!$N$2:$N$501,0))&amp;"","")</f>
        <v/>
      </c>
      <c r="M16" s="11" t="n"/>
    </row>
    <row r="17" ht="15" customHeight="1">
      <c r="A17" s="29">
        <f>IFERROR(INDEX('Joints Enrobage'!$B$2:$B$501,MATCH($K$7&amp;"|3",'Joints Enrobage'!$N$2:$N$501,0))&amp;"","")</f>
        <v/>
      </c>
      <c r="B17" s="29">
        <f>IFERROR(INDEX('Joints Enrobage'!$C$2:$C$501,MATCH($K$7&amp;"|3",'Joints Enrobage'!$N$2:$N$501,0))&amp;"","")</f>
        <v/>
      </c>
      <c r="C17" s="29">
        <f>IFERROR(INDEX('Joints Enrobage'!$D$2:$D$501,MATCH($K$7&amp;"|3",'Joints Enrobage'!$N$2:$N$501,0))&amp;"","")</f>
        <v/>
      </c>
      <c r="D17" s="29">
        <f>IFERROR(INDEX('Joints Enrobage'!$E$2:$E$501,MATCH($K$7&amp;"|3",'Joints Enrobage'!$N$2:$N$501,0))&amp;"","")</f>
        <v/>
      </c>
      <c r="E17" s="29">
        <f>IFERROR(INDEX('Joints Enrobage'!$F$2:$F$501,MATCH($K$7&amp;"|3",'Joints Enrobage'!$N$2:$N$501,0))&amp;"","")</f>
        <v/>
      </c>
      <c r="F17" s="29">
        <f>IFERROR(INDEX('Joints Enrobage'!$G$2:$G$501,MATCH($K$7&amp;"|3",'Joints Enrobage'!$N$2:$N$501,0))&amp;"","")</f>
        <v/>
      </c>
      <c r="G17" s="29">
        <f>IFERROR(INDEX('Joints Enrobage'!$H$2:$H$501,MATCH($K$7&amp;"|3",'Joints Enrobage'!$N$2:$N$501,0))&amp;"","")</f>
        <v/>
      </c>
      <c r="H17" s="29">
        <f>IFERROR(INDEX('Joints Enrobage'!$I$2:$I$501,MATCH($K$7&amp;"|3",'Joints Enrobage'!$N$2:$N$501,0))&amp;"","")</f>
        <v/>
      </c>
      <c r="I17" s="29">
        <f>IFERROR(INDEX('Joints Enrobage'!$J$2:$J$501,MATCH($K$7&amp;"|3",'Joints Enrobage'!$N$2:$N$501,0))&amp;"","")</f>
        <v/>
      </c>
      <c r="J17" s="29">
        <f>IFERROR(INDEX('Joints Enrobage'!$K$2:$K$501,MATCH($K$7&amp;"|3",'Joints Enrobage'!$N$2:$N$501,0))&amp;"","")</f>
        <v/>
      </c>
      <c r="K17" s="29">
        <f>IFERROR(INDEX('Joints Enrobage'!$L$2:$L$501,MATCH($K$7&amp;"|3",'Joints Enrobage'!$N$2:$N$501,0))&amp;"","")</f>
        <v/>
      </c>
      <c r="L17" s="29">
        <f>IFERROR(INDEX('Joints Enrobage'!$M$2:$M$501,MATCH($K$7&amp;"|3",'Joints Enrobage'!$N$2:$N$501,0))&amp;"","")</f>
        <v/>
      </c>
      <c r="M17" s="11" t="n"/>
    </row>
    <row r="18" ht="15" customHeight="1">
      <c r="A18" s="29">
        <f>IFERROR(INDEX('Joints Enrobage'!$B$2:$B$501,MATCH($K$7&amp;"|4",'Joints Enrobage'!$N$2:$N$501,0))&amp;"","")</f>
        <v/>
      </c>
      <c r="B18" s="29">
        <f>IFERROR(INDEX('Joints Enrobage'!$C$2:$C$501,MATCH($K$7&amp;"|4",'Joints Enrobage'!$N$2:$N$501,0))&amp;"","")</f>
        <v/>
      </c>
      <c r="C18" s="29">
        <f>IFERROR(INDEX('Joints Enrobage'!$D$2:$D$501,MATCH($K$7&amp;"|4",'Joints Enrobage'!$N$2:$N$501,0))&amp;"","")</f>
        <v/>
      </c>
      <c r="D18" s="29">
        <f>IFERROR(INDEX('Joints Enrobage'!$E$2:$E$501,MATCH($K$7&amp;"|4",'Joints Enrobage'!$N$2:$N$501,0))&amp;"","")</f>
        <v/>
      </c>
      <c r="E18" s="29">
        <f>IFERROR(INDEX('Joints Enrobage'!$F$2:$F$501,MATCH($K$7&amp;"|4",'Joints Enrobage'!$N$2:$N$501,0))&amp;"","")</f>
        <v/>
      </c>
      <c r="F18" s="29">
        <f>IFERROR(INDEX('Joints Enrobage'!$G$2:$G$501,MATCH($K$7&amp;"|4",'Joints Enrobage'!$N$2:$N$501,0))&amp;"","")</f>
        <v/>
      </c>
      <c r="G18" s="29">
        <f>IFERROR(INDEX('Joints Enrobage'!$H$2:$H$501,MATCH($K$7&amp;"|4",'Joints Enrobage'!$N$2:$N$501,0))&amp;"","")</f>
        <v/>
      </c>
      <c r="H18" s="29">
        <f>IFERROR(INDEX('Joints Enrobage'!$I$2:$I$501,MATCH($K$7&amp;"|4",'Joints Enrobage'!$N$2:$N$501,0))&amp;"","")</f>
        <v/>
      </c>
      <c r="I18" s="29">
        <f>IFERROR(INDEX('Joints Enrobage'!$J$2:$J$501,MATCH($K$7&amp;"|4",'Joints Enrobage'!$N$2:$N$501,0))&amp;"","")</f>
        <v/>
      </c>
      <c r="J18" s="29">
        <f>IFERROR(INDEX('Joints Enrobage'!$K$2:$K$501,MATCH($K$7&amp;"|4",'Joints Enrobage'!$N$2:$N$501,0))&amp;"","")</f>
        <v/>
      </c>
      <c r="K18" s="29">
        <f>IFERROR(INDEX('Joints Enrobage'!$L$2:$L$501,MATCH($K$7&amp;"|4",'Joints Enrobage'!$N$2:$N$501,0))&amp;"","")</f>
        <v/>
      </c>
      <c r="L18" s="29">
        <f>IFERROR(INDEX('Joints Enrobage'!$M$2:$M$501,MATCH($K$7&amp;"|4",'Joints Enrobage'!$N$2:$N$501,0))&amp;"","")</f>
        <v/>
      </c>
      <c r="M18" s="11" t="n"/>
    </row>
    <row r="19" ht="15" customHeight="1">
      <c r="A19" s="29">
        <f>IFERROR(INDEX('Joints Enrobage'!$B$2:$B$501,MATCH($K$7&amp;"|5",'Joints Enrobage'!$N$2:$N$501,0))&amp;"","")</f>
        <v/>
      </c>
      <c r="B19" s="29">
        <f>IFERROR(INDEX('Joints Enrobage'!$C$2:$C$501,MATCH($K$7&amp;"|5",'Joints Enrobage'!$N$2:$N$501,0))&amp;"","")</f>
        <v/>
      </c>
      <c r="C19" s="29">
        <f>IFERROR(INDEX('Joints Enrobage'!$D$2:$D$501,MATCH($K$7&amp;"|5",'Joints Enrobage'!$N$2:$N$501,0))&amp;"","")</f>
        <v/>
      </c>
      <c r="D19" s="29">
        <f>IFERROR(INDEX('Joints Enrobage'!$E$2:$E$501,MATCH($K$7&amp;"|5",'Joints Enrobage'!$N$2:$N$501,0))&amp;"","")</f>
        <v/>
      </c>
      <c r="E19" s="29">
        <f>IFERROR(INDEX('Joints Enrobage'!$F$2:$F$501,MATCH($K$7&amp;"|5",'Joints Enrobage'!$N$2:$N$501,0))&amp;"","")</f>
        <v/>
      </c>
      <c r="F19" s="29">
        <f>IFERROR(INDEX('Joints Enrobage'!$G$2:$G$501,MATCH($K$7&amp;"|5",'Joints Enrobage'!$N$2:$N$501,0))&amp;"","")</f>
        <v/>
      </c>
      <c r="G19" s="29">
        <f>IFERROR(INDEX('Joints Enrobage'!$H$2:$H$501,MATCH($K$7&amp;"|5",'Joints Enrobage'!$N$2:$N$501,0))&amp;"","")</f>
        <v/>
      </c>
      <c r="H19" s="29">
        <f>IFERROR(INDEX('Joints Enrobage'!$I$2:$I$501,MATCH($K$7&amp;"|5",'Joints Enrobage'!$N$2:$N$501,0))&amp;"","")</f>
        <v/>
      </c>
      <c r="I19" s="29">
        <f>IFERROR(INDEX('Joints Enrobage'!$J$2:$J$501,MATCH($K$7&amp;"|5",'Joints Enrobage'!$N$2:$N$501,0))&amp;"","")</f>
        <v/>
      </c>
      <c r="J19" s="29">
        <f>IFERROR(INDEX('Joints Enrobage'!$K$2:$K$501,MATCH($K$7&amp;"|5",'Joints Enrobage'!$N$2:$N$501,0))&amp;"","")</f>
        <v/>
      </c>
      <c r="K19" s="29">
        <f>IFERROR(INDEX('Joints Enrobage'!$L$2:$L$501,MATCH($K$7&amp;"|5",'Joints Enrobage'!$N$2:$N$501,0))&amp;"","")</f>
        <v/>
      </c>
      <c r="L19" s="29">
        <f>IFERROR(INDEX('Joints Enrobage'!$M$2:$M$501,MATCH($K$7&amp;"|5",'Joints Enrobage'!$N$2:$N$501,0))&amp;"","")</f>
        <v/>
      </c>
      <c r="M19" s="11" t="n"/>
    </row>
    <row r="20" ht="15" customHeight="1">
      <c r="A20" s="29">
        <f>IFERROR(INDEX('Joints Enrobage'!$B$2:$B$501,MATCH($K$7&amp;"|6",'Joints Enrobage'!$N$2:$N$501,0))&amp;"","")</f>
        <v/>
      </c>
      <c r="B20" s="29">
        <f>IFERROR(INDEX('Joints Enrobage'!$C$2:$C$501,MATCH($K$7&amp;"|6",'Joints Enrobage'!$N$2:$N$501,0))&amp;"","")</f>
        <v/>
      </c>
      <c r="C20" s="29">
        <f>IFERROR(INDEX('Joints Enrobage'!$D$2:$D$501,MATCH($K$7&amp;"|6",'Joints Enrobage'!$N$2:$N$501,0))&amp;"","")</f>
        <v/>
      </c>
      <c r="D20" s="29">
        <f>IFERROR(INDEX('Joints Enrobage'!$E$2:$E$501,MATCH($K$7&amp;"|6",'Joints Enrobage'!$N$2:$N$501,0))&amp;"","")</f>
        <v/>
      </c>
      <c r="E20" s="29">
        <f>IFERROR(INDEX('Joints Enrobage'!$F$2:$F$501,MATCH($K$7&amp;"|6",'Joints Enrobage'!$N$2:$N$501,0))&amp;"","")</f>
        <v/>
      </c>
      <c r="F20" s="29">
        <f>IFERROR(INDEX('Joints Enrobage'!$G$2:$G$501,MATCH($K$7&amp;"|6",'Joints Enrobage'!$N$2:$N$501,0))&amp;"","")</f>
        <v/>
      </c>
      <c r="G20" s="29">
        <f>IFERROR(INDEX('Joints Enrobage'!$H$2:$H$501,MATCH($K$7&amp;"|6",'Joints Enrobage'!$N$2:$N$501,0))&amp;"","")</f>
        <v/>
      </c>
      <c r="H20" s="29">
        <f>IFERROR(INDEX('Joints Enrobage'!$I$2:$I$501,MATCH($K$7&amp;"|6",'Joints Enrobage'!$N$2:$N$501,0))&amp;"","")</f>
        <v/>
      </c>
      <c r="I20" s="29">
        <f>IFERROR(INDEX('Joints Enrobage'!$J$2:$J$501,MATCH($K$7&amp;"|6",'Joints Enrobage'!$N$2:$N$501,0))&amp;"","")</f>
        <v/>
      </c>
      <c r="J20" s="29">
        <f>IFERROR(INDEX('Joints Enrobage'!$K$2:$K$501,MATCH($K$7&amp;"|6",'Joints Enrobage'!$N$2:$N$501,0))&amp;"","")</f>
        <v/>
      </c>
      <c r="K20" s="29">
        <f>IFERROR(INDEX('Joints Enrobage'!$L$2:$L$501,MATCH($K$7&amp;"|6",'Joints Enrobage'!$N$2:$N$501,0))&amp;"","")</f>
        <v/>
      </c>
      <c r="L20" s="29">
        <f>IFERROR(INDEX('Joints Enrobage'!$M$2:$M$501,MATCH($K$7&amp;"|6",'Joints Enrobage'!$N$2:$N$501,0))&amp;"","")</f>
        <v/>
      </c>
      <c r="M20" s="11" t="n"/>
    </row>
    <row r="21" ht="15" customHeight="1">
      <c r="A21" s="29">
        <f>IFERROR(INDEX('Joints Enrobage'!$B$2:$B$501,MATCH($K$7&amp;"|7",'Joints Enrobage'!$N$2:$N$501,0))&amp;"","")</f>
        <v/>
      </c>
      <c r="B21" s="29">
        <f>IFERROR(INDEX('Joints Enrobage'!$C$2:$C$501,MATCH($K$7&amp;"|7",'Joints Enrobage'!$N$2:$N$501,0))&amp;"","")</f>
        <v/>
      </c>
      <c r="C21" s="29">
        <f>IFERROR(INDEX('Joints Enrobage'!$D$2:$D$501,MATCH($K$7&amp;"|7",'Joints Enrobage'!$N$2:$N$501,0))&amp;"","")</f>
        <v/>
      </c>
      <c r="D21" s="29">
        <f>IFERROR(INDEX('Joints Enrobage'!$E$2:$E$501,MATCH($K$7&amp;"|7",'Joints Enrobage'!$N$2:$N$501,0))&amp;"","")</f>
        <v/>
      </c>
      <c r="E21" s="29">
        <f>IFERROR(INDEX('Joints Enrobage'!$F$2:$F$501,MATCH($K$7&amp;"|7",'Joints Enrobage'!$N$2:$N$501,0))&amp;"","")</f>
        <v/>
      </c>
      <c r="F21" s="29">
        <f>IFERROR(INDEX('Joints Enrobage'!$G$2:$G$501,MATCH($K$7&amp;"|7",'Joints Enrobage'!$N$2:$N$501,0))&amp;"","")</f>
        <v/>
      </c>
      <c r="G21" s="29">
        <f>IFERROR(INDEX('Joints Enrobage'!$H$2:$H$501,MATCH($K$7&amp;"|7",'Joints Enrobage'!$N$2:$N$501,0))&amp;"","")</f>
        <v/>
      </c>
      <c r="H21" s="29">
        <f>IFERROR(INDEX('Joints Enrobage'!$I$2:$I$501,MATCH($K$7&amp;"|7",'Joints Enrobage'!$N$2:$N$501,0))&amp;"","")</f>
        <v/>
      </c>
      <c r="I21" s="29">
        <f>IFERROR(INDEX('Joints Enrobage'!$J$2:$J$501,MATCH($K$7&amp;"|7",'Joints Enrobage'!$N$2:$N$501,0))&amp;"","")</f>
        <v/>
      </c>
      <c r="J21" s="29">
        <f>IFERROR(INDEX('Joints Enrobage'!$K$2:$K$501,MATCH($K$7&amp;"|7",'Joints Enrobage'!$N$2:$N$501,0))&amp;"","")</f>
        <v/>
      </c>
      <c r="K21" s="29">
        <f>IFERROR(INDEX('Joints Enrobage'!$L$2:$L$501,MATCH($K$7&amp;"|7",'Joints Enrobage'!$N$2:$N$501,0))&amp;"","")</f>
        <v/>
      </c>
      <c r="L21" s="29">
        <f>IFERROR(INDEX('Joints Enrobage'!$M$2:$M$501,MATCH($K$7&amp;"|7",'Joints Enrobage'!$N$2:$N$501,0))&amp;"","")</f>
        <v/>
      </c>
      <c r="M21" s="11" t="n"/>
    </row>
    <row r="22" ht="15" customHeight="1">
      <c r="A22" s="29">
        <f>IFERROR(INDEX('Joints Enrobage'!$B$2:$B$501,MATCH($K$7&amp;"|8",'Joints Enrobage'!$N$2:$N$501,0))&amp;"","")</f>
        <v/>
      </c>
      <c r="B22" s="29">
        <f>IFERROR(INDEX('Joints Enrobage'!$C$2:$C$501,MATCH($K$7&amp;"|8",'Joints Enrobage'!$N$2:$N$501,0))&amp;"","")</f>
        <v/>
      </c>
      <c r="C22" s="29">
        <f>IFERROR(INDEX('Joints Enrobage'!$D$2:$D$501,MATCH($K$7&amp;"|8",'Joints Enrobage'!$N$2:$N$501,0))&amp;"","")</f>
        <v/>
      </c>
      <c r="D22" s="29">
        <f>IFERROR(INDEX('Joints Enrobage'!$E$2:$E$501,MATCH($K$7&amp;"|8",'Joints Enrobage'!$N$2:$N$501,0))&amp;"","")</f>
        <v/>
      </c>
      <c r="E22" s="29">
        <f>IFERROR(INDEX('Joints Enrobage'!$F$2:$F$501,MATCH($K$7&amp;"|8",'Joints Enrobage'!$N$2:$N$501,0))&amp;"","")</f>
        <v/>
      </c>
      <c r="F22" s="29">
        <f>IFERROR(INDEX('Joints Enrobage'!$G$2:$G$501,MATCH($K$7&amp;"|8",'Joints Enrobage'!$N$2:$N$501,0))&amp;"","")</f>
        <v/>
      </c>
      <c r="G22" s="29">
        <f>IFERROR(INDEX('Joints Enrobage'!$H$2:$H$501,MATCH($K$7&amp;"|8",'Joints Enrobage'!$N$2:$N$501,0))&amp;"","")</f>
        <v/>
      </c>
      <c r="H22" s="29">
        <f>IFERROR(INDEX('Joints Enrobage'!$I$2:$I$501,MATCH($K$7&amp;"|8",'Joints Enrobage'!$N$2:$N$501,0))&amp;"","")</f>
        <v/>
      </c>
      <c r="I22" s="29">
        <f>IFERROR(INDEX('Joints Enrobage'!$J$2:$J$501,MATCH($K$7&amp;"|8",'Joints Enrobage'!$N$2:$N$501,0))&amp;"","")</f>
        <v/>
      </c>
      <c r="J22" s="29">
        <f>IFERROR(INDEX('Joints Enrobage'!$K$2:$K$501,MATCH($K$7&amp;"|8",'Joints Enrobage'!$N$2:$N$501,0))&amp;"","")</f>
        <v/>
      </c>
      <c r="K22" s="29">
        <f>IFERROR(INDEX('Joints Enrobage'!$L$2:$L$501,MATCH($K$7&amp;"|8",'Joints Enrobage'!$N$2:$N$501,0))&amp;"","")</f>
        <v/>
      </c>
      <c r="L22" s="29">
        <f>IFERROR(INDEX('Joints Enrobage'!$M$2:$M$501,MATCH($K$7&amp;"|8",'Joints Enrobage'!$N$2:$N$501,0))&amp;"","")</f>
        <v/>
      </c>
      <c r="M22" s="11" t="n"/>
    </row>
    <row r="23" ht="15" customHeight="1">
      <c r="A23" s="29">
        <f>IFERROR(INDEX('Joints Enrobage'!$B$2:$B$501,MATCH($K$7&amp;"|9",'Joints Enrobage'!$N$2:$N$501,0))&amp;"","")</f>
        <v/>
      </c>
      <c r="B23" s="29">
        <f>IFERROR(INDEX('Joints Enrobage'!$C$2:$C$501,MATCH($K$7&amp;"|9",'Joints Enrobage'!$N$2:$N$501,0))&amp;"","")</f>
        <v/>
      </c>
      <c r="C23" s="29">
        <f>IFERROR(INDEX('Joints Enrobage'!$D$2:$D$501,MATCH($K$7&amp;"|9",'Joints Enrobage'!$N$2:$N$501,0))&amp;"","")</f>
        <v/>
      </c>
      <c r="D23" s="29">
        <f>IFERROR(INDEX('Joints Enrobage'!$E$2:$E$501,MATCH($K$7&amp;"|9",'Joints Enrobage'!$N$2:$N$501,0))&amp;"","")</f>
        <v/>
      </c>
      <c r="E23" s="29">
        <f>IFERROR(INDEX('Joints Enrobage'!$F$2:$F$501,MATCH($K$7&amp;"|9",'Joints Enrobage'!$N$2:$N$501,0))&amp;"","")</f>
        <v/>
      </c>
      <c r="F23" s="29">
        <f>IFERROR(INDEX('Joints Enrobage'!$G$2:$G$501,MATCH($K$7&amp;"|9",'Joints Enrobage'!$N$2:$N$501,0))&amp;"","")</f>
        <v/>
      </c>
      <c r="G23" s="29">
        <f>IFERROR(INDEX('Joints Enrobage'!$H$2:$H$501,MATCH($K$7&amp;"|9",'Joints Enrobage'!$N$2:$N$501,0))&amp;"","")</f>
        <v/>
      </c>
      <c r="H23" s="29">
        <f>IFERROR(INDEX('Joints Enrobage'!$I$2:$I$501,MATCH($K$7&amp;"|9",'Joints Enrobage'!$N$2:$N$501,0))&amp;"","")</f>
        <v/>
      </c>
      <c r="I23" s="29">
        <f>IFERROR(INDEX('Joints Enrobage'!$J$2:$J$501,MATCH($K$7&amp;"|9",'Joints Enrobage'!$N$2:$N$501,0))&amp;"","")</f>
        <v/>
      </c>
      <c r="J23" s="29">
        <f>IFERROR(INDEX('Joints Enrobage'!$K$2:$K$501,MATCH($K$7&amp;"|9",'Joints Enrobage'!$N$2:$N$501,0))&amp;"","")</f>
        <v/>
      </c>
      <c r="K23" s="29">
        <f>IFERROR(INDEX('Joints Enrobage'!$L$2:$L$501,MATCH($K$7&amp;"|9",'Joints Enrobage'!$N$2:$N$501,0))&amp;"","")</f>
        <v/>
      </c>
      <c r="L23" s="29">
        <f>IFERROR(INDEX('Joints Enrobage'!$M$2:$M$501,MATCH($K$7&amp;"|9",'Joints Enrobage'!$N$2:$N$501,0))&amp;"","")</f>
        <v/>
      </c>
      <c r="M23" s="11" t="n"/>
    </row>
    <row r="24" ht="15" customHeight="1">
      <c r="A24" s="29">
        <f>IFERROR(INDEX('Joints Enrobage'!$B$2:$B$501,MATCH($K$7&amp;"|10",'Joints Enrobage'!$N$2:$N$501,0))&amp;"","")</f>
        <v/>
      </c>
      <c r="B24" s="29">
        <f>IFERROR(INDEX('Joints Enrobage'!$C$2:$C$501,MATCH($K$7&amp;"|10",'Joints Enrobage'!$N$2:$N$501,0))&amp;"","")</f>
        <v/>
      </c>
      <c r="C24" s="29">
        <f>IFERROR(INDEX('Joints Enrobage'!$D$2:$D$501,MATCH($K$7&amp;"|10",'Joints Enrobage'!$N$2:$N$501,0))&amp;"","")</f>
        <v/>
      </c>
      <c r="D24" s="29">
        <f>IFERROR(INDEX('Joints Enrobage'!$E$2:$E$501,MATCH($K$7&amp;"|10",'Joints Enrobage'!$N$2:$N$501,0))&amp;"","")</f>
        <v/>
      </c>
      <c r="E24" s="29">
        <f>IFERROR(INDEX('Joints Enrobage'!$F$2:$F$501,MATCH($K$7&amp;"|10",'Joints Enrobage'!$N$2:$N$501,0))&amp;"","")</f>
        <v/>
      </c>
      <c r="F24" s="29">
        <f>IFERROR(INDEX('Joints Enrobage'!$G$2:$G$501,MATCH($K$7&amp;"|10",'Joints Enrobage'!$N$2:$N$501,0))&amp;"","")</f>
        <v/>
      </c>
      <c r="G24" s="29">
        <f>IFERROR(INDEX('Joints Enrobage'!$H$2:$H$501,MATCH($K$7&amp;"|10",'Joints Enrobage'!$N$2:$N$501,0))&amp;"","")</f>
        <v/>
      </c>
      <c r="H24" s="29">
        <f>IFERROR(INDEX('Joints Enrobage'!$I$2:$I$501,MATCH($K$7&amp;"|10",'Joints Enrobage'!$N$2:$N$501,0))&amp;"","")</f>
        <v/>
      </c>
      <c r="I24" s="29">
        <f>IFERROR(INDEX('Joints Enrobage'!$J$2:$J$501,MATCH($K$7&amp;"|10",'Joints Enrobage'!$N$2:$N$501,0))&amp;"","")</f>
        <v/>
      </c>
      <c r="J24" s="29">
        <f>IFERROR(INDEX('Joints Enrobage'!$K$2:$K$501,MATCH($K$7&amp;"|10",'Joints Enrobage'!$N$2:$N$501,0))&amp;"","")</f>
        <v/>
      </c>
      <c r="K24" s="29">
        <f>IFERROR(INDEX('Joints Enrobage'!$L$2:$L$501,MATCH($K$7&amp;"|10",'Joints Enrobage'!$N$2:$N$501,0))&amp;"","")</f>
        <v/>
      </c>
      <c r="L24" s="29">
        <f>IFERROR(INDEX('Joints Enrobage'!$M$2:$M$501,MATCH($K$7&amp;"|10",'Joints Enrobage'!$N$2:$N$501,0))&amp;"","")</f>
        <v/>
      </c>
      <c r="M24" s="11" t="n"/>
    </row>
    <row r="25" ht="15" customHeight="1">
      <c r="A25" s="29">
        <f>IFERROR(INDEX('Joints Enrobage'!$B$2:$B$501,MATCH($K$7&amp;"|11",'Joints Enrobage'!$N$2:$N$501,0))&amp;"","")</f>
        <v/>
      </c>
      <c r="B25" s="29">
        <f>IFERROR(INDEX('Joints Enrobage'!$C$2:$C$501,MATCH($K$7&amp;"|11",'Joints Enrobage'!$N$2:$N$501,0))&amp;"","")</f>
        <v/>
      </c>
      <c r="C25" s="29">
        <f>IFERROR(INDEX('Joints Enrobage'!$D$2:$D$501,MATCH($K$7&amp;"|11",'Joints Enrobage'!$N$2:$N$501,0))&amp;"","")</f>
        <v/>
      </c>
      <c r="D25" s="29">
        <f>IFERROR(INDEX('Joints Enrobage'!$E$2:$E$501,MATCH($K$7&amp;"|11",'Joints Enrobage'!$N$2:$N$501,0))&amp;"","")</f>
        <v/>
      </c>
      <c r="E25" s="29">
        <f>IFERROR(INDEX('Joints Enrobage'!$F$2:$F$501,MATCH($K$7&amp;"|11",'Joints Enrobage'!$N$2:$N$501,0))&amp;"","")</f>
        <v/>
      </c>
      <c r="F25" s="29">
        <f>IFERROR(INDEX('Joints Enrobage'!$G$2:$G$501,MATCH($K$7&amp;"|11",'Joints Enrobage'!$N$2:$N$501,0))&amp;"","")</f>
        <v/>
      </c>
      <c r="G25" s="29">
        <f>IFERROR(INDEX('Joints Enrobage'!$H$2:$H$501,MATCH($K$7&amp;"|11",'Joints Enrobage'!$N$2:$N$501,0))&amp;"","")</f>
        <v/>
      </c>
      <c r="H25" s="29">
        <f>IFERROR(INDEX('Joints Enrobage'!$I$2:$I$501,MATCH($K$7&amp;"|11",'Joints Enrobage'!$N$2:$N$501,0))&amp;"","")</f>
        <v/>
      </c>
      <c r="I25" s="29">
        <f>IFERROR(INDEX('Joints Enrobage'!$J$2:$J$501,MATCH($K$7&amp;"|11",'Joints Enrobage'!$N$2:$N$501,0))&amp;"","")</f>
        <v/>
      </c>
      <c r="J25" s="29">
        <f>IFERROR(INDEX('Joints Enrobage'!$K$2:$K$501,MATCH($K$7&amp;"|11",'Joints Enrobage'!$N$2:$N$501,0))&amp;"","")</f>
        <v/>
      </c>
      <c r="K25" s="29">
        <f>IFERROR(INDEX('Joints Enrobage'!$L$2:$L$501,MATCH($K$7&amp;"|11",'Joints Enrobage'!$N$2:$N$501,0))&amp;"","")</f>
        <v/>
      </c>
      <c r="L25" s="29">
        <f>IFERROR(INDEX('Joints Enrobage'!$M$2:$M$501,MATCH($K$7&amp;"|11",'Joints Enrobage'!$N$2:$N$501,0))&amp;"","")</f>
        <v/>
      </c>
      <c r="M25" s="11" t="n"/>
    </row>
    <row r="26" ht="15" customHeight="1">
      <c r="A26" s="29">
        <f>IFERROR(INDEX('Joints Enrobage'!$B$2:$B$501,MATCH($K$7&amp;"|12",'Joints Enrobage'!$N$2:$N$501,0))&amp;"","")</f>
        <v/>
      </c>
      <c r="B26" s="29">
        <f>IFERROR(INDEX('Joints Enrobage'!$C$2:$C$501,MATCH($K$7&amp;"|12",'Joints Enrobage'!$N$2:$N$501,0))&amp;"","")</f>
        <v/>
      </c>
      <c r="C26" s="29">
        <f>IFERROR(INDEX('Joints Enrobage'!$D$2:$D$501,MATCH($K$7&amp;"|12",'Joints Enrobage'!$N$2:$N$501,0))&amp;"","")</f>
        <v/>
      </c>
      <c r="D26" s="29">
        <f>IFERROR(INDEX('Joints Enrobage'!$E$2:$E$501,MATCH($K$7&amp;"|12",'Joints Enrobage'!$N$2:$N$501,0))&amp;"","")</f>
        <v/>
      </c>
      <c r="E26" s="29">
        <f>IFERROR(INDEX('Joints Enrobage'!$F$2:$F$501,MATCH($K$7&amp;"|12",'Joints Enrobage'!$N$2:$N$501,0))&amp;"","")</f>
        <v/>
      </c>
      <c r="F26" s="29">
        <f>IFERROR(INDEX('Joints Enrobage'!$G$2:$G$501,MATCH($K$7&amp;"|12",'Joints Enrobage'!$N$2:$N$501,0))&amp;"","")</f>
        <v/>
      </c>
      <c r="G26" s="29">
        <f>IFERROR(INDEX('Joints Enrobage'!$H$2:$H$501,MATCH($K$7&amp;"|12",'Joints Enrobage'!$N$2:$N$501,0))&amp;"","")</f>
        <v/>
      </c>
      <c r="H26" s="29">
        <f>IFERROR(INDEX('Joints Enrobage'!$I$2:$I$501,MATCH($K$7&amp;"|12",'Joints Enrobage'!$N$2:$N$501,0))&amp;"","")</f>
        <v/>
      </c>
      <c r="I26" s="29">
        <f>IFERROR(INDEX('Joints Enrobage'!$J$2:$J$501,MATCH($K$7&amp;"|12",'Joints Enrobage'!$N$2:$N$501,0))&amp;"","")</f>
        <v/>
      </c>
      <c r="J26" s="29">
        <f>IFERROR(INDEX('Joints Enrobage'!$K$2:$K$501,MATCH($K$7&amp;"|12",'Joints Enrobage'!$N$2:$N$501,0))&amp;"","")</f>
        <v/>
      </c>
      <c r="K26" s="29">
        <f>IFERROR(INDEX('Joints Enrobage'!$L$2:$L$501,MATCH($K$7&amp;"|12",'Joints Enrobage'!$N$2:$N$501,0))&amp;"","")</f>
        <v/>
      </c>
      <c r="L26" s="29">
        <f>IFERROR(INDEX('Joints Enrobage'!$M$2:$M$501,MATCH($K$7&amp;"|12",'Joints Enrobage'!$N$2:$N$501,0))&amp;"","")</f>
        <v/>
      </c>
      <c r="M26" s="11" t="n"/>
    </row>
    <row r="27" ht="15" customHeight="1">
      <c r="A27" s="29">
        <f>IFERROR(INDEX('Joints Enrobage'!$B$2:$B$501,MATCH($K$7&amp;"|13",'Joints Enrobage'!$N$2:$N$501,0))&amp;"","")</f>
        <v/>
      </c>
      <c r="B27" s="29">
        <f>IFERROR(INDEX('Joints Enrobage'!$C$2:$C$501,MATCH($K$7&amp;"|13",'Joints Enrobage'!$N$2:$N$501,0))&amp;"","")</f>
        <v/>
      </c>
      <c r="C27" s="29">
        <f>IFERROR(INDEX('Joints Enrobage'!$D$2:$D$501,MATCH($K$7&amp;"|13",'Joints Enrobage'!$N$2:$N$501,0))&amp;"","")</f>
        <v/>
      </c>
      <c r="D27" s="29">
        <f>IFERROR(INDEX('Joints Enrobage'!$E$2:$E$501,MATCH($K$7&amp;"|13",'Joints Enrobage'!$N$2:$N$501,0))&amp;"","")</f>
        <v/>
      </c>
      <c r="E27" s="29">
        <f>IFERROR(INDEX('Joints Enrobage'!$F$2:$F$501,MATCH($K$7&amp;"|13",'Joints Enrobage'!$N$2:$N$501,0))&amp;"","")</f>
        <v/>
      </c>
      <c r="F27" s="29">
        <f>IFERROR(INDEX('Joints Enrobage'!$G$2:$G$501,MATCH($K$7&amp;"|13",'Joints Enrobage'!$N$2:$N$501,0))&amp;"","")</f>
        <v/>
      </c>
      <c r="G27" s="29">
        <f>IFERROR(INDEX('Joints Enrobage'!$H$2:$H$501,MATCH($K$7&amp;"|13",'Joints Enrobage'!$N$2:$N$501,0))&amp;"","")</f>
        <v/>
      </c>
      <c r="H27" s="29">
        <f>IFERROR(INDEX('Joints Enrobage'!$I$2:$I$501,MATCH($K$7&amp;"|13",'Joints Enrobage'!$N$2:$N$501,0))&amp;"","")</f>
        <v/>
      </c>
      <c r="I27" s="29">
        <f>IFERROR(INDEX('Joints Enrobage'!$J$2:$J$501,MATCH($K$7&amp;"|13",'Joints Enrobage'!$N$2:$N$501,0))&amp;"","")</f>
        <v/>
      </c>
      <c r="J27" s="29">
        <f>IFERROR(INDEX('Joints Enrobage'!$K$2:$K$501,MATCH($K$7&amp;"|13",'Joints Enrobage'!$N$2:$N$501,0))&amp;"","")</f>
        <v/>
      </c>
      <c r="K27" s="29">
        <f>IFERROR(INDEX('Joints Enrobage'!$L$2:$L$501,MATCH($K$7&amp;"|13",'Joints Enrobage'!$N$2:$N$501,0))&amp;"","")</f>
        <v/>
      </c>
      <c r="L27" s="29">
        <f>IFERROR(INDEX('Joints Enrobage'!$M$2:$M$501,MATCH($K$7&amp;"|13",'Joints Enrobage'!$N$2:$N$501,0))&amp;"","")</f>
        <v/>
      </c>
      <c r="M27" s="11" t="n"/>
    </row>
    <row r="28" ht="15" customHeight="1">
      <c r="A28" s="29">
        <f>IFERROR(INDEX('Joints Enrobage'!$B$2:$B$501,MATCH($K$7&amp;"|14",'Joints Enrobage'!$N$2:$N$501,0))&amp;"","")</f>
        <v/>
      </c>
      <c r="B28" s="29">
        <f>IFERROR(INDEX('Joints Enrobage'!$C$2:$C$501,MATCH($K$7&amp;"|14",'Joints Enrobage'!$N$2:$N$501,0))&amp;"","")</f>
        <v/>
      </c>
      <c r="C28" s="29">
        <f>IFERROR(INDEX('Joints Enrobage'!$D$2:$D$501,MATCH($K$7&amp;"|14",'Joints Enrobage'!$N$2:$N$501,0))&amp;"","")</f>
        <v/>
      </c>
      <c r="D28" s="29">
        <f>IFERROR(INDEX('Joints Enrobage'!$E$2:$E$501,MATCH($K$7&amp;"|14",'Joints Enrobage'!$N$2:$N$501,0))&amp;"","")</f>
        <v/>
      </c>
      <c r="E28" s="29">
        <f>IFERROR(INDEX('Joints Enrobage'!$F$2:$F$501,MATCH($K$7&amp;"|14",'Joints Enrobage'!$N$2:$N$501,0))&amp;"","")</f>
        <v/>
      </c>
      <c r="F28" s="29">
        <f>IFERROR(INDEX('Joints Enrobage'!$G$2:$G$501,MATCH($K$7&amp;"|14",'Joints Enrobage'!$N$2:$N$501,0))&amp;"","")</f>
        <v/>
      </c>
      <c r="G28" s="29">
        <f>IFERROR(INDEX('Joints Enrobage'!$H$2:$H$501,MATCH($K$7&amp;"|14",'Joints Enrobage'!$N$2:$N$501,0))&amp;"","")</f>
        <v/>
      </c>
      <c r="H28" s="29">
        <f>IFERROR(INDEX('Joints Enrobage'!$I$2:$I$501,MATCH($K$7&amp;"|14",'Joints Enrobage'!$N$2:$N$501,0))&amp;"","")</f>
        <v/>
      </c>
      <c r="I28" s="29">
        <f>IFERROR(INDEX('Joints Enrobage'!$J$2:$J$501,MATCH($K$7&amp;"|14",'Joints Enrobage'!$N$2:$N$501,0))&amp;"","")</f>
        <v/>
      </c>
      <c r="J28" s="29">
        <f>IFERROR(INDEX('Joints Enrobage'!$K$2:$K$501,MATCH($K$7&amp;"|14",'Joints Enrobage'!$N$2:$N$501,0))&amp;"","")</f>
        <v/>
      </c>
      <c r="K28" s="29">
        <f>IFERROR(INDEX('Joints Enrobage'!$L$2:$L$501,MATCH($K$7&amp;"|14",'Joints Enrobage'!$N$2:$N$501,0))&amp;"","")</f>
        <v/>
      </c>
      <c r="L28" s="29">
        <f>IFERROR(INDEX('Joints Enrobage'!$M$2:$M$501,MATCH($K$7&amp;"|14",'Joints Enrobage'!$N$2:$N$501,0))&amp;"","")</f>
        <v/>
      </c>
      <c r="M28" s="11" t="n"/>
    </row>
    <row r="29" ht="15" customHeight="1">
      <c r="A29" s="29">
        <f>IFERROR(INDEX('Joints Enrobage'!$B$2:$B$501,MATCH($K$7&amp;"|15",'Joints Enrobage'!$N$2:$N$501,0))&amp;"","")</f>
        <v/>
      </c>
      <c r="B29" s="29">
        <f>IFERROR(INDEX('Joints Enrobage'!$C$2:$C$501,MATCH($K$7&amp;"|15",'Joints Enrobage'!$N$2:$N$501,0))&amp;"","")</f>
        <v/>
      </c>
      <c r="C29" s="29">
        <f>IFERROR(INDEX('Joints Enrobage'!$D$2:$D$501,MATCH($K$7&amp;"|15",'Joints Enrobage'!$N$2:$N$501,0))&amp;"","")</f>
        <v/>
      </c>
      <c r="D29" s="29">
        <f>IFERROR(INDEX('Joints Enrobage'!$E$2:$E$501,MATCH($K$7&amp;"|15",'Joints Enrobage'!$N$2:$N$501,0))&amp;"","")</f>
        <v/>
      </c>
      <c r="E29" s="29">
        <f>IFERROR(INDEX('Joints Enrobage'!$F$2:$F$501,MATCH($K$7&amp;"|15",'Joints Enrobage'!$N$2:$N$501,0))&amp;"","")</f>
        <v/>
      </c>
      <c r="F29" s="29">
        <f>IFERROR(INDEX('Joints Enrobage'!$G$2:$G$501,MATCH($K$7&amp;"|15",'Joints Enrobage'!$N$2:$N$501,0))&amp;"","")</f>
        <v/>
      </c>
      <c r="G29" s="29">
        <f>IFERROR(INDEX('Joints Enrobage'!$H$2:$H$501,MATCH($K$7&amp;"|15",'Joints Enrobage'!$N$2:$N$501,0))&amp;"","")</f>
        <v/>
      </c>
      <c r="H29" s="29">
        <f>IFERROR(INDEX('Joints Enrobage'!$I$2:$I$501,MATCH($K$7&amp;"|15",'Joints Enrobage'!$N$2:$N$501,0))&amp;"","")</f>
        <v/>
      </c>
      <c r="I29" s="29">
        <f>IFERROR(INDEX('Joints Enrobage'!$J$2:$J$501,MATCH($K$7&amp;"|15",'Joints Enrobage'!$N$2:$N$501,0))&amp;"","")</f>
        <v/>
      </c>
      <c r="J29" s="29">
        <f>IFERROR(INDEX('Joints Enrobage'!$K$2:$K$501,MATCH($K$7&amp;"|15",'Joints Enrobage'!$N$2:$N$501,0))&amp;"","")</f>
        <v/>
      </c>
      <c r="K29" s="29">
        <f>IFERROR(INDEX('Joints Enrobage'!$L$2:$L$501,MATCH($K$7&amp;"|15",'Joints Enrobage'!$N$2:$N$501,0))&amp;"","")</f>
        <v/>
      </c>
      <c r="L29" s="29">
        <f>IFERROR(INDEX('Joints Enrobage'!$M$2:$M$501,MATCH($K$7&amp;"|15",'Joints Enrobage'!$N$2:$N$501,0))&amp;"","")</f>
        <v/>
      </c>
      <c r="M29" s="11" t="n"/>
    </row>
    <row r="30" ht="30" customHeight="1">
      <c r="A30" s="25">
        <f>"Remarques : "&amp;IFERROR(INDEX(Registre!$O$2:$O$2001,$O$2)&amp;"","")</f>
        <v/>
      </c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 ht="24" customHeight="1">
      <c r="A31" s="12" t="inlineStr">
        <is>
          <t>Conclusion de l’inspection</t>
        </is>
      </c>
      <c r="B31" s="11" t="n"/>
      <c r="C31" s="11" t="n"/>
      <c r="D31" s="21">
        <f>IF(IFERROR(INDEX(Registre!$N$2:$N$2001,$O$2)&amp;"","")="Non applicable","☒","☐")&amp;"  Non applicable"</f>
        <v/>
      </c>
      <c r="E31" s="11" t="n"/>
      <c r="F31" s="11" t="n"/>
      <c r="G31" s="11" t="n"/>
      <c r="H31" s="11" t="n"/>
      <c r="I31" s="11" t="n"/>
      <c r="J31" s="21">
        <f>IF(IFERROR(INDEX(Registre!$N$2:$N$2001,$O$2)&amp;"","")="Accepté","☒","☐")&amp;"  Accepté"</f>
        <v/>
      </c>
      <c r="K31" s="11" t="n"/>
      <c r="L31" s="21">
        <f>IF(IFERROR(INDEX(Registre!$N$2:$N$2001,$O$2)&amp;"","")="Rejeté","☒","☐")&amp;"  Rejeté"</f>
        <v/>
      </c>
      <c r="M31" s="11" t="n"/>
    </row>
    <row r="32">
      <c r="A32" s="12" t="inlineStr">
        <is>
          <t>APPROBATION</t>
        </is>
      </c>
      <c r="B32" s="11" t="n"/>
      <c r="C32" s="11" t="n"/>
      <c r="D32" s="12" t="inlineStr">
        <is>
          <t>C3</t>
        </is>
      </c>
      <c r="E32" s="11" t="n"/>
      <c r="F32" s="11" t="n"/>
      <c r="G32" s="11" t="n"/>
      <c r="H32" s="11" t="n"/>
      <c r="I32" s="11" t="n"/>
      <c r="J32" s="12" t="inlineStr">
        <is>
          <t>C1</t>
        </is>
      </c>
      <c r="K32" s="11" t="n"/>
      <c r="L32" s="12" t="inlineStr">
        <is>
          <t>CA</t>
        </is>
      </c>
      <c r="M32" s="11" t="n"/>
    </row>
    <row r="33">
      <c r="A33" s="11" t="n"/>
      <c r="B33" s="11" t="n"/>
      <c r="C33" s="11" t="n"/>
      <c r="D33" s="12" t="inlineStr">
        <is>
          <t>CST</t>
        </is>
      </c>
      <c r="E33" s="11" t="n"/>
      <c r="F33" s="11" t="n"/>
      <c r="G33" s="12" t="inlineStr">
        <is>
          <t>QCI</t>
        </is>
      </c>
      <c r="H33" s="11" t="n"/>
      <c r="I33" s="11" t="n"/>
      <c r="J33" s="11" t="n"/>
      <c r="K33" s="11" t="n"/>
      <c r="L33" s="11" t="n"/>
      <c r="M33" s="11" t="n"/>
    </row>
    <row r="34" ht="20" customHeight="1">
      <c r="A34" s="12" t="inlineStr">
        <is>
          <t>Nom</t>
        </is>
      </c>
      <c r="B34" s="11" t="n"/>
      <c r="C34" s="11" t="n"/>
      <c r="D34" s="10" t="n"/>
      <c r="E34" s="11" t="n"/>
      <c r="F34" s="11" t="n"/>
      <c r="G34" s="10" t="n"/>
      <c r="H34" s="11" t="n"/>
      <c r="I34" s="11" t="n"/>
      <c r="J34" s="10" t="n"/>
      <c r="K34" s="11" t="n"/>
      <c r="L34" s="10" t="n"/>
      <c r="M34" s="11" t="n"/>
    </row>
    <row r="35" ht="30" customHeight="1">
      <c r="A35" s="12" t="inlineStr">
        <is>
          <t>Signature</t>
        </is>
      </c>
      <c r="B35" s="11" t="n"/>
      <c r="C35" s="11" t="n"/>
      <c r="D35" s="10" t="n"/>
      <c r="E35" s="11" t="n"/>
      <c r="F35" s="11" t="n"/>
      <c r="G35" s="10" t="n"/>
      <c r="H35" s="11" t="n"/>
      <c r="I35" s="11" t="n"/>
      <c r="J35" s="10" t="n"/>
      <c r="K35" s="11" t="n"/>
      <c r="L35" s="10" t="n"/>
      <c r="M35" s="11" t="n"/>
    </row>
    <row r="36" ht="20" customHeight="1">
      <c r="A36" s="12" t="inlineStr">
        <is>
          <t>Date</t>
        </is>
      </c>
      <c r="B36" s="11" t="n"/>
      <c r="C36" s="11" t="n"/>
      <c r="D36" s="10" t="n"/>
      <c r="E36" s="11" t="n"/>
      <c r="F36" s="11" t="n"/>
      <c r="G36" s="10" t="n"/>
      <c r="H36" s="11" t="n"/>
      <c r="I36" s="11" t="n"/>
      <c r="J36" s="10" t="n"/>
      <c r="K36" s="11" t="n"/>
      <c r="L36" s="10" t="n"/>
      <c r="M36" s="11" t="n"/>
    </row>
  </sheetData>
  <mergeCells count="68">
    <mergeCell ref="L2:M2"/>
    <mergeCell ref="L17:M17"/>
    <mergeCell ref="A5:J5"/>
    <mergeCell ref="C10:H10"/>
    <mergeCell ref="D32:I32"/>
    <mergeCell ref="L16:M16"/>
    <mergeCell ref="A11:B11"/>
    <mergeCell ref="C9:H9"/>
    <mergeCell ref="A4:M4"/>
    <mergeCell ref="J32:K33"/>
    <mergeCell ref="L19:M19"/>
    <mergeCell ref="G34:I34"/>
    <mergeCell ref="G8:H8"/>
    <mergeCell ref="C12:H12"/>
    <mergeCell ref="C1:K3"/>
    <mergeCell ref="A1:B3"/>
    <mergeCell ref="L28:M28"/>
    <mergeCell ref="G33:I33"/>
    <mergeCell ref="L3:M3"/>
    <mergeCell ref="C11:H11"/>
    <mergeCell ref="A13:G13"/>
    <mergeCell ref="J34:K34"/>
    <mergeCell ref="G7:H7"/>
    <mergeCell ref="I7:J7"/>
    <mergeCell ref="L24:M24"/>
    <mergeCell ref="A8:F8"/>
    <mergeCell ref="H13:M13"/>
    <mergeCell ref="L15:M15"/>
    <mergeCell ref="L18:M18"/>
    <mergeCell ref="A30:M30"/>
    <mergeCell ref="G35:I35"/>
    <mergeCell ref="L23:M23"/>
    <mergeCell ref="A35:C35"/>
    <mergeCell ref="L14:M14"/>
    <mergeCell ref="J36:K36"/>
    <mergeCell ref="K7:M7"/>
    <mergeCell ref="D33:F33"/>
    <mergeCell ref="A12:B12"/>
    <mergeCell ref="L26:M26"/>
    <mergeCell ref="J35:K35"/>
    <mergeCell ref="L29:M29"/>
    <mergeCell ref="L35:M35"/>
    <mergeCell ref="L20:M20"/>
    <mergeCell ref="A6:M6"/>
    <mergeCell ref="A31:C31"/>
    <mergeCell ref="L1:M1"/>
    <mergeCell ref="D35:F35"/>
    <mergeCell ref="L25:M25"/>
    <mergeCell ref="J31:K31"/>
    <mergeCell ref="A34:C34"/>
    <mergeCell ref="L36:M36"/>
    <mergeCell ref="L31:M31"/>
    <mergeCell ref="I8:M8"/>
    <mergeCell ref="L22:M22"/>
    <mergeCell ref="D34:F34"/>
    <mergeCell ref="L32:M33"/>
    <mergeCell ref="L34:M34"/>
    <mergeCell ref="A36:C36"/>
    <mergeCell ref="L21:M21"/>
    <mergeCell ref="G36:I36"/>
    <mergeCell ref="K5:M5"/>
    <mergeCell ref="A32:C33"/>
    <mergeCell ref="A10:B10"/>
    <mergeCell ref="D31:I31"/>
    <mergeCell ref="D36:F36"/>
    <mergeCell ref="L27:M27"/>
    <mergeCell ref="A9:B9"/>
    <mergeCell ref="A7:F7"/>
  </mergeCells>
  <dataValidations count="1">
    <dataValidation sqref="K7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=Liste_ENR</formula1>
    </dataValidation>
  </dataValidations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Paramètres!$C$8</f>
        <v/>
      </c>
      <c r="D1" s="11" t="n"/>
      <c r="E1" s="11" t="n"/>
      <c r="F1" s="11" t="n"/>
      <c r="G1" s="11" t="n"/>
      <c r="H1" s="11" t="n"/>
      <c r="I1" s="13">
        <f>Paramètres!$D$8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"&amp;Paramètres!$E$8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</row>
    <row r="4" ht="22" customHeight="1">
      <c r="A4" s="16" t="inlineStr">
        <is>
          <t>Procès-Verbal de Lit de Pose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Registre",IF(INDEX(Registre!$A$2:$A$2001,$L$2)&lt;&gt;"Lit de pose","⚠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DI/ (RFI) nº</t>
        </is>
      </c>
      <c r="F8" s="11" t="n"/>
      <c r="G8" s="11" t="n"/>
      <c r="H8" s="19" t="inlineStr">
        <is>
          <t>0197</t>
        </is>
      </c>
      <c r="I8" s="11" t="n"/>
      <c r="J8" s="11" t="n"/>
    </row>
    <row r="9" ht="20" customHeight="1">
      <c r="A9" s="17">
        <f>"Tronçon n° : "&amp;IFERROR(INDEX(Registre!$H$2:$H$2001,$L$2)&amp;"","")&amp;"   du "&amp;IF(IFERROR(INDEX(Registre!$I$2:$I$2001,$L$2)&amp;"","")&lt;&gt;"","Joint N° "&amp;IFERROR(INDEX(Registre!$I$2:$I$2001,$L$2)&amp;"","")&amp;"  ","")&amp;"PK "&amp;IFERROR(INDEX(Registre!$K$2:$K$2001,$L$2)&amp;"","")&amp;IF(OR(IFERROR(INDEX(Registre!$L$2:$L$2001,$L$2)&amp;"","")&lt;&gt;"",IFERROR(INDEX(Registre!$J$2:$J$2001,$L$2)&amp;"","")&lt;&gt;""),"   au "&amp;IF(IFERROR(INDEX(Registre!$J$2:$J$2001,$L$2)&amp;"","")&lt;&gt;"","Joint N° "&amp;IFERROR(INDEX(Registre!$J$2:$J$2001,$L$2)&amp;"","")&amp;"  ","")&amp;IF(IFERROR(INDEX(Registre!$L$2:$L$2001,$L$2)&amp;"","")&lt;&gt;"","PK "&amp;IFERROR(INDEX(Registre!$L$2:$L$2001,$L$2)&amp;"",""),""),"")</f>
        <v/>
      </c>
      <c r="B9" s="11" t="n"/>
      <c r="C9" s="11" t="n"/>
      <c r="D9" s="11" t="n"/>
      <c r="E9" s="11" t="n"/>
      <c r="F9" s="11" t="n"/>
      <c r="G9" s="11" t="n"/>
      <c r="H9" s="11" t="n"/>
      <c r="I9" s="10">
        <f>IF(IFERROR(INDEX(Registre!$M$2:$M$2001,$L$2)&amp;"","")="","Long :","Long : "&amp;IFERROR(INDEX(Registre!$M$2:$M$2001,$L$2)&amp;"","")&amp;" ml")</f>
        <v/>
      </c>
      <c r="J9" s="11" t="n"/>
    </row>
    <row r="10">
      <c r="A10" s="28" t="inlineStr">
        <is>
          <t>Inspection</t>
        </is>
      </c>
      <c r="B10" s="11" t="n"/>
      <c r="C10" s="11" t="n"/>
      <c r="D10" s="11" t="n"/>
      <c r="E10" s="11" t="n"/>
      <c r="F10" s="11" t="n"/>
      <c r="G10" s="11" t="n"/>
      <c r="H10" s="11" t="n"/>
      <c r="I10" s="28" t="inlineStr">
        <is>
          <t>jugement</t>
        </is>
      </c>
      <c r="J10" s="11" t="n"/>
    </row>
    <row r="11" ht="18" customHeight="1">
      <c r="A11" s="23" t="inlineStr">
        <is>
          <t>Ne contient pas de matériaux organiques</t>
        </is>
      </c>
      <c r="B11" s="11" t="n"/>
      <c r="C11" s="11" t="n"/>
      <c r="D11" s="11" t="n"/>
      <c r="E11" s="11" t="n"/>
      <c r="F11" s="11" t="n"/>
      <c r="G11" s="11" t="n"/>
      <c r="H11" s="11" t="n"/>
      <c r="I11" s="22">
        <f>IF(IF(IFERROR(INDEX(Registre!$N$2:$N$2001,$L$2)&amp;"","")="Accepté","C","")="C","☒","☐")&amp;"  C"&amp;"      "&amp;IF(IF(IFERROR(INDEX(Registre!$N$2:$N$2001,$L$2)&amp;"","")="Accepté","C","")="NC","☒","☐")&amp;"  NC"</f>
        <v/>
      </c>
      <c r="J11" s="11" t="n"/>
    </row>
    <row r="12" ht="18" customHeight="1">
      <c r="A12" s="23" t="inlineStr">
        <is>
          <t>Matériaux du lit de pose conformes aux plans et spécifications</t>
        </is>
      </c>
      <c r="B12" s="11" t="n"/>
      <c r="C12" s="11" t="n"/>
      <c r="D12" s="11" t="n"/>
      <c r="E12" s="11" t="n"/>
      <c r="F12" s="11" t="n"/>
      <c r="G12" s="11" t="n"/>
      <c r="H12" s="11" t="n"/>
      <c r="I12" s="22">
        <f>IF(IF(IFERROR(INDEX(Registre!$N$2:$N$2001,$L$2)&amp;"","")="Accepté","C","")="C","☒","☐")&amp;"  C"&amp;"      "&amp;IF(IF(IFERROR(INDEX(Registre!$N$2:$N$2001,$L$2)&amp;"","")="Accepté","C","")="NC","☒","☐")&amp;"  NC"</f>
        <v/>
      </c>
      <c r="J12" s="11" t="n"/>
    </row>
    <row r="13" ht="18" customHeight="1">
      <c r="A13" s="23" t="inlineStr">
        <is>
          <t>L’épaisseur du lit de pose est conforme aux plans et spécifications</t>
        </is>
      </c>
      <c r="B13" s="11" t="n"/>
      <c r="C13" s="11" t="n"/>
      <c r="D13" s="11" t="n"/>
      <c r="E13" s="11" t="n"/>
      <c r="F13" s="11" t="n"/>
      <c r="G13" s="11" t="n"/>
      <c r="H13" s="11" t="n"/>
      <c r="I13" s="22">
        <f>IF(IF(IFERROR(INDEX(Registre!$N$2:$N$2001,$L$2)&amp;"","")="Accepté","C","")="C","☒","☐")&amp;"  C"&amp;"      "&amp;IF(IF(IFERROR(INDEX(Registre!$N$2:$N$2001,$L$2)&amp;"","")="Accepté","C","")="NC","☒","☐")&amp;"  NC"</f>
        <v/>
      </c>
      <c r="J13" s="11" t="n"/>
    </row>
    <row r="14" ht="260" customHeight="1">
      <c r="A14" s="25">
        <f>"Remarques : "&amp;IFERROR(INDEX(Registre!$O$2:$O$2001,$L$2)&amp;"","")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24" customHeight="1">
      <c r="A15" s="12" t="inlineStr">
        <is>
          <t>Conclusion de l’inspection</t>
        </is>
      </c>
      <c r="B15" s="11" t="n"/>
      <c r="C15" s="21">
        <f>IF(IFERROR(INDEX(Registre!$N$2:$N$2001,$L$2)&amp;"","")="Non applicable","☒","☐")&amp;"  Non applicable"</f>
        <v/>
      </c>
      <c r="D15" s="11" t="n"/>
      <c r="E15" s="11" t="n"/>
      <c r="F15" s="11" t="n"/>
      <c r="G15" s="21">
        <f>IF(IFERROR(INDEX(Registre!$N$2:$N$2001,$L$2)&amp;"","")="Accepté","☒","☐")&amp;"  Accepté"</f>
        <v/>
      </c>
      <c r="H15" s="11" t="n"/>
      <c r="I15" s="21">
        <f>IF(IFERROR(INDEX(Registre!$N$2:$N$2001,$L$2)&amp;"","")="Rejeté","☒","☐")&amp;"  Rejeté"</f>
        <v/>
      </c>
      <c r="J15" s="11" t="n"/>
    </row>
    <row r="16">
      <c r="A16" s="12" t="inlineStr">
        <is>
          <t>APPROBATION</t>
        </is>
      </c>
      <c r="B16" s="11" t="n"/>
      <c r="C16" s="12" t="inlineStr">
        <is>
          <t>C3</t>
        </is>
      </c>
      <c r="D16" s="11" t="n"/>
      <c r="E16" s="11" t="n"/>
      <c r="F16" s="11" t="n"/>
      <c r="G16" s="12" t="inlineStr">
        <is>
          <t>C1</t>
        </is>
      </c>
      <c r="H16" s="11" t="n"/>
      <c r="I16" s="12" t="inlineStr">
        <is>
          <t>CA</t>
        </is>
      </c>
      <c r="J16" s="11" t="n"/>
    </row>
    <row r="17">
      <c r="A17" s="11" t="n"/>
      <c r="B17" s="11" t="n"/>
      <c r="C17" s="12" t="inlineStr">
        <is>
          <t>CST</t>
        </is>
      </c>
      <c r="D17" s="11" t="n"/>
      <c r="E17" s="12" t="inlineStr">
        <is>
          <t>QCI</t>
        </is>
      </c>
      <c r="F17" s="11" t="n"/>
      <c r="G17" s="11" t="n"/>
      <c r="H17" s="11" t="n"/>
      <c r="I17" s="11" t="n"/>
      <c r="J17" s="11" t="n"/>
    </row>
    <row r="18" ht="20" customHeight="1">
      <c r="A18" s="12" t="inlineStr">
        <is>
          <t>Nom</t>
        </is>
      </c>
      <c r="B18" s="11" t="n"/>
      <c r="C18" s="10" t="n"/>
      <c r="D18" s="11" t="n"/>
      <c r="E18" s="10" t="n"/>
      <c r="F18" s="11" t="n"/>
      <c r="G18" s="10" t="n"/>
      <c r="H18" s="11" t="n"/>
      <c r="I18" s="10" t="n"/>
      <c r="J18" s="11" t="n"/>
    </row>
    <row r="19" ht="30" customHeight="1">
      <c r="A19" s="12" t="inlineStr">
        <is>
          <t>Signature</t>
        </is>
      </c>
      <c r="B19" s="11" t="n"/>
      <c r="C19" s="10" t="n"/>
      <c r="D19" s="11" t="n"/>
      <c r="E19" s="10" t="n"/>
      <c r="F19" s="11" t="n"/>
      <c r="G19" s="10" t="n"/>
      <c r="H19" s="11" t="n"/>
      <c r="I19" s="10" t="n"/>
      <c r="J19" s="11" t="n"/>
    </row>
    <row r="20" ht="20" customHeight="1">
      <c r="A20" s="12" t="inlineStr">
        <is>
          <t>Date</t>
        </is>
      </c>
      <c r="B20" s="11" t="n"/>
      <c r="C20" s="10" t="n"/>
      <c r="D20" s="11" t="n"/>
      <c r="E20" s="10" t="n"/>
      <c r="F20" s="11" t="n"/>
      <c r="G20" s="10" t="n"/>
      <c r="H20" s="11" t="n"/>
      <c r="I20" s="10" t="n"/>
      <c r="J20" s="11" t="n"/>
    </row>
  </sheetData>
  <mergeCells count="52">
    <mergeCell ref="A9:H9"/>
    <mergeCell ref="A14:J14"/>
    <mergeCell ref="A15:B15"/>
    <mergeCell ref="I15:J15"/>
    <mergeCell ref="I2:J2"/>
    <mergeCell ref="C6:J6"/>
    <mergeCell ref="I11:J11"/>
    <mergeCell ref="A4:J4"/>
    <mergeCell ref="A11:H11"/>
    <mergeCell ref="C1:H3"/>
    <mergeCell ref="C5:J5"/>
    <mergeCell ref="E17:F17"/>
    <mergeCell ref="A1:B3"/>
    <mergeCell ref="A6:B6"/>
    <mergeCell ref="C20:D20"/>
    <mergeCell ref="E20:F20"/>
    <mergeCell ref="A7:B7"/>
    <mergeCell ref="G16:H17"/>
    <mergeCell ref="E19:F19"/>
    <mergeCell ref="G19:H19"/>
    <mergeCell ref="C15:F15"/>
    <mergeCell ref="A18:B18"/>
    <mergeCell ref="G18:H18"/>
    <mergeCell ref="I18:J18"/>
    <mergeCell ref="I3:J3"/>
    <mergeCell ref="A12:H12"/>
    <mergeCell ref="I12:J12"/>
    <mergeCell ref="G15:H15"/>
    <mergeCell ref="A5:B5"/>
    <mergeCell ref="H8:J8"/>
    <mergeCell ref="C16:F16"/>
    <mergeCell ref="A8:B8"/>
    <mergeCell ref="C17:D17"/>
    <mergeCell ref="C8:D8"/>
    <mergeCell ref="I1:J1"/>
    <mergeCell ref="A20:B20"/>
    <mergeCell ref="G20:H20"/>
    <mergeCell ref="I20:J20"/>
    <mergeCell ref="C7:J7"/>
    <mergeCell ref="A16:B17"/>
    <mergeCell ref="I10:J10"/>
    <mergeCell ref="I16:J17"/>
    <mergeCell ref="A19:B19"/>
    <mergeCell ref="E8:G8"/>
    <mergeCell ref="A10:H10"/>
    <mergeCell ref="C19:D19"/>
    <mergeCell ref="I19:J19"/>
    <mergeCell ref="A13:H13"/>
    <mergeCell ref="I13:J13"/>
    <mergeCell ref="C18:D18"/>
    <mergeCell ref="E18:F18"/>
    <mergeCell ref="I9:J9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=Liste_LIT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Paramètres!$C$9</f>
        <v/>
      </c>
      <c r="D1" s="11" t="n"/>
      <c r="E1" s="11" t="n"/>
      <c r="F1" s="11" t="n"/>
      <c r="G1" s="11" t="n"/>
      <c r="H1" s="11" t="n"/>
      <c r="I1" s="13">
        <f>Paramètres!$D$9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"&amp;Paramètres!$E$9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  <c r="L3" s="15">
        <f>IFERROR(MATCH($H$8,'Données Mise en fouille'!$A$2:$A$501,0),0)</f>
        <v/>
      </c>
    </row>
    <row r="4" ht="22" customHeight="1">
      <c r="A4" s="16" t="inlineStr">
        <is>
          <t>Procès-Verbal de Mise en fouille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Registre",IF(INDEX(Registre!$A$2:$A$2001,$L$2)&lt;&gt;"Mise en fouille","⚠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DI/ (RFI) nº</t>
        </is>
      </c>
      <c r="F8" s="11" t="n"/>
      <c r="G8" s="11" t="n"/>
      <c r="H8" s="19" t="inlineStr">
        <is>
          <t>0127</t>
        </is>
      </c>
      <c r="I8" s="11" t="n"/>
      <c r="J8" s="11" t="n"/>
    </row>
    <row r="9" ht="20" customHeight="1">
      <c r="A9" s="17">
        <f>"Tronçon n° : "&amp;IFERROR(INDEX(Registre!$H$2:$H$2001,$L$2)&amp;"","")&amp;"   du "&amp;IF(IFERROR(INDEX(Registre!$I$2:$I$2001,$L$2)&amp;"","")&lt;&gt;"","Joint N° "&amp;IFERROR(INDEX(Registre!$I$2:$I$2001,$L$2)&amp;"","")&amp;"  ","")&amp;"PK "&amp;IFERROR(INDEX(Registre!$K$2:$K$2001,$L$2)&amp;"","")&amp;IF(OR(IFERROR(INDEX(Registre!$L$2:$L$2001,$L$2)&amp;"","")&lt;&gt;"",IFERROR(INDEX(Registre!$J$2:$J$2001,$L$2)&amp;"","")&lt;&gt;""),"   au "&amp;IF(IFERROR(INDEX(Registre!$J$2:$J$2001,$L$2)&amp;"","")&lt;&gt;"","Joint N° "&amp;IFERROR(INDEX(Registre!$J$2:$J$2001,$L$2)&amp;"","")&amp;"  ","")&amp;IF(IFERROR(INDEX(Registre!$L$2:$L$2001,$L$2)&amp;"","")&lt;&gt;"","PK "&amp;IFERROR(INDEX(Registre!$L$2:$L$2001,$L$2)&amp;"",""),""),"")</f>
        <v/>
      </c>
      <c r="B9" s="11" t="n"/>
      <c r="C9" s="11" t="n"/>
      <c r="D9" s="11" t="n"/>
      <c r="E9" s="11" t="n"/>
      <c r="F9" s="11" t="n"/>
      <c r="G9" s="11" t="n"/>
      <c r="H9" s="11" t="n"/>
      <c r="I9" s="10">
        <f>IF(IFERROR(INDEX(Registre!$M$2:$M$2001,$L$2)&amp;"","")="","Long :","Long : "&amp;IFERROR(INDEX(Registre!$M$2:$M$2001,$L$2)&amp;"","")&amp;" ml")</f>
        <v/>
      </c>
      <c r="J9" s="11" t="n"/>
    </row>
    <row r="10">
      <c r="A10" s="28" t="inlineStr">
        <is>
          <t>Inspection</t>
        </is>
      </c>
      <c r="B10" s="11" t="n"/>
      <c r="C10" s="11" t="n"/>
      <c r="D10" s="11" t="n"/>
      <c r="E10" s="11" t="n"/>
      <c r="F10" s="11" t="n"/>
      <c r="G10" s="11" t="n"/>
      <c r="H10" s="11" t="n"/>
      <c r="I10" s="28" t="inlineStr">
        <is>
          <t>jugement</t>
        </is>
      </c>
      <c r="J10" s="11" t="n"/>
    </row>
    <row r="11" ht="18" customHeight="1">
      <c r="A11" s="23" t="inlineStr">
        <is>
          <t>Lit de pose conforme aux plans et spécifications</t>
        </is>
      </c>
      <c r="B11" s="11" t="n"/>
      <c r="C11" s="11" t="n"/>
      <c r="D11" s="11" t="n"/>
      <c r="E11" s="11" t="n"/>
      <c r="F11" s="11" t="n"/>
      <c r="G11" s="11" t="n"/>
      <c r="H11" s="11" t="n"/>
      <c r="I11" s="22">
        <f>IF(IFERROR(INDEX('Données Mise en fouille'!$B$2:$B$501,$L$3)&amp;"","")="C","☒","☐")&amp;"  C"&amp;"      "&amp;IF(IFERROR(INDEX('Données Mise en fouille'!$B$2:$B$501,$L$3)&amp;"","")="NC","☒","☐")&amp;"  NC"</f>
        <v/>
      </c>
      <c r="J11" s="11" t="n"/>
    </row>
    <row r="12" ht="18" customHeight="1">
      <c r="A12" s="23" t="inlineStr">
        <is>
          <t>Condition du fond de la tranchée</t>
        </is>
      </c>
      <c r="B12" s="11" t="n"/>
      <c r="C12" s="11" t="n"/>
      <c r="D12" s="11" t="n"/>
      <c r="E12" s="11" t="n"/>
      <c r="F12" s="11" t="n"/>
      <c r="G12" s="11" t="n"/>
      <c r="H12" s="11" t="n"/>
      <c r="I12" s="22">
        <f>IF(IFERROR(INDEX('Données Mise en fouille'!$C$2:$C$501,$L$3)&amp;"","")="C","☒","☐")&amp;"  C"&amp;"      "&amp;IF(IFERROR(INDEX('Données Mise en fouille'!$C$2:$C$501,$L$3)&amp;"","")="NC","☒","☐")&amp;"  NC"</f>
        <v/>
      </c>
      <c r="J12" s="11" t="n"/>
    </row>
    <row r="13" ht="18" customHeight="1">
      <c r="A13" s="23" t="inlineStr">
        <is>
          <t>Hauteur et largeur de la tranchée conformes aux plans et spécifications</t>
        </is>
      </c>
      <c r="B13" s="11" t="n"/>
      <c r="C13" s="11" t="n"/>
      <c r="D13" s="11" t="n"/>
      <c r="E13" s="11" t="n"/>
      <c r="F13" s="11" t="n"/>
      <c r="G13" s="11" t="n"/>
      <c r="H13" s="11" t="n"/>
      <c r="I13" s="22">
        <f>IF(IFERROR(INDEX('Données Mise en fouille'!$D$2:$D$501,$L$3)&amp;"","")="C","☒","☐")&amp;"  C"&amp;"      "&amp;IF(IFERROR(INDEX('Données Mise en fouille'!$D$2:$D$501,$L$3)&amp;"","")="NC","☒","☐")&amp;"  NC"</f>
        <v/>
      </c>
      <c r="J13" s="11" t="n"/>
    </row>
    <row r="14" ht="30" customHeight="1">
      <c r="A14" s="23" t="inlineStr">
        <is>
          <t>Toutes les soudures de la section à enterrer sont radiographiées et acceptées, fiche tronçon signée et disponible sur site pour entamer la pose du tronçon.</t>
        </is>
      </c>
      <c r="B14" s="11" t="n"/>
      <c r="C14" s="11" t="n"/>
      <c r="D14" s="11" t="n"/>
      <c r="E14" s="11" t="n"/>
      <c r="F14" s="11" t="n"/>
      <c r="G14" s="11" t="n"/>
      <c r="H14" s="11" t="n"/>
      <c r="I14" s="22">
        <f>IF(IFERROR(INDEX('Données Mise en fouille'!$E$2:$E$501,$L$3)&amp;"","")="C","☒","☐")&amp;"  C"&amp;"      "&amp;IF(IFERROR(INDEX('Données Mise en fouille'!$E$2:$E$501,$L$3)&amp;"","")="NC","☒","☐")&amp;"  NC"</f>
        <v/>
      </c>
      <c r="J14" s="11" t="n"/>
    </row>
    <row r="15" ht="18" customHeight="1">
      <c r="A15" s="23" t="inlineStr">
        <is>
          <t>Revêtement des joints de soudures achevé</t>
        </is>
      </c>
      <c r="B15" s="11" t="n"/>
      <c r="C15" s="11" t="n"/>
      <c r="D15" s="11" t="n"/>
      <c r="E15" s="11" t="n"/>
      <c r="F15" s="11" t="n"/>
      <c r="G15" s="11" t="n"/>
      <c r="H15" s="11" t="n"/>
      <c r="I15" s="22">
        <f>IF(IFERROR(INDEX('Données Mise en fouille'!$F$2:$F$501,$L$3)&amp;"","")="C","☒","☐")&amp;"  C"&amp;"      "&amp;IF(IFERROR(INDEX('Données Mise en fouille'!$F$2:$F$501,$L$3)&amp;"","")="NC","☒","☐")&amp;"  NC"</f>
        <v/>
      </c>
      <c r="J15" s="11" t="n"/>
    </row>
    <row r="16">
      <c r="A16" s="28" t="inlineStr">
        <is>
          <t>Balai Electrique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 ht="20" customHeight="1">
      <c r="A17" s="10" t="inlineStr">
        <is>
          <t>Type/Modèle d'équipement de test :</t>
        </is>
      </c>
      <c r="B17" s="11" t="n"/>
      <c r="C17" s="11" t="n"/>
      <c r="D17" s="11" t="n"/>
      <c r="E17" s="11" t="n"/>
      <c r="F17" s="11" t="n"/>
      <c r="G17" s="11" t="n"/>
      <c r="H17" s="22">
        <f>IFERROR(INDEX('Données Mise en fouille'!$G$2:$G$501,$L$3)&amp;"","")</f>
        <v/>
      </c>
      <c r="I17" s="11" t="n"/>
      <c r="J17" s="11" t="n"/>
    </row>
    <row r="18" ht="20" customHeight="1">
      <c r="A18" s="10" t="inlineStr">
        <is>
          <t>Numéro de série :</t>
        </is>
      </c>
      <c r="B18" s="11" t="n"/>
      <c r="C18" s="11" t="n"/>
      <c r="D18" s="11" t="n"/>
      <c r="E18" s="11" t="n"/>
      <c r="F18" s="11" t="n"/>
      <c r="G18" s="11" t="n"/>
      <c r="H18" s="22">
        <f>IFERROR(INDEX('Données Mise en fouille'!$H$2:$H$501,$L$3)&amp;"","")</f>
        <v/>
      </c>
      <c r="I18" s="11" t="n"/>
      <c r="J18" s="11" t="n"/>
    </row>
    <row r="19" ht="20" customHeight="1">
      <c r="A19" s="10" t="inlineStr">
        <is>
          <t>Date d'étalonnage :</t>
        </is>
      </c>
      <c r="B19" s="11" t="n"/>
      <c r="C19" s="11" t="n"/>
      <c r="D19" s="11" t="n"/>
      <c r="E19" s="11" t="n"/>
      <c r="F19" s="11" t="n"/>
      <c r="G19" s="11" t="n"/>
      <c r="H19" s="22">
        <f>IFERROR(TEXT(INDEX('Données Mise en fouille'!$I$2:$I$501,$L$3),"dd/mm/yyyy"),"")</f>
        <v/>
      </c>
      <c r="I19" s="11" t="n"/>
      <c r="J19" s="11" t="n"/>
    </row>
    <row r="20" ht="20" customHeight="1">
      <c r="A20" s="10" t="inlineStr">
        <is>
          <t>Certificat d'étalonnage :</t>
        </is>
      </c>
      <c r="B20" s="11" t="n"/>
      <c r="C20" s="11" t="n"/>
      <c r="D20" s="11" t="n"/>
      <c r="E20" s="11" t="n"/>
      <c r="F20" s="11" t="n"/>
      <c r="G20" s="11" t="n"/>
      <c r="H20" s="22">
        <f>IFERROR(INDEX('Données Mise en fouille'!$J$2:$J$501,$L$3)&amp;"","")</f>
        <v/>
      </c>
      <c r="I20" s="11" t="n"/>
      <c r="J20" s="11" t="n"/>
    </row>
    <row r="21" ht="20" customHeight="1">
      <c r="A21" s="10" t="inlineStr">
        <is>
          <t>Epaisseur moyenne du revêtement (mm) :</t>
        </is>
      </c>
      <c r="B21" s="11" t="n"/>
      <c r="C21" s="11" t="n"/>
      <c r="D21" s="11" t="n"/>
      <c r="E21" s="11" t="n"/>
      <c r="F21" s="11" t="n"/>
      <c r="G21" s="11" t="n"/>
      <c r="H21" s="22">
        <f>IFERROR(INDEX('Données Mise en fouille'!$K$2:$K$501,$L$3)&amp;"","")</f>
        <v/>
      </c>
      <c r="I21" s="11" t="n"/>
      <c r="J21" s="11" t="n"/>
    </row>
    <row r="22" ht="20" customHeight="1">
      <c r="A22" s="10" t="inlineStr">
        <is>
          <t>Tension de test (kV) :</t>
        </is>
      </c>
      <c r="B22" s="11" t="n"/>
      <c r="C22" s="11" t="n"/>
      <c r="D22" s="11" t="n"/>
      <c r="E22" s="11" t="n"/>
      <c r="F22" s="11" t="n"/>
      <c r="G22" s="11" t="n"/>
      <c r="H22" s="22">
        <f>IFERROR(INDEX('Données Mise en fouille'!$L$2:$L$501,$L$3)&amp;"","")</f>
        <v/>
      </c>
      <c r="I22" s="11" t="n"/>
      <c r="J22" s="11" t="n"/>
    </row>
    <row r="23" ht="20" customHeight="1">
      <c r="A23" s="10" t="inlineStr">
        <is>
          <t>Contrôle au balai électrique achevé avec résultats satisfaisants</t>
        </is>
      </c>
      <c r="B23" s="11" t="n"/>
      <c r="C23" s="11" t="n"/>
      <c r="D23" s="11" t="n"/>
      <c r="E23" s="11" t="n"/>
      <c r="F23" s="11" t="n"/>
      <c r="G23" s="11" t="n"/>
      <c r="H23" s="22">
        <f>IF(IFERROR(INDEX('Données Mise en fouille'!$M$2:$M$501,$L$3)&amp;"","")="ACC","☒","☐")&amp;" ACC"&amp;"     "&amp;IF(IFERROR(INDEX('Données Mise en fouille'!$M$2:$M$501,$L$3)&amp;"","")="NACC","☒","☐")&amp;" NACC"</f>
        <v/>
      </c>
      <c r="I23" s="11" t="n"/>
      <c r="J23" s="11" t="n"/>
    </row>
    <row r="24" ht="60" customHeight="1">
      <c r="A24" s="25">
        <f>"Remarques : "&amp;IFERROR(INDEX(Registre!$O$2:$O$2001,$L$2)&amp;"","")</f>
        <v/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 ht="24" customHeight="1">
      <c r="A25" s="12" t="inlineStr">
        <is>
          <t>Conclusion de l’inspection</t>
        </is>
      </c>
      <c r="B25" s="11" t="n"/>
      <c r="C25" s="21">
        <f>IF(IFERROR(INDEX(Registre!$N$2:$N$2001,$L$2)&amp;"","")="Non applicable","☒","☐")&amp;"  Non applicable"</f>
        <v/>
      </c>
      <c r="D25" s="11" t="n"/>
      <c r="E25" s="11" t="n"/>
      <c r="F25" s="11" t="n"/>
      <c r="G25" s="21">
        <f>IF(IFERROR(INDEX(Registre!$N$2:$N$2001,$L$2)&amp;"","")="Accepté","☒","☐")&amp;"  Accepté"</f>
        <v/>
      </c>
      <c r="H25" s="11" t="n"/>
      <c r="I25" s="21">
        <f>IF(IFERROR(INDEX(Registre!$N$2:$N$2001,$L$2)&amp;"","")="Rejeté","☒","☐")&amp;"  Rejeté"</f>
        <v/>
      </c>
      <c r="J25" s="11" t="n"/>
    </row>
    <row r="26">
      <c r="A26" s="12" t="inlineStr">
        <is>
          <t>APPROBATION</t>
        </is>
      </c>
      <c r="B26" s="11" t="n"/>
      <c r="C26" s="12" t="inlineStr">
        <is>
          <t>C3</t>
        </is>
      </c>
      <c r="D26" s="11" t="n"/>
      <c r="E26" s="11" t="n"/>
      <c r="F26" s="11" t="n"/>
      <c r="G26" s="12" t="inlineStr">
        <is>
          <t>C1</t>
        </is>
      </c>
      <c r="H26" s="11" t="n"/>
      <c r="I26" s="12" t="inlineStr">
        <is>
          <t>CA</t>
        </is>
      </c>
      <c r="J26" s="11" t="n"/>
    </row>
    <row r="27">
      <c r="A27" s="11" t="n"/>
      <c r="B27" s="11" t="n"/>
      <c r="C27" s="12" t="inlineStr">
        <is>
          <t>CST</t>
        </is>
      </c>
      <c r="D27" s="11" t="n"/>
      <c r="E27" s="12" t="inlineStr">
        <is>
          <t>QCI</t>
        </is>
      </c>
      <c r="F27" s="11" t="n"/>
      <c r="G27" s="11" t="n"/>
      <c r="H27" s="11" t="n"/>
      <c r="I27" s="11" t="n"/>
      <c r="J27" s="11" t="n"/>
    </row>
    <row r="28" ht="20" customHeight="1">
      <c r="A28" s="12" t="inlineStr">
        <is>
          <t>Nom</t>
        </is>
      </c>
      <c r="B28" s="11" t="n"/>
      <c r="C28" s="10" t="n"/>
      <c r="D28" s="11" t="n"/>
      <c r="E28" s="10" t="n"/>
      <c r="F28" s="11" t="n"/>
      <c r="G28" s="10" t="n"/>
      <c r="H28" s="11" t="n"/>
      <c r="I28" s="10" t="n"/>
      <c r="J28" s="11" t="n"/>
    </row>
    <row r="29" ht="30" customHeight="1">
      <c r="A29" s="12" t="inlineStr">
        <is>
          <t>Signature</t>
        </is>
      </c>
      <c r="B29" s="11" t="n"/>
      <c r="C29" s="10" t="n"/>
      <c r="D29" s="11" t="n"/>
      <c r="E29" s="10" t="n"/>
      <c r="F29" s="11" t="n"/>
      <c r="G29" s="10" t="n"/>
      <c r="H29" s="11" t="n"/>
      <c r="I29" s="10" t="n"/>
      <c r="J29" s="11" t="n"/>
    </row>
    <row r="30" ht="20" customHeight="1">
      <c r="A30" s="12" t="inlineStr">
        <is>
          <t>Date</t>
        </is>
      </c>
      <c r="B30" s="11" t="n"/>
      <c r="C30" s="10" t="n"/>
      <c r="D30" s="11" t="n"/>
      <c r="E30" s="10" t="n"/>
      <c r="F30" s="11" t="n"/>
      <c r="G30" s="10" t="n"/>
      <c r="H30" s="11" t="n"/>
      <c r="I30" s="10" t="n"/>
      <c r="J30" s="11" t="n"/>
    </row>
  </sheetData>
  <mergeCells count="71">
    <mergeCell ref="A9:H9"/>
    <mergeCell ref="I30:J30"/>
    <mergeCell ref="A30:B30"/>
    <mergeCell ref="A26:B27"/>
    <mergeCell ref="A17:G17"/>
    <mergeCell ref="A15:H15"/>
    <mergeCell ref="C30:D30"/>
    <mergeCell ref="I15:J15"/>
    <mergeCell ref="I2:J2"/>
    <mergeCell ref="C6:J6"/>
    <mergeCell ref="A22:G22"/>
    <mergeCell ref="I11:J11"/>
    <mergeCell ref="A20:G20"/>
    <mergeCell ref="A4:J4"/>
    <mergeCell ref="A11:H11"/>
    <mergeCell ref="C1:H3"/>
    <mergeCell ref="C5:J5"/>
    <mergeCell ref="H17:J17"/>
    <mergeCell ref="A19:G19"/>
    <mergeCell ref="A1:B3"/>
    <mergeCell ref="A6:B6"/>
    <mergeCell ref="C29:D29"/>
    <mergeCell ref="A7:B7"/>
    <mergeCell ref="A25:B25"/>
    <mergeCell ref="H22:J22"/>
    <mergeCell ref="E29:F29"/>
    <mergeCell ref="H19:J19"/>
    <mergeCell ref="I25:J25"/>
    <mergeCell ref="G26:H27"/>
    <mergeCell ref="E28:F28"/>
    <mergeCell ref="G28:H28"/>
    <mergeCell ref="A24:J24"/>
    <mergeCell ref="I28:J28"/>
    <mergeCell ref="I3:J3"/>
    <mergeCell ref="A12:H12"/>
    <mergeCell ref="I12:J12"/>
    <mergeCell ref="E30:F30"/>
    <mergeCell ref="H18:J18"/>
    <mergeCell ref="G30:H30"/>
    <mergeCell ref="C26:F26"/>
    <mergeCell ref="H23:J23"/>
    <mergeCell ref="C27:D27"/>
    <mergeCell ref="A5:B5"/>
    <mergeCell ref="H8:J8"/>
    <mergeCell ref="E27:F27"/>
    <mergeCell ref="A14:H14"/>
    <mergeCell ref="C25:F25"/>
    <mergeCell ref="I14:J14"/>
    <mergeCell ref="A16:J16"/>
    <mergeCell ref="A8:B8"/>
    <mergeCell ref="C8:D8"/>
    <mergeCell ref="I1:J1"/>
    <mergeCell ref="H20:J20"/>
    <mergeCell ref="G29:H29"/>
    <mergeCell ref="I29:J29"/>
    <mergeCell ref="A29:B29"/>
    <mergeCell ref="C7:J7"/>
    <mergeCell ref="A18:G18"/>
    <mergeCell ref="I10:J10"/>
    <mergeCell ref="A21:G21"/>
    <mergeCell ref="G25:H25"/>
    <mergeCell ref="E8:G8"/>
    <mergeCell ref="A10:H10"/>
    <mergeCell ref="I26:J27"/>
    <mergeCell ref="A28:B28"/>
    <mergeCell ref="C28:D28"/>
    <mergeCell ref="A13:H13"/>
    <mergeCell ref="I13:J13"/>
    <mergeCell ref="I9:J9"/>
    <mergeCell ref="H21:J21"/>
    <mergeCell ref="A23:G23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=Liste_MEF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3" customWidth="1" min="11" max="11"/>
    <col width="42" customWidth="1" min="12" max="12"/>
  </cols>
  <sheetData>
    <row r="1" ht="22" customHeight="1">
      <c r="A1" s="10" t="n"/>
      <c r="B1" s="11" t="n"/>
      <c r="C1" s="12">
        <f>Paramètres!$C$10</f>
        <v/>
      </c>
      <c r="D1" s="11" t="n"/>
      <c r="E1" s="11" t="n"/>
      <c r="F1" s="11" t="n"/>
      <c r="G1" s="11" t="n"/>
      <c r="H1" s="11" t="n"/>
      <c r="I1" s="13">
        <f>Paramètres!$D$10</f>
        <v/>
      </c>
      <c r="J1" s="11" t="n"/>
      <c r="L1" s="14" t="inlineStr">
        <is>
          <t>Calcul (ne pas modifier) – ligne registre :</t>
        </is>
      </c>
    </row>
    <row r="2" ht="22" customHeight="1">
      <c r="A2" s="11" t="n"/>
      <c r="B2" s="11" t="n"/>
      <c r="C2" s="11" t="n"/>
      <c r="D2" s="11" t="n"/>
      <c r="E2" s="11" t="n"/>
      <c r="F2" s="11" t="n"/>
      <c r="G2" s="11" t="n"/>
      <c r="H2" s="11" t="n"/>
      <c r="I2" s="13">
        <f>"Date: "&amp;Paramètres!$E$10</f>
        <v/>
      </c>
      <c r="J2" s="11" t="n"/>
      <c r="L2" s="15">
        <f>IFERROR(MATCH($H$8,Registre!$B$2:$B$2001,0),0)</f>
        <v/>
      </c>
    </row>
    <row r="3" ht="22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3" t="inlineStr">
        <is>
          <t>Page 1/1</t>
        </is>
      </c>
      <c r="J3" s="11" t="n"/>
    </row>
    <row r="4" ht="22" customHeight="1">
      <c r="A4" s="16" t="inlineStr">
        <is>
          <t>Procès-Verbal de Pré-Remblai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L4" s="26">
        <f>IF($H$8="","",IF($L$2=0,"⚠ RFI absent du Registre",IF(INDEX(Registre!$A$2:$A$2001,$L$2)&lt;&gt;"Pré-remblai","⚠ Ce RFI est de type : "&amp;INDEX(Registre!$A$2:$A$2001,$L$2),"")))</f>
        <v/>
      </c>
    </row>
    <row r="5" ht="20" customHeight="1">
      <c r="A5" s="10" t="inlineStr">
        <is>
          <t>Ouvrages</t>
        </is>
      </c>
      <c r="B5" s="11" t="n"/>
      <c r="C5" s="10">
        <f>IFERROR(INDEX(Registre!$E$2:$E$2001,$L$2)&amp;"","")</f>
        <v/>
      </c>
      <c r="D5" s="11" t="n"/>
      <c r="E5" s="11" t="n"/>
      <c r="F5" s="11" t="n"/>
      <c r="G5" s="11" t="n"/>
      <c r="H5" s="11" t="n"/>
      <c r="I5" s="11" t="n"/>
      <c r="J5" s="11" t="n"/>
    </row>
    <row r="6" ht="20" customHeight="1">
      <c r="A6" s="10" t="inlineStr">
        <is>
          <t>Plan nº</t>
        </is>
      </c>
      <c r="B6" s="11" t="n"/>
      <c r="C6" s="10">
        <f>IFERROR(INDEX(Registre!$F$2:$F$2001,$L$2)&amp;"","")</f>
        <v/>
      </c>
      <c r="D6" s="11" t="n"/>
      <c r="E6" s="11" t="n"/>
      <c r="F6" s="11" t="n"/>
      <c r="G6" s="11" t="n"/>
      <c r="H6" s="11" t="n"/>
      <c r="I6" s="11" t="n"/>
      <c r="J6" s="11" t="n"/>
      <c r="L6" s="20" t="inlineStr">
        <is>
          <t>◀ Choisissez le RFI dans la case jaune</t>
        </is>
      </c>
    </row>
    <row r="7" ht="20" customHeight="1">
      <c r="A7" s="10" t="inlineStr">
        <is>
          <t>Désignation</t>
        </is>
      </c>
      <c r="B7" s="11" t="n"/>
      <c r="C7" s="10">
        <f>IFERROR(INDEX(Registre!$G$2:$G$2001,$L$2)&amp;"","")</f>
        <v/>
      </c>
      <c r="D7" s="11" t="n"/>
      <c r="E7" s="11" t="n"/>
      <c r="F7" s="11" t="n"/>
      <c r="G7" s="11" t="n"/>
      <c r="H7" s="11" t="n"/>
      <c r="I7" s="11" t="n"/>
      <c r="J7" s="11" t="n"/>
    </row>
    <row r="8" ht="20" customHeight="1">
      <c r="A8" s="10" t="inlineStr">
        <is>
          <t>Rapport nº</t>
        </is>
      </c>
      <c r="B8" s="11" t="n"/>
      <c r="C8" s="10">
        <f>IFERROR(INDEX(Registre!$C$2:$C$2001,$L$2)&amp;"","")</f>
        <v/>
      </c>
      <c r="D8" s="11" t="n"/>
      <c r="E8" s="27" t="inlineStr">
        <is>
          <t>DI/ (RFI) nº</t>
        </is>
      </c>
      <c r="F8" s="11" t="n"/>
      <c r="G8" s="11" t="n"/>
      <c r="H8" s="19" t="inlineStr">
        <is>
          <t>0195</t>
        </is>
      </c>
      <c r="I8" s="11" t="n"/>
      <c r="J8" s="11" t="n"/>
    </row>
    <row r="9" ht="20" customHeight="1">
      <c r="A9" s="17">
        <f>"Tronçon n° : "&amp;IFERROR(INDEX(Registre!$H$2:$H$2001,$L$2)&amp;"","")&amp;"   du "&amp;IF(IFERROR(INDEX(Registre!$I$2:$I$2001,$L$2)&amp;"","")&lt;&gt;"","Joint N° "&amp;IFERROR(INDEX(Registre!$I$2:$I$2001,$L$2)&amp;"","")&amp;"  ","")&amp;"PK "&amp;IFERROR(INDEX(Registre!$K$2:$K$2001,$L$2)&amp;"","")&amp;IF(OR(IFERROR(INDEX(Registre!$L$2:$L$2001,$L$2)&amp;"","")&lt;&gt;"",IFERROR(INDEX(Registre!$J$2:$J$2001,$L$2)&amp;"","")&lt;&gt;""),"   au "&amp;IF(IFERROR(INDEX(Registre!$J$2:$J$2001,$L$2)&amp;"","")&lt;&gt;"","Joint N° "&amp;IFERROR(INDEX(Registre!$J$2:$J$2001,$L$2)&amp;"","")&amp;"  ","")&amp;IF(IFERROR(INDEX(Registre!$L$2:$L$2001,$L$2)&amp;"","")&lt;&gt;"","PK "&amp;IFERROR(INDEX(Registre!$L$2:$L$2001,$L$2)&amp;"",""),""),"")</f>
        <v/>
      </c>
      <c r="B9" s="11" t="n"/>
      <c r="C9" s="11" t="n"/>
      <c r="D9" s="11" t="n"/>
      <c r="E9" s="11" t="n"/>
      <c r="F9" s="11" t="n"/>
      <c r="G9" s="11" t="n"/>
      <c r="H9" s="11" t="n"/>
      <c r="I9" s="10">
        <f>IF(IFERROR(INDEX(Registre!$M$2:$M$2001,$L$2)&amp;"","")="","Long :","Long : "&amp;IFERROR(INDEX(Registre!$M$2:$M$2001,$L$2)&amp;"","")&amp;" ml")</f>
        <v/>
      </c>
      <c r="J9" s="11" t="n"/>
    </row>
    <row r="10">
      <c r="A10" s="28" t="inlineStr">
        <is>
          <t>Inspection</t>
        </is>
      </c>
      <c r="B10" s="11" t="n"/>
      <c r="C10" s="11" t="n"/>
      <c r="D10" s="11" t="n"/>
      <c r="E10" s="11" t="n"/>
      <c r="F10" s="11" t="n"/>
      <c r="G10" s="11" t="n"/>
      <c r="H10" s="11" t="n"/>
      <c r="I10" s="28" t="inlineStr">
        <is>
          <t>jugement</t>
        </is>
      </c>
      <c r="J10" s="11" t="n"/>
    </row>
    <row r="11" ht="18" customHeight="1">
      <c r="A11" s="23" t="inlineStr">
        <is>
          <t>Ne contient pas de matériaux organiques</t>
        </is>
      </c>
      <c r="B11" s="11" t="n"/>
      <c r="C11" s="11" t="n"/>
      <c r="D11" s="11" t="n"/>
      <c r="E11" s="11" t="n"/>
      <c r="F11" s="11" t="n"/>
      <c r="G11" s="11" t="n"/>
      <c r="H11" s="11" t="n"/>
      <c r="I11" s="22">
        <f>IF(IF(IFERROR(INDEX(Registre!$N$2:$N$2001,$L$2)&amp;"","")="Accepté","C","")="C","☒","☐")&amp;"  C"&amp;"      "&amp;IF(IF(IFERROR(INDEX(Registre!$N$2:$N$2001,$L$2)&amp;"","")="Accepté","C","")="NC","☒","☐")&amp;"  NC"</f>
        <v/>
      </c>
      <c r="J11" s="11" t="n"/>
    </row>
    <row r="12" ht="18" customHeight="1">
      <c r="A12" s="23" t="inlineStr">
        <is>
          <t>Matériaux du pré-remblai conformes aux plans et spécifications</t>
        </is>
      </c>
      <c r="B12" s="11" t="n"/>
      <c r="C12" s="11" t="n"/>
      <c r="D12" s="11" t="n"/>
      <c r="E12" s="11" t="n"/>
      <c r="F12" s="11" t="n"/>
      <c r="G12" s="11" t="n"/>
      <c r="H12" s="11" t="n"/>
      <c r="I12" s="22">
        <f>IF(IF(IFERROR(INDEX(Registre!$N$2:$N$2001,$L$2)&amp;"","")="Accepté","C","")="C","☒","☐")&amp;"  C"&amp;"      "&amp;IF(IF(IFERROR(INDEX(Registre!$N$2:$N$2001,$L$2)&amp;"","")="Accepté","C","")="NC","☒","☐")&amp;"  NC"</f>
        <v/>
      </c>
      <c r="J12" s="11" t="n"/>
    </row>
    <row r="13" ht="18" customHeight="1">
      <c r="A13" s="23" t="inlineStr">
        <is>
          <t>L’épaisseur du pré-remblai est conforme aux plans et spécifications</t>
        </is>
      </c>
      <c r="B13" s="11" t="n"/>
      <c r="C13" s="11" t="n"/>
      <c r="D13" s="11" t="n"/>
      <c r="E13" s="11" t="n"/>
      <c r="F13" s="11" t="n"/>
      <c r="G13" s="11" t="n"/>
      <c r="H13" s="11" t="n"/>
      <c r="I13" s="22">
        <f>IF(IF(IFERROR(INDEX(Registre!$N$2:$N$2001,$L$2)&amp;"","")="Accepté","C","")="C","☒","☐")&amp;"  C"&amp;"      "&amp;IF(IF(IFERROR(INDEX(Registre!$N$2:$N$2001,$L$2)&amp;"","")="Accepté","C","")="NC","☒","☐")&amp;"  NC"</f>
        <v/>
      </c>
      <c r="J13" s="11" t="n"/>
    </row>
    <row r="14" ht="260" customHeight="1">
      <c r="A14" s="25">
        <f>"Remarques : "&amp;IFERROR(INDEX(Registre!$O$2:$O$2001,$L$2)&amp;"","")</f>
        <v/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24" customHeight="1">
      <c r="A15" s="12" t="inlineStr">
        <is>
          <t>Conclusion de l’inspection</t>
        </is>
      </c>
      <c r="B15" s="11" t="n"/>
      <c r="C15" s="21">
        <f>IF(IFERROR(INDEX(Registre!$N$2:$N$2001,$L$2)&amp;"","")="Non applicable","☒","☐")&amp;"  Non applicable"</f>
        <v/>
      </c>
      <c r="D15" s="11" t="n"/>
      <c r="E15" s="11" t="n"/>
      <c r="F15" s="11" t="n"/>
      <c r="G15" s="21">
        <f>IF(IFERROR(INDEX(Registre!$N$2:$N$2001,$L$2)&amp;"","")="Accepté","☒","☐")&amp;"  Accepté"</f>
        <v/>
      </c>
      <c r="H15" s="11" t="n"/>
      <c r="I15" s="21">
        <f>IF(IFERROR(INDEX(Registre!$N$2:$N$2001,$L$2)&amp;"","")="Rejeté","☒","☐")&amp;"  Rejeté"</f>
        <v/>
      </c>
      <c r="J15" s="11" t="n"/>
    </row>
    <row r="16">
      <c r="A16" s="12" t="inlineStr">
        <is>
          <t>APPROBATION</t>
        </is>
      </c>
      <c r="B16" s="11" t="n"/>
      <c r="C16" s="12" t="inlineStr">
        <is>
          <t>C3</t>
        </is>
      </c>
      <c r="D16" s="11" t="n"/>
      <c r="E16" s="11" t="n"/>
      <c r="F16" s="11" t="n"/>
      <c r="G16" s="12" t="inlineStr">
        <is>
          <t>C1</t>
        </is>
      </c>
      <c r="H16" s="11" t="n"/>
      <c r="I16" s="12" t="inlineStr">
        <is>
          <t>CA</t>
        </is>
      </c>
      <c r="J16" s="11" t="n"/>
    </row>
    <row r="17">
      <c r="A17" s="11" t="n"/>
      <c r="B17" s="11" t="n"/>
      <c r="C17" s="12" t="inlineStr">
        <is>
          <t>CST</t>
        </is>
      </c>
      <c r="D17" s="11" t="n"/>
      <c r="E17" s="12" t="inlineStr">
        <is>
          <t>QCI</t>
        </is>
      </c>
      <c r="F17" s="11" t="n"/>
      <c r="G17" s="11" t="n"/>
      <c r="H17" s="11" t="n"/>
      <c r="I17" s="11" t="n"/>
      <c r="J17" s="11" t="n"/>
    </row>
    <row r="18" ht="20" customHeight="1">
      <c r="A18" s="12" t="inlineStr">
        <is>
          <t>Nom</t>
        </is>
      </c>
      <c r="B18" s="11" t="n"/>
      <c r="C18" s="10" t="n"/>
      <c r="D18" s="11" t="n"/>
      <c r="E18" s="10" t="n"/>
      <c r="F18" s="11" t="n"/>
      <c r="G18" s="10" t="n"/>
      <c r="H18" s="11" t="n"/>
      <c r="I18" s="10" t="n"/>
      <c r="J18" s="11" t="n"/>
    </row>
    <row r="19" ht="30" customHeight="1">
      <c r="A19" s="12" t="inlineStr">
        <is>
          <t>Signature</t>
        </is>
      </c>
      <c r="B19" s="11" t="n"/>
      <c r="C19" s="10" t="n"/>
      <c r="D19" s="11" t="n"/>
      <c r="E19" s="10" t="n"/>
      <c r="F19" s="11" t="n"/>
      <c r="G19" s="10" t="n"/>
      <c r="H19" s="11" t="n"/>
      <c r="I19" s="10" t="n"/>
      <c r="J19" s="11" t="n"/>
    </row>
    <row r="20" ht="20" customHeight="1">
      <c r="A20" s="12" t="inlineStr">
        <is>
          <t>Date</t>
        </is>
      </c>
      <c r="B20" s="11" t="n"/>
      <c r="C20" s="10" t="n"/>
      <c r="D20" s="11" t="n"/>
      <c r="E20" s="10" t="n"/>
      <c r="F20" s="11" t="n"/>
      <c r="G20" s="10" t="n"/>
      <c r="H20" s="11" t="n"/>
      <c r="I20" s="10" t="n"/>
      <c r="J20" s="11" t="n"/>
    </row>
  </sheetData>
  <mergeCells count="52">
    <mergeCell ref="A9:H9"/>
    <mergeCell ref="A14:J14"/>
    <mergeCell ref="A15:B15"/>
    <mergeCell ref="I15:J15"/>
    <mergeCell ref="I2:J2"/>
    <mergeCell ref="C6:J6"/>
    <mergeCell ref="I11:J11"/>
    <mergeCell ref="A4:J4"/>
    <mergeCell ref="A11:H11"/>
    <mergeCell ref="C1:H3"/>
    <mergeCell ref="C5:J5"/>
    <mergeCell ref="E17:F17"/>
    <mergeCell ref="A1:B3"/>
    <mergeCell ref="A6:B6"/>
    <mergeCell ref="C20:D20"/>
    <mergeCell ref="E20:F20"/>
    <mergeCell ref="A7:B7"/>
    <mergeCell ref="G16:H17"/>
    <mergeCell ref="E19:F19"/>
    <mergeCell ref="G19:H19"/>
    <mergeCell ref="C15:F15"/>
    <mergeCell ref="A18:B18"/>
    <mergeCell ref="G18:H18"/>
    <mergeCell ref="I18:J18"/>
    <mergeCell ref="I3:J3"/>
    <mergeCell ref="A12:H12"/>
    <mergeCell ref="I12:J12"/>
    <mergeCell ref="G15:H15"/>
    <mergeCell ref="A5:B5"/>
    <mergeCell ref="H8:J8"/>
    <mergeCell ref="C16:F16"/>
    <mergeCell ref="A8:B8"/>
    <mergeCell ref="C17:D17"/>
    <mergeCell ref="C8:D8"/>
    <mergeCell ref="I1:J1"/>
    <mergeCell ref="A20:B20"/>
    <mergeCell ref="G20:H20"/>
    <mergeCell ref="I20:J20"/>
    <mergeCell ref="C7:J7"/>
    <mergeCell ref="A16:B17"/>
    <mergeCell ref="I10:J10"/>
    <mergeCell ref="I16:J17"/>
    <mergeCell ref="A19:B19"/>
    <mergeCell ref="E8:G8"/>
    <mergeCell ref="A10:H10"/>
    <mergeCell ref="C19:D19"/>
    <mergeCell ref="I19:J19"/>
    <mergeCell ref="A13:H13"/>
    <mergeCell ref="I13:J13"/>
    <mergeCell ref="C18:D18"/>
    <mergeCell ref="E18:F18"/>
    <mergeCell ref="I9:J9"/>
  </mergeCells>
  <dataValidations count="1">
    <dataValidation sqref="H8" showDropDown="0" showInputMessage="1" showErrorMessage="1" allowBlank="1" errorTitle="RFI inconnu" error="Ce numéro de RFI n'existe pas dans le Registre." promptTitle="RFI No" prompt="Choisissez le numéro de RFI : la fiche se remplit automatiquement." type="list">
      <formula1>=Liste_PRE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808080"/>
    <outlinePr summaryBelow="1" summaryRight="1"/>
    <pageSetUpPr/>
  </sheetPr>
  <dimension ref="A1:D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8" customWidth="1" min="4" max="4"/>
  </cols>
  <sheetData>
    <row r="1" ht="32" customHeight="1">
      <c r="A1" s="4" t="inlineStr">
        <is>
          <t>RFI No</t>
        </is>
      </c>
      <c r="B1" s="4" t="inlineStr">
        <is>
          <t>Profondeur tranchée</t>
        </is>
      </c>
      <c r="C1" s="4" t="inlineStr">
        <is>
          <t>Largeur tranchée</t>
        </is>
      </c>
      <c r="D1" s="4" t="inlineStr">
        <is>
          <t>Nature du terrain</t>
        </is>
      </c>
    </row>
    <row r="2">
      <c r="A2" s="7" t="inlineStr">
        <is>
          <t>21063-G26-PPL-RFI-0016</t>
        </is>
      </c>
      <c r="B2" s="7" t="inlineStr">
        <is>
          <t>C</t>
        </is>
      </c>
      <c r="C2" s="7" t="inlineStr">
        <is>
          <t>C</t>
        </is>
      </c>
      <c r="D2" s="7" t="inlineStr">
        <is>
          <t>Dune de sable</t>
        </is>
      </c>
    </row>
    <row r="3">
      <c r="A3" s="7" t="n"/>
      <c r="B3" s="7" t="n"/>
      <c r="C3" s="7" t="n"/>
      <c r="D3" s="7" t="n"/>
    </row>
    <row r="4">
      <c r="A4" s="7" t="n"/>
      <c r="B4" s="7" t="n"/>
      <c r="C4" s="7" t="n"/>
      <c r="D4" s="7" t="n"/>
    </row>
    <row r="5">
      <c r="A5" s="7" t="n"/>
      <c r="B5" s="7" t="n"/>
      <c r="C5" s="7" t="n"/>
      <c r="D5" s="7" t="n"/>
    </row>
    <row r="6">
      <c r="A6" s="7" t="n"/>
      <c r="B6" s="7" t="n"/>
      <c r="C6" s="7" t="n"/>
      <c r="D6" s="7" t="n"/>
    </row>
    <row r="7">
      <c r="A7" s="7" t="n"/>
      <c r="B7" s="7" t="n"/>
      <c r="C7" s="7" t="n"/>
      <c r="D7" s="7" t="n"/>
    </row>
    <row r="8">
      <c r="A8" s="7" t="n"/>
      <c r="B8" s="7" t="n"/>
      <c r="C8" s="7" t="n"/>
      <c r="D8" s="7" t="n"/>
    </row>
    <row r="9">
      <c r="A9" s="7" t="n"/>
      <c r="B9" s="7" t="n"/>
      <c r="C9" s="7" t="n"/>
      <c r="D9" s="7" t="n"/>
    </row>
    <row r="10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3">
      <c r="A13" s="7" t="n"/>
      <c r="B13" s="7" t="n"/>
      <c r="C13" s="7" t="n"/>
      <c r="D13" s="7" t="n"/>
    </row>
    <row r="14">
      <c r="A14" s="7" t="n"/>
      <c r="B14" s="7" t="n"/>
      <c r="C14" s="7" t="n"/>
      <c r="D14" s="7" t="n"/>
    </row>
    <row r="15">
      <c r="A15" s="7" t="n"/>
      <c r="B15" s="7" t="n"/>
      <c r="C15" s="7" t="n"/>
      <c r="D15" s="7" t="n"/>
    </row>
    <row r="16">
      <c r="A16" s="7" t="n"/>
      <c r="B16" s="7" t="n"/>
      <c r="C16" s="7" t="n"/>
      <c r="D16" s="7" t="n"/>
    </row>
    <row r="17">
      <c r="A17" s="7" t="n"/>
      <c r="B17" s="7" t="n"/>
      <c r="C17" s="7" t="n"/>
      <c r="D17" s="7" t="n"/>
    </row>
    <row r="18">
      <c r="A18" s="7" t="n"/>
      <c r="B18" s="7" t="n"/>
      <c r="C18" s="7" t="n"/>
      <c r="D18" s="7" t="n"/>
    </row>
    <row r="19">
      <c r="A19" s="7" t="n"/>
      <c r="B19" s="7" t="n"/>
      <c r="C19" s="7" t="n"/>
      <c r="D19" s="7" t="n"/>
    </row>
    <row r="20">
      <c r="A20" s="7" t="n"/>
      <c r="B20" s="7" t="n"/>
      <c r="C20" s="7" t="n"/>
      <c r="D20" s="7" t="n"/>
    </row>
    <row r="21">
      <c r="A21" s="7" t="n"/>
      <c r="B21" s="7" t="n"/>
      <c r="C21" s="7" t="n"/>
      <c r="D21" s="7" t="n"/>
    </row>
    <row r="22">
      <c r="A22" s="7" t="n"/>
      <c r="B22" s="7" t="n"/>
      <c r="C22" s="7" t="n"/>
      <c r="D22" s="7" t="n"/>
    </row>
    <row r="23">
      <c r="A23" s="7" t="n"/>
      <c r="B23" s="7" t="n"/>
      <c r="C23" s="7" t="n"/>
      <c r="D23" s="7" t="n"/>
    </row>
    <row r="24">
      <c r="A24" s="7" t="n"/>
      <c r="B24" s="7" t="n"/>
      <c r="C24" s="7" t="n"/>
      <c r="D24" s="7" t="n"/>
    </row>
    <row r="25">
      <c r="A25" s="7" t="n"/>
      <c r="B25" s="7" t="n"/>
      <c r="C25" s="7" t="n"/>
      <c r="D25" s="7" t="n"/>
    </row>
    <row r="26">
      <c r="A26" s="7" t="n"/>
      <c r="B26" s="7" t="n"/>
      <c r="C26" s="7" t="n"/>
      <c r="D26" s="7" t="n"/>
    </row>
    <row r="27">
      <c r="A27" s="7" t="n"/>
      <c r="B27" s="7" t="n"/>
      <c r="C27" s="7" t="n"/>
      <c r="D27" s="7" t="n"/>
    </row>
    <row r="28">
      <c r="A28" s="7" t="n"/>
      <c r="B28" s="7" t="n"/>
      <c r="C28" s="7" t="n"/>
      <c r="D28" s="7" t="n"/>
    </row>
    <row r="29">
      <c r="A29" s="7" t="n"/>
      <c r="B29" s="7" t="n"/>
      <c r="C29" s="7" t="n"/>
      <c r="D29" s="7" t="n"/>
    </row>
    <row r="30">
      <c r="A30" s="7" t="n"/>
      <c r="B30" s="7" t="n"/>
      <c r="C30" s="7" t="n"/>
      <c r="D30" s="7" t="n"/>
    </row>
    <row r="31">
      <c r="A31" s="7" t="n"/>
      <c r="B31" s="7" t="n"/>
      <c r="C31" s="7" t="n"/>
      <c r="D31" s="7" t="n"/>
    </row>
    <row r="32">
      <c r="A32" s="7" t="n"/>
      <c r="B32" s="7" t="n"/>
      <c r="C32" s="7" t="n"/>
      <c r="D32" s="7" t="n"/>
    </row>
    <row r="33">
      <c r="A33" s="7" t="n"/>
      <c r="B33" s="7" t="n"/>
      <c r="C33" s="7" t="n"/>
      <c r="D33" s="7" t="n"/>
    </row>
    <row r="34">
      <c r="A34" s="7" t="n"/>
      <c r="B34" s="7" t="n"/>
      <c r="C34" s="7" t="n"/>
      <c r="D34" s="7" t="n"/>
    </row>
    <row r="35">
      <c r="A35" s="7" t="n"/>
      <c r="B35" s="7" t="n"/>
      <c r="C35" s="7" t="n"/>
      <c r="D35" s="7" t="n"/>
    </row>
    <row r="36">
      <c r="A36" s="7" t="n"/>
      <c r="B36" s="7" t="n"/>
      <c r="C36" s="7" t="n"/>
      <c r="D36" s="7" t="n"/>
    </row>
    <row r="37">
      <c r="A37" s="7" t="n"/>
      <c r="B37" s="7" t="n"/>
      <c r="C37" s="7" t="n"/>
      <c r="D37" s="7" t="n"/>
    </row>
    <row r="38">
      <c r="A38" s="7" t="n"/>
      <c r="B38" s="7" t="n"/>
      <c r="C38" s="7" t="n"/>
      <c r="D38" s="7" t="n"/>
    </row>
    <row r="39">
      <c r="A39" s="7" t="n"/>
      <c r="B39" s="7" t="n"/>
      <c r="C39" s="7" t="n"/>
      <c r="D39" s="7" t="n"/>
    </row>
    <row r="40">
      <c r="A40" s="7" t="n"/>
      <c r="B40" s="7" t="n"/>
      <c r="C40" s="7" t="n"/>
      <c r="D40" s="7" t="n"/>
    </row>
    <row r="41">
      <c r="A41" s="7" t="n"/>
      <c r="B41" s="7" t="n"/>
      <c r="C41" s="7" t="n"/>
      <c r="D41" s="7" t="n"/>
    </row>
    <row r="42">
      <c r="A42" s="7" t="n"/>
      <c r="B42" s="7" t="n"/>
      <c r="C42" s="7" t="n"/>
      <c r="D42" s="7" t="n"/>
    </row>
    <row r="43">
      <c r="A43" s="7" t="n"/>
      <c r="B43" s="7" t="n"/>
      <c r="C43" s="7" t="n"/>
      <c r="D43" s="7" t="n"/>
    </row>
    <row r="44">
      <c r="A44" s="7" t="n"/>
      <c r="B44" s="7" t="n"/>
      <c r="C44" s="7" t="n"/>
      <c r="D44" s="7" t="n"/>
    </row>
    <row r="45">
      <c r="A45" s="7" t="n"/>
      <c r="B45" s="7" t="n"/>
      <c r="C45" s="7" t="n"/>
      <c r="D45" s="7" t="n"/>
    </row>
    <row r="46">
      <c r="A46" s="7" t="n"/>
      <c r="B46" s="7" t="n"/>
      <c r="C46" s="7" t="n"/>
      <c r="D46" s="7" t="n"/>
    </row>
    <row r="47">
      <c r="A47" s="7" t="n"/>
      <c r="B47" s="7" t="n"/>
      <c r="C47" s="7" t="n"/>
      <c r="D47" s="7" t="n"/>
    </row>
    <row r="48">
      <c r="A48" s="7" t="n"/>
      <c r="B48" s="7" t="n"/>
      <c r="C48" s="7" t="n"/>
      <c r="D48" s="7" t="n"/>
    </row>
    <row r="49">
      <c r="A49" s="7" t="n"/>
      <c r="B49" s="7" t="n"/>
      <c r="C49" s="7" t="n"/>
      <c r="D49" s="7" t="n"/>
    </row>
    <row r="50">
      <c r="A50" s="7" t="n"/>
      <c r="B50" s="7" t="n"/>
      <c r="C50" s="7" t="n"/>
      <c r="D50" s="7" t="n"/>
    </row>
    <row r="51">
      <c r="A51" s="7" t="n"/>
      <c r="B51" s="7" t="n"/>
      <c r="C51" s="7" t="n"/>
      <c r="D51" s="7" t="n"/>
    </row>
    <row r="52">
      <c r="A52" s="7" t="n"/>
      <c r="B52" s="7" t="n"/>
      <c r="C52" s="7" t="n"/>
      <c r="D52" s="7" t="n"/>
    </row>
    <row r="53">
      <c r="A53" s="7" t="n"/>
      <c r="B53" s="7" t="n"/>
      <c r="C53" s="7" t="n"/>
      <c r="D53" s="7" t="n"/>
    </row>
    <row r="54">
      <c r="A54" s="7" t="n"/>
      <c r="B54" s="7" t="n"/>
      <c r="C54" s="7" t="n"/>
      <c r="D54" s="7" t="n"/>
    </row>
    <row r="55">
      <c r="A55" s="7" t="n"/>
      <c r="B55" s="7" t="n"/>
      <c r="C55" s="7" t="n"/>
      <c r="D55" s="7" t="n"/>
    </row>
    <row r="56">
      <c r="A56" s="7" t="n"/>
      <c r="B56" s="7" t="n"/>
      <c r="C56" s="7" t="n"/>
      <c r="D56" s="7" t="n"/>
    </row>
    <row r="57">
      <c r="A57" s="7" t="n"/>
      <c r="B57" s="7" t="n"/>
      <c r="C57" s="7" t="n"/>
      <c r="D57" s="7" t="n"/>
    </row>
    <row r="58">
      <c r="A58" s="7" t="n"/>
      <c r="B58" s="7" t="n"/>
      <c r="C58" s="7" t="n"/>
      <c r="D58" s="7" t="n"/>
    </row>
    <row r="59">
      <c r="A59" s="7" t="n"/>
      <c r="B59" s="7" t="n"/>
      <c r="C59" s="7" t="n"/>
      <c r="D59" s="7" t="n"/>
    </row>
    <row r="60">
      <c r="A60" s="7" t="n"/>
      <c r="B60" s="7" t="n"/>
      <c r="C60" s="7" t="n"/>
      <c r="D60" s="7" t="n"/>
    </row>
    <row r="61">
      <c r="A61" s="7" t="n"/>
      <c r="B61" s="7" t="n"/>
      <c r="C61" s="7" t="n"/>
      <c r="D61" s="7" t="n"/>
    </row>
    <row r="62">
      <c r="A62" s="7" t="n"/>
      <c r="B62" s="7" t="n"/>
      <c r="C62" s="7" t="n"/>
      <c r="D62" s="7" t="n"/>
    </row>
    <row r="63">
      <c r="A63" s="7" t="n"/>
      <c r="B63" s="7" t="n"/>
      <c r="C63" s="7" t="n"/>
      <c r="D63" s="7" t="n"/>
    </row>
    <row r="64">
      <c r="A64" s="7" t="n"/>
      <c r="B64" s="7" t="n"/>
      <c r="C64" s="7" t="n"/>
      <c r="D64" s="7" t="n"/>
    </row>
    <row r="65">
      <c r="A65" s="7" t="n"/>
      <c r="B65" s="7" t="n"/>
      <c r="C65" s="7" t="n"/>
      <c r="D65" s="7" t="n"/>
    </row>
    <row r="66">
      <c r="A66" s="7" t="n"/>
      <c r="B66" s="7" t="n"/>
      <c r="C66" s="7" t="n"/>
      <c r="D66" s="7" t="n"/>
    </row>
    <row r="67">
      <c r="A67" s="7" t="n"/>
      <c r="B67" s="7" t="n"/>
      <c r="C67" s="7" t="n"/>
      <c r="D67" s="7" t="n"/>
    </row>
    <row r="68">
      <c r="A68" s="7" t="n"/>
      <c r="B68" s="7" t="n"/>
      <c r="C68" s="7" t="n"/>
      <c r="D68" s="7" t="n"/>
    </row>
    <row r="69">
      <c r="A69" s="7" t="n"/>
      <c r="B69" s="7" t="n"/>
      <c r="C69" s="7" t="n"/>
      <c r="D69" s="7" t="n"/>
    </row>
    <row r="70">
      <c r="A70" s="7" t="n"/>
      <c r="B70" s="7" t="n"/>
      <c r="C70" s="7" t="n"/>
      <c r="D70" s="7" t="n"/>
    </row>
    <row r="71">
      <c r="A71" s="7" t="n"/>
      <c r="B71" s="7" t="n"/>
      <c r="C71" s="7" t="n"/>
      <c r="D71" s="7" t="n"/>
    </row>
    <row r="72">
      <c r="A72" s="7" t="n"/>
      <c r="B72" s="7" t="n"/>
      <c r="C72" s="7" t="n"/>
      <c r="D72" s="7" t="n"/>
    </row>
    <row r="73">
      <c r="A73" s="7" t="n"/>
      <c r="B73" s="7" t="n"/>
      <c r="C73" s="7" t="n"/>
      <c r="D73" s="7" t="n"/>
    </row>
    <row r="74">
      <c r="A74" s="7" t="n"/>
      <c r="B74" s="7" t="n"/>
      <c r="C74" s="7" t="n"/>
      <c r="D74" s="7" t="n"/>
    </row>
    <row r="75">
      <c r="A75" s="7" t="n"/>
      <c r="B75" s="7" t="n"/>
      <c r="C75" s="7" t="n"/>
      <c r="D75" s="7" t="n"/>
    </row>
    <row r="76">
      <c r="A76" s="7" t="n"/>
      <c r="B76" s="7" t="n"/>
      <c r="C76" s="7" t="n"/>
      <c r="D76" s="7" t="n"/>
    </row>
    <row r="77">
      <c r="A77" s="7" t="n"/>
      <c r="B77" s="7" t="n"/>
      <c r="C77" s="7" t="n"/>
      <c r="D77" s="7" t="n"/>
    </row>
    <row r="78">
      <c r="A78" s="7" t="n"/>
      <c r="B78" s="7" t="n"/>
      <c r="C78" s="7" t="n"/>
      <c r="D78" s="7" t="n"/>
    </row>
    <row r="79">
      <c r="A79" s="7" t="n"/>
      <c r="B79" s="7" t="n"/>
      <c r="C79" s="7" t="n"/>
      <c r="D79" s="7" t="n"/>
    </row>
    <row r="80">
      <c r="A80" s="7" t="n"/>
      <c r="B80" s="7" t="n"/>
      <c r="C80" s="7" t="n"/>
      <c r="D80" s="7" t="n"/>
    </row>
    <row r="81">
      <c r="A81" s="7" t="n"/>
      <c r="B81" s="7" t="n"/>
      <c r="C81" s="7" t="n"/>
      <c r="D81" s="7" t="n"/>
    </row>
    <row r="82">
      <c r="A82" s="7" t="n"/>
      <c r="B82" s="7" t="n"/>
      <c r="C82" s="7" t="n"/>
      <c r="D82" s="7" t="n"/>
    </row>
    <row r="83">
      <c r="A83" s="7" t="n"/>
      <c r="B83" s="7" t="n"/>
      <c r="C83" s="7" t="n"/>
      <c r="D83" s="7" t="n"/>
    </row>
    <row r="84">
      <c r="A84" s="7" t="n"/>
      <c r="B84" s="7" t="n"/>
      <c r="C84" s="7" t="n"/>
      <c r="D84" s="7" t="n"/>
    </row>
    <row r="85">
      <c r="A85" s="7" t="n"/>
      <c r="B85" s="7" t="n"/>
      <c r="C85" s="7" t="n"/>
      <c r="D85" s="7" t="n"/>
    </row>
    <row r="86">
      <c r="A86" s="7" t="n"/>
      <c r="B86" s="7" t="n"/>
      <c r="C86" s="7" t="n"/>
      <c r="D86" s="7" t="n"/>
    </row>
    <row r="87">
      <c r="A87" s="7" t="n"/>
      <c r="B87" s="7" t="n"/>
      <c r="C87" s="7" t="n"/>
      <c r="D87" s="7" t="n"/>
    </row>
    <row r="88">
      <c r="A88" s="7" t="n"/>
      <c r="B88" s="7" t="n"/>
      <c r="C88" s="7" t="n"/>
      <c r="D88" s="7" t="n"/>
    </row>
    <row r="89">
      <c r="A89" s="7" t="n"/>
      <c r="B89" s="7" t="n"/>
      <c r="C89" s="7" t="n"/>
      <c r="D89" s="7" t="n"/>
    </row>
    <row r="90">
      <c r="A90" s="7" t="n"/>
      <c r="B90" s="7" t="n"/>
      <c r="C90" s="7" t="n"/>
      <c r="D90" s="7" t="n"/>
    </row>
    <row r="91">
      <c r="A91" s="7" t="n"/>
      <c r="B91" s="7" t="n"/>
      <c r="C91" s="7" t="n"/>
      <c r="D91" s="7" t="n"/>
    </row>
    <row r="92">
      <c r="A92" s="7" t="n"/>
      <c r="B92" s="7" t="n"/>
      <c r="C92" s="7" t="n"/>
      <c r="D92" s="7" t="n"/>
    </row>
    <row r="93">
      <c r="A93" s="7" t="n"/>
      <c r="B93" s="7" t="n"/>
      <c r="C93" s="7" t="n"/>
      <c r="D93" s="7" t="n"/>
    </row>
    <row r="94">
      <c r="A94" s="7" t="n"/>
      <c r="B94" s="7" t="n"/>
      <c r="C94" s="7" t="n"/>
      <c r="D94" s="7" t="n"/>
    </row>
    <row r="95">
      <c r="A95" s="7" t="n"/>
      <c r="B95" s="7" t="n"/>
      <c r="C95" s="7" t="n"/>
      <c r="D95" s="7" t="n"/>
    </row>
    <row r="96">
      <c r="A96" s="7" t="n"/>
      <c r="B96" s="7" t="n"/>
      <c r="C96" s="7" t="n"/>
      <c r="D96" s="7" t="n"/>
    </row>
    <row r="97">
      <c r="A97" s="7" t="n"/>
      <c r="B97" s="7" t="n"/>
      <c r="C97" s="7" t="n"/>
      <c r="D97" s="7" t="n"/>
    </row>
    <row r="98">
      <c r="A98" s="7" t="n"/>
      <c r="B98" s="7" t="n"/>
      <c r="C98" s="7" t="n"/>
      <c r="D98" s="7" t="n"/>
    </row>
    <row r="99">
      <c r="A99" s="7" t="n"/>
      <c r="B99" s="7" t="n"/>
      <c r="C99" s="7" t="n"/>
      <c r="D99" s="7" t="n"/>
    </row>
    <row r="100">
      <c r="A100" s="7" t="n"/>
      <c r="B100" s="7" t="n"/>
      <c r="C100" s="7" t="n"/>
      <c r="D100" s="7" t="n"/>
    </row>
    <row r="101">
      <c r="A101" s="7" t="n"/>
      <c r="B101" s="7" t="n"/>
      <c r="C101" s="7" t="n"/>
      <c r="D101" s="7" t="n"/>
    </row>
    <row r="102">
      <c r="A102" s="7" t="n"/>
      <c r="B102" s="7" t="n"/>
      <c r="C102" s="7" t="n"/>
      <c r="D102" s="7" t="n"/>
    </row>
    <row r="103">
      <c r="A103" s="7" t="n"/>
      <c r="B103" s="7" t="n"/>
      <c r="C103" s="7" t="n"/>
      <c r="D103" s="7" t="n"/>
    </row>
    <row r="104">
      <c r="A104" s="7" t="n"/>
      <c r="B104" s="7" t="n"/>
      <c r="C104" s="7" t="n"/>
      <c r="D104" s="7" t="n"/>
    </row>
    <row r="105">
      <c r="A105" s="7" t="n"/>
      <c r="B105" s="7" t="n"/>
      <c r="C105" s="7" t="n"/>
      <c r="D105" s="7" t="n"/>
    </row>
    <row r="106">
      <c r="A106" s="7" t="n"/>
      <c r="B106" s="7" t="n"/>
      <c r="C106" s="7" t="n"/>
      <c r="D106" s="7" t="n"/>
    </row>
    <row r="107">
      <c r="A107" s="7" t="n"/>
      <c r="B107" s="7" t="n"/>
      <c r="C107" s="7" t="n"/>
      <c r="D107" s="7" t="n"/>
    </row>
    <row r="108">
      <c r="A108" s="7" t="n"/>
      <c r="B108" s="7" t="n"/>
      <c r="C108" s="7" t="n"/>
      <c r="D108" s="7" t="n"/>
    </row>
    <row r="109">
      <c r="A109" s="7" t="n"/>
      <c r="B109" s="7" t="n"/>
      <c r="C109" s="7" t="n"/>
      <c r="D109" s="7" t="n"/>
    </row>
    <row r="110">
      <c r="A110" s="7" t="n"/>
      <c r="B110" s="7" t="n"/>
      <c r="C110" s="7" t="n"/>
      <c r="D110" s="7" t="n"/>
    </row>
    <row r="111">
      <c r="A111" s="7" t="n"/>
      <c r="B111" s="7" t="n"/>
      <c r="C111" s="7" t="n"/>
      <c r="D111" s="7" t="n"/>
    </row>
    <row r="112">
      <c r="A112" s="7" t="n"/>
      <c r="B112" s="7" t="n"/>
      <c r="C112" s="7" t="n"/>
      <c r="D112" s="7" t="n"/>
    </row>
    <row r="113">
      <c r="A113" s="7" t="n"/>
      <c r="B113" s="7" t="n"/>
      <c r="C113" s="7" t="n"/>
      <c r="D113" s="7" t="n"/>
    </row>
    <row r="114">
      <c r="A114" s="7" t="n"/>
      <c r="B114" s="7" t="n"/>
      <c r="C114" s="7" t="n"/>
      <c r="D114" s="7" t="n"/>
    </row>
    <row r="115">
      <c r="A115" s="7" t="n"/>
      <c r="B115" s="7" t="n"/>
      <c r="C115" s="7" t="n"/>
      <c r="D115" s="7" t="n"/>
    </row>
    <row r="116">
      <c r="A116" s="7" t="n"/>
      <c r="B116" s="7" t="n"/>
      <c r="C116" s="7" t="n"/>
      <c r="D116" s="7" t="n"/>
    </row>
    <row r="117">
      <c r="A117" s="7" t="n"/>
      <c r="B117" s="7" t="n"/>
      <c r="C117" s="7" t="n"/>
      <c r="D117" s="7" t="n"/>
    </row>
    <row r="118">
      <c r="A118" s="7" t="n"/>
      <c r="B118" s="7" t="n"/>
      <c r="C118" s="7" t="n"/>
      <c r="D118" s="7" t="n"/>
    </row>
    <row r="119">
      <c r="A119" s="7" t="n"/>
      <c r="B119" s="7" t="n"/>
      <c r="C119" s="7" t="n"/>
      <c r="D119" s="7" t="n"/>
    </row>
    <row r="120">
      <c r="A120" s="7" t="n"/>
      <c r="B120" s="7" t="n"/>
      <c r="C120" s="7" t="n"/>
      <c r="D120" s="7" t="n"/>
    </row>
    <row r="121">
      <c r="A121" s="7" t="n"/>
      <c r="B121" s="7" t="n"/>
      <c r="C121" s="7" t="n"/>
      <c r="D121" s="7" t="n"/>
    </row>
    <row r="122">
      <c r="A122" s="7" t="n"/>
      <c r="B122" s="7" t="n"/>
      <c r="C122" s="7" t="n"/>
      <c r="D122" s="7" t="n"/>
    </row>
    <row r="123">
      <c r="A123" s="7" t="n"/>
      <c r="B123" s="7" t="n"/>
      <c r="C123" s="7" t="n"/>
      <c r="D123" s="7" t="n"/>
    </row>
    <row r="124">
      <c r="A124" s="7" t="n"/>
      <c r="B124" s="7" t="n"/>
      <c r="C124" s="7" t="n"/>
      <c r="D124" s="7" t="n"/>
    </row>
    <row r="125">
      <c r="A125" s="7" t="n"/>
      <c r="B125" s="7" t="n"/>
      <c r="C125" s="7" t="n"/>
      <c r="D125" s="7" t="n"/>
    </row>
    <row r="126">
      <c r="A126" s="7" t="n"/>
      <c r="B126" s="7" t="n"/>
      <c r="C126" s="7" t="n"/>
      <c r="D126" s="7" t="n"/>
    </row>
    <row r="127">
      <c r="A127" s="7" t="n"/>
      <c r="B127" s="7" t="n"/>
      <c r="C127" s="7" t="n"/>
      <c r="D127" s="7" t="n"/>
    </row>
    <row r="128">
      <c r="A128" s="7" t="n"/>
      <c r="B128" s="7" t="n"/>
      <c r="C128" s="7" t="n"/>
      <c r="D128" s="7" t="n"/>
    </row>
    <row r="129">
      <c r="A129" s="7" t="n"/>
      <c r="B129" s="7" t="n"/>
      <c r="C129" s="7" t="n"/>
      <c r="D129" s="7" t="n"/>
    </row>
    <row r="130">
      <c r="A130" s="7" t="n"/>
      <c r="B130" s="7" t="n"/>
      <c r="C130" s="7" t="n"/>
      <c r="D130" s="7" t="n"/>
    </row>
    <row r="131">
      <c r="A131" s="7" t="n"/>
      <c r="B131" s="7" t="n"/>
      <c r="C131" s="7" t="n"/>
      <c r="D131" s="7" t="n"/>
    </row>
    <row r="132">
      <c r="A132" s="7" t="n"/>
      <c r="B132" s="7" t="n"/>
      <c r="C132" s="7" t="n"/>
      <c r="D132" s="7" t="n"/>
    </row>
    <row r="133">
      <c r="A133" s="7" t="n"/>
      <c r="B133" s="7" t="n"/>
      <c r="C133" s="7" t="n"/>
      <c r="D133" s="7" t="n"/>
    </row>
    <row r="134">
      <c r="A134" s="7" t="n"/>
      <c r="B134" s="7" t="n"/>
      <c r="C134" s="7" t="n"/>
      <c r="D134" s="7" t="n"/>
    </row>
    <row r="135">
      <c r="A135" s="7" t="n"/>
      <c r="B135" s="7" t="n"/>
      <c r="C135" s="7" t="n"/>
      <c r="D135" s="7" t="n"/>
    </row>
    <row r="136">
      <c r="A136" s="7" t="n"/>
      <c r="B136" s="7" t="n"/>
      <c r="C136" s="7" t="n"/>
      <c r="D136" s="7" t="n"/>
    </row>
    <row r="137">
      <c r="A137" s="7" t="n"/>
      <c r="B137" s="7" t="n"/>
      <c r="C137" s="7" t="n"/>
      <c r="D137" s="7" t="n"/>
    </row>
    <row r="138">
      <c r="A138" s="7" t="n"/>
      <c r="B138" s="7" t="n"/>
      <c r="C138" s="7" t="n"/>
      <c r="D138" s="7" t="n"/>
    </row>
    <row r="139">
      <c r="A139" s="7" t="n"/>
      <c r="B139" s="7" t="n"/>
      <c r="C139" s="7" t="n"/>
      <c r="D139" s="7" t="n"/>
    </row>
    <row r="140">
      <c r="A140" s="7" t="n"/>
      <c r="B140" s="7" t="n"/>
      <c r="C140" s="7" t="n"/>
      <c r="D140" s="7" t="n"/>
    </row>
    <row r="141">
      <c r="A141" s="7" t="n"/>
      <c r="B141" s="7" t="n"/>
      <c r="C141" s="7" t="n"/>
      <c r="D141" s="7" t="n"/>
    </row>
    <row r="142">
      <c r="A142" s="7" t="n"/>
      <c r="B142" s="7" t="n"/>
      <c r="C142" s="7" t="n"/>
      <c r="D142" s="7" t="n"/>
    </row>
    <row r="143">
      <c r="A143" s="7" t="n"/>
      <c r="B143" s="7" t="n"/>
      <c r="C143" s="7" t="n"/>
      <c r="D143" s="7" t="n"/>
    </row>
    <row r="144">
      <c r="A144" s="7" t="n"/>
      <c r="B144" s="7" t="n"/>
      <c r="C144" s="7" t="n"/>
      <c r="D144" s="7" t="n"/>
    </row>
    <row r="145">
      <c r="A145" s="7" t="n"/>
      <c r="B145" s="7" t="n"/>
      <c r="C145" s="7" t="n"/>
      <c r="D145" s="7" t="n"/>
    </row>
    <row r="146">
      <c r="A146" s="7" t="n"/>
      <c r="B146" s="7" t="n"/>
      <c r="C146" s="7" t="n"/>
      <c r="D146" s="7" t="n"/>
    </row>
    <row r="147">
      <c r="A147" s="7" t="n"/>
      <c r="B147" s="7" t="n"/>
      <c r="C147" s="7" t="n"/>
      <c r="D147" s="7" t="n"/>
    </row>
    <row r="148">
      <c r="A148" s="7" t="n"/>
      <c r="B148" s="7" t="n"/>
      <c r="C148" s="7" t="n"/>
      <c r="D148" s="7" t="n"/>
    </row>
    <row r="149">
      <c r="A149" s="7" t="n"/>
      <c r="B149" s="7" t="n"/>
      <c r="C149" s="7" t="n"/>
      <c r="D149" s="7" t="n"/>
    </row>
    <row r="150">
      <c r="A150" s="7" t="n"/>
      <c r="B150" s="7" t="n"/>
      <c r="C150" s="7" t="n"/>
      <c r="D150" s="7" t="n"/>
    </row>
    <row r="151">
      <c r="A151" s="7" t="n"/>
      <c r="B151" s="7" t="n"/>
      <c r="C151" s="7" t="n"/>
      <c r="D151" s="7" t="n"/>
    </row>
    <row r="152">
      <c r="A152" s="7" t="n"/>
      <c r="B152" s="7" t="n"/>
      <c r="C152" s="7" t="n"/>
      <c r="D152" s="7" t="n"/>
    </row>
    <row r="153">
      <c r="A153" s="7" t="n"/>
      <c r="B153" s="7" t="n"/>
      <c r="C153" s="7" t="n"/>
      <c r="D153" s="7" t="n"/>
    </row>
    <row r="154">
      <c r="A154" s="7" t="n"/>
      <c r="B154" s="7" t="n"/>
      <c r="C154" s="7" t="n"/>
      <c r="D154" s="7" t="n"/>
    </row>
    <row r="155">
      <c r="A155" s="7" t="n"/>
      <c r="B155" s="7" t="n"/>
      <c r="C155" s="7" t="n"/>
      <c r="D155" s="7" t="n"/>
    </row>
    <row r="156">
      <c r="A156" s="7" t="n"/>
      <c r="B156" s="7" t="n"/>
      <c r="C156" s="7" t="n"/>
      <c r="D156" s="7" t="n"/>
    </row>
    <row r="157">
      <c r="A157" s="7" t="n"/>
      <c r="B157" s="7" t="n"/>
      <c r="C157" s="7" t="n"/>
      <c r="D157" s="7" t="n"/>
    </row>
    <row r="158">
      <c r="A158" s="7" t="n"/>
      <c r="B158" s="7" t="n"/>
      <c r="C158" s="7" t="n"/>
      <c r="D158" s="7" t="n"/>
    </row>
    <row r="159">
      <c r="A159" s="7" t="n"/>
      <c r="B159" s="7" t="n"/>
      <c r="C159" s="7" t="n"/>
      <c r="D159" s="7" t="n"/>
    </row>
    <row r="160">
      <c r="A160" s="7" t="n"/>
      <c r="B160" s="7" t="n"/>
      <c r="C160" s="7" t="n"/>
      <c r="D160" s="7" t="n"/>
    </row>
    <row r="161">
      <c r="A161" s="7" t="n"/>
      <c r="B161" s="7" t="n"/>
      <c r="C161" s="7" t="n"/>
      <c r="D161" s="7" t="n"/>
    </row>
    <row r="162">
      <c r="A162" s="7" t="n"/>
      <c r="B162" s="7" t="n"/>
      <c r="C162" s="7" t="n"/>
      <c r="D162" s="7" t="n"/>
    </row>
    <row r="163">
      <c r="A163" s="7" t="n"/>
      <c r="B163" s="7" t="n"/>
      <c r="C163" s="7" t="n"/>
      <c r="D163" s="7" t="n"/>
    </row>
    <row r="164">
      <c r="A164" s="7" t="n"/>
      <c r="B164" s="7" t="n"/>
      <c r="C164" s="7" t="n"/>
      <c r="D164" s="7" t="n"/>
    </row>
    <row r="165">
      <c r="A165" s="7" t="n"/>
      <c r="B165" s="7" t="n"/>
      <c r="C165" s="7" t="n"/>
      <c r="D165" s="7" t="n"/>
    </row>
    <row r="166">
      <c r="A166" s="7" t="n"/>
      <c r="B166" s="7" t="n"/>
      <c r="C166" s="7" t="n"/>
      <c r="D166" s="7" t="n"/>
    </row>
    <row r="167">
      <c r="A167" s="7" t="n"/>
      <c r="B167" s="7" t="n"/>
      <c r="C167" s="7" t="n"/>
      <c r="D167" s="7" t="n"/>
    </row>
    <row r="168">
      <c r="A168" s="7" t="n"/>
      <c r="B168" s="7" t="n"/>
      <c r="C168" s="7" t="n"/>
      <c r="D168" s="7" t="n"/>
    </row>
    <row r="169">
      <c r="A169" s="7" t="n"/>
      <c r="B169" s="7" t="n"/>
      <c r="C169" s="7" t="n"/>
      <c r="D169" s="7" t="n"/>
    </row>
    <row r="170">
      <c r="A170" s="7" t="n"/>
      <c r="B170" s="7" t="n"/>
      <c r="C170" s="7" t="n"/>
      <c r="D170" s="7" t="n"/>
    </row>
    <row r="171">
      <c r="A171" s="7" t="n"/>
      <c r="B171" s="7" t="n"/>
      <c r="C171" s="7" t="n"/>
      <c r="D171" s="7" t="n"/>
    </row>
    <row r="172">
      <c r="A172" s="7" t="n"/>
      <c r="B172" s="7" t="n"/>
      <c r="C172" s="7" t="n"/>
      <c r="D172" s="7" t="n"/>
    </row>
    <row r="173">
      <c r="A173" s="7" t="n"/>
      <c r="B173" s="7" t="n"/>
      <c r="C173" s="7" t="n"/>
      <c r="D173" s="7" t="n"/>
    </row>
    <row r="174">
      <c r="A174" s="7" t="n"/>
      <c r="B174" s="7" t="n"/>
      <c r="C174" s="7" t="n"/>
      <c r="D174" s="7" t="n"/>
    </row>
    <row r="175">
      <c r="A175" s="7" t="n"/>
      <c r="B175" s="7" t="n"/>
      <c r="C175" s="7" t="n"/>
      <c r="D175" s="7" t="n"/>
    </row>
    <row r="176">
      <c r="A176" s="7" t="n"/>
      <c r="B176" s="7" t="n"/>
      <c r="C176" s="7" t="n"/>
      <c r="D176" s="7" t="n"/>
    </row>
    <row r="177">
      <c r="A177" s="7" t="n"/>
      <c r="B177" s="7" t="n"/>
      <c r="C177" s="7" t="n"/>
      <c r="D177" s="7" t="n"/>
    </row>
    <row r="178">
      <c r="A178" s="7" t="n"/>
      <c r="B178" s="7" t="n"/>
      <c r="C178" s="7" t="n"/>
      <c r="D178" s="7" t="n"/>
    </row>
    <row r="179">
      <c r="A179" s="7" t="n"/>
      <c r="B179" s="7" t="n"/>
      <c r="C179" s="7" t="n"/>
      <c r="D179" s="7" t="n"/>
    </row>
    <row r="180">
      <c r="A180" s="7" t="n"/>
      <c r="B180" s="7" t="n"/>
      <c r="C180" s="7" t="n"/>
      <c r="D180" s="7" t="n"/>
    </row>
    <row r="181">
      <c r="A181" s="7" t="n"/>
      <c r="B181" s="7" t="n"/>
      <c r="C181" s="7" t="n"/>
      <c r="D181" s="7" t="n"/>
    </row>
    <row r="182">
      <c r="A182" s="7" t="n"/>
      <c r="B182" s="7" t="n"/>
      <c r="C182" s="7" t="n"/>
      <c r="D182" s="7" t="n"/>
    </row>
    <row r="183">
      <c r="A183" s="7" t="n"/>
      <c r="B183" s="7" t="n"/>
      <c r="C183" s="7" t="n"/>
      <c r="D183" s="7" t="n"/>
    </row>
    <row r="184">
      <c r="A184" s="7" t="n"/>
      <c r="B184" s="7" t="n"/>
      <c r="C184" s="7" t="n"/>
      <c r="D184" s="7" t="n"/>
    </row>
    <row r="185">
      <c r="A185" s="7" t="n"/>
      <c r="B185" s="7" t="n"/>
      <c r="C185" s="7" t="n"/>
      <c r="D185" s="7" t="n"/>
    </row>
    <row r="186">
      <c r="A186" s="7" t="n"/>
      <c r="B186" s="7" t="n"/>
      <c r="C186" s="7" t="n"/>
      <c r="D186" s="7" t="n"/>
    </row>
    <row r="187">
      <c r="A187" s="7" t="n"/>
      <c r="B187" s="7" t="n"/>
      <c r="C187" s="7" t="n"/>
      <c r="D187" s="7" t="n"/>
    </row>
    <row r="188">
      <c r="A188" s="7" t="n"/>
      <c r="B188" s="7" t="n"/>
      <c r="C188" s="7" t="n"/>
      <c r="D188" s="7" t="n"/>
    </row>
    <row r="189">
      <c r="A189" s="7" t="n"/>
      <c r="B189" s="7" t="n"/>
      <c r="C189" s="7" t="n"/>
      <c r="D189" s="7" t="n"/>
    </row>
    <row r="190">
      <c r="A190" s="7" t="n"/>
      <c r="B190" s="7" t="n"/>
      <c r="C190" s="7" t="n"/>
      <c r="D190" s="7" t="n"/>
    </row>
    <row r="191">
      <c r="A191" s="7" t="n"/>
      <c r="B191" s="7" t="n"/>
      <c r="C191" s="7" t="n"/>
      <c r="D191" s="7" t="n"/>
    </row>
    <row r="192">
      <c r="A192" s="7" t="n"/>
      <c r="B192" s="7" t="n"/>
      <c r="C192" s="7" t="n"/>
      <c r="D192" s="7" t="n"/>
    </row>
    <row r="193">
      <c r="A193" s="7" t="n"/>
      <c r="B193" s="7" t="n"/>
      <c r="C193" s="7" t="n"/>
      <c r="D193" s="7" t="n"/>
    </row>
    <row r="194">
      <c r="A194" s="7" t="n"/>
      <c r="B194" s="7" t="n"/>
      <c r="C194" s="7" t="n"/>
      <c r="D194" s="7" t="n"/>
    </row>
    <row r="195">
      <c r="A195" s="7" t="n"/>
      <c r="B195" s="7" t="n"/>
      <c r="C195" s="7" t="n"/>
      <c r="D195" s="7" t="n"/>
    </row>
    <row r="196">
      <c r="A196" s="7" t="n"/>
      <c r="B196" s="7" t="n"/>
      <c r="C196" s="7" t="n"/>
      <c r="D196" s="7" t="n"/>
    </row>
    <row r="197">
      <c r="A197" s="7" t="n"/>
      <c r="B197" s="7" t="n"/>
      <c r="C197" s="7" t="n"/>
      <c r="D197" s="7" t="n"/>
    </row>
    <row r="198">
      <c r="A198" s="7" t="n"/>
      <c r="B198" s="7" t="n"/>
      <c r="C198" s="7" t="n"/>
      <c r="D198" s="7" t="n"/>
    </row>
    <row r="199">
      <c r="A199" s="7" t="n"/>
      <c r="B199" s="7" t="n"/>
      <c r="C199" s="7" t="n"/>
      <c r="D199" s="7" t="n"/>
    </row>
    <row r="200">
      <c r="A200" s="7" t="n"/>
      <c r="B200" s="7" t="n"/>
      <c r="C200" s="7" t="n"/>
      <c r="D200" s="7" t="n"/>
    </row>
    <row r="201">
      <c r="A201" s="7" t="n"/>
      <c r="B201" s="7" t="n"/>
      <c r="C201" s="7" t="n"/>
      <c r="D201" s="7" t="n"/>
    </row>
    <row r="202">
      <c r="A202" s="7" t="n"/>
      <c r="B202" s="7" t="n"/>
      <c r="C202" s="7" t="n"/>
      <c r="D202" s="7" t="n"/>
    </row>
    <row r="203">
      <c r="A203" s="7" t="n"/>
      <c r="B203" s="7" t="n"/>
      <c r="C203" s="7" t="n"/>
      <c r="D203" s="7" t="n"/>
    </row>
    <row r="204">
      <c r="A204" s="7" t="n"/>
      <c r="B204" s="7" t="n"/>
      <c r="C204" s="7" t="n"/>
      <c r="D204" s="7" t="n"/>
    </row>
    <row r="205">
      <c r="A205" s="7" t="n"/>
      <c r="B205" s="7" t="n"/>
      <c r="C205" s="7" t="n"/>
      <c r="D205" s="7" t="n"/>
    </row>
    <row r="206">
      <c r="A206" s="7" t="n"/>
      <c r="B206" s="7" t="n"/>
      <c r="C206" s="7" t="n"/>
      <c r="D206" s="7" t="n"/>
    </row>
    <row r="207">
      <c r="A207" s="7" t="n"/>
      <c r="B207" s="7" t="n"/>
      <c r="C207" s="7" t="n"/>
      <c r="D207" s="7" t="n"/>
    </row>
    <row r="208">
      <c r="A208" s="7" t="n"/>
      <c r="B208" s="7" t="n"/>
      <c r="C208" s="7" t="n"/>
      <c r="D208" s="7" t="n"/>
    </row>
    <row r="209">
      <c r="A209" s="7" t="n"/>
      <c r="B209" s="7" t="n"/>
      <c r="C209" s="7" t="n"/>
      <c r="D209" s="7" t="n"/>
    </row>
    <row r="210">
      <c r="A210" s="7" t="n"/>
      <c r="B210" s="7" t="n"/>
      <c r="C210" s="7" t="n"/>
      <c r="D210" s="7" t="n"/>
    </row>
    <row r="211">
      <c r="A211" s="7" t="n"/>
      <c r="B211" s="7" t="n"/>
      <c r="C211" s="7" t="n"/>
      <c r="D211" s="7" t="n"/>
    </row>
    <row r="212">
      <c r="A212" s="7" t="n"/>
      <c r="B212" s="7" t="n"/>
      <c r="C212" s="7" t="n"/>
      <c r="D212" s="7" t="n"/>
    </row>
    <row r="213">
      <c r="A213" s="7" t="n"/>
      <c r="B213" s="7" t="n"/>
      <c r="C213" s="7" t="n"/>
      <c r="D213" s="7" t="n"/>
    </row>
    <row r="214">
      <c r="A214" s="7" t="n"/>
      <c r="B214" s="7" t="n"/>
      <c r="C214" s="7" t="n"/>
      <c r="D214" s="7" t="n"/>
    </row>
    <row r="215">
      <c r="A215" s="7" t="n"/>
      <c r="B215" s="7" t="n"/>
      <c r="C215" s="7" t="n"/>
      <c r="D215" s="7" t="n"/>
    </row>
    <row r="216">
      <c r="A216" s="7" t="n"/>
      <c r="B216" s="7" t="n"/>
      <c r="C216" s="7" t="n"/>
      <c r="D216" s="7" t="n"/>
    </row>
    <row r="217">
      <c r="A217" s="7" t="n"/>
      <c r="B217" s="7" t="n"/>
      <c r="C217" s="7" t="n"/>
      <c r="D217" s="7" t="n"/>
    </row>
    <row r="218">
      <c r="A218" s="7" t="n"/>
      <c r="B218" s="7" t="n"/>
      <c r="C218" s="7" t="n"/>
      <c r="D218" s="7" t="n"/>
    </row>
    <row r="219">
      <c r="A219" s="7" t="n"/>
      <c r="B219" s="7" t="n"/>
      <c r="C219" s="7" t="n"/>
      <c r="D219" s="7" t="n"/>
    </row>
    <row r="220">
      <c r="A220" s="7" t="n"/>
      <c r="B220" s="7" t="n"/>
      <c r="C220" s="7" t="n"/>
      <c r="D220" s="7" t="n"/>
    </row>
    <row r="221">
      <c r="A221" s="7" t="n"/>
      <c r="B221" s="7" t="n"/>
      <c r="C221" s="7" t="n"/>
      <c r="D221" s="7" t="n"/>
    </row>
    <row r="222">
      <c r="A222" s="7" t="n"/>
      <c r="B222" s="7" t="n"/>
      <c r="C222" s="7" t="n"/>
      <c r="D222" s="7" t="n"/>
    </row>
    <row r="223">
      <c r="A223" s="7" t="n"/>
      <c r="B223" s="7" t="n"/>
      <c r="C223" s="7" t="n"/>
      <c r="D223" s="7" t="n"/>
    </row>
    <row r="224">
      <c r="A224" s="7" t="n"/>
      <c r="B224" s="7" t="n"/>
      <c r="C224" s="7" t="n"/>
      <c r="D224" s="7" t="n"/>
    </row>
    <row r="225">
      <c r="A225" s="7" t="n"/>
      <c r="B225" s="7" t="n"/>
      <c r="C225" s="7" t="n"/>
      <c r="D225" s="7" t="n"/>
    </row>
    <row r="226">
      <c r="A226" s="7" t="n"/>
      <c r="B226" s="7" t="n"/>
      <c r="C226" s="7" t="n"/>
      <c r="D226" s="7" t="n"/>
    </row>
    <row r="227">
      <c r="A227" s="7" t="n"/>
      <c r="B227" s="7" t="n"/>
      <c r="C227" s="7" t="n"/>
      <c r="D227" s="7" t="n"/>
    </row>
    <row r="228">
      <c r="A228" s="7" t="n"/>
      <c r="B228" s="7" t="n"/>
      <c r="C228" s="7" t="n"/>
      <c r="D228" s="7" t="n"/>
    </row>
    <row r="229">
      <c r="A229" s="7" t="n"/>
      <c r="B229" s="7" t="n"/>
      <c r="C229" s="7" t="n"/>
      <c r="D229" s="7" t="n"/>
    </row>
    <row r="230">
      <c r="A230" s="7" t="n"/>
      <c r="B230" s="7" t="n"/>
      <c r="C230" s="7" t="n"/>
      <c r="D230" s="7" t="n"/>
    </row>
    <row r="231">
      <c r="A231" s="7" t="n"/>
      <c r="B231" s="7" t="n"/>
      <c r="C231" s="7" t="n"/>
      <c r="D231" s="7" t="n"/>
    </row>
    <row r="232">
      <c r="A232" s="7" t="n"/>
      <c r="B232" s="7" t="n"/>
      <c r="C232" s="7" t="n"/>
      <c r="D232" s="7" t="n"/>
    </row>
    <row r="233">
      <c r="A233" s="7" t="n"/>
      <c r="B233" s="7" t="n"/>
      <c r="C233" s="7" t="n"/>
      <c r="D233" s="7" t="n"/>
    </row>
    <row r="234">
      <c r="A234" s="7" t="n"/>
      <c r="B234" s="7" t="n"/>
      <c r="C234" s="7" t="n"/>
      <c r="D234" s="7" t="n"/>
    </row>
    <row r="235">
      <c r="A235" s="7" t="n"/>
      <c r="B235" s="7" t="n"/>
      <c r="C235" s="7" t="n"/>
      <c r="D235" s="7" t="n"/>
    </row>
    <row r="236">
      <c r="A236" s="7" t="n"/>
      <c r="B236" s="7" t="n"/>
      <c r="C236" s="7" t="n"/>
      <c r="D236" s="7" t="n"/>
    </row>
    <row r="237">
      <c r="A237" s="7" t="n"/>
      <c r="B237" s="7" t="n"/>
      <c r="C237" s="7" t="n"/>
      <c r="D237" s="7" t="n"/>
    </row>
    <row r="238">
      <c r="A238" s="7" t="n"/>
      <c r="B238" s="7" t="n"/>
      <c r="C238" s="7" t="n"/>
      <c r="D238" s="7" t="n"/>
    </row>
    <row r="239">
      <c r="A239" s="7" t="n"/>
      <c r="B239" s="7" t="n"/>
      <c r="C239" s="7" t="n"/>
      <c r="D239" s="7" t="n"/>
    </row>
    <row r="240">
      <c r="A240" s="7" t="n"/>
      <c r="B240" s="7" t="n"/>
      <c r="C240" s="7" t="n"/>
      <c r="D240" s="7" t="n"/>
    </row>
    <row r="241">
      <c r="A241" s="7" t="n"/>
      <c r="B241" s="7" t="n"/>
      <c r="C241" s="7" t="n"/>
      <c r="D241" s="7" t="n"/>
    </row>
    <row r="242">
      <c r="A242" s="7" t="n"/>
      <c r="B242" s="7" t="n"/>
      <c r="C242" s="7" t="n"/>
      <c r="D242" s="7" t="n"/>
    </row>
    <row r="243">
      <c r="A243" s="7" t="n"/>
      <c r="B243" s="7" t="n"/>
      <c r="C243" s="7" t="n"/>
      <c r="D243" s="7" t="n"/>
    </row>
    <row r="244">
      <c r="A244" s="7" t="n"/>
      <c r="B244" s="7" t="n"/>
      <c r="C244" s="7" t="n"/>
      <c r="D244" s="7" t="n"/>
    </row>
    <row r="245">
      <c r="A245" s="7" t="n"/>
      <c r="B245" s="7" t="n"/>
      <c r="C245" s="7" t="n"/>
      <c r="D245" s="7" t="n"/>
    </row>
    <row r="246">
      <c r="A246" s="7" t="n"/>
      <c r="B246" s="7" t="n"/>
      <c r="C246" s="7" t="n"/>
      <c r="D246" s="7" t="n"/>
    </row>
    <row r="247">
      <c r="A247" s="7" t="n"/>
      <c r="B247" s="7" t="n"/>
      <c r="C247" s="7" t="n"/>
      <c r="D247" s="7" t="n"/>
    </row>
    <row r="248">
      <c r="A248" s="7" t="n"/>
      <c r="B248" s="7" t="n"/>
      <c r="C248" s="7" t="n"/>
      <c r="D248" s="7" t="n"/>
    </row>
    <row r="249">
      <c r="A249" s="7" t="n"/>
      <c r="B249" s="7" t="n"/>
      <c r="C249" s="7" t="n"/>
      <c r="D249" s="7" t="n"/>
    </row>
    <row r="250">
      <c r="A250" s="7" t="n"/>
      <c r="B250" s="7" t="n"/>
      <c r="C250" s="7" t="n"/>
      <c r="D250" s="7" t="n"/>
    </row>
    <row r="251">
      <c r="A251" s="7" t="n"/>
      <c r="B251" s="7" t="n"/>
      <c r="C251" s="7" t="n"/>
      <c r="D251" s="7" t="n"/>
    </row>
    <row r="252">
      <c r="A252" s="7" t="n"/>
      <c r="B252" s="7" t="n"/>
      <c r="C252" s="7" t="n"/>
      <c r="D252" s="7" t="n"/>
    </row>
    <row r="253">
      <c r="A253" s="7" t="n"/>
      <c r="B253" s="7" t="n"/>
      <c r="C253" s="7" t="n"/>
      <c r="D253" s="7" t="n"/>
    </row>
    <row r="254">
      <c r="A254" s="7" t="n"/>
      <c r="B254" s="7" t="n"/>
      <c r="C254" s="7" t="n"/>
      <c r="D254" s="7" t="n"/>
    </row>
    <row r="255">
      <c r="A255" s="7" t="n"/>
      <c r="B255" s="7" t="n"/>
      <c r="C255" s="7" t="n"/>
      <c r="D255" s="7" t="n"/>
    </row>
    <row r="256">
      <c r="A256" s="7" t="n"/>
      <c r="B256" s="7" t="n"/>
      <c r="C256" s="7" t="n"/>
      <c r="D256" s="7" t="n"/>
    </row>
    <row r="257">
      <c r="A257" s="7" t="n"/>
      <c r="B257" s="7" t="n"/>
      <c r="C257" s="7" t="n"/>
      <c r="D257" s="7" t="n"/>
    </row>
    <row r="258">
      <c r="A258" s="7" t="n"/>
      <c r="B258" s="7" t="n"/>
      <c r="C258" s="7" t="n"/>
      <c r="D258" s="7" t="n"/>
    </row>
    <row r="259">
      <c r="A259" s="7" t="n"/>
      <c r="B259" s="7" t="n"/>
      <c r="C259" s="7" t="n"/>
      <c r="D259" s="7" t="n"/>
    </row>
    <row r="260">
      <c r="A260" s="7" t="n"/>
      <c r="B260" s="7" t="n"/>
      <c r="C260" s="7" t="n"/>
      <c r="D260" s="7" t="n"/>
    </row>
    <row r="261">
      <c r="A261" s="7" t="n"/>
      <c r="B261" s="7" t="n"/>
      <c r="C261" s="7" t="n"/>
      <c r="D261" s="7" t="n"/>
    </row>
    <row r="262">
      <c r="A262" s="7" t="n"/>
      <c r="B262" s="7" t="n"/>
      <c r="C262" s="7" t="n"/>
      <c r="D262" s="7" t="n"/>
    </row>
    <row r="263">
      <c r="A263" s="7" t="n"/>
      <c r="B263" s="7" t="n"/>
      <c r="C263" s="7" t="n"/>
      <c r="D263" s="7" t="n"/>
    </row>
    <row r="264">
      <c r="A264" s="7" t="n"/>
      <c r="B264" s="7" t="n"/>
      <c r="C264" s="7" t="n"/>
      <c r="D264" s="7" t="n"/>
    </row>
    <row r="265">
      <c r="A265" s="7" t="n"/>
      <c r="B265" s="7" t="n"/>
      <c r="C265" s="7" t="n"/>
      <c r="D265" s="7" t="n"/>
    </row>
    <row r="266">
      <c r="A266" s="7" t="n"/>
      <c r="B266" s="7" t="n"/>
      <c r="C266" s="7" t="n"/>
      <c r="D266" s="7" t="n"/>
    </row>
    <row r="267">
      <c r="A267" s="7" t="n"/>
      <c r="B267" s="7" t="n"/>
      <c r="C267" s="7" t="n"/>
      <c r="D267" s="7" t="n"/>
    </row>
    <row r="268">
      <c r="A268" s="7" t="n"/>
      <c r="B268" s="7" t="n"/>
      <c r="C268" s="7" t="n"/>
      <c r="D268" s="7" t="n"/>
    </row>
    <row r="269">
      <c r="A269" s="7" t="n"/>
      <c r="B269" s="7" t="n"/>
      <c r="C269" s="7" t="n"/>
      <c r="D269" s="7" t="n"/>
    </row>
    <row r="270">
      <c r="A270" s="7" t="n"/>
      <c r="B270" s="7" t="n"/>
      <c r="C270" s="7" t="n"/>
      <c r="D270" s="7" t="n"/>
    </row>
    <row r="271">
      <c r="A271" s="7" t="n"/>
      <c r="B271" s="7" t="n"/>
      <c r="C271" s="7" t="n"/>
      <c r="D271" s="7" t="n"/>
    </row>
    <row r="272">
      <c r="A272" s="7" t="n"/>
      <c r="B272" s="7" t="n"/>
      <c r="C272" s="7" t="n"/>
      <c r="D272" s="7" t="n"/>
    </row>
    <row r="273">
      <c r="A273" s="7" t="n"/>
      <c r="B273" s="7" t="n"/>
      <c r="C273" s="7" t="n"/>
      <c r="D273" s="7" t="n"/>
    </row>
    <row r="274">
      <c r="A274" s="7" t="n"/>
      <c r="B274" s="7" t="n"/>
      <c r="C274" s="7" t="n"/>
      <c r="D274" s="7" t="n"/>
    </row>
    <row r="275">
      <c r="A275" s="7" t="n"/>
      <c r="B275" s="7" t="n"/>
      <c r="C275" s="7" t="n"/>
      <c r="D275" s="7" t="n"/>
    </row>
    <row r="276">
      <c r="A276" s="7" t="n"/>
      <c r="B276" s="7" t="n"/>
      <c r="C276" s="7" t="n"/>
      <c r="D276" s="7" t="n"/>
    </row>
    <row r="277">
      <c r="A277" s="7" t="n"/>
      <c r="B277" s="7" t="n"/>
      <c r="C277" s="7" t="n"/>
      <c r="D277" s="7" t="n"/>
    </row>
    <row r="278">
      <c r="A278" s="7" t="n"/>
      <c r="B278" s="7" t="n"/>
      <c r="C278" s="7" t="n"/>
      <c r="D278" s="7" t="n"/>
    </row>
    <row r="279">
      <c r="A279" s="7" t="n"/>
      <c r="B279" s="7" t="n"/>
      <c r="C279" s="7" t="n"/>
      <c r="D279" s="7" t="n"/>
    </row>
    <row r="280">
      <c r="A280" s="7" t="n"/>
      <c r="B280" s="7" t="n"/>
      <c r="C280" s="7" t="n"/>
      <c r="D280" s="7" t="n"/>
    </row>
    <row r="281">
      <c r="A281" s="7" t="n"/>
      <c r="B281" s="7" t="n"/>
      <c r="C281" s="7" t="n"/>
      <c r="D281" s="7" t="n"/>
    </row>
    <row r="282">
      <c r="A282" s="7" t="n"/>
      <c r="B282" s="7" t="n"/>
      <c r="C282" s="7" t="n"/>
      <c r="D282" s="7" t="n"/>
    </row>
    <row r="283">
      <c r="A283" s="7" t="n"/>
      <c r="B283" s="7" t="n"/>
      <c r="C283" s="7" t="n"/>
      <c r="D283" s="7" t="n"/>
    </row>
    <row r="284">
      <c r="A284" s="7" t="n"/>
      <c r="B284" s="7" t="n"/>
      <c r="C284" s="7" t="n"/>
      <c r="D284" s="7" t="n"/>
    </row>
    <row r="285">
      <c r="A285" s="7" t="n"/>
      <c r="B285" s="7" t="n"/>
      <c r="C285" s="7" t="n"/>
      <c r="D285" s="7" t="n"/>
    </row>
    <row r="286">
      <c r="A286" s="7" t="n"/>
      <c r="B286" s="7" t="n"/>
      <c r="C286" s="7" t="n"/>
      <c r="D286" s="7" t="n"/>
    </row>
    <row r="287">
      <c r="A287" s="7" t="n"/>
      <c r="B287" s="7" t="n"/>
      <c r="C287" s="7" t="n"/>
      <c r="D287" s="7" t="n"/>
    </row>
    <row r="288">
      <c r="A288" s="7" t="n"/>
      <c r="B288" s="7" t="n"/>
      <c r="C288" s="7" t="n"/>
      <c r="D288" s="7" t="n"/>
    </row>
    <row r="289">
      <c r="A289" s="7" t="n"/>
      <c r="B289" s="7" t="n"/>
      <c r="C289" s="7" t="n"/>
      <c r="D289" s="7" t="n"/>
    </row>
    <row r="290">
      <c r="A290" s="7" t="n"/>
      <c r="B290" s="7" t="n"/>
      <c r="C290" s="7" t="n"/>
      <c r="D290" s="7" t="n"/>
    </row>
    <row r="291">
      <c r="A291" s="7" t="n"/>
      <c r="B291" s="7" t="n"/>
      <c r="C291" s="7" t="n"/>
      <c r="D291" s="7" t="n"/>
    </row>
    <row r="292">
      <c r="A292" s="7" t="n"/>
      <c r="B292" s="7" t="n"/>
      <c r="C292" s="7" t="n"/>
      <c r="D292" s="7" t="n"/>
    </row>
    <row r="293">
      <c r="A293" s="7" t="n"/>
      <c r="B293" s="7" t="n"/>
      <c r="C293" s="7" t="n"/>
      <c r="D293" s="7" t="n"/>
    </row>
    <row r="294">
      <c r="A294" s="7" t="n"/>
      <c r="B294" s="7" t="n"/>
      <c r="C294" s="7" t="n"/>
      <c r="D294" s="7" t="n"/>
    </row>
    <row r="295">
      <c r="A295" s="7" t="n"/>
      <c r="B295" s="7" t="n"/>
      <c r="C295" s="7" t="n"/>
      <c r="D295" s="7" t="n"/>
    </row>
    <row r="296">
      <c r="A296" s="7" t="n"/>
      <c r="B296" s="7" t="n"/>
      <c r="C296" s="7" t="n"/>
      <c r="D296" s="7" t="n"/>
    </row>
    <row r="297">
      <c r="A297" s="7" t="n"/>
      <c r="B297" s="7" t="n"/>
      <c r="C297" s="7" t="n"/>
      <c r="D297" s="7" t="n"/>
    </row>
    <row r="298">
      <c r="A298" s="7" t="n"/>
      <c r="B298" s="7" t="n"/>
      <c r="C298" s="7" t="n"/>
      <c r="D298" s="7" t="n"/>
    </row>
    <row r="299">
      <c r="A299" s="7" t="n"/>
      <c r="B299" s="7" t="n"/>
      <c r="C299" s="7" t="n"/>
      <c r="D299" s="7" t="n"/>
    </row>
    <row r="300">
      <c r="A300" s="7" t="n"/>
      <c r="B300" s="7" t="n"/>
      <c r="C300" s="7" t="n"/>
      <c r="D300" s="7" t="n"/>
    </row>
    <row r="301">
      <c r="A301" s="7" t="n"/>
      <c r="B301" s="7" t="n"/>
      <c r="C301" s="7" t="n"/>
      <c r="D301" s="7" t="n"/>
    </row>
    <row r="302">
      <c r="A302" s="7" t="n"/>
      <c r="B302" s="7" t="n"/>
      <c r="C302" s="7" t="n"/>
      <c r="D302" s="7" t="n"/>
    </row>
    <row r="303">
      <c r="A303" s="7" t="n"/>
      <c r="B303" s="7" t="n"/>
      <c r="C303" s="7" t="n"/>
      <c r="D303" s="7" t="n"/>
    </row>
    <row r="304">
      <c r="A304" s="7" t="n"/>
      <c r="B304" s="7" t="n"/>
      <c r="C304" s="7" t="n"/>
      <c r="D304" s="7" t="n"/>
    </row>
    <row r="305">
      <c r="A305" s="7" t="n"/>
      <c r="B305" s="7" t="n"/>
      <c r="C305" s="7" t="n"/>
      <c r="D305" s="7" t="n"/>
    </row>
    <row r="306">
      <c r="A306" s="7" t="n"/>
      <c r="B306" s="7" t="n"/>
      <c r="C306" s="7" t="n"/>
      <c r="D306" s="7" t="n"/>
    </row>
    <row r="307">
      <c r="A307" s="7" t="n"/>
      <c r="B307" s="7" t="n"/>
      <c r="C307" s="7" t="n"/>
      <c r="D307" s="7" t="n"/>
    </row>
    <row r="308">
      <c r="A308" s="7" t="n"/>
      <c r="B308" s="7" t="n"/>
      <c r="C308" s="7" t="n"/>
      <c r="D308" s="7" t="n"/>
    </row>
    <row r="309">
      <c r="A309" s="7" t="n"/>
      <c r="B309" s="7" t="n"/>
      <c r="C309" s="7" t="n"/>
      <c r="D309" s="7" t="n"/>
    </row>
    <row r="310">
      <c r="A310" s="7" t="n"/>
      <c r="B310" s="7" t="n"/>
      <c r="C310" s="7" t="n"/>
      <c r="D310" s="7" t="n"/>
    </row>
    <row r="311">
      <c r="A311" s="7" t="n"/>
      <c r="B311" s="7" t="n"/>
      <c r="C311" s="7" t="n"/>
      <c r="D311" s="7" t="n"/>
    </row>
    <row r="312">
      <c r="A312" s="7" t="n"/>
      <c r="B312" s="7" t="n"/>
      <c r="C312" s="7" t="n"/>
      <c r="D312" s="7" t="n"/>
    </row>
    <row r="313">
      <c r="A313" s="7" t="n"/>
      <c r="B313" s="7" t="n"/>
      <c r="C313" s="7" t="n"/>
      <c r="D313" s="7" t="n"/>
    </row>
    <row r="314">
      <c r="A314" s="7" t="n"/>
      <c r="B314" s="7" t="n"/>
      <c r="C314" s="7" t="n"/>
      <c r="D314" s="7" t="n"/>
    </row>
    <row r="315">
      <c r="A315" s="7" t="n"/>
      <c r="B315" s="7" t="n"/>
      <c r="C315" s="7" t="n"/>
      <c r="D315" s="7" t="n"/>
    </row>
    <row r="316">
      <c r="A316" s="7" t="n"/>
      <c r="B316" s="7" t="n"/>
      <c r="C316" s="7" t="n"/>
      <c r="D316" s="7" t="n"/>
    </row>
    <row r="317">
      <c r="A317" s="7" t="n"/>
      <c r="B317" s="7" t="n"/>
      <c r="C317" s="7" t="n"/>
      <c r="D317" s="7" t="n"/>
    </row>
    <row r="318">
      <c r="A318" s="7" t="n"/>
      <c r="B318" s="7" t="n"/>
      <c r="C318" s="7" t="n"/>
      <c r="D318" s="7" t="n"/>
    </row>
    <row r="319">
      <c r="A319" s="7" t="n"/>
      <c r="B319" s="7" t="n"/>
      <c r="C319" s="7" t="n"/>
      <c r="D319" s="7" t="n"/>
    </row>
    <row r="320">
      <c r="A320" s="7" t="n"/>
      <c r="B320" s="7" t="n"/>
      <c r="C320" s="7" t="n"/>
      <c r="D320" s="7" t="n"/>
    </row>
    <row r="321">
      <c r="A321" s="7" t="n"/>
      <c r="B321" s="7" t="n"/>
      <c r="C321" s="7" t="n"/>
      <c r="D321" s="7" t="n"/>
    </row>
    <row r="322">
      <c r="A322" s="7" t="n"/>
      <c r="B322" s="7" t="n"/>
      <c r="C322" s="7" t="n"/>
      <c r="D322" s="7" t="n"/>
    </row>
    <row r="323">
      <c r="A323" s="7" t="n"/>
      <c r="B323" s="7" t="n"/>
      <c r="C323" s="7" t="n"/>
      <c r="D323" s="7" t="n"/>
    </row>
    <row r="324">
      <c r="A324" s="7" t="n"/>
      <c r="B324" s="7" t="n"/>
      <c r="C324" s="7" t="n"/>
      <c r="D324" s="7" t="n"/>
    </row>
    <row r="325">
      <c r="A325" s="7" t="n"/>
      <c r="B325" s="7" t="n"/>
      <c r="C325" s="7" t="n"/>
      <c r="D325" s="7" t="n"/>
    </row>
    <row r="326">
      <c r="A326" s="7" t="n"/>
      <c r="B326" s="7" t="n"/>
      <c r="C326" s="7" t="n"/>
      <c r="D326" s="7" t="n"/>
    </row>
    <row r="327">
      <c r="A327" s="7" t="n"/>
      <c r="B327" s="7" t="n"/>
      <c r="C327" s="7" t="n"/>
      <c r="D327" s="7" t="n"/>
    </row>
    <row r="328">
      <c r="A328" s="7" t="n"/>
      <c r="B328" s="7" t="n"/>
      <c r="C328" s="7" t="n"/>
      <c r="D328" s="7" t="n"/>
    </row>
    <row r="329">
      <c r="A329" s="7" t="n"/>
      <c r="B329" s="7" t="n"/>
      <c r="C329" s="7" t="n"/>
      <c r="D329" s="7" t="n"/>
    </row>
    <row r="330">
      <c r="A330" s="7" t="n"/>
      <c r="B330" s="7" t="n"/>
      <c r="C330" s="7" t="n"/>
      <c r="D330" s="7" t="n"/>
    </row>
    <row r="331">
      <c r="A331" s="7" t="n"/>
      <c r="B331" s="7" t="n"/>
      <c r="C331" s="7" t="n"/>
      <c r="D331" s="7" t="n"/>
    </row>
    <row r="332">
      <c r="A332" s="7" t="n"/>
      <c r="B332" s="7" t="n"/>
      <c r="C332" s="7" t="n"/>
      <c r="D332" s="7" t="n"/>
    </row>
    <row r="333">
      <c r="A333" s="7" t="n"/>
      <c r="B333" s="7" t="n"/>
      <c r="C333" s="7" t="n"/>
      <c r="D333" s="7" t="n"/>
    </row>
    <row r="334">
      <c r="A334" s="7" t="n"/>
      <c r="B334" s="7" t="n"/>
      <c r="C334" s="7" t="n"/>
      <c r="D334" s="7" t="n"/>
    </row>
    <row r="335">
      <c r="A335" s="7" t="n"/>
      <c r="B335" s="7" t="n"/>
      <c r="C335" s="7" t="n"/>
      <c r="D335" s="7" t="n"/>
    </row>
    <row r="336">
      <c r="A336" s="7" t="n"/>
      <c r="B336" s="7" t="n"/>
      <c r="C336" s="7" t="n"/>
      <c r="D336" s="7" t="n"/>
    </row>
    <row r="337">
      <c r="A337" s="7" t="n"/>
      <c r="B337" s="7" t="n"/>
      <c r="C337" s="7" t="n"/>
      <c r="D337" s="7" t="n"/>
    </row>
    <row r="338">
      <c r="A338" s="7" t="n"/>
      <c r="B338" s="7" t="n"/>
      <c r="C338" s="7" t="n"/>
      <c r="D338" s="7" t="n"/>
    </row>
    <row r="339">
      <c r="A339" s="7" t="n"/>
      <c r="B339" s="7" t="n"/>
      <c r="C339" s="7" t="n"/>
      <c r="D339" s="7" t="n"/>
    </row>
    <row r="340">
      <c r="A340" s="7" t="n"/>
      <c r="B340" s="7" t="n"/>
      <c r="C340" s="7" t="n"/>
      <c r="D340" s="7" t="n"/>
    </row>
    <row r="341">
      <c r="A341" s="7" t="n"/>
      <c r="B341" s="7" t="n"/>
      <c r="C341" s="7" t="n"/>
      <c r="D341" s="7" t="n"/>
    </row>
    <row r="342">
      <c r="A342" s="7" t="n"/>
      <c r="B342" s="7" t="n"/>
      <c r="C342" s="7" t="n"/>
      <c r="D342" s="7" t="n"/>
    </row>
    <row r="343">
      <c r="A343" s="7" t="n"/>
      <c r="B343" s="7" t="n"/>
      <c r="C343" s="7" t="n"/>
      <c r="D343" s="7" t="n"/>
    </row>
    <row r="344">
      <c r="A344" s="7" t="n"/>
      <c r="B344" s="7" t="n"/>
      <c r="C344" s="7" t="n"/>
      <c r="D344" s="7" t="n"/>
    </row>
    <row r="345">
      <c r="A345" s="7" t="n"/>
      <c r="B345" s="7" t="n"/>
      <c r="C345" s="7" t="n"/>
      <c r="D345" s="7" t="n"/>
    </row>
    <row r="346">
      <c r="A346" s="7" t="n"/>
      <c r="B346" s="7" t="n"/>
      <c r="C346" s="7" t="n"/>
      <c r="D346" s="7" t="n"/>
    </row>
    <row r="347">
      <c r="A347" s="7" t="n"/>
      <c r="B347" s="7" t="n"/>
      <c r="C347" s="7" t="n"/>
      <c r="D347" s="7" t="n"/>
    </row>
    <row r="348">
      <c r="A348" s="7" t="n"/>
      <c r="B348" s="7" t="n"/>
      <c r="C348" s="7" t="n"/>
      <c r="D348" s="7" t="n"/>
    </row>
    <row r="349">
      <c r="A349" s="7" t="n"/>
      <c r="B349" s="7" t="n"/>
      <c r="C349" s="7" t="n"/>
      <c r="D349" s="7" t="n"/>
    </row>
    <row r="350">
      <c r="A350" s="7" t="n"/>
      <c r="B350" s="7" t="n"/>
      <c r="C350" s="7" t="n"/>
      <c r="D350" s="7" t="n"/>
    </row>
    <row r="351">
      <c r="A351" s="7" t="n"/>
      <c r="B351" s="7" t="n"/>
      <c r="C351" s="7" t="n"/>
      <c r="D351" s="7" t="n"/>
    </row>
    <row r="352">
      <c r="A352" s="7" t="n"/>
      <c r="B352" s="7" t="n"/>
      <c r="C352" s="7" t="n"/>
      <c r="D352" s="7" t="n"/>
    </row>
    <row r="353">
      <c r="A353" s="7" t="n"/>
      <c r="B353" s="7" t="n"/>
      <c r="C353" s="7" t="n"/>
      <c r="D353" s="7" t="n"/>
    </row>
    <row r="354">
      <c r="A354" s="7" t="n"/>
      <c r="B354" s="7" t="n"/>
      <c r="C354" s="7" t="n"/>
      <c r="D354" s="7" t="n"/>
    </row>
    <row r="355">
      <c r="A355" s="7" t="n"/>
      <c r="B355" s="7" t="n"/>
      <c r="C355" s="7" t="n"/>
      <c r="D355" s="7" t="n"/>
    </row>
    <row r="356">
      <c r="A356" s="7" t="n"/>
      <c r="B356" s="7" t="n"/>
      <c r="C356" s="7" t="n"/>
      <c r="D356" s="7" t="n"/>
    </row>
    <row r="357">
      <c r="A357" s="7" t="n"/>
      <c r="B357" s="7" t="n"/>
      <c r="C357" s="7" t="n"/>
      <c r="D357" s="7" t="n"/>
    </row>
    <row r="358">
      <c r="A358" s="7" t="n"/>
      <c r="B358" s="7" t="n"/>
      <c r="C358" s="7" t="n"/>
      <c r="D358" s="7" t="n"/>
    </row>
    <row r="359">
      <c r="A359" s="7" t="n"/>
      <c r="B359" s="7" t="n"/>
      <c r="C359" s="7" t="n"/>
      <c r="D359" s="7" t="n"/>
    </row>
    <row r="360">
      <c r="A360" s="7" t="n"/>
      <c r="B360" s="7" t="n"/>
      <c r="C360" s="7" t="n"/>
      <c r="D360" s="7" t="n"/>
    </row>
    <row r="361">
      <c r="A361" s="7" t="n"/>
      <c r="B361" s="7" t="n"/>
      <c r="C361" s="7" t="n"/>
      <c r="D361" s="7" t="n"/>
    </row>
    <row r="362">
      <c r="A362" s="7" t="n"/>
      <c r="B362" s="7" t="n"/>
      <c r="C362" s="7" t="n"/>
      <c r="D362" s="7" t="n"/>
    </row>
    <row r="363">
      <c r="A363" s="7" t="n"/>
      <c r="B363" s="7" t="n"/>
      <c r="C363" s="7" t="n"/>
      <c r="D363" s="7" t="n"/>
    </row>
    <row r="364">
      <c r="A364" s="7" t="n"/>
      <c r="B364" s="7" t="n"/>
      <c r="C364" s="7" t="n"/>
      <c r="D364" s="7" t="n"/>
    </row>
    <row r="365">
      <c r="A365" s="7" t="n"/>
      <c r="B365" s="7" t="n"/>
      <c r="C365" s="7" t="n"/>
      <c r="D365" s="7" t="n"/>
    </row>
    <row r="366">
      <c r="A366" s="7" t="n"/>
      <c r="B366" s="7" t="n"/>
      <c r="C366" s="7" t="n"/>
      <c r="D366" s="7" t="n"/>
    </row>
    <row r="367">
      <c r="A367" s="7" t="n"/>
      <c r="B367" s="7" t="n"/>
      <c r="C367" s="7" t="n"/>
      <c r="D367" s="7" t="n"/>
    </row>
    <row r="368">
      <c r="A368" s="7" t="n"/>
      <c r="B368" s="7" t="n"/>
      <c r="C368" s="7" t="n"/>
      <c r="D368" s="7" t="n"/>
    </row>
    <row r="369">
      <c r="A369" s="7" t="n"/>
      <c r="B369" s="7" t="n"/>
      <c r="C369" s="7" t="n"/>
      <c r="D369" s="7" t="n"/>
    </row>
    <row r="370">
      <c r="A370" s="7" t="n"/>
      <c r="B370" s="7" t="n"/>
      <c r="C370" s="7" t="n"/>
      <c r="D370" s="7" t="n"/>
    </row>
    <row r="371">
      <c r="A371" s="7" t="n"/>
      <c r="B371" s="7" t="n"/>
      <c r="C371" s="7" t="n"/>
      <c r="D371" s="7" t="n"/>
    </row>
    <row r="372">
      <c r="A372" s="7" t="n"/>
      <c r="B372" s="7" t="n"/>
      <c r="C372" s="7" t="n"/>
      <c r="D372" s="7" t="n"/>
    </row>
    <row r="373">
      <c r="A373" s="7" t="n"/>
      <c r="B373" s="7" t="n"/>
      <c r="C373" s="7" t="n"/>
      <c r="D373" s="7" t="n"/>
    </row>
    <row r="374">
      <c r="A374" s="7" t="n"/>
      <c r="B374" s="7" t="n"/>
      <c r="C374" s="7" t="n"/>
      <c r="D374" s="7" t="n"/>
    </row>
    <row r="375">
      <c r="A375" s="7" t="n"/>
      <c r="B375" s="7" t="n"/>
      <c r="C375" s="7" t="n"/>
      <c r="D375" s="7" t="n"/>
    </row>
    <row r="376">
      <c r="A376" s="7" t="n"/>
      <c r="B376" s="7" t="n"/>
      <c r="C376" s="7" t="n"/>
      <c r="D376" s="7" t="n"/>
    </row>
    <row r="377">
      <c r="A377" s="7" t="n"/>
      <c r="B377" s="7" t="n"/>
      <c r="C377" s="7" t="n"/>
      <c r="D377" s="7" t="n"/>
    </row>
    <row r="378">
      <c r="A378" s="7" t="n"/>
      <c r="B378" s="7" t="n"/>
      <c r="C378" s="7" t="n"/>
      <c r="D378" s="7" t="n"/>
    </row>
    <row r="379">
      <c r="A379" s="7" t="n"/>
      <c r="B379" s="7" t="n"/>
      <c r="C379" s="7" t="n"/>
      <c r="D379" s="7" t="n"/>
    </row>
    <row r="380">
      <c r="A380" s="7" t="n"/>
      <c r="B380" s="7" t="n"/>
      <c r="C380" s="7" t="n"/>
      <c r="D380" s="7" t="n"/>
    </row>
    <row r="381">
      <c r="A381" s="7" t="n"/>
      <c r="B381" s="7" t="n"/>
      <c r="C381" s="7" t="n"/>
      <c r="D381" s="7" t="n"/>
    </row>
    <row r="382">
      <c r="A382" s="7" t="n"/>
      <c r="B382" s="7" t="n"/>
      <c r="C382" s="7" t="n"/>
      <c r="D382" s="7" t="n"/>
    </row>
    <row r="383">
      <c r="A383" s="7" t="n"/>
      <c r="B383" s="7" t="n"/>
      <c r="C383" s="7" t="n"/>
      <c r="D383" s="7" t="n"/>
    </row>
    <row r="384">
      <c r="A384" s="7" t="n"/>
      <c r="B384" s="7" t="n"/>
      <c r="C384" s="7" t="n"/>
      <c r="D384" s="7" t="n"/>
    </row>
    <row r="385">
      <c r="A385" s="7" t="n"/>
      <c r="B385" s="7" t="n"/>
      <c r="C385" s="7" t="n"/>
      <c r="D385" s="7" t="n"/>
    </row>
    <row r="386">
      <c r="A386" s="7" t="n"/>
      <c r="B386" s="7" t="n"/>
      <c r="C386" s="7" t="n"/>
      <c r="D386" s="7" t="n"/>
    </row>
    <row r="387">
      <c r="A387" s="7" t="n"/>
      <c r="B387" s="7" t="n"/>
      <c r="C387" s="7" t="n"/>
      <c r="D387" s="7" t="n"/>
    </row>
    <row r="388">
      <c r="A388" s="7" t="n"/>
      <c r="B388" s="7" t="n"/>
      <c r="C388" s="7" t="n"/>
      <c r="D388" s="7" t="n"/>
    </row>
    <row r="389">
      <c r="A389" s="7" t="n"/>
      <c r="B389" s="7" t="n"/>
      <c r="C389" s="7" t="n"/>
      <c r="D389" s="7" t="n"/>
    </row>
    <row r="390">
      <c r="A390" s="7" t="n"/>
      <c r="B390" s="7" t="n"/>
      <c r="C390" s="7" t="n"/>
      <c r="D390" s="7" t="n"/>
    </row>
    <row r="391">
      <c r="A391" s="7" t="n"/>
      <c r="B391" s="7" t="n"/>
      <c r="C391" s="7" t="n"/>
      <c r="D391" s="7" t="n"/>
    </row>
    <row r="392">
      <c r="A392" s="7" t="n"/>
      <c r="B392" s="7" t="n"/>
      <c r="C392" s="7" t="n"/>
      <c r="D392" s="7" t="n"/>
    </row>
    <row r="393">
      <c r="A393" s="7" t="n"/>
      <c r="B393" s="7" t="n"/>
      <c r="C393" s="7" t="n"/>
      <c r="D393" s="7" t="n"/>
    </row>
    <row r="394">
      <c r="A394" s="7" t="n"/>
      <c r="B394" s="7" t="n"/>
      <c r="C394" s="7" t="n"/>
      <c r="D394" s="7" t="n"/>
    </row>
    <row r="395">
      <c r="A395" s="7" t="n"/>
      <c r="B395" s="7" t="n"/>
      <c r="C395" s="7" t="n"/>
      <c r="D395" s="7" t="n"/>
    </row>
    <row r="396">
      <c r="A396" s="7" t="n"/>
      <c r="B396" s="7" t="n"/>
      <c r="C396" s="7" t="n"/>
      <c r="D396" s="7" t="n"/>
    </row>
    <row r="397">
      <c r="A397" s="7" t="n"/>
      <c r="B397" s="7" t="n"/>
      <c r="C397" s="7" t="n"/>
      <c r="D397" s="7" t="n"/>
    </row>
    <row r="398">
      <c r="A398" s="7" t="n"/>
      <c r="B398" s="7" t="n"/>
      <c r="C398" s="7" t="n"/>
      <c r="D398" s="7" t="n"/>
    </row>
    <row r="399">
      <c r="A399" s="7" t="n"/>
      <c r="B399" s="7" t="n"/>
      <c r="C399" s="7" t="n"/>
      <c r="D399" s="7" t="n"/>
    </row>
    <row r="400">
      <c r="A400" s="7" t="n"/>
      <c r="B400" s="7" t="n"/>
      <c r="C400" s="7" t="n"/>
      <c r="D400" s="7" t="n"/>
    </row>
    <row r="401">
      <c r="A401" s="7" t="n"/>
      <c r="B401" s="7" t="n"/>
      <c r="C401" s="7" t="n"/>
      <c r="D401" s="7" t="n"/>
    </row>
    <row r="402">
      <c r="A402" s="7" t="n"/>
      <c r="B402" s="7" t="n"/>
      <c r="C402" s="7" t="n"/>
      <c r="D402" s="7" t="n"/>
    </row>
    <row r="403">
      <c r="A403" s="7" t="n"/>
      <c r="B403" s="7" t="n"/>
      <c r="C403" s="7" t="n"/>
      <c r="D403" s="7" t="n"/>
    </row>
    <row r="404">
      <c r="A404" s="7" t="n"/>
      <c r="B404" s="7" t="n"/>
      <c r="C404" s="7" t="n"/>
      <c r="D404" s="7" t="n"/>
    </row>
    <row r="405">
      <c r="A405" s="7" t="n"/>
      <c r="B405" s="7" t="n"/>
      <c r="C405" s="7" t="n"/>
      <c r="D405" s="7" t="n"/>
    </row>
    <row r="406">
      <c r="A406" s="7" t="n"/>
      <c r="B406" s="7" t="n"/>
      <c r="C406" s="7" t="n"/>
      <c r="D406" s="7" t="n"/>
    </row>
    <row r="407">
      <c r="A407" s="7" t="n"/>
      <c r="B407" s="7" t="n"/>
      <c r="C407" s="7" t="n"/>
      <c r="D407" s="7" t="n"/>
    </row>
    <row r="408">
      <c r="A408" s="7" t="n"/>
      <c r="B408" s="7" t="n"/>
      <c r="C408" s="7" t="n"/>
      <c r="D408" s="7" t="n"/>
    </row>
    <row r="409">
      <c r="A409" s="7" t="n"/>
      <c r="B409" s="7" t="n"/>
      <c r="C409" s="7" t="n"/>
      <c r="D409" s="7" t="n"/>
    </row>
    <row r="410">
      <c r="A410" s="7" t="n"/>
      <c r="B410" s="7" t="n"/>
      <c r="C410" s="7" t="n"/>
      <c r="D410" s="7" t="n"/>
    </row>
    <row r="411">
      <c r="A411" s="7" t="n"/>
      <c r="B411" s="7" t="n"/>
      <c r="C411" s="7" t="n"/>
      <c r="D411" s="7" t="n"/>
    </row>
    <row r="412">
      <c r="A412" s="7" t="n"/>
      <c r="B412" s="7" t="n"/>
      <c r="C412" s="7" t="n"/>
      <c r="D412" s="7" t="n"/>
    </row>
    <row r="413">
      <c r="A413" s="7" t="n"/>
      <c r="B413" s="7" t="n"/>
      <c r="C413" s="7" t="n"/>
      <c r="D413" s="7" t="n"/>
    </row>
    <row r="414">
      <c r="A414" s="7" t="n"/>
      <c r="B414" s="7" t="n"/>
      <c r="C414" s="7" t="n"/>
      <c r="D414" s="7" t="n"/>
    </row>
    <row r="415">
      <c r="A415" s="7" t="n"/>
      <c r="B415" s="7" t="n"/>
      <c r="C415" s="7" t="n"/>
      <c r="D415" s="7" t="n"/>
    </row>
    <row r="416">
      <c r="A416" s="7" t="n"/>
      <c r="B416" s="7" t="n"/>
      <c r="C416" s="7" t="n"/>
      <c r="D416" s="7" t="n"/>
    </row>
    <row r="417">
      <c r="A417" s="7" t="n"/>
      <c r="B417" s="7" t="n"/>
      <c r="C417" s="7" t="n"/>
      <c r="D417" s="7" t="n"/>
    </row>
    <row r="418">
      <c r="A418" s="7" t="n"/>
      <c r="B418" s="7" t="n"/>
      <c r="C418" s="7" t="n"/>
      <c r="D418" s="7" t="n"/>
    </row>
    <row r="419">
      <c r="A419" s="7" t="n"/>
      <c r="B419" s="7" t="n"/>
      <c r="C419" s="7" t="n"/>
      <c r="D419" s="7" t="n"/>
    </row>
    <row r="420">
      <c r="A420" s="7" t="n"/>
      <c r="B420" s="7" t="n"/>
      <c r="C420" s="7" t="n"/>
      <c r="D420" s="7" t="n"/>
    </row>
    <row r="421">
      <c r="A421" s="7" t="n"/>
      <c r="B421" s="7" t="n"/>
      <c r="C421" s="7" t="n"/>
      <c r="D421" s="7" t="n"/>
    </row>
    <row r="422">
      <c r="A422" s="7" t="n"/>
      <c r="B422" s="7" t="n"/>
      <c r="C422" s="7" t="n"/>
      <c r="D422" s="7" t="n"/>
    </row>
    <row r="423">
      <c r="A423" s="7" t="n"/>
      <c r="B423" s="7" t="n"/>
      <c r="C423" s="7" t="n"/>
      <c r="D423" s="7" t="n"/>
    </row>
    <row r="424">
      <c r="A424" s="7" t="n"/>
      <c r="B424" s="7" t="n"/>
      <c r="C424" s="7" t="n"/>
      <c r="D424" s="7" t="n"/>
    </row>
    <row r="425">
      <c r="A425" s="7" t="n"/>
      <c r="B425" s="7" t="n"/>
      <c r="C425" s="7" t="n"/>
      <c r="D425" s="7" t="n"/>
    </row>
    <row r="426">
      <c r="A426" s="7" t="n"/>
      <c r="B426" s="7" t="n"/>
      <c r="C426" s="7" t="n"/>
      <c r="D426" s="7" t="n"/>
    </row>
    <row r="427">
      <c r="A427" s="7" t="n"/>
      <c r="B427" s="7" t="n"/>
      <c r="C427" s="7" t="n"/>
      <c r="D427" s="7" t="n"/>
    </row>
    <row r="428">
      <c r="A428" s="7" t="n"/>
      <c r="B428" s="7" t="n"/>
      <c r="C428" s="7" t="n"/>
      <c r="D428" s="7" t="n"/>
    </row>
    <row r="429">
      <c r="A429" s="7" t="n"/>
      <c r="B429" s="7" t="n"/>
      <c r="C429" s="7" t="n"/>
      <c r="D429" s="7" t="n"/>
    </row>
    <row r="430">
      <c r="A430" s="7" t="n"/>
      <c r="B430" s="7" t="n"/>
      <c r="C430" s="7" t="n"/>
      <c r="D430" s="7" t="n"/>
    </row>
    <row r="431">
      <c r="A431" s="7" t="n"/>
      <c r="B431" s="7" t="n"/>
      <c r="C431" s="7" t="n"/>
      <c r="D431" s="7" t="n"/>
    </row>
    <row r="432">
      <c r="A432" s="7" t="n"/>
      <c r="B432" s="7" t="n"/>
      <c r="C432" s="7" t="n"/>
      <c r="D432" s="7" t="n"/>
    </row>
    <row r="433">
      <c r="A433" s="7" t="n"/>
      <c r="B433" s="7" t="n"/>
      <c r="C433" s="7" t="n"/>
      <c r="D433" s="7" t="n"/>
    </row>
    <row r="434">
      <c r="A434" s="7" t="n"/>
      <c r="B434" s="7" t="n"/>
      <c r="C434" s="7" t="n"/>
      <c r="D434" s="7" t="n"/>
    </row>
    <row r="435">
      <c r="A435" s="7" t="n"/>
      <c r="B435" s="7" t="n"/>
      <c r="C435" s="7" t="n"/>
      <c r="D435" s="7" t="n"/>
    </row>
    <row r="436">
      <c r="A436" s="7" t="n"/>
      <c r="B436" s="7" t="n"/>
      <c r="C436" s="7" t="n"/>
      <c r="D436" s="7" t="n"/>
    </row>
    <row r="437">
      <c r="A437" s="7" t="n"/>
      <c r="B437" s="7" t="n"/>
      <c r="C437" s="7" t="n"/>
      <c r="D437" s="7" t="n"/>
    </row>
    <row r="438">
      <c r="A438" s="7" t="n"/>
      <c r="B438" s="7" t="n"/>
      <c r="C438" s="7" t="n"/>
      <c r="D438" s="7" t="n"/>
    </row>
    <row r="439">
      <c r="A439" s="7" t="n"/>
      <c r="B439" s="7" t="n"/>
      <c r="C439" s="7" t="n"/>
      <c r="D439" s="7" t="n"/>
    </row>
    <row r="440">
      <c r="A440" s="7" t="n"/>
      <c r="B440" s="7" t="n"/>
      <c r="C440" s="7" t="n"/>
      <c r="D440" s="7" t="n"/>
    </row>
    <row r="441">
      <c r="A441" s="7" t="n"/>
      <c r="B441" s="7" t="n"/>
      <c r="C441" s="7" t="n"/>
      <c r="D441" s="7" t="n"/>
    </row>
    <row r="442">
      <c r="A442" s="7" t="n"/>
      <c r="B442" s="7" t="n"/>
      <c r="C442" s="7" t="n"/>
      <c r="D442" s="7" t="n"/>
    </row>
    <row r="443">
      <c r="A443" s="7" t="n"/>
      <c r="B443" s="7" t="n"/>
      <c r="C443" s="7" t="n"/>
      <c r="D443" s="7" t="n"/>
    </row>
    <row r="444">
      <c r="A444" s="7" t="n"/>
      <c r="B444" s="7" t="n"/>
      <c r="C444" s="7" t="n"/>
      <c r="D444" s="7" t="n"/>
    </row>
    <row r="445">
      <c r="A445" s="7" t="n"/>
      <c r="B445" s="7" t="n"/>
      <c r="C445" s="7" t="n"/>
      <c r="D445" s="7" t="n"/>
    </row>
    <row r="446">
      <c r="A446" s="7" t="n"/>
      <c r="B446" s="7" t="n"/>
      <c r="C446" s="7" t="n"/>
      <c r="D446" s="7" t="n"/>
    </row>
    <row r="447">
      <c r="A447" s="7" t="n"/>
      <c r="B447" s="7" t="n"/>
      <c r="C447" s="7" t="n"/>
      <c r="D447" s="7" t="n"/>
    </row>
    <row r="448">
      <c r="A448" s="7" t="n"/>
      <c r="B448" s="7" t="n"/>
      <c r="C448" s="7" t="n"/>
      <c r="D448" s="7" t="n"/>
    </row>
    <row r="449">
      <c r="A449" s="7" t="n"/>
      <c r="B449" s="7" t="n"/>
      <c r="C449" s="7" t="n"/>
      <c r="D449" s="7" t="n"/>
    </row>
    <row r="450">
      <c r="A450" s="7" t="n"/>
      <c r="B450" s="7" t="n"/>
      <c r="C450" s="7" t="n"/>
      <c r="D450" s="7" t="n"/>
    </row>
    <row r="451">
      <c r="A451" s="7" t="n"/>
      <c r="B451" s="7" t="n"/>
      <c r="C451" s="7" t="n"/>
      <c r="D451" s="7" t="n"/>
    </row>
    <row r="452">
      <c r="A452" s="7" t="n"/>
      <c r="B452" s="7" t="n"/>
      <c r="C452" s="7" t="n"/>
      <c r="D452" s="7" t="n"/>
    </row>
    <row r="453">
      <c r="A453" s="7" t="n"/>
      <c r="B453" s="7" t="n"/>
      <c r="C453" s="7" t="n"/>
      <c r="D453" s="7" t="n"/>
    </row>
    <row r="454">
      <c r="A454" s="7" t="n"/>
      <c r="B454" s="7" t="n"/>
      <c r="C454" s="7" t="n"/>
      <c r="D454" s="7" t="n"/>
    </row>
    <row r="455">
      <c r="A455" s="7" t="n"/>
      <c r="B455" s="7" t="n"/>
      <c r="C455" s="7" t="n"/>
      <c r="D455" s="7" t="n"/>
    </row>
    <row r="456">
      <c r="A456" s="7" t="n"/>
      <c r="B456" s="7" t="n"/>
      <c r="C456" s="7" t="n"/>
      <c r="D456" s="7" t="n"/>
    </row>
    <row r="457">
      <c r="A457" s="7" t="n"/>
      <c r="B457" s="7" t="n"/>
      <c r="C457" s="7" t="n"/>
      <c r="D457" s="7" t="n"/>
    </row>
    <row r="458">
      <c r="A458" s="7" t="n"/>
      <c r="B458" s="7" t="n"/>
      <c r="C458" s="7" t="n"/>
      <c r="D458" s="7" t="n"/>
    </row>
    <row r="459">
      <c r="A459" s="7" t="n"/>
      <c r="B459" s="7" t="n"/>
      <c r="C459" s="7" t="n"/>
      <c r="D459" s="7" t="n"/>
    </row>
    <row r="460">
      <c r="A460" s="7" t="n"/>
      <c r="B460" s="7" t="n"/>
      <c r="C460" s="7" t="n"/>
      <c r="D460" s="7" t="n"/>
    </row>
    <row r="461">
      <c r="A461" s="7" t="n"/>
      <c r="B461" s="7" t="n"/>
      <c r="C461" s="7" t="n"/>
      <c r="D461" s="7" t="n"/>
    </row>
    <row r="462">
      <c r="A462" s="7" t="n"/>
      <c r="B462" s="7" t="n"/>
      <c r="C462" s="7" t="n"/>
      <c r="D462" s="7" t="n"/>
    </row>
    <row r="463">
      <c r="A463" s="7" t="n"/>
      <c r="B463" s="7" t="n"/>
      <c r="C463" s="7" t="n"/>
      <c r="D463" s="7" t="n"/>
    </row>
    <row r="464">
      <c r="A464" s="7" t="n"/>
      <c r="B464" s="7" t="n"/>
      <c r="C464" s="7" t="n"/>
      <c r="D464" s="7" t="n"/>
    </row>
    <row r="465">
      <c r="A465" s="7" t="n"/>
      <c r="B465" s="7" t="n"/>
      <c r="C465" s="7" t="n"/>
      <c r="D465" s="7" t="n"/>
    </row>
    <row r="466">
      <c r="A466" s="7" t="n"/>
      <c r="B466" s="7" t="n"/>
      <c r="C466" s="7" t="n"/>
      <c r="D466" s="7" t="n"/>
    </row>
    <row r="467">
      <c r="A467" s="7" t="n"/>
      <c r="B467" s="7" t="n"/>
      <c r="C467" s="7" t="n"/>
      <c r="D467" s="7" t="n"/>
    </row>
    <row r="468">
      <c r="A468" s="7" t="n"/>
      <c r="B468" s="7" t="n"/>
      <c r="C468" s="7" t="n"/>
      <c r="D468" s="7" t="n"/>
    </row>
    <row r="469">
      <c r="A469" s="7" t="n"/>
      <c r="B469" s="7" t="n"/>
      <c r="C469" s="7" t="n"/>
      <c r="D469" s="7" t="n"/>
    </row>
    <row r="470">
      <c r="A470" s="7" t="n"/>
      <c r="B470" s="7" t="n"/>
      <c r="C470" s="7" t="n"/>
      <c r="D470" s="7" t="n"/>
    </row>
    <row r="471">
      <c r="A471" s="7" t="n"/>
      <c r="B471" s="7" t="n"/>
      <c r="C471" s="7" t="n"/>
      <c r="D471" s="7" t="n"/>
    </row>
    <row r="472">
      <c r="A472" s="7" t="n"/>
      <c r="B472" s="7" t="n"/>
      <c r="C472" s="7" t="n"/>
      <c r="D472" s="7" t="n"/>
    </row>
    <row r="473">
      <c r="A473" s="7" t="n"/>
      <c r="B473" s="7" t="n"/>
      <c r="C473" s="7" t="n"/>
      <c r="D473" s="7" t="n"/>
    </row>
    <row r="474">
      <c r="A474" s="7" t="n"/>
      <c r="B474" s="7" t="n"/>
      <c r="C474" s="7" t="n"/>
      <c r="D474" s="7" t="n"/>
    </row>
    <row r="475">
      <c r="A475" s="7" t="n"/>
      <c r="B475" s="7" t="n"/>
      <c r="C475" s="7" t="n"/>
      <c r="D475" s="7" t="n"/>
    </row>
    <row r="476">
      <c r="A476" s="7" t="n"/>
      <c r="B476" s="7" t="n"/>
      <c r="C476" s="7" t="n"/>
      <c r="D476" s="7" t="n"/>
    </row>
    <row r="477">
      <c r="A477" s="7" t="n"/>
      <c r="B477" s="7" t="n"/>
      <c r="C477" s="7" t="n"/>
      <c r="D477" s="7" t="n"/>
    </row>
    <row r="478">
      <c r="A478" s="7" t="n"/>
      <c r="B478" s="7" t="n"/>
      <c r="C478" s="7" t="n"/>
      <c r="D478" s="7" t="n"/>
    </row>
    <row r="479">
      <c r="A479" s="7" t="n"/>
      <c r="B479" s="7" t="n"/>
      <c r="C479" s="7" t="n"/>
      <c r="D479" s="7" t="n"/>
    </row>
    <row r="480">
      <c r="A480" s="7" t="n"/>
      <c r="B480" s="7" t="n"/>
      <c r="C480" s="7" t="n"/>
      <c r="D480" s="7" t="n"/>
    </row>
    <row r="481">
      <c r="A481" s="7" t="n"/>
      <c r="B481" s="7" t="n"/>
      <c r="C481" s="7" t="n"/>
      <c r="D481" s="7" t="n"/>
    </row>
    <row r="482">
      <c r="A482" s="7" t="n"/>
      <c r="B482" s="7" t="n"/>
      <c r="C482" s="7" t="n"/>
      <c r="D482" s="7" t="n"/>
    </row>
    <row r="483">
      <c r="A483" s="7" t="n"/>
      <c r="B483" s="7" t="n"/>
      <c r="C483" s="7" t="n"/>
      <c r="D483" s="7" t="n"/>
    </row>
    <row r="484">
      <c r="A484" s="7" t="n"/>
      <c r="B484" s="7" t="n"/>
      <c r="C484" s="7" t="n"/>
      <c r="D484" s="7" t="n"/>
    </row>
    <row r="485">
      <c r="A485" s="7" t="n"/>
      <c r="B485" s="7" t="n"/>
      <c r="C485" s="7" t="n"/>
      <c r="D485" s="7" t="n"/>
    </row>
    <row r="486">
      <c r="A486" s="7" t="n"/>
      <c r="B486" s="7" t="n"/>
      <c r="C486" s="7" t="n"/>
      <c r="D486" s="7" t="n"/>
    </row>
    <row r="487">
      <c r="A487" s="7" t="n"/>
      <c r="B487" s="7" t="n"/>
      <c r="C487" s="7" t="n"/>
      <c r="D487" s="7" t="n"/>
    </row>
    <row r="488">
      <c r="A488" s="7" t="n"/>
      <c r="B488" s="7" t="n"/>
      <c r="C488" s="7" t="n"/>
      <c r="D488" s="7" t="n"/>
    </row>
    <row r="489">
      <c r="A489" s="7" t="n"/>
      <c r="B489" s="7" t="n"/>
      <c r="C489" s="7" t="n"/>
      <c r="D489" s="7" t="n"/>
    </row>
    <row r="490">
      <c r="A490" s="7" t="n"/>
      <c r="B490" s="7" t="n"/>
      <c r="C490" s="7" t="n"/>
      <c r="D490" s="7" t="n"/>
    </row>
    <row r="491">
      <c r="A491" s="7" t="n"/>
      <c r="B491" s="7" t="n"/>
      <c r="C491" s="7" t="n"/>
      <c r="D491" s="7" t="n"/>
    </row>
    <row r="492">
      <c r="A492" s="7" t="n"/>
      <c r="B492" s="7" t="n"/>
      <c r="C492" s="7" t="n"/>
      <c r="D492" s="7" t="n"/>
    </row>
    <row r="493">
      <c r="A493" s="7" t="n"/>
      <c r="B493" s="7" t="n"/>
      <c r="C493" s="7" t="n"/>
      <c r="D493" s="7" t="n"/>
    </row>
    <row r="494">
      <c r="A494" s="7" t="n"/>
      <c r="B494" s="7" t="n"/>
      <c r="C494" s="7" t="n"/>
      <c r="D494" s="7" t="n"/>
    </row>
    <row r="495">
      <c r="A495" s="7" t="n"/>
      <c r="B495" s="7" t="n"/>
      <c r="C495" s="7" t="n"/>
      <c r="D495" s="7" t="n"/>
    </row>
    <row r="496">
      <c r="A496" s="7" t="n"/>
      <c r="B496" s="7" t="n"/>
      <c r="C496" s="7" t="n"/>
      <c r="D496" s="7" t="n"/>
    </row>
    <row r="497">
      <c r="A497" s="7" t="n"/>
      <c r="B497" s="7" t="n"/>
      <c r="C497" s="7" t="n"/>
      <c r="D497" s="7" t="n"/>
    </row>
    <row r="498">
      <c r="A498" s="7" t="n"/>
      <c r="B498" s="7" t="n"/>
      <c r="C498" s="7" t="n"/>
      <c r="D498" s="7" t="n"/>
    </row>
    <row r="499">
      <c r="A499" s="7" t="n"/>
      <c r="B499" s="7" t="n"/>
      <c r="C499" s="7" t="n"/>
      <c r="D499" s="7" t="n"/>
    </row>
    <row r="500">
      <c r="A500" s="7" t="n"/>
      <c r="B500" s="7" t="n"/>
      <c r="C500" s="7" t="n"/>
      <c r="D500" s="7" t="n"/>
    </row>
    <row r="501">
      <c r="A501" s="7" t="n"/>
      <c r="B501" s="7" t="n"/>
      <c r="C501" s="7" t="n"/>
      <c r="D501" s="7" t="n"/>
    </row>
  </sheetData>
  <autoFilter ref="A1:D501"/>
  <dataValidations count="3">
    <dataValidation sqref="B2:B501" showDropDown="0" showInputMessage="0" showErrorMessage="1" allowBlank="1" type="list">
      <formula1>=Listes!$C$2:$C$3</formula1>
    </dataValidation>
    <dataValidation sqref="C2:C501" showDropDown="0" showInputMessage="0" showErrorMessage="1" allowBlank="1" type="list">
      <formula1>=Listes!$C$2:$C$3</formula1>
    </dataValidation>
    <dataValidation sqref="D2:D501" showDropDown="0" showInputMessage="0" showErrorMessage="1" allowBlank="1" type="list">
      <formula1>=Listes!$J$2:$J$5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08080"/>
    <outlinePr summaryBelow="1" summaryRight="1"/>
    <pageSetUpPr/>
  </sheetPr>
  <dimension ref="A1:H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2" customHeight="1">
      <c r="A1" s="4" t="inlineStr">
        <is>
          <t>RFI No</t>
        </is>
      </c>
      <c r="B1" s="4" t="inlineStr">
        <is>
          <t>Type de végétation</t>
        </is>
      </c>
      <c r="C1" s="4" t="inlineStr">
        <is>
          <t>Nature de terrain</t>
        </is>
      </c>
      <c r="D1" s="4" t="inlineStr">
        <is>
          <t>Certificat des matériaux</t>
        </is>
      </c>
      <c r="E1" s="4" t="inlineStr">
        <is>
          <t>Compactage selon spec</t>
        </is>
      </c>
      <c r="F1" s="4" t="inlineStr">
        <is>
          <t>Marquage limite piste</t>
        </is>
      </c>
      <c r="G1" s="4" t="inlineStr">
        <is>
          <t>Largeur de la piste</t>
        </is>
      </c>
      <c r="H1" s="4" t="inlineStr">
        <is>
          <t>Protection install. existantes</t>
        </is>
      </c>
    </row>
    <row r="2">
      <c r="A2" s="7" t="inlineStr">
        <is>
          <t>21063-G26-PPL-RFI-0002</t>
        </is>
      </c>
      <c r="B2" s="7" t="inlineStr">
        <is>
          <t>Désertique</t>
        </is>
      </c>
      <c r="C2" s="7" t="inlineStr">
        <is>
          <t>dunes de sable</t>
        </is>
      </c>
      <c r="D2" s="7" t="inlineStr">
        <is>
          <t>NA</t>
        </is>
      </c>
      <c r="E2" s="7" t="inlineStr">
        <is>
          <t>NA</t>
        </is>
      </c>
      <c r="F2" s="7" t="inlineStr">
        <is>
          <t>C</t>
        </is>
      </c>
      <c r="G2" s="7" t="inlineStr">
        <is>
          <t>C</t>
        </is>
      </c>
      <c r="H2" s="7" t="inlineStr">
        <is>
          <t>NA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</row>
  </sheetData>
  <autoFilter ref="A1:H501"/>
  <dataValidations count="7">
    <dataValidation sqref="B2:B501" showDropDown="0" showInputMessage="0" showErrorMessage="1" allowBlank="1" type="list">
      <formula1>=Listes!$H$2:$H$7</formula1>
    </dataValidation>
    <dataValidation sqref="C2:C501" showDropDown="0" showInputMessage="0" showErrorMessage="1" allowBlank="1" type="list">
      <formula1>=Listes!$I$2:$I$5</formula1>
    </dataValidation>
    <dataValidation sqref="D2:D501" showDropDown="0" showInputMessage="0" showErrorMessage="1" allowBlank="1" type="list">
      <formula1>=Listes!$D$2:$D$4</formula1>
    </dataValidation>
    <dataValidation sqref="E2:E501" showDropDown="0" showInputMessage="0" showErrorMessage="1" allowBlank="1" type="list">
      <formula1>=Listes!$D$2:$D$4</formula1>
    </dataValidation>
    <dataValidation sqref="F2:F501" showDropDown="0" showInputMessage="0" showErrorMessage="1" allowBlank="1" type="list">
      <formula1>=Listes!$C$2:$C$3</formula1>
    </dataValidation>
    <dataValidation sqref="G2:G501" showDropDown="0" showInputMessage="0" showErrorMessage="1" allowBlank="1" type="list">
      <formula1>=Listes!$C$2:$C$3</formula1>
    </dataValidation>
    <dataValidation sqref="H2:H501" showDropDown="0" showInputMessage="0" showErrorMessage="1" allowBlank="1" type="list">
      <formula1>=Listes!$E$2:$E$4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8080"/>
    <outlinePr summaryBelow="1" summaryRight="1"/>
    <pageSetUpPr/>
  </sheetPr>
  <dimension ref="A1:I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8" customWidth="1" min="5" max="5"/>
    <col width="9" customWidth="1" min="6" max="6"/>
    <col width="14" customWidth="1" min="7" max="7"/>
    <col width="9" customWidth="1" min="8" max="8"/>
    <col width="14" customWidth="1" min="9" max="9"/>
  </cols>
  <sheetData>
    <row r="1" ht="32" customHeight="1">
      <c r="A1" s="4" t="inlineStr">
        <is>
          <t>RFI No</t>
        </is>
      </c>
      <c r="B1" s="4" t="inlineStr">
        <is>
          <t>N° pipe</t>
        </is>
      </c>
      <c r="C1" s="4" t="inlineStr">
        <is>
          <t>N° de coulée</t>
        </is>
      </c>
      <c r="D1" s="4" t="inlineStr">
        <is>
          <t>Diamètre</t>
        </is>
      </c>
      <c r="E1" s="4" t="inlineStr">
        <is>
          <t>EP mm</t>
        </is>
      </c>
      <c r="F1" s="4" t="inlineStr">
        <is>
          <t>Long (ml)</t>
        </is>
      </c>
      <c r="G1" s="4" t="inlineStr">
        <is>
          <t>Contrôle visuel</t>
        </is>
      </c>
      <c r="H1" s="4" t="inlineStr">
        <is>
          <t>Jugement</t>
        </is>
      </c>
      <c r="I1" s="6" t="inlineStr">
        <is>
          <t>Clé (auto)</t>
        </is>
      </c>
    </row>
    <row r="2">
      <c r="A2" s="7" t="inlineStr">
        <is>
          <t>21063-G2-PPL-RFI-0050</t>
        </is>
      </c>
      <c r="B2" s="7" t="inlineStr">
        <is>
          <t>90008</t>
        </is>
      </c>
      <c r="C2" s="7" t="inlineStr">
        <is>
          <t>56491</t>
        </is>
      </c>
      <c r="D2" s="7" t="inlineStr">
        <is>
          <t>6"</t>
        </is>
      </c>
      <c r="E2" s="7" t="inlineStr">
        <is>
          <t>7,1</t>
        </is>
      </c>
      <c r="F2" s="7" t="inlineStr">
        <is>
          <t>13,32</t>
        </is>
      </c>
      <c r="G2" s="7" t="inlineStr"/>
      <c r="H2" s="7" t="inlineStr">
        <is>
          <t>C</t>
        </is>
      </c>
      <c r="I2" s="9">
        <f>IF(A2="","",A2&amp;"|"&amp;COUNTIF($A$2:A2,A2))</f>
        <v/>
      </c>
    </row>
    <row r="3">
      <c r="A3" s="7" t="inlineStr">
        <is>
          <t>21063-G2-PPL-RFI-0050</t>
        </is>
      </c>
      <c r="B3" s="7" t="inlineStr">
        <is>
          <t>90132</t>
        </is>
      </c>
      <c r="C3" s="7" t="inlineStr">
        <is>
          <t>56490</t>
        </is>
      </c>
      <c r="D3" s="7" t="inlineStr">
        <is>
          <t>6"</t>
        </is>
      </c>
      <c r="E3" s="7" t="inlineStr">
        <is>
          <t>7,1</t>
        </is>
      </c>
      <c r="F3" s="7" t="inlineStr">
        <is>
          <t>13,37</t>
        </is>
      </c>
      <c r="G3" s="7" t="inlineStr"/>
      <c r="H3" s="7" t="inlineStr">
        <is>
          <t>C</t>
        </is>
      </c>
      <c r="I3" s="9">
        <f>IF(A3="","",A3&amp;"|"&amp;COUNTIF($A$2:A3,A3))</f>
        <v/>
      </c>
    </row>
    <row r="4">
      <c r="A4" s="7" t="inlineStr">
        <is>
          <t>21063-G2-PPL-RFI-0050</t>
        </is>
      </c>
      <c r="B4" s="7" t="inlineStr">
        <is>
          <t>90187</t>
        </is>
      </c>
      <c r="C4" s="7" t="inlineStr">
        <is>
          <t>56491</t>
        </is>
      </c>
      <c r="D4" s="7" t="inlineStr">
        <is>
          <t>6"</t>
        </is>
      </c>
      <c r="E4" s="7" t="inlineStr">
        <is>
          <t>7,1</t>
        </is>
      </c>
      <c r="F4" s="7" t="inlineStr">
        <is>
          <t>12,59</t>
        </is>
      </c>
      <c r="G4" s="7" t="inlineStr"/>
      <c r="H4" s="7" t="inlineStr">
        <is>
          <t>C</t>
        </is>
      </c>
      <c r="I4" s="9">
        <f>IF(A4="","",A4&amp;"|"&amp;COUNTIF($A$2:A4,A4))</f>
        <v/>
      </c>
    </row>
    <row r="5">
      <c r="A5" s="7" t="inlineStr">
        <is>
          <t>21063-G2-PPL-RFI-0050</t>
        </is>
      </c>
      <c r="B5" s="7" t="inlineStr">
        <is>
          <t>90105</t>
        </is>
      </c>
      <c r="C5" s="7" t="inlineStr">
        <is>
          <t>56490</t>
        </is>
      </c>
      <c r="D5" s="7" t="inlineStr">
        <is>
          <t>6"</t>
        </is>
      </c>
      <c r="E5" s="7" t="inlineStr">
        <is>
          <t>7,1</t>
        </is>
      </c>
      <c r="F5" s="7" t="inlineStr">
        <is>
          <t>13,30</t>
        </is>
      </c>
      <c r="G5" s="7" t="inlineStr"/>
      <c r="H5" s="7" t="inlineStr">
        <is>
          <t>C</t>
        </is>
      </c>
      <c r="I5" s="9">
        <f>IF(A5="","",A5&amp;"|"&amp;COUNTIF($A$2:A5,A5))</f>
        <v/>
      </c>
    </row>
    <row r="6">
      <c r="A6" s="7" t="inlineStr">
        <is>
          <t>21063-G2-PPL-RFI-0050</t>
        </is>
      </c>
      <c r="B6" s="7" t="inlineStr">
        <is>
          <t>90147</t>
        </is>
      </c>
      <c r="C6" s="7" t="inlineStr">
        <is>
          <t>56490</t>
        </is>
      </c>
      <c r="D6" s="7" t="inlineStr">
        <is>
          <t>6"</t>
        </is>
      </c>
      <c r="E6" s="7" t="inlineStr">
        <is>
          <t>7,1</t>
        </is>
      </c>
      <c r="F6" s="7" t="inlineStr">
        <is>
          <t>12,76</t>
        </is>
      </c>
      <c r="G6" s="7" t="inlineStr"/>
      <c r="H6" s="7" t="inlineStr">
        <is>
          <t>C</t>
        </is>
      </c>
      <c r="I6" s="9">
        <f>IF(A6="","",A6&amp;"|"&amp;COUNTIF($A$2:A6,A6))</f>
        <v/>
      </c>
    </row>
    <row r="7">
      <c r="A7" s="7" t="inlineStr">
        <is>
          <t>21063-G2-PPL-RFI-0050</t>
        </is>
      </c>
      <c r="B7" s="7" t="inlineStr">
        <is>
          <t>90022</t>
        </is>
      </c>
      <c r="C7" s="7" t="inlineStr">
        <is>
          <t>56491</t>
        </is>
      </c>
      <c r="D7" s="7" t="inlineStr">
        <is>
          <t>6"</t>
        </is>
      </c>
      <c r="E7" s="7" t="inlineStr">
        <is>
          <t>7,1</t>
        </is>
      </c>
      <c r="F7" s="7" t="inlineStr">
        <is>
          <t>12,91</t>
        </is>
      </c>
      <c r="G7" s="7" t="inlineStr"/>
      <c r="H7" s="7" t="inlineStr">
        <is>
          <t>C</t>
        </is>
      </c>
      <c r="I7" s="9">
        <f>IF(A7="","",A7&amp;"|"&amp;COUNTIF($A$2:A7,A7))</f>
        <v/>
      </c>
    </row>
    <row r="8">
      <c r="A8" s="7" t="inlineStr">
        <is>
          <t>21063-G2-PPL-RFI-0050</t>
        </is>
      </c>
      <c r="B8" s="7" t="inlineStr">
        <is>
          <t>90146</t>
        </is>
      </c>
      <c r="C8" s="7" t="inlineStr">
        <is>
          <t>56490</t>
        </is>
      </c>
      <c r="D8" s="7" t="inlineStr">
        <is>
          <t>6"</t>
        </is>
      </c>
      <c r="E8" s="7" t="inlineStr">
        <is>
          <t>7,1</t>
        </is>
      </c>
      <c r="F8" s="7" t="inlineStr">
        <is>
          <t>12,57</t>
        </is>
      </c>
      <c r="G8" s="7" t="inlineStr"/>
      <c r="H8" s="7" t="inlineStr">
        <is>
          <t>C</t>
        </is>
      </c>
      <c r="I8" s="9">
        <f>IF(A8="","",A8&amp;"|"&amp;COUNTIF($A$2:A8,A8))</f>
        <v/>
      </c>
    </row>
    <row r="9">
      <c r="A9" s="7" t="inlineStr">
        <is>
          <t>21063-G2-PPL-RFI-0050</t>
        </is>
      </c>
      <c r="B9" s="7" t="inlineStr">
        <is>
          <t>90067</t>
        </is>
      </c>
      <c r="C9" s="7" t="inlineStr">
        <is>
          <t>56491</t>
        </is>
      </c>
      <c r="D9" s="7" t="inlineStr">
        <is>
          <t>6"</t>
        </is>
      </c>
      <c r="E9" s="7" t="inlineStr">
        <is>
          <t>7,1</t>
        </is>
      </c>
      <c r="F9" s="7" t="inlineStr">
        <is>
          <t>13,31</t>
        </is>
      </c>
      <c r="G9" s="7" t="inlineStr"/>
      <c r="H9" s="7" t="inlineStr">
        <is>
          <t>C</t>
        </is>
      </c>
      <c r="I9" s="9">
        <f>IF(A9="","",A9&amp;"|"&amp;COUNTIF($A$2:A9,A9))</f>
        <v/>
      </c>
    </row>
    <row r="10">
      <c r="A10" s="7" t="inlineStr">
        <is>
          <t>21063-G2-PPL-RFI-0050</t>
        </is>
      </c>
      <c r="B10" s="7" t="inlineStr">
        <is>
          <t>90184</t>
        </is>
      </c>
      <c r="C10" s="7" t="inlineStr">
        <is>
          <t>56491</t>
        </is>
      </c>
      <c r="D10" s="7" t="inlineStr">
        <is>
          <t>6"</t>
        </is>
      </c>
      <c r="E10" s="7" t="inlineStr">
        <is>
          <t>7,1</t>
        </is>
      </c>
      <c r="F10" s="7" t="inlineStr">
        <is>
          <t>12,98</t>
        </is>
      </c>
      <c r="G10" s="7" t="inlineStr"/>
      <c r="H10" s="7" t="inlineStr">
        <is>
          <t>C</t>
        </is>
      </c>
      <c r="I10" s="9">
        <f>IF(A10="","",A10&amp;"|"&amp;COUNTIF($A$2:A10,A10))</f>
        <v/>
      </c>
    </row>
    <row r="11">
      <c r="A11" s="7" t="inlineStr">
        <is>
          <t>21063-G2-PPL-RFI-0050</t>
        </is>
      </c>
      <c r="B11" s="7" t="inlineStr">
        <is>
          <t>90534</t>
        </is>
      </c>
      <c r="C11" s="7" t="inlineStr">
        <is>
          <t>56492</t>
        </is>
      </c>
      <c r="D11" s="7" t="inlineStr">
        <is>
          <t>6"</t>
        </is>
      </c>
      <c r="E11" s="7" t="inlineStr">
        <is>
          <t>7,1</t>
        </is>
      </c>
      <c r="F11" s="7" t="inlineStr">
        <is>
          <t>13,44</t>
        </is>
      </c>
      <c r="G11" s="7" t="inlineStr"/>
      <c r="H11" s="7" t="inlineStr">
        <is>
          <t>C</t>
        </is>
      </c>
      <c r="I11" s="9">
        <f>IF(A11="","",A11&amp;"|"&amp;COUNTIF($A$2:A11,A11))</f>
        <v/>
      </c>
    </row>
    <row r="12">
      <c r="A12" s="7" t="inlineStr">
        <is>
          <t>21063-G2-PPL-RFI-0050</t>
        </is>
      </c>
      <c r="B12" s="7" t="inlineStr">
        <is>
          <t>90170</t>
        </is>
      </c>
      <c r="C12" s="7" t="inlineStr">
        <is>
          <t>56490</t>
        </is>
      </c>
      <c r="D12" s="7" t="inlineStr">
        <is>
          <t>6"</t>
        </is>
      </c>
      <c r="E12" s="7" t="inlineStr">
        <is>
          <t>7,1</t>
        </is>
      </c>
      <c r="F12" s="7" t="inlineStr">
        <is>
          <t>12,78</t>
        </is>
      </c>
      <c r="G12" s="7" t="inlineStr"/>
      <c r="H12" s="7" t="inlineStr">
        <is>
          <t>C</t>
        </is>
      </c>
      <c r="I12" s="9">
        <f>IF(A12="","",A12&amp;"|"&amp;COUNTIF($A$2:A12,A12))</f>
        <v/>
      </c>
    </row>
    <row r="13">
      <c r="A13" s="7" t="inlineStr">
        <is>
          <t>21063-G2-PPL-RFI-0050</t>
        </is>
      </c>
      <c r="B13" s="7" t="inlineStr">
        <is>
          <t>90086</t>
        </is>
      </c>
      <c r="C13" s="7" t="inlineStr">
        <is>
          <t>56491</t>
        </is>
      </c>
      <c r="D13" s="7" t="inlineStr">
        <is>
          <t>6"</t>
        </is>
      </c>
      <c r="E13" s="7" t="inlineStr">
        <is>
          <t>7,1</t>
        </is>
      </c>
      <c r="F13" s="7" t="inlineStr">
        <is>
          <t>12,97</t>
        </is>
      </c>
      <c r="G13" s="7" t="inlineStr"/>
      <c r="H13" s="7" t="inlineStr">
        <is>
          <t>C</t>
        </is>
      </c>
      <c r="I13" s="9">
        <f>IF(A13="","",A13&amp;"|"&amp;COUNTIF($A$2:A13,A13))</f>
        <v/>
      </c>
    </row>
    <row r="14">
      <c r="A14" s="7" t="inlineStr">
        <is>
          <t>21063-G2-PPL-RFI-0050</t>
        </is>
      </c>
      <c r="B14" s="7" t="inlineStr">
        <is>
          <t>90160</t>
        </is>
      </c>
      <c r="C14" s="7" t="inlineStr">
        <is>
          <t>56490</t>
        </is>
      </c>
      <c r="D14" s="7" t="inlineStr">
        <is>
          <t>6"</t>
        </is>
      </c>
      <c r="E14" s="7" t="inlineStr">
        <is>
          <t>7,1</t>
        </is>
      </c>
      <c r="F14" s="7" t="inlineStr">
        <is>
          <t>12,85</t>
        </is>
      </c>
      <c r="G14" s="7" t="inlineStr"/>
      <c r="H14" s="7" t="inlineStr">
        <is>
          <t>C</t>
        </is>
      </c>
      <c r="I14" s="9">
        <f>IF(A14="","",A14&amp;"|"&amp;COUNTIF($A$2:A14,A14))</f>
        <v/>
      </c>
    </row>
    <row r="15">
      <c r="A15" s="7" t="inlineStr">
        <is>
          <t>21063-G2-PPL-RFI-0050</t>
        </is>
      </c>
      <c r="B15" s="7" t="inlineStr">
        <is>
          <t>90174</t>
        </is>
      </c>
      <c r="C15" s="7" t="inlineStr">
        <is>
          <t>56490</t>
        </is>
      </c>
      <c r="D15" s="7" t="inlineStr">
        <is>
          <t>6"</t>
        </is>
      </c>
      <c r="E15" s="7" t="inlineStr">
        <is>
          <t>7,1</t>
        </is>
      </c>
      <c r="F15" s="7" t="inlineStr">
        <is>
          <t>12,94</t>
        </is>
      </c>
      <c r="G15" s="7" t="inlineStr"/>
      <c r="H15" s="7" t="inlineStr">
        <is>
          <t>C</t>
        </is>
      </c>
      <c r="I15" s="9">
        <f>IF(A15="","",A15&amp;"|"&amp;COUNTIF($A$2:A15,A15))</f>
        <v/>
      </c>
    </row>
    <row r="16">
      <c r="A16" s="7" t="inlineStr">
        <is>
          <t>21063-G2-PPL-RFI-0050</t>
        </is>
      </c>
      <c r="B16" s="7" t="inlineStr">
        <is>
          <t>90172</t>
        </is>
      </c>
      <c r="C16" s="7" t="inlineStr">
        <is>
          <t>56490</t>
        </is>
      </c>
      <c r="D16" s="7" t="inlineStr">
        <is>
          <t>6"</t>
        </is>
      </c>
      <c r="E16" s="7" t="inlineStr">
        <is>
          <t>7,1</t>
        </is>
      </c>
      <c r="F16" s="7" t="inlineStr">
        <is>
          <t>13,22</t>
        </is>
      </c>
      <c r="G16" s="7" t="inlineStr"/>
      <c r="H16" s="7" t="inlineStr">
        <is>
          <t>C</t>
        </is>
      </c>
      <c r="I16" s="9">
        <f>IF(A16="","",A16&amp;"|"&amp;COUNTIF($A$2:A16,A16))</f>
        <v/>
      </c>
    </row>
    <row r="17">
      <c r="A17" s="7" t="inlineStr">
        <is>
          <t>21063-G2-PPL-RFI-0050</t>
        </is>
      </c>
      <c r="B17" s="7" t="inlineStr">
        <is>
          <t>90077</t>
        </is>
      </c>
      <c r="C17" s="7" t="inlineStr">
        <is>
          <t>56491</t>
        </is>
      </c>
      <c r="D17" s="7" t="inlineStr">
        <is>
          <t>6"</t>
        </is>
      </c>
      <c r="E17" s="7" t="inlineStr">
        <is>
          <t>7,1</t>
        </is>
      </c>
      <c r="F17" s="7" t="inlineStr">
        <is>
          <t>12,16</t>
        </is>
      </c>
      <c r="G17" s="7" t="inlineStr"/>
      <c r="H17" s="7" t="inlineStr">
        <is>
          <t>C</t>
        </is>
      </c>
      <c r="I17" s="9">
        <f>IF(A17="","",A17&amp;"|"&amp;COUNTIF($A$2:A17,A17))</f>
        <v/>
      </c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9">
        <f>IF(A18="","",A18&amp;"|"&amp;COUNTIF($A$2:A18,A18))</f>
        <v/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9">
        <f>IF(A19="","",A19&amp;"|"&amp;COUNTIF($A$2:A19,A19))</f>
        <v/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9">
        <f>IF(A20="","",A20&amp;"|"&amp;COUNTIF($A$2:A20,A20))</f>
        <v/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9">
        <f>IF(A21="","",A21&amp;"|"&amp;COUNTIF($A$2:A21,A21))</f>
        <v/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9">
        <f>IF(A22="","",A22&amp;"|"&amp;COUNTIF($A$2:A22,A22))</f>
        <v/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9">
        <f>IF(A23="","",A23&amp;"|"&amp;COUNTIF($A$2:A23,A23))</f>
        <v/>
      </c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9">
        <f>IF(A24="","",A24&amp;"|"&amp;COUNTIF($A$2:A24,A24))</f>
        <v/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9">
        <f>IF(A25="","",A25&amp;"|"&amp;COUNTIF($A$2:A25,A25))</f>
        <v/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9">
        <f>IF(A26="","",A26&amp;"|"&amp;COUNTIF($A$2:A26,A26))</f>
        <v/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9">
        <f>IF(A27="","",A27&amp;"|"&amp;COUNTIF($A$2:A27,A27))</f>
        <v/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9">
        <f>IF(A28="","",A28&amp;"|"&amp;COUNTIF($A$2:A28,A28))</f>
        <v/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9">
        <f>IF(A29="","",A29&amp;"|"&amp;COUNTIF($A$2:A29,A29))</f>
        <v/>
      </c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9">
        <f>IF(A30="","",A30&amp;"|"&amp;COUNTIF($A$2:A30,A30))</f>
        <v/>
      </c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9">
        <f>IF(A31="","",A31&amp;"|"&amp;COUNTIF($A$2:A31,A31))</f>
        <v/>
      </c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9">
        <f>IF(A32="","",A32&amp;"|"&amp;COUNTIF($A$2:A32,A32))</f>
        <v/>
      </c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9">
        <f>IF(A33="","",A33&amp;"|"&amp;COUNTIF($A$2:A33,A33))</f>
        <v/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9">
        <f>IF(A34="","",A34&amp;"|"&amp;COUNTIF($A$2:A34,A34))</f>
        <v/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9">
        <f>IF(A35="","",A35&amp;"|"&amp;COUNTIF($A$2:A35,A35))</f>
        <v/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9">
        <f>IF(A36="","",A36&amp;"|"&amp;COUNTIF($A$2:A36,A36))</f>
        <v/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9">
        <f>IF(A37="","",A37&amp;"|"&amp;COUNTIF($A$2:A37,A37))</f>
        <v/>
      </c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9">
        <f>IF(A38="","",A38&amp;"|"&amp;COUNTIF($A$2:A38,A38))</f>
        <v/>
      </c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9">
        <f>IF(A39="","",A39&amp;"|"&amp;COUNTIF($A$2:A39,A39))</f>
        <v/>
      </c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9">
        <f>IF(A40="","",A40&amp;"|"&amp;COUNTIF($A$2:A40,A40))</f>
        <v/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9">
        <f>IF(A41="","",A41&amp;"|"&amp;COUNTIF($A$2:A41,A41))</f>
        <v/>
      </c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9">
        <f>IF(A42="","",A42&amp;"|"&amp;COUNTIF($A$2:A42,A42))</f>
        <v/>
      </c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9">
        <f>IF(A43="","",A43&amp;"|"&amp;COUNTIF($A$2:A43,A43))</f>
        <v/>
      </c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9">
        <f>IF(A44="","",A44&amp;"|"&amp;COUNTIF($A$2:A44,A44))</f>
        <v/>
      </c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9">
        <f>IF(A45="","",A45&amp;"|"&amp;COUNTIF($A$2:A45,A45))</f>
        <v/>
      </c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9">
        <f>IF(A46="","",A46&amp;"|"&amp;COUNTIF($A$2:A46,A46))</f>
        <v/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9">
        <f>IF(A47="","",A47&amp;"|"&amp;COUNTIF($A$2:A47,A47))</f>
        <v/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9">
        <f>IF(A48="","",A48&amp;"|"&amp;COUNTIF($A$2:A48,A48))</f>
        <v/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9">
        <f>IF(A49="","",A49&amp;"|"&amp;COUNTIF($A$2:A49,A49))</f>
        <v/>
      </c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9">
        <f>IF(A50="","",A50&amp;"|"&amp;COUNTIF($A$2:A50,A50))</f>
        <v/>
      </c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9">
        <f>IF(A51="","",A51&amp;"|"&amp;COUNTIF($A$2:A51,A51))</f>
        <v/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9">
        <f>IF(A52="","",A52&amp;"|"&amp;COUNTIF($A$2:A52,A52))</f>
        <v/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9">
        <f>IF(A53="","",A53&amp;"|"&amp;COUNTIF($A$2:A53,A53))</f>
        <v/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9">
        <f>IF(A54="","",A54&amp;"|"&amp;COUNTIF($A$2:A54,A54))</f>
        <v/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9">
        <f>IF(A55="","",A55&amp;"|"&amp;COUNTIF($A$2:A55,A55))</f>
        <v/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9">
        <f>IF(A56="","",A56&amp;"|"&amp;COUNTIF($A$2:A56,A56))</f>
        <v/>
      </c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9">
        <f>IF(A57="","",A57&amp;"|"&amp;COUNTIF($A$2:A57,A57))</f>
        <v/>
      </c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9">
        <f>IF(A58="","",A58&amp;"|"&amp;COUNTIF($A$2:A58,A58))</f>
        <v/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9">
        <f>IF(A59="","",A59&amp;"|"&amp;COUNTIF($A$2:A59,A59))</f>
        <v/>
      </c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9">
        <f>IF(A60="","",A60&amp;"|"&amp;COUNTIF($A$2:A60,A60))</f>
        <v/>
      </c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9">
        <f>IF(A61="","",A61&amp;"|"&amp;COUNTIF($A$2:A61,A61))</f>
        <v/>
      </c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9">
        <f>IF(A62="","",A62&amp;"|"&amp;COUNTIF($A$2:A62,A62))</f>
        <v/>
      </c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9">
        <f>IF(A63="","",A63&amp;"|"&amp;COUNTIF($A$2:A63,A63))</f>
        <v/>
      </c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9">
        <f>IF(A64="","",A64&amp;"|"&amp;COUNTIF($A$2:A64,A64))</f>
        <v/>
      </c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9">
        <f>IF(A65="","",A65&amp;"|"&amp;COUNTIF($A$2:A65,A65))</f>
        <v/>
      </c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9">
        <f>IF(A66="","",A66&amp;"|"&amp;COUNTIF($A$2:A66,A66))</f>
        <v/>
      </c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9">
        <f>IF(A67="","",A67&amp;"|"&amp;COUNTIF($A$2:A67,A67))</f>
        <v/>
      </c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9">
        <f>IF(A68="","",A68&amp;"|"&amp;COUNTIF($A$2:A68,A68))</f>
        <v/>
      </c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9">
        <f>IF(A69="","",A69&amp;"|"&amp;COUNTIF($A$2:A69,A69))</f>
        <v/>
      </c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9">
        <f>IF(A70="","",A70&amp;"|"&amp;COUNTIF($A$2:A70,A70))</f>
        <v/>
      </c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9">
        <f>IF(A71="","",A71&amp;"|"&amp;COUNTIF($A$2:A71,A71))</f>
        <v/>
      </c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9">
        <f>IF(A72="","",A72&amp;"|"&amp;COUNTIF($A$2:A72,A72))</f>
        <v/>
      </c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9">
        <f>IF(A73="","",A73&amp;"|"&amp;COUNTIF($A$2:A73,A73))</f>
        <v/>
      </c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9">
        <f>IF(A74="","",A74&amp;"|"&amp;COUNTIF($A$2:A74,A74))</f>
        <v/>
      </c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9">
        <f>IF(A75="","",A75&amp;"|"&amp;COUNTIF($A$2:A75,A75))</f>
        <v/>
      </c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9">
        <f>IF(A76="","",A76&amp;"|"&amp;COUNTIF($A$2:A76,A76))</f>
        <v/>
      </c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9">
        <f>IF(A77="","",A77&amp;"|"&amp;COUNTIF($A$2:A77,A77))</f>
        <v/>
      </c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9">
        <f>IF(A78="","",A78&amp;"|"&amp;COUNTIF($A$2:A78,A78))</f>
        <v/>
      </c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9">
        <f>IF(A79="","",A79&amp;"|"&amp;COUNTIF($A$2:A79,A79))</f>
        <v/>
      </c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9">
        <f>IF(A80="","",A80&amp;"|"&amp;COUNTIF($A$2:A80,A80))</f>
        <v/>
      </c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9">
        <f>IF(A81="","",A81&amp;"|"&amp;COUNTIF($A$2:A81,A81))</f>
        <v/>
      </c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9">
        <f>IF(A82="","",A82&amp;"|"&amp;COUNTIF($A$2:A82,A82))</f>
        <v/>
      </c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9">
        <f>IF(A83="","",A83&amp;"|"&amp;COUNTIF($A$2:A83,A83))</f>
        <v/>
      </c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9">
        <f>IF(A84="","",A84&amp;"|"&amp;COUNTIF($A$2:A84,A84))</f>
        <v/>
      </c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9">
        <f>IF(A85="","",A85&amp;"|"&amp;COUNTIF($A$2:A85,A85))</f>
        <v/>
      </c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9">
        <f>IF(A86="","",A86&amp;"|"&amp;COUNTIF($A$2:A86,A86))</f>
        <v/>
      </c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9">
        <f>IF(A87="","",A87&amp;"|"&amp;COUNTIF($A$2:A87,A87))</f>
        <v/>
      </c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9">
        <f>IF(A88="","",A88&amp;"|"&amp;COUNTIF($A$2:A88,A88))</f>
        <v/>
      </c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9">
        <f>IF(A89="","",A89&amp;"|"&amp;COUNTIF($A$2:A89,A89))</f>
        <v/>
      </c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9">
        <f>IF(A90="","",A90&amp;"|"&amp;COUNTIF($A$2:A90,A90))</f>
        <v/>
      </c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9">
        <f>IF(A91="","",A91&amp;"|"&amp;COUNTIF($A$2:A91,A91))</f>
        <v/>
      </c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9">
        <f>IF(A92="","",A92&amp;"|"&amp;COUNTIF($A$2:A92,A92))</f>
        <v/>
      </c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9">
        <f>IF(A93="","",A93&amp;"|"&amp;COUNTIF($A$2:A93,A93))</f>
        <v/>
      </c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9">
        <f>IF(A94="","",A94&amp;"|"&amp;COUNTIF($A$2:A94,A94))</f>
        <v/>
      </c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9">
        <f>IF(A95="","",A95&amp;"|"&amp;COUNTIF($A$2:A95,A95))</f>
        <v/>
      </c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9">
        <f>IF(A96="","",A96&amp;"|"&amp;COUNTIF($A$2:A96,A96))</f>
        <v/>
      </c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9">
        <f>IF(A97="","",A97&amp;"|"&amp;COUNTIF($A$2:A97,A97))</f>
        <v/>
      </c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9">
        <f>IF(A98="","",A98&amp;"|"&amp;COUNTIF($A$2:A98,A98))</f>
        <v/>
      </c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9">
        <f>IF(A99="","",A99&amp;"|"&amp;COUNTIF($A$2:A99,A99))</f>
        <v/>
      </c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9">
        <f>IF(A100="","",A100&amp;"|"&amp;COUNTIF($A$2:A100,A100))</f>
        <v/>
      </c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9">
        <f>IF(A101="","",A101&amp;"|"&amp;COUNTIF($A$2:A101,A101))</f>
        <v/>
      </c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9">
        <f>IF(A102="","",A102&amp;"|"&amp;COUNTIF($A$2:A102,A102))</f>
        <v/>
      </c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9">
        <f>IF(A103="","",A103&amp;"|"&amp;COUNTIF($A$2:A103,A103))</f>
        <v/>
      </c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9">
        <f>IF(A104="","",A104&amp;"|"&amp;COUNTIF($A$2:A104,A104))</f>
        <v/>
      </c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9">
        <f>IF(A105="","",A105&amp;"|"&amp;COUNTIF($A$2:A105,A105))</f>
        <v/>
      </c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9">
        <f>IF(A106="","",A106&amp;"|"&amp;COUNTIF($A$2:A106,A106))</f>
        <v/>
      </c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9">
        <f>IF(A107="","",A107&amp;"|"&amp;COUNTIF($A$2:A107,A107))</f>
        <v/>
      </c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9">
        <f>IF(A108="","",A108&amp;"|"&amp;COUNTIF($A$2:A108,A108))</f>
        <v/>
      </c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9">
        <f>IF(A109="","",A109&amp;"|"&amp;COUNTIF($A$2:A109,A109))</f>
        <v/>
      </c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9">
        <f>IF(A110="","",A110&amp;"|"&amp;COUNTIF($A$2:A110,A110))</f>
        <v/>
      </c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9">
        <f>IF(A111="","",A111&amp;"|"&amp;COUNTIF($A$2:A111,A111))</f>
        <v/>
      </c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9">
        <f>IF(A112="","",A112&amp;"|"&amp;COUNTIF($A$2:A112,A112))</f>
        <v/>
      </c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9">
        <f>IF(A113="","",A113&amp;"|"&amp;COUNTIF($A$2:A113,A113))</f>
        <v/>
      </c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9">
        <f>IF(A114="","",A114&amp;"|"&amp;COUNTIF($A$2:A114,A114))</f>
        <v/>
      </c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9">
        <f>IF(A115="","",A115&amp;"|"&amp;COUNTIF($A$2:A115,A115))</f>
        <v/>
      </c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9">
        <f>IF(A116="","",A116&amp;"|"&amp;COUNTIF($A$2:A116,A116))</f>
        <v/>
      </c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9">
        <f>IF(A117="","",A117&amp;"|"&amp;COUNTIF($A$2:A117,A117))</f>
        <v/>
      </c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9">
        <f>IF(A118="","",A118&amp;"|"&amp;COUNTIF($A$2:A118,A118))</f>
        <v/>
      </c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9">
        <f>IF(A119="","",A119&amp;"|"&amp;COUNTIF($A$2:A119,A119))</f>
        <v/>
      </c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9">
        <f>IF(A120="","",A120&amp;"|"&amp;COUNTIF($A$2:A120,A120))</f>
        <v/>
      </c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9">
        <f>IF(A121="","",A121&amp;"|"&amp;COUNTIF($A$2:A121,A121))</f>
        <v/>
      </c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9">
        <f>IF(A122="","",A122&amp;"|"&amp;COUNTIF($A$2:A122,A122))</f>
        <v/>
      </c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9">
        <f>IF(A123="","",A123&amp;"|"&amp;COUNTIF($A$2:A123,A123))</f>
        <v/>
      </c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9">
        <f>IF(A124="","",A124&amp;"|"&amp;COUNTIF($A$2:A124,A124))</f>
        <v/>
      </c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9">
        <f>IF(A125="","",A125&amp;"|"&amp;COUNTIF($A$2:A125,A125))</f>
        <v/>
      </c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9">
        <f>IF(A126="","",A126&amp;"|"&amp;COUNTIF($A$2:A126,A126))</f>
        <v/>
      </c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9">
        <f>IF(A127="","",A127&amp;"|"&amp;COUNTIF($A$2:A127,A127))</f>
        <v/>
      </c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9">
        <f>IF(A128="","",A128&amp;"|"&amp;COUNTIF($A$2:A128,A128))</f>
        <v/>
      </c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9">
        <f>IF(A129="","",A129&amp;"|"&amp;COUNTIF($A$2:A129,A129))</f>
        <v/>
      </c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9">
        <f>IF(A130="","",A130&amp;"|"&amp;COUNTIF($A$2:A130,A130))</f>
        <v/>
      </c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9">
        <f>IF(A131="","",A131&amp;"|"&amp;COUNTIF($A$2:A131,A131))</f>
        <v/>
      </c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9">
        <f>IF(A132="","",A132&amp;"|"&amp;COUNTIF($A$2:A132,A132))</f>
        <v/>
      </c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9">
        <f>IF(A133="","",A133&amp;"|"&amp;COUNTIF($A$2:A133,A133))</f>
        <v/>
      </c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9">
        <f>IF(A134="","",A134&amp;"|"&amp;COUNTIF($A$2:A134,A134))</f>
        <v/>
      </c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9">
        <f>IF(A135="","",A135&amp;"|"&amp;COUNTIF($A$2:A135,A135))</f>
        <v/>
      </c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9">
        <f>IF(A136="","",A136&amp;"|"&amp;COUNTIF($A$2:A136,A136))</f>
        <v/>
      </c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9">
        <f>IF(A137="","",A137&amp;"|"&amp;COUNTIF($A$2:A137,A137))</f>
        <v/>
      </c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9">
        <f>IF(A138="","",A138&amp;"|"&amp;COUNTIF($A$2:A138,A138))</f>
        <v/>
      </c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9">
        <f>IF(A139="","",A139&amp;"|"&amp;COUNTIF($A$2:A139,A139))</f>
        <v/>
      </c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9">
        <f>IF(A140="","",A140&amp;"|"&amp;COUNTIF($A$2:A140,A140))</f>
        <v/>
      </c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9">
        <f>IF(A141="","",A141&amp;"|"&amp;COUNTIF($A$2:A141,A141))</f>
        <v/>
      </c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9">
        <f>IF(A142="","",A142&amp;"|"&amp;COUNTIF($A$2:A142,A142))</f>
        <v/>
      </c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9">
        <f>IF(A143="","",A143&amp;"|"&amp;COUNTIF($A$2:A143,A143))</f>
        <v/>
      </c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9">
        <f>IF(A144="","",A144&amp;"|"&amp;COUNTIF($A$2:A144,A144))</f>
        <v/>
      </c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9">
        <f>IF(A145="","",A145&amp;"|"&amp;COUNTIF($A$2:A145,A145))</f>
        <v/>
      </c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9">
        <f>IF(A146="","",A146&amp;"|"&amp;COUNTIF($A$2:A146,A146))</f>
        <v/>
      </c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9">
        <f>IF(A147="","",A147&amp;"|"&amp;COUNTIF($A$2:A147,A147))</f>
        <v/>
      </c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9">
        <f>IF(A148="","",A148&amp;"|"&amp;COUNTIF($A$2:A148,A148))</f>
        <v/>
      </c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9">
        <f>IF(A149="","",A149&amp;"|"&amp;COUNTIF($A$2:A149,A149))</f>
        <v/>
      </c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9">
        <f>IF(A150="","",A150&amp;"|"&amp;COUNTIF($A$2:A150,A150))</f>
        <v/>
      </c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9">
        <f>IF(A151="","",A151&amp;"|"&amp;COUNTIF($A$2:A151,A151))</f>
        <v/>
      </c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9">
        <f>IF(A152="","",A152&amp;"|"&amp;COUNTIF($A$2:A152,A152))</f>
        <v/>
      </c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9">
        <f>IF(A153="","",A153&amp;"|"&amp;COUNTIF($A$2:A153,A153))</f>
        <v/>
      </c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9">
        <f>IF(A154="","",A154&amp;"|"&amp;COUNTIF($A$2:A154,A154))</f>
        <v/>
      </c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9">
        <f>IF(A155="","",A155&amp;"|"&amp;COUNTIF($A$2:A155,A155))</f>
        <v/>
      </c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9">
        <f>IF(A156="","",A156&amp;"|"&amp;COUNTIF($A$2:A156,A156))</f>
        <v/>
      </c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9">
        <f>IF(A157="","",A157&amp;"|"&amp;COUNTIF($A$2:A157,A157))</f>
        <v/>
      </c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9">
        <f>IF(A158="","",A158&amp;"|"&amp;COUNTIF($A$2:A158,A158))</f>
        <v/>
      </c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9">
        <f>IF(A159="","",A159&amp;"|"&amp;COUNTIF($A$2:A159,A159))</f>
        <v/>
      </c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9">
        <f>IF(A160="","",A160&amp;"|"&amp;COUNTIF($A$2:A160,A160))</f>
        <v/>
      </c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9">
        <f>IF(A161="","",A161&amp;"|"&amp;COUNTIF($A$2:A161,A161))</f>
        <v/>
      </c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9">
        <f>IF(A162="","",A162&amp;"|"&amp;COUNTIF($A$2:A162,A162))</f>
        <v/>
      </c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9">
        <f>IF(A163="","",A163&amp;"|"&amp;COUNTIF($A$2:A163,A163))</f>
        <v/>
      </c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9">
        <f>IF(A164="","",A164&amp;"|"&amp;COUNTIF($A$2:A164,A164))</f>
        <v/>
      </c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9">
        <f>IF(A165="","",A165&amp;"|"&amp;COUNTIF($A$2:A165,A165))</f>
        <v/>
      </c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9">
        <f>IF(A166="","",A166&amp;"|"&amp;COUNTIF($A$2:A166,A166))</f>
        <v/>
      </c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9">
        <f>IF(A167="","",A167&amp;"|"&amp;COUNTIF($A$2:A167,A167))</f>
        <v/>
      </c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9">
        <f>IF(A168="","",A168&amp;"|"&amp;COUNTIF($A$2:A168,A168))</f>
        <v/>
      </c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9">
        <f>IF(A169="","",A169&amp;"|"&amp;COUNTIF($A$2:A169,A169))</f>
        <v/>
      </c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9">
        <f>IF(A170="","",A170&amp;"|"&amp;COUNTIF($A$2:A170,A170))</f>
        <v/>
      </c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9">
        <f>IF(A171="","",A171&amp;"|"&amp;COUNTIF($A$2:A171,A171))</f>
        <v/>
      </c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9">
        <f>IF(A172="","",A172&amp;"|"&amp;COUNTIF($A$2:A172,A172))</f>
        <v/>
      </c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9">
        <f>IF(A173="","",A173&amp;"|"&amp;COUNTIF($A$2:A173,A173))</f>
        <v/>
      </c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9">
        <f>IF(A174="","",A174&amp;"|"&amp;COUNTIF($A$2:A174,A174))</f>
        <v/>
      </c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9">
        <f>IF(A175="","",A175&amp;"|"&amp;COUNTIF($A$2:A175,A175))</f>
        <v/>
      </c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9">
        <f>IF(A176="","",A176&amp;"|"&amp;COUNTIF($A$2:A176,A176))</f>
        <v/>
      </c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9">
        <f>IF(A177="","",A177&amp;"|"&amp;COUNTIF($A$2:A177,A177))</f>
        <v/>
      </c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9">
        <f>IF(A178="","",A178&amp;"|"&amp;COUNTIF($A$2:A178,A178))</f>
        <v/>
      </c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9">
        <f>IF(A179="","",A179&amp;"|"&amp;COUNTIF($A$2:A179,A179))</f>
        <v/>
      </c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9">
        <f>IF(A180="","",A180&amp;"|"&amp;COUNTIF($A$2:A180,A180))</f>
        <v/>
      </c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9">
        <f>IF(A181="","",A181&amp;"|"&amp;COUNTIF($A$2:A181,A181))</f>
        <v/>
      </c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9">
        <f>IF(A182="","",A182&amp;"|"&amp;COUNTIF($A$2:A182,A182))</f>
        <v/>
      </c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9">
        <f>IF(A183="","",A183&amp;"|"&amp;COUNTIF($A$2:A183,A183))</f>
        <v/>
      </c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9">
        <f>IF(A184="","",A184&amp;"|"&amp;COUNTIF($A$2:A184,A184))</f>
        <v/>
      </c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9">
        <f>IF(A185="","",A185&amp;"|"&amp;COUNTIF($A$2:A185,A185))</f>
        <v/>
      </c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9">
        <f>IF(A186="","",A186&amp;"|"&amp;COUNTIF($A$2:A186,A186))</f>
        <v/>
      </c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9">
        <f>IF(A187="","",A187&amp;"|"&amp;COUNTIF($A$2:A187,A187))</f>
        <v/>
      </c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9">
        <f>IF(A188="","",A188&amp;"|"&amp;COUNTIF($A$2:A188,A188))</f>
        <v/>
      </c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9">
        <f>IF(A189="","",A189&amp;"|"&amp;COUNTIF($A$2:A189,A189))</f>
        <v/>
      </c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9">
        <f>IF(A190="","",A190&amp;"|"&amp;COUNTIF($A$2:A190,A190))</f>
        <v/>
      </c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9">
        <f>IF(A191="","",A191&amp;"|"&amp;COUNTIF($A$2:A191,A191))</f>
        <v/>
      </c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9">
        <f>IF(A192="","",A192&amp;"|"&amp;COUNTIF($A$2:A192,A192))</f>
        <v/>
      </c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9">
        <f>IF(A193="","",A193&amp;"|"&amp;COUNTIF($A$2:A193,A193))</f>
        <v/>
      </c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9">
        <f>IF(A194="","",A194&amp;"|"&amp;COUNTIF($A$2:A194,A194))</f>
        <v/>
      </c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9">
        <f>IF(A195="","",A195&amp;"|"&amp;COUNTIF($A$2:A195,A195))</f>
        <v/>
      </c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9">
        <f>IF(A196="","",A196&amp;"|"&amp;COUNTIF($A$2:A196,A196))</f>
        <v/>
      </c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9">
        <f>IF(A197="","",A197&amp;"|"&amp;COUNTIF($A$2:A197,A197))</f>
        <v/>
      </c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9">
        <f>IF(A198="","",A198&amp;"|"&amp;COUNTIF($A$2:A198,A198))</f>
        <v/>
      </c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9">
        <f>IF(A199="","",A199&amp;"|"&amp;COUNTIF($A$2:A199,A199))</f>
        <v/>
      </c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9">
        <f>IF(A200="","",A200&amp;"|"&amp;COUNTIF($A$2:A200,A200))</f>
        <v/>
      </c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9">
        <f>IF(A201="","",A201&amp;"|"&amp;COUNTIF($A$2:A201,A201))</f>
        <v/>
      </c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9">
        <f>IF(A202="","",A202&amp;"|"&amp;COUNTIF($A$2:A202,A202))</f>
        <v/>
      </c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9">
        <f>IF(A203="","",A203&amp;"|"&amp;COUNTIF($A$2:A203,A203))</f>
        <v/>
      </c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9">
        <f>IF(A204="","",A204&amp;"|"&amp;COUNTIF($A$2:A204,A204))</f>
        <v/>
      </c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9">
        <f>IF(A205="","",A205&amp;"|"&amp;COUNTIF($A$2:A205,A205))</f>
        <v/>
      </c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9">
        <f>IF(A206="","",A206&amp;"|"&amp;COUNTIF($A$2:A206,A206))</f>
        <v/>
      </c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9">
        <f>IF(A207="","",A207&amp;"|"&amp;COUNTIF($A$2:A207,A207))</f>
        <v/>
      </c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9">
        <f>IF(A208="","",A208&amp;"|"&amp;COUNTIF($A$2:A208,A208))</f>
        <v/>
      </c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9">
        <f>IF(A209="","",A209&amp;"|"&amp;COUNTIF($A$2:A209,A209))</f>
        <v/>
      </c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9">
        <f>IF(A210="","",A210&amp;"|"&amp;COUNTIF($A$2:A210,A210))</f>
        <v/>
      </c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9">
        <f>IF(A211="","",A211&amp;"|"&amp;COUNTIF($A$2:A211,A211))</f>
        <v/>
      </c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9">
        <f>IF(A212="","",A212&amp;"|"&amp;COUNTIF($A$2:A212,A212))</f>
        <v/>
      </c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9">
        <f>IF(A213="","",A213&amp;"|"&amp;COUNTIF($A$2:A213,A213))</f>
        <v/>
      </c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9">
        <f>IF(A214="","",A214&amp;"|"&amp;COUNTIF($A$2:A214,A214))</f>
        <v/>
      </c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9">
        <f>IF(A215="","",A215&amp;"|"&amp;COUNTIF($A$2:A215,A215))</f>
        <v/>
      </c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9">
        <f>IF(A216="","",A216&amp;"|"&amp;COUNTIF($A$2:A216,A216))</f>
        <v/>
      </c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9">
        <f>IF(A217="","",A217&amp;"|"&amp;COUNTIF($A$2:A217,A217))</f>
        <v/>
      </c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9">
        <f>IF(A218="","",A218&amp;"|"&amp;COUNTIF($A$2:A218,A218))</f>
        <v/>
      </c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9">
        <f>IF(A219="","",A219&amp;"|"&amp;COUNTIF($A$2:A219,A219))</f>
        <v/>
      </c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9">
        <f>IF(A220="","",A220&amp;"|"&amp;COUNTIF($A$2:A220,A220))</f>
        <v/>
      </c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9">
        <f>IF(A221="","",A221&amp;"|"&amp;COUNTIF($A$2:A221,A221))</f>
        <v/>
      </c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9">
        <f>IF(A222="","",A222&amp;"|"&amp;COUNTIF($A$2:A222,A222))</f>
        <v/>
      </c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9">
        <f>IF(A223="","",A223&amp;"|"&amp;COUNTIF($A$2:A223,A223))</f>
        <v/>
      </c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9">
        <f>IF(A224="","",A224&amp;"|"&amp;COUNTIF($A$2:A224,A224))</f>
        <v/>
      </c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9">
        <f>IF(A225="","",A225&amp;"|"&amp;COUNTIF($A$2:A225,A225))</f>
        <v/>
      </c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9">
        <f>IF(A226="","",A226&amp;"|"&amp;COUNTIF($A$2:A226,A226))</f>
        <v/>
      </c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9">
        <f>IF(A227="","",A227&amp;"|"&amp;COUNTIF($A$2:A227,A227))</f>
        <v/>
      </c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9">
        <f>IF(A228="","",A228&amp;"|"&amp;COUNTIF($A$2:A228,A228))</f>
        <v/>
      </c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9">
        <f>IF(A229="","",A229&amp;"|"&amp;COUNTIF($A$2:A229,A229))</f>
        <v/>
      </c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9">
        <f>IF(A230="","",A230&amp;"|"&amp;COUNTIF($A$2:A230,A230))</f>
        <v/>
      </c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9">
        <f>IF(A231="","",A231&amp;"|"&amp;COUNTIF($A$2:A231,A231))</f>
        <v/>
      </c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9">
        <f>IF(A232="","",A232&amp;"|"&amp;COUNTIF($A$2:A232,A232))</f>
        <v/>
      </c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9">
        <f>IF(A233="","",A233&amp;"|"&amp;COUNTIF($A$2:A233,A233))</f>
        <v/>
      </c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9">
        <f>IF(A234="","",A234&amp;"|"&amp;COUNTIF($A$2:A234,A234))</f>
        <v/>
      </c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9">
        <f>IF(A235="","",A235&amp;"|"&amp;COUNTIF($A$2:A235,A235))</f>
        <v/>
      </c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9">
        <f>IF(A236="","",A236&amp;"|"&amp;COUNTIF($A$2:A236,A236))</f>
        <v/>
      </c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9">
        <f>IF(A237="","",A237&amp;"|"&amp;COUNTIF($A$2:A237,A237))</f>
        <v/>
      </c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9">
        <f>IF(A238="","",A238&amp;"|"&amp;COUNTIF($A$2:A238,A238))</f>
        <v/>
      </c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9">
        <f>IF(A239="","",A239&amp;"|"&amp;COUNTIF($A$2:A239,A239))</f>
        <v/>
      </c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9">
        <f>IF(A240="","",A240&amp;"|"&amp;COUNTIF($A$2:A240,A240))</f>
        <v/>
      </c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9">
        <f>IF(A241="","",A241&amp;"|"&amp;COUNTIF($A$2:A241,A241))</f>
        <v/>
      </c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9">
        <f>IF(A242="","",A242&amp;"|"&amp;COUNTIF($A$2:A242,A242))</f>
        <v/>
      </c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9">
        <f>IF(A243="","",A243&amp;"|"&amp;COUNTIF($A$2:A243,A243))</f>
        <v/>
      </c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9">
        <f>IF(A244="","",A244&amp;"|"&amp;COUNTIF($A$2:A244,A244))</f>
        <v/>
      </c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9">
        <f>IF(A245="","",A245&amp;"|"&amp;COUNTIF($A$2:A245,A245))</f>
        <v/>
      </c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9">
        <f>IF(A246="","",A246&amp;"|"&amp;COUNTIF($A$2:A246,A246))</f>
        <v/>
      </c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9">
        <f>IF(A247="","",A247&amp;"|"&amp;COUNTIF($A$2:A247,A247))</f>
        <v/>
      </c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9">
        <f>IF(A248="","",A248&amp;"|"&amp;COUNTIF($A$2:A248,A248))</f>
        <v/>
      </c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9">
        <f>IF(A249="","",A249&amp;"|"&amp;COUNTIF($A$2:A249,A249))</f>
        <v/>
      </c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9">
        <f>IF(A250="","",A250&amp;"|"&amp;COUNTIF($A$2:A250,A250))</f>
        <v/>
      </c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9">
        <f>IF(A251="","",A251&amp;"|"&amp;COUNTIF($A$2:A251,A251))</f>
        <v/>
      </c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9">
        <f>IF(A252="","",A252&amp;"|"&amp;COUNTIF($A$2:A252,A252))</f>
        <v/>
      </c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9">
        <f>IF(A253="","",A253&amp;"|"&amp;COUNTIF($A$2:A253,A253))</f>
        <v/>
      </c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9">
        <f>IF(A254="","",A254&amp;"|"&amp;COUNTIF($A$2:A254,A254))</f>
        <v/>
      </c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9">
        <f>IF(A255="","",A255&amp;"|"&amp;COUNTIF($A$2:A255,A255))</f>
        <v/>
      </c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9">
        <f>IF(A256="","",A256&amp;"|"&amp;COUNTIF($A$2:A256,A256))</f>
        <v/>
      </c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9">
        <f>IF(A257="","",A257&amp;"|"&amp;COUNTIF($A$2:A257,A257))</f>
        <v/>
      </c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9">
        <f>IF(A258="","",A258&amp;"|"&amp;COUNTIF($A$2:A258,A258))</f>
        <v/>
      </c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9">
        <f>IF(A259="","",A259&amp;"|"&amp;COUNTIF($A$2:A259,A259))</f>
        <v/>
      </c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9">
        <f>IF(A260="","",A260&amp;"|"&amp;COUNTIF($A$2:A260,A260))</f>
        <v/>
      </c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9">
        <f>IF(A261="","",A261&amp;"|"&amp;COUNTIF($A$2:A261,A261))</f>
        <v/>
      </c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9">
        <f>IF(A262="","",A262&amp;"|"&amp;COUNTIF($A$2:A262,A262))</f>
        <v/>
      </c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9">
        <f>IF(A263="","",A263&amp;"|"&amp;COUNTIF($A$2:A263,A263))</f>
        <v/>
      </c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9">
        <f>IF(A264="","",A264&amp;"|"&amp;COUNTIF($A$2:A264,A264))</f>
        <v/>
      </c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9">
        <f>IF(A265="","",A265&amp;"|"&amp;COUNTIF($A$2:A265,A265))</f>
        <v/>
      </c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9">
        <f>IF(A266="","",A266&amp;"|"&amp;COUNTIF($A$2:A266,A266))</f>
        <v/>
      </c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9">
        <f>IF(A267="","",A267&amp;"|"&amp;COUNTIF($A$2:A267,A267))</f>
        <v/>
      </c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9">
        <f>IF(A268="","",A268&amp;"|"&amp;COUNTIF($A$2:A268,A268))</f>
        <v/>
      </c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9">
        <f>IF(A269="","",A269&amp;"|"&amp;COUNTIF($A$2:A269,A269))</f>
        <v/>
      </c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9">
        <f>IF(A270="","",A270&amp;"|"&amp;COUNTIF($A$2:A270,A270))</f>
        <v/>
      </c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9">
        <f>IF(A271="","",A271&amp;"|"&amp;COUNTIF($A$2:A271,A271))</f>
        <v/>
      </c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9">
        <f>IF(A272="","",A272&amp;"|"&amp;COUNTIF($A$2:A272,A272))</f>
        <v/>
      </c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9">
        <f>IF(A273="","",A273&amp;"|"&amp;COUNTIF($A$2:A273,A273))</f>
        <v/>
      </c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9">
        <f>IF(A274="","",A274&amp;"|"&amp;COUNTIF($A$2:A274,A274))</f>
        <v/>
      </c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9">
        <f>IF(A275="","",A275&amp;"|"&amp;COUNTIF($A$2:A275,A275))</f>
        <v/>
      </c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9">
        <f>IF(A276="","",A276&amp;"|"&amp;COUNTIF($A$2:A276,A276))</f>
        <v/>
      </c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9">
        <f>IF(A277="","",A277&amp;"|"&amp;COUNTIF($A$2:A277,A277))</f>
        <v/>
      </c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9">
        <f>IF(A278="","",A278&amp;"|"&amp;COUNTIF($A$2:A278,A278))</f>
        <v/>
      </c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9">
        <f>IF(A279="","",A279&amp;"|"&amp;COUNTIF($A$2:A279,A279))</f>
        <v/>
      </c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9">
        <f>IF(A280="","",A280&amp;"|"&amp;COUNTIF($A$2:A280,A280))</f>
        <v/>
      </c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9">
        <f>IF(A281="","",A281&amp;"|"&amp;COUNTIF($A$2:A281,A281))</f>
        <v/>
      </c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9">
        <f>IF(A282="","",A282&amp;"|"&amp;COUNTIF($A$2:A282,A282))</f>
        <v/>
      </c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9">
        <f>IF(A283="","",A283&amp;"|"&amp;COUNTIF($A$2:A283,A283))</f>
        <v/>
      </c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9">
        <f>IF(A284="","",A284&amp;"|"&amp;COUNTIF($A$2:A284,A284))</f>
        <v/>
      </c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9">
        <f>IF(A285="","",A285&amp;"|"&amp;COUNTIF($A$2:A285,A285))</f>
        <v/>
      </c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9">
        <f>IF(A286="","",A286&amp;"|"&amp;COUNTIF($A$2:A286,A286))</f>
        <v/>
      </c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9">
        <f>IF(A287="","",A287&amp;"|"&amp;COUNTIF($A$2:A287,A287))</f>
        <v/>
      </c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9">
        <f>IF(A288="","",A288&amp;"|"&amp;COUNTIF($A$2:A288,A288))</f>
        <v/>
      </c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9">
        <f>IF(A289="","",A289&amp;"|"&amp;COUNTIF($A$2:A289,A289))</f>
        <v/>
      </c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9">
        <f>IF(A290="","",A290&amp;"|"&amp;COUNTIF($A$2:A290,A290))</f>
        <v/>
      </c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9">
        <f>IF(A291="","",A291&amp;"|"&amp;COUNTIF($A$2:A291,A291))</f>
        <v/>
      </c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9">
        <f>IF(A292="","",A292&amp;"|"&amp;COUNTIF($A$2:A292,A292))</f>
        <v/>
      </c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9">
        <f>IF(A293="","",A293&amp;"|"&amp;COUNTIF($A$2:A293,A293))</f>
        <v/>
      </c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9">
        <f>IF(A294="","",A294&amp;"|"&amp;COUNTIF($A$2:A294,A294))</f>
        <v/>
      </c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9">
        <f>IF(A295="","",A295&amp;"|"&amp;COUNTIF($A$2:A295,A295))</f>
        <v/>
      </c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9">
        <f>IF(A296="","",A296&amp;"|"&amp;COUNTIF($A$2:A296,A296))</f>
        <v/>
      </c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9">
        <f>IF(A297="","",A297&amp;"|"&amp;COUNTIF($A$2:A297,A297))</f>
        <v/>
      </c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9">
        <f>IF(A298="","",A298&amp;"|"&amp;COUNTIF($A$2:A298,A298))</f>
        <v/>
      </c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9">
        <f>IF(A299="","",A299&amp;"|"&amp;COUNTIF($A$2:A299,A299))</f>
        <v/>
      </c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9">
        <f>IF(A300="","",A300&amp;"|"&amp;COUNTIF($A$2:A300,A300))</f>
        <v/>
      </c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9">
        <f>IF(A301="","",A301&amp;"|"&amp;COUNTIF($A$2:A301,A301))</f>
        <v/>
      </c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9">
        <f>IF(A302="","",A302&amp;"|"&amp;COUNTIF($A$2:A302,A302))</f>
        <v/>
      </c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9">
        <f>IF(A303="","",A303&amp;"|"&amp;COUNTIF($A$2:A303,A303))</f>
        <v/>
      </c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9">
        <f>IF(A304="","",A304&amp;"|"&amp;COUNTIF($A$2:A304,A304))</f>
        <v/>
      </c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9">
        <f>IF(A305="","",A305&amp;"|"&amp;COUNTIF($A$2:A305,A305))</f>
        <v/>
      </c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9">
        <f>IF(A306="","",A306&amp;"|"&amp;COUNTIF($A$2:A306,A306))</f>
        <v/>
      </c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9">
        <f>IF(A307="","",A307&amp;"|"&amp;COUNTIF($A$2:A307,A307))</f>
        <v/>
      </c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9">
        <f>IF(A308="","",A308&amp;"|"&amp;COUNTIF($A$2:A308,A308))</f>
        <v/>
      </c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9">
        <f>IF(A309="","",A309&amp;"|"&amp;COUNTIF($A$2:A309,A309))</f>
        <v/>
      </c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9">
        <f>IF(A310="","",A310&amp;"|"&amp;COUNTIF($A$2:A310,A310))</f>
        <v/>
      </c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9">
        <f>IF(A311="","",A311&amp;"|"&amp;COUNTIF($A$2:A311,A311))</f>
        <v/>
      </c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9">
        <f>IF(A312="","",A312&amp;"|"&amp;COUNTIF($A$2:A312,A312))</f>
        <v/>
      </c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9">
        <f>IF(A313="","",A313&amp;"|"&amp;COUNTIF($A$2:A313,A313))</f>
        <v/>
      </c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9">
        <f>IF(A314="","",A314&amp;"|"&amp;COUNTIF($A$2:A314,A314))</f>
        <v/>
      </c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9">
        <f>IF(A315="","",A315&amp;"|"&amp;COUNTIF($A$2:A315,A315))</f>
        <v/>
      </c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9">
        <f>IF(A316="","",A316&amp;"|"&amp;COUNTIF($A$2:A316,A316))</f>
        <v/>
      </c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9">
        <f>IF(A317="","",A317&amp;"|"&amp;COUNTIF($A$2:A317,A317))</f>
        <v/>
      </c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9">
        <f>IF(A318="","",A318&amp;"|"&amp;COUNTIF($A$2:A318,A318))</f>
        <v/>
      </c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9">
        <f>IF(A319="","",A319&amp;"|"&amp;COUNTIF($A$2:A319,A319))</f>
        <v/>
      </c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9">
        <f>IF(A320="","",A320&amp;"|"&amp;COUNTIF($A$2:A320,A320))</f>
        <v/>
      </c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9">
        <f>IF(A321="","",A321&amp;"|"&amp;COUNTIF($A$2:A321,A321))</f>
        <v/>
      </c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9">
        <f>IF(A322="","",A322&amp;"|"&amp;COUNTIF($A$2:A322,A322))</f>
        <v/>
      </c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9">
        <f>IF(A323="","",A323&amp;"|"&amp;COUNTIF($A$2:A323,A323))</f>
        <v/>
      </c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9">
        <f>IF(A324="","",A324&amp;"|"&amp;COUNTIF($A$2:A324,A324))</f>
        <v/>
      </c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9">
        <f>IF(A325="","",A325&amp;"|"&amp;COUNTIF($A$2:A325,A325))</f>
        <v/>
      </c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9">
        <f>IF(A326="","",A326&amp;"|"&amp;COUNTIF($A$2:A326,A326))</f>
        <v/>
      </c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9">
        <f>IF(A327="","",A327&amp;"|"&amp;COUNTIF($A$2:A327,A327))</f>
        <v/>
      </c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9">
        <f>IF(A328="","",A328&amp;"|"&amp;COUNTIF($A$2:A328,A328))</f>
        <v/>
      </c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9">
        <f>IF(A329="","",A329&amp;"|"&amp;COUNTIF($A$2:A329,A329))</f>
        <v/>
      </c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9">
        <f>IF(A330="","",A330&amp;"|"&amp;COUNTIF($A$2:A330,A330))</f>
        <v/>
      </c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9">
        <f>IF(A331="","",A331&amp;"|"&amp;COUNTIF($A$2:A331,A331))</f>
        <v/>
      </c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9">
        <f>IF(A332="","",A332&amp;"|"&amp;COUNTIF($A$2:A332,A332))</f>
        <v/>
      </c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9">
        <f>IF(A333="","",A333&amp;"|"&amp;COUNTIF($A$2:A333,A333))</f>
        <v/>
      </c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9">
        <f>IF(A334="","",A334&amp;"|"&amp;COUNTIF($A$2:A334,A334))</f>
        <v/>
      </c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9">
        <f>IF(A335="","",A335&amp;"|"&amp;COUNTIF($A$2:A335,A335))</f>
        <v/>
      </c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9">
        <f>IF(A336="","",A336&amp;"|"&amp;COUNTIF($A$2:A336,A336))</f>
        <v/>
      </c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9">
        <f>IF(A337="","",A337&amp;"|"&amp;COUNTIF($A$2:A337,A337))</f>
        <v/>
      </c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9">
        <f>IF(A338="","",A338&amp;"|"&amp;COUNTIF($A$2:A338,A338))</f>
        <v/>
      </c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9">
        <f>IF(A339="","",A339&amp;"|"&amp;COUNTIF($A$2:A339,A339))</f>
        <v/>
      </c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9">
        <f>IF(A340="","",A340&amp;"|"&amp;COUNTIF($A$2:A340,A340))</f>
        <v/>
      </c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9">
        <f>IF(A341="","",A341&amp;"|"&amp;COUNTIF($A$2:A341,A341))</f>
        <v/>
      </c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9">
        <f>IF(A342="","",A342&amp;"|"&amp;COUNTIF($A$2:A342,A342))</f>
        <v/>
      </c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9">
        <f>IF(A343="","",A343&amp;"|"&amp;COUNTIF($A$2:A343,A343))</f>
        <v/>
      </c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9">
        <f>IF(A344="","",A344&amp;"|"&amp;COUNTIF($A$2:A344,A344))</f>
        <v/>
      </c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9">
        <f>IF(A345="","",A345&amp;"|"&amp;COUNTIF($A$2:A345,A345))</f>
        <v/>
      </c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9">
        <f>IF(A346="","",A346&amp;"|"&amp;COUNTIF($A$2:A346,A346))</f>
        <v/>
      </c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9">
        <f>IF(A347="","",A347&amp;"|"&amp;COUNTIF($A$2:A347,A347))</f>
        <v/>
      </c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9">
        <f>IF(A348="","",A348&amp;"|"&amp;COUNTIF($A$2:A348,A348))</f>
        <v/>
      </c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9">
        <f>IF(A349="","",A349&amp;"|"&amp;COUNTIF($A$2:A349,A349))</f>
        <v/>
      </c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9">
        <f>IF(A350="","",A350&amp;"|"&amp;COUNTIF($A$2:A350,A350))</f>
        <v/>
      </c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9">
        <f>IF(A351="","",A351&amp;"|"&amp;COUNTIF($A$2:A351,A351))</f>
        <v/>
      </c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9">
        <f>IF(A352="","",A352&amp;"|"&amp;COUNTIF($A$2:A352,A352))</f>
        <v/>
      </c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9">
        <f>IF(A353="","",A353&amp;"|"&amp;COUNTIF($A$2:A353,A353))</f>
        <v/>
      </c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9">
        <f>IF(A354="","",A354&amp;"|"&amp;COUNTIF($A$2:A354,A354))</f>
        <v/>
      </c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9">
        <f>IF(A355="","",A355&amp;"|"&amp;COUNTIF($A$2:A355,A355))</f>
        <v/>
      </c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9">
        <f>IF(A356="","",A356&amp;"|"&amp;COUNTIF($A$2:A356,A356))</f>
        <v/>
      </c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9">
        <f>IF(A357="","",A357&amp;"|"&amp;COUNTIF($A$2:A357,A357))</f>
        <v/>
      </c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9">
        <f>IF(A358="","",A358&amp;"|"&amp;COUNTIF($A$2:A358,A358))</f>
        <v/>
      </c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9">
        <f>IF(A359="","",A359&amp;"|"&amp;COUNTIF($A$2:A359,A359))</f>
        <v/>
      </c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9">
        <f>IF(A360="","",A360&amp;"|"&amp;COUNTIF($A$2:A360,A360))</f>
        <v/>
      </c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9">
        <f>IF(A361="","",A361&amp;"|"&amp;COUNTIF($A$2:A361,A361))</f>
        <v/>
      </c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9">
        <f>IF(A362="","",A362&amp;"|"&amp;COUNTIF($A$2:A362,A362))</f>
        <v/>
      </c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9">
        <f>IF(A363="","",A363&amp;"|"&amp;COUNTIF($A$2:A363,A363))</f>
        <v/>
      </c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9">
        <f>IF(A364="","",A364&amp;"|"&amp;COUNTIF($A$2:A364,A364))</f>
        <v/>
      </c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9">
        <f>IF(A365="","",A365&amp;"|"&amp;COUNTIF($A$2:A365,A365))</f>
        <v/>
      </c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9">
        <f>IF(A366="","",A366&amp;"|"&amp;COUNTIF($A$2:A366,A366))</f>
        <v/>
      </c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9">
        <f>IF(A367="","",A367&amp;"|"&amp;COUNTIF($A$2:A367,A367))</f>
        <v/>
      </c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9">
        <f>IF(A368="","",A368&amp;"|"&amp;COUNTIF($A$2:A368,A368))</f>
        <v/>
      </c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9">
        <f>IF(A369="","",A369&amp;"|"&amp;COUNTIF($A$2:A369,A369))</f>
        <v/>
      </c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9">
        <f>IF(A370="","",A370&amp;"|"&amp;COUNTIF($A$2:A370,A370))</f>
        <v/>
      </c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9">
        <f>IF(A371="","",A371&amp;"|"&amp;COUNTIF($A$2:A371,A371))</f>
        <v/>
      </c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9">
        <f>IF(A372="","",A372&amp;"|"&amp;COUNTIF($A$2:A372,A372))</f>
        <v/>
      </c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9">
        <f>IF(A373="","",A373&amp;"|"&amp;COUNTIF($A$2:A373,A373))</f>
        <v/>
      </c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9">
        <f>IF(A374="","",A374&amp;"|"&amp;COUNTIF($A$2:A374,A374))</f>
        <v/>
      </c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9">
        <f>IF(A375="","",A375&amp;"|"&amp;COUNTIF($A$2:A375,A375))</f>
        <v/>
      </c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9">
        <f>IF(A376="","",A376&amp;"|"&amp;COUNTIF($A$2:A376,A376))</f>
        <v/>
      </c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9">
        <f>IF(A377="","",A377&amp;"|"&amp;COUNTIF($A$2:A377,A377))</f>
        <v/>
      </c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9">
        <f>IF(A378="","",A378&amp;"|"&amp;COUNTIF($A$2:A378,A378))</f>
        <v/>
      </c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9">
        <f>IF(A379="","",A379&amp;"|"&amp;COUNTIF($A$2:A379,A379))</f>
        <v/>
      </c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9">
        <f>IF(A380="","",A380&amp;"|"&amp;COUNTIF($A$2:A380,A380))</f>
        <v/>
      </c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9">
        <f>IF(A381="","",A381&amp;"|"&amp;COUNTIF($A$2:A381,A381))</f>
        <v/>
      </c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9">
        <f>IF(A382="","",A382&amp;"|"&amp;COUNTIF($A$2:A382,A382))</f>
        <v/>
      </c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9">
        <f>IF(A383="","",A383&amp;"|"&amp;COUNTIF($A$2:A383,A383))</f>
        <v/>
      </c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9">
        <f>IF(A384="","",A384&amp;"|"&amp;COUNTIF($A$2:A384,A384))</f>
        <v/>
      </c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9">
        <f>IF(A385="","",A385&amp;"|"&amp;COUNTIF($A$2:A385,A385))</f>
        <v/>
      </c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9">
        <f>IF(A386="","",A386&amp;"|"&amp;COUNTIF($A$2:A386,A386))</f>
        <v/>
      </c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9">
        <f>IF(A387="","",A387&amp;"|"&amp;COUNTIF($A$2:A387,A387))</f>
        <v/>
      </c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9">
        <f>IF(A388="","",A388&amp;"|"&amp;COUNTIF($A$2:A388,A388))</f>
        <v/>
      </c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9">
        <f>IF(A389="","",A389&amp;"|"&amp;COUNTIF($A$2:A389,A389))</f>
        <v/>
      </c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9">
        <f>IF(A390="","",A390&amp;"|"&amp;COUNTIF($A$2:A390,A390))</f>
        <v/>
      </c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9">
        <f>IF(A391="","",A391&amp;"|"&amp;COUNTIF($A$2:A391,A391))</f>
        <v/>
      </c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9">
        <f>IF(A392="","",A392&amp;"|"&amp;COUNTIF($A$2:A392,A392))</f>
        <v/>
      </c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9">
        <f>IF(A393="","",A393&amp;"|"&amp;COUNTIF($A$2:A393,A393))</f>
        <v/>
      </c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9">
        <f>IF(A394="","",A394&amp;"|"&amp;COUNTIF($A$2:A394,A394))</f>
        <v/>
      </c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9">
        <f>IF(A395="","",A395&amp;"|"&amp;COUNTIF($A$2:A395,A395))</f>
        <v/>
      </c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9">
        <f>IF(A396="","",A396&amp;"|"&amp;COUNTIF($A$2:A396,A396))</f>
        <v/>
      </c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9">
        <f>IF(A397="","",A397&amp;"|"&amp;COUNTIF($A$2:A397,A397))</f>
        <v/>
      </c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9">
        <f>IF(A398="","",A398&amp;"|"&amp;COUNTIF($A$2:A398,A398))</f>
        <v/>
      </c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9">
        <f>IF(A399="","",A399&amp;"|"&amp;COUNTIF($A$2:A399,A399))</f>
        <v/>
      </c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9">
        <f>IF(A400="","",A400&amp;"|"&amp;COUNTIF($A$2:A400,A400))</f>
        <v/>
      </c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9">
        <f>IF(A401="","",A401&amp;"|"&amp;COUNTIF($A$2:A401,A401))</f>
        <v/>
      </c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9">
        <f>IF(A402="","",A402&amp;"|"&amp;COUNTIF($A$2:A402,A402))</f>
        <v/>
      </c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9">
        <f>IF(A403="","",A403&amp;"|"&amp;COUNTIF($A$2:A403,A403))</f>
        <v/>
      </c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9">
        <f>IF(A404="","",A404&amp;"|"&amp;COUNTIF($A$2:A404,A404))</f>
        <v/>
      </c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9">
        <f>IF(A405="","",A405&amp;"|"&amp;COUNTIF($A$2:A405,A405))</f>
        <v/>
      </c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9">
        <f>IF(A406="","",A406&amp;"|"&amp;COUNTIF($A$2:A406,A406))</f>
        <v/>
      </c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9">
        <f>IF(A407="","",A407&amp;"|"&amp;COUNTIF($A$2:A407,A407))</f>
        <v/>
      </c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9">
        <f>IF(A408="","",A408&amp;"|"&amp;COUNTIF($A$2:A408,A408))</f>
        <v/>
      </c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9">
        <f>IF(A409="","",A409&amp;"|"&amp;COUNTIF($A$2:A409,A409))</f>
        <v/>
      </c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9">
        <f>IF(A410="","",A410&amp;"|"&amp;COUNTIF($A$2:A410,A410))</f>
        <v/>
      </c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9">
        <f>IF(A411="","",A411&amp;"|"&amp;COUNTIF($A$2:A411,A411))</f>
        <v/>
      </c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9">
        <f>IF(A412="","",A412&amp;"|"&amp;COUNTIF($A$2:A412,A412))</f>
        <v/>
      </c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9">
        <f>IF(A413="","",A413&amp;"|"&amp;COUNTIF($A$2:A413,A413))</f>
        <v/>
      </c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9">
        <f>IF(A414="","",A414&amp;"|"&amp;COUNTIF($A$2:A414,A414))</f>
        <v/>
      </c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9">
        <f>IF(A415="","",A415&amp;"|"&amp;COUNTIF($A$2:A415,A415))</f>
        <v/>
      </c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9">
        <f>IF(A416="","",A416&amp;"|"&amp;COUNTIF($A$2:A416,A416))</f>
        <v/>
      </c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9">
        <f>IF(A417="","",A417&amp;"|"&amp;COUNTIF($A$2:A417,A417))</f>
        <v/>
      </c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9">
        <f>IF(A418="","",A418&amp;"|"&amp;COUNTIF($A$2:A418,A418))</f>
        <v/>
      </c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9">
        <f>IF(A419="","",A419&amp;"|"&amp;COUNTIF($A$2:A419,A419))</f>
        <v/>
      </c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9">
        <f>IF(A420="","",A420&amp;"|"&amp;COUNTIF($A$2:A420,A420))</f>
        <v/>
      </c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9">
        <f>IF(A421="","",A421&amp;"|"&amp;COUNTIF($A$2:A421,A421))</f>
        <v/>
      </c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9">
        <f>IF(A422="","",A422&amp;"|"&amp;COUNTIF($A$2:A422,A422))</f>
        <v/>
      </c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9">
        <f>IF(A423="","",A423&amp;"|"&amp;COUNTIF($A$2:A423,A423))</f>
        <v/>
      </c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9">
        <f>IF(A424="","",A424&amp;"|"&amp;COUNTIF($A$2:A424,A424))</f>
        <v/>
      </c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9">
        <f>IF(A425="","",A425&amp;"|"&amp;COUNTIF($A$2:A425,A425))</f>
        <v/>
      </c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9">
        <f>IF(A426="","",A426&amp;"|"&amp;COUNTIF($A$2:A426,A426))</f>
        <v/>
      </c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9">
        <f>IF(A427="","",A427&amp;"|"&amp;COUNTIF($A$2:A427,A427))</f>
        <v/>
      </c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9">
        <f>IF(A428="","",A428&amp;"|"&amp;COUNTIF($A$2:A428,A428))</f>
        <v/>
      </c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9">
        <f>IF(A429="","",A429&amp;"|"&amp;COUNTIF($A$2:A429,A429))</f>
        <v/>
      </c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9">
        <f>IF(A430="","",A430&amp;"|"&amp;COUNTIF($A$2:A430,A430))</f>
        <v/>
      </c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9">
        <f>IF(A431="","",A431&amp;"|"&amp;COUNTIF($A$2:A431,A431))</f>
        <v/>
      </c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9">
        <f>IF(A432="","",A432&amp;"|"&amp;COUNTIF($A$2:A432,A432))</f>
        <v/>
      </c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9">
        <f>IF(A433="","",A433&amp;"|"&amp;COUNTIF($A$2:A433,A433))</f>
        <v/>
      </c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9">
        <f>IF(A434="","",A434&amp;"|"&amp;COUNTIF($A$2:A434,A434))</f>
        <v/>
      </c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9">
        <f>IF(A435="","",A435&amp;"|"&amp;COUNTIF($A$2:A435,A435))</f>
        <v/>
      </c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9">
        <f>IF(A436="","",A436&amp;"|"&amp;COUNTIF($A$2:A436,A436))</f>
        <v/>
      </c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9">
        <f>IF(A437="","",A437&amp;"|"&amp;COUNTIF($A$2:A437,A437))</f>
        <v/>
      </c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9">
        <f>IF(A438="","",A438&amp;"|"&amp;COUNTIF($A$2:A438,A438))</f>
        <v/>
      </c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9">
        <f>IF(A439="","",A439&amp;"|"&amp;COUNTIF($A$2:A439,A439))</f>
        <v/>
      </c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9">
        <f>IF(A440="","",A440&amp;"|"&amp;COUNTIF($A$2:A440,A440))</f>
        <v/>
      </c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9">
        <f>IF(A441="","",A441&amp;"|"&amp;COUNTIF($A$2:A441,A441))</f>
        <v/>
      </c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9">
        <f>IF(A442="","",A442&amp;"|"&amp;COUNTIF($A$2:A442,A442))</f>
        <v/>
      </c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9">
        <f>IF(A443="","",A443&amp;"|"&amp;COUNTIF($A$2:A443,A443))</f>
        <v/>
      </c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9">
        <f>IF(A444="","",A444&amp;"|"&amp;COUNTIF($A$2:A444,A444))</f>
        <v/>
      </c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9">
        <f>IF(A445="","",A445&amp;"|"&amp;COUNTIF($A$2:A445,A445))</f>
        <v/>
      </c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9">
        <f>IF(A446="","",A446&amp;"|"&amp;COUNTIF($A$2:A446,A446))</f>
        <v/>
      </c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9">
        <f>IF(A447="","",A447&amp;"|"&amp;COUNTIF($A$2:A447,A447))</f>
        <v/>
      </c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9">
        <f>IF(A448="","",A448&amp;"|"&amp;COUNTIF($A$2:A448,A448))</f>
        <v/>
      </c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9">
        <f>IF(A449="","",A449&amp;"|"&amp;COUNTIF($A$2:A449,A449))</f>
        <v/>
      </c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9">
        <f>IF(A450="","",A450&amp;"|"&amp;COUNTIF($A$2:A450,A450))</f>
        <v/>
      </c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9">
        <f>IF(A451="","",A451&amp;"|"&amp;COUNTIF($A$2:A451,A451))</f>
        <v/>
      </c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9">
        <f>IF(A452="","",A452&amp;"|"&amp;COUNTIF($A$2:A452,A452))</f>
        <v/>
      </c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9">
        <f>IF(A453="","",A453&amp;"|"&amp;COUNTIF($A$2:A453,A453))</f>
        <v/>
      </c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9">
        <f>IF(A454="","",A454&amp;"|"&amp;COUNTIF($A$2:A454,A454))</f>
        <v/>
      </c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9">
        <f>IF(A455="","",A455&amp;"|"&amp;COUNTIF($A$2:A455,A455))</f>
        <v/>
      </c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9">
        <f>IF(A456="","",A456&amp;"|"&amp;COUNTIF($A$2:A456,A456))</f>
        <v/>
      </c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9">
        <f>IF(A457="","",A457&amp;"|"&amp;COUNTIF($A$2:A457,A457))</f>
        <v/>
      </c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9">
        <f>IF(A458="","",A458&amp;"|"&amp;COUNTIF($A$2:A458,A458))</f>
        <v/>
      </c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9">
        <f>IF(A459="","",A459&amp;"|"&amp;COUNTIF($A$2:A459,A459))</f>
        <v/>
      </c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9">
        <f>IF(A460="","",A460&amp;"|"&amp;COUNTIF($A$2:A460,A460))</f>
        <v/>
      </c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9">
        <f>IF(A461="","",A461&amp;"|"&amp;COUNTIF($A$2:A461,A461))</f>
        <v/>
      </c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9">
        <f>IF(A462="","",A462&amp;"|"&amp;COUNTIF($A$2:A462,A462))</f>
        <v/>
      </c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9">
        <f>IF(A463="","",A463&amp;"|"&amp;COUNTIF($A$2:A463,A463))</f>
        <v/>
      </c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9">
        <f>IF(A464="","",A464&amp;"|"&amp;COUNTIF($A$2:A464,A464))</f>
        <v/>
      </c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9">
        <f>IF(A465="","",A465&amp;"|"&amp;COUNTIF($A$2:A465,A465))</f>
        <v/>
      </c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9">
        <f>IF(A466="","",A466&amp;"|"&amp;COUNTIF($A$2:A466,A466))</f>
        <v/>
      </c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9">
        <f>IF(A467="","",A467&amp;"|"&amp;COUNTIF($A$2:A467,A467))</f>
        <v/>
      </c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9">
        <f>IF(A468="","",A468&amp;"|"&amp;COUNTIF($A$2:A468,A468))</f>
        <v/>
      </c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9">
        <f>IF(A469="","",A469&amp;"|"&amp;COUNTIF($A$2:A469,A469))</f>
        <v/>
      </c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9">
        <f>IF(A470="","",A470&amp;"|"&amp;COUNTIF($A$2:A470,A470))</f>
        <v/>
      </c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9">
        <f>IF(A471="","",A471&amp;"|"&amp;COUNTIF($A$2:A471,A471))</f>
        <v/>
      </c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9">
        <f>IF(A472="","",A472&amp;"|"&amp;COUNTIF($A$2:A472,A472))</f>
        <v/>
      </c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9">
        <f>IF(A473="","",A473&amp;"|"&amp;COUNTIF($A$2:A473,A473))</f>
        <v/>
      </c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9">
        <f>IF(A474="","",A474&amp;"|"&amp;COUNTIF($A$2:A474,A474))</f>
        <v/>
      </c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9">
        <f>IF(A475="","",A475&amp;"|"&amp;COUNTIF($A$2:A475,A475))</f>
        <v/>
      </c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9">
        <f>IF(A476="","",A476&amp;"|"&amp;COUNTIF($A$2:A476,A476))</f>
        <v/>
      </c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9">
        <f>IF(A477="","",A477&amp;"|"&amp;COUNTIF($A$2:A477,A477))</f>
        <v/>
      </c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9">
        <f>IF(A478="","",A478&amp;"|"&amp;COUNTIF($A$2:A478,A478))</f>
        <v/>
      </c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9">
        <f>IF(A479="","",A479&amp;"|"&amp;COUNTIF($A$2:A479,A479))</f>
        <v/>
      </c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9">
        <f>IF(A480="","",A480&amp;"|"&amp;COUNTIF($A$2:A480,A480))</f>
        <v/>
      </c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9">
        <f>IF(A481="","",A481&amp;"|"&amp;COUNTIF($A$2:A481,A481))</f>
        <v/>
      </c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9">
        <f>IF(A482="","",A482&amp;"|"&amp;COUNTIF($A$2:A482,A482))</f>
        <v/>
      </c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9">
        <f>IF(A483="","",A483&amp;"|"&amp;COUNTIF($A$2:A483,A483))</f>
        <v/>
      </c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9">
        <f>IF(A484="","",A484&amp;"|"&amp;COUNTIF($A$2:A484,A484))</f>
        <v/>
      </c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9">
        <f>IF(A485="","",A485&amp;"|"&amp;COUNTIF($A$2:A485,A485))</f>
        <v/>
      </c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9">
        <f>IF(A486="","",A486&amp;"|"&amp;COUNTIF($A$2:A486,A486))</f>
        <v/>
      </c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9">
        <f>IF(A487="","",A487&amp;"|"&amp;COUNTIF($A$2:A487,A487))</f>
        <v/>
      </c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9">
        <f>IF(A488="","",A488&amp;"|"&amp;COUNTIF($A$2:A488,A488))</f>
        <v/>
      </c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9">
        <f>IF(A489="","",A489&amp;"|"&amp;COUNTIF($A$2:A489,A489))</f>
        <v/>
      </c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9">
        <f>IF(A490="","",A490&amp;"|"&amp;COUNTIF($A$2:A490,A490))</f>
        <v/>
      </c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9">
        <f>IF(A491="","",A491&amp;"|"&amp;COUNTIF($A$2:A491,A491))</f>
        <v/>
      </c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9">
        <f>IF(A492="","",A492&amp;"|"&amp;COUNTIF($A$2:A492,A492))</f>
        <v/>
      </c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9">
        <f>IF(A493="","",A493&amp;"|"&amp;COUNTIF($A$2:A493,A493))</f>
        <v/>
      </c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9">
        <f>IF(A494="","",A494&amp;"|"&amp;COUNTIF($A$2:A494,A494))</f>
        <v/>
      </c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9">
        <f>IF(A495="","",A495&amp;"|"&amp;COUNTIF($A$2:A495,A495))</f>
        <v/>
      </c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9">
        <f>IF(A496="","",A496&amp;"|"&amp;COUNTIF($A$2:A496,A496))</f>
        <v/>
      </c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9">
        <f>IF(A497="","",A497&amp;"|"&amp;COUNTIF($A$2:A497,A497))</f>
        <v/>
      </c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9">
        <f>IF(A498="","",A498&amp;"|"&amp;COUNTIF($A$2:A498,A498))</f>
        <v/>
      </c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9">
        <f>IF(A499="","",A499&amp;"|"&amp;COUNTIF($A$2:A499,A499))</f>
        <v/>
      </c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9">
        <f>IF(A500="","",A500&amp;"|"&amp;COUNTIF($A$2:A500,A500))</f>
        <v/>
      </c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9">
        <f>IF(A501="","",A501&amp;"|"&amp;COUNTIF($A$2:A501,A501))</f>
        <v/>
      </c>
    </row>
  </sheetData>
  <autoFilter ref="A1:H501"/>
  <dataValidations count="1">
    <dataValidation sqref="H2:H501" showDropDown="0" showInputMessage="0" showErrorMessage="1" allowBlank="1" type="list">
      <formula1>=Listes!$C$2:$C$3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08080"/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9" customWidth="1" min="4" max="4"/>
    <col width="9" customWidth="1" min="5" max="5"/>
    <col width="10" customWidth="1" min="6" max="6"/>
    <col width="10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 ht="32" customHeight="1">
      <c r="A1" s="4" t="inlineStr">
        <is>
          <t>RFI No</t>
        </is>
      </c>
      <c r="B1" s="4" t="inlineStr">
        <is>
          <t>N° pipe</t>
        </is>
      </c>
      <c r="C1" s="4" t="inlineStr">
        <is>
          <t>N° de coulée</t>
        </is>
      </c>
      <c r="D1" s="4" t="inlineStr">
        <is>
          <t>Diamètre</t>
        </is>
      </c>
      <c r="E1" s="4" t="inlineStr">
        <is>
          <t>Matériel</t>
        </is>
      </c>
      <c r="F1" s="4" t="inlineStr">
        <is>
          <t>Ep. nominale (mm)</t>
        </is>
      </c>
      <c r="G1" s="4" t="inlineStr">
        <is>
          <t>Ep. mesurée (mm)</t>
        </is>
      </c>
      <c r="H1" s="4" t="inlineStr">
        <is>
          <t>Rayon de courbure</t>
        </is>
      </c>
      <c r="I1" s="4" t="inlineStr">
        <is>
          <t>Angle</t>
        </is>
      </c>
      <c r="J1" s="4" t="inlineStr">
        <is>
          <t>Jauge 97 % ND</t>
        </is>
      </c>
      <c r="K1" s="4" t="inlineStr">
        <is>
          <t>Extrémités ≥ 1.5 m</t>
        </is>
      </c>
      <c r="L1" s="4" t="inlineStr">
        <is>
          <t>Traçabilité</t>
        </is>
      </c>
      <c r="M1" s="4" t="inlineStr">
        <is>
          <t>Évaluation générale</t>
        </is>
      </c>
    </row>
    <row r="2">
      <c r="A2" s="7" t="inlineStr">
        <is>
          <t>21063-G26-PPL-RFI-00188</t>
        </is>
      </c>
      <c r="B2" s="7" t="inlineStr">
        <is>
          <t>2083690</t>
        </is>
      </c>
      <c r="C2" s="7" t="inlineStr">
        <is>
          <t>15421105</t>
        </is>
      </c>
      <c r="D2" s="7" t="inlineStr">
        <is>
          <t>16"</t>
        </is>
      </c>
      <c r="E2" s="7" t="inlineStr">
        <is>
          <t>CC</t>
        </is>
      </c>
      <c r="F2" s="7" t="inlineStr">
        <is>
          <t>9.52</t>
        </is>
      </c>
      <c r="G2" s="7" t="inlineStr">
        <is>
          <t>9.51</t>
        </is>
      </c>
      <c r="H2" s="7" t="inlineStr">
        <is>
          <t>40 x ND</t>
        </is>
      </c>
      <c r="I2" s="7" t="inlineStr">
        <is>
          <t>29.01°</t>
        </is>
      </c>
      <c r="J2" s="7" t="inlineStr">
        <is>
          <t>Oui</t>
        </is>
      </c>
      <c r="K2" s="7" t="inlineStr">
        <is>
          <t>Oui</t>
        </is>
      </c>
      <c r="L2" s="7" t="inlineStr">
        <is>
          <t>C</t>
        </is>
      </c>
      <c r="M2" s="7" t="inlineStr">
        <is>
          <t>Acc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</sheetData>
  <autoFilter ref="A1:M501"/>
  <dataValidations count="4">
    <dataValidation sqref="J2:J501" showDropDown="0" showInputMessage="0" showErrorMessage="1" allowBlank="1" type="list">
      <formula1>=Listes!$F$2:$F$3</formula1>
    </dataValidation>
    <dataValidation sqref="K2:K501" showDropDown="0" showInputMessage="0" showErrorMessage="1" allowBlank="1" type="list">
      <formula1>=Listes!$F$2:$F$3</formula1>
    </dataValidation>
    <dataValidation sqref="L2:L501" showDropDown="0" showInputMessage="0" showErrorMessage="1" allowBlank="1" type="list">
      <formula1>=Listes!$C$2:$C$3</formula1>
    </dataValidation>
    <dataValidation sqref="M2:M501" showDropDown="0" showInputMessage="0" showErrorMessage="1" allowBlank="1" type="list">
      <formula1>=Listes!$K$2:$K$3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08080"/>
    <outlinePr summaryBelow="1" summaryRight="1"/>
    <pageSetUpPr/>
  </sheetPr>
  <dimension ref="A1:U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14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 ht="32" customHeight="1">
      <c r="A1" s="4" t="inlineStr">
        <is>
          <t>RFI No</t>
        </is>
      </c>
      <c r="B1" s="4" t="inlineStr">
        <is>
          <t>Lot abrasif</t>
        </is>
      </c>
      <c r="C1" s="4" t="inlineStr">
        <is>
          <t>Lot apprêt / FBE</t>
        </is>
      </c>
      <c r="D1" s="4" t="inlineStr">
        <is>
          <t>Lot HSS</t>
        </is>
      </c>
      <c r="E1" s="4" t="inlineStr">
        <is>
          <t>Lot solvant</t>
        </is>
      </c>
      <c r="F1" s="4" t="inlineStr">
        <is>
          <t>Temp air 1</t>
        </is>
      </c>
      <c r="G1" s="4" t="inlineStr">
        <is>
          <t>Temp air 2</t>
        </is>
      </c>
      <c r="H1" s="4" t="inlineStr">
        <is>
          <t>Temp air 3</t>
        </is>
      </c>
      <c r="I1" s="4" t="inlineStr">
        <is>
          <t>Temp air 4</t>
        </is>
      </c>
      <c r="J1" s="4" t="inlineStr">
        <is>
          <t>Point rosée 1</t>
        </is>
      </c>
      <c r="K1" s="4" t="inlineStr">
        <is>
          <t>Point rosée 2</t>
        </is>
      </c>
      <c r="L1" s="4" t="inlineStr">
        <is>
          <t>Point rosée 3</t>
        </is>
      </c>
      <c r="M1" s="4" t="inlineStr">
        <is>
          <t>Point rosée 4</t>
        </is>
      </c>
      <c r="N1" s="4" t="inlineStr">
        <is>
          <t>Humidité 1</t>
        </is>
      </c>
      <c r="O1" s="4" t="inlineStr">
        <is>
          <t>Humidité 2</t>
        </is>
      </c>
      <c r="P1" s="4" t="inlineStr">
        <is>
          <t>Humidité 3</t>
        </is>
      </c>
      <c r="Q1" s="4" t="inlineStr">
        <is>
          <t>Humidité 4</t>
        </is>
      </c>
      <c r="R1" s="4" t="inlineStr">
        <is>
          <t>Air comprimé 1</t>
        </is>
      </c>
      <c r="S1" s="4" t="inlineStr">
        <is>
          <t>Air comprimé 2</t>
        </is>
      </c>
      <c r="T1" s="4" t="inlineStr">
        <is>
          <t>Air comprimé 3</t>
        </is>
      </c>
      <c r="U1" s="4" t="inlineStr">
        <is>
          <t>Air comprimé 4</t>
        </is>
      </c>
    </row>
    <row r="2">
      <c r="A2" s="7" t="inlineStr">
        <is>
          <t>21063-G26-PPL-RFI-0194</t>
        </is>
      </c>
      <c r="B2" s="7" t="inlineStr">
        <is>
          <t>543/DE/UG/LTPS/2024</t>
        </is>
      </c>
      <c r="C2" s="7" t="inlineStr">
        <is>
          <t>62211014</t>
        </is>
      </c>
      <c r="D2" s="7" t="inlineStr">
        <is>
          <t>22-B-1457</t>
        </is>
      </c>
      <c r="E2" s="7" t="inlineStr"/>
      <c r="F2" s="7" t="inlineStr">
        <is>
          <t>26 °C</t>
        </is>
      </c>
      <c r="G2" s="7" t="inlineStr">
        <is>
          <t>29 °C</t>
        </is>
      </c>
      <c r="H2" s="7" t="inlineStr">
        <is>
          <t>35 °C</t>
        </is>
      </c>
      <c r="I2" s="7" t="inlineStr">
        <is>
          <t>39 °C</t>
        </is>
      </c>
      <c r="J2" s="7" t="inlineStr">
        <is>
          <t>15</t>
        </is>
      </c>
      <c r="K2" s="7" t="inlineStr">
        <is>
          <t>14</t>
        </is>
      </c>
      <c r="L2" s="7" t="inlineStr">
        <is>
          <t>12.5</t>
        </is>
      </c>
      <c r="M2" s="7" t="inlineStr">
        <is>
          <t>11</t>
        </is>
      </c>
      <c r="N2" s="7" t="inlineStr">
        <is>
          <t>39 %</t>
        </is>
      </c>
      <c r="O2" s="7" t="inlineStr">
        <is>
          <t>30 %</t>
        </is>
      </c>
      <c r="P2" s="7" t="inlineStr">
        <is>
          <t>20 %</t>
        </is>
      </c>
      <c r="Q2" s="7" t="inlineStr">
        <is>
          <t>16 %</t>
        </is>
      </c>
      <c r="R2" s="7" t="inlineStr">
        <is>
          <t>ok</t>
        </is>
      </c>
      <c r="S2" s="7" t="inlineStr">
        <is>
          <t>ok</t>
        </is>
      </c>
      <c r="T2" s="7" t="inlineStr">
        <is>
          <t>ok</t>
        </is>
      </c>
      <c r="U2" s="7" t="inlineStr">
        <is>
          <t>ok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</row>
  </sheetData>
  <autoFilter ref="A1:U5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08080"/>
    <outlinePr summaryBelow="1" summaryRight="1"/>
    <pageSetUpPr/>
  </sheetPr>
  <dimension ref="A1:N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8" customWidth="1" min="9" max="9"/>
    <col width="9" customWidth="1" min="10" max="10"/>
    <col width="9" customWidth="1" min="11" max="11"/>
    <col width="10" customWidth="1" min="12" max="12"/>
    <col width="18" customWidth="1" min="13" max="13"/>
    <col width="14" customWidth="1" min="14" max="14"/>
  </cols>
  <sheetData>
    <row r="1" ht="32" customHeight="1">
      <c r="A1" s="4" t="inlineStr">
        <is>
          <t>RFI No</t>
        </is>
      </c>
      <c r="B1" s="4" t="inlineStr">
        <is>
          <t>N° de joint</t>
        </is>
      </c>
      <c r="C1" s="4" t="inlineStr">
        <is>
          <t>État surface avant sablage</t>
        </is>
      </c>
      <c r="D1" s="4" t="inlineStr">
        <is>
          <t>Temp surface</t>
        </is>
      </c>
      <c r="E1" s="4" t="inlineStr">
        <is>
          <t>Profil sablage µm</t>
        </is>
      </c>
      <c r="F1" s="4" t="inlineStr">
        <is>
          <t>Chlorures µg/cm²</t>
        </is>
      </c>
      <c r="G1" s="4" t="inlineStr">
        <is>
          <t>Test poussière</t>
        </is>
      </c>
      <c r="H1" s="4" t="inlineStr">
        <is>
          <t>Temp préchauffage °C</t>
        </is>
      </c>
      <c r="I1" s="4" t="inlineStr">
        <is>
          <t>Visuel</t>
        </is>
      </c>
      <c r="J1" s="4" t="inlineStr">
        <is>
          <t>Test d'adhérence</t>
        </is>
      </c>
      <c r="K1" s="4" t="inlineStr">
        <is>
          <t>Holiday test</t>
        </is>
      </c>
      <c r="L1" s="4" t="inlineStr">
        <is>
          <t>Accepté / Rejeté</t>
        </is>
      </c>
      <c r="M1" s="4" t="inlineStr">
        <is>
          <t>Remarques</t>
        </is>
      </c>
      <c r="N1" s="6" t="inlineStr">
        <is>
          <t>Clé (auto)</t>
        </is>
      </c>
    </row>
    <row r="2">
      <c r="A2" s="7" t="inlineStr">
        <is>
          <t>21063-G26-PPL-RFI-0194</t>
        </is>
      </c>
      <c r="B2" s="7" t="inlineStr">
        <is>
          <t>JN°1596</t>
        </is>
      </c>
      <c r="C2" s="7" t="inlineStr">
        <is>
          <t>OK</t>
        </is>
      </c>
      <c r="D2" s="7" t="inlineStr">
        <is>
          <t>36 C°</t>
        </is>
      </c>
      <c r="E2" s="7" t="inlineStr">
        <is>
          <t>68</t>
        </is>
      </c>
      <c r="F2" s="7" t="inlineStr">
        <is>
          <t>15</t>
        </is>
      </c>
      <c r="G2" s="7" t="inlineStr">
        <is>
          <t>OK</t>
        </is>
      </c>
      <c r="H2" s="7" t="inlineStr">
        <is>
          <t>50</t>
        </is>
      </c>
      <c r="I2" s="7" t="inlineStr">
        <is>
          <t>OK</t>
        </is>
      </c>
      <c r="J2" s="7" t="inlineStr">
        <is>
          <t>/</t>
        </is>
      </c>
      <c r="K2" s="7" t="inlineStr">
        <is>
          <t>OK</t>
        </is>
      </c>
      <c r="L2" s="7" t="inlineStr">
        <is>
          <t>OK</t>
        </is>
      </c>
      <c r="M2" s="7" t="inlineStr">
        <is>
          <t>Dust test ( T-2)</t>
        </is>
      </c>
      <c r="N2" s="9">
        <f>IF(A2="","",A2&amp;"|"&amp;COUNTIF($A$2:A2,A2))</f>
        <v/>
      </c>
    </row>
    <row r="3">
      <c r="A3" s="7" t="inlineStr">
        <is>
          <t>21063-G26-PPL-RFI-0194</t>
        </is>
      </c>
      <c r="B3" s="7" t="inlineStr">
        <is>
          <t>JN°1597</t>
        </is>
      </c>
      <c r="C3" s="7" t="inlineStr">
        <is>
          <t>OK</t>
        </is>
      </c>
      <c r="D3" s="7" t="inlineStr">
        <is>
          <t>36 C°</t>
        </is>
      </c>
      <c r="E3" s="7" t="inlineStr">
        <is>
          <t>73</t>
        </is>
      </c>
      <c r="F3" s="7" t="inlineStr">
        <is>
          <t>18</t>
        </is>
      </c>
      <c r="G3" s="7" t="inlineStr">
        <is>
          <t>OK</t>
        </is>
      </c>
      <c r="H3" s="7" t="inlineStr">
        <is>
          <t>50</t>
        </is>
      </c>
      <c r="I3" s="7" t="inlineStr">
        <is>
          <t>OK</t>
        </is>
      </c>
      <c r="J3" s="7" t="inlineStr">
        <is>
          <t>/</t>
        </is>
      </c>
      <c r="K3" s="7" t="inlineStr">
        <is>
          <t>OK</t>
        </is>
      </c>
      <c r="L3" s="7" t="inlineStr">
        <is>
          <t>OK</t>
        </is>
      </c>
      <c r="M3" s="7" t="inlineStr">
        <is>
          <t>Dust test ( T-2)</t>
        </is>
      </c>
      <c r="N3" s="9">
        <f>IF(A3="","",A3&amp;"|"&amp;COUNTIF($A$2:A3,A3))</f>
        <v/>
      </c>
    </row>
    <row r="4">
      <c r="A4" s="7" t="inlineStr">
        <is>
          <t>21063-G26-PPL-RFI-0194</t>
        </is>
      </c>
      <c r="B4" s="7" t="inlineStr">
        <is>
          <t>JN°1598</t>
        </is>
      </c>
      <c r="C4" s="7" t="inlineStr">
        <is>
          <t>OK</t>
        </is>
      </c>
      <c r="D4" s="7" t="inlineStr">
        <is>
          <t>36 C°</t>
        </is>
      </c>
      <c r="E4" s="7" t="inlineStr">
        <is>
          <t>79</t>
        </is>
      </c>
      <c r="F4" s="7" t="inlineStr">
        <is>
          <t>17</t>
        </is>
      </c>
      <c r="G4" s="7" t="inlineStr">
        <is>
          <t>OK</t>
        </is>
      </c>
      <c r="H4" s="7" t="inlineStr">
        <is>
          <t>50</t>
        </is>
      </c>
      <c r="I4" s="7" t="inlineStr">
        <is>
          <t>OK</t>
        </is>
      </c>
      <c r="J4" s="7" t="inlineStr">
        <is>
          <t>/</t>
        </is>
      </c>
      <c r="K4" s="7" t="inlineStr">
        <is>
          <t>OK</t>
        </is>
      </c>
      <c r="L4" s="7" t="inlineStr">
        <is>
          <t>OK</t>
        </is>
      </c>
      <c r="M4" s="7" t="inlineStr">
        <is>
          <t>Dust test ( T-2)</t>
        </is>
      </c>
      <c r="N4" s="9">
        <f>IF(A4="","",A4&amp;"|"&amp;COUNTIF($A$2:A4,A4))</f>
        <v/>
      </c>
    </row>
    <row r="5">
      <c r="A5" s="7" t="inlineStr">
        <is>
          <t>21063-G26-PPL-RFI-0194</t>
        </is>
      </c>
      <c r="B5" s="7" t="inlineStr">
        <is>
          <t>JN°1599</t>
        </is>
      </c>
      <c r="C5" s="7" t="inlineStr">
        <is>
          <t>OK</t>
        </is>
      </c>
      <c r="D5" s="7" t="inlineStr">
        <is>
          <t>36 C°</t>
        </is>
      </c>
      <c r="E5" s="7" t="inlineStr">
        <is>
          <t>79</t>
        </is>
      </c>
      <c r="F5" s="7" t="inlineStr">
        <is>
          <t>17</t>
        </is>
      </c>
      <c r="G5" s="7" t="inlineStr">
        <is>
          <t>OK</t>
        </is>
      </c>
      <c r="H5" s="7" t="inlineStr">
        <is>
          <t>50</t>
        </is>
      </c>
      <c r="I5" s="7" t="inlineStr">
        <is>
          <t>OK</t>
        </is>
      </c>
      <c r="J5" s="7" t="inlineStr">
        <is>
          <t>/</t>
        </is>
      </c>
      <c r="K5" s="7" t="inlineStr">
        <is>
          <t>OK</t>
        </is>
      </c>
      <c r="L5" s="7" t="inlineStr">
        <is>
          <t>OK</t>
        </is>
      </c>
      <c r="M5" s="7" t="inlineStr">
        <is>
          <t>Dust test ( T-2)</t>
        </is>
      </c>
      <c r="N5" s="9">
        <f>IF(A5="","",A5&amp;"|"&amp;COUNTIF($A$2:A5,A5))</f>
        <v/>
      </c>
    </row>
    <row r="6">
      <c r="A6" s="7" t="inlineStr">
        <is>
          <t>21063-G26-PPL-RFI-0194</t>
        </is>
      </c>
      <c r="B6" s="7" t="inlineStr">
        <is>
          <t>JN°1600</t>
        </is>
      </c>
      <c r="C6" s="7" t="inlineStr">
        <is>
          <t>OK</t>
        </is>
      </c>
      <c r="D6" s="7" t="inlineStr">
        <is>
          <t>36 C°</t>
        </is>
      </c>
      <c r="E6" s="7" t="inlineStr">
        <is>
          <t>61</t>
        </is>
      </c>
      <c r="F6" s="7" t="inlineStr">
        <is>
          <t>14</t>
        </is>
      </c>
      <c r="G6" s="7" t="inlineStr">
        <is>
          <t>OK</t>
        </is>
      </c>
      <c r="H6" s="7" t="inlineStr">
        <is>
          <t>50</t>
        </is>
      </c>
      <c r="I6" s="7" t="inlineStr">
        <is>
          <t>OK</t>
        </is>
      </c>
      <c r="J6" s="7" t="inlineStr">
        <is>
          <t>/</t>
        </is>
      </c>
      <c r="K6" s="7" t="inlineStr">
        <is>
          <t>OK</t>
        </is>
      </c>
      <c r="L6" s="7" t="inlineStr">
        <is>
          <t>OK</t>
        </is>
      </c>
      <c r="M6" s="7" t="inlineStr">
        <is>
          <t>Dust test ( T-2)</t>
        </is>
      </c>
      <c r="N6" s="9">
        <f>IF(A6="","",A6&amp;"|"&amp;COUNTIF($A$2:A6,A6))</f>
        <v/>
      </c>
    </row>
    <row r="7">
      <c r="A7" s="7" t="inlineStr">
        <is>
          <t>21063-G26-PPL-RFI-0194</t>
        </is>
      </c>
      <c r="B7" s="7" t="inlineStr">
        <is>
          <t>JN°1601</t>
        </is>
      </c>
      <c r="C7" s="7" t="inlineStr">
        <is>
          <t>OK</t>
        </is>
      </c>
      <c r="D7" s="7" t="inlineStr">
        <is>
          <t>36 C°</t>
        </is>
      </c>
      <c r="E7" s="7" t="inlineStr">
        <is>
          <t>65</t>
        </is>
      </c>
      <c r="F7" s="7" t="inlineStr">
        <is>
          <t>18</t>
        </is>
      </c>
      <c r="G7" s="7" t="inlineStr">
        <is>
          <t>OK</t>
        </is>
      </c>
      <c r="H7" s="7" t="inlineStr">
        <is>
          <t>50</t>
        </is>
      </c>
      <c r="I7" s="7" t="inlineStr">
        <is>
          <t>OK</t>
        </is>
      </c>
      <c r="J7" s="7" t="inlineStr">
        <is>
          <t>/</t>
        </is>
      </c>
      <c r="K7" s="7" t="inlineStr">
        <is>
          <t>OK</t>
        </is>
      </c>
      <c r="L7" s="7" t="inlineStr">
        <is>
          <t>OK</t>
        </is>
      </c>
      <c r="M7" s="7" t="inlineStr">
        <is>
          <t>Dust test ( T-2)</t>
        </is>
      </c>
      <c r="N7" s="9">
        <f>IF(A7="","",A7&amp;"|"&amp;COUNTIF($A$2:A7,A7))</f>
        <v/>
      </c>
    </row>
    <row r="8">
      <c r="A8" s="7" t="inlineStr">
        <is>
          <t>21063-G26-PPL-RFI-0194</t>
        </is>
      </c>
      <c r="B8" s="7" t="inlineStr">
        <is>
          <t>JN°1602</t>
        </is>
      </c>
      <c r="C8" s="7" t="inlineStr">
        <is>
          <t>OK</t>
        </is>
      </c>
      <c r="D8" s="7" t="inlineStr">
        <is>
          <t>36 C°</t>
        </is>
      </c>
      <c r="E8" s="7" t="inlineStr">
        <is>
          <t>65</t>
        </is>
      </c>
      <c r="F8" s="7" t="inlineStr">
        <is>
          <t>18</t>
        </is>
      </c>
      <c r="G8" s="7" t="inlineStr">
        <is>
          <t>OK</t>
        </is>
      </c>
      <c r="H8" s="7" t="inlineStr">
        <is>
          <t>50</t>
        </is>
      </c>
      <c r="I8" s="7" t="inlineStr">
        <is>
          <t>OK</t>
        </is>
      </c>
      <c r="J8" s="7" t="inlineStr">
        <is>
          <t>/</t>
        </is>
      </c>
      <c r="K8" s="7" t="inlineStr">
        <is>
          <t>OK</t>
        </is>
      </c>
      <c r="L8" s="7" t="inlineStr">
        <is>
          <t>OK</t>
        </is>
      </c>
      <c r="M8" s="7" t="inlineStr">
        <is>
          <t>Dust test ( T-2)</t>
        </is>
      </c>
      <c r="N8" s="9">
        <f>IF(A8="","",A8&amp;"|"&amp;COUNTIF($A$2:A8,A8))</f>
        <v/>
      </c>
    </row>
    <row r="9">
      <c r="A9" s="7" t="inlineStr">
        <is>
          <t>21063-G26-PPL-RFI-0194</t>
        </is>
      </c>
      <c r="B9" s="7" t="inlineStr">
        <is>
          <t>JN°1605</t>
        </is>
      </c>
      <c r="C9" s="7" t="inlineStr">
        <is>
          <t>OK</t>
        </is>
      </c>
      <c r="D9" s="7" t="inlineStr">
        <is>
          <t>37 C°</t>
        </is>
      </c>
      <c r="E9" s="7" t="inlineStr">
        <is>
          <t>78</t>
        </is>
      </c>
      <c r="F9" s="7" t="inlineStr">
        <is>
          <t>15</t>
        </is>
      </c>
      <c r="G9" s="7" t="inlineStr">
        <is>
          <t>OK</t>
        </is>
      </c>
      <c r="H9" s="7" t="inlineStr">
        <is>
          <t>50</t>
        </is>
      </c>
      <c r="I9" s="7" t="inlineStr">
        <is>
          <t>OK</t>
        </is>
      </c>
      <c r="J9" s="7" t="inlineStr">
        <is>
          <t>/</t>
        </is>
      </c>
      <c r="K9" s="7" t="inlineStr">
        <is>
          <t>OK</t>
        </is>
      </c>
      <c r="L9" s="7" t="inlineStr">
        <is>
          <t>OK</t>
        </is>
      </c>
      <c r="M9" s="7" t="inlineStr">
        <is>
          <t>Dust test ( T-2)</t>
        </is>
      </c>
      <c r="N9" s="9">
        <f>IF(A9="","",A9&amp;"|"&amp;COUNTIF($A$2:A9,A9))</f>
        <v/>
      </c>
    </row>
    <row r="10">
      <c r="A10" s="7" t="inlineStr">
        <is>
          <t>21063-G26-PPL-RFI-0194</t>
        </is>
      </c>
      <c r="B10" s="7" t="inlineStr">
        <is>
          <t>JN°1606</t>
        </is>
      </c>
      <c r="C10" s="7" t="inlineStr">
        <is>
          <t>OK</t>
        </is>
      </c>
      <c r="D10" s="7" t="inlineStr">
        <is>
          <t>37 C°</t>
        </is>
      </c>
      <c r="E10" s="7" t="inlineStr">
        <is>
          <t>75</t>
        </is>
      </c>
      <c r="F10" s="7" t="inlineStr">
        <is>
          <t>15</t>
        </is>
      </c>
      <c r="G10" s="7" t="inlineStr">
        <is>
          <t>OK</t>
        </is>
      </c>
      <c r="H10" s="7" t="inlineStr">
        <is>
          <t>50</t>
        </is>
      </c>
      <c r="I10" s="7" t="inlineStr">
        <is>
          <t>OK</t>
        </is>
      </c>
      <c r="J10" s="7" t="inlineStr">
        <is>
          <t>/</t>
        </is>
      </c>
      <c r="K10" s="7" t="inlineStr">
        <is>
          <t>OK</t>
        </is>
      </c>
      <c r="L10" s="7" t="inlineStr">
        <is>
          <t>OK</t>
        </is>
      </c>
      <c r="M10" s="7" t="inlineStr">
        <is>
          <t>Dust test ( T-2)</t>
        </is>
      </c>
      <c r="N10" s="9">
        <f>IF(A10="","",A10&amp;"|"&amp;COUNTIF($A$2:A10,A10))</f>
        <v/>
      </c>
    </row>
    <row r="11">
      <c r="A11" s="7" t="inlineStr">
        <is>
          <t>21063-G26-PPL-RFI-0194</t>
        </is>
      </c>
      <c r="B11" s="7" t="inlineStr">
        <is>
          <t>JN°1585</t>
        </is>
      </c>
      <c r="C11" s="7" t="inlineStr">
        <is>
          <t>OK</t>
        </is>
      </c>
      <c r="D11" s="7" t="inlineStr">
        <is>
          <t>37 C°</t>
        </is>
      </c>
      <c r="E11" s="7" t="inlineStr">
        <is>
          <t>73</t>
        </is>
      </c>
      <c r="F11" s="7" t="inlineStr">
        <is>
          <t>17</t>
        </is>
      </c>
      <c r="G11" s="7" t="inlineStr">
        <is>
          <t>OK</t>
        </is>
      </c>
      <c r="H11" s="7" t="inlineStr">
        <is>
          <t>50</t>
        </is>
      </c>
      <c r="I11" s="7" t="inlineStr">
        <is>
          <t>OK</t>
        </is>
      </c>
      <c r="J11" s="7" t="inlineStr">
        <is>
          <t>/</t>
        </is>
      </c>
      <c r="K11" s="7" t="inlineStr">
        <is>
          <t>OK</t>
        </is>
      </c>
      <c r="L11" s="7" t="inlineStr">
        <is>
          <t>OK</t>
        </is>
      </c>
      <c r="M11" s="7" t="inlineStr">
        <is>
          <t>Dust test ( T-2)</t>
        </is>
      </c>
      <c r="N11" s="9">
        <f>IF(A11="","",A11&amp;"|"&amp;COUNTIF($A$2:A11,A11))</f>
        <v/>
      </c>
    </row>
    <row r="12">
      <c r="A12" s="7" t="inlineStr">
        <is>
          <t>21063-G26-PPL-RFI-0194</t>
        </is>
      </c>
      <c r="B12" s="7" t="inlineStr">
        <is>
          <t>JN°1587</t>
        </is>
      </c>
      <c r="C12" s="7" t="inlineStr">
        <is>
          <t>OK</t>
        </is>
      </c>
      <c r="D12" s="7" t="inlineStr">
        <is>
          <t>37 C°</t>
        </is>
      </c>
      <c r="E12" s="7" t="inlineStr">
        <is>
          <t>70</t>
        </is>
      </c>
      <c r="F12" s="7" t="inlineStr">
        <is>
          <t>18</t>
        </is>
      </c>
      <c r="G12" s="7" t="inlineStr">
        <is>
          <t>OK</t>
        </is>
      </c>
      <c r="H12" s="7" t="inlineStr">
        <is>
          <t>50</t>
        </is>
      </c>
      <c r="I12" s="7" t="inlineStr">
        <is>
          <t>OK</t>
        </is>
      </c>
      <c r="J12" s="7" t="inlineStr">
        <is>
          <t>/</t>
        </is>
      </c>
      <c r="K12" s="7" t="inlineStr">
        <is>
          <t>OK</t>
        </is>
      </c>
      <c r="L12" s="7" t="inlineStr">
        <is>
          <t>OK</t>
        </is>
      </c>
      <c r="M12" s="7" t="inlineStr">
        <is>
          <t>Dust test ( T-2)</t>
        </is>
      </c>
      <c r="N12" s="9">
        <f>IF(A12="","",A12&amp;"|"&amp;COUNTIF($A$2:A12,A12))</f>
        <v/>
      </c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9">
        <f>IF(A13="","",A13&amp;"|"&amp;COUNTIF($A$2:A13,A13))</f>
        <v/>
      </c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9">
        <f>IF(A14="","",A14&amp;"|"&amp;COUNTIF($A$2:A14,A14))</f>
        <v/>
      </c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9">
        <f>IF(A15="","",A15&amp;"|"&amp;COUNTIF($A$2:A15,A15))</f>
        <v/>
      </c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9">
        <f>IF(A16="","",A16&amp;"|"&amp;COUNTIF($A$2:A16,A16))</f>
        <v/>
      </c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9">
        <f>IF(A17="","",A17&amp;"|"&amp;COUNTIF($A$2:A17,A17))</f>
        <v/>
      </c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9">
        <f>IF(A18="","",A18&amp;"|"&amp;COUNTIF($A$2:A18,A18))</f>
        <v/>
      </c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9">
        <f>IF(A19="","",A19&amp;"|"&amp;COUNTIF($A$2:A19,A19))</f>
        <v/>
      </c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9">
        <f>IF(A20="","",A20&amp;"|"&amp;COUNTIF($A$2:A20,A20))</f>
        <v/>
      </c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9">
        <f>IF(A21="","",A21&amp;"|"&amp;COUNTIF($A$2:A21,A21))</f>
        <v/>
      </c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9">
        <f>IF(A22="","",A22&amp;"|"&amp;COUNTIF($A$2:A22,A22))</f>
        <v/>
      </c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9">
        <f>IF(A23="","",A23&amp;"|"&amp;COUNTIF($A$2:A23,A23))</f>
        <v/>
      </c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9">
        <f>IF(A24="","",A24&amp;"|"&amp;COUNTIF($A$2:A24,A24))</f>
        <v/>
      </c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9">
        <f>IF(A25="","",A25&amp;"|"&amp;COUNTIF($A$2:A25,A25))</f>
        <v/>
      </c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9">
        <f>IF(A26="","",A26&amp;"|"&amp;COUNTIF($A$2:A26,A26))</f>
        <v/>
      </c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9">
        <f>IF(A27="","",A27&amp;"|"&amp;COUNTIF($A$2:A27,A27))</f>
        <v/>
      </c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9">
        <f>IF(A28="","",A28&amp;"|"&amp;COUNTIF($A$2:A28,A28))</f>
        <v/>
      </c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9">
        <f>IF(A29="","",A29&amp;"|"&amp;COUNTIF($A$2:A29,A29))</f>
        <v/>
      </c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9">
        <f>IF(A30="","",A30&amp;"|"&amp;COUNTIF($A$2:A30,A30))</f>
        <v/>
      </c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9">
        <f>IF(A31="","",A31&amp;"|"&amp;COUNTIF($A$2:A31,A31))</f>
        <v/>
      </c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9">
        <f>IF(A32="","",A32&amp;"|"&amp;COUNTIF($A$2:A32,A32))</f>
        <v/>
      </c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9">
        <f>IF(A33="","",A33&amp;"|"&amp;COUNTIF($A$2:A33,A33))</f>
        <v/>
      </c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9">
        <f>IF(A34="","",A34&amp;"|"&amp;COUNTIF($A$2:A34,A34))</f>
        <v/>
      </c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9">
        <f>IF(A35="","",A35&amp;"|"&amp;COUNTIF($A$2:A35,A35))</f>
        <v/>
      </c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9">
        <f>IF(A36="","",A36&amp;"|"&amp;COUNTIF($A$2:A36,A36))</f>
        <v/>
      </c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9">
        <f>IF(A37="","",A37&amp;"|"&amp;COUNTIF($A$2:A37,A37))</f>
        <v/>
      </c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9">
        <f>IF(A38="","",A38&amp;"|"&amp;COUNTIF($A$2:A38,A38))</f>
        <v/>
      </c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9">
        <f>IF(A39="","",A39&amp;"|"&amp;COUNTIF($A$2:A39,A39))</f>
        <v/>
      </c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9">
        <f>IF(A40="","",A40&amp;"|"&amp;COUNTIF($A$2:A40,A40))</f>
        <v/>
      </c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9">
        <f>IF(A41="","",A41&amp;"|"&amp;COUNTIF($A$2:A41,A41))</f>
        <v/>
      </c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9">
        <f>IF(A42="","",A42&amp;"|"&amp;COUNTIF($A$2:A42,A42))</f>
        <v/>
      </c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9">
        <f>IF(A43="","",A43&amp;"|"&amp;COUNTIF($A$2:A43,A43))</f>
        <v/>
      </c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9">
        <f>IF(A44="","",A44&amp;"|"&amp;COUNTIF($A$2:A44,A44))</f>
        <v/>
      </c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9">
        <f>IF(A45="","",A45&amp;"|"&amp;COUNTIF($A$2:A45,A45))</f>
        <v/>
      </c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9">
        <f>IF(A46="","",A46&amp;"|"&amp;COUNTIF($A$2:A46,A46))</f>
        <v/>
      </c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9">
        <f>IF(A47="","",A47&amp;"|"&amp;COUNTIF($A$2:A47,A47))</f>
        <v/>
      </c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9">
        <f>IF(A48="","",A48&amp;"|"&amp;COUNTIF($A$2:A48,A48))</f>
        <v/>
      </c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9">
        <f>IF(A49="","",A49&amp;"|"&amp;COUNTIF($A$2:A49,A49))</f>
        <v/>
      </c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9">
        <f>IF(A50="","",A50&amp;"|"&amp;COUNTIF($A$2:A50,A50))</f>
        <v/>
      </c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9">
        <f>IF(A51="","",A51&amp;"|"&amp;COUNTIF($A$2:A51,A51))</f>
        <v/>
      </c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9">
        <f>IF(A52="","",A52&amp;"|"&amp;COUNTIF($A$2:A52,A52))</f>
        <v/>
      </c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9">
        <f>IF(A53="","",A53&amp;"|"&amp;COUNTIF($A$2:A53,A53))</f>
        <v/>
      </c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9">
        <f>IF(A54="","",A54&amp;"|"&amp;COUNTIF($A$2:A54,A54))</f>
        <v/>
      </c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9">
        <f>IF(A55="","",A55&amp;"|"&amp;COUNTIF($A$2:A55,A55))</f>
        <v/>
      </c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9">
        <f>IF(A56="","",A56&amp;"|"&amp;COUNTIF($A$2:A56,A56))</f>
        <v/>
      </c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9">
        <f>IF(A57="","",A57&amp;"|"&amp;COUNTIF($A$2:A57,A57))</f>
        <v/>
      </c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9">
        <f>IF(A58="","",A58&amp;"|"&amp;COUNTIF($A$2:A58,A58))</f>
        <v/>
      </c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9">
        <f>IF(A59="","",A59&amp;"|"&amp;COUNTIF($A$2:A59,A59))</f>
        <v/>
      </c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9">
        <f>IF(A60="","",A60&amp;"|"&amp;COUNTIF($A$2:A60,A60))</f>
        <v/>
      </c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9">
        <f>IF(A61="","",A61&amp;"|"&amp;COUNTIF($A$2:A61,A61))</f>
        <v/>
      </c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9">
        <f>IF(A62="","",A62&amp;"|"&amp;COUNTIF($A$2:A62,A62))</f>
        <v/>
      </c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9">
        <f>IF(A63="","",A63&amp;"|"&amp;COUNTIF($A$2:A63,A63))</f>
        <v/>
      </c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9">
        <f>IF(A64="","",A64&amp;"|"&amp;COUNTIF($A$2:A64,A64))</f>
        <v/>
      </c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9">
        <f>IF(A65="","",A65&amp;"|"&amp;COUNTIF($A$2:A65,A65))</f>
        <v/>
      </c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9">
        <f>IF(A66="","",A66&amp;"|"&amp;COUNTIF($A$2:A66,A66))</f>
        <v/>
      </c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9">
        <f>IF(A67="","",A67&amp;"|"&amp;COUNTIF($A$2:A67,A67))</f>
        <v/>
      </c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9">
        <f>IF(A68="","",A68&amp;"|"&amp;COUNTIF($A$2:A68,A68))</f>
        <v/>
      </c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9">
        <f>IF(A69="","",A69&amp;"|"&amp;COUNTIF($A$2:A69,A69))</f>
        <v/>
      </c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9">
        <f>IF(A70="","",A70&amp;"|"&amp;COUNTIF($A$2:A70,A70))</f>
        <v/>
      </c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9">
        <f>IF(A71="","",A71&amp;"|"&amp;COUNTIF($A$2:A71,A71))</f>
        <v/>
      </c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9">
        <f>IF(A72="","",A72&amp;"|"&amp;COUNTIF($A$2:A72,A72))</f>
        <v/>
      </c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9">
        <f>IF(A73="","",A73&amp;"|"&amp;COUNTIF($A$2:A73,A73))</f>
        <v/>
      </c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9">
        <f>IF(A74="","",A74&amp;"|"&amp;COUNTIF($A$2:A74,A74))</f>
        <v/>
      </c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9">
        <f>IF(A75="","",A75&amp;"|"&amp;COUNTIF($A$2:A75,A75))</f>
        <v/>
      </c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9">
        <f>IF(A76="","",A76&amp;"|"&amp;COUNTIF($A$2:A76,A76))</f>
        <v/>
      </c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9">
        <f>IF(A77="","",A77&amp;"|"&amp;COUNTIF($A$2:A77,A77))</f>
        <v/>
      </c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9">
        <f>IF(A78="","",A78&amp;"|"&amp;COUNTIF($A$2:A78,A78))</f>
        <v/>
      </c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9">
        <f>IF(A79="","",A79&amp;"|"&amp;COUNTIF($A$2:A79,A79))</f>
        <v/>
      </c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9">
        <f>IF(A80="","",A80&amp;"|"&amp;COUNTIF($A$2:A80,A80))</f>
        <v/>
      </c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9">
        <f>IF(A81="","",A81&amp;"|"&amp;COUNTIF($A$2:A81,A81))</f>
        <v/>
      </c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9">
        <f>IF(A82="","",A82&amp;"|"&amp;COUNTIF($A$2:A82,A82))</f>
        <v/>
      </c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9">
        <f>IF(A83="","",A83&amp;"|"&amp;COUNTIF($A$2:A83,A83))</f>
        <v/>
      </c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9">
        <f>IF(A84="","",A84&amp;"|"&amp;COUNTIF($A$2:A84,A84))</f>
        <v/>
      </c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9">
        <f>IF(A85="","",A85&amp;"|"&amp;COUNTIF($A$2:A85,A85))</f>
        <v/>
      </c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9">
        <f>IF(A86="","",A86&amp;"|"&amp;COUNTIF($A$2:A86,A86))</f>
        <v/>
      </c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9">
        <f>IF(A87="","",A87&amp;"|"&amp;COUNTIF($A$2:A87,A87))</f>
        <v/>
      </c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9">
        <f>IF(A88="","",A88&amp;"|"&amp;COUNTIF($A$2:A88,A88))</f>
        <v/>
      </c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9">
        <f>IF(A89="","",A89&amp;"|"&amp;COUNTIF($A$2:A89,A89))</f>
        <v/>
      </c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9">
        <f>IF(A90="","",A90&amp;"|"&amp;COUNTIF($A$2:A90,A90))</f>
        <v/>
      </c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9">
        <f>IF(A91="","",A91&amp;"|"&amp;COUNTIF($A$2:A91,A91))</f>
        <v/>
      </c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9">
        <f>IF(A92="","",A92&amp;"|"&amp;COUNTIF($A$2:A92,A92))</f>
        <v/>
      </c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9">
        <f>IF(A93="","",A93&amp;"|"&amp;COUNTIF($A$2:A93,A93))</f>
        <v/>
      </c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9">
        <f>IF(A94="","",A94&amp;"|"&amp;COUNTIF($A$2:A94,A94))</f>
        <v/>
      </c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9">
        <f>IF(A95="","",A95&amp;"|"&amp;COUNTIF($A$2:A95,A95))</f>
        <v/>
      </c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9">
        <f>IF(A96="","",A96&amp;"|"&amp;COUNTIF($A$2:A96,A96))</f>
        <v/>
      </c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9">
        <f>IF(A97="","",A97&amp;"|"&amp;COUNTIF($A$2:A97,A97))</f>
        <v/>
      </c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9">
        <f>IF(A98="","",A98&amp;"|"&amp;COUNTIF($A$2:A98,A98))</f>
        <v/>
      </c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9">
        <f>IF(A99="","",A99&amp;"|"&amp;COUNTIF($A$2:A99,A99))</f>
        <v/>
      </c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9">
        <f>IF(A100="","",A100&amp;"|"&amp;COUNTIF($A$2:A100,A100))</f>
        <v/>
      </c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9">
        <f>IF(A101="","",A101&amp;"|"&amp;COUNTIF($A$2:A101,A101))</f>
        <v/>
      </c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9">
        <f>IF(A102="","",A102&amp;"|"&amp;COUNTIF($A$2:A102,A102))</f>
        <v/>
      </c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9">
        <f>IF(A103="","",A103&amp;"|"&amp;COUNTIF($A$2:A103,A103))</f>
        <v/>
      </c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9">
        <f>IF(A104="","",A104&amp;"|"&amp;COUNTIF($A$2:A104,A104))</f>
        <v/>
      </c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9">
        <f>IF(A105="","",A105&amp;"|"&amp;COUNTIF($A$2:A105,A105))</f>
        <v/>
      </c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9">
        <f>IF(A106="","",A106&amp;"|"&amp;COUNTIF($A$2:A106,A106))</f>
        <v/>
      </c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9">
        <f>IF(A107="","",A107&amp;"|"&amp;COUNTIF($A$2:A107,A107))</f>
        <v/>
      </c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9">
        <f>IF(A108="","",A108&amp;"|"&amp;COUNTIF($A$2:A108,A108))</f>
        <v/>
      </c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9">
        <f>IF(A109="","",A109&amp;"|"&amp;COUNTIF($A$2:A109,A109))</f>
        <v/>
      </c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9">
        <f>IF(A110="","",A110&amp;"|"&amp;COUNTIF($A$2:A110,A110))</f>
        <v/>
      </c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9">
        <f>IF(A111="","",A111&amp;"|"&amp;COUNTIF($A$2:A111,A111))</f>
        <v/>
      </c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9">
        <f>IF(A112="","",A112&amp;"|"&amp;COUNTIF($A$2:A112,A112))</f>
        <v/>
      </c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9">
        <f>IF(A113="","",A113&amp;"|"&amp;COUNTIF($A$2:A113,A113))</f>
        <v/>
      </c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9">
        <f>IF(A114="","",A114&amp;"|"&amp;COUNTIF($A$2:A114,A114))</f>
        <v/>
      </c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9">
        <f>IF(A115="","",A115&amp;"|"&amp;COUNTIF($A$2:A115,A115))</f>
        <v/>
      </c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9">
        <f>IF(A116="","",A116&amp;"|"&amp;COUNTIF($A$2:A116,A116))</f>
        <v/>
      </c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9">
        <f>IF(A117="","",A117&amp;"|"&amp;COUNTIF($A$2:A117,A117))</f>
        <v/>
      </c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9">
        <f>IF(A118="","",A118&amp;"|"&amp;COUNTIF($A$2:A118,A118))</f>
        <v/>
      </c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9">
        <f>IF(A119="","",A119&amp;"|"&amp;COUNTIF($A$2:A119,A119))</f>
        <v/>
      </c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9">
        <f>IF(A120="","",A120&amp;"|"&amp;COUNTIF($A$2:A120,A120))</f>
        <v/>
      </c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9">
        <f>IF(A121="","",A121&amp;"|"&amp;COUNTIF($A$2:A121,A121))</f>
        <v/>
      </c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9">
        <f>IF(A122="","",A122&amp;"|"&amp;COUNTIF($A$2:A122,A122))</f>
        <v/>
      </c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9">
        <f>IF(A123="","",A123&amp;"|"&amp;COUNTIF($A$2:A123,A123))</f>
        <v/>
      </c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9">
        <f>IF(A124="","",A124&amp;"|"&amp;COUNTIF($A$2:A124,A124))</f>
        <v/>
      </c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9">
        <f>IF(A125="","",A125&amp;"|"&amp;COUNTIF($A$2:A125,A125))</f>
        <v/>
      </c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9">
        <f>IF(A126="","",A126&amp;"|"&amp;COUNTIF($A$2:A126,A126))</f>
        <v/>
      </c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9">
        <f>IF(A127="","",A127&amp;"|"&amp;COUNTIF($A$2:A127,A127))</f>
        <v/>
      </c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9">
        <f>IF(A128="","",A128&amp;"|"&amp;COUNTIF($A$2:A128,A128))</f>
        <v/>
      </c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9">
        <f>IF(A129="","",A129&amp;"|"&amp;COUNTIF($A$2:A129,A129))</f>
        <v/>
      </c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9">
        <f>IF(A130="","",A130&amp;"|"&amp;COUNTIF($A$2:A130,A130))</f>
        <v/>
      </c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9">
        <f>IF(A131="","",A131&amp;"|"&amp;COUNTIF($A$2:A131,A131))</f>
        <v/>
      </c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9">
        <f>IF(A132="","",A132&amp;"|"&amp;COUNTIF($A$2:A132,A132))</f>
        <v/>
      </c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9">
        <f>IF(A133="","",A133&amp;"|"&amp;COUNTIF($A$2:A133,A133))</f>
        <v/>
      </c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9">
        <f>IF(A134="","",A134&amp;"|"&amp;COUNTIF($A$2:A134,A134))</f>
        <v/>
      </c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9">
        <f>IF(A135="","",A135&amp;"|"&amp;COUNTIF($A$2:A135,A135))</f>
        <v/>
      </c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9">
        <f>IF(A136="","",A136&amp;"|"&amp;COUNTIF($A$2:A136,A136))</f>
        <v/>
      </c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9">
        <f>IF(A137="","",A137&amp;"|"&amp;COUNTIF($A$2:A137,A137))</f>
        <v/>
      </c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9">
        <f>IF(A138="","",A138&amp;"|"&amp;COUNTIF($A$2:A138,A138))</f>
        <v/>
      </c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9">
        <f>IF(A139="","",A139&amp;"|"&amp;COUNTIF($A$2:A139,A139))</f>
        <v/>
      </c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9">
        <f>IF(A140="","",A140&amp;"|"&amp;COUNTIF($A$2:A140,A140))</f>
        <v/>
      </c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9">
        <f>IF(A141="","",A141&amp;"|"&amp;COUNTIF($A$2:A141,A141))</f>
        <v/>
      </c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9">
        <f>IF(A142="","",A142&amp;"|"&amp;COUNTIF($A$2:A142,A142))</f>
        <v/>
      </c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9">
        <f>IF(A143="","",A143&amp;"|"&amp;COUNTIF($A$2:A143,A143))</f>
        <v/>
      </c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9">
        <f>IF(A144="","",A144&amp;"|"&amp;COUNTIF($A$2:A144,A144))</f>
        <v/>
      </c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9">
        <f>IF(A145="","",A145&amp;"|"&amp;COUNTIF($A$2:A145,A145))</f>
        <v/>
      </c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9">
        <f>IF(A146="","",A146&amp;"|"&amp;COUNTIF($A$2:A146,A146))</f>
        <v/>
      </c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9">
        <f>IF(A147="","",A147&amp;"|"&amp;COUNTIF($A$2:A147,A147))</f>
        <v/>
      </c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9">
        <f>IF(A148="","",A148&amp;"|"&amp;COUNTIF($A$2:A148,A148))</f>
        <v/>
      </c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9">
        <f>IF(A149="","",A149&amp;"|"&amp;COUNTIF($A$2:A149,A149))</f>
        <v/>
      </c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9">
        <f>IF(A150="","",A150&amp;"|"&amp;COUNTIF($A$2:A150,A150))</f>
        <v/>
      </c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9">
        <f>IF(A151="","",A151&amp;"|"&amp;COUNTIF($A$2:A151,A151))</f>
        <v/>
      </c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9">
        <f>IF(A152="","",A152&amp;"|"&amp;COUNTIF($A$2:A152,A152))</f>
        <v/>
      </c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9">
        <f>IF(A153="","",A153&amp;"|"&amp;COUNTIF($A$2:A153,A153))</f>
        <v/>
      </c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9">
        <f>IF(A154="","",A154&amp;"|"&amp;COUNTIF($A$2:A154,A154))</f>
        <v/>
      </c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9">
        <f>IF(A155="","",A155&amp;"|"&amp;COUNTIF($A$2:A155,A155))</f>
        <v/>
      </c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9">
        <f>IF(A156="","",A156&amp;"|"&amp;COUNTIF($A$2:A156,A156))</f>
        <v/>
      </c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9">
        <f>IF(A157="","",A157&amp;"|"&amp;COUNTIF($A$2:A157,A157))</f>
        <v/>
      </c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9">
        <f>IF(A158="","",A158&amp;"|"&amp;COUNTIF($A$2:A158,A158))</f>
        <v/>
      </c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9">
        <f>IF(A159="","",A159&amp;"|"&amp;COUNTIF($A$2:A159,A159))</f>
        <v/>
      </c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9">
        <f>IF(A160="","",A160&amp;"|"&amp;COUNTIF($A$2:A160,A160))</f>
        <v/>
      </c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9">
        <f>IF(A161="","",A161&amp;"|"&amp;COUNTIF($A$2:A161,A161))</f>
        <v/>
      </c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9">
        <f>IF(A162="","",A162&amp;"|"&amp;COUNTIF($A$2:A162,A162))</f>
        <v/>
      </c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9">
        <f>IF(A163="","",A163&amp;"|"&amp;COUNTIF($A$2:A163,A163))</f>
        <v/>
      </c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9">
        <f>IF(A164="","",A164&amp;"|"&amp;COUNTIF($A$2:A164,A164))</f>
        <v/>
      </c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9">
        <f>IF(A165="","",A165&amp;"|"&amp;COUNTIF($A$2:A165,A165))</f>
        <v/>
      </c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9">
        <f>IF(A166="","",A166&amp;"|"&amp;COUNTIF($A$2:A166,A166))</f>
        <v/>
      </c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9">
        <f>IF(A167="","",A167&amp;"|"&amp;COUNTIF($A$2:A167,A167))</f>
        <v/>
      </c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9">
        <f>IF(A168="","",A168&amp;"|"&amp;COUNTIF($A$2:A168,A168))</f>
        <v/>
      </c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9">
        <f>IF(A169="","",A169&amp;"|"&amp;COUNTIF($A$2:A169,A169))</f>
        <v/>
      </c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9">
        <f>IF(A170="","",A170&amp;"|"&amp;COUNTIF($A$2:A170,A170))</f>
        <v/>
      </c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9">
        <f>IF(A171="","",A171&amp;"|"&amp;COUNTIF($A$2:A171,A171))</f>
        <v/>
      </c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9">
        <f>IF(A172="","",A172&amp;"|"&amp;COUNTIF($A$2:A172,A172))</f>
        <v/>
      </c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9">
        <f>IF(A173="","",A173&amp;"|"&amp;COUNTIF($A$2:A173,A173))</f>
        <v/>
      </c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9">
        <f>IF(A174="","",A174&amp;"|"&amp;COUNTIF($A$2:A174,A174))</f>
        <v/>
      </c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9">
        <f>IF(A175="","",A175&amp;"|"&amp;COUNTIF($A$2:A175,A175))</f>
        <v/>
      </c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9">
        <f>IF(A176="","",A176&amp;"|"&amp;COUNTIF($A$2:A176,A176))</f>
        <v/>
      </c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9">
        <f>IF(A177="","",A177&amp;"|"&amp;COUNTIF($A$2:A177,A177))</f>
        <v/>
      </c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9">
        <f>IF(A178="","",A178&amp;"|"&amp;COUNTIF($A$2:A178,A178))</f>
        <v/>
      </c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9">
        <f>IF(A179="","",A179&amp;"|"&amp;COUNTIF($A$2:A179,A179))</f>
        <v/>
      </c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9">
        <f>IF(A180="","",A180&amp;"|"&amp;COUNTIF($A$2:A180,A180))</f>
        <v/>
      </c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9">
        <f>IF(A181="","",A181&amp;"|"&amp;COUNTIF($A$2:A181,A181))</f>
        <v/>
      </c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9">
        <f>IF(A182="","",A182&amp;"|"&amp;COUNTIF($A$2:A182,A182))</f>
        <v/>
      </c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9">
        <f>IF(A183="","",A183&amp;"|"&amp;COUNTIF($A$2:A183,A183))</f>
        <v/>
      </c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9">
        <f>IF(A184="","",A184&amp;"|"&amp;COUNTIF($A$2:A184,A184))</f>
        <v/>
      </c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9">
        <f>IF(A185="","",A185&amp;"|"&amp;COUNTIF($A$2:A185,A185))</f>
        <v/>
      </c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9">
        <f>IF(A186="","",A186&amp;"|"&amp;COUNTIF($A$2:A186,A186))</f>
        <v/>
      </c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9">
        <f>IF(A187="","",A187&amp;"|"&amp;COUNTIF($A$2:A187,A187))</f>
        <v/>
      </c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9">
        <f>IF(A188="","",A188&amp;"|"&amp;COUNTIF($A$2:A188,A188))</f>
        <v/>
      </c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9">
        <f>IF(A189="","",A189&amp;"|"&amp;COUNTIF($A$2:A189,A189))</f>
        <v/>
      </c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9">
        <f>IF(A190="","",A190&amp;"|"&amp;COUNTIF($A$2:A190,A190))</f>
        <v/>
      </c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9">
        <f>IF(A191="","",A191&amp;"|"&amp;COUNTIF($A$2:A191,A191))</f>
        <v/>
      </c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9">
        <f>IF(A192="","",A192&amp;"|"&amp;COUNTIF($A$2:A192,A192))</f>
        <v/>
      </c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9">
        <f>IF(A193="","",A193&amp;"|"&amp;COUNTIF($A$2:A193,A193))</f>
        <v/>
      </c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9">
        <f>IF(A194="","",A194&amp;"|"&amp;COUNTIF($A$2:A194,A194))</f>
        <v/>
      </c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9">
        <f>IF(A195="","",A195&amp;"|"&amp;COUNTIF($A$2:A195,A195))</f>
        <v/>
      </c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9">
        <f>IF(A196="","",A196&amp;"|"&amp;COUNTIF($A$2:A196,A196))</f>
        <v/>
      </c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9">
        <f>IF(A197="","",A197&amp;"|"&amp;COUNTIF($A$2:A197,A197))</f>
        <v/>
      </c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9">
        <f>IF(A198="","",A198&amp;"|"&amp;COUNTIF($A$2:A198,A198))</f>
        <v/>
      </c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9">
        <f>IF(A199="","",A199&amp;"|"&amp;COUNTIF($A$2:A199,A199))</f>
        <v/>
      </c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9">
        <f>IF(A200="","",A200&amp;"|"&amp;COUNTIF($A$2:A200,A200))</f>
        <v/>
      </c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9">
        <f>IF(A201="","",A201&amp;"|"&amp;COUNTIF($A$2:A201,A201))</f>
        <v/>
      </c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9">
        <f>IF(A202="","",A202&amp;"|"&amp;COUNTIF($A$2:A202,A202))</f>
        <v/>
      </c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9">
        <f>IF(A203="","",A203&amp;"|"&amp;COUNTIF($A$2:A203,A203))</f>
        <v/>
      </c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9">
        <f>IF(A204="","",A204&amp;"|"&amp;COUNTIF($A$2:A204,A204))</f>
        <v/>
      </c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9">
        <f>IF(A205="","",A205&amp;"|"&amp;COUNTIF($A$2:A205,A205))</f>
        <v/>
      </c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9">
        <f>IF(A206="","",A206&amp;"|"&amp;COUNTIF($A$2:A206,A206))</f>
        <v/>
      </c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9">
        <f>IF(A207="","",A207&amp;"|"&amp;COUNTIF($A$2:A207,A207))</f>
        <v/>
      </c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9">
        <f>IF(A208="","",A208&amp;"|"&amp;COUNTIF($A$2:A208,A208))</f>
        <v/>
      </c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9">
        <f>IF(A209="","",A209&amp;"|"&amp;COUNTIF($A$2:A209,A209))</f>
        <v/>
      </c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9">
        <f>IF(A210="","",A210&amp;"|"&amp;COUNTIF($A$2:A210,A210))</f>
        <v/>
      </c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9">
        <f>IF(A211="","",A211&amp;"|"&amp;COUNTIF($A$2:A211,A211))</f>
        <v/>
      </c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9">
        <f>IF(A212="","",A212&amp;"|"&amp;COUNTIF($A$2:A212,A212))</f>
        <v/>
      </c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9">
        <f>IF(A213="","",A213&amp;"|"&amp;COUNTIF($A$2:A213,A213))</f>
        <v/>
      </c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9">
        <f>IF(A214="","",A214&amp;"|"&amp;COUNTIF($A$2:A214,A214))</f>
        <v/>
      </c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9">
        <f>IF(A215="","",A215&amp;"|"&amp;COUNTIF($A$2:A215,A215))</f>
        <v/>
      </c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9">
        <f>IF(A216="","",A216&amp;"|"&amp;COUNTIF($A$2:A216,A216))</f>
        <v/>
      </c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9">
        <f>IF(A217="","",A217&amp;"|"&amp;COUNTIF($A$2:A217,A217))</f>
        <v/>
      </c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9">
        <f>IF(A218="","",A218&amp;"|"&amp;COUNTIF($A$2:A218,A218))</f>
        <v/>
      </c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9">
        <f>IF(A219="","",A219&amp;"|"&amp;COUNTIF($A$2:A219,A219))</f>
        <v/>
      </c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9">
        <f>IF(A220="","",A220&amp;"|"&amp;COUNTIF($A$2:A220,A220))</f>
        <v/>
      </c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9">
        <f>IF(A221="","",A221&amp;"|"&amp;COUNTIF($A$2:A221,A221))</f>
        <v/>
      </c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9">
        <f>IF(A222="","",A222&amp;"|"&amp;COUNTIF($A$2:A222,A222))</f>
        <v/>
      </c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9">
        <f>IF(A223="","",A223&amp;"|"&amp;COUNTIF($A$2:A223,A223))</f>
        <v/>
      </c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9">
        <f>IF(A224="","",A224&amp;"|"&amp;COUNTIF($A$2:A224,A224))</f>
        <v/>
      </c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9">
        <f>IF(A225="","",A225&amp;"|"&amp;COUNTIF($A$2:A225,A225))</f>
        <v/>
      </c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9">
        <f>IF(A226="","",A226&amp;"|"&amp;COUNTIF($A$2:A226,A226))</f>
        <v/>
      </c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9">
        <f>IF(A227="","",A227&amp;"|"&amp;COUNTIF($A$2:A227,A227))</f>
        <v/>
      </c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9">
        <f>IF(A228="","",A228&amp;"|"&amp;COUNTIF($A$2:A228,A228))</f>
        <v/>
      </c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9">
        <f>IF(A229="","",A229&amp;"|"&amp;COUNTIF($A$2:A229,A229))</f>
        <v/>
      </c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9">
        <f>IF(A230="","",A230&amp;"|"&amp;COUNTIF($A$2:A230,A230))</f>
        <v/>
      </c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9">
        <f>IF(A231="","",A231&amp;"|"&amp;COUNTIF($A$2:A231,A231))</f>
        <v/>
      </c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9">
        <f>IF(A232="","",A232&amp;"|"&amp;COUNTIF($A$2:A232,A232))</f>
        <v/>
      </c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9">
        <f>IF(A233="","",A233&amp;"|"&amp;COUNTIF($A$2:A233,A233))</f>
        <v/>
      </c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9">
        <f>IF(A234="","",A234&amp;"|"&amp;COUNTIF($A$2:A234,A234))</f>
        <v/>
      </c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9">
        <f>IF(A235="","",A235&amp;"|"&amp;COUNTIF($A$2:A235,A235))</f>
        <v/>
      </c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9">
        <f>IF(A236="","",A236&amp;"|"&amp;COUNTIF($A$2:A236,A236))</f>
        <v/>
      </c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9">
        <f>IF(A237="","",A237&amp;"|"&amp;COUNTIF($A$2:A237,A237))</f>
        <v/>
      </c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9">
        <f>IF(A238="","",A238&amp;"|"&amp;COUNTIF($A$2:A238,A238))</f>
        <v/>
      </c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9">
        <f>IF(A239="","",A239&amp;"|"&amp;COUNTIF($A$2:A239,A239))</f>
        <v/>
      </c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9">
        <f>IF(A240="","",A240&amp;"|"&amp;COUNTIF($A$2:A240,A240))</f>
        <v/>
      </c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9">
        <f>IF(A241="","",A241&amp;"|"&amp;COUNTIF($A$2:A241,A241))</f>
        <v/>
      </c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9">
        <f>IF(A242="","",A242&amp;"|"&amp;COUNTIF($A$2:A242,A242))</f>
        <v/>
      </c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9">
        <f>IF(A243="","",A243&amp;"|"&amp;COUNTIF($A$2:A243,A243))</f>
        <v/>
      </c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9">
        <f>IF(A244="","",A244&amp;"|"&amp;COUNTIF($A$2:A244,A244))</f>
        <v/>
      </c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9">
        <f>IF(A245="","",A245&amp;"|"&amp;COUNTIF($A$2:A245,A245))</f>
        <v/>
      </c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9">
        <f>IF(A246="","",A246&amp;"|"&amp;COUNTIF($A$2:A246,A246))</f>
        <v/>
      </c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9">
        <f>IF(A247="","",A247&amp;"|"&amp;COUNTIF($A$2:A247,A247))</f>
        <v/>
      </c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9">
        <f>IF(A248="","",A248&amp;"|"&amp;COUNTIF($A$2:A248,A248))</f>
        <v/>
      </c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9">
        <f>IF(A249="","",A249&amp;"|"&amp;COUNTIF($A$2:A249,A249))</f>
        <v/>
      </c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9">
        <f>IF(A250="","",A250&amp;"|"&amp;COUNTIF($A$2:A250,A250))</f>
        <v/>
      </c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9">
        <f>IF(A251="","",A251&amp;"|"&amp;COUNTIF($A$2:A251,A251))</f>
        <v/>
      </c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9">
        <f>IF(A252="","",A252&amp;"|"&amp;COUNTIF($A$2:A252,A252))</f>
        <v/>
      </c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9">
        <f>IF(A253="","",A253&amp;"|"&amp;COUNTIF($A$2:A253,A253))</f>
        <v/>
      </c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9">
        <f>IF(A254="","",A254&amp;"|"&amp;COUNTIF($A$2:A254,A254))</f>
        <v/>
      </c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9">
        <f>IF(A255="","",A255&amp;"|"&amp;COUNTIF($A$2:A255,A255))</f>
        <v/>
      </c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9">
        <f>IF(A256="","",A256&amp;"|"&amp;COUNTIF($A$2:A256,A256))</f>
        <v/>
      </c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9">
        <f>IF(A257="","",A257&amp;"|"&amp;COUNTIF($A$2:A257,A257))</f>
        <v/>
      </c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9">
        <f>IF(A258="","",A258&amp;"|"&amp;COUNTIF($A$2:A258,A258))</f>
        <v/>
      </c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9">
        <f>IF(A259="","",A259&amp;"|"&amp;COUNTIF($A$2:A259,A259))</f>
        <v/>
      </c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9">
        <f>IF(A260="","",A260&amp;"|"&amp;COUNTIF($A$2:A260,A260))</f>
        <v/>
      </c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9">
        <f>IF(A261="","",A261&amp;"|"&amp;COUNTIF($A$2:A261,A261))</f>
        <v/>
      </c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9">
        <f>IF(A262="","",A262&amp;"|"&amp;COUNTIF($A$2:A262,A262))</f>
        <v/>
      </c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9">
        <f>IF(A263="","",A263&amp;"|"&amp;COUNTIF($A$2:A263,A263))</f>
        <v/>
      </c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9">
        <f>IF(A264="","",A264&amp;"|"&amp;COUNTIF($A$2:A264,A264))</f>
        <v/>
      </c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9">
        <f>IF(A265="","",A265&amp;"|"&amp;COUNTIF($A$2:A265,A265))</f>
        <v/>
      </c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9">
        <f>IF(A266="","",A266&amp;"|"&amp;COUNTIF($A$2:A266,A266))</f>
        <v/>
      </c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9">
        <f>IF(A267="","",A267&amp;"|"&amp;COUNTIF($A$2:A267,A267))</f>
        <v/>
      </c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9">
        <f>IF(A268="","",A268&amp;"|"&amp;COUNTIF($A$2:A268,A268))</f>
        <v/>
      </c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9">
        <f>IF(A269="","",A269&amp;"|"&amp;COUNTIF($A$2:A269,A269))</f>
        <v/>
      </c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9">
        <f>IF(A270="","",A270&amp;"|"&amp;COUNTIF($A$2:A270,A270))</f>
        <v/>
      </c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9">
        <f>IF(A271="","",A271&amp;"|"&amp;COUNTIF($A$2:A271,A271))</f>
        <v/>
      </c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9">
        <f>IF(A272="","",A272&amp;"|"&amp;COUNTIF($A$2:A272,A272))</f>
        <v/>
      </c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9">
        <f>IF(A273="","",A273&amp;"|"&amp;COUNTIF($A$2:A273,A273))</f>
        <v/>
      </c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9">
        <f>IF(A274="","",A274&amp;"|"&amp;COUNTIF($A$2:A274,A274))</f>
        <v/>
      </c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9">
        <f>IF(A275="","",A275&amp;"|"&amp;COUNTIF($A$2:A275,A275))</f>
        <v/>
      </c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9">
        <f>IF(A276="","",A276&amp;"|"&amp;COUNTIF($A$2:A276,A276))</f>
        <v/>
      </c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9">
        <f>IF(A277="","",A277&amp;"|"&amp;COUNTIF($A$2:A277,A277))</f>
        <v/>
      </c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9">
        <f>IF(A278="","",A278&amp;"|"&amp;COUNTIF($A$2:A278,A278))</f>
        <v/>
      </c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9">
        <f>IF(A279="","",A279&amp;"|"&amp;COUNTIF($A$2:A279,A279))</f>
        <v/>
      </c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9">
        <f>IF(A280="","",A280&amp;"|"&amp;COUNTIF($A$2:A280,A280))</f>
        <v/>
      </c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9">
        <f>IF(A281="","",A281&amp;"|"&amp;COUNTIF($A$2:A281,A281))</f>
        <v/>
      </c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9">
        <f>IF(A282="","",A282&amp;"|"&amp;COUNTIF($A$2:A282,A282))</f>
        <v/>
      </c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9">
        <f>IF(A283="","",A283&amp;"|"&amp;COUNTIF($A$2:A283,A283))</f>
        <v/>
      </c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9">
        <f>IF(A284="","",A284&amp;"|"&amp;COUNTIF($A$2:A284,A284))</f>
        <v/>
      </c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9">
        <f>IF(A285="","",A285&amp;"|"&amp;COUNTIF($A$2:A285,A285))</f>
        <v/>
      </c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9">
        <f>IF(A286="","",A286&amp;"|"&amp;COUNTIF($A$2:A286,A286))</f>
        <v/>
      </c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9">
        <f>IF(A287="","",A287&amp;"|"&amp;COUNTIF($A$2:A287,A287))</f>
        <v/>
      </c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9">
        <f>IF(A288="","",A288&amp;"|"&amp;COUNTIF($A$2:A288,A288))</f>
        <v/>
      </c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9">
        <f>IF(A289="","",A289&amp;"|"&amp;COUNTIF($A$2:A289,A289))</f>
        <v/>
      </c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9">
        <f>IF(A290="","",A290&amp;"|"&amp;COUNTIF($A$2:A290,A290))</f>
        <v/>
      </c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9">
        <f>IF(A291="","",A291&amp;"|"&amp;COUNTIF($A$2:A291,A291))</f>
        <v/>
      </c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9">
        <f>IF(A292="","",A292&amp;"|"&amp;COUNTIF($A$2:A292,A292))</f>
        <v/>
      </c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9">
        <f>IF(A293="","",A293&amp;"|"&amp;COUNTIF($A$2:A293,A293))</f>
        <v/>
      </c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9">
        <f>IF(A294="","",A294&amp;"|"&amp;COUNTIF($A$2:A294,A294))</f>
        <v/>
      </c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9">
        <f>IF(A295="","",A295&amp;"|"&amp;COUNTIF($A$2:A295,A295))</f>
        <v/>
      </c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9">
        <f>IF(A296="","",A296&amp;"|"&amp;COUNTIF($A$2:A296,A296))</f>
        <v/>
      </c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9">
        <f>IF(A297="","",A297&amp;"|"&amp;COUNTIF($A$2:A297,A297))</f>
        <v/>
      </c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9">
        <f>IF(A298="","",A298&amp;"|"&amp;COUNTIF($A$2:A298,A298))</f>
        <v/>
      </c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9">
        <f>IF(A299="","",A299&amp;"|"&amp;COUNTIF($A$2:A299,A299))</f>
        <v/>
      </c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9">
        <f>IF(A300="","",A300&amp;"|"&amp;COUNTIF($A$2:A300,A300))</f>
        <v/>
      </c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9">
        <f>IF(A301="","",A301&amp;"|"&amp;COUNTIF($A$2:A301,A301))</f>
        <v/>
      </c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9">
        <f>IF(A302="","",A302&amp;"|"&amp;COUNTIF($A$2:A302,A302))</f>
        <v/>
      </c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9">
        <f>IF(A303="","",A303&amp;"|"&amp;COUNTIF($A$2:A303,A303))</f>
        <v/>
      </c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9">
        <f>IF(A304="","",A304&amp;"|"&amp;COUNTIF($A$2:A304,A304))</f>
        <v/>
      </c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9">
        <f>IF(A305="","",A305&amp;"|"&amp;COUNTIF($A$2:A305,A305))</f>
        <v/>
      </c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9">
        <f>IF(A306="","",A306&amp;"|"&amp;COUNTIF($A$2:A306,A306))</f>
        <v/>
      </c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9">
        <f>IF(A307="","",A307&amp;"|"&amp;COUNTIF($A$2:A307,A307))</f>
        <v/>
      </c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9">
        <f>IF(A308="","",A308&amp;"|"&amp;COUNTIF($A$2:A308,A308))</f>
        <v/>
      </c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9">
        <f>IF(A309="","",A309&amp;"|"&amp;COUNTIF($A$2:A309,A309))</f>
        <v/>
      </c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9">
        <f>IF(A310="","",A310&amp;"|"&amp;COUNTIF($A$2:A310,A310))</f>
        <v/>
      </c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9">
        <f>IF(A311="","",A311&amp;"|"&amp;COUNTIF($A$2:A311,A311))</f>
        <v/>
      </c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9">
        <f>IF(A312="","",A312&amp;"|"&amp;COUNTIF($A$2:A312,A312))</f>
        <v/>
      </c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9">
        <f>IF(A313="","",A313&amp;"|"&amp;COUNTIF($A$2:A313,A313))</f>
        <v/>
      </c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9">
        <f>IF(A314="","",A314&amp;"|"&amp;COUNTIF($A$2:A314,A314))</f>
        <v/>
      </c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9">
        <f>IF(A315="","",A315&amp;"|"&amp;COUNTIF($A$2:A315,A315))</f>
        <v/>
      </c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9">
        <f>IF(A316="","",A316&amp;"|"&amp;COUNTIF($A$2:A316,A316))</f>
        <v/>
      </c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9">
        <f>IF(A317="","",A317&amp;"|"&amp;COUNTIF($A$2:A317,A317))</f>
        <v/>
      </c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9">
        <f>IF(A318="","",A318&amp;"|"&amp;COUNTIF($A$2:A318,A318))</f>
        <v/>
      </c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9">
        <f>IF(A319="","",A319&amp;"|"&amp;COUNTIF($A$2:A319,A319))</f>
        <v/>
      </c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9">
        <f>IF(A320="","",A320&amp;"|"&amp;COUNTIF($A$2:A320,A320))</f>
        <v/>
      </c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9">
        <f>IF(A321="","",A321&amp;"|"&amp;COUNTIF($A$2:A321,A321))</f>
        <v/>
      </c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9">
        <f>IF(A322="","",A322&amp;"|"&amp;COUNTIF($A$2:A322,A322))</f>
        <v/>
      </c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9">
        <f>IF(A323="","",A323&amp;"|"&amp;COUNTIF($A$2:A323,A323))</f>
        <v/>
      </c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9">
        <f>IF(A324="","",A324&amp;"|"&amp;COUNTIF($A$2:A324,A324))</f>
        <v/>
      </c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9">
        <f>IF(A325="","",A325&amp;"|"&amp;COUNTIF($A$2:A325,A325))</f>
        <v/>
      </c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9">
        <f>IF(A326="","",A326&amp;"|"&amp;COUNTIF($A$2:A326,A326))</f>
        <v/>
      </c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9">
        <f>IF(A327="","",A327&amp;"|"&amp;COUNTIF($A$2:A327,A327))</f>
        <v/>
      </c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9">
        <f>IF(A328="","",A328&amp;"|"&amp;COUNTIF($A$2:A328,A328))</f>
        <v/>
      </c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9">
        <f>IF(A329="","",A329&amp;"|"&amp;COUNTIF($A$2:A329,A329))</f>
        <v/>
      </c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9">
        <f>IF(A330="","",A330&amp;"|"&amp;COUNTIF($A$2:A330,A330))</f>
        <v/>
      </c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9">
        <f>IF(A331="","",A331&amp;"|"&amp;COUNTIF($A$2:A331,A331))</f>
        <v/>
      </c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9">
        <f>IF(A332="","",A332&amp;"|"&amp;COUNTIF($A$2:A332,A332))</f>
        <v/>
      </c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9">
        <f>IF(A333="","",A333&amp;"|"&amp;COUNTIF($A$2:A333,A333))</f>
        <v/>
      </c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9">
        <f>IF(A334="","",A334&amp;"|"&amp;COUNTIF($A$2:A334,A334))</f>
        <v/>
      </c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9">
        <f>IF(A335="","",A335&amp;"|"&amp;COUNTIF($A$2:A335,A335))</f>
        <v/>
      </c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9">
        <f>IF(A336="","",A336&amp;"|"&amp;COUNTIF($A$2:A336,A336))</f>
        <v/>
      </c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9">
        <f>IF(A337="","",A337&amp;"|"&amp;COUNTIF($A$2:A337,A337))</f>
        <v/>
      </c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9">
        <f>IF(A338="","",A338&amp;"|"&amp;COUNTIF($A$2:A338,A338))</f>
        <v/>
      </c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9">
        <f>IF(A339="","",A339&amp;"|"&amp;COUNTIF($A$2:A339,A339))</f>
        <v/>
      </c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9">
        <f>IF(A340="","",A340&amp;"|"&amp;COUNTIF($A$2:A340,A340))</f>
        <v/>
      </c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9">
        <f>IF(A341="","",A341&amp;"|"&amp;COUNTIF($A$2:A341,A341))</f>
        <v/>
      </c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9">
        <f>IF(A342="","",A342&amp;"|"&amp;COUNTIF($A$2:A342,A342))</f>
        <v/>
      </c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9">
        <f>IF(A343="","",A343&amp;"|"&amp;COUNTIF($A$2:A343,A343))</f>
        <v/>
      </c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9">
        <f>IF(A344="","",A344&amp;"|"&amp;COUNTIF($A$2:A344,A344))</f>
        <v/>
      </c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9">
        <f>IF(A345="","",A345&amp;"|"&amp;COUNTIF($A$2:A345,A345))</f>
        <v/>
      </c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9">
        <f>IF(A346="","",A346&amp;"|"&amp;COUNTIF($A$2:A346,A346))</f>
        <v/>
      </c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9">
        <f>IF(A347="","",A347&amp;"|"&amp;COUNTIF($A$2:A347,A347))</f>
        <v/>
      </c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9">
        <f>IF(A348="","",A348&amp;"|"&amp;COUNTIF($A$2:A348,A348))</f>
        <v/>
      </c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9">
        <f>IF(A349="","",A349&amp;"|"&amp;COUNTIF($A$2:A349,A349))</f>
        <v/>
      </c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9">
        <f>IF(A350="","",A350&amp;"|"&amp;COUNTIF($A$2:A350,A350))</f>
        <v/>
      </c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9">
        <f>IF(A351="","",A351&amp;"|"&amp;COUNTIF($A$2:A351,A351))</f>
        <v/>
      </c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9">
        <f>IF(A352="","",A352&amp;"|"&amp;COUNTIF($A$2:A352,A352))</f>
        <v/>
      </c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9">
        <f>IF(A353="","",A353&amp;"|"&amp;COUNTIF($A$2:A353,A353))</f>
        <v/>
      </c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9">
        <f>IF(A354="","",A354&amp;"|"&amp;COUNTIF($A$2:A354,A354))</f>
        <v/>
      </c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9">
        <f>IF(A355="","",A355&amp;"|"&amp;COUNTIF($A$2:A355,A355))</f>
        <v/>
      </c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9">
        <f>IF(A356="","",A356&amp;"|"&amp;COUNTIF($A$2:A356,A356))</f>
        <v/>
      </c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9">
        <f>IF(A357="","",A357&amp;"|"&amp;COUNTIF($A$2:A357,A357))</f>
        <v/>
      </c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9">
        <f>IF(A358="","",A358&amp;"|"&amp;COUNTIF($A$2:A358,A358))</f>
        <v/>
      </c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9">
        <f>IF(A359="","",A359&amp;"|"&amp;COUNTIF($A$2:A359,A359))</f>
        <v/>
      </c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9">
        <f>IF(A360="","",A360&amp;"|"&amp;COUNTIF($A$2:A360,A360))</f>
        <v/>
      </c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9">
        <f>IF(A361="","",A361&amp;"|"&amp;COUNTIF($A$2:A361,A361))</f>
        <v/>
      </c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9">
        <f>IF(A362="","",A362&amp;"|"&amp;COUNTIF($A$2:A362,A362))</f>
        <v/>
      </c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9">
        <f>IF(A363="","",A363&amp;"|"&amp;COUNTIF($A$2:A363,A363))</f>
        <v/>
      </c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9">
        <f>IF(A364="","",A364&amp;"|"&amp;COUNTIF($A$2:A364,A364))</f>
        <v/>
      </c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9">
        <f>IF(A365="","",A365&amp;"|"&amp;COUNTIF($A$2:A365,A365))</f>
        <v/>
      </c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9">
        <f>IF(A366="","",A366&amp;"|"&amp;COUNTIF($A$2:A366,A366))</f>
        <v/>
      </c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9">
        <f>IF(A367="","",A367&amp;"|"&amp;COUNTIF($A$2:A367,A367))</f>
        <v/>
      </c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9">
        <f>IF(A368="","",A368&amp;"|"&amp;COUNTIF($A$2:A368,A368))</f>
        <v/>
      </c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9">
        <f>IF(A369="","",A369&amp;"|"&amp;COUNTIF($A$2:A369,A369))</f>
        <v/>
      </c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9">
        <f>IF(A370="","",A370&amp;"|"&amp;COUNTIF($A$2:A370,A370))</f>
        <v/>
      </c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9">
        <f>IF(A371="","",A371&amp;"|"&amp;COUNTIF($A$2:A371,A371))</f>
        <v/>
      </c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9">
        <f>IF(A372="","",A372&amp;"|"&amp;COUNTIF($A$2:A372,A372))</f>
        <v/>
      </c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9">
        <f>IF(A373="","",A373&amp;"|"&amp;COUNTIF($A$2:A373,A373))</f>
        <v/>
      </c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9">
        <f>IF(A374="","",A374&amp;"|"&amp;COUNTIF($A$2:A374,A374))</f>
        <v/>
      </c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9">
        <f>IF(A375="","",A375&amp;"|"&amp;COUNTIF($A$2:A375,A375))</f>
        <v/>
      </c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9">
        <f>IF(A376="","",A376&amp;"|"&amp;COUNTIF($A$2:A376,A376))</f>
        <v/>
      </c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9">
        <f>IF(A377="","",A377&amp;"|"&amp;COUNTIF($A$2:A377,A377))</f>
        <v/>
      </c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9">
        <f>IF(A378="","",A378&amp;"|"&amp;COUNTIF($A$2:A378,A378))</f>
        <v/>
      </c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9">
        <f>IF(A379="","",A379&amp;"|"&amp;COUNTIF($A$2:A379,A379))</f>
        <v/>
      </c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9">
        <f>IF(A380="","",A380&amp;"|"&amp;COUNTIF($A$2:A380,A380))</f>
        <v/>
      </c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9">
        <f>IF(A381="","",A381&amp;"|"&amp;COUNTIF($A$2:A381,A381))</f>
        <v/>
      </c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9">
        <f>IF(A382="","",A382&amp;"|"&amp;COUNTIF($A$2:A382,A382))</f>
        <v/>
      </c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9">
        <f>IF(A383="","",A383&amp;"|"&amp;COUNTIF($A$2:A383,A383))</f>
        <v/>
      </c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9">
        <f>IF(A384="","",A384&amp;"|"&amp;COUNTIF($A$2:A384,A384))</f>
        <v/>
      </c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9">
        <f>IF(A385="","",A385&amp;"|"&amp;COUNTIF($A$2:A385,A385))</f>
        <v/>
      </c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9">
        <f>IF(A386="","",A386&amp;"|"&amp;COUNTIF($A$2:A386,A386))</f>
        <v/>
      </c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9">
        <f>IF(A387="","",A387&amp;"|"&amp;COUNTIF($A$2:A387,A387))</f>
        <v/>
      </c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9">
        <f>IF(A388="","",A388&amp;"|"&amp;COUNTIF($A$2:A388,A388))</f>
        <v/>
      </c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9">
        <f>IF(A389="","",A389&amp;"|"&amp;COUNTIF($A$2:A389,A389))</f>
        <v/>
      </c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9">
        <f>IF(A390="","",A390&amp;"|"&amp;COUNTIF($A$2:A390,A390))</f>
        <v/>
      </c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9">
        <f>IF(A391="","",A391&amp;"|"&amp;COUNTIF($A$2:A391,A391))</f>
        <v/>
      </c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9">
        <f>IF(A392="","",A392&amp;"|"&amp;COUNTIF($A$2:A392,A392))</f>
        <v/>
      </c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9">
        <f>IF(A393="","",A393&amp;"|"&amp;COUNTIF($A$2:A393,A393))</f>
        <v/>
      </c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9">
        <f>IF(A394="","",A394&amp;"|"&amp;COUNTIF($A$2:A394,A394))</f>
        <v/>
      </c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9">
        <f>IF(A395="","",A395&amp;"|"&amp;COUNTIF($A$2:A395,A395))</f>
        <v/>
      </c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9">
        <f>IF(A396="","",A396&amp;"|"&amp;COUNTIF($A$2:A396,A396))</f>
        <v/>
      </c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9">
        <f>IF(A397="","",A397&amp;"|"&amp;COUNTIF($A$2:A397,A397))</f>
        <v/>
      </c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9">
        <f>IF(A398="","",A398&amp;"|"&amp;COUNTIF($A$2:A398,A398))</f>
        <v/>
      </c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9">
        <f>IF(A399="","",A399&amp;"|"&amp;COUNTIF($A$2:A399,A399))</f>
        <v/>
      </c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9">
        <f>IF(A400="","",A400&amp;"|"&amp;COUNTIF($A$2:A400,A400))</f>
        <v/>
      </c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9">
        <f>IF(A401="","",A401&amp;"|"&amp;COUNTIF($A$2:A401,A401))</f>
        <v/>
      </c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9">
        <f>IF(A402="","",A402&amp;"|"&amp;COUNTIF($A$2:A402,A402))</f>
        <v/>
      </c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9">
        <f>IF(A403="","",A403&amp;"|"&amp;COUNTIF($A$2:A403,A403))</f>
        <v/>
      </c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9">
        <f>IF(A404="","",A404&amp;"|"&amp;COUNTIF($A$2:A404,A404))</f>
        <v/>
      </c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9">
        <f>IF(A405="","",A405&amp;"|"&amp;COUNTIF($A$2:A405,A405))</f>
        <v/>
      </c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9">
        <f>IF(A406="","",A406&amp;"|"&amp;COUNTIF($A$2:A406,A406))</f>
        <v/>
      </c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9">
        <f>IF(A407="","",A407&amp;"|"&amp;COUNTIF($A$2:A407,A407))</f>
        <v/>
      </c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9">
        <f>IF(A408="","",A408&amp;"|"&amp;COUNTIF($A$2:A408,A408))</f>
        <v/>
      </c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9">
        <f>IF(A409="","",A409&amp;"|"&amp;COUNTIF($A$2:A409,A409))</f>
        <v/>
      </c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9">
        <f>IF(A410="","",A410&amp;"|"&amp;COUNTIF($A$2:A410,A410))</f>
        <v/>
      </c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9">
        <f>IF(A411="","",A411&amp;"|"&amp;COUNTIF($A$2:A411,A411))</f>
        <v/>
      </c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9">
        <f>IF(A412="","",A412&amp;"|"&amp;COUNTIF($A$2:A412,A412))</f>
        <v/>
      </c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9">
        <f>IF(A413="","",A413&amp;"|"&amp;COUNTIF($A$2:A413,A413))</f>
        <v/>
      </c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9">
        <f>IF(A414="","",A414&amp;"|"&amp;COUNTIF($A$2:A414,A414))</f>
        <v/>
      </c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9">
        <f>IF(A415="","",A415&amp;"|"&amp;COUNTIF($A$2:A415,A415))</f>
        <v/>
      </c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9">
        <f>IF(A416="","",A416&amp;"|"&amp;COUNTIF($A$2:A416,A416))</f>
        <v/>
      </c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9">
        <f>IF(A417="","",A417&amp;"|"&amp;COUNTIF($A$2:A417,A417))</f>
        <v/>
      </c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9">
        <f>IF(A418="","",A418&amp;"|"&amp;COUNTIF($A$2:A418,A418))</f>
        <v/>
      </c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9">
        <f>IF(A419="","",A419&amp;"|"&amp;COUNTIF($A$2:A419,A419))</f>
        <v/>
      </c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9">
        <f>IF(A420="","",A420&amp;"|"&amp;COUNTIF($A$2:A420,A420))</f>
        <v/>
      </c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9">
        <f>IF(A421="","",A421&amp;"|"&amp;COUNTIF($A$2:A421,A421))</f>
        <v/>
      </c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9">
        <f>IF(A422="","",A422&amp;"|"&amp;COUNTIF($A$2:A422,A422))</f>
        <v/>
      </c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9">
        <f>IF(A423="","",A423&amp;"|"&amp;COUNTIF($A$2:A423,A423))</f>
        <v/>
      </c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9">
        <f>IF(A424="","",A424&amp;"|"&amp;COUNTIF($A$2:A424,A424))</f>
        <v/>
      </c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9">
        <f>IF(A425="","",A425&amp;"|"&amp;COUNTIF($A$2:A425,A425))</f>
        <v/>
      </c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9">
        <f>IF(A426="","",A426&amp;"|"&amp;COUNTIF($A$2:A426,A426))</f>
        <v/>
      </c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9">
        <f>IF(A427="","",A427&amp;"|"&amp;COUNTIF($A$2:A427,A427))</f>
        <v/>
      </c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9">
        <f>IF(A428="","",A428&amp;"|"&amp;COUNTIF($A$2:A428,A428))</f>
        <v/>
      </c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9">
        <f>IF(A429="","",A429&amp;"|"&amp;COUNTIF($A$2:A429,A429))</f>
        <v/>
      </c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9">
        <f>IF(A430="","",A430&amp;"|"&amp;COUNTIF($A$2:A430,A430))</f>
        <v/>
      </c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9">
        <f>IF(A431="","",A431&amp;"|"&amp;COUNTIF($A$2:A431,A431))</f>
        <v/>
      </c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9">
        <f>IF(A432="","",A432&amp;"|"&amp;COUNTIF($A$2:A432,A432))</f>
        <v/>
      </c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9">
        <f>IF(A433="","",A433&amp;"|"&amp;COUNTIF($A$2:A433,A433))</f>
        <v/>
      </c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9">
        <f>IF(A434="","",A434&amp;"|"&amp;COUNTIF($A$2:A434,A434))</f>
        <v/>
      </c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9">
        <f>IF(A435="","",A435&amp;"|"&amp;COUNTIF($A$2:A435,A435))</f>
        <v/>
      </c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9">
        <f>IF(A436="","",A436&amp;"|"&amp;COUNTIF($A$2:A436,A436))</f>
        <v/>
      </c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9">
        <f>IF(A437="","",A437&amp;"|"&amp;COUNTIF($A$2:A437,A437))</f>
        <v/>
      </c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9">
        <f>IF(A438="","",A438&amp;"|"&amp;COUNTIF($A$2:A438,A438))</f>
        <v/>
      </c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9">
        <f>IF(A439="","",A439&amp;"|"&amp;COUNTIF($A$2:A439,A439))</f>
        <v/>
      </c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9">
        <f>IF(A440="","",A440&amp;"|"&amp;COUNTIF($A$2:A440,A440))</f>
        <v/>
      </c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9">
        <f>IF(A441="","",A441&amp;"|"&amp;COUNTIF($A$2:A441,A441))</f>
        <v/>
      </c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9">
        <f>IF(A442="","",A442&amp;"|"&amp;COUNTIF($A$2:A442,A442))</f>
        <v/>
      </c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9">
        <f>IF(A443="","",A443&amp;"|"&amp;COUNTIF($A$2:A443,A443))</f>
        <v/>
      </c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9">
        <f>IF(A444="","",A444&amp;"|"&amp;COUNTIF($A$2:A444,A444))</f>
        <v/>
      </c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9">
        <f>IF(A445="","",A445&amp;"|"&amp;COUNTIF($A$2:A445,A445))</f>
        <v/>
      </c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9">
        <f>IF(A446="","",A446&amp;"|"&amp;COUNTIF($A$2:A446,A446))</f>
        <v/>
      </c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9">
        <f>IF(A447="","",A447&amp;"|"&amp;COUNTIF($A$2:A447,A447))</f>
        <v/>
      </c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9">
        <f>IF(A448="","",A448&amp;"|"&amp;COUNTIF($A$2:A448,A448))</f>
        <v/>
      </c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9">
        <f>IF(A449="","",A449&amp;"|"&amp;COUNTIF($A$2:A449,A449))</f>
        <v/>
      </c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9">
        <f>IF(A450="","",A450&amp;"|"&amp;COUNTIF($A$2:A450,A450))</f>
        <v/>
      </c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9">
        <f>IF(A451="","",A451&amp;"|"&amp;COUNTIF($A$2:A451,A451))</f>
        <v/>
      </c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9">
        <f>IF(A452="","",A452&amp;"|"&amp;COUNTIF($A$2:A452,A452))</f>
        <v/>
      </c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9">
        <f>IF(A453="","",A453&amp;"|"&amp;COUNTIF($A$2:A453,A453))</f>
        <v/>
      </c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9">
        <f>IF(A454="","",A454&amp;"|"&amp;COUNTIF($A$2:A454,A454))</f>
        <v/>
      </c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9">
        <f>IF(A455="","",A455&amp;"|"&amp;COUNTIF($A$2:A455,A455))</f>
        <v/>
      </c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9">
        <f>IF(A456="","",A456&amp;"|"&amp;COUNTIF($A$2:A456,A456))</f>
        <v/>
      </c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9">
        <f>IF(A457="","",A457&amp;"|"&amp;COUNTIF($A$2:A457,A457))</f>
        <v/>
      </c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9">
        <f>IF(A458="","",A458&amp;"|"&amp;COUNTIF($A$2:A458,A458))</f>
        <v/>
      </c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9">
        <f>IF(A459="","",A459&amp;"|"&amp;COUNTIF($A$2:A459,A459))</f>
        <v/>
      </c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9">
        <f>IF(A460="","",A460&amp;"|"&amp;COUNTIF($A$2:A460,A460))</f>
        <v/>
      </c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9">
        <f>IF(A461="","",A461&amp;"|"&amp;COUNTIF($A$2:A461,A461))</f>
        <v/>
      </c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9">
        <f>IF(A462="","",A462&amp;"|"&amp;COUNTIF($A$2:A462,A462))</f>
        <v/>
      </c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9">
        <f>IF(A463="","",A463&amp;"|"&amp;COUNTIF($A$2:A463,A463))</f>
        <v/>
      </c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9">
        <f>IF(A464="","",A464&amp;"|"&amp;COUNTIF($A$2:A464,A464))</f>
        <v/>
      </c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9">
        <f>IF(A465="","",A465&amp;"|"&amp;COUNTIF($A$2:A465,A465))</f>
        <v/>
      </c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9">
        <f>IF(A466="","",A466&amp;"|"&amp;COUNTIF($A$2:A466,A466))</f>
        <v/>
      </c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9">
        <f>IF(A467="","",A467&amp;"|"&amp;COUNTIF($A$2:A467,A467))</f>
        <v/>
      </c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9">
        <f>IF(A468="","",A468&amp;"|"&amp;COUNTIF($A$2:A468,A468))</f>
        <v/>
      </c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9">
        <f>IF(A469="","",A469&amp;"|"&amp;COUNTIF($A$2:A469,A469))</f>
        <v/>
      </c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9">
        <f>IF(A470="","",A470&amp;"|"&amp;COUNTIF($A$2:A470,A470))</f>
        <v/>
      </c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9">
        <f>IF(A471="","",A471&amp;"|"&amp;COUNTIF($A$2:A471,A471))</f>
        <v/>
      </c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9">
        <f>IF(A472="","",A472&amp;"|"&amp;COUNTIF($A$2:A472,A472))</f>
        <v/>
      </c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9">
        <f>IF(A473="","",A473&amp;"|"&amp;COUNTIF($A$2:A473,A473))</f>
        <v/>
      </c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9">
        <f>IF(A474="","",A474&amp;"|"&amp;COUNTIF($A$2:A474,A474))</f>
        <v/>
      </c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9">
        <f>IF(A475="","",A475&amp;"|"&amp;COUNTIF($A$2:A475,A475))</f>
        <v/>
      </c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9">
        <f>IF(A476="","",A476&amp;"|"&amp;COUNTIF($A$2:A476,A476))</f>
        <v/>
      </c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9">
        <f>IF(A477="","",A477&amp;"|"&amp;COUNTIF($A$2:A477,A477))</f>
        <v/>
      </c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9">
        <f>IF(A478="","",A478&amp;"|"&amp;COUNTIF($A$2:A478,A478))</f>
        <v/>
      </c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9">
        <f>IF(A479="","",A479&amp;"|"&amp;COUNTIF($A$2:A479,A479))</f>
        <v/>
      </c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9">
        <f>IF(A480="","",A480&amp;"|"&amp;COUNTIF($A$2:A480,A480))</f>
        <v/>
      </c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9">
        <f>IF(A481="","",A481&amp;"|"&amp;COUNTIF($A$2:A481,A481))</f>
        <v/>
      </c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9">
        <f>IF(A482="","",A482&amp;"|"&amp;COUNTIF($A$2:A482,A482))</f>
        <v/>
      </c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9">
        <f>IF(A483="","",A483&amp;"|"&amp;COUNTIF($A$2:A483,A483))</f>
        <v/>
      </c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9">
        <f>IF(A484="","",A484&amp;"|"&amp;COUNTIF($A$2:A484,A484))</f>
        <v/>
      </c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9">
        <f>IF(A485="","",A485&amp;"|"&amp;COUNTIF($A$2:A485,A485))</f>
        <v/>
      </c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9">
        <f>IF(A486="","",A486&amp;"|"&amp;COUNTIF($A$2:A486,A486))</f>
        <v/>
      </c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9">
        <f>IF(A487="","",A487&amp;"|"&amp;COUNTIF($A$2:A487,A487))</f>
        <v/>
      </c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9">
        <f>IF(A488="","",A488&amp;"|"&amp;COUNTIF($A$2:A488,A488))</f>
        <v/>
      </c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9">
        <f>IF(A489="","",A489&amp;"|"&amp;COUNTIF($A$2:A489,A489))</f>
        <v/>
      </c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9">
        <f>IF(A490="","",A490&amp;"|"&amp;COUNTIF($A$2:A490,A490))</f>
        <v/>
      </c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9">
        <f>IF(A491="","",A491&amp;"|"&amp;COUNTIF($A$2:A491,A491))</f>
        <v/>
      </c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9">
        <f>IF(A492="","",A492&amp;"|"&amp;COUNTIF($A$2:A492,A492))</f>
        <v/>
      </c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9">
        <f>IF(A493="","",A493&amp;"|"&amp;COUNTIF($A$2:A493,A493))</f>
        <v/>
      </c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9">
        <f>IF(A494="","",A494&amp;"|"&amp;COUNTIF($A$2:A494,A494))</f>
        <v/>
      </c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9">
        <f>IF(A495="","",A495&amp;"|"&amp;COUNTIF($A$2:A495,A495))</f>
        <v/>
      </c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9">
        <f>IF(A496="","",A496&amp;"|"&amp;COUNTIF($A$2:A496,A496))</f>
        <v/>
      </c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9">
        <f>IF(A497="","",A497&amp;"|"&amp;COUNTIF($A$2:A497,A497))</f>
        <v/>
      </c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9">
        <f>IF(A498="","",A498&amp;"|"&amp;COUNTIF($A$2:A498,A498))</f>
        <v/>
      </c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9">
        <f>IF(A499="","",A499&amp;"|"&amp;COUNTIF($A$2:A499,A499))</f>
        <v/>
      </c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9">
        <f>IF(A500="","",A500&amp;"|"&amp;COUNTIF($A$2:A500,A500))</f>
        <v/>
      </c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9">
        <f>IF(A501="","",A501&amp;"|"&amp;COUNTIF($A$2:A501,A501))</f>
        <v/>
      </c>
    </row>
  </sheetData>
  <autoFilter ref="A1:M5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08080"/>
    <outlinePr summaryBelow="1" summaryRight="1"/>
    <pageSetUpPr/>
  </sheetPr>
  <dimension ref="A1:M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2" customWidth="1" min="8" max="8"/>
    <col width="13" customWidth="1" min="9" max="9"/>
    <col width="16" customWidth="1" min="10" max="10"/>
    <col width="12" customWidth="1" min="11" max="11"/>
    <col width="10" customWidth="1" min="12" max="12"/>
    <col width="10" customWidth="1" min="13" max="13"/>
  </cols>
  <sheetData>
    <row r="1" ht="32" customHeight="1">
      <c r="A1" s="4" t="inlineStr">
        <is>
          <t>RFI No</t>
        </is>
      </c>
      <c r="B1" s="4" t="inlineStr">
        <is>
          <t>Lit de pose conforme</t>
        </is>
      </c>
      <c r="C1" s="4" t="inlineStr">
        <is>
          <t>Fond de tranchée</t>
        </is>
      </c>
      <c r="D1" s="4" t="inlineStr">
        <is>
          <t>Hauteur/largeur tranchée</t>
        </is>
      </c>
      <c r="E1" s="4" t="inlineStr">
        <is>
          <t>Soudures radiographiées</t>
        </is>
      </c>
      <c r="F1" s="4" t="inlineStr">
        <is>
          <t>Revêtement joints achevé</t>
        </is>
      </c>
      <c r="G1" s="4" t="inlineStr">
        <is>
          <t>Équipement de test</t>
        </is>
      </c>
      <c r="H1" s="4" t="inlineStr">
        <is>
          <t>N° de série</t>
        </is>
      </c>
      <c r="I1" s="4" t="inlineStr">
        <is>
          <t>Date d'étalonnage</t>
        </is>
      </c>
      <c r="J1" s="4" t="inlineStr">
        <is>
          <t>Certificat d'étalonnage</t>
        </is>
      </c>
      <c r="K1" s="4" t="inlineStr">
        <is>
          <t>Ép. moy. revêtement</t>
        </is>
      </c>
      <c r="L1" s="4" t="inlineStr">
        <is>
          <t>Tension de test</t>
        </is>
      </c>
      <c r="M1" s="4" t="inlineStr">
        <is>
          <t>Contrôle balai</t>
        </is>
      </c>
    </row>
    <row r="2">
      <c r="A2" s="7" t="inlineStr">
        <is>
          <t>0127</t>
        </is>
      </c>
      <c r="B2" s="7" t="inlineStr">
        <is>
          <t>C</t>
        </is>
      </c>
      <c r="C2" s="7" t="inlineStr">
        <is>
          <t>C</t>
        </is>
      </c>
      <c r="D2" s="7" t="inlineStr">
        <is>
          <t>C</t>
        </is>
      </c>
      <c r="E2" s="7" t="inlineStr">
        <is>
          <t>C</t>
        </is>
      </c>
      <c r="F2" s="7" t="inlineStr">
        <is>
          <t>C</t>
        </is>
      </c>
      <c r="G2" s="7" t="inlineStr">
        <is>
          <t>ISOTEST inspect 35</t>
        </is>
      </c>
      <c r="H2" s="7" t="inlineStr">
        <is>
          <t>45224</t>
        </is>
      </c>
      <c r="I2" s="8" t="n">
        <v>46106</v>
      </c>
      <c r="J2" s="7" t="inlineStr">
        <is>
          <t>N° E 009/2026</t>
        </is>
      </c>
      <c r="K2" s="7" t="inlineStr">
        <is>
          <t>3.6mm</t>
        </is>
      </c>
      <c r="L2" s="7" t="inlineStr">
        <is>
          <t>25 KV</t>
        </is>
      </c>
      <c r="M2" s="7" t="inlineStr">
        <is>
          <t>ACC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8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8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8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8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8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8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8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8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8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8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8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8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8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8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8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8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8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8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8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8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8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8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8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8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8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8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8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8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8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8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8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8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8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8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8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8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8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8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8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8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8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8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8" t="n"/>
      <c r="J51" s="7" t="n"/>
      <c r="K51" s="7" t="n"/>
      <c r="L51" s="7" t="n"/>
      <c r="M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8" t="n"/>
      <c r="J52" s="7" t="n"/>
      <c r="K52" s="7" t="n"/>
      <c r="L52" s="7" t="n"/>
      <c r="M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8" t="n"/>
      <c r="J53" s="7" t="n"/>
      <c r="K53" s="7" t="n"/>
      <c r="L53" s="7" t="n"/>
      <c r="M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8" t="n"/>
      <c r="J54" s="7" t="n"/>
      <c r="K54" s="7" t="n"/>
      <c r="L54" s="7" t="n"/>
      <c r="M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8" t="n"/>
      <c r="J55" s="7" t="n"/>
      <c r="K55" s="7" t="n"/>
      <c r="L55" s="7" t="n"/>
      <c r="M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8" t="n"/>
      <c r="J56" s="7" t="n"/>
      <c r="K56" s="7" t="n"/>
      <c r="L56" s="7" t="n"/>
      <c r="M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8" t="n"/>
      <c r="J57" s="7" t="n"/>
      <c r="K57" s="7" t="n"/>
      <c r="L57" s="7" t="n"/>
      <c r="M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8" t="n"/>
      <c r="J58" s="7" t="n"/>
      <c r="K58" s="7" t="n"/>
      <c r="L58" s="7" t="n"/>
      <c r="M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8" t="n"/>
      <c r="J59" s="7" t="n"/>
      <c r="K59" s="7" t="n"/>
      <c r="L59" s="7" t="n"/>
      <c r="M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8" t="n"/>
      <c r="J60" s="7" t="n"/>
      <c r="K60" s="7" t="n"/>
      <c r="L60" s="7" t="n"/>
      <c r="M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8" t="n"/>
      <c r="J61" s="7" t="n"/>
      <c r="K61" s="7" t="n"/>
      <c r="L61" s="7" t="n"/>
      <c r="M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8" t="n"/>
      <c r="J62" s="7" t="n"/>
      <c r="K62" s="7" t="n"/>
      <c r="L62" s="7" t="n"/>
      <c r="M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8" t="n"/>
      <c r="J63" s="7" t="n"/>
      <c r="K63" s="7" t="n"/>
      <c r="L63" s="7" t="n"/>
      <c r="M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8" t="n"/>
      <c r="J64" s="7" t="n"/>
      <c r="K64" s="7" t="n"/>
      <c r="L64" s="7" t="n"/>
      <c r="M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7" t="n"/>
      <c r="K65" s="7" t="n"/>
      <c r="L65" s="7" t="n"/>
      <c r="M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8" t="n"/>
      <c r="J66" s="7" t="n"/>
      <c r="K66" s="7" t="n"/>
      <c r="L66" s="7" t="n"/>
      <c r="M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8" t="n"/>
      <c r="J67" s="7" t="n"/>
      <c r="K67" s="7" t="n"/>
      <c r="L67" s="7" t="n"/>
      <c r="M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8" t="n"/>
      <c r="J68" s="7" t="n"/>
      <c r="K68" s="7" t="n"/>
      <c r="L68" s="7" t="n"/>
      <c r="M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8" t="n"/>
      <c r="J69" s="7" t="n"/>
      <c r="K69" s="7" t="n"/>
      <c r="L69" s="7" t="n"/>
      <c r="M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8" t="n"/>
      <c r="J70" s="7" t="n"/>
      <c r="K70" s="7" t="n"/>
      <c r="L70" s="7" t="n"/>
      <c r="M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8" t="n"/>
      <c r="J71" s="7" t="n"/>
      <c r="K71" s="7" t="n"/>
      <c r="L71" s="7" t="n"/>
      <c r="M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8" t="n"/>
      <c r="J72" s="7" t="n"/>
      <c r="K72" s="7" t="n"/>
      <c r="L72" s="7" t="n"/>
      <c r="M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8" t="n"/>
      <c r="J73" s="7" t="n"/>
      <c r="K73" s="7" t="n"/>
      <c r="L73" s="7" t="n"/>
      <c r="M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8" t="n"/>
      <c r="J74" s="7" t="n"/>
      <c r="K74" s="7" t="n"/>
      <c r="L74" s="7" t="n"/>
      <c r="M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8" t="n"/>
      <c r="J75" s="7" t="n"/>
      <c r="K75" s="7" t="n"/>
      <c r="L75" s="7" t="n"/>
      <c r="M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8" t="n"/>
      <c r="J76" s="7" t="n"/>
      <c r="K76" s="7" t="n"/>
      <c r="L76" s="7" t="n"/>
      <c r="M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7" t="n"/>
      <c r="K77" s="7" t="n"/>
      <c r="L77" s="7" t="n"/>
      <c r="M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8" t="n"/>
      <c r="J78" s="7" t="n"/>
      <c r="K78" s="7" t="n"/>
      <c r="L78" s="7" t="n"/>
      <c r="M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8" t="n"/>
      <c r="J79" s="7" t="n"/>
      <c r="K79" s="7" t="n"/>
      <c r="L79" s="7" t="n"/>
      <c r="M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8" t="n"/>
      <c r="J80" s="7" t="n"/>
      <c r="K80" s="7" t="n"/>
      <c r="L80" s="7" t="n"/>
      <c r="M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8" t="n"/>
      <c r="J81" s="7" t="n"/>
      <c r="K81" s="7" t="n"/>
      <c r="L81" s="7" t="n"/>
      <c r="M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8" t="n"/>
      <c r="J82" s="7" t="n"/>
      <c r="K82" s="7" t="n"/>
      <c r="L82" s="7" t="n"/>
      <c r="M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8" t="n"/>
      <c r="J83" s="7" t="n"/>
      <c r="K83" s="7" t="n"/>
      <c r="L83" s="7" t="n"/>
      <c r="M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8" t="n"/>
      <c r="J84" s="7" t="n"/>
      <c r="K84" s="7" t="n"/>
      <c r="L84" s="7" t="n"/>
      <c r="M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8" t="n"/>
      <c r="J85" s="7" t="n"/>
      <c r="K85" s="7" t="n"/>
      <c r="L85" s="7" t="n"/>
      <c r="M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8" t="n"/>
      <c r="J86" s="7" t="n"/>
      <c r="K86" s="7" t="n"/>
      <c r="L86" s="7" t="n"/>
      <c r="M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8" t="n"/>
      <c r="J87" s="7" t="n"/>
      <c r="K87" s="7" t="n"/>
      <c r="L87" s="7" t="n"/>
      <c r="M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8" t="n"/>
      <c r="J88" s="7" t="n"/>
      <c r="K88" s="7" t="n"/>
      <c r="L88" s="7" t="n"/>
      <c r="M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8" t="n"/>
      <c r="J89" s="7" t="n"/>
      <c r="K89" s="7" t="n"/>
      <c r="L89" s="7" t="n"/>
      <c r="M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8" t="n"/>
      <c r="J90" s="7" t="n"/>
      <c r="K90" s="7" t="n"/>
      <c r="L90" s="7" t="n"/>
      <c r="M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8" t="n"/>
      <c r="J91" s="7" t="n"/>
      <c r="K91" s="7" t="n"/>
      <c r="L91" s="7" t="n"/>
      <c r="M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8" t="n"/>
      <c r="J92" s="7" t="n"/>
      <c r="K92" s="7" t="n"/>
      <c r="L92" s="7" t="n"/>
      <c r="M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8" t="n"/>
      <c r="J93" s="7" t="n"/>
      <c r="K93" s="7" t="n"/>
      <c r="L93" s="7" t="n"/>
      <c r="M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8" t="n"/>
      <c r="J94" s="7" t="n"/>
      <c r="K94" s="7" t="n"/>
      <c r="L94" s="7" t="n"/>
      <c r="M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8" t="n"/>
      <c r="J95" s="7" t="n"/>
      <c r="K95" s="7" t="n"/>
      <c r="L95" s="7" t="n"/>
      <c r="M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8" t="n"/>
      <c r="J96" s="7" t="n"/>
      <c r="K96" s="7" t="n"/>
      <c r="L96" s="7" t="n"/>
      <c r="M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8" t="n"/>
      <c r="J97" s="7" t="n"/>
      <c r="K97" s="7" t="n"/>
      <c r="L97" s="7" t="n"/>
      <c r="M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8" t="n"/>
      <c r="J98" s="7" t="n"/>
      <c r="K98" s="7" t="n"/>
      <c r="L98" s="7" t="n"/>
      <c r="M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8" t="n"/>
      <c r="J99" s="7" t="n"/>
      <c r="K99" s="7" t="n"/>
      <c r="L99" s="7" t="n"/>
      <c r="M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8" t="n"/>
      <c r="J100" s="7" t="n"/>
      <c r="K100" s="7" t="n"/>
      <c r="L100" s="7" t="n"/>
      <c r="M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8" t="n"/>
      <c r="J101" s="7" t="n"/>
      <c r="K101" s="7" t="n"/>
      <c r="L101" s="7" t="n"/>
      <c r="M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8" t="n"/>
      <c r="J102" s="7" t="n"/>
      <c r="K102" s="7" t="n"/>
      <c r="L102" s="7" t="n"/>
      <c r="M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8" t="n"/>
      <c r="J103" s="7" t="n"/>
      <c r="K103" s="7" t="n"/>
      <c r="L103" s="7" t="n"/>
      <c r="M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8" t="n"/>
      <c r="J104" s="7" t="n"/>
      <c r="K104" s="7" t="n"/>
      <c r="L104" s="7" t="n"/>
      <c r="M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8" t="n"/>
      <c r="J105" s="7" t="n"/>
      <c r="K105" s="7" t="n"/>
      <c r="L105" s="7" t="n"/>
      <c r="M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8" t="n"/>
      <c r="J106" s="7" t="n"/>
      <c r="K106" s="7" t="n"/>
      <c r="L106" s="7" t="n"/>
      <c r="M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8" t="n"/>
      <c r="J107" s="7" t="n"/>
      <c r="K107" s="7" t="n"/>
      <c r="L107" s="7" t="n"/>
      <c r="M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8" t="n"/>
      <c r="J108" s="7" t="n"/>
      <c r="K108" s="7" t="n"/>
      <c r="L108" s="7" t="n"/>
      <c r="M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8" t="n"/>
      <c r="J109" s="7" t="n"/>
      <c r="K109" s="7" t="n"/>
      <c r="L109" s="7" t="n"/>
      <c r="M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8" t="n"/>
      <c r="J110" s="7" t="n"/>
      <c r="K110" s="7" t="n"/>
      <c r="L110" s="7" t="n"/>
      <c r="M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8" t="n"/>
      <c r="J111" s="7" t="n"/>
      <c r="K111" s="7" t="n"/>
      <c r="L111" s="7" t="n"/>
      <c r="M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8" t="n"/>
      <c r="J112" s="7" t="n"/>
      <c r="K112" s="7" t="n"/>
      <c r="L112" s="7" t="n"/>
      <c r="M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8" t="n"/>
      <c r="J113" s="7" t="n"/>
      <c r="K113" s="7" t="n"/>
      <c r="L113" s="7" t="n"/>
      <c r="M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8" t="n"/>
      <c r="J114" s="7" t="n"/>
      <c r="K114" s="7" t="n"/>
      <c r="L114" s="7" t="n"/>
      <c r="M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8" t="n"/>
      <c r="J115" s="7" t="n"/>
      <c r="K115" s="7" t="n"/>
      <c r="L115" s="7" t="n"/>
      <c r="M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8" t="n"/>
      <c r="J116" s="7" t="n"/>
      <c r="K116" s="7" t="n"/>
      <c r="L116" s="7" t="n"/>
      <c r="M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8" t="n"/>
      <c r="J117" s="7" t="n"/>
      <c r="K117" s="7" t="n"/>
      <c r="L117" s="7" t="n"/>
      <c r="M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8" t="n"/>
      <c r="J118" s="7" t="n"/>
      <c r="K118" s="7" t="n"/>
      <c r="L118" s="7" t="n"/>
      <c r="M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8" t="n"/>
      <c r="J119" s="7" t="n"/>
      <c r="K119" s="7" t="n"/>
      <c r="L119" s="7" t="n"/>
      <c r="M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8" t="n"/>
      <c r="J120" s="7" t="n"/>
      <c r="K120" s="7" t="n"/>
      <c r="L120" s="7" t="n"/>
      <c r="M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8" t="n"/>
      <c r="J121" s="7" t="n"/>
      <c r="K121" s="7" t="n"/>
      <c r="L121" s="7" t="n"/>
      <c r="M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8" t="n"/>
      <c r="J122" s="7" t="n"/>
      <c r="K122" s="7" t="n"/>
      <c r="L122" s="7" t="n"/>
      <c r="M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8" t="n"/>
      <c r="J123" s="7" t="n"/>
      <c r="K123" s="7" t="n"/>
      <c r="L123" s="7" t="n"/>
      <c r="M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8" t="n"/>
      <c r="J124" s="7" t="n"/>
      <c r="K124" s="7" t="n"/>
      <c r="L124" s="7" t="n"/>
      <c r="M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8" t="n"/>
      <c r="J125" s="7" t="n"/>
      <c r="K125" s="7" t="n"/>
      <c r="L125" s="7" t="n"/>
      <c r="M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8" t="n"/>
      <c r="J126" s="7" t="n"/>
      <c r="K126" s="7" t="n"/>
      <c r="L126" s="7" t="n"/>
      <c r="M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8" t="n"/>
      <c r="J127" s="7" t="n"/>
      <c r="K127" s="7" t="n"/>
      <c r="L127" s="7" t="n"/>
      <c r="M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8" t="n"/>
      <c r="J128" s="7" t="n"/>
      <c r="K128" s="7" t="n"/>
      <c r="L128" s="7" t="n"/>
      <c r="M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8" t="n"/>
      <c r="J129" s="7" t="n"/>
      <c r="K129" s="7" t="n"/>
      <c r="L129" s="7" t="n"/>
      <c r="M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8" t="n"/>
      <c r="J130" s="7" t="n"/>
      <c r="K130" s="7" t="n"/>
      <c r="L130" s="7" t="n"/>
      <c r="M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8" t="n"/>
      <c r="J131" s="7" t="n"/>
      <c r="K131" s="7" t="n"/>
      <c r="L131" s="7" t="n"/>
      <c r="M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8" t="n"/>
      <c r="J132" s="7" t="n"/>
      <c r="K132" s="7" t="n"/>
      <c r="L132" s="7" t="n"/>
      <c r="M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8" t="n"/>
      <c r="J133" s="7" t="n"/>
      <c r="K133" s="7" t="n"/>
      <c r="L133" s="7" t="n"/>
      <c r="M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8" t="n"/>
      <c r="J134" s="7" t="n"/>
      <c r="K134" s="7" t="n"/>
      <c r="L134" s="7" t="n"/>
      <c r="M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8" t="n"/>
      <c r="J135" s="7" t="n"/>
      <c r="K135" s="7" t="n"/>
      <c r="L135" s="7" t="n"/>
      <c r="M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8" t="n"/>
      <c r="J136" s="7" t="n"/>
      <c r="K136" s="7" t="n"/>
      <c r="L136" s="7" t="n"/>
      <c r="M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8" t="n"/>
      <c r="J137" s="7" t="n"/>
      <c r="K137" s="7" t="n"/>
      <c r="L137" s="7" t="n"/>
      <c r="M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8" t="n"/>
      <c r="J138" s="7" t="n"/>
      <c r="K138" s="7" t="n"/>
      <c r="L138" s="7" t="n"/>
      <c r="M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8" t="n"/>
      <c r="J139" s="7" t="n"/>
      <c r="K139" s="7" t="n"/>
      <c r="L139" s="7" t="n"/>
      <c r="M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8" t="n"/>
      <c r="J140" s="7" t="n"/>
      <c r="K140" s="7" t="n"/>
      <c r="L140" s="7" t="n"/>
      <c r="M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8" t="n"/>
      <c r="J141" s="7" t="n"/>
      <c r="K141" s="7" t="n"/>
      <c r="L141" s="7" t="n"/>
      <c r="M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8" t="n"/>
      <c r="J142" s="7" t="n"/>
      <c r="K142" s="7" t="n"/>
      <c r="L142" s="7" t="n"/>
      <c r="M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8" t="n"/>
      <c r="J143" s="7" t="n"/>
      <c r="K143" s="7" t="n"/>
      <c r="L143" s="7" t="n"/>
      <c r="M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8" t="n"/>
      <c r="J144" s="7" t="n"/>
      <c r="K144" s="7" t="n"/>
      <c r="L144" s="7" t="n"/>
      <c r="M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8" t="n"/>
      <c r="J145" s="7" t="n"/>
      <c r="K145" s="7" t="n"/>
      <c r="L145" s="7" t="n"/>
      <c r="M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8" t="n"/>
      <c r="J146" s="7" t="n"/>
      <c r="K146" s="7" t="n"/>
      <c r="L146" s="7" t="n"/>
      <c r="M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8" t="n"/>
      <c r="J147" s="7" t="n"/>
      <c r="K147" s="7" t="n"/>
      <c r="L147" s="7" t="n"/>
      <c r="M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8" t="n"/>
      <c r="J148" s="7" t="n"/>
      <c r="K148" s="7" t="n"/>
      <c r="L148" s="7" t="n"/>
      <c r="M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8" t="n"/>
      <c r="J149" s="7" t="n"/>
      <c r="K149" s="7" t="n"/>
      <c r="L149" s="7" t="n"/>
      <c r="M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8" t="n"/>
      <c r="J150" s="7" t="n"/>
      <c r="K150" s="7" t="n"/>
      <c r="L150" s="7" t="n"/>
      <c r="M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8" t="n"/>
      <c r="J151" s="7" t="n"/>
      <c r="K151" s="7" t="n"/>
      <c r="L151" s="7" t="n"/>
      <c r="M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8" t="n"/>
      <c r="J152" s="7" t="n"/>
      <c r="K152" s="7" t="n"/>
      <c r="L152" s="7" t="n"/>
      <c r="M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8" t="n"/>
      <c r="J153" s="7" t="n"/>
      <c r="K153" s="7" t="n"/>
      <c r="L153" s="7" t="n"/>
      <c r="M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8" t="n"/>
      <c r="J154" s="7" t="n"/>
      <c r="K154" s="7" t="n"/>
      <c r="L154" s="7" t="n"/>
      <c r="M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8" t="n"/>
      <c r="J155" s="7" t="n"/>
      <c r="K155" s="7" t="n"/>
      <c r="L155" s="7" t="n"/>
      <c r="M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8" t="n"/>
      <c r="J156" s="7" t="n"/>
      <c r="K156" s="7" t="n"/>
      <c r="L156" s="7" t="n"/>
      <c r="M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8" t="n"/>
      <c r="J157" s="7" t="n"/>
      <c r="K157" s="7" t="n"/>
      <c r="L157" s="7" t="n"/>
      <c r="M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8" t="n"/>
      <c r="J158" s="7" t="n"/>
      <c r="K158" s="7" t="n"/>
      <c r="L158" s="7" t="n"/>
      <c r="M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8" t="n"/>
      <c r="J159" s="7" t="n"/>
      <c r="K159" s="7" t="n"/>
      <c r="L159" s="7" t="n"/>
      <c r="M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8" t="n"/>
      <c r="J160" s="7" t="n"/>
      <c r="K160" s="7" t="n"/>
      <c r="L160" s="7" t="n"/>
      <c r="M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8" t="n"/>
      <c r="J161" s="7" t="n"/>
      <c r="K161" s="7" t="n"/>
      <c r="L161" s="7" t="n"/>
      <c r="M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8" t="n"/>
      <c r="J162" s="7" t="n"/>
      <c r="K162" s="7" t="n"/>
      <c r="L162" s="7" t="n"/>
      <c r="M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8" t="n"/>
      <c r="J163" s="7" t="n"/>
      <c r="K163" s="7" t="n"/>
      <c r="L163" s="7" t="n"/>
      <c r="M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8" t="n"/>
      <c r="J164" s="7" t="n"/>
      <c r="K164" s="7" t="n"/>
      <c r="L164" s="7" t="n"/>
      <c r="M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8" t="n"/>
      <c r="J165" s="7" t="n"/>
      <c r="K165" s="7" t="n"/>
      <c r="L165" s="7" t="n"/>
      <c r="M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8" t="n"/>
      <c r="J166" s="7" t="n"/>
      <c r="K166" s="7" t="n"/>
      <c r="L166" s="7" t="n"/>
      <c r="M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8" t="n"/>
      <c r="J167" s="7" t="n"/>
      <c r="K167" s="7" t="n"/>
      <c r="L167" s="7" t="n"/>
      <c r="M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8" t="n"/>
      <c r="J168" s="7" t="n"/>
      <c r="K168" s="7" t="n"/>
      <c r="L168" s="7" t="n"/>
      <c r="M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8" t="n"/>
      <c r="J169" s="7" t="n"/>
      <c r="K169" s="7" t="n"/>
      <c r="L169" s="7" t="n"/>
      <c r="M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8" t="n"/>
      <c r="J170" s="7" t="n"/>
      <c r="K170" s="7" t="n"/>
      <c r="L170" s="7" t="n"/>
      <c r="M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8" t="n"/>
      <c r="J171" s="7" t="n"/>
      <c r="K171" s="7" t="n"/>
      <c r="L171" s="7" t="n"/>
      <c r="M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8" t="n"/>
      <c r="J172" s="7" t="n"/>
      <c r="K172" s="7" t="n"/>
      <c r="L172" s="7" t="n"/>
      <c r="M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8" t="n"/>
      <c r="J173" s="7" t="n"/>
      <c r="K173" s="7" t="n"/>
      <c r="L173" s="7" t="n"/>
      <c r="M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8" t="n"/>
      <c r="J174" s="7" t="n"/>
      <c r="K174" s="7" t="n"/>
      <c r="L174" s="7" t="n"/>
      <c r="M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8" t="n"/>
      <c r="J175" s="7" t="n"/>
      <c r="K175" s="7" t="n"/>
      <c r="L175" s="7" t="n"/>
      <c r="M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8" t="n"/>
      <c r="J176" s="7" t="n"/>
      <c r="K176" s="7" t="n"/>
      <c r="L176" s="7" t="n"/>
      <c r="M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8" t="n"/>
      <c r="J177" s="7" t="n"/>
      <c r="K177" s="7" t="n"/>
      <c r="L177" s="7" t="n"/>
      <c r="M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8" t="n"/>
      <c r="J178" s="7" t="n"/>
      <c r="K178" s="7" t="n"/>
      <c r="L178" s="7" t="n"/>
      <c r="M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8" t="n"/>
      <c r="J179" s="7" t="n"/>
      <c r="K179" s="7" t="n"/>
      <c r="L179" s="7" t="n"/>
      <c r="M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8" t="n"/>
      <c r="J180" s="7" t="n"/>
      <c r="K180" s="7" t="n"/>
      <c r="L180" s="7" t="n"/>
      <c r="M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8" t="n"/>
      <c r="J181" s="7" t="n"/>
      <c r="K181" s="7" t="n"/>
      <c r="L181" s="7" t="n"/>
      <c r="M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8" t="n"/>
      <c r="J182" s="7" t="n"/>
      <c r="K182" s="7" t="n"/>
      <c r="L182" s="7" t="n"/>
      <c r="M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8" t="n"/>
      <c r="J183" s="7" t="n"/>
      <c r="K183" s="7" t="n"/>
      <c r="L183" s="7" t="n"/>
      <c r="M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8" t="n"/>
      <c r="J184" s="7" t="n"/>
      <c r="K184" s="7" t="n"/>
      <c r="L184" s="7" t="n"/>
      <c r="M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8" t="n"/>
      <c r="J185" s="7" t="n"/>
      <c r="K185" s="7" t="n"/>
      <c r="L185" s="7" t="n"/>
      <c r="M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8" t="n"/>
      <c r="J186" s="7" t="n"/>
      <c r="K186" s="7" t="n"/>
      <c r="L186" s="7" t="n"/>
      <c r="M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8" t="n"/>
      <c r="J187" s="7" t="n"/>
      <c r="K187" s="7" t="n"/>
      <c r="L187" s="7" t="n"/>
      <c r="M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8" t="n"/>
      <c r="J188" s="7" t="n"/>
      <c r="K188" s="7" t="n"/>
      <c r="L188" s="7" t="n"/>
      <c r="M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8" t="n"/>
      <c r="J189" s="7" t="n"/>
      <c r="K189" s="7" t="n"/>
      <c r="L189" s="7" t="n"/>
      <c r="M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8" t="n"/>
      <c r="J190" s="7" t="n"/>
      <c r="K190" s="7" t="n"/>
      <c r="L190" s="7" t="n"/>
      <c r="M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8" t="n"/>
      <c r="J191" s="7" t="n"/>
      <c r="K191" s="7" t="n"/>
      <c r="L191" s="7" t="n"/>
      <c r="M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8" t="n"/>
      <c r="J192" s="7" t="n"/>
      <c r="K192" s="7" t="n"/>
      <c r="L192" s="7" t="n"/>
      <c r="M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8" t="n"/>
      <c r="J193" s="7" t="n"/>
      <c r="K193" s="7" t="n"/>
      <c r="L193" s="7" t="n"/>
      <c r="M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8" t="n"/>
      <c r="J194" s="7" t="n"/>
      <c r="K194" s="7" t="n"/>
      <c r="L194" s="7" t="n"/>
      <c r="M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8" t="n"/>
      <c r="J195" s="7" t="n"/>
      <c r="K195" s="7" t="n"/>
      <c r="L195" s="7" t="n"/>
      <c r="M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8" t="n"/>
      <c r="J196" s="7" t="n"/>
      <c r="K196" s="7" t="n"/>
      <c r="L196" s="7" t="n"/>
      <c r="M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8" t="n"/>
      <c r="J197" s="7" t="n"/>
      <c r="K197" s="7" t="n"/>
      <c r="L197" s="7" t="n"/>
      <c r="M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8" t="n"/>
      <c r="J198" s="7" t="n"/>
      <c r="K198" s="7" t="n"/>
      <c r="L198" s="7" t="n"/>
      <c r="M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8" t="n"/>
      <c r="J199" s="7" t="n"/>
      <c r="K199" s="7" t="n"/>
      <c r="L199" s="7" t="n"/>
      <c r="M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8" t="n"/>
      <c r="J200" s="7" t="n"/>
      <c r="K200" s="7" t="n"/>
      <c r="L200" s="7" t="n"/>
      <c r="M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8" t="n"/>
      <c r="J201" s="7" t="n"/>
      <c r="K201" s="7" t="n"/>
      <c r="L201" s="7" t="n"/>
      <c r="M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8" t="n"/>
      <c r="J202" s="7" t="n"/>
      <c r="K202" s="7" t="n"/>
      <c r="L202" s="7" t="n"/>
      <c r="M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8" t="n"/>
      <c r="J203" s="7" t="n"/>
      <c r="K203" s="7" t="n"/>
      <c r="L203" s="7" t="n"/>
      <c r="M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8" t="n"/>
      <c r="J204" s="7" t="n"/>
      <c r="K204" s="7" t="n"/>
      <c r="L204" s="7" t="n"/>
      <c r="M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8" t="n"/>
      <c r="J205" s="7" t="n"/>
      <c r="K205" s="7" t="n"/>
      <c r="L205" s="7" t="n"/>
      <c r="M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8" t="n"/>
      <c r="J206" s="7" t="n"/>
      <c r="K206" s="7" t="n"/>
      <c r="L206" s="7" t="n"/>
      <c r="M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8" t="n"/>
      <c r="J207" s="7" t="n"/>
      <c r="K207" s="7" t="n"/>
      <c r="L207" s="7" t="n"/>
      <c r="M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8" t="n"/>
      <c r="J208" s="7" t="n"/>
      <c r="K208" s="7" t="n"/>
      <c r="L208" s="7" t="n"/>
      <c r="M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8" t="n"/>
      <c r="J209" s="7" t="n"/>
      <c r="K209" s="7" t="n"/>
      <c r="L209" s="7" t="n"/>
      <c r="M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8" t="n"/>
      <c r="J210" s="7" t="n"/>
      <c r="K210" s="7" t="n"/>
      <c r="L210" s="7" t="n"/>
      <c r="M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8" t="n"/>
      <c r="J211" s="7" t="n"/>
      <c r="K211" s="7" t="n"/>
      <c r="L211" s="7" t="n"/>
      <c r="M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8" t="n"/>
      <c r="J212" s="7" t="n"/>
      <c r="K212" s="7" t="n"/>
      <c r="L212" s="7" t="n"/>
      <c r="M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8" t="n"/>
      <c r="J213" s="7" t="n"/>
      <c r="K213" s="7" t="n"/>
      <c r="L213" s="7" t="n"/>
      <c r="M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8" t="n"/>
      <c r="J214" s="7" t="n"/>
      <c r="K214" s="7" t="n"/>
      <c r="L214" s="7" t="n"/>
      <c r="M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8" t="n"/>
      <c r="J215" s="7" t="n"/>
      <c r="K215" s="7" t="n"/>
      <c r="L215" s="7" t="n"/>
      <c r="M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8" t="n"/>
      <c r="J216" s="7" t="n"/>
      <c r="K216" s="7" t="n"/>
      <c r="L216" s="7" t="n"/>
      <c r="M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8" t="n"/>
      <c r="J217" s="7" t="n"/>
      <c r="K217" s="7" t="n"/>
      <c r="L217" s="7" t="n"/>
      <c r="M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8" t="n"/>
      <c r="J218" s="7" t="n"/>
      <c r="K218" s="7" t="n"/>
      <c r="L218" s="7" t="n"/>
      <c r="M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8" t="n"/>
      <c r="J219" s="7" t="n"/>
      <c r="K219" s="7" t="n"/>
      <c r="L219" s="7" t="n"/>
      <c r="M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8" t="n"/>
      <c r="J220" s="7" t="n"/>
      <c r="K220" s="7" t="n"/>
      <c r="L220" s="7" t="n"/>
      <c r="M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8" t="n"/>
      <c r="J221" s="7" t="n"/>
      <c r="K221" s="7" t="n"/>
      <c r="L221" s="7" t="n"/>
      <c r="M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8" t="n"/>
      <c r="J222" s="7" t="n"/>
      <c r="K222" s="7" t="n"/>
      <c r="L222" s="7" t="n"/>
      <c r="M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8" t="n"/>
      <c r="J223" s="7" t="n"/>
      <c r="K223" s="7" t="n"/>
      <c r="L223" s="7" t="n"/>
      <c r="M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8" t="n"/>
      <c r="J224" s="7" t="n"/>
      <c r="K224" s="7" t="n"/>
      <c r="L224" s="7" t="n"/>
      <c r="M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8" t="n"/>
      <c r="J225" s="7" t="n"/>
      <c r="K225" s="7" t="n"/>
      <c r="L225" s="7" t="n"/>
      <c r="M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8" t="n"/>
      <c r="J226" s="7" t="n"/>
      <c r="K226" s="7" t="n"/>
      <c r="L226" s="7" t="n"/>
      <c r="M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8" t="n"/>
      <c r="J227" s="7" t="n"/>
      <c r="K227" s="7" t="n"/>
      <c r="L227" s="7" t="n"/>
      <c r="M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8" t="n"/>
      <c r="J228" s="7" t="n"/>
      <c r="K228" s="7" t="n"/>
      <c r="L228" s="7" t="n"/>
      <c r="M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8" t="n"/>
      <c r="J229" s="7" t="n"/>
      <c r="K229" s="7" t="n"/>
      <c r="L229" s="7" t="n"/>
      <c r="M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8" t="n"/>
      <c r="J230" s="7" t="n"/>
      <c r="K230" s="7" t="n"/>
      <c r="L230" s="7" t="n"/>
      <c r="M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8" t="n"/>
      <c r="J231" s="7" t="n"/>
      <c r="K231" s="7" t="n"/>
      <c r="L231" s="7" t="n"/>
      <c r="M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8" t="n"/>
      <c r="J232" s="7" t="n"/>
      <c r="K232" s="7" t="n"/>
      <c r="L232" s="7" t="n"/>
      <c r="M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8" t="n"/>
      <c r="J233" s="7" t="n"/>
      <c r="K233" s="7" t="n"/>
      <c r="L233" s="7" t="n"/>
      <c r="M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8" t="n"/>
      <c r="J234" s="7" t="n"/>
      <c r="K234" s="7" t="n"/>
      <c r="L234" s="7" t="n"/>
      <c r="M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8" t="n"/>
      <c r="J235" s="7" t="n"/>
      <c r="K235" s="7" t="n"/>
      <c r="L235" s="7" t="n"/>
      <c r="M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8" t="n"/>
      <c r="J236" s="7" t="n"/>
      <c r="K236" s="7" t="n"/>
      <c r="L236" s="7" t="n"/>
      <c r="M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8" t="n"/>
      <c r="J237" s="7" t="n"/>
      <c r="K237" s="7" t="n"/>
      <c r="L237" s="7" t="n"/>
      <c r="M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8" t="n"/>
      <c r="J238" s="7" t="n"/>
      <c r="K238" s="7" t="n"/>
      <c r="L238" s="7" t="n"/>
      <c r="M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8" t="n"/>
      <c r="J239" s="7" t="n"/>
      <c r="K239" s="7" t="n"/>
      <c r="L239" s="7" t="n"/>
      <c r="M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8" t="n"/>
      <c r="J240" s="7" t="n"/>
      <c r="K240" s="7" t="n"/>
      <c r="L240" s="7" t="n"/>
      <c r="M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8" t="n"/>
      <c r="J241" s="7" t="n"/>
      <c r="K241" s="7" t="n"/>
      <c r="L241" s="7" t="n"/>
      <c r="M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8" t="n"/>
      <c r="J242" s="7" t="n"/>
      <c r="K242" s="7" t="n"/>
      <c r="L242" s="7" t="n"/>
      <c r="M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8" t="n"/>
      <c r="J243" s="7" t="n"/>
      <c r="K243" s="7" t="n"/>
      <c r="L243" s="7" t="n"/>
      <c r="M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8" t="n"/>
      <c r="J244" s="7" t="n"/>
      <c r="K244" s="7" t="n"/>
      <c r="L244" s="7" t="n"/>
      <c r="M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8" t="n"/>
      <c r="J245" s="7" t="n"/>
      <c r="K245" s="7" t="n"/>
      <c r="L245" s="7" t="n"/>
      <c r="M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8" t="n"/>
      <c r="J246" s="7" t="n"/>
      <c r="K246" s="7" t="n"/>
      <c r="L246" s="7" t="n"/>
      <c r="M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8" t="n"/>
      <c r="J247" s="7" t="n"/>
      <c r="K247" s="7" t="n"/>
      <c r="L247" s="7" t="n"/>
      <c r="M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8" t="n"/>
      <c r="J248" s="7" t="n"/>
      <c r="K248" s="7" t="n"/>
      <c r="L248" s="7" t="n"/>
      <c r="M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8" t="n"/>
      <c r="J249" s="7" t="n"/>
      <c r="K249" s="7" t="n"/>
      <c r="L249" s="7" t="n"/>
      <c r="M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8" t="n"/>
      <c r="J250" s="7" t="n"/>
      <c r="K250" s="7" t="n"/>
      <c r="L250" s="7" t="n"/>
      <c r="M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8" t="n"/>
      <c r="J251" s="7" t="n"/>
      <c r="K251" s="7" t="n"/>
      <c r="L251" s="7" t="n"/>
      <c r="M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8" t="n"/>
      <c r="J252" s="7" t="n"/>
      <c r="K252" s="7" t="n"/>
      <c r="L252" s="7" t="n"/>
      <c r="M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8" t="n"/>
      <c r="J253" s="7" t="n"/>
      <c r="K253" s="7" t="n"/>
      <c r="L253" s="7" t="n"/>
      <c r="M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8" t="n"/>
      <c r="J254" s="7" t="n"/>
      <c r="K254" s="7" t="n"/>
      <c r="L254" s="7" t="n"/>
      <c r="M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8" t="n"/>
      <c r="J255" s="7" t="n"/>
      <c r="K255" s="7" t="n"/>
      <c r="L255" s="7" t="n"/>
      <c r="M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8" t="n"/>
      <c r="J256" s="7" t="n"/>
      <c r="K256" s="7" t="n"/>
      <c r="L256" s="7" t="n"/>
      <c r="M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8" t="n"/>
      <c r="J257" s="7" t="n"/>
      <c r="K257" s="7" t="n"/>
      <c r="L257" s="7" t="n"/>
      <c r="M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8" t="n"/>
      <c r="J258" s="7" t="n"/>
      <c r="K258" s="7" t="n"/>
      <c r="L258" s="7" t="n"/>
      <c r="M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8" t="n"/>
      <c r="J259" s="7" t="n"/>
      <c r="K259" s="7" t="n"/>
      <c r="L259" s="7" t="n"/>
      <c r="M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8" t="n"/>
      <c r="J260" s="7" t="n"/>
      <c r="K260" s="7" t="n"/>
      <c r="L260" s="7" t="n"/>
      <c r="M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8" t="n"/>
      <c r="J261" s="7" t="n"/>
      <c r="K261" s="7" t="n"/>
      <c r="L261" s="7" t="n"/>
      <c r="M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8" t="n"/>
      <c r="J262" s="7" t="n"/>
      <c r="K262" s="7" t="n"/>
      <c r="L262" s="7" t="n"/>
      <c r="M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8" t="n"/>
      <c r="J263" s="7" t="n"/>
      <c r="K263" s="7" t="n"/>
      <c r="L263" s="7" t="n"/>
      <c r="M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8" t="n"/>
      <c r="J264" s="7" t="n"/>
      <c r="K264" s="7" t="n"/>
      <c r="L264" s="7" t="n"/>
      <c r="M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8" t="n"/>
      <c r="J265" s="7" t="n"/>
      <c r="K265" s="7" t="n"/>
      <c r="L265" s="7" t="n"/>
      <c r="M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8" t="n"/>
      <c r="J266" s="7" t="n"/>
      <c r="K266" s="7" t="n"/>
      <c r="L266" s="7" t="n"/>
      <c r="M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8" t="n"/>
      <c r="J267" s="7" t="n"/>
      <c r="K267" s="7" t="n"/>
      <c r="L267" s="7" t="n"/>
      <c r="M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8" t="n"/>
      <c r="J268" s="7" t="n"/>
      <c r="K268" s="7" t="n"/>
      <c r="L268" s="7" t="n"/>
      <c r="M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8" t="n"/>
      <c r="J269" s="7" t="n"/>
      <c r="K269" s="7" t="n"/>
      <c r="L269" s="7" t="n"/>
      <c r="M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8" t="n"/>
      <c r="J270" s="7" t="n"/>
      <c r="K270" s="7" t="n"/>
      <c r="L270" s="7" t="n"/>
      <c r="M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8" t="n"/>
      <c r="J271" s="7" t="n"/>
      <c r="K271" s="7" t="n"/>
      <c r="L271" s="7" t="n"/>
      <c r="M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8" t="n"/>
      <c r="J272" s="7" t="n"/>
      <c r="K272" s="7" t="n"/>
      <c r="L272" s="7" t="n"/>
      <c r="M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8" t="n"/>
      <c r="J273" s="7" t="n"/>
      <c r="K273" s="7" t="n"/>
      <c r="L273" s="7" t="n"/>
      <c r="M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8" t="n"/>
      <c r="J274" s="7" t="n"/>
      <c r="K274" s="7" t="n"/>
      <c r="L274" s="7" t="n"/>
      <c r="M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8" t="n"/>
      <c r="J275" s="7" t="n"/>
      <c r="K275" s="7" t="n"/>
      <c r="L275" s="7" t="n"/>
      <c r="M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8" t="n"/>
      <c r="J276" s="7" t="n"/>
      <c r="K276" s="7" t="n"/>
      <c r="L276" s="7" t="n"/>
      <c r="M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8" t="n"/>
      <c r="J277" s="7" t="n"/>
      <c r="K277" s="7" t="n"/>
      <c r="L277" s="7" t="n"/>
      <c r="M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8" t="n"/>
      <c r="J278" s="7" t="n"/>
      <c r="K278" s="7" t="n"/>
      <c r="L278" s="7" t="n"/>
      <c r="M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8" t="n"/>
      <c r="J279" s="7" t="n"/>
      <c r="K279" s="7" t="n"/>
      <c r="L279" s="7" t="n"/>
      <c r="M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8" t="n"/>
      <c r="J280" s="7" t="n"/>
      <c r="K280" s="7" t="n"/>
      <c r="L280" s="7" t="n"/>
      <c r="M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8" t="n"/>
      <c r="J281" s="7" t="n"/>
      <c r="K281" s="7" t="n"/>
      <c r="L281" s="7" t="n"/>
      <c r="M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8" t="n"/>
      <c r="J282" s="7" t="n"/>
      <c r="K282" s="7" t="n"/>
      <c r="L282" s="7" t="n"/>
      <c r="M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8" t="n"/>
      <c r="J283" s="7" t="n"/>
      <c r="K283" s="7" t="n"/>
      <c r="L283" s="7" t="n"/>
      <c r="M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8" t="n"/>
      <c r="J284" s="7" t="n"/>
      <c r="K284" s="7" t="n"/>
      <c r="L284" s="7" t="n"/>
      <c r="M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8" t="n"/>
      <c r="J285" s="7" t="n"/>
      <c r="K285" s="7" t="n"/>
      <c r="L285" s="7" t="n"/>
      <c r="M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8" t="n"/>
      <c r="J286" s="7" t="n"/>
      <c r="K286" s="7" t="n"/>
      <c r="L286" s="7" t="n"/>
      <c r="M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8" t="n"/>
      <c r="J287" s="7" t="n"/>
      <c r="K287" s="7" t="n"/>
      <c r="L287" s="7" t="n"/>
      <c r="M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8" t="n"/>
      <c r="J288" s="7" t="n"/>
      <c r="K288" s="7" t="n"/>
      <c r="L288" s="7" t="n"/>
      <c r="M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8" t="n"/>
      <c r="J289" s="7" t="n"/>
      <c r="K289" s="7" t="n"/>
      <c r="L289" s="7" t="n"/>
      <c r="M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8" t="n"/>
      <c r="J290" s="7" t="n"/>
      <c r="K290" s="7" t="n"/>
      <c r="L290" s="7" t="n"/>
      <c r="M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8" t="n"/>
      <c r="J291" s="7" t="n"/>
      <c r="K291" s="7" t="n"/>
      <c r="L291" s="7" t="n"/>
      <c r="M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8" t="n"/>
      <c r="J292" s="7" t="n"/>
      <c r="K292" s="7" t="n"/>
      <c r="L292" s="7" t="n"/>
      <c r="M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8" t="n"/>
      <c r="J293" s="7" t="n"/>
      <c r="K293" s="7" t="n"/>
      <c r="L293" s="7" t="n"/>
      <c r="M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8" t="n"/>
      <c r="J294" s="7" t="n"/>
      <c r="K294" s="7" t="n"/>
      <c r="L294" s="7" t="n"/>
      <c r="M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8" t="n"/>
      <c r="J295" s="7" t="n"/>
      <c r="K295" s="7" t="n"/>
      <c r="L295" s="7" t="n"/>
      <c r="M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8" t="n"/>
      <c r="J296" s="7" t="n"/>
      <c r="K296" s="7" t="n"/>
      <c r="L296" s="7" t="n"/>
      <c r="M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8" t="n"/>
      <c r="J297" s="7" t="n"/>
      <c r="K297" s="7" t="n"/>
      <c r="L297" s="7" t="n"/>
      <c r="M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8" t="n"/>
      <c r="J298" s="7" t="n"/>
      <c r="K298" s="7" t="n"/>
      <c r="L298" s="7" t="n"/>
      <c r="M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8" t="n"/>
      <c r="J299" s="7" t="n"/>
      <c r="K299" s="7" t="n"/>
      <c r="L299" s="7" t="n"/>
      <c r="M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8" t="n"/>
      <c r="J300" s="7" t="n"/>
      <c r="K300" s="7" t="n"/>
      <c r="L300" s="7" t="n"/>
      <c r="M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8" t="n"/>
      <c r="J301" s="7" t="n"/>
      <c r="K301" s="7" t="n"/>
      <c r="L301" s="7" t="n"/>
      <c r="M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8" t="n"/>
      <c r="J302" s="7" t="n"/>
      <c r="K302" s="7" t="n"/>
      <c r="L302" s="7" t="n"/>
      <c r="M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8" t="n"/>
      <c r="J303" s="7" t="n"/>
      <c r="K303" s="7" t="n"/>
      <c r="L303" s="7" t="n"/>
      <c r="M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8" t="n"/>
      <c r="J304" s="7" t="n"/>
      <c r="K304" s="7" t="n"/>
      <c r="L304" s="7" t="n"/>
      <c r="M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8" t="n"/>
      <c r="J305" s="7" t="n"/>
      <c r="K305" s="7" t="n"/>
      <c r="L305" s="7" t="n"/>
      <c r="M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8" t="n"/>
      <c r="J306" s="7" t="n"/>
      <c r="K306" s="7" t="n"/>
      <c r="L306" s="7" t="n"/>
      <c r="M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8" t="n"/>
      <c r="J307" s="7" t="n"/>
      <c r="K307" s="7" t="n"/>
      <c r="L307" s="7" t="n"/>
      <c r="M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8" t="n"/>
      <c r="J308" s="7" t="n"/>
      <c r="K308" s="7" t="n"/>
      <c r="L308" s="7" t="n"/>
      <c r="M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8" t="n"/>
      <c r="J309" s="7" t="n"/>
      <c r="K309" s="7" t="n"/>
      <c r="L309" s="7" t="n"/>
      <c r="M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8" t="n"/>
      <c r="J310" s="7" t="n"/>
      <c r="K310" s="7" t="n"/>
      <c r="L310" s="7" t="n"/>
      <c r="M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8" t="n"/>
      <c r="J311" s="7" t="n"/>
      <c r="K311" s="7" t="n"/>
      <c r="L311" s="7" t="n"/>
      <c r="M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8" t="n"/>
      <c r="J312" s="7" t="n"/>
      <c r="K312" s="7" t="n"/>
      <c r="L312" s="7" t="n"/>
      <c r="M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8" t="n"/>
      <c r="J313" s="7" t="n"/>
      <c r="K313" s="7" t="n"/>
      <c r="L313" s="7" t="n"/>
      <c r="M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8" t="n"/>
      <c r="J314" s="7" t="n"/>
      <c r="K314" s="7" t="n"/>
      <c r="L314" s="7" t="n"/>
      <c r="M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8" t="n"/>
      <c r="J315" s="7" t="n"/>
      <c r="K315" s="7" t="n"/>
      <c r="L315" s="7" t="n"/>
      <c r="M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8" t="n"/>
      <c r="J316" s="7" t="n"/>
      <c r="K316" s="7" t="n"/>
      <c r="L316" s="7" t="n"/>
      <c r="M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8" t="n"/>
      <c r="J317" s="7" t="n"/>
      <c r="K317" s="7" t="n"/>
      <c r="L317" s="7" t="n"/>
      <c r="M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8" t="n"/>
      <c r="J318" s="7" t="n"/>
      <c r="K318" s="7" t="n"/>
      <c r="L318" s="7" t="n"/>
      <c r="M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8" t="n"/>
      <c r="J319" s="7" t="n"/>
      <c r="K319" s="7" t="n"/>
      <c r="L319" s="7" t="n"/>
      <c r="M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8" t="n"/>
      <c r="J320" s="7" t="n"/>
      <c r="K320" s="7" t="n"/>
      <c r="L320" s="7" t="n"/>
      <c r="M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8" t="n"/>
      <c r="J321" s="7" t="n"/>
      <c r="K321" s="7" t="n"/>
      <c r="L321" s="7" t="n"/>
      <c r="M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8" t="n"/>
      <c r="J322" s="7" t="n"/>
      <c r="K322" s="7" t="n"/>
      <c r="L322" s="7" t="n"/>
      <c r="M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8" t="n"/>
      <c r="J323" s="7" t="n"/>
      <c r="K323" s="7" t="n"/>
      <c r="L323" s="7" t="n"/>
      <c r="M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8" t="n"/>
      <c r="J324" s="7" t="n"/>
      <c r="K324" s="7" t="n"/>
      <c r="L324" s="7" t="n"/>
      <c r="M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8" t="n"/>
      <c r="J325" s="7" t="n"/>
      <c r="K325" s="7" t="n"/>
      <c r="L325" s="7" t="n"/>
      <c r="M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8" t="n"/>
      <c r="J326" s="7" t="n"/>
      <c r="K326" s="7" t="n"/>
      <c r="L326" s="7" t="n"/>
      <c r="M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8" t="n"/>
      <c r="J327" s="7" t="n"/>
      <c r="K327" s="7" t="n"/>
      <c r="L327" s="7" t="n"/>
      <c r="M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8" t="n"/>
      <c r="J328" s="7" t="n"/>
      <c r="K328" s="7" t="n"/>
      <c r="L328" s="7" t="n"/>
      <c r="M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8" t="n"/>
      <c r="J329" s="7" t="n"/>
      <c r="K329" s="7" t="n"/>
      <c r="L329" s="7" t="n"/>
      <c r="M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8" t="n"/>
      <c r="J330" s="7" t="n"/>
      <c r="K330" s="7" t="n"/>
      <c r="L330" s="7" t="n"/>
      <c r="M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8" t="n"/>
      <c r="J331" s="7" t="n"/>
      <c r="K331" s="7" t="n"/>
      <c r="L331" s="7" t="n"/>
      <c r="M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8" t="n"/>
      <c r="J332" s="7" t="n"/>
      <c r="K332" s="7" t="n"/>
      <c r="L332" s="7" t="n"/>
      <c r="M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8" t="n"/>
      <c r="J333" s="7" t="n"/>
      <c r="K333" s="7" t="n"/>
      <c r="L333" s="7" t="n"/>
      <c r="M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8" t="n"/>
      <c r="J334" s="7" t="n"/>
      <c r="K334" s="7" t="n"/>
      <c r="L334" s="7" t="n"/>
      <c r="M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8" t="n"/>
      <c r="J335" s="7" t="n"/>
      <c r="K335" s="7" t="n"/>
      <c r="L335" s="7" t="n"/>
      <c r="M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8" t="n"/>
      <c r="J336" s="7" t="n"/>
      <c r="K336" s="7" t="n"/>
      <c r="L336" s="7" t="n"/>
      <c r="M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8" t="n"/>
      <c r="J337" s="7" t="n"/>
      <c r="K337" s="7" t="n"/>
      <c r="L337" s="7" t="n"/>
      <c r="M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8" t="n"/>
      <c r="J338" s="7" t="n"/>
      <c r="K338" s="7" t="n"/>
      <c r="L338" s="7" t="n"/>
      <c r="M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8" t="n"/>
      <c r="J339" s="7" t="n"/>
      <c r="K339" s="7" t="n"/>
      <c r="L339" s="7" t="n"/>
      <c r="M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8" t="n"/>
      <c r="J340" s="7" t="n"/>
      <c r="K340" s="7" t="n"/>
      <c r="L340" s="7" t="n"/>
      <c r="M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8" t="n"/>
      <c r="J341" s="7" t="n"/>
      <c r="K341" s="7" t="n"/>
      <c r="L341" s="7" t="n"/>
      <c r="M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8" t="n"/>
      <c r="J342" s="7" t="n"/>
      <c r="K342" s="7" t="n"/>
      <c r="L342" s="7" t="n"/>
      <c r="M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8" t="n"/>
      <c r="J343" s="7" t="n"/>
      <c r="K343" s="7" t="n"/>
      <c r="L343" s="7" t="n"/>
      <c r="M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8" t="n"/>
      <c r="J344" s="7" t="n"/>
      <c r="K344" s="7" t="n"/>
      <c r="L344" s="7" t="n"/>
      <c r="M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8" t="n"/>
      <c r="J345" s="7" t="n"/>
      <c r="K345" s="7" t="n"/>
      <c r="L345" s="7" t="n"/>
      <c r="M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8" t="n"/>
      <c r="J346" s="7" t="n"/>
      <c r="K346" s="7" t="n"/>
      <c r="L346" s="7" t="n"/>
      <c r="M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8" t="n"/>
      <c r="J347" s="7" t="n"/>
      <c r="K347" s="7" t="n"/>
      <c r="L347" s="7" t="n"/>
      <c r="M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8" t="n"/>
      <c r="J348" s="7" t="n"/>
      <c r="K348" s="7" t="n"/>
      <c r="L348" s="7" t="n"/>
      <c r="M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8" t="n"/>
      <c r="J349" s="7" t="n"/>
      <c r="K349" s="7" t="n"/>
      <c r="L349" s="7" t="n"/>
      <c r="M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8" t="n"/>
      <c r="J350" s="7" t="n"/>
      <c r="K350" s="7" t="n"/>
      <c r="L350" s="7" t="n"/>
      <c r="M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8" t="n"/>
      <c r="J351" s="7" t="n"/>
      <c r="K351" s="7" t="n"/>
      <c r="L351" s="7" t="n"/>
      <c r="M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8" t="n"/>
      <c r="J352" s="7" t="n"/>
      <c r="K352" s="7" t="n"/>
      <c r="L352" s="7" t="n"/>
      <c r="M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8" t="n"/>
      <c r="J353" s="7" t="n"/>
      <c r="K353" s="7" t="n"/>
      <c r="L353" s="7" t="n"/>
      <c r="M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8" t="n"/>
      <c r="J354" s="7" t="n"/>
      <c r="K354" s="7" t="n"/>
      <c r="L354" s="7" t="n"/>
      <c r="M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8" t="n"/>
      <c r="J355" s="7" t="n"/>
      <c r="K355" s="7" t="n"/>
      <c r="L355" s="7" t="n"/>
      <c r="M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8" t="n"/>
      <c r="J356" s="7" t="n"/>
      <c r="K356" s="7" t="n"/>
      <c r="L356" s="7" t="n"/>
      <c r="M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8" t="n"/>
      <c r="J357" s="7" t="n"/>
      <c r="K357" s="7" t="n"/>
      <c r="L357" s="7" t="n"/>
      <c r="M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8" t="n"/>
      <c r="J358" s="7" t="n"/>
      <c r="K358" s="7" t="n"/>
      <c r="L358" s="7" t="n"/>
      <c r="M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8" t="n"/>
      <c r="J359" s="7" t="n"/>
      <c r="K359" s="7" t="n"/>
      <c r="L359" s="7" t="n"/>
      <c r="M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8" t="n"/>
      <c r="J360" s="7" t="n"/>
      <c r="K360" s="7" t="n"/>
      <c r="L360" s="7" t="n"/>
      <c r="M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8" t="n"/>
      <c r="J361" s="7" t="n"/>
      <c r="K361" s="7" t="n"/>
      <c r="L361" s="7" t="n"/>
      <c r="M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8" t="n"/>
      <c r="J362" s="7" t="n"/>
      <c r="K362" s="7" t="n"/>
      <c r="L362" s="7" t="n"/>
      <c r="M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8" t="n"/>
      <c r="J363" s="7" t="n"/>
      <c r="K363" s="7" t="n"/>
      <c r="L363" s="7" t="n"/>
      <c r="M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8" t="n"/>
      <c r="J364" s="7" t="n"/>
      <c r="K364" s="7" t="n"/>
      <c r="L364" s="7" t="n"/>
      <c r="M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8" t="n"/>
      <c r="J365" s="7" t="n"/>
      <c r="K365" s="7" t="n"/>
      <c r="L365" s="7" t="n"/>
      <c r="M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8" t="n"/>
      <c r="J366" s="7" t="n"/>
      <c r="K366" s="7" t="n"/>
      <c r="L366" s="7" t="n"/>
      <c r="M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8" t="n"/>
      <c r="J367" s="7" t="n"/>
      <c r="K367" s="7" t="n"/>
      <c r="L367" s="7" t="n"/>
      <c r="M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8" t="n"/>
      <c r="J368" s="7" t="n"/>
      <c r="K368" s="7" t="n"/>
      <c r="L368" s="7" t="n"/>
      <c r="M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8" t="n"/>
      <c r="J369" s="7" t="n"/>
      <c r="K369" s="7" t="n"/>
      <c r="L369" s="7" t="n"/>
      <c r="M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8" t="n"/>
      <c r="J370" s="7" t="n"/>
      <c r="K370" s="7" t="n"/>
      <c r="L370" s="7" t="n"/>
      <c r="M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8" t="n"/>
      <c r="J371" s="7" t="n"/>
      <c r="K371" s="7" t="n"/>
      <c r="L371" s="7" t="n"/>
      <c r="M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8" t="n"/>
      <c r="J372" s="7" t="n"/>
      <c r="K372" s="7" t="n"/>
      <c r="L372" s="7" t="n"/>
      <c r="M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8" t="n"/>
      <c r="J373" s="7" t="n"/>
      <c r="K373" s="7" t="n"/>
      <c r="L373" s="7" t="n"/>
      <c r="M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8" t="n"/>
      <c r="J374" s="7" t="n"/>
      <c r="K374" s="7" t="n"/>
      <c r="L374" s="7" t="n"/>
      <c r="M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8" t="n"/>
      <c r="J375" s="7" t="n"/>
      <c r="K375" s="7" t="n"/>
      <c r="L375" s="7" t="n"/>
      <c r="M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8" t="n"/>
      <c r="J376" s="7" t="n"/>
      <c r="K376" s="7" t="n"/>
      <c r="L376" s="7" t="n"/>
      <c r="M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8" t="n"/>
      <c r="J377" s="7" t="n"/>
      <c r="K377" s="7" t="n"/>
      <c r="L377" s="7" t="n"/>
      <c r="M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8" t="n"/>
      <c r="J378" s="7" t="n"/>
      <c r="K378" s="7" t="n"/>
      <c r="L378" s="7" t="n"/>
      <c r="M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8" t="n"/>
      <c r="J379" s="7" t="n"/>
      <c r="K379" s="7" t="n"/>
      <c r="L379" s="7" t="n"/>
      <c r="M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8" t="n"/>
      <c r="J380" s="7" t="n"/>
      <c r="K380" s="7" t="n"/>
      <c r="L380" s="7" t="n"/>
      <c r="M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8" t="n"/>
      <c r="J381" s="7" t="n"/>
      <c r="K381" s="7" t="n"/>
      <c r="L381" s="7" t="n"/>
      <c r="M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8" t="n"/>
      <c r="J382" s="7" t="n"/>
      <c r="K382" s="7" t="n"/>
      <c r="L382" s="7" t="n"/>
      <c r="M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8" t="n"/>
      <c r="J383" s="7" t="n"/>
      <c r="K383" s="7" t="n"/>
      <c r="L383" s="7" t="n"/>
      <c r="M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8" t="n"/>
      <c r="J384" s="7" t="n"/>
      <c r="K384" s="7" t="n"/>
      <c r="L384" s="7" t="n"/>
      <c r="M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8" t="n"/>
      <c r="J385" s="7" t="n"/>
      <c r="K385" s="7" t="n"/>
      <c r="L385" s="7" t="n"/>
      <c r="M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8" t="n"/>
      <c r="J386" s="7" t="n"/>
      <c r="K386" s="7" t="n"/>
      <c r="L386" s="7" t="n"/>
      <c r="M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8" t="n"/>
      <c r="J387" s="7" t="n"/>
      <c r="K387" s="7" t="n"/>
      <c r="L387" s="7" t="n"/>
      <c r="M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8" t="n"/>
      <c r="J388" s="7" t="n"/>
      <c r="K388" s="7" t="n"/>
      <c r="L388" s="7" t="n"/>
      <c r="M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8" t="n"/>
      <c r="J389" s="7" t="n"/>
      <c r="K389" s="7" t="n"/>
      <c r="L389" s="7" t="n"/>
      <c r="M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8" t="n"/>
      <c r="J390" s="7" t="n"/>
      <c r="K390" s="7" t="n"/>
      <c r="L390" s="7" t="n"/>
      <c r="M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8" t="n"/>
      <c r="J391" s="7" t="n"/>
      <c r="K391" s="7" t="n"/>
      <c r="L391" s="7" t="n"/>
      <c r="M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8" t="n"/>
      <c r="J392" s="7" t="n"/>
      <c r="K392" s="7" t="n"/>
      <c r="L392" s="7" t="n"/>
      <c r="M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8" t="n"/>
      <c r="J393" s="7" t="n"/>
      <c r="K393" s="7" t="n"/>
      <c r="L393" s="7" t="n"/>
      <c r="M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8" t="n"/>
      <c r="J394" s="7" t="n"/>
      <c r="K394" s="7" t="n"/>
      <c r="L394" s="7" t="n"/>
      <c r="M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8" t="n"/>
      <c r="J395" s="7" t="n"/>
      <c r="K395" s="7" t="n"/>
      <c r="L395" s="7" t="n"/>
      <c r="M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8" t="n"/>
      <c r="J396" s="7" t="n"/>
      <c r="K396" s="7" t="n"/>
      <c r="L396" s="7" t="n"/>
      <c r="M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8" t="n"/>
      <c r="J397" s="7" t="n"/>
      <c r="K397" s="7" t="n"/>
      <c r="L397" s="7" t="n"/>
      <c r="M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8" t="n"/>
      <c r="J398" s="7" t="n"/>
      <c r="K398" s="7" t="n"/>
      <c r="L398" s="7" t="n"/>
      <c r="M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8" t="n"/>
      <c r="J399" s="7" t="n"/>
      <c r="K399" s="7" t="n"/>
      <c r="L399" s="7" t="n"/>
      <c r="M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8" t="n"/>
      <c r="J400" s="7" t="n"/>
      <c r="K400" s="7" t="n"/>
      <c r="L400" s="7" t="n"/>
      <c r="M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8" t="n"/>
      <c r="J401" s="7" t="n"/>
      <c r="K401" s="7" t="n"/>
      <c r="L401" s="7" t="n"/>
      <c r="M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8" t="n"/>
      <c r="J402" s="7" t="n"/>
      <c r="K402" s="7" t="n"/>
      <c r="L402" s="7" t="n"/>
      <c r="M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8" t="n"/>
      <c r="J403" s="7" t="n"/>
      <c r="K403" s="7" t="n"/>
      <c r="L403" s="7" t="n"/>
      <c r="M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8" t="n"/>
      <c r="J404" s="7" t="n"/>
      <c r="K404" s="7" t="n"/>
      <c r="L404" s="7" t="n"/>
      <c r="M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8" t="n"/>
      <c r="J405" s="7" t="n"/>
      <c r="K405" s="7" t="n"/>
      <c r="L405" s="7" t="n"/>
      <c r="M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8" t="n"/>
      <c r="J406" s="7" t="n"/>
      <c r="K406" s="7" t="n"/>
      <c r="L406" s="7" t="n"/>
      <c r="M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8" t="n"/>
      <c r="J407" s="7" t="n"/>
      <c r="K407" s="7" t="n"/>
      <c r="L407" s="7" t="n"/>
      <c r="M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8" t="n"/>
      <c r="J408" s="7" t="n"/>
      <c r="K408" s="7" t="n"/>
      <c r="L408" s="7" t="n"/>
      <c r="M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8" t="n"/>
      <c r="J409" s="7" t="n"/>
      <c r="K409" s="7" t="n"/>
      <c r="L409" s="7" t="n"/>
      <c r="M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8" t="n"/>
      <c r="J410" s="7" t="n"/>
      <c r="K410" s="7" t="n"/>
      <c r="L410" s="7" t="n"/>
      <c r="M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8" t="n"/>
      <c r="J411" s="7" t="n"/>
      <c r="K411" s="7" t="n"/>
      <c r="L411" s="7" t="n"/>
      <c r="M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8" t="n"/>
      <c r="J412" s="7" t="n"/>
      <c r="K412" s="7" t="n"/>
      <c r="L412" s="7" t="n"/>
      <c r="M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8" t="n"/>
      <c r="J413" s="7" t="n"/>
      <c r="K413" s="7" t="n"/>
      <c r="L413" s="7" t="n"/>
      <c r="M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8" t="n"/>
      <c r="J414" s="7" t="n"/>
      <c r="K414" s="7" t="n"/>
      <c r="L414" s="7" t="n"/>
      <c r="M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8" t="n"/>
      <c r="J415" s="7" t="n"/>
      <c r="K415" s="7" t="n"/>
      <c r="L415" s="7" t="n"/>
      <c r="M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8" t="n"/>
      <c r="J416" s="7" t="n"/>
      <c r="K416" s="7" t="n"/>
      <c r="L416" s="7" t="n"/>
      <c r="M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8" t="n"/>
      <c r="J417" s="7" t="n"/>
      <c r="K417" s="7" t="n"/>
      <c r="L417" s="7" t="n"/>
      <c r="M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8" t="n"/>
      <c r="J418" s="7" t="n"/>
      <c r="K418" s="7" t="n"/>
      <c r="L418" s="7" t="n"/>
      <c r="M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8" t="n"/>
      <c r="J419" s="7" t="n"/>
      <c r="K419" s="7" t="n"/>
      <c r="L419" s="7" t="n"/>
      <c r="M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8" t="n"/>
      <c r="J420" s="7" t="n"/>
      <c r="K420" s="7" t="n"/>
      <c r="L420" s="7" t="n"/>
      <c r="M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8" t="n"/>
      <c r="J421" s="7" t="n"/>
      <c r="K421" s="7" t="n"/>
      <c r="L421" s="7" t="n"/>
      <c r="M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8" t="n"/>
      <c r="J422" s="7" t="n"/>
      <c r="K422" s="7" t="n"/>
      <c r="L422" s="7" t="n"/>
      <c r="M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8" t="n"/>
      <c r="J423" s="7" t="n"/>
      <c r="K423" s="7" t="n"/>
      <c r="L423" s="7" t="n"/>
      <c r="M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8" t="n"/>
      <c r="J424" s="7" t="n"/>
      <c r="K424" s="7" t="n"/>
      <c r="L424" s="7" t="n"/>
      <c r="M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8" t="n"/>
      <c r="J425" s="7" t="n"/>
      <c r="K425" s="7" t="n"/>
      <c r="L425" s="7" t="n"/>
      <c r="M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8" t="n"/>
      <c r="J426" s="7" t="n"/>
      <c r="K426" s="7" t="n"/>
      <c r="L426" s="7" t="n"/>
      <c r="M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8" t="n"/>
      <c r="J427" s="7" t="n"/>
      <c r="K427" s="7" t="n"/>
      <c r="L427" s="7" t="n"/>
      <c r="M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8" t="n"/>
      <c r="J428" s="7" t="n"/>
      <c r="K428" s="7" t="n"/>
      <c r="L428" s="7" t="n"/>
      <c r="M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8" t="n"/>
      <c r="J429" s="7" t="n"/>
      <c r="K429" s="7" t="n"/>
      <c r="L429" s="7" t="n"/>
      <c r="M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8" t="n"/>
      <c r="J430" s="7" t="n"/>
      <c r="K430" s="7" t="n"/>
      <c r="L430" s="7" t="n"/>
      <c r="M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8" t="n"/>
      <c r="J431" s="7" t="n"/>
      <c r="K431" s="7" t="n"/>
      <c r="L431" s="7" t="n"/>
      <c r="M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8" t="n"/>
      <c r="J432" s="7" t="n"/>
      <c r="K432" s="7" t="n"/>
      <c r="L432" s="7" t="n"/>
      <c r="M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8" t="n"/>
      <c r="J433" s="7" t="n"/>
      <c r="K433" s="7" t="n"/>
      <c r="L433" s="7" t="n"/>
      <c r="M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8" t="n"/>
      <c r="J434" s="7" t="n"/>
      <c r="K434" s="7" t="n"/>
      <c r="L434" s="7" t="n"/>
      <c r="M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8" t="n"/>
      <c r="J435" s="7" t="n"/>
      <c r="K435" s="7" t="n"/>
      <c r="L435" s="7" t="n"/>
      <c r="M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8" t="n"/>
      <c r="J436" s="7" t="n"/>
      <c r="K436" s="7" t="n"/>
      <c r="L436" s="7" t="n"/>
      <c r="M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8" t="n"/>
      <c r="J437" s="7" t="n"/>
      <c r="K437" s="7" t="n"/>
      <c r="L437" s="7" t="n"/>
      <c r="M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8" t="n"/>
      <c r="J438" s="7" t="n"/>
      <c r="K438" s="7" t="n"/>
      <c r="L438" s="7" t="n"/>
      <c r="M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8" t="n"/>
      <c r="J439" s="7" t="n"/>
      <c r="K439" s="7" t="n"/>
      <c r="L439" s="7" t="n"/>
      <c r="M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8" t="n"/>
      <c r="J440" s="7" t="n"/>
      <c r="K440" s="7" t="n"/>
      <c r="L440" s="7" t="n"/>
      <c r="M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8" t="n"/>
      <c r="J441" s="7" t="n"/>
      <c r="K441" s="7" t="n"/>
      <c r="L441" s="7" t="n"/>
      <c r="M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8" t="n"/>
      <c r="J442" s="7" t="n"/>
      <c r="K442" s="7" t="n"/>
      <c r="L442" s="7" t="n"/>
      <c r="M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8" t="n"/>
      <c r="J443" s="7" t="n"/>
      <c r="K443" s="7" t="n"/>
      <c r="L443" s="7" t="n"/>
      <c r="M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8" t="n"/>
      <c r="J444" s="7" t="n"/>
      <c r="K444" s="7" t="n"/>
      <c r="L444" s="7" t="n"/>
      <c r="M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8" t="n"/>
      <c r="J445" s="7" t="n"/>
      <c r="K445" s="7" t="n"/>
      <c r="L445" s="7" t="n"/>
      <c r="M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8" t="n"/>
      <c r="J446" s="7" t="n"/>
      <c r="K446" s="7" t="n"/>
      <c r="L446" s="7" t="n"/>
      <c r="M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8" t="n"/>
      <c r="J447" s="7" t="n"/>
      <c r="K447" s="7" t="n"/>
      <c r="L447" s="7" t="n"/>
      <c r="M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8" t="n"/>
      <c r="J448" s="7" t="n"/>
      <c r="K448" s="7" t="n"/>
      <c r="L448" s="7" t="n"/>
      <c r="M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8" t="n"/>
      <c r="J449" s="7" t="n"/>
      <c r="K449" s="7" t="n"/>
      <c r="L449" s="7" t="n"/>
      <c r="M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8" t="n"/>
      <c r="J450" s="7" t="n"/>
      <c r="K450" s="7" t="n"/>
      <c r="L450" s="7" t="n"/>
      <c r="M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8" t="n"/>
      <c r="J451" s="7" t="n"/>
      <c r="K451" s="7" t="n"/>
      <c r="L451" s="7" t="n"/>
      <c r="M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8" t="n"/>
      <c r="J452" s="7" t="n"/>
      <c r="K452" s="7" t="n"/>
      <c r="L452" s="7" t="n"/>
      <c r="M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8" t="n"/>
      <c r="J453" s="7" t="n"/>
      <c r="K453" s="7" t="n"/>
      <c r="L453" s="7" t="n"/>
      <c r="M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8" t="n"/>
      <c r="J454" s="7" t="n"/>
      <c r="K454" s="7" t="n"/>
      <c r="L454" s="7" t="n"/>
      <c r="M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8" t="n"/>
      <c r="J455" s="7" t="n"/>
      <c r="K455" s="7" t="n"/>
      <c r="L455" s="7" t="n"/>
      <c r="M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8" t="n"/>
      <c r="J456" s="7" t="n"/>
      <c r="K456" s="7" t="n"/>
      <c r="L456" s="7" t="n"/>
      <c r="M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8" t="n"/>
      <c r="J457" s="7" t="n"/>
      <c r="K457" s="7" t="n"/>
      <c r="L457" s="7" t="n"/>
      <c r="M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8" t="n"/>
      <c r="J458" s="7" t="n"/>
      <c r="K458" s="7" t="n"/>
      <c r="L458" s="7" t="n"/>
      <c r="M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8" t="n"/>
      <c r="J459" s="7" t="n"/>
      <c r="K459" s="7" t="n"/>
      <c r="L459" s="7" t="n"/>
      <c r="M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8" t="n"/>
      <c r="J460" s="7" t="n"/>
      <c r="K460" s="7" t="n"/>
      <c r="L460" s="7" t="n"/>
      <c r="M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8" t="n"/>
      <c r="J461" s="7" t="n"/>
      <c r="K461" s="7" t="n"/>
      <c r="L461" s="7" t="n"/>
      <c r="M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8" t="n"/>
      <c r="J462" s="7" t="n"/>
      <c r="K462" s="7" t="n"/>
      <c r="L462" s="7" t="n"/>
      <c r="M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8" t="n"/>
      <c r="J463" s="7" t="n"/>
      <c r="K463" s="7" t="n"/>
      <c r="L463" s="7" t="n"/>
      <c r="M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8" t="n"/>
      <c r="J464" s="7" t="n"/>
      <c r="K464" s="7" t="n"/>
      <c r="L464" s="7" t="n"/>
      <c r="M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8" t="n"/>
      <c r="J465" s="7" t="n"/>
      <c r="K465" s="7" t="n"/>
      <c r="L465" s="7" t="n"/>
      <c r="M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8" t="n"/>
      <c r="J466" s="7" t="n"/>
      <c r="K466" s="7" t="n"/>
      <c r="L466" s="7" t="n"/>
      <c r="M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8" t="n"/>
      <c r="J467" s="7" t="n"/>
      <c r="K467" s="7" t="n"/>
      <c r="L467" s="7" t="n"/>
      <c r="M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8" t="n"/>
      <c r="J468" s="7" t="n"/>
      <c r="K468" s="7" t="n"/>
      <c r="L468" s="7" t="n"/>
      <c r="M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8" t="n"/>
      <c r="J469" s="7" t="n"/>
      <c r="K469" s="7" t="n"/>
      <c r="L469" s="7" t="n"/>
      <c r="M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8" t="n"/>
      <c r="J470" s="7" t="n"/>
      <c r="K470" s="7" t="n"/>
      <c r="L470" s="7" t="n"/>
      <c r="M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8" t="n"/>
      <c r="J471" s="7" t="n"/>
      <c r="K471" s="7" t="n"/>
      <c r="L471" s="7" t="n"/>
      <c r="M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8" t="n"/>
      <c r="J472" s="7" t="n"/>
      <c r="K472" s="7" t="n"/>
      <c r="L472" s="7" t="n"/>
      <c r="M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8" t="n"/>
      <c r="J473" s="7" t="n"/>
      <c r="K473" s="7" t="n"/>
      <c r="L473" s="7" t="n"/>
      <c r="M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8" t="n"/>
      <c r="J474" s="7" t="n"/>
      <c r="K474" s="7" t="n"/>
      <c r="L474" s="7" t="n"/>
      <c r="M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8" t="n"/>
      <c r="J475" s="7" t="n"/>
      <c r="K475" s="7" t="n"/>
      <c r="L475" s="7" t="n"/>
      <c r="M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8" t="n"/>
      <c r="J476" s="7" t="n"/>
      <c r="K476" s="7" t="n"/>
      <c r="L476" s="7" t="n"/>
      <c r="M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8" t="n"/>
      <c r="J477" s="7" t="n"/>
      <c r="K477" s="7" t="n"/>
      <c r="L477" s="7" t="n"/>
      <c r="M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8" t="n"/>
      <c r="J478" s="7" t="n"/>
      <c r="K478" s="7" t="n"/>
      <c r="L478" s="7" t="n"/>
      <c r="M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8" t="n"/>
      <c r="J479" s="7" t="n"/>
      <c r="K479" s="7" t="n"/>
      <c r="L479" s="7" t="n"/>
      <c r="M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8" t="n"/>
      <c r="J480" s="7" t="n"/>
      <c r="K480" s="7" t="n"/>
      <c r="L480" s="7" t="n"/>
      <c r="M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8" t="n"/>
      <c r="J481" s="7" t="n"/>
      <c r="K481" s="7" t="n"/>
      <c r="L481" s="7" t="n"/>
      <c r="M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8" t="n"/>
      <c r="J482" s="7" t="n"/>
      <c r="K482" s="7" t="n"/>
      <c r="L482" s="7" t="n"/>
      <c r="M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8" t="n"/>
      <c r="J483" s="7" t="n"/>
      <c r="K483" s="7" t="n"/>
      <c r="L483" s="7" t="n"/>
      <c r="M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8" t="n"/>
      <c r="J484" s="7" t="n"/>
      <c r="K484" s="7" t="n"/>
      <c r="L484" s="7" t="n"/>
      <c r="M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8" t="n"/>
      <c r="J485" s="7" t="n"/>
      <c r="K485" s="7" t="n"/>
      <c r="L485" s="7" t="n"/>
      <c r="M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8" t="n"/>
      <c r="J486" s="7" t="n"/>
      <c r="K486" s="7" t="n"/>
      <c r="L486" s="7" t="n"/>
      <c r="M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8" t="n"/>
      <c r="J487" s="7" t="n"/>
      <c r="K487" s="7" t="n"/>
      <c r="L487" s="7" t="n"/>
      <c r="M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8" t="n"/>
      <c r="J488" s="7" t="n"/>
      <c r="K488" s="7" t="n"/>
      <c r="L488" s="7" t="n"/>
      <c r="M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8" t="n"/>
      <c r="J489" s="7" t="n"/>
      <c r="K489" s="7" t="n"/>
      <c r="L489" s="7" t="n"/>
      <c r="M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8" t="n"/>
      <c r="J490" s="7" t="n"/>
      <c r="K490" s="7" t="n"/>
      <c r="L490" s="7" t="n"/>
      <c r="M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8" t="n"/>
      <c r="J491" s="7" t="n"/>
      <c r="K491" s="7" t="n"/>
      <c r="L491" s="7" t="n"/>
      <c r="M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8" t="n"/>
      <c r="J492" s="7" t="n"/>
      <c r="K492" s="7" t="n"/>
      <c r="L492" s="7" t="n"/>
      <c r="M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8" t="n"/>
      <c r="J493" s="7" t="n"/>
      <c r="K493" s="7" t="n"/>
      <c r="L493" s="7" t="n"/>
      <c r="M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8" t="n"/>
      <c r="J494" s="7" t="n"/>
      <c r="K494" s="7" t="n"/>
      <c r="L494" s="7" t="n"/>
      <c r="M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8" t="n"/>
      <c r="J495" s="7" t="n"/>
      <c r="K495" s="7" t="n"/>
      <c r="L495" s="7" t="n"/>
      <c r="M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8" t="n"/>
      <c r="J496" s="7" t="n"/>
      <c r="K496" s="7" t="n"/>
      <c r="L496" s="7" t="n"/>
      <c r="M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8" t="n"/>
      <c r="J497" s="7" t="n"/>
      <c r="K497" s="7" t="n"/>
      <c r="L497" s="7" t="n"/>
      <c r="M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8" t="n"/>
      <c r="J498" s="7" t="n"/>
      <c r="K498" s="7" t="n"/>
      <c r="L498" s="7" t="n"/>
      <c r="M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8" t="n"/>
      <c r="J499" s="7" t="n"/>
      <c r="K499" s="7" t="n"/>
      <c r="L499" s="7" t="n"/>
      <c r="M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8" t="n"/>
      <c r="J500" s="7" t="n"/>
      <c r="K500" s="7" t="n"/>
      <c r="L500" s="7" t="n"/>
      <c r="M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8" t="n"/>
      <c r="J501" s="7" t="n"/>
      <c r="K501" s="7" t="n"/>
      <c r="L501" s="7" t="n"/>
      <c r="M501" s="7" t="n"/>
    </row>
  </sheetData>
  <autoFilter ref="A1:M501"/>
  <dataValidations count="6">
    <dataValidation sqref="B2:B501" showDropDown="0" showInputMessage="0" showErrorMessage="1" allowBlank="1" type="list">
      <formula1>=Listes!$C$2:$C$3</formula1>
    </dataValidation>
    <dataValidation sqref="C2:C501" showDropDown="0" showInputMessage="0" showErrorMessage="1" allowBlank="1" type="list">
      <formula1>=Listes!$C$2:$C$3</formula1>
    </dataValidation>
    <dataValidation sqref="D2:D501" showDropDown="0" showInputMessage="0" showErrorMessage="1" allowBlank="1" type="list">
      <formula1>=Listes!$C$2:$C$3</formula1>
    </dataValidation>
    <dataValidation sqref="E2:E501" showDropDown="0" showInputMessage="0" showErrorMessage="1" allowBlank="1" type="list">
      <formula1>=Listes!$C$2:$C$3</formula1>
    </dataValidation>
    <dataValidation sqref="F2:F501" showDropDown="0" showInputMessage="0" showErrorMessage="1" allowBlank="1" type="list">
      <formula1>=Listes!$C$2:$C$3</formula1>
    </dataValidation>
    <dataValidation sqref="M2:M501" showDropDown="0" showInputMessage="0" showErrorMessage="1" allowBlank="1" type="list">
      <formula1>=Listes!$L$2:$L$3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0B05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90" customWidth="1" min="3" max="3"/>
    <col width="24" customWidth="1" min="4" max="4"/>
    <col width="12" customWidth="1" min="5" max="5"/>
  </cols>
  <sheetData>
    <row r="1" ht="22" customHeight="1">
      <c r="A1" s="4" t="inlineStr">
        <is>
          <t>Clé</t>
        </is>
      </c>
      <c r="B1" s="4" t="inlineStr">
        <is>
          <t>Formulaire</t>
        </is>
      </c>
      <c r="C1" s="4" t="inlineStr">
        <is>
          <t>Titre du projet (en-tête)</t>
        </is>
      </c>
      <c r="D1" s="4" t="inlineStr">
        <is>
          <t>Code document</t>
        </is>
      </c>
      <c r="E1" s="4" t="inlineStr">
        <is>
          <t>Date</t>
        </is>
      </c>
    </row>
    <row r="2" ht="30" customHeight="1">
      <c r="A2" s="34" t="inlineStr">
        <is>
          <t>RFI</t>
        </is>
      </c>
      <c r="B2" s="34" t="inlineStr">
        <is>
          <t>Demande d'inspection (RFI)</t>
        </is>
      </c>
      <c r="C2" s="34" t="inlineStr">
        <is>
          <t>Développement des champs gaziers de TFT II
Contrat construction &amp; commissionning « réseau de collecte TFT sud offsite- raccordement de vingt-quatre (24) puits producteurs de gaz »</t>
        </is>
      </c>
      <c r="D2" s="34" t="inlineStr">
        <is>
          <t>21063-G0-QAQC-QC-0001</t>
        </is>
      </c>
      <c r="E2" s="34" t="inlineStr">
        <is>
          <t>13/05/2025</t>
        </is>
      </c>
    </row>
    <row r="3" ht="30" customHeight="1">
      <c r="A3" s="34" t="inlineStr">
        <is>
          <t>OUV</t>
        </is>
      </c>
      <c r="B3" s="34" t="inlineStr">
        <is>
          <t>PV Ouverture de la tranchée</t>
        </is>
      </c>
      <c r="C3" s="34" t="inlineStr">
        <is>
          <t>réseau de collecte TFT sud offsite- raccordement de vingt-quatre (24) puits producteurs de gaz</t>
        </is>
      </c>
      <c r="D3" s="34" t="inlineStr">
        <is>
          <t>21063-G0-PPL-RT-0109</t>
        </is>
      </c>
      <c r="E3" s="34" t="inlineStr">
        <is>
          <t>04/07/2025</t>
        </is>
      </c>
    </row>
    <row r="4" ht="30" customHeight="1">
      <c r="A4" s="34" t="inlineStr">
        <is>
          <t>PIS</t>
        </is>
      </c>
      <c r="B4" s="34" t="inlineStr">
        <is>
          <t>PV Piste de travail</t>
        </is>
      </c>
      <c r="C4" s="34" t="inlineStr">
        <is>
          <t>réseau de collecte TFT sud offsite- raccordement de vingt-quatre (24) puits producteurs de gaz</t>
        </is>
      </c>
      <c r="D4" s="34" t="inlineStr">
        <is>
          <t>21063-G0-PPL-RT-0108</t>
        </is>
      </c>
      <c r="E4" s="34" t="inlineStr">
        <is>
          <t>04/07/2025</t>
        </is>
      </c>
    </row>
    <row r="5" ht="30" customHeight="1">
      <c r="A5" s="34" t="inlineStr">
        <is>
          <t>BAR</t>
        </is>
      </c>
      <c r="B5" s="34" t="inlineStr">
        <is>
          <t>PV Transport et bardage</t>
        </is>
      </c>
      <c r="C5" s="34" t="inlineStr">
        <is>
          <t>réseau de collecte TFT sud offsite- raccordement de vingt-quatre (24) puits producteurs de gaz</t>
        </is>
      </c>
      <c r="D5" s="34" t="inlineStr">
        <is>
          <t>21063-G0-PPL-RT-0110</t>
        </is>
      </c>
      <c r="E5" s="34" t="inlineStr">
        <is>
          <t>04/07/2025</t>
        </is>
      </c>
    </row>
    <row r="6" ht="30" customHeight="1">
      <c r="A6" s="34" t="inlineStr">
        <is>
          <t>CIN</t>
        </is>
      </c>
      <c r="B6" s="34" t="inlineStr">
        <is>
          <t>PV Cintrage</t>
        </is>
      </c>
      <c r="C6" s="34" t="inlineStr">
        <is>
          <t>réseau de collecte TFT sud offsite- raccordement de vingt-quatre (24) puits producteurs de gaz</t>
        </is>
      </c>
      <c r="D6" s="34" t="inlineStr">
        <is>
          <t>21063-G0-PPL-RT-0111</t>
        </is>
      </c>
      <c r="E6" s="34" t="inlineStr">
        <is>
          <t>04/07/2025</t>
        </is>
      </c>
    </row>
    <row r="7" ht="30" customHeight="1">
      <c r="A7" s="34" t="inlineStr">
        <is>
          <t>ENR</t>
        </is>
      </c>
      <c r="B7" s="34" t="inlineStr">
        <is>
          <t>PV Enrobage</t>
        </is>
      </c>
      <c r="C7" s="34" t="inlineStr">
        <is>
          <t>Développement des champs gaziers de TFT II
Contrat construction &amp; commissionning « réseau de collecte TFT sud offsite- raccordement de vingt-quatre (24) puits producteurs de gaz »</t>
        </is>
      </c>
      <c r="D7" s="34" t="inlineStr">
        <is>
          <t>21063-G0-PPL-RT-0115</t>
        </is>
      </c>
      <c r="E7" s="34" t="inlineStr">
        <is>
          <t>04/05/2026</t>
        </is>
      </c>
    </row>
    <row r="8" ht="30" customHeight="1">
      <c r="A8" s="34" t="inlineStr">
        <is>
          <t>LIT</t>
        </is>
      </c>
      <c r="B8" s="34" t="inlineStr">
        <is>
          <t>PV Lit de pose</t>
        </is>
      </c>
      <c r="C8" s="34" t="inlineStr">
        <is>
          <t>réseau de collecte TFT sud offsite- raccordement de vingt-quatre (24) puits producteurs de gaz</t>
        </is>
      </c>
      <c r="D8" s="34" t="inlineStr">
        <is>
          <t>21063-G0-PPL-RT-0112</t>
        </is>
      </c>
      <c r="E8" s="34" t="inlineStr">
        <is>
          <t>04/07/2025</t>
        </is>
      </c>
    </row>
    <row r="9" ht="30" customHeight="1">
      <c r="A9" s="34" t="inlineStr">
        <is>
          <t>MEF</t>
        </is>
      </c>
      <c r="B9" s="34" t="inlineStr">
        <is>
          <t>PV Mise en fouille</t>
        </is>
      </c>
      <c r="C9" s="34" t="inlineStr">
        <is>
          <t>réseau de collecte TFT sud offsite- raccordement de vingt-quatre (24) puits producteurs de gaz</t>
        </is>
      </c>
      <c r="D9" s="34" t="inlineStr">
        <is>
          <t>21063-G0-PPL-RT-0116</t>
        </is>
      </c>
      <c r="E9" s="34" t="inlineStr">
        <is>
          <t>04/07/2025</t>
        </is>
      </c>
    </row>
    <row r="10" ht="30" customHeight="1">
      <c r="A10" s="34" t="inlineStr">
        <is>
          <t>PRE</t>
        </is>
      </c>
      <c r="B10" s="34" t="inlineStr">
        <is>
          <t>PV Pré-remblai</t>
        </is>
      </c>
      <c r="C10" s="34" t="inlineStr">
        <is>
          <t>réseau de collecte TFT sud offsite- raccordement de vingt-quatre (24) puits producteurs de gaz</t>
        </is>
      </c>
      <c r="D10" s="34" t="inlineStr">
        <is>
          <t>21063-G0-PPL-RT-0113</t>
        </is>
      </c>
      <c r="E10" s="34" t="inlineStr">
        <is>
          <t>04/07/2025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</cols>
  <sheetData>
    <row r="1">
      <c r="A1" s="35" t="inlineStr">
        <is>
          <t>Type</t>
        </is>
      </c>
      <c r="B1" s="35" t="inlineStr">
        <is>
          <t>Conclusion</t>
        </is>
      </c>
      <c r="C1" s="35" t="inlineStr">
        <is>
          <t>C/NC</t>
        </is>
      </c>
      <c r="D1" s="35" t="inlineStr">
        <is>
          <t>Oui/Non/NA</t>
        </is>
      </c>
      <c r="E1" s="35" t="inlineStr">
        <is>
          <t>C/NC/NA</t>
        </is>
      </c>
      <c r="F1" s="35" t="inlineStr">
        <is>
          <t>Oui/Non</t>
        </is>
      </c>
      <c r="G1" s="35" t="inlineStr">
        <is>
          <t>Points</t>
        </is>
      </c>
      <c r="H1" s="35" t="inlineStr">
        <is>
          <t>Végétation</t>
        </is>
      </c>
      <c r="I1" s="35" t="inlineStr">
        <is>
          <t>Nature terrain (piste)</t>
        </is>
      </c>
      <c r="J1" s="35" t="inlineStr">
        <is>
          <t>Nature terrain (tranchée)</t>
        </is>
      </c>
      <c r="K1" s="35" t="inlineStr">
        <is>
          <t>Évaluation</t>
        </is>
      </c>
      <c r="L1" s="35" t="inlineStr">
        <is>
          <t>Balai</t>
        </is>
      </c>
      <c r="O1" s="35" t="inlineStr">
        <is>
          <t>Ouverture de la tranchée</t>
        </is>
      </c>
      <c r="P1" s="35" t="inlineStr">
        <is>
          <t>Piste de travail</t>
        </is>
      </c>
      <c r="Q1" s="35" t="inlineStr">
        <is>
          <t>Transport et bardage</t>
        </is>
      </c>
      <c r="R1" s="35" t="inlineStr">
        <is>
          <t>Cintrage</t>
        </is>
      </c>
      <c r="S1" s="35" t="inlineStr">
        <is>
          <t>Enrobage</t>
        </is>
      </c>
      <c r="T1" s="35" t="inlineStr">
        <is>
          <t>Lit de pose</t>
        </is>
      </c>
      <c r="U1" s="35" t="inlineStr">
        <is>
          <t>Mise en fouille</t>
        </is>
      </c>
      <c r="V1" s="35" t="inlineStr">
        <is>
          <t>Pré-remblai</t>
        </is>
      </c>
    </row>
    <row r="2">
      <c r="A2" t="inlineStr">
        <is>
          <t>Ouverture de la tranchée</t>
        </is>
      </c>
      <c r="B2" t="inlineStr">
        <is>
          <t>Accepté</t>
        </is>
      </c>
      <c r="C2" t="inlineStr">
        <is>
          <t>C</t>
        </is>
      </c>
      <c r="D2" t="inlineStr">
        <is>
          <t>Oui</t>
        </is>
      </c>
      <c r="E2" t="inlineStr">
        <is>
          <t>C</t>
        </is>
      </c>
      <c r="F2" t="inlineStr">
        <is>
          <t>Oui</t>
        </is>
      </c>
      <c r="G2" t="inlineStr">
        <is>
          <t>P</t>
        </is>
      </c>
      <c r="H2" t="inlineStr">
        <is>
          <t>Zone dégagée</t>
        </is>
      </c>
      <c r="I2" t="inlineStr">
        <is>
          <t>nature</t>
        </is>
      </c>
      <c r="J2" t="inlineStr">
        <is>
          <t>Dune de sable</t>
        </is>
      </c>
      <c r="K2" t="inlineStr">
        <is>
          <t>Acc</t>
        </is>
      </c>
      <c r="L2" t="inlineStr">
        <is>
          <t>ACC</t>
        </is>
      </c>
      <c r="O2">
        <f>IFERROR(INDEX(Registre!$B$2:$B$2001,MATCH(O$1&amp;"|"&amp;(ROW()-1),Registre!$AA$2:$AA$2001,0)),"")</f>
        <v/>
      </c>
      <c r="P2">
        <f>IFERROR(INDEX(Registre!$B$2:$B$2001,MATCH(P$1&amp;"|"&amp;(ROW()-1),Registre!$AA$2:$AA$2001,0)),"")</f>
        <v/>
      </c>
      <c r="Q2">
        <f>IFERROR(INDEX(Registre!$B$2:$B$2001,MATCH(Q$1&amp;"|"&amp;(ROW()-1),Registre!$AA$2:$AA$2001,0)),"")</f>
        <v/>
      </c>
      <c r="R2">
        <f>IFERROR(INDEX(Registre!$B$2:$B$2001,MATCH(R$1&amp;"|"&amp;(ROW()-1),Registre!$AA$2:$AA$2001,0)),"")</f>
        <v/>
      </c>
      <c r="S2">
        <f>IFERROR(INDEX(Registre!$B$2:$B$2001,MATCH(S$1&amp;"|"&amp;(ROW()-1),Registre!$AA$2:$AA$2001,0)),"")</f>
        <v/>
      </c>
      <c r="T2">
        <f>IFERROR(INDEX(Registre!$B$2:$B$2001,MATCH(T$1&amp;"|"&amp;(ROW()-1),Registre!$AA$2:$AA$2001,0)),"")</f>
        <v/>
      </c>
      <c r="U2">
        <f>IFERROR(INDEX(Registre!$B$2:$B$2001,MATCH(U$1&amp;"|"&amp;(ROW()-1),Registre!$AA$2:$AA$2001,0)),"")</f>
        <v/>
      </c>
      <c r="V2">
        <f>IFERROR(INDEX(Registre!$B$2:$B$2001,MATCH(V$1&amp;"|"&amp;(ROW()-1),Registre!$AA$2:$AA$2001,0)),"")</f>
        <v/>
      </c>
    </row>
    <row r="3">
      <c r="A3" t="inlineStr">
        <is>
          <t>Piste de travail</t>
        </is>
      </c>
      <c r="B3" t="inlineStr">
        <is>
          <t>Rejeté</t>
        </is>
      </c>
      <c r="C3" t="inlineStr">
        <is>
          <t>NC</t>
        </is>
      </c>
      <c r="D3" t="inlineStr">
        <is>
          <t>Non</t>
        </is>
      </c>
      <c r="E3" t="inlineStr">
        <is>
          <t>NC</t>
        </is>
      </c>
      <c r="F3" t="inlineStr">
        <is>
          <t>Non</t>
        </is>
      </c>
      <c r="G3" t="inlineStr">
        <is>
          <t>W</t>
        </is>
      </c>
      <c r="H3" t="inlineStr">
        <is>
          <t>Cultivée</t>
        </is>
      </c>
      <c r="I3" t="inlineStr">
        <is>
          <t>Relief</t>
        </is>
      </c>
      <c r="J3" t="inlineStr">
        <is>
          <t>Rocheux</t>
        </is>
      </c>
      <c r="K3" t="inlineStr">
        <is>
          <t>Rej</t>
        </is>
      </c>
      <c r="L3" t="inlineStr">
        <is>
          <t>NACC</t>
        </is>
      </c>
      <c r="O3">
        <f>IFERROR(INDEX(Registre!$B$2:$B$2001,MATCH(O$1&amp;"|"&amp;(ROW()-1),Registre!$AA$2:$AA$2001,0)),"")</f>
        <v/>
      </c>
      <c r="P3">
        <f>IFERROR(INDEX(Registre!$B$2:$B$2001,MATCH(P$1&amp;"|"&amp;(ROW()-1),Registre!$AA$2:$AA$2001,0)),"")</f>
        <v/>
      </c>
      <c r="Q3">
        <f>IFERROR(INDEX(Registre!$B$2:$B$2001,MATCH(Q$1&amp;"|"&amp;(ROW()-1),Registre!$AA$2:$AA$2001,0)),"")</f>
        <v/>
      </c>
      <c r="R3">
        <f>IFERROR(INDEX(Registre!$B$2:$B$2001,MATCH(R$1&amp;"|"&amp;(ROW()-1),Registre!$AA$2:$AA$2001,0)),"")</f>
        <v/>
      </c>
      <c r="S3">
        <f>IFERROR(INDEX(Registre!$B$2:$B$2001,MATCH(S$1&amp;"|"&amp;(ROW()-1),Registre!$AA$2:$AA$2001,0)),"")</f>
        <v/>
      </c>
      <c r="T3">
        <f>IFERROR(INDEX(Registre!$B$2:$B$2001,MATCH(T$1&amp;"|"&amp;(ROW()-1),Registre!$AA$2:$AA$2001,0)),"")</f>
        <v/>
      </c>
      <c r="U3">
        <f>IFERROR(INDEX(Registre!$B$2:$B$2001,MATCH(U$1&amp;"|"&amp;(ROW()-1),Registre!$AA$2:$AA$2001,0)),"")</f>
        <v/>
      </c>
      <c r="V3">
        <f>IFERROR(INDEX(Registre!$B$2:$B$2001,MATCH(V$1&amp;"|"&amp;(ROW()-1),Registre!$AA$2:$AA$2001,0)),"")</f>
        <v/>
      </c>
    </row>
    <row r="4">
      <c r="A4" t="inlineStr">
        <is>
          <t>Transport et bardage</t>
        </is>
      </c>
      <c r="B4" t="inlineStr">
        <is>
          <t>Non applicable</t>
        </is>
      </c>
      <c r="D4" t="inlineStr">
        <is>
          <t>NA</t>
        </is>
      </c>
      <c r="E4" t="inlineStr">
        <is>
          <t>NA</t>
        </is>
      </c>
      <c r="G4" t="inlineStr">
        <is>
          <t>H</t>
        </is>
      </c>
      <c r="H4" t="inlineStr">
        <is>
          <t>Désertique</t>
        </is>
      </c>
      <c r="I4" t="inlineStr">
        <is>
          <t>Terrain désertique</t>
        </is>
      </c>
      <c r="J4" t="inlineStr">
        <is>
          <t>semi rocheux</t>
        </is>
      </c>
      <c r="O4">
        <f>IFERROR(INDEX(Registre!$B$2:$B$2001,MATCH(O$1&amp;"|"&amp;(ROW()-1),Registre!$AA$2:$AA$2001,0)),"")</f>
        <v/>
      </c>
      <c r="P4">
        <f>IFERROR(INDEX(Registre!$B$2:$B$2001,MATCH(P$1&amp;"|"&amp;(ROW()-1),Registre!$AA$2:$AA$2001,0)),"")</f>
        <v/>
      </c>
      <c r="Q4">
        <f>IFERROR(INDEX(Registre!$B$2:$B$2001,MATCH(Q$1&amp;"|"&amp;(ROW()-1),Registre!$AA$2:$AA$2001,0)),"")</f>
        <v/>
      </c>
      <c r="R4">
        <f>IFERROR(INDEX(Registre!$B$2:$B$2001,MATCH(R$1&amp;"|"&amp;(ROW()-1),Registre!$AA$2:$AA$2001,0)),"")</f>
        <v/>
      </c>
      <c r="S4">
        <f>IFERROR(INDEX(Registre!$B$2:$B$2001,MATCH(S$1&amp;"|"&amp;(ROW()-1),Registre!$AA$2:$AA$2001,0)),"")</f>
        <v/>
      </c>
      <c r="T4">
        <f>IFERROR(INDEX(Registre!$B$2:$B$2001,MATCH(T$1&amp;"|"&amp;(ROW()-1),Registre!$AA$2:$AA$2001,0)),"")</f>
        <v/>
      </c>
      <c r="U4">
        <f>IFERROR(INDEX(Registre!$B$2:$B$2001,MATCH(U$1&amp;"|"&amp;(ROW()-1),Registre!$AA$2:$AA$2001,0)),"")</f>
        <v/>
      </c>
      <c r="V4">
        <f>IFERROR(INDEX(Registre!$B$2:$B$2001,MATCH(V$1&amp;"|"&amp;(ROW()-1),Registre!$AA$2:$AA$2001,0)),"")</f>
        <v/>
      </c>
    </row>
    <row r="5">
      <c r="A5" t="inlineStr">
        <is>
          <t>Cintrage</t>
        </is>
      </c>
      <c r="G5" t="inlineStr">
        <is>
          <t>R</t>
        </is>
      </c>
      <c r="H5" t="inlineStr">
        <is>
          <t>Marécageuses</t>
        </is>
      </c>
      <c r="I5" t="inlineStr">
        <is>
          <t>dunes de sable</t>
        </is>
      </c>
      <c r="J5" t="inlineStr">
        <is>
          <t>Autres</t>
        </is>
      </c>
      <c r="O5">
        <f>IFERROR(INDEX(Registre!$B$2:$B$2001,MATCH(O$1&amp;"|"&amp;(ROW()-1),Registre!$AA$2:$AA$2001,0)),"")</f>
        <v/>
      </c>
      <c r="P5">
        <f>IFERROR(INDEX(Registre!$B$2:$B$2001,MATCH(P$1&amp;"|"&amp;(ROW()-1),Registre!$AA$2:$AA$2001,0)),"")</f>
        <v/>
      </c>
      <c r="Q5">
        <f>IFERROR(INDEX(Registre!$B$2:$B$2001,MATCH(Q$1&amp;"|"&amp;(ROW()-1),Registre!$AA$2:$AA$2001,0)),"")</f>
        <v/>
      </c>
      <c r="R5">
        <f>IFERROR(INDEX(Registre!$B$2:$B$2001,MATCH(R$1&amp;"|"&amp;(ROW()-1),Registre!$AA$2:$AA$2001,0)),"")</f>
        <v/>
      </c>
      <c r="S5">
        <f>IFERROR(INDEX(Registre!$B$2:$B$2001,MATCH(S$1&amp;"|"&amp;(ROW()-1),Registre!$AA$2:$AA$2001,0)),"")</f>
        <v/>
      </c>
      <c r="T5">
        <f>IFERROR(INDEX(Registre!$B$2:$B$2001,MATCH(T$1&amp;"|"&amp;(ROW()-1),Registre!$AA$2:$AA$2001,0)),"")</f>
        <v/>
      </c>
      <c r="U5">
        <f>IFERROR(INDEX(Registre!$B$2:$B$2001,MATCH(U$1&amp;"|"&amp;(ROW()-1),Registre!$AA$2:$AA$2001,0)),"")</f>
        <v/>
      </c>
      <c r="V5">
        <f>IFERROR(INDEX(Registre!$B$2:$B$2001,MATCH(V$1&amp;"|"&amp;(ROW()-1),Registre!$AA$2:$AA$2001,0)),"")</f>
        <v/>
      </c>
    </row>
    <row r="6">
      <c r="A6" t="inlineStr">
        <is>
          <t>Enrobage</t>
        </is>
      </c>
      <c r="G6" t="inlineStr">
        <is>
          <t>-</t>
        </is>
      </c>
      <c r="H6" t="inlineStr">
        <is>
          <t>Bois</t>
        </is>
      </c>
      <c r="O6">
        <f>IFERROR(INDEX(Registre!$B$2:$B$2001,MATCH(O$1&amp;"|"&amp;(ROW()-1),Registre!$AA$2:$AA$2001,0)),"")</f>
        <v/>
      </c>
      <c r="P6">
        <f>IFERROR(INDEX(Registre!$B$2:$B$2001,MATCH(P$1&amp;"|"&amp;(ROW()-1),Registre!$AA$2:$AA$2001,0)),"")</f>
        <v/>
      </c>
      <c r="Q6">
        <f>IFERROR(INDEX(Registre!$B$2:$B$2001,MATCH(Q$1&amp;"|"&amp;(ROW()-1),Registre!$AA$2:$AA$2001,0)),"")</f>
        <v/>
      </c>
      <c r="R6">
        <f>IFERROR(INDEX(Registre!$B$2:$B$2001,MATCH(R$1&amp;"|"&amp;(ROW()-1),Registre!$AA$2:$AA$2001,0)),"")</f>
        <v/>
      </c>
      <c r="S6">
        <f>IFERROR(INDEX(Registre!$B$2:$B$2001,MATCH(S$1&amp;"|"&amp;(ROW()-1),Registre!$AA$2:$AA$2001,0)),"")</f>
        <v/>
      </c>
      <c r="T6">
        <f>IFERROR(INDEX(Registre!$B$2:$B$2001,MATCH(T$1&amp;"|"&amp;(ROW()-1),Registre!$AA$2:$AA$2001,0)),"")</f>
        <v/>
      </c>
      <c r="U6">
        <f>IFERROR(INDEX(Registre!$B$2:$B$2001,MATCH(U$1&amp;"|"&amp;(ROW()-1),Registre!$AA$2:$AA$2001,0)),"")</f>
        <v/>
      </c>
      <c r="V6">
        <f>IFERROR(INDEX(Registre!$B$2:$B$2001,MATCH(V$1&amp;"|"&amp;(ROW()-1),Registre!$AA$2:$AA$2001,0)),"")</f>
        <v/>
      </c>
    </row>
    <row r="7">
      <c r="A7" t="inlineStr">
        <is>
          <t>Lit de pose</t>
        </is>
      </c>
      <c r="H7" t="inlineStr">
        <is>
          <t>Autres</t>
        </is>
      </c>
      <c r="O7">
        <f>IFERROR(INDEX(Registre!$B$2:$B$2001,MATCH(O$1&amp;"|"&amp;(ROW()-1),Registre!$AA$2:$AA$2001,0)),"")</f>
        <v/>
      </c>
      <c r="P7">
        <f>IFERROR(INDEX(Registre!$B$2:$B$2001,MATCH(P$1&amp;"|"&amp;(ROW()-1),Registre!$AA$2:$AA$2001,0)),"")</f>
        <v/>
      </c>
      <c r="Q7">
        <f>IFERROR(INDEX(Registre!$B$2:$B$2001,MATCH(Q$1&amp;"|"&amp;(ROW()-1),Registre!$AA$2:$AA$2001,0)),"")</f>
        <v/>
      </c>
      <c r="R7">
        <f>IFERROR(INDEX(Registre!$B$2:$B$2001,MATCH(R$1&amp;"|"&amp;(ROW()-1),Registre!$AA$2:$AA$2001,0)),"")</f>
        <v/>
      </c>
      <c r="S7">
        <f>IFERROR(INDEX(Registre!$B$2:$B$2001,MATCH(S$1&amp;"|"&amp;(ROW()-1),Registre!$AA$2:$AA$2001,0)),"")</f>
        <v/>
      </c>
      <c r="T7">
        <f>IFERROR(INDEX(Registre!$B$2:$B$2001,MATCH(T$1&amp;"|"&amp;(ROW()-1),Registre!$AA$2:$AA$2001,0)),"")</f>
        <v/>
      </c>
      <c r="U7">
        <f>IFERROR(INDEX(Registre!$B$2:$B$2001,MATCH(U$1&amp;"|"&amp;(ROW()-1),Registre!$AA$2:$AA$2001,0)),"")</f>
        <v/>
      </c>
      <c r="V7">
        <f>IFERROR(INDEX(Registre!$B$2:$B$2001,MATCH(V$1&amp;"|"&amp;(ROW()-1),Registre!$AA$2:$AA$2001,0)),"")</f>
        <v/>
      </c>
    </row>
    <row r="8">
      <c r="A8" t="inlineStr">
        <is>
          <t>Mise en fouille</t>
        </is>
      </c>
      <c r="O8">
        <f>IFERROR(INDEX(Registre!$B$2:$B$2001,MATCH(O$1&amp;"|"&amp;(ROW()-1),Registre!$AA$2:$AA$2001,0)),"")</f>
        <v/>
      </c>
      <c r="P8">
        <f>IFERROR(INDEX(Registre!$B$2:$B$2001,MATCH(P$1&amp;"|"&amp;(ROW()-1),Registre!$AA$2:$AA$2001,0)),"")</f>
        <v/>
      </c>
      <c r="Q8">
        <f>IFERROR(INDEX(Registre!$B$2:$B$2001,MATCH(Q$1&amp;"|"&amp;(ROW()-1),Registre!$AA$2:$AA$2001,0)),"")</f>
        <v/>
      </c>
      <c r="R8">
        <f>IFERROR(INDEX(Registre!$B$2:$B$2001,MATCH(R$1&amp;"|"&amp;(ROW()-1),Registre!$AA$2:$AA$2001,0)),"")</f>
        <v/>
      </c>
      <c r="S8">
        <f>IFERROR(INDEX(Registre!$B$2:$B$2001,MATCH(S$1&amp;"|"&amp;(ROW()-1),Registre!$AA$2:$AA$2001,0)),"")</f>
        <v/>
      </c>
      <c r="T8">
        <f>IFERROR(INDEX(Registre!$B$2:$B$2001,MATCH(T$1&amp;"|"&amp;(ROW()-1),Registre!$AA$2:$AA$2001,0)),"")</f>
        <v/>
      </c>
      <c r="U8">
        <f>IFERROR(INDEX(Registre!$B$2:$B$2001,MATCH(U$1&amp;"|"&amp;(ROW()-1),Registre!$AA$2:$AA$2001,0)),"")</f>
        <v/>
      </c>
      <c r="V8">
        <f>IFERROR(INDEX(Registre!$B$2:$B$2001,MATCH(V$1&amp;"|"&amp;(ROW()-1),Registre!$AA$2:$AA$2001,0)),"")</f>
        <v/>
      </c>
    </row>
    <row r="9">
      <c r="A9" t="inlineStr">
        <is>
          <t>Pré-remblai</t>
        </is>
      </c>
      <c r="O9">
        <f>IFERROR(INDEX(Registre!$B$2:$B$2001,MATCH(O$1&amp;"|"&amp;(ROW()-1),Registre!$AA$2:$AA$2001,0)),"")</f>
        <v/>
      </c>
      <c r="P9">
        <f>IFERROR(INDEX(Registre!$B$2:$B$2001,MATCH(P$1&amp;"|"&amp;(ROW()-1),Registre!$AA$2:$AA$2001,0)),"")</f>
        <v/>
      </c>
      <c r="Q9">
        <f>IFERROR(INDEX(Registre!$B$2:$B$2001,MATCH(Q$1&amp;"|"&amp;(ROW()-1),Registre!$AA$2:$AA$2001,0)),"")</f>
        <v/>
      </c>
      <c r="R9">
        <f>IFERROR(INDEX(Registre!$B$2:$B$2001,MATCH(R$1&amp;"|"&amp;(ROW()-1),Registre!$AA$2:$AA$2001,0)),"")</f>
        <v/>
      </c>
      <c r="S9">
        <f>IFERROR(INDEX(Registre!$B$2:$B$2001,MATCH(S$1&amp;"|"&amp;(ROW()-1),Registre!$AA$2:$AA$2001,0)),"")</f>
        <v/>
      </c>
      <c r="T9">
        <f>IFERROR(INDEX(Registre!$B$2:$B$2001,MATCH(T$1&amp;"|"&amp;(ROW()-1),Registre!$AA$2:$AA$2001,0)),"")</f>
        <v/>
      </c>
      <c r="U9">
        <f>IFERROR(INDEX(Registre!$B$2:$B$2001,MATCH(U$1&amp;"|"&amp;(ROW()-1),Registre!$AA$2:$AA$2001,0)),"")</f>
        <v/>
      </c>
      <c r="V9">
        <f>IFERROR(INDEX(Registre!$B$2:$B$2001,MATCH(V$1&amp;"|"&amp;(ROW()-1),Registre!$AA$2:$AA$2001,0)),"")</f>
        <v/>
      </c>
    </row>
    <row r="10">
      <c r="O10">
        <f>IFERROR(INDEX(Registre!$B$2:$B$2001,MATCH(O$1&amp;"|"&amp;(ROW()-1),Registre!$AA$2:$AA$2001,0)),"")</f>
        <v/>
      </c>
      <c r="P10">
        <f>IFERROR(INDEX(Registre!$B$2:$B$2001,MATCH(P$1&amp;"|"&amp;(ROW()-1),Registre!$AA$2:$AA$2001,0)),"")</f>
        <v/>
      </c>
      <c r="Q10">
        <f>IFERROR(INDEX(Registre!$B$2:$B$2001,MATCH(Q$1&amp;"|"&amp;(ROW()-1),Registre!$AA$2:$AA$2001,0)),"")</f>
        <v/>
      </c>
      <c r="R10">
        <f>IFERROR(INDEX(Registre!$B$2:$B$2001,MATCH(R$1&amp;"|"&amp;(ROW()-1),Registre!$AA$2:$AA$2001,0)),"")</f>
        <v/>
      </c>
      <c r="S10">
        <f>IFERROR(INDEX(Registre!$B$2:$B$2001,MATCH(S$1&amp;"|"&amp;(ROW()-1),Registre!$AA$2:$AA$2001,0)),"")</f>
        <v/>
      </c>
      <c r="T10">
        <f>IFERROR(INDEX(Registre!$B$2:$B$2001,MATCH(T$1&amp;"|"&amp;(ROW()-1),Registre!$AA$2:$AA$2001,0)),"")</f>
        <v/>
      </c>
      <c r="U10">
        <f>IFERROR(INDEX(Registre!$B$2:$B$2001,MATCH(U$1&amp;"|"&amp;(ROW()-1),Registre!$AA$2:$AA$2001,0)),"")</f>
        <v/>
      </c>
      <c r="V10">
        <f>IFERROR(INDEX(Registre!$B$2:$B$2001,MATCH(V$1&amp;"|"&amp;(ROW()-1),Registre!$AA$2:$AA$2001,0)),"")</f>
        <v/>
      </c>
    </row>
    <row r="11">
      <c r="O11">
        <f>IFERROR(INDEX(Registre!$B$2:$B$2001,MATCH(O$1&amp;"|"&amp;(ROW()-1),Registre!$AA$2:$AA$2001,0)),"")</f>
        <v/>
      </c>
      <c r="P11">
        <f>IFERROR(INDEX(Registre!$B$2:$B$2001,MATCH(P$1&amp;"|"&amp;(ROW()-1),Registre!$AA$2:$AA$2001,0)),"")</f>
        <v/>
      </c>
      <c r="Q11">
        <f>IFERROR(INDEX(Registre!$B$2:$B$2001,MATCH(Q$1&amp;"|"&amp;(ROW()-1),Registre!$AA$2:$AA$2001,0)),"")</f>
        <v/>
      </c>
      <c r="R11">
        <f>IFERROR(INDEX(Registre!$B$2:$B$2001,MATCH(R$1&amp;"|"&amp;(ROW()-1),Registre!$AA$2:$AA$2001,0)),"")</f>
        <v/>
      </c>
      <c r="S11">
        <f>IFERROR(INDEX(Registre!$B$2:$B$2001,MATCH(S$1&amp;"|"&amp;(ROW()-1),Registre!$AA$2:$AA$2001,0)),"")</f>
        <v/>
      </c>
      <c r="T11">
        <f>IFERROR(INDEX(Registre!$B$2:$B$2001,MATCH(T$1&amp;"|"&amp;(ROW()-1),Registre!$AA$2:$AA$2001,0)),"")</f>
        <v/>
      </c>
      <c r="U11">
        <f>IFERROR(INDEX(Registre!$B$2:$B$2001,MATCH(U$1&amp;"|"&amp;(ROW()-1),Registre!$AA$2:$AA$2001,0)),"")</f>
        <v/>
      </c>
      <c r="V11">
        <f>IFERROR(INDEX(Registre!$B$2:$B$2001,MATCH(V$1&amp;"|"&amp;(ROW()-1),Registre!$AA$2:$AA$2001,0)),"")</f>
        <v/>
      </c>
    </row>
    <row r="12">
      <c r="O12">
        <f>IFERROR(INDEX(Registre!$B$2:$B$2001,MATCH(O$1&amp;"|"&amp;(ROW()-1),Registre!$AA$2:$AA$2001,0)),"")</f>
        <v/>
      </c>
      <c r="P12">
        <f>IFERROR(INDEX(Registre!$B$2:$B$2001,MATCH(P$1&amp;"|"&amp;(ROW()-1),Registre!$AA$2:$AA$2001,0)),"")</f>
        <v/>
      </c>
      <c r="Q12">
        <f>IFERROR(INDEX(Registre!$B$2:$B$2001,MATCH(Q$1&amp;"|"&amp;(ROW()-1),Registre!$AA$2:$AA$2001,0)),"")</f>
        <v/>
      </c>
      <c r="R12">
        <f>IFERROR(INDEX(Registre!$B$2:$B$2001,MATCH(R$1&amp;"|"&amp;(ROW()-1),Registre!$AA$2:$AA$2001,0)),"")</f>
        <v/>
      </c>
      <c r="S12">
        <f>IFERROR(INDEX(Registre!$B$2:$B$2001,MATCH(S$1&amp;"|"&amp;(ROW()-1),Registre!$AA$2:$AA$2001,0)),"")</f>
        <v/>
      </c>
      <c r="T12">
        <f>IFERROR(INDEX(Registre!$B$2:$B$2001,MATCH(T$1&amp;"|"&amp;(ROW()-1),Registre!$AA$2:$AA$2001,0)),"")</f>
        <v/>
      </c>
      <c r="U12">
        <f>IFERROR(INDEX(Registre!$B$2:$B$2001,MATCH(U$1&amp;"|"&amp;(ROW()-1),Registre!$AA$2:$AA$2001,0)),"")</f>
        <v/>
      </c>
      <c r="V12">
        <f>IFERROR(INDEX(Registre!$B$2:$B$2001,MATCH(V$1&amp;"|"&amp;(ROW()-1),Registre!$AA$2:$AA$2001,0)),"")</f>
        <v/>
      </c>
    </row>
    <row r="13">
      <c r="O13">
        <f>IFERROR(INDEX(Registre!$B$2:$B$2001,MATCH(O$1&amp;"|"&amp;(ROW()-1),Registre!$AA$2:$AA$2001,0)),"")</f>
        <v/>
      </c>
      <c r="P13">
        <f>IFERROR(INDEX(Registre!$B$2:$B$2001,MATCH(P$1&amp;"|"&amp;(ROW()-1),Registre!$AA$2:$AA$2001,0)),"")</f>
        <v/>
      </c>
      <c r="Q13">
        <f>IFERROR(INDEX(Registre!$B$2:$B$2001,MATCH(Q$1&amp;"|"&amp;(ROW()-1),Registre!$AA$2:$AA$2001,0)),"")</f>
        <v/>
      </c>
      <c r="R13">
        <f>IFERROR(INDEX(Registre!$B$2:$B$2001,MATCH(R$1&amp;"|"&amp;(ROW()-1),Registre!$AA$2:$AA$2001,0)),"")</f>
        <v/>
      </c>
      <c r="S13">
        <f>IFERROR(INDEX(Registre!$B$2:$B$2001,MATCH(S$1&amp;"|"&amp;(ROW()-1),Registre!$AA$2:$AA$2001,0)),"")</f>
        <v/>
      </c>
      <c r="T13">
        <f>IFERROR(INDEX(Registre!$B$2:$B$2001,MATCH(T$1&amp;"|"&amp;(ROW()-1),Registre!$AA$2:$AA$2001,0)),"")</f>
        <v/>
      </c>
      <c r="U13">
        <f>IFERROR(INDEX(Registre!$B$2:$B$2001,MATCH(U$1&amp;"|"&amp;(ROW()-1),Registre!$AA$2:$AA$2001,0)),"")</f>
        <v/>
      </c>
      <c r="V13">
        <f>IFERROR(INDEX(Registre!$B$2:$B$2001,MATCH(V$1&amp;"|"&amp;(ROW()-1),Registre!$AA$2:$AA$2001,0)),"")</f>
        <v/>
      </c>
    </row>
    <row r="14">
      <c r="O14">
        <f>IFERROR(INDEX(Registre!$B$2:$B$2001,MATCH(O$1&amp;"|"&amp;(ROW()-1),Registre!$AA$2:$AA$2001,0)),"")</f>
        <v/>
      </c>
      <c r="P14">
        <f>IFERROR(INDEX(Registre!$B$2:$B$2001,MATCH(P$1&amp;"|"&amp;(ROW()-1),Registre!$AA$2:$AA$2001,0)),"")</f>
        <v/>
      </c>
      <c r="Q14">
        <f>IFERROR(INDEX(Registre!$B$2:$B$2001,MATCH(Q$1&amp;"|"&amp;(ROW()-1),Registre!$AA$2:$AA$2001,0)),"")</f>
        <v/>
      </c>
      <c r="R14">
        <f>IFERROR(INDEX(Registre!$B$2:$B$2001,MATCH(R$1&amp;"|"&amp;(ROW()-1),Registre!$AA$2:$AA$2001,0)),"")</f>
        <v/>
      </c>
      <c r="S14">
        <f>IFERROR(INDEX(Registre!$B$2:$B$2001,MATCH(S$1&amp;"|"&amp;(ROW()-1),Registre!$AA$2:$AA$2001,0)),"")</f>
        <v/>
      </c>
      <c r="T14">
        <f>IFERROR(INDEX(Registre!$B$2:$B$2001,MATCH(T$1&amp;"|"&amp;(ROW()-1),Registre!$AA$2:$AA$2001,0)),"")</f>
        <v/>
      </c>
      <c r="U14">
        <f>IFERROR(INDEX(Registre!$B$2:$B$2001,MATCH(U$1&amp;"|"&amp;(ROW()-1),Registre!$AA$2:$AA$2001,0)),"")</f>
        <v/>
      </c>
      <c r="V14">
        <f>IFERROR(INDEX(Registre!$B$2:$B$2001,MATCH(V$1&amp;"|"&amp;(ROW()-1),Registre!$AA$2:$AA$2001,0)),"")</f>
        <v/>
      </c>
    </row>
    <row r="15">
      <c r="O15">
        <f>IFERROR(INDEX(Registre!$B$2:$B$2001,MATCH(O$1&amp;"|"&amp;(ROW()-1),Registre!$AA$2:$AA$2001,0)),"")</f>
        <v/>
      </c>
      <c r="P15">
        <f>IFERROR(INDEX(Registre!$B$2:$B$2001,MATCH(P$1&amp;"|"&amp;(ROW()-1),Registre!$AA$2:$AA$2001,0)),"")</f>
        <v/>
      </c>
      <c r="Q15">
        <f>IFERROR(INDEX(Registre!$B$2:$B$2001,MATCH(Q$1&amp;"|"&amp;(ROW()-1),Registre!$AA$2:$AA$2001,0)),"")</f>
        <v/>
      </c>
      <c r="R15">
        <f>IFERROR(INDEX(Registre!$B$2:$B$2001,MATCH(R$1&amp;"|"&amp;(ROW()-1),Registre!$AA$2:$AA$2001,0)),"")</f>
        <v/>
      </c>
      <c r="S15">
        <f>IFERROR(INDEX(Registre!$B$2:$B$2001,MATCH(S$1&amp;"|"&amp;(ROW()-1),Registre!$AA$2:$AA$2001,0)),"")</f>
        <v/>
      </c>
      <c r="T15">
        <f>IFERROR(INDEX(Registre!$B$2:$B$2001,MATCH(T$1&amp;"|"&amp;(ROW()-1),Registre!$AA$2:$AA$2001,0)),"")</f>
        <v/>
      </c>
      <c r="U15">
        <f>IFERROR(INDEX(Registre!$B$2:$B$2001,MATCH(U$1&amp;"|"&amp;(ROW()-1),Registre!$AA$2:$AA$2001,0)),"")</f>
        <v/>
      </c>
      <c r="V15">
        <f>IFERROR(INDEX(Registre!$B$2:$B$2001,MATCH(V$1&amp;"|"&amp;(ROW()-1),Registre!$AA$2:$AA$2001,0)),"")</f>
        <v/>
      </c>
    </row>
    <row r="16">
      <c r="O16">
        <f>IFERROR(INDEX(Registre!$B$2:$B$2001,MATCH(O$1&amp;"|"&amp;(ROW()-1),Registre!$AA$2:$AA$2001,0)),"")</f>
        <v/>
      </c>
      <c r="P16">
        <f>IFERROR(INDEX(Registre!$B$2:$B$2001,MATCH(P$1&amp;"|"&amp;(ROW()-1),Registre!$AA$2:$AA$2001,0)),"")</f>
        <v/>
      </c>
      <c r="Q16">
        <f>IFERROR(INDEX(Registre!$B$2:$B$2001,MATCH(Q$1&amp;"|"&amp;(ROW()-1),Registre!$AA$2:$AA$2001,0)),"")</f>
        <v/>
      </c>
      <c r="R16">
        <f>IFERROR(INDEX(Registre!$B$2:$B$2001,MATCH(R$1&amp;"|"&amp;(ROW()-1),Registre!$AA$2:$AA$2001,0)),"")</f>
        <v/>
      </c>
      <c r="S16">
        <f>IFERROR(INDEX(Registre!$B$2:$B$2001,MATCH(S$1&amp;"|"&amp;(ROW()-1),Registre!$AA$2:$AA$2001,0)),"")</f>
        <v/>
      </c>
      <c r="T16">
        <f>IFERROR(INDEX(Registre!$B$2:$B$2001,MATCH(T$1&amp;"|"&amp;(ROW()-1),Registre!$AA$2:$AA$2001,0)),"")</f>
        <v/>
      </c>
      <c r="U16">
        <f>IFERROR(INDEX(Registre!$B$2:$B$2001,MATCH(U$1&amp;"|"&amp;(ROW()-1),Registre!$AA$2:$AA$2001,0)),"")</f>
        <v/>
      </c>
      <c r="V16">
        <f>IFERROR(INDEX(Registre!$B$2:$B$2001,MATCH(V$1&amp;"|"&amp;(ROW()-1),Registre!$AA$2:$AA$2001,0)),"")</f>
        <v/>
      </c>
    </row>
    <row r="17">
      <c r="O17">
        <f>IFERROR(INDEX(Registre!$B$2:$B$2001,MATCH(O$1&amp;"|"&amp;(ROW()-1),Registre!$AA$2:$AA$2001,0)),"")</f>
        <v/>
      </c>
      <c r="P17">
        <f>IFERROR(INDEX(Registre!$B$2:$B$2001,MATCH(P$1&amp;"|"&amp;(ROW()-1),Registre!$AA$2:$AA$2001,0)),"")</f>
        <v/>
      </c>
      <c r="Q17">
        <f>IFERROR(INDEX(Registre!$B$2:$B$2001,MATCH(Q$1&amp;"|"&amp;(ROW()-1),Registre!$AA$2:$AA$2001,0)),"")</f>
        <v/>
      </c>
      <c r="R17">
        <f>IFERROR(INDEX(Registre!$B$2:$B$2001,MATCH(R$1&amp;"|"&amp;(ROW()-1),Registre!$AA$2:$AA$2001,0)),"")</f>
        <v/>
      </c>
      <c r="S17">
        <f>IFERROR(INDEX(Registre!$B$2:$B$2001,MATCH(S$1&amp;"|"&amp;(ROW()-1),Registre!$AA$2:$AA$2001,0)),"")</f>
        <v/>
      </c>
      <c r="T17">
        <f>IFERROR(INDEX(Registre!$B$2:$B$2001,MATCH(T$1&amp;"|"&amp;(ROW()-1),Registre!$AA$2:$AA$2001,0)),"")</f>
        <v/>
      </c>
      <c r="U17">
        <f>IFERROR(INDEX(Registre!$B$2:$B$2001,MATCH(U$1&amp;"|"&amp;(ROW()-1),Registre!$AA$2:$AA$2001,0)),"")</f>
        <v/>
      </c>
      <c r="V17">
        <f>IFERROR(INDEX(Registre!$B$2:$B$2001,MATCH(V$1&amp;"|"&amp;(ROW()-1),Registre!$AA$2:$AA$2001,0)),"")</f>
        <v/>
      </c>
    </row>
    <row r="18">
      <c r="O18">
        <f>IFERROR(INDEX(Registre!$B$2:$B$2001,MATCH(O$1&amp;"|"&amp;(ROW()-1),Registre!$AA$2:$AA$2001,0)),"")</f>
        <v/>
      </c>
      <c r="P18">
        <f>IFERROR(INDEX(Registre!$B$2:$B$2001,MATCH(P$1&amp;"|"&amp;(ROW()-1),Registre!$AA$2:$AA$2001,0)),"")</f>
        <v/>
      </c>
      <c r="Q18">
        <f>IFERROR(INDEX(Registre!$B$2:$B$2001,MATCH(Q$1&amp;"|"&amp;(ROW()-1),Registre!$AA$2:$AA$2001,0)),"")</f>
        <v/>
      </c>
      <c r="R18">
        <f>IFERROR(INDEX(Registre!$B$2:$B$2001,MATCH(R$1&amp;"|"&amp;(ROW()-1),Registre!$AA$2:$AA$2001,0)),"")</f>
        <v/>
      </c>
      <c r="S18">
        <f>IFERROR(INDEX(Registre!$B$2:$B$2001,MATCH(S$1&amp;"|"&amp;(ROW()-1),Registre!$AA$2:$AA$2001,0)),"")</f>
        <v/>
      </c>
      <c r="T18">
        <f>IFERROR(INDEX(Registre!$B$2:$B$2001,MATCH(T$1&amp;"|"&amp;(ROW()-1),Registre!$AA$2:$AA$2001,0)),"")</f>
        <v/>
      </c>
      <c r="U18">
        <f>IFERROR(INDEX(Registre!$B$2:$B$2001,MATCH(U$1&amp;"|"&amp;(ROW()-1),Registre!$AA$2:$AA$2001,0)),"")</f>
        <v/>
      </c>
      <c r="V18">
        <f>IFERROR(INDEX(Registre!$B$2:$B$2001,MATCH(V$1&amp;"|"&amp;(ROW()-1),Registre!$AA$2:$AA$2001,0)),"")</f>
        <v/>
      </c>
    </row>
    <row r="19">
      <c r="O19">
        <f>IFERROR(INDEX(Registre!$B$2:$B$2001,MATCH(O$1&amp;"|"&amp;(ROW()-1),Registre!$AA$2:$AA$2001,0)),"")</f>
        <v/>
      </c>
      <c r="P19">
        <f>IFERROR(INDEX(Registre!$B$2:$B$2001,MATCH(P$1&amp;"|"&amp;(ROW()-1),Registre!$AA$2:$AA$2001,0)),"")</f>
        <v/>
      </c>
      <c r="Q19">
        <f>IFERROR(INDEX(Registre!$B$2:$B$2001,MATCH(Q$1&amp;"|"&amp;(ROW()-1),Registre!$AA$2:$AA$2001,0)),"")</f>
        <v/>
      </c>
      <c r="R19">
        <f>IFERROR(INDEX(Registre!$B$2:$B$2001,MATCH(R$1&amp;"|"&amp;(ROW()-1),Registre!$AA$2:$AA$2001,0)),"")</f>
        <v/>
      </c>
      <c r="S19">
        <f>IFERROR(INDEX(Registre!$B$2:$B$2001,MATCH(S$1&amp;"|"&amp;(ROW()-1),Registre!$AA$2:$AA$2001,0)),"")</f>
        <v/>
      </c>
      <c r="T19">
        <f>IFERROR(INDEX(Registre!$B$2:$B$2001,MATCH(T$1&amp;"|"&amp;(ROW()-1),Registre!$AA$2:$AA$2001,0)),"")</f>
        <v/>
      </c>
      <c r="U19">
        <f>IFERROR(INDEX(Registre!$B$2:$B$2001,MATCH(U$1&amp;"|"&amp;(ROW()-1),Registre!$AA$2:$AA$2001,0)),"")</f>
        <v/>
      </c>
      <c r="V19">
        <f>IFERROR(INDEX(Registre!$B$2:$B$2001,MATCH(V$1&amp;"|"&amp;(ROW()-1),Registre!$AA$2:$AA$2001,0)),"")</f>
        <v/>
      </c>
    </row>
    <row r="20">
      <c r="O20">
        <f>IFERROR(INDEX(Registre!$B$2:$B$2001,MATCH(O$1&amp;"|"&amp;(ROW()-1),Registre!$AA$2:$AA$2001,0)),"")</f>
        <v/>
      </c>
      <c r="P20">
        <f>IFERROR(INDEX(Registre!$B$2:$B$2001,MATCH(P$1&amp;"|"&amp;(ROW()-1),Registre!$AA$2:$AA$2001,0)),"")</f>
        <v/>
      </c>
      <c r="Q20">
        <f>IFERROR(INDEX(Registre!$B$2:$B$2001,MATCH(Q$1&amp;"|"&amp;(ROW()-1),Registre!$AA$2:$AA$2001,0)),"")</f>
        <v/>
      </c>
      <c r="R20">
        <f>IFERROR(INDEX(Registre!$B$2:$B$2001,MATCH(R$1&amp;"|"&amp;(ROW()-1),Registre!$AA$2:$AA$2001,0)),"")</f>
        <v/>
      </c>
      <c r="S20">
        <f>IFERROR(INDEX(Registre!$B$2:$B$2001,MATCH(S$1&amp;"|"&amp;(ROW()-1),Registre!$AA$2:$AA$2001,0)),"")</f>
        <v/>
      </c>
      <c r="T20">
        <f>IFERROR(INDEX(Registre!$B$2:$B$2001,MATCH(T$1&amp;"|"&amp;(ROW()-1),Registre!$AA$2:$AA$2001,0)),"")</f>
        <v/>
      </c>
      <c r="U20">
        <f>IFERROR(INDEX(Registre!$B$2:$B$2001,MATCH(U$1&amp;"|"&amp;(ROW()-1),Registre!$AA$2:$AA$2001,0)),"")</f>
        <v/>
      </c>
      <c r="V20">
        <f>IFERROR(INDEX(Registre!$B$2:$B$2001,MATCH(V$1&amp;"|"&amp;(ROW()-1),Registre!$AA$2:$AA$2001,0)),"")</f>
        <v/>
      </c>
    </row>
    <row r="21">
      <c r="O21">
        <f>IFERROR(INDEX(Registre!$B$2:$B$2001,MATCH(O$1&amp;"|"&amp;(ROW()-1),Registre!$AA$2:$AA$2001,0)),"")</f>
        <v/>
      </c>
      <c r="P21">
        <f>IFERROR(INDEX(Registre!$B$2:$B$2001,MATCH(P$1&amp;"|"&amp;(ROW()-1),Registre!$AA$2:$AA$2001,0)),"")</f>
        <v/>
      </c>
      <c r="Q21">
        <f>IFERROR(INDEX(Registre!$B$2:$B$2001,MATCH(Q$1&amp;"|"&amp;(ROW()-1),Registre!$AA$2:$AA$2001,0)),"")</f>
        <v/>
      </c>
      <c r="R21">
        <f>IFERROR(INDEX(Registre!$B$2:$B$2001,MATCH(R$1&amp;"|"&amp;(ROW()-1),Registre!$AA$2:$AA$2001,0)),"")</f>
        <v/>
      </c>
      <c r="S21">
        <f>IFERROR(INDEX(Registre!$B$2:$B$2001,MATCH(S$1&amp;"|"&amp;(ROW()-1),Registre!$AA$2:$AA$2001,0)),"")</f>
        <v/>
      </c>
      <c r="T21">
        <f>IFERROR(INDEX(Registre!$B$2:$B$2001,MATCH(T$1&amp;"|"&amp;(ROW()-1),Registre!$AA$2:$AA$2001,0)),"")</f>
        <v/>
      </c>
      <c r="U21">
        <f>IFERROR(INDEX(Registre!$B$2:$B$2001,MATCH(U$1&amp;"|"&amp;(ROW()-1),Registre!$AA$2:$AA$2001,0)),"")</f>
        <v/>
      </c>
      <c r="V21">
        <f>IFERROR(INDEX(Registre!$B$2:$B$2001,MATCH(V$1&amp;"|"&amp;(ROW()-1),Registre!$AA$2:$AA$2001,0)),"")</f>
        <v/>
      </c>
    </row>
    <row r="22">
      <c r="O22">
        <f>IFERROR(INDEX(Registre!$B$2:$B$2001,MATCH(O$1&amp;"|"&amp;(ROW()-1),Registre!$AA$2:$AA$2001,0)),"")</f>
        <v/>
      </c>
      <c r="P22">
        <f>IFERROR(INDEX(Registre!$B$2:$B$2001,MATCH(P$1&amp;"|"&amp;(ROW()-1),Registre!$AA$2:$AA$2001,0)),"")</f>
        <v/>
      </c>
      <c r="Q22">
        <f>IFERROR(INDEX(Registre!$B$2:$B$2001,MATCH(Q$1&amp;"|"&amp;(ROW()-1),Registre!$AA$2:$AA$2001,0)),"")</f>
        <v/>
      </c>
      <c r="R22">
        <f>IFERROR(INDEX(Registre!$B$2:$B$2001,MATCH(R$1&amp;"|"&amp;(ROW()-1),Registre!$AA$2:$AA$2001,0)),"")</f>
        <v/>
      </c>
      <c r="S22">
        <f>IFERROR(INDEX(Registre!$B$2:$B$2001,MATCH(S$1&amp;"|"&amp;(ROW()-1),Registre!$AA$2:$AA$2001,0)),"")</f>
        <v/>
      </c>
      <c r="T22">
        <f>IFERROR(INDEX(Registre!$B$2:$B$2001,MATCH(T$1&amp;"|"&amp;(ROW()-1),Registre!$AA$2:$AA$2001,0)),"")</f>
        <v/>
      </c>
      <c r="U22">
        <f>IFERROR(INDEX(Registre!$B$2:$B$2001,MATCH(U$1&amp;"|"&amp;(ROW()-1),Registre!$AA$2:$AA$2001,0)),"")</f>
        <v/>
      </c>
      <c r="V22">
        <f>IFERROR(INDEX(Registre!$B$2:$B$2001,MATCH(V$1&amp;"|"&amp;(ROW()-1),Registre!$AA$2:$AA$2001,0)),"")</f>
        <v/>
      </c>
    </row>
    <row r="23">
      <c r="O23">
        <f>IFERROR(INDEX(Registre!$B$2:$B$2001,MATCH(O$1&amp;"|"&amp;(ROW()-1),Registre!$AA$2:$AA$2001,0)),"")</f>
        <v/>
      </c>
      <c r="P23">
        <f>IFERROR(INDEX(Registre!$B$2:$B$2001,MATCH(P$1&amp;"|"&amp;(ROW()-1),Registre!$AA$2:$AA$2001,0)),"")</f>
        <v/>
      </c>
      <c r="Q23">
        <f>IFERROR(INDEX(Registre!$B$2:$B$2001,MATCH(Q$1&amp;"|"&amp;(ROW()-1),Registre!$AA$2:$AA$2001,0)),"")</f>
        <v/>
      </c>
      <c r="R23">
        <f>IFERROR(INDEX(Registre!$B$2:$B$2001,MATCH(R$1&amp;"|"&amp;(ROW()-1),Registre!$AA$2:$AA$2001,0)),"")</f>
        <v/>
      </c>
      <c r="S23">
        <f>IFERROR(INDEX(Registre!$B$2:$B$2001,MATCH(S$1&amp;"|"&amp;(ROW()-1),Registre!$AA$2:$AA$2001,0)),"")</f>
        <v/>
      </c>
      <c r="T23">
        <f>IFERROR(INDEX(Registre!$B$2:$B$2001,MATCH(T$1&amp;"|"&amp;(ROW()-1),Registre!$AA$2:$AA$2001,0)),"")</f>
        <v/>
      </c>
      <c r="U23">
        <f>IFERROR(INDEX(Registre!$B$2:$B$2001,MATCH(U$1&amp;"|"&amp;(ROW()-1),Registre!$AA$2:$AA$2001,0)),"")</f>
        <v/>
      </c>
      <c r="V23">
        <f>IFERROR(INDEX(Registre!$B$2:$B$2001,MATCH(V$1&amp;"|"&amp;(ROW()-1),Registre!$AA$2:$AA$2001,0)),"")</f>
        <v/>
      </c>
    </row>
    <row r="24">
      <c r="O24">
        <f>IFERROR(INDEX(Registre!$B$2:$B$2001,MATCH(O$1&amp;"|"&amp;(ROW()-1),Registre!$AA$2:$AA$2001,0)),"")</f>
        <v/>
      </c>
      <c r="P24">
        <f>IFERROR(INDEX(Registre!$B$2:$B$2001,MATCH(P$1&amp;"|"&amp;(ROW()-1),Registre!$AA$2:$AA$2001,0)),"")</f>
        <v/>
      </c>
      <c r="Q24">
        <f>IFERROR(INDEX(Registre!$B$2:$B$2001,MATCH(Q$1&amp;"|"&amp;(ROW()-1),Registre!$AA$2:$AA$2001,0)),"")</f>
        <v/>
      </c>
      <c r="R24">
        <f>IFERROR(INDEX(Registre!$B$2:$B$2001,MATCH(R$1&amp;"|"&amp;(ROW()-1),Registre!$AA$2:$AA$2001,0)),"")</f>
        <v/>
      </c>
      <c r="S24">
        <f>IFERROR(INDEX(Registre!$B$2:$B$2001,MATCH(S$1&amp;"|"&amp;(ROW()-1),Registre!$AA$2:$AA$2001,0)),"")</f>
        <v/>
      </c>
      <c r="T24">
        <f>IFERROR(INDEX(Registre!$B$2:$B$2001,MATCH(T$1&amp;"|"&amp;(ROW()-1),Registre!$AA$2:$AA$2001,0)),"")</f>
        <v/>
      </c>
      <c r="U24">
        <f>IFERROR(INDEX(Registre!$B$2:$B$2001,MATCH(U$1&amp;"|"&amp;(ROW()-1),Registre!$AA$2:$AA$2001,0)),"")</f>
        <v/>
      </c>
      <c r="V24">
        <f>IFERROR(INDEX(Registre!$B$2:$B$2001,MATCH(V$1&amp;"|"&amp;(ROW()-1),Registre!$AA$2:$AA$2001,0)),"")</f>
        <v/>
      </c>
    </row>
    <row r="25">
      <c r="O25">
        <f>IFERROR(INDEX(Registre!$B$2:$B$2001,MATCH(O$1&amp;"|"&amp;(ROW()-1),Registre!$AA$2:$AA$2001,0)),"")</f>
        <v/>
      </c>
      <c r="P25">
        <f>IFERROR(INDEX(Registre!$B$2:$B$2001,MATCH(P$1&amp;"|"&amp;(ROW()-1),Registre!$AA$2:$AA$2001,0)),"")</f>
        <v/>
      </c>
      <c r="Q25">
        <f>IFERROR(INDEX(Registre!$B$2:$B$2001,MATCH(Q$1&amp;"|"&amp;(ROW()-1),Registre!$AA$2:$AA$2001,0)),"")</f>
        <v/>
      </c>
      <c r="R25">
        <f>IFERROR(INDEX(Registre!$B$2:$B$2001,MATCH(R$1&amp;"|"&amp;(ROW()-1),Registre!$AA$2:$AA$2001,0)),"")</f>
        <v/>
      </c>
      <c r="S25">
        <f>IFERROR(INDEX(Registre!$B$2:$B$2001,MATCH(S$1&amp;"|"&amp;(ROW()-1),Registre!$AA$2:$AA$2001,0)),"")</f>
        <v/>
      </c>
      <c r="T25">
        <f>IFERROR(INDEX(Registre!$B$2:$B$2001,MATCH(T$1&amp;"|"&amp;(ROW()-1),Registre!$AA$2:$AA$2001,0)),"")</f>
        <v/>
      </c>
      <c r="U25">
        <f>IFERROR(INDEX(Registre!$B$2:$B$2001,MATCH(U$1&amp;"|"&amp;(ROW()-1),Registre!$AA$2:$AA$2001,0)),"")</f>
        <v/>
      </c>
      <c r="V25">
        <f>IFERROR(INDEX(Registre!$B$2:$B$2001,MATCH(V$1&amp;"|"&amp;(ROW()-1),Registre!$AA$2:$AA$2001,0)),"")</f>
        <v/>
      </c>
    </row>
    <row r="26">
      <c r="O26">
        <f>IFERROR(INDEX(Registre!$B$2:$B$2001,MATCH(O$1&amp;"|"&amp;(ROW()-1),Registre!$AA$2:$AA$2001,0)),"")</f>
        <v/>
      </c>
      <c r="P26">
        <f>IFERROR(INDEX(Registre!$B$2:$B$2001,MATCH(P$1&amp;"|"&amp;(ROW()-1),Registre!$AA$2:$AA$2001,0)),"")</f>
        <v/>
      </c>
      <c r="Q26">
        <f>IFERROR(INDEX(Registre!$B$2:$B$2001,MATCH(Q$1&amp;"|"&amp;(ROW()-1),Registre!$AA$2:$AA$2001,0)),"")</f>
        <v/>
      </c>
      <c r="R26">
        <f>IFERROR(INDEX(Registre!$B$2:$B$2001,MATCH(R$1&amp;"|"&amp;(ROW()-1),Registre!$AA$2:$AA$2001,0)),"")</f>
        <v/>
      </c>
      <c r="S26">
        <f>IFERROR(INDEX(Registre!$B$2:$B$2001,MATCH(S$1&amp;"|"&amp;(ROW()-1),Registre!$AA$2:$AA$2001,0)),"")</f>
        <v/>
      </c>
      <c r="T26">
        <f>IFERROR(INDEX(Registre!$B$2:$B$2001,MATCH(T$1&amp;"|"&amp;(ROW()-1),Registre!$AA$2:$AA$2001,0)),"")</f>
        <v/>
      </c>
      <c r="U26">
        <f>IFERROR(INDEX(Registre!$B$2:$B$2001,MATCH(U$1&amp;"|"&amp;(ROW()-1),Registre!$AA$2:$AA$2001,0)),"")</f>
        <v/>
      </c>
      <c r="V26">
        <f>IFERROR(INDEX(Registre!$B$2:$B$2001,MATCH(V$1&amp;"|"&amp;(ROW()-1),Registre!$AA$2:$AA$2001,0)),"")</f>
        <v/>
      </c>
    </row>
    <row r="27">
      <c r="O27">
        <f>IFERROR(INDEX(Registre!$B$2:$B$2001,MATCH(O$1&amp;"|"&amp;(ROW()-1),Registre!$AA$2:$AA$2001,0)),"")</f>
        <v/>
      </c>
      <c r="P27">
        <f>IFERROR(INDEX(Registre!$B$2:$B$2001,MATCH(P$1&amp;"|"&amp;(ROW()-1),Registre!$AA$2:$AA$2001,0)),"")</f>
        <v/>
      </c>
      <c r="Q27">
        <f>IFERROR(INDEX(Registre!$B$2:$B$2001,MATCH(Q$1&amp;"|"&amp;(ROW()-1),Registre!$AA$2:$AA$2001,0)),"")</f>
        <v/>
      </c>
      <c r="R27">
        <f>IFERROR(INDEX(Registre!$B$2:$B$2001,MATCH(R$1&amp;"|"&amp;(ROW()-1),Registre!$AA$2:$AA$2001,0)),"")</f>
        <v/>
      </c>
      <c r="S27">
        <f>IFERROR(INDEX(Registre!$B$2:$B$2001,MATCH(S$1&amp;"|"&amp;(ROW()-1),Registre!$AA$2:$AA$2001,0)),"")</f>
        <v/>
      </c>
      <c r="T27">
        <f>IFERROR(INDEX(Registre!$B$2:$B$2001,MATCH(T$1&amp;"|"&amp;(ROW()-1),Registre!$AA$2:$AA$2001,0)),"")</f>
        <v/>
      </c>
      <c r="U27">
        <f>IFERROR(INDEX(Registre!$B$2:$B$2001,MATCH(U$1&amp;"|"&amp;(ROW()-1),Registre!$AA$2:$AA$2001,0)),"")</f>
        <v/>
      </c>
      <c r="V27">
        <f>IFERROR(INDEX(Registre!$B$2:$B$2001,MATCH(V$1&amp;"|"&amp;(ROW()-1),Registre!$AA$2:$AA$2001,0)),"")</f>
        <v/>
      </c>
    </row>
    <row r="28">
      <c r="O28">
        <f>IFERROR(INDEX(Registre!$B$2:$B$2001,MATCH(O$1&amp;"|"&amp;(ROW()-1),Registre!$AA$2:$AA$2001,0)),"")</f>
        <v/>
      </c>
      <c r="P28">
        <f>IFERROR(INDEX(Registre!$B$2:$B$2001,MATCH(P$1&amp;"|"&amp;(ROW()-1),Registre!$AA$2:$AA$2001,0)),"")</f>
        <v/>
      </c>
      <c r="Q28">
        <f>IFERROR(INDEX(Registre!$B$2:$B$2001,MATCH(Q$1&amp;"|"&amp;(ROW()-1),Registre!$AA$2:$AA$2001,0)),"")</f>
        <v/>
      </c>
      <c r="R28">
        <f>IFERROR(INDEX(Registre!$B$2:$B$2001,MATCH(R$1&amp;"|"&amp;(ROW()-1),Registre!$AA$2:$AA$2001,0)),"")</f>
        <v/>
      </c>
      <c r="S28">
        <f>IFERROR(INDEX(Registre!$B$2:$B$2001,MATCH(S$1&amp;"|"&amp;(ROW()-1),Registre!$AA$2:$AA$2001,0)),"")</f>
        <v/>
      </c>
      <c r="T28">
        <f>IFERROR(INDEX(Registre!$B$2:$B$2001,MATCH(T$1&amp;"|"&amp;(ROW()-1),Registre!$AA$2:$AA$2001,0)),"")</f>
        <v/>
      </c>
      <c r="U28">
        <f>IFERROR(INDEX(Registre!$B$2:$B$2001,MATCH(U$1&amp;"|"&amp;(ROW()-1),Registre!$AA$2:$AA$2001,0)),"")</f>
        <v/>
      </c>
      <c r="V28">
        <f>IFERROR(INDEX(Registre!$B$2:$B$2001,MATCH(V$1&amp;"|"&amp;(ROW()-1),Registre!$AA$2:$AA$2001,0)),"")</f>
        <v/>
      </c>
    </row>
    <row r="29">
      <c r="O29">
        <f>IFERROR(INDEX(Registre!$B$2:$B$2001,MATCH(O$1&amp;"|"&amp;(ROW()-1),Registre!$AA$2:$AA$2001,0)),"")</f>
        <v/>
      </c>
      <c r="P29">
        <f>IFERROR(INDEX(Registre!$B$2:$B$2001,MATCH(P$1&amp;"|"&amp;(ROW()-1),Registre!$AA$2:$AA$2001,0)),"")</f>
        <v/>
      </c>
      <c r="Q29">
        <f>IFERROR(INDEX(Registre!$B$2:$B$2001,MATCH(Q$1&amp;"|"&amp;(ROW()-1),Registre!$AA$2:$AA$2001,0)),"")</f>
        <v/>
      </c>
      <c r="R29">
        <f>IFERROR(INDEX(Registre!$B$2:$B$2001,MATCH(R$1&amp;"|"&amp;(ROW()-1),Registre!$AA$2:$AA$2001,0)),"")</f>
        <v/>
      </c>
      <c r="S29">
        <f>IFERROR(INDEX(Registre!$B$2:$B$2001,MATCH(S$1&amp;"|"&amp;(ROW()-1),Registre!$AA$2:$AA$2001,0)),"")</f>
        <v/>
      </c>
      <c r="T29">
        <f>IFERROR(INDEX(Registre!$B$2:$B$2001,MATCH(T$1&amp;"|"&amp;(ROW()-1),Registre!$AA$2:$AA$2001,0)),"")</f>
        <v/>
      </c>
      <c r="U29">
        <f>IFERROR(INDEX(Registre!$B$2:$B$2001,MATCH(U$1&amp;"|"&amp;(ROW()-1),Registre!$AA$2:$AA$2001,0)),"")</f>
        <v/>
      </c>
      <c r="V29">
        <f>IFERROR(INDEX(Registre!$B$2:$B$2001,MATCH(V$1&amp;"|"&amp;(ROW()-1),Registre!$AA$2:$AA$2001,0)),"")</f>
        <v/>
      </c>
    </row>
    <row r="30">
      <c r="O30">
        <f>IFERROR(INDEX(Registre!$B$2:$B$2001,MATCH(O$1&amp;"|"&amp;(ROW()-1),Registre!$AA$2:$AA$2001,0)),"")</f>
        <v/>
      </c>
      <c r="P30">
        <f>IFERROR(INDEX(Registre!$B$2:$B$2001,MATCH(P$1&amp;"|"&amp;(ROW()-1),Registre!$AA$2:$AA$2001,0)),"")</f>
        <v/>
      </c>
      <c r="Q30">
        <f>IFERROR(INDEX(Registre!$B$2:$B$2001,MATCH(Q$1&amp;"|"&amp;(ROW()-1),Registre!$AA$2:$AA$2001,0)),"")</f>
        <v/>
      </c>
      <c r="R30">
        <f>IFERROR(INDEX(Registre!$B$2:$B$2001,MATCH(R$1&amp;"|"&amp;(ROW()-1),Registre!$AA$2:$AA$2001,0)),"")</f>
        <v/>
      </c>
      <c r="S30">
        <f>IFERROR(INDEX(Registre!$B$2:$B$2001,MATCH(S$1&amp;"|"&amp;(ROW()-1),Registre!$AA$2:$AA$2001,0)),"")</f>
        <v/>
      </c>
      <c r="T30">
        <f>IFERROR(INDEX(Registre!$B$2:$B$2001,MATCH(T$1&amp;"|"&amp;(ROW()-1),Registre!$AA$2:$AA$2001,0)),"")</f>
        <v/>
      </c>
      <c r="U30">
        <f>IFERROR(INDEX(Registre!$B$2:$B$2001,MATCH(U$1&amp;"|"&amp;(ROW()-1),Registre!$AA$2:$AA$2001,0)),"")</f>
        <v/>
      </c>
      <c r="V30">
        <f>IFERROR(INDEX(Registre!$B$2:$B$2001,MATCH(V$1&amp;"|"&amp;(ROW()-1),Registre!$AA$2:$AA$2001,0)),"")</f>
        <v/>
      </c>
    </row>
    <row r="31">
      <c r="O31">
        <f>IFERROR(INDEX(Registre!$B$2:$B$2001,MATCH(O$1&amp;"|"&amp;(ROW()-1),Registre!$AA$2:$AA$2001,0)),"")</f>
        <v/>
      </c>
      <c r="P31">
        <f>IFERROR(INDEX(Registre!$B$2:$B$2001,MATCH(P$1&amp;"|"&amp;(ROW()-1),Registre!$AA$2:$AA$2001,0)),"")</f>
        <v/>
      </c>
      <c r="Q31">
        <f>IFERROR(INDEX(Registre!$B$2:$B$2001,MATCH(Q$1&amp;"|"&amp;(ROW()-1),Registre!$AA$2:$AA$2001,0)),"")</f>
        <v/>
      </c>
      <c r="R31">
        <f>IFERROR(INDEX(Registre!$B$2:$B$2001,MATCH(R$1&amp;"|"&amp;(ROW()-1),Registre!$AA$2:$AA$2001,0)),"")</f>
        <v/>
      </c>
      <c r="S31">
        <f>IFERROR(INDEX(Registre!$B$2:$B$2001,MATCH(S$1&amp;"|"&amp;(ROW()-1),Registre!$AA$2:$AA$2001,0)),"")</f>
        <v/>
      </c>
      <c r="T31">
        <f>IFERROR(INDEX(Registre!$B$2:$B$2001,MATCH(T$1&amp;"|"&amp;(ROW()-1),Registre!$AA$2:$AA$2001,0)),"")</f>
        <v/>
      </c>
      <c r="U31">
        <f>IFERROR(INDEX(Registre!$B$2:$B$2001,MATCH(U$1&amp;"|"&amp;(ROW()-1),Registre!$AA$2:$AA$2001,0)),"")</f>
        <v/>
      </c>
      <c r="V31">
        <f>IFERROR(INDEX(Registre!$B$2:$B$2001,MATCH(V$1&amp;"|"&amp;(ROW()-1),Registre!$AA$2:$AA$2001,0)),"")</f>
        <v/>
      </c>
    </row>
    <row r="32">
      <c r="O32">
        <f>IFERROR(INDEX(Registre!$B$2:$B$2001,MATCH(O$1&amp;"|"&amp;(ROW()-1),Registre!$AA$2:$AA$2001,0)),"")</f>
        <v/>
      </c>
      <c r="P32">
        <f>IFERROR(INDEX(Registre!$B$2:$B$2001,MATCH(P$1&amp;"|"&amp;(ROW()-1),Registre!$AA$2:$AA$2001,0)),"")</f>
        <v/>
      </c>
      <c r="Q32">
        <f>IFERROR(INDEX(Registre!$B$2:$B$2001,MATCH(Q$1&amp;"|"&amp;(ROW()-1),Registre!$AA$2:$AA$2001,0)),"")</f>
        <v/>
      </c>
      <c r="R32">
        <f>IFERROR(INDEX(Registre!$B$2:$B$2001,MATCH(R$1&amp;"|"&amp;(ROW()-1),Registre!$AA$2:$AA$2001,0)),"")</f>
        <v/>
      </c>
      <c r="S32">
        <f>IFERROR(INDEX(Registre!$B$2:$B$2001,MATCH(S$1&amp;"|"&amp;(ROW()-1),Registre!$AA$2:$AA$2001,0)),"")</f>
        <v/>
      </c>
      <c r="T32">
        <f>IFERROR(INDEX(Registre!$B$2:$B$2001,MATCH(T$1&amp;"|"&amp;(ROW()-1),Registre!$AA$2:$AA$2001,0)),"")</f>
        <v/>
      </c>
      <c r="U32">
        <f>IFERROR(INDEX(Registre!$B$2:$B$2001,MATCH(U$1&amp;"|"&amp;(ROW()-1),Registre!$AA$2:$AA$2001,0)),"")</f>
        <v/>
      </c>
      <c r="V32">
        <f>IFERROR(INDEX(Registre!$B$2:$B$2001,MATCH(V$1&amp;"|"&amp;(ROW()-1),Registre!$AA$2:$AA$2001,0)),"")</f>
        <v/>
      </c>
    </row>
    <row r="33">
      <c r="O33">
        <f>IFERROR(INDEX(Registre!$B$2:$B$2001,MATCH(O$1&amp;"|"&amp;(ROW()-1),Registre!$AA$2:$AA$2001,0)),"")</f>
        <v/>
      </c>
      <c r="P33">
        <f>IFERROR(INDEX(Registre!$B$2:$B$2001,MATCH(P$1&amp;"|"&amp;(ROW()-1),Registre!$AA$2:$AA$2001,0)),"")</f>
        <v/>
      </c>
      <c r="Q33">
        <f>IFERROR(INDEX(Registre!$B$2:$B$2001,MATCH(Q$1&amp;"|"&amp;(ROW()-1),Registre!$AA$2:$AA$2001,0)),"")</f>
        <v/>
      </c>
      <c r="R33">
        <f>IFERROR(INDEX(Registre!$B$2:$B$2001,MATCH(R$1&amp;"|"&amp;(ROW()-1),Registre!$AA$2:$AA$2001,0)),"")</f>
        <v/>
      </c>
      <c r="S33">
        <f>IFERROR(INDEX(Registre!$B$2:$B$2001,MATCH(S$1&amp;"|"&amp;(ROW()-1),Registre!$AA$2:$AA$2001,0)),"")</f>
        <v/>
      </c>
      <c r="T33">
        <f>IFERROR(INDEX(Registre!$B$2:$B$2001,MATCH(T$1&amp;"|"&amp;(ROW()-1),Registre!$AA$2:$AA$2001,0)),"")</f>
        <v/>
      </c>
      <c r="U33">
        <f>IFERROR(INDEX(Registre!$B$2:$B$2001,MATCH(U$1&amp;"|"&amp;(ROW()-1),Registre!$AA$2:$AA$2001,0)),"")</f>
        <v/>
      </c>
      <c r="V33">
        <f>IFERROR(INDEX(Registre!$B$2:$B$2001,MATCH(V$1&amp;"|"&amp;(ROW()-1),Registre!$AA$2:$AA$2001,0)),"")</f>
        <v/>
      </c>
    </row>
    <row r="34">
      <c r="O34">
        <f>IFERROR(INDEX(Registre!$B$2:$B$2001,MATCH(O$1&amp;"|"&amp;(ROW()-1),Registre!$AA$2:$AA$2001,0)),"")</f>
        <v/>
      </c>
      <c r="P34">
        <f>IFERROR(INDEX(Registre!$B$2:$B$2001,MATCH(P$1&amp;"|"&amp;(ROW()-1),Registre!$AA$2:$AA$2001,0)),"")</f>
        <v/>
      </c>
      <c r="Q34">
        <f>IFERROR(INDEX(Registre!$B$2:$B$2001,MATCH(Q$1&amp;"|"&amp;(ROW()-1),Registre!$AA$2:$AA$2001,0)),"")</f>
        <v/>
      </c>
      <c r="R34">
        <f>IFERROR(INDEX(Registre!$B$2:$B$2001,MATCH(R$1&amp;"|"&amp;(ROW()-1),Registre!$AA$2:$AA$2001,0)),"")</f>
        <v/>
      </c>
      <c r="S34">
        <f>IFERROR(INDEX(Registre!$B$2:$B$2001,MATCH(S$1&amp;"|"&amp;(ROW()-1),Registre!$AA$2:$AA$2001,0)),"")</f>
        <v/>
      </c>
      <c r="T34">
        <f>IFERROR(INDEX(Registre!$B$2:$B$2001,MATCH(T$1&amp;"|"&amp;(ROW()-1),Registre!$AA$2:$AA$2001,0)),"")</f>
        <v/>
      </c>
      <c r="U34">
        <f>IFERROR(INDEX(Registre!$B$2:$B$2001,MATCH(U$1&amp;"|"&amp;(ROW()-1),Registre!$AA$2:$AA$2001,0)),"")</f>
        <v/>
      </c>
      <c r="V34">
        <f>IFERROR(INDEX(Registre!$B$2:$B$2001,MATCH(V$1&amp;"|"&amp;(ROW()-1),Registre!$AA$2:$AA$2001,0)),"")</f>
        <v/>
      </c>
    </row>
    <row r="35">
      <c r="O35">
        <f>IFERROR(INDEX(Registre!$B$2:$B$2001,MATCH(O$1&amp;"|"&amp;(ROW()-1),Registre!$AA$2:$AA$2001,0)),"")</f>
        <v/>
      </c>
      <c r="P35">
        <f>IFERROR(INDEX(Registre!$B$2:$B$2001,MATCH(P$1&amp;"|"&amp;(ROW()-1),Registre!$AA$2:$AA$2001,0)),"")</f>
        <v/>
      </c>
      <c r="Q35">
        <f>IFERROR(INDEX(Registre!$B$2:$B$2001,MATCH(Q$1&amp;"|"&amp;(ROW()-1),Registre!$AA$2:$AA$2001,0)),"")</f>
        <v/>
      </c>
      <c r="R35">
        <f>IFERROR(INDEX(Registre!$B$2:$B$2001,MATCH(R$1&amp;"|"&amp;(ROW()-1),Registre!$AA$2:$AA$2001,0)),"")</f>
        <v/>
      </c>
      <c r="S35">
        <f>IFERROR(INDEX(Registre!$B$2:$B$2001,MATCH(S$1&amp;"|"&amp;(ROW()-1),Registre!$AA$2:$AA$2001,0)),"")</f>
        <v/>
      </c>
      <c r="T35">
        <f>IFERROR(INDEX(Registre!$B$2:$B$2001,MATCH(T$1&amp;"|"&amp;(ROW()-1),Registre!$AA$2:$AA$2001,0)),"")</f>
        <v/>
      </c>
      <c r="U35">
        <f>IFERROR(INDEX(Registre!$B$2:$B$2001,MATCH(U$1&amp;"|"&amp;(ROW()-1),Registre!$AA$2:$AA$2001,0)),"")</f>
        <v/>
      </c>
      <c r="V35">
        <f>IFERROR(INDEX(Registre!$B$2:$B$2001,MATCH(V$1&amp;"|"&amp;(ROW()-1),Registre!$AA$2:$AA$2001,0)),"")</f>
        <v/>
      </c>
    </row>
    <row r="36">
      <c r="O36">
        <f>IFERROR(INDEX(Registre!$B$2:$B$2001,MATCH(O$1&amp;"|"&amp;(ROW()-1),Registre!$AA$2:$AA$2001,0)),"")</f>
        <v/>
      </c>
      <c r="P36">
        <f>IFERROR(INDEX(Registre!$B$2:$B$2001,MATCH(P$1&amp;"|"&amp;(ROW()-1),Registre!$AA$2:$AA$2001,0)),"")</f>
        <v/>
      </c>
      <c r="Q36">
        <f>IFERROR(INDEX(Registre!$B$2:$B$2001,MATCH(Q$1&amp;"|"&amp;(ROW()-1),Registre!$AA$2:$AA$2001,0)),"")</f>
        <v/>
      </c>
      <c r="R36">
        <f>IFERROR(INDEX(Registre!$B$2:$B$2001,MATCH(R$1&amp;"|"&amp;(ROW()-1),Registre!$AA$2:$AA$2001,0)),"")</f>
        <v/>
      </c>
      <c r="S36">
        <f>IFERROR(INDEX(Registre!$B$2:$B$2001,MATCH(S$1&amp;"|"&amp;(ROW()-1),Registre!$AA$2:$AA$2001,0)),"")</f>
        <v/>
      </c>
      <c r="T36">
        <f>IFERROR(INDEX(Registre!$B$2:$B$2001,MATCH(T$1&amp;"|"&amp;(ROW()-1),Registre!$AA$2:$AA$2001,0)),"")</f>
        <v/>
      </c>
      <c r="U36">
        <f>IFERROR(INDEX(Registre!$B$2:$B$2001,MATCH(U$1&amp;"|"&amp;(ROW()-1),Registre!$AA$2:$AA$2001,0)),"")</f>
        <v/>
      </c>
      <c r="V36">
        <f>IFERROR(INDEX(Registre!$B$2:$B$2001,MATCH(V$1&amp;"|"&amp;(ROW()-1),Registre!$AA$2:$AA$2001,0)),"")</f>
        <v/>
      </c>
    </row>
    <row r="37">
      <c r="O37">
        <f>IFERROR(INDEX(Registre!$B$2:$B$2001,MATCH(O$1&amp;"|"&amp;(ROW()-1),Registre!$AA$2:$AA$2001,0)),"")</f>
        <v/>
      </c>
      <c r="P37">
        <f>IFERROR(INDEX(Registre!$B$2:$B$2001,MATCH(P$1&amp;"|"&amp;(ROW()-1),Registre!$AA$2:$AA$2001,0)),"")</f>
        <v/>
      </c>
      <c r="Q37">
        <f>IFERROR(INDEX(Registre!$B$2:$B$2001,MATCH(Q$1&amp;"|"&amp;(ROW()-1),Registre!$AA$2:$AA$2001,0)),"")</f>
        <v/>
      </c>
      <c r="R37">
        <f>IFERROR(INDEX(Registre!$B$2:$B$2001,MATCH(R$1&amp;"|"&amp;(ROW()-1),Registre!$AA$2:$AA$2001,0)),"")</f>
        <v/>
      </c>
      <c r="S37">
        <f>IFERROR(INDEX(Registre!$B$2:$B$2001,MATCH(S$1&amp;"|"&amp;(ROW()-1),Registre!$AA$2:$AA$2001,0)),"")</f>
        <v/>
      </c>
      <c r="T37">
        <f>IFERROR(INDEX(Registre!$B$2:$B$2001,MATCH(T$1&amp;"|"&amp;(ROW()-1),Registre!$AA$2:$AA$2001,0)),"")</f>
        <v/>
      </c>
      <c r="U37">
        <f>IFERROR(INDEX(Registre!$B$2:$B$2001,MATCH(U$1&amp;"|"&amp;(ROW()-1),Registre!$AA$2:$AA$2001,0)),"")</f>
        <v/>
      </c>
      <c r="V37">
        <f>IFERROR(INDEX(Registre!$B$2:$B$2001,MATCH(V$1&amp;"|"&amp;(ROW()-1),Registre!$AA$2:$AA$2001,0)),"")</f>
        <v/>
      </c>
    </row>
    <row r="38">
      <c r="O38">
        <f>IFERROR(INDEX(Registre!$B$2:$B$2001,MATCH(O$1&amp;"|"&amp;(ROW()-1),Registre!$AA$2:$AA$2001,0)),"")</f>
        <v/>
      </c>
      <c r="P38">
        <f>IFERROR(INDEX(Registre!$B$2:$B$2001,MATCH(P$1&amp;"|"&amp;(ROW()-1),Registre!$AA$2:$AA$2001,0)),"")</f>
        <v/>
      </c>
      <c r="Q38">
        <f>IFERROR(INDEX(Registre!$B$2:$B$2001,MATCH(Q$1&amp;"|"&amp;(ROW()-1),Registre!$AA$2:$AA$2001,0)),"")</f>
        <v/>
      </c>
      <c r="R38">
        <f>IFERROR(INDEX(Registre!$B$2:$B$2001,MATCH(R$1&amp;"|"&amp;(ROW()-1),Registre!$AA$2:$AA$2001,0)),"")</f>
        <v/>
      </c>
      <c r="S38">
        <f>IFERROR(INDEX(Registre!$B$2:$B$2001,MATCH(S$1&amp;"|"&amp;(ROW()-1),Registre!$AA$2:$AA$2001,0)),"")</f>
        <v/>
      </c>
      <c r="T38">
        <f>IFERROR(INDEX(Registre!$B$2:$B$2001,MATCH(T$1&amp;"|"&amp;(ROW()-1),Registre!$AA$2:$AA$2001,0)),"")</f>
        <v/>
      </c>
      <c r="U38">
        <f>IFERROR(INDEX(Registre!$B$2:$B$2001,MATCH(U$1&amp;"|"&amp;(ROW()-1),Registre!$AA$2:$AA$2001,0)),"")</f>
        <v/>
      </c>
      <c r="V38">
        <f>IFERROR(INDEX(Registre!$B$2:$B$2001,MATCH(V$1&amp;"|"&amp;(ROW()-1),Registre!$AA$2:$AA$2001,0)),"")</f>
        <v/>
      </c>
    </row>
    <row r="39">
      <c r="O39">
        <f>IFERROR(INDEX(Registre!$B$2:$B$2001,MATCH(O$1&amp;"|"&amp;(ROW()-1),Registre!$AA$2:$AA$2001,0)),"")</f>
        <v/>
      </c>
      <c r="P39">
        <f>IFERROR(INDEX(Registre!$B$2:$B$2001,MATCH(P$1&amp;"|"&amp;(ROW()-1),Registre!$AA$2:$AA$2001,0)),"")</f>
        <v/>
      </c>
      <c r="Q39">
        <f>IFERROR(INDEX(Registre!$B$2:$B$2001,MATCH(Q$1&amp;"|"&amp;(ROW()-1),Registre!$AA$2:$AA$2001,0)),"")</f>
        <v/>
      </c>
      <c r="R39">
        <f>IFERROR(INDEX(Registre!$B$2:$B$2001,MATCH(R$1&amp;"|"&amp;(ROW()-1),Registre!$AA$2:$AA$2001,0)),"")</f>
        <v/>
      </c>
      <c r="S39">
        <f>IFERROR(INDEX(Registre!$B$2:$B$2001,MATCH(S$1&amp;"|"&amp;(ROW()-1),Registre!$AA$2:$AA$2001,0)),"")</f>
        <v/>
      </c>
      <c r="T39">
        <f>IFERROR(INDEX(Registre!$B$2:$B$2001,MATCH(T$1&amp;"|"&amp;(ROW()-1),Registre!$AA$2:$AA$2001,0)),"")</f>
        <v/>
      </c>
      <c r="U39">
        <f>IFERROR(INDEX(Registre!$B$2:$B$2001,MATCH(U$1&amp;"|"&amp;(ROW()-1),Registre!$AA$2:$AA$2001,0)),"")</f>
        <v/>
      </c>
      <c r="V39">
        <f>IFERROR(INDEX(Registre!$B$2:$B$2001,MATCH(V$1&amp;"|"&amp;(ROW()-1),Registre!$AA$2:$AA$2001,0)),"")</f>
        <v/>
      </c>
    </row>
    <row r="40">
      <c r="O40">
        <f>IFERROR(INDEX(Registre!$B$2:$B$2001,MATCH(O$1&amp;"|"&amp;(ROW()-1),Registre!$AA$2:$AA$2001,0)),"")</f>
        <v/>
      </c>
      <c r="P40">
        <f>IFERROR(INDEX(Registre!$B$2:$B$2001,MATCH(P$1&amp;"|"&amp;(ROW()-1),Registre!$AA$2:$AA$2001,0)),"")</f>
        <v/>
      </c>
      <c r="Q40">
        <f>IFERROR(INDEX(Registre!$B$2:$B$2001,MATCH(Q$1&amp;"|"&amp;(ROW()-1),Registre!$AA$2:$AA$2001,0)),"")</f>
        <v/>
      </c>
      <c r="R40">
        <f>IFERROR(INDEX(Registre!$B$2:$B$2001,MATCH(R$1&amp;"|"&amp;(ROW()-1),Registre!$AA$2:$AA$2001,0)),"")</f>
        <v/>
      </c>
      <c r="S40">
        <f>IFERROR(INDEX(Registre!$B$2:$B$2001,MATCH(S$1&amp;"|"&amp;(ROW()-1),Registre!$AA$2:$AA$2001,0)),"")</f>
        <v/>
      </c>
      <c r="T40">
        <f>IFERROR(INDEX(Registre!$B$2:$B$2001,MATCH(T$1&amp;"|"&amp;(ROW()-1),Registre!$AA$2:$AA$2001,0)),"")</f>
        <v/>
      </c>
      <c r="U40">
        <f>IFERROR(INDEX(Registre!$B$2:$B$2001,MATCH(U$1&amp;"|"&amp;(ROW()-1),Registre!$AA$2:$AA$2001,0)),"")</f>
        <v/>
      </c>
      <c r="V40">
        <f>IFERROR(INDEX(Registre!$B$2:$B$2001,MATCH(V$1&amp;"|"&amp;(ROW()-1),Registre!$AA$2:$AA$2001,0)),"")</f>
        <v/>
      </c>
    </row>
    <row r="41">
      <c r="O41">
        <f>IFERROR(INDEX(Registre!$B$2:$B$2001,MATCH(O$1&amp;"|"&amp;(ROW()-1),Registre!$AA$2:$AA$2001,0)),"")</f>
        <v/>
      </c>
      <c r="P41">
        <f>IFERROR(INDEX(Registre!$B$2:$B$2001,MATCH(P$1&amp;"|"&amp;(ROW()-1),Registre!$AA$2:$AA$2001,0)),"")</f>
        <v/>
      </c>
      <c r="Q41">
        <f>IFERROR(INDEX(Registre!$B$2:$B$2001,MATCH(Q$1&amp;"|"&amp;(ROW()-1),Registre!$AA$2:$AA$2001,0)),"")</f>
        <v/>
      </c>
      <c r="R41">
        <f>IFERROR(INDEX(Registre!$B$2:$B$2001,MATCH(R$1&amp;"|"&amp;(ROW()-1),Registre!$AA$2:$AA$2001,0)),"")</f>
        <v/>
      </c>
      <c r="S41">
        <f>IFERROR(INDEX(Registre!$B$2:$B$2001,MATCH(S$1&amp;"|"&amp;(ROW()-1),Registre!$AA$2:$AA$2001,0)),"")</f>
        <v/>
      </c>
      <c r="T41">
        <f>IFERROR(INDEX(Registre!$B$2:$B$2001,MATCH(T$1&amp;"|"&amp;(ROW()-1),Registre!$AA$2:$AA$2001,0)),"")</f>
        <v/>
      </c>
      <c r="U41">
        <f>IFERROR(INDEX(Registre!$B$2:$B$2001,MATCH(U$1&amp;"|"&amp;(ROW()-1),Registre!$AA$2:$AA$2001,0)),"")</f>
        <v/>
      </c>
      <c r="V41">
        <f>IFERROR(INDEX(Registre!$B$2:$B$2001,MATCH(V$1&amp;"|"&amp;(ROW()-1),Registre!$AA$2:$AA$2001,0)),"")</f>
        <v/>
      </c>
    </row>
    <row r="42">
      <c r="O42">
        <f>IFERROR(INDEX(Registre!$B$2:$B$2001,MATCH(O$1&amp;"|"&amp;(ROW()-1),Registre!$AA$2:$AA$2001,0)),"")</f>
        <v/>
      </c>
      <c r="P42">
        <f>IFERROR(INDEX(Registre!$B$2:$B$2001,MATCH(P$1&amp;"|"&amp;(ROW()-1),Registre!$AA$2:$AA$2001,0)),"")</f>
        <v/>
      </c>
      <c r="Q42">
        <f>IFERROR(INDEX(Registre!$B$2:$B$2001,MATCH(Q$1&amp;"|"&amp;(ROW()-1),Registre!$AA$2:$AA$2001,0)),"")</f>
        <v/>
      </c>
      <c r="R42">
        <f>IFERROR(INDEX(Registre!$B$2:$B$2001,MATCH(R$1&amp;"|"&amp;(ROW()-1),Registre!$AA$2:$AA$2001,0)),"")</f>
        <v/>
      </c>
      <c r="S42">
        <f>IFERROR(INDEX(Registre!$B$2:$B$2001,MATCH(S$1&amp;"|"&amp;(ROW()-1),Registre!$AA$2:$AA$2001,0)),"")</f>
        <v/>
      </c>
      <c r="T42">
        <f>IFERROR(INDEX(Registre!$B$2:$B$2001,MATCH(T$1&amp;"|"&amp;(ROW()-1),Registre!$AA$2:$AA$2001,0)),"")</f>
        <v/>
      </c>
      <c r="U42">
        <f>IFERROR(INDEX(Registre!$B$2:$B$2001,MATCH(U$1&amp;"|"&amp;(ROW()-1),Registre!$AA$2:$AA$2001,0)),"")</f>
        <v/>
      </c>
      <c r="V42">
        <f>IFERROR(INDEX(Registre!$B$2:$B$2001,MATCH(V$1&amp;"|"&amp;(ROW()-1),Registre!$AA$2:$AA$2001,0)),"")</f>
        <v/>
      </c>
    </row>
    <row r="43">
      <c r="O43">
        <f>IFERROR(INDEX(Registre!$B$2:$B$2001,MATCH(O$1&amp;"|"&amp;(ROW()-1),Registre!$AA$2:$AA$2001,0)),"")</f>
        <v/>
      </c>
      <c r="P43">
        <f>IFERROR(INDEX(Registre!$B$2:$B$2001,MATCH(P$1&amp;"|"&amp;(ROW()-1),Registre!$AA$2:$AA$2001,0)),"")</f>
        <v/>
      </c>
      <c r="Q43">
        <f>IFERROR(INDEX(Registre!$B$2:$B$2001,MATCH(Q$1&amp;"|"&amp;(ROW()-1),Registre!$AA$2:$AA$2001,0)),"")</f>
        <v/>
      </c>
      <c r="R43">
        <f>IFERROR(INDEX(Registre!$B$2:$B$2001,MATCH(R$1&amp;"|"&amp;(ROW()-1),Registre!$AA$2:$AA$2001,0)),"")</f>
        <v/>
      </c>
      <c r="S43">
        <f>IFERROR(INDEX(Registre!$B$2:$B$2001,MATCH(S$1&amp;"|"&amp;(ROW()-1),Registre!$AA$2:$AA$2001,0)),"")</f>
        <v/>
      </c>
      <c r="T43">
        <f>IFERROR(INDEX(Registre!$B$2:$B$2001,MATCH(T$1&amp;"|"&amp;(ROW()-1),Registre!$AA$2:$AA$2001,0)),"")</f>
        <v/>
      </c>
      <c r="U43">
        <f>IFERROR(INDEX(Registre!$B$2:$B$2001,MATCH(U$1&amp;"|"&amp;(ROW()-1),Registre!$AA$2:$AA$2001,0)),"")</f>
        <v/>
      </c>
      <c r="V43">
        <f>IFERROR(INDEX(Registre!$B$2:$B$2001,MATCH(V$1&amp;"|"&amp;(ROW()-1),Registre!$AA$2:$AA$2001,0)),"")</f>
        <v/>
      </c>
    </row>
    <row r="44">
      <c r="O44">
        <f>IFERROR(INDEX(Registre!$B$2:$B$2001,MATCH(O$1&amp;"|"&amp;(ROW()-1),Registre!$AA$2:$AA$2001,0)),"")</f>
        <v/>
      </c>
      <c r="P44">
        <f>IFERROR(INDEX(Registre!$B$2:$B$2001,MATCH(P$1&amp;"|"&amp;(ROW()-1),Registre!$AA$2:$AA$2001,0)),"")</f>
        <v/>
      </c>
      <c r="Q44">
        <f>IFERROR(INDEX(Registre!$B$2:$B$2001,MATCH(Q$1&amp;"|"&amp;(ROW()-1),Registre!$AA$2:$AA$2001,0)),"")</f>
        <v/>
      </c>
      <c r="R44">
        <f>IFERROR(INDEX(Registre!$B$2:$B$2001,MATCH(R$1&amp;"|"&amp;(ROW()-1),Registre!$AA$2:$AA$2001,0)),"")</f>
        <v/>
      </c>
      <c r="S44">
        <f>IFERROR(INDEX(Registre!$B$2:$B$2001,MATCH(S$1&amp;"|"&amp;(ROW()-1),Registre!$AA$2:$AA$2001,0)),"")</f>
        <v/>
      </c>
      <c r="T44">
        <f>IFERROR(INDEX(Registre!$B$2:$B$2001,MATCH(T$1&amp;"|"&amp;(ROW()-1),Registre!$AA$2:$AA$2001,0)),"")</f>
        <v/>
      </c>
      <c r="U44">
        <f>IFERROR(INDEX(Registre!$B$2:$B$2001,MATCH(U$1&amp;"|"&amp;(ROW()-1),Registre!$AA$2:$AA$2001,0)),"")</f>
        <v/>
      </c>
      <c r="V44">
        <f>IFERROR(INDEX(Registre!$B$2:$B$2001,MATCH(V$1&amp;"|"&amp;(ROW()-1),Registre!$AA$2:$AA$2001,0)),"")</f>
        <v/>
      </c>
    </row>
    <row r="45">
      <c r="O45">
        <f>IFERROR(INDEX(Registre!$B$2:$B$2001,MATCH(O$1&amp;"|"&amp;(ROW()-1),Registre!$AA$2:$AA$2001,0)),"")</f>
        <v/>
      </c>
      <c r="P45">
        <f>IFERROR(INDEX(Registre!$B$2:$B$2001,MATCH(P$1&amp;"|"&amp;(ROW()-1),Registre!$AA$2:$AA$2001,0)),"")</f>
        <v/>
      </c>
      <c r="Q45">
        <f>IFERROR(INDEX(Registre!$B$2:$B$2001,MATCH(Q$1&amp;"|"&amp;(ROW()-1),Registre!$AA$2:$AA$2001,0)),"")</f>
        <v/>
      </c>
      <c r="R45">
        <f>IFERROR(INDEX(Registre!$B$2:$B$2001,MATCH(R$1&amp;"|"&amp;(ROW()-1),Registre!$AA$2:$AA$2001,0)),"")</f>
        <v/>
      </c>
      <c r="S45">
        <f>IFERROR(INDEX(Registre!$B$2:$B$2001,MATCH(S$1&amp;"|"&amp;(ROW()-1),Registre!$AA$2:$AA$2001,0)),"")</f>
        <v/>
      </c>
      <c r="T45">
        <f>IFERROR(INDEX(Registre!$B$2:$B$2001,MATCH(T$1&amp;"|"&amp;(ROW()-1),Registre!$AA$2:$AA$2001,0)),"")</f>
        <v/>
      </c>
      <c r="U45">
        <f>IFERROR(INDEX(Registre!$B$2:$B$2001,MATCH(U$1&amp;"|"&amp;(ROW()-1),Registre!$AA$2:$AA$2001,0)),"")</f>
        <v/>
      </c>
      <c r="V45">
        <f>IFERROR(INDEX(Registre!$B$2:$B$2001,MATCH(V$1&amp;"|"&amp;(ROW()-1),Registre!$AA$2:$AA$2001,0)),"")</f>
        <v/>
      </c>
    </row>
    <row r="46">
      <c r="O46">
        <f>IFERROR(INDEX(Registre!$B$2:$B$2001,MATCH(O$1&amp;"|"&amp;(ROW()-1),Registre!$AA$2:$AA$2001,0)),"")</f>
        <v/>
      </c>
      <c r="P46">
        <f>IFERROR(INDEX(Registre!$B$2:$B$2001,MATCH(P$1&amp;"|"&amp;(ROW()-1),Registre!$AA$2:$AA$2001,0)),"")</f>
        <v/>
      </c>
      <c r="Q46">
        <f>IFERROR(INDEX(Registre!$B$2:$B$2001,MATCH(Q$1&amp;"|"&amp;(ROW()-1),Registre!$AA$2:$AA$2001,0)),"")</f>
        <v/>
      </c>
      <c r="R46">
        <f>IFERROR(INDEX(Registre!$B$2:$B$2001,MATCH(R$1&amp;"|"&amp;(ROW()-1),Registre!$AA$2:$AA$2001,0)),"")</f>
        <v/>
      </c>
      <c r="S46">
        <f>IFERROR(INDEX(Registre!$B$2:$B$2001,MATCH(S$1&amp;"|"&amp;(ROW()-1),Registre!$AA$2:$AA$2001,0)),"")</f>
        <v/>
      </c>
      <c r="T46">
        <f>IFERROR(INDEX(Registre!$B$2:$B$2001,MATCH(T$1&amp;"|"&amp;(ROW()-1),Registre!$AA$2:$AA$2001,0)),"")</f>
        <v/>
      </c>
      <c r="U46">
        <f>IFERROR(INDEX(Registre!$B$2:$B$2001,MATCH(U$1&amp;"|"&amp;(ROW()-1),Registre!$AA$2:$AA$2001,0)),"")</f>
        <v/>
      </c>
      <c r="V46">
        <f>IFERROR(INDEX(Registre!$B$2:$B$2001,MATCH(V$1&amp;"|"&amp;(ROW()-1),Registre!$AA$2:$AA$2001,0)),"")</f>
        <v/>
      </c>
    </row>
    <row r="47">
      <c r="O47">
        <f>IFERROR(INDEX(Registre!$B$2:$B$2001,MATCH(O$1&amp;"|"&amp;(ROW()-1),Registre!$AA$2:$AA$2001,0)),"")</f>
        <v/>
      </c>
      <c r="P47">
        <f>IFERROR(INDEX(Registre!$B$2:$B$2001,MATCH(P$1&amp;"|"&amp;(ROW()-1),Registre!$AA$2:$AA$2001,0)),"")</f>
        <v/>
      </c>
      <c r="Q47">
        <f>IFERROR(INDEX(Registre!$B$2:$B$2001,MATCH(Q$1&amp;"|"&amp;(ROW()-1),Registre!$AA$2:$AA$2001,0)),"")</f>
        <v/>
      </c>
      <c r="R47">
        <f>IFERROR(INDEX(Registre!$B$2:$B$2001,MATCH(R$1&amp;"|"&amp;(ROW()-1),Registre!$AA$2:$AA$2001,0)),"")</f>
        <v/>
      </c>
      <c r="S47">
        <f>IFERROR(INDEX(Registre!$B$2:$B$2001,MATCH(S$1&amp;"|"&amp;(ROW()-1),Registre!$AA$2:$AA$2001,0)),"")</f>
        <v/>
      </c>
      <c r="T47">
        <f>IFERROR(INDEX(Registre!$B$2:$B$2001,MATCH(T$1&amp;"|"&amp;(ROW()-1),Registre!$AA$2:$AA$2001,0)),"")</f>
        <v/>
      </c>
      <c r="U47">
        <f>IFERROR(INDEX(Registre!$B$2:$B$2001,MATCH(U$1&amp;"|"&amp;(ROW()-1),Registre!$AA$2:$AA$2001,0)),"")</f>
        <v/>
      </c>
      <c r="V47">
        <f>IFERROR(INDEX(Registre!$B$2:$B$2001,MATCH(V$1&amp;"|"&amp;(ROW()-1),Registre!$AA$2:$AA$2001,0)),"")</f>
        <v/>
      </c>
    </row>
    <row r="48">
      <c r="O48">
        <f>IFERROR(INDEX(Registre!$B$2:$B$2001,MATCH(O$1&amp;"|"&amp;(ROW()-1),Registre!$AA$2:$AA$2001,0)),"")</f>
        <v/>
      </c>
      <c r="P48">
        <f>IFERROR(INDEX(Registre!$B$2:$B$2001,MATCH(P$1&amp;"|"&amp;(ROW()-1),Registre!$AA$2:$AA$2001,0)),"")</f>
        <v/>
      </c>
      <c r="Q48">
        <f>IFERROR(INDEX(Registre!$B$2:$B$2001,MATCH(Q$1&amp;"|"&amp;(ROW()-1),Registre!$AA$2:$AA$2001,0)),"")</f>
        <v/>
      </c>
      <c r="R48">
        <f>IFERROR(INDEX(Registre!$B$2:$B$2001,MATCH(R$1&amp;"|"&amp;(ROW()-1),Registre!$AA$2:$AA$2001,0)),"")</f>
        <v/>
      </c>
      <c r="S48">
        <f>IFERROR(INDEX(Registre!$B$2:$B$2001,MATCH(S$1&amp;"|"&amp;(ROW()-1),Registre!$AA$2:$AA$2001,0)),"")</f>
        <v/>
      </c>
      <c r="T48">
        <f>IFERROR(INDEX(Registre!$B$2:$B$2001,MATCH(T$1&amp;"|"&amp;(ROW()-1),Registre!$AA$2:$AA$2001,0)),"")</f>
        <v/>
      </c>
      <c r="U48">
        <f>IFERROR(INDEX(Registre!$B$2:$B$2001,MATCH(U$1&amp;"|"&amp;(ROW()-1),Registre!$AA$2:$AA$2001,0)),"")</f>
        <v/>
      </c>
      <c r="V48">
        <f>IFERROR(INDEX(Registre!$B$2:$B$2001,MATCH(V$1&amp;"|"&amp;(ROW()-1),Registre!$AA$2:$AA$2001,0)),"")</f>
        <v/>
      </c>
    </row>
    <row r="49">
      <c r="O49">
        <f>IFERROR(INDEX(Registre!$B$2:$B$2001,MATCH(O$1&amp;"|"&amp;(ROW()-1),Registre!$AA$2:$AA$2001,0)),"")</f>
        <v/>
      </c>
      <c r="P49">
        <f>IFERROR(INDEX(Registre!$B$2:$B$2001,MATCH(P$1&amp;"|"&amp;(ROW()-1),Registre!$AA$2:$AA$2001,0)),"")</f>
        <v/>
      </c>
      <c r="Q49">
        <f>IFERROR(INDEX(Registre!$B$2:$B$2001,MATCH(Q$1&amp;"|"&amp;(ROW()-1),Registre!$AA$2:$AA$2001,0)),"")</f>
        <v/>
      </c>
      <c r="R49">
        <f>IFERROR(INDEX(Registre!$B$2:$B$2001,MATCH(R$1&amp;"|"&amp;(ROW()-1),Registre!$AA$2:$AA$2001,0)),"")</f>
        <v/>
      </c>
      <c r="S49">
        <f>IFERROR(INDEX(Registre!$B$2:$B$2001,MATCH(S$1&amp;"|"&amp;(ROW()-1),Registre!$AA$2:$AA$2001,0)),"")</f>
        <v/>
      </c>
      <c r="T49">
        <f>IFERROR(INDEX(Registre!$B$2:$B$2001,MATCH(T$1&amp;"|"&amp;(ROW()-1),Registre!$AA$2:$AA$2001,0)),"")</f>
        <v/>
      </c>
      <c r="U49">
        <f>IFERROR(INDEX(Registre!$B$2:$B$2001,MATCH(U$1&amp;"|"&amp;(ROW()-1),Registre!$AA$2:$AA$2001,0)),"")</f>
        <v/>
      </c>
      <c r="V49">
        <f>IFERROR(INDEX(Registre!$B$2:$B$2001,MATCH(V$1&amp;"|"&amp;(ROW()-1),Registre!$AA$2:$AA$2001,0)),"")</f>
        <v/>
      </c>
    </row>
    <row r="50">
      <c r="O50">
        <f>IFERROR(INDEX(Registre!$B$2:$B$2001,MATCH(O$1&amp;"|"&amp;(ROW()-1),Registre!$AA$2:$AA$2001,0)),"")</f>
        <v/>
      </c>
      <c r="P50">
        <f>IFERROR(INDEX(Registre!$B$2:$B$2001,MATCH(P$1&amp;"|"&amp;(ROW()-1),Registre!$AA$2:$AA$2001,0)),"")</f>
        <v/>
      </c>
      <c r="Q50">
        <f>IFERROR(INDEX(Registre!$B$2:$B$2001,MATCH(Q$1&amp;"|"&amp;(ROW()-1),Registre!$AA$2:$AA$2001,0)),"")</f>
        <v/>
      </c>
      <c r="R50">
        <f>IFERROR(INDEX(Registre!$B$2:$B$2001,MATCH(R$1&amp;"|"&amp;(ROW()-1),Registre!$AA$2:$AA$2001,0)),"")</f>
        <v/>
      </c>
      <c r="S50">
        <f>IFERROR(INDEX(Registre!$B$2:$B$2001,MATCH(S$1&amp;"|"&amp;(ROW()-1),Registre!$AA$2:$AA$2001,0)),"")</f>
        <v/>
      </c>
      <c r="T50">
        <f>IFERROR(INDEX(Registre!$B$2:$B$2001,MATCH(T$1&amp;"|"&amp;(ROW()-1),Registre!$AA$2:$AA$2001,0)),"")</f>
        <v/>
      </c>
      <c r="U50">
        <f>IFERROR(INDEX(Registre!$B$2:$B$2001,MATCH(U$1&amp;"|"&amp;(ROW()-1),Registre!$AA$2:$AA$2001,0)),"")</f>
        <v/>
      </c>
      <c r="V50">
        <f>IFERROR(INDEX(Registre!$B$2:$B$2001,MATCH(V$1&amp;"|"&amp;(ROW()-1),Registre!$AA$2:$AA$2001,0)),"")</f>
        <v/>
      </c>
    </row>
    <row r="51">
      <c r="O51">
        <f>IFERROR(INDEX(Registre!$B$2:$B$2001,MATCH(O$1&amp;"|"&amp;(ROW()-1),Registre!$AA$2:$AA$2001,0)),"")</f>
        <v/>
      </c>
      <c r="P51">
        <f>IFERROR(INDEX(Registre!$B$2:$B$2001,MATCH(P$1&amp;"|"&amp;(ROW()-1),Registre!$AA$2:$AA$2001,0)),"")</f>
        <v/>
      </c>
      <c r="Q51">
        <f>IFERROR(INDEX(Registre!$B$2:$B$2001,MATCH(Q$1&amp;"|"&amp;(ROW()-1),Registre!$AA$2:$AA$2001,0)),"")</f>
        <v/>
      </c>
      <c r="R51">
        <f>IFERROR(INDEX(Registre!$B$2:$B$2001,MATCH(R$1&amp;"|"&amp;(ROW()-1),Registre!$AA$2:$AA$2001,0)),"")</f>
        <v/>
      </c>
      <c r="S51">
        <f>IFERROR(INDEX(Registre!$B$2:$B$2001,MATCH(S$1&amp;"|"&amp;(ROW()-1),Registre!$AA$2:$AA$2001,0)),"")</f>
        <v/>
      </c>
      <c r="T51">
        <f>IFERROR(INDEX(Registre!$B$2:$B$2001,MATCH(T$1&amp;"|"&amp;(ROW()-1),Registre!$AA$2:$AA$2001,0)),"")</f>
        <v/>
      </c>
      <c r="U51">
        <f>IFERROR(INDEX(Registre!$B$2:$B$2001,MATCH(U$1&amp;"|"&amp;(ROW()-1),Registre!$AA$2:$AA$2001,0)),"")</f>
        <v/>
      </c>
      <c r="V51">
        <f>IFERROR(INDEX(Registre!$B$2:$B$2001,MATCH(V$1&amp;"|"&amp;(ROW()-1),Registre!$AA$2:$AA$2001,0)),"")</f>
        <v/>
      </c>
    </row>
    <row r="52">
      <c r="O52">
        <f>IFERROR(INDEX(Registre!$B$2:$B$2001,MATCH(O$1&amp;"|"&amp;(ROW()-1),Registre!$AA$2:$AA$2001,0)),"")</f>
        <v/>
      </c>
      <c r="P52">
        <f>IFERROR(INDEX(Registre!$B$2:$B$2001,MATCH(P$1&amp;"|"&amp;(ROW()-1),Registre!$AA$2:$AA$2001,0)),"")</f>
        <v/>
      </c>
      <c r="Q52">
        <f>IFERROR(INDEX(Registre!$B$2:$B$2001,MATCH(Q$1&amp;"|"&amp;(ROW()-1),Registre!$AA$2:$AA$2001,0)),"")</f>
        <v/>
      </c>
      <c r="R52">
        <f>IFERROR(INDEX(Registre!$B$2:$B$2001,MATCH(R$1&amp;"|"&amp;(ROW()-1),Registre!$AA$2:$AA$2001,0)),"")</f>
        <v/>
      </c>
      <c r="S52">
        <f>IFERROR(INDEX(Registre!$B$2:$B$2001,MATCH(S$1&amp;"|"&amp;(ROW()-1),Registre!$AA$2:$AA$2001,0)),"")</f>
        <v/>
      </c>
      <c r="T52">
        <f>IFERROR(INDEX(Registre!$B$2:$B$2001,MATCH(T$1&amp;"|"&amp;(ROW()-1),Registre!$AA$2:$AA$2001,0)),"")</f>
        <v/>
      </c>
      <c r="U52">
        <f>IFERROR(INDEX(Registre!$B$2:$B$2001,MATCH(U$1&amp;"|"&amp;(ROW()-1),Registre!$AA$2:$AA$2001,0)),"")</f>
        <v/>
      </c>
      <c r="V52">
        <f>IFERROR(INDEX(Registre!$B$2:$B$2001,MATCH(V$1&amp;"|"&amp;(ROW()-1),Registre!$AA$2:$AA$2001,0)),"")</f>
        <v/>
      </c>
    </row>
    <row r="53">
      <c r="O53">
        <f>IFERROR(INDEX(Registre!$B$2:$B$2001,MATCH(O$1&amp;"|"&amp;(ROW()-1),Registre!$AA$2:$AA$2001,0)),"")</f>
        <v/>
      </c>
      <c r="P53">
        <f>IFERROR(INDEX(Registre!$B$2:$B$2001,MATCH(P$1&amp;"|"&amp;(ROW()-1),Registre!$AA$2:$AA$2001,0)),"")</f>
        <v/>
      </c>
      <c r="Q53">
        <f>IFERROR(INDEX(Registre!$B$2:$B$2001,MATCH(Q$1&amp;"|"&amp;(ROW()-1),Registre!$AA$2:$AA$2001,0)),"")</f>
        <v/>
      </c>
      <c r="R53">
        <f>IFERROR(INDEX(Registre!$B$2:$B$2001,MATCH(R$1&amp;"|"&amp;(ROW()-1),Registre!$AA$2:$AA$2001,0)),"")</f>
        <v/>
      </c>
      <c r="S53">
        <f>IFERROR(INDEX(Registre!$B$2:$B$2001,MATCH(S$1&amp;"|"&amp;(ROW()-1),Registre!$AA$2:$AA$2001,0)),"")</f>
        <v/>
      </c>
      <c r="T53">
        <f>IFERROR(INDEX(Registre!$B$2:$B$2001,MATCH(T$1&amp;"|"&amp;(ROW()-1),Registre!$AA$2:$AA$2001,0)),"")</f>
        <v/>
      </c>
      <c r="U53">
        <f>IFERROR(INDEX(Registre!$B$2:$B$2001,MATCH(U$1&amp;"|"&amp;(ROW()-1),Registre!$AA$2:$AA$2001,0)),"")</f>
        <v/>
      </c>
      <c r="V53">
        <f>IFERROR(INDEX(Registre!$B$2:$B$2001,MATCH(V$1&amp;"|"&amp;(ROW()-1),Registre!$AA$2:$AA$2001,0)),"")</f>
        <v/>
      </c>
    </row>
    <row r="54">
      <c r="O54">
        <f>IFERROR(INDEX(Registre!$B$2:$B$2001,MATCH(O$1&amp;"|"&amp;(ROW()-1),Registre!$AA$2:$AA$2001,0)),"")</f>
        <v/>
      </c>
      <c r="P54">
        <f>IFERROR(INDEX(Registre!$B$2:$B$2001,MATCH(P$1&amp;"|"&amp;(ROW()-1),Registre!$AA$2:$AA$2001,0)),"")</f>
        <v/>
      </c>
      <c r="Q54">
        <f>IFERROR(INDEX(Registre!$B$2:$B$2001,MATCH(Q$1&amp;"|"&amp;(ROW()-1),Registre!$AA$2:$AA$2001,0)),"")</f>
        <v/>
      </c>
      <c r="R54">
        <f>IFERROR(INDEX(Registre!$B$2:$B$2001,MATCH(R$1&amp;"|"&amp;(ROW()-1),Registre!$AA$2:$AA$2001,0)),"")</f>
        <v/>
      </c>
      <c r="S54">
        <f>IFERROR(INDEX(Registre!$B$2:$B$2001,MATCH(S$1&amp;"|"&amp;(ROW()-1),Registre!$AA$2:$AA$2001,0)),"")</f>
        <v/>
      </c>
      <c r="T54">
        <f>IFERROR(INDEX(Registre!$B$2:$B$2001,MATCH(T$1&amp;"|"&amp;(ROW()-1),Registre!$AA$2:$AA$2001,0)),"")</f>
        <v/>
      </c>
      <c r="U54">
        <f>IFERROR(INDEX(Registre!$B$2:$B$2001,MATCH(U$1&amp;"|"&amp;(ROW()-1),Registre!$AA$2:$AA$2001,0)),"")</f>
        <v/>
      </c>
      <c r="V54">
        <f>IFERROR(INDEX(Registre!$B$2:$B$2001,MATCH(V$1&amp;"|"&amp;(ROW()-1),Registre!$AA$2:$AA$2001,0)),"")</f>
        <v/>
      </c>
    </row>
    <row r="55">
      <c r="O55">
        <f>IFERROR(INDEX(Registre!$B$2:$B$2001,MATCH(O$1&amp;"|"&amp;(ROW()-1),Registre!$AA$2:$AA$2001,0)),"")</f>
        <v/>
      </c>
      <c r="P55">
        <f>IFERROR(INDEX(Registre!$B$2:$B$2001,MATCH(P$1&amp;"|"&amp;(ROW()-1),Registre!$AA$2:$AA$2001,0)),"")</f>
        <v/>
      </c>
      <c r="Q55">
        <f>IFERROR(INDEX(Registre!$B$2:$B$2001,MATCH(Q$1&amp;"|"&amp;(ROW()-1),Registre!$AA$2:$AA$2001,0)),"")</f>
        <v/>
      </c>
      <c r="R55">
        <f>IFERROR(INDEX(Registre!$B$2:$B$2001,MATCH(R$1&amp;"|"&amp;(ROW()-1),Registre!$AA$2:$AA$2001,0)),"")</f>
        <v/>
      </c>
      <c r="S55">
        <f>IFERROR(INDEX(Registre!$B$2:$B$2001,MATCH(S$1&amp;"|"&amp;(ROW()-1),Registre!$AA$2:$AA$2001,0)),"")</f>
        <v/>
      </c>
      <c r="T55">
        <f>IFERROR(INDEX(Registre!$B$2:$B$2001,MATCH(T$1&amp;"|"&amp;(ROW()-1),Registre!$AA$2:$AA$2001,0)),"")</f>
        <v/>
      </c>
      <c r="U55">
        <f>IFERROR(INDEX(Registre!$B$2:$B$2001,MATCH(U$1&amp;"|"&amp;(ROW()-1),Registre!$AA$2:$AA$2001,0)),"")</f>
        <v/>
      </c>
      <c r="V55">
        <f>IFERROR(INDEX(Registre!$B$2:$B$2001,MATCH(V$1&amp;"|"&amp;(ROW()-1),Registre!$AA$2:$AA$2001,0)),"")</f>
        <v/>
      </c>
    </row>
    <row r="56">
      <c r="O56">
        <f>IFERROR(INDEX(Registre!$B$2:$B$2001,MATCH(O$1&amp;"|"&amp;(ROW()-1),Registre!$AA$2:$AA$2001,0)),"")</f>
        <v/>
      </c>
      <c r="P56">
        <f>IFERROR(INDEX(Registre!$B$2:$B$2001,MATCH(P$1&amp;"|"&amp;(ROW()-1),Registre!$AA$2:$AA$2001,0)),"")</f>
        <v/>
      </c>
      <c r="Q56">
        <f>IFERROR(INDEX(Registre!$B$2:$B$2001,MATCH(Q$1&amp;"|"&amp;(ROW()-1),Registre!$AA$2:$AA$2001,0)),"")</f>
        <v/>
      </c>
      <c r="R56">
        <f>IFERROR(INDEX(Registre!$B$2:$B$2001,MATCH(R$1&amp;"|"&amp;(ROW()-1),Registre!$AA$2:$AA$2001,0)),"")</f>
        <v/>
      </c>
      <c r="S56">
        <f>IFERROR(INDEX(Registre!$B$2:$B$2001,MATCH(S$1&amp;"|"&amp;(ROW()-1),Registre!$AA$2:$AA$2001,0)),"")</f>
        <v/>
      </c>
      <c r="T56">
        <f>IFERROR(INDEX(Registre!$B$2:$B$2001,MATCH(T$1&amp;"|"&amp;(ROW()-1),Registre!$AA$2:$AA$2001,0)),"")</f>
        <v/>
      </c>
      <c r="U56">
        <f>IFERROR(INDEX(Registre!$B$2:$B$2001,MATCH(U$1&amp;"|"&amp;(ROW()-1),Registre!$AA$2:$AA$2001,0)),"")</f>
        <v/>
      </c>
      <c r="V56">
        <f>IFERROR(INDEX(Registre!$B$2:$B$2001,MATCH(V$1&amp;"|"&amp;(ROW()-1),Registre!$AA$2:$AA$2001,0)),"")</f>
        <v/>
      </c>
    </row>
    <row r="57">
      <c r="O57">
        <f>IFERROR(INDEX(Registre!$B$2:$B$2001,MATCH(O$1&amp;"|"&amp;(ROW()-1),Registre!$AA$2:$AA$2001,0)),"")</f>
        <v/>
      </c>
      <c r="P57">
        <f>IFERROR(INDEX(Registre!$B$2:$B$2001,MATCH(P$1&amp;"|"&amp;(ROW()-1),Registre!$AA$2:$AA$2001,0)),"")</f>
        <v/>
      </c>
      <c r="Q57">
        <f>IFERROR(INDEX(Registre!$B$2:$B$2001,MATCH(Q$1&amp;"|"&amp;(ROW()-1),Registre!$AA$2:$AA$2001,0)),"")</f>
        <v/>
      </c>
      <c r="R57">
        <f>IFERROR(INDEX(Registre!$B$2:$B$2001,MATCH(R$1&amp;"|"&amp;(ROW()-1),Registre!$AA$2:$AA$2001,0)),"")</f>
        <v/>
      </c>
      <c r="S57">
        <f>IFERROR(INDEX(Registre!$B$2:$B$2001,MATCH(S$1&amp;"|"&amp;(ROW()-1),Registre!$AA$2:$AA$2001,0)),"")</f>
        <v/>
      </c>
      <c r="T57">
        <f>IFERROR(INDEX(Registre!$B$2:$B$2001,MATCH(T$1&amp;"|"&amp;(ROW()-1),Registre!$AA$2:$AA$2001,0)),"")</f>
        <v/>
      </c>
      <c r="U57">
        <f>IFERROR(INDEX(Registre!$B$2:$B$2001,MATCH(U$1&amp;"|"&amp;(ROW()-1),Registre!$AA$2:$AA$2001,0)),"")</f>
        <v/>
      </c>
      <c r="V57">
        <f>IFERROR(INDEX(Registre!$B$2:$B$2001,MATCH(V$1&amp;"|"&amp;(ROW()-1),Registre!$AA$2:$AA$2001,0)),"")</f>
        <v/>
      </c>
    </row>
    <row r="58">
      <c r="O58">
        <f>IFERROR(INDEX(Registre!$B$2:$B$2001,MATCH(O$1&amp;"|"&amp;(ROW()-1),Registre!$AA$2:$AA$2001,0)),"")</f>
        <v/>
      </c>
      <c r="P58">
        <f>IFERROR(INDEX(Registre!$B$2:$B$2001,MATCH(P$1&amp;"|"&amp;(ROW()-1),Registre!$AA$2:$AA$2001,0)),"")</f>
        <v/>
      </c>
      <c r="Q58">
        <f>IFERROR(INDEX(Registre!$B$2:$B$2001,MATCH(Q$1&amp;"|"&amp;(ROW()-1),Registre!$AA$2:$AA$2001,0)),"")</f>
        <v/>
      </c>
      <c r="R58">
        <f>IFERROR(INDEX(Registre!$B$2:$B$2001,MATCH(R$1&amp;"|"&amp;(ROW()-1),Registre!$AA$2:$AA$2001,0)),"")</f>
        <v/>
      </c>
      <c r="S58">
        <f>IFERROR(INDEX(Registre!$B$2:$B$2001,MATCH(S$1&amp;"|"&amp;(ROW()-1),Registre!$AA$2:$AA$2001,0)),"")</f>
        <v/>
      </c>
      <c r="T58">
        <f>IFERROR(INDEX(Registre!$B$2:$B$2001,MATCH(T$1&amp;"|"&amp;(ROW()-1),Registre!$AA$2:$AA$2001,0)),"")</f>
        <v/>
      </c>
      <c r="U58">
        <f>IFERROR(INDEX(Registre!$B$2:$B$2001,MATCH(U$1&amp;"|"&amp;(ROW()-1),Registre!$AA$2:$AA$2001,0)),"")</f>
        <v/>
      </c>
      <c r="V58">
        <f>IFERROR(INDEX(Registre!$B$2:$B$2001,MATCH(V$1&amp;"|"&amp;(ROW()-1),Registre!$AA$2:$AA$2001,0)),"")</f>
        <v/>
      </c>
    </row>
    <row r="59">
      <c r="O59">
        <f>IFERROR(INDEX(Registre!$B$2:$B$2001,MATCH(O$1&amp;"|"&amp;(ROW()-1),Registre!$AA$2:$AA$2001,0)),"")</f>
        <v/>
      </c>
      <c r="P59">
        <f>IFERROR(INDEX(Registre!$B$2:$B$2001,MATCH(P$1&amp;"|"&amp;(ROW()-1),Registre!$AA$2:$AA$2001,0)),"")</f>
        <v/>
      </c>
      <c r="Q59">
        <f>IFERROR(INDEX(Registre!$B$2:$B$2001,MATCH(Q$1&amp;"|"&amp;(ROW()-1),Registre!$AA$2:$AA$2001,0)),"")</f>
        <v/>
      </c>
      <c r="R59">
        <f>IFERROR(INDEX(Registre!$B$2:$B$2001,MATCH(R$1&amp;"|"&amp;(ROW()-1),Registre!$AA$2:$AA$2001,0)),"")</f>
        <v/>
      </c>
      <c r="S59">
        <f>IFERROR(INDEX(Registre!$B$2:$B$2001,MATCH(S$1&amp;"|"&amp;(ROW()-1),Registre!$AA$2:$AA$2001,0)),"")</f>
        <v/>
      </c>
      <c r="T59">
        <f>IFERROR(INDEX(Registre!$B$2:$B$2001,MATCH(T$1&amp;"|"&amp;(ROW()-1),Registre!$AA$2:$AA$2001,0)),"")</f>
        <v/>
      </c>
      <c r="U59">
        <f>IFERROR(INDEX(Registre!$B$2:$B$2001,MATCH(U$1&amp;"|"&amp;(ROW()-1),Registre!$AA$2:$AA$2001,0)),"")</f>
        <v/>
      </c>
      <c r="V59">
        <f>IFERROR(INDEX(Registre!$B$2:$B$2001,MATCH(V$1&amp;"|"&amp;(ROW()-1),Registre!$AA$2:$AA$2001,0)),"")</f>
        <v/>
      </c>
    </row>
    <row r="60">
      <c r="O60">
        <f>IFERROR(INDEX(Registre!$B$2:$B$2001,MATCH(O$1&amp;"|"&amp;(ROW()-1),Registre!$AA$2:$AA$2001,0)),"")</f>
        <v/>
      </c>
      <c r="P60">
        <f>IFERROR(INDEX(Registre!$B$2:$B$2001,MATCH(P$1&amp;"|"&amp;(ROW()-1),Registre!$AA$2:$AA$2001,0)),"")</f>
        <v/>
      </c>
      <c r="Q60">
        <f>IFERROR(INDEX(Registre!$B$2:$B$2001,MATCH(Q$1&amp;"|"&amp;(ROW()-1),Registre!$AA$2:$AA$2001,0)),"")</f>
        <v/>
      </c>
      <c r="R60">
        <f>IFERROR(INDEX(Registre!$B$2:$B$2001,MATCH(R$1&amp;"|"&amp;(ROW()-1),Registre!$AA$2:$AA$2001,0)),"")</f>
        <v/>
      </c>
      <c r="S60">
        <f>IFERROR(INDEX(Registre!$B$2:$B$2001,MATCH(S$1&amp;"|"&amp;(ROW()-1),Registre!$AA$2:$AA$2001,0)),"")</f>
        <v/>
      </c>
      <c r="T60">
        <f>IFERROR(INDEX(Registre!$B$2:$B$2001,MATCH(T$1&amp;"|"&amp;(ROW()-1),Registre!$AA$2:$AA$2001,0)),"")</f>
        <v/>
      </c>
      <c r="U60">
        <f>IFERROR(INDEX(Registre!$B$2:$B$2001,MATCH(U$1&amp;"|"&amp;(ROW()-1),Registre!$AA$2:$AA$2001,0)),"")</f>
        <v/>
      </c>
      <c r="V60">
        <f>IFERROR(INDEX(Registre!$B$2:$B$2001,MATCH(V$1&amp;"|"&amp;(ROW()-1),Registre!$AA$2:$AA$2001,0)),"")</f>
        <v/>
      </c>
    </row>
    <row r="61">
      <c r="O61">
        <f>IFERROR(INDEX(Registre!$B$2:$B$2001,MATCH(O$1&amp;"|"&amp;(ROW()-1),Registre!$AA$2:$AA$2001,0)),"")</f>
        <v/>
      </c>
      <c r="P61">
        <f>IFERROR(INDEX(Registre!$B$2:$B$2001,MATCH(P$1&amp;"|"&amp;(ROW()-1),Registre!$AA$2:$AA$2001,0)),"")</f>
        <v/>
      </c>
      <c r="Q61">
        <f>IFERROR(INDEX(Registre!$B$2:$B$2001,MATCH(Q$1&amp;"|"&amp;(ROW()-1),Registre!$AA$2:$AA$2001,0)),"")</f>
        <v/>
      </c>
      <c r="R61">
        <f>IFERROR(INDEX(Registre!$B$2:$B$2001,MATCH(R$1&amp;"|"&amp;(ROW()-1),Registre!$AA$2:$AA$2001,0)),"")</f>
        <v/>
      </c>
      <c r="S61">
        <f>IFERROR(INDEX(Registre!$B$2:$B$2001,MATCH(S$1&amp;"|"&amp;(ROW()-1),Registre!$AA$2:$AA$2001,0)),"")</f>
        <v/>
      </c>
      <c r="T61">
        <f>IFERROR(INDEX(Registre!$B$2:$B$2001,MATCH(T$1&amp;"|"&amp;(ROW()-1),Registre!$AA$2:$AA$2001,0)),"")</f>
        <v/>
      </c>
      <c r="U61">
        <f>IFERROR(INDEX(Registre!$B$2:$B$2001,MATCH(U$1&amp;"|"&amp;(ROW()-1),Registre!$AA$2:$AA$2001,0)),"")</f>
        <v/>
      </c>
      <c r="V61">
        <f>IFERROR(INDEX(Registre!$B$2:$B$2001,MATCH(V$1&amp;"|"&amp;(ROW()-1),Registre!$AA$2:$AA$2001,0)),"")</f>
        <v/>
      </c>
    </row>
    <row r="62">
      <c r="O62">
        <f>IFERROR(INDEX(Registre!$B$2:$B$2001,MATCH(O$1&amp;"|"&amp;(ROW()-1),Registre!$AA$2:$AA$2001,0)),"")</f>
        <v/>
      </c>
      <c r="P62">
        <f>IFERROR(INDEX(Registre!$B$2:$B$2001,MATCH(P$1&amp;"|"&amp;(ROW()-1),Registre!$AA$2:$AA$2001,0)),"")</f>
        <v/>
      </c>
      <c r="Q62">
        <f>IFERROR(INDEX(Registre!$B$2:$B$2001,MATCH(Q$1&amp;"|"&amp;(ROW()-1),Registre!$AA$2:$AA$2001,0)),"")</f>
        <v/>
      </c>
      <c r="R62">
        <f>IFERROR(INDEX(Registre!$B$2:$B$2001,MATCH(R$1&amp;"|"&amp;(ROW()-1),Registre!$AA$2:$AA$2001,0)),"")</f>
        <v/>
      </c>
      <c r="S62">
        <f>IFERROR(INDEX(Registre!$B$2:$B$2001,MATCH(S$1&amp;"|"&amp;(ROW()-1),Registre!$AA$2:$AA$2001,0)),"")</f>
        <v/>
      </c>
      <c r="T62">
        <f>IFERROR(INDEX(Registre!$B$2:$B$2001,MATCH(T$1&amp;"|"&amp;(ROW()-1),Registre!$AA$2:$AA$2001,0)),"")</f>
        <v/>
      </c>
      <c r="U62">
        <f>IFERROR(INDEX(Registre!$B$2:$B$2001,MATCH(U$1&amp;"|"&amp;(ROW()-1),Registre!$AA$2:$AA$2001,0)),"")</f>
        <v/>
      </c>
      <c r="V62">
        <f>IFERROR(INDEX(Registre!$B$2:$B$2001,MATCH(V$1&amp;"|"&amp;(ROW()-1),Registre!$AA$2:$AA$2001,0)),"")</f>
        <v/>
      </c>
    </row>
    <row r="63">
      <c r="O63">
        <f>IFERROR(INDEX(Registre!$B$2:$B$2001,MATCH(O$1&amp;"|"&amp;(ROW()-1),Registre!$AA$2:$AA$2001,0)),"")</f>
        <v/>
      </c>
      <c r="P63">
        <f>IFERROR(INDEX(Registre!$B$2:$B$2001,MATCH(P$1&amp;"|"&amp;(ROW()-1),Registre!$AA$2:$AA$2001,0)),"")</f>
        <v/>
      </c>
      <c r="Q63">
        <f>IFERROR(INDEX(Registre!$B$2:$B$2001,MATCH(Q$1&amp;"|"&amp;(ROW()-1),Registre!$AA$2:$AA$2001,0)),"")</f>
        <v/>
      </c>
      <c r="R63">
        <f>IFERROR(INDEX(Registre!$B$2:$B$2001,MATCH(R$1&amp;"|"&amp;(ROW()-1),Registre!$AA$2:$AA$2001,0)),"")</f>
        <v/>
      </c>
      <c r="S63">
        <f>IFERROR(INDEX(Registre!$B$2:$B$2001,MATCH(S$1&amp;"|"&amp;(ROW()-1),Registre!$AA$2:$AA$2001,0)),"")</f>
        <v/>
      </c>
      <c r="T63">
        <f>IFERROR(INDEX(Registre!$B$2:$B$2001,MATCH(T$1&amp;"|"&amp;(ROW()-1),Registre!$AA$2:$AA$2001,0)),"")</f>
        <v/>
      </c>
      <c r="U63">
        <f>IFERROR(INDEX(Registre!$B$2:$B$2001,MATCH(U$1&amp;"|"&amp;(ROW()-1),Registre!$AA$2:$AA$2001,0)),"")</f>
        <v/>
      </c>
      <c r="V63">
        <f>IFERROR(INDEX(Registre!$B$2:$B$2001,MATCH(V$1&amp;"|"&amp;(ROW()-1),Registre!$AA$2:$AA$2001,0)),"")</f>
        <v/>
      </c>
    </row>
    <row r="64">
      <c r="O64">
        <f>IFERROR(INDEX(Registre!$B$2:$B$2001,MATCH(O$1&amp;"|"&amp;(ROW()-1),Registre!$AA$2:$AA$2001,0)),"")</f>
        <v/>
      </c>
      <c r="P64">
        <f>IFERROR(INDEX(Registre!$B$2:$B$2001,MATCH(P$1&amp;"|"&amp;(ROW()-1),Registre!$AA$2:$AA$2001,0)),"")</f>
        <v/>
      </c>
      <c r="Q64">
        <f>IFERROR(INDEX(Registre!$B$2:$B$2001,MATCH(Q$1&amp;"|"&amp;(ROW()-1),Registre!$AA$2:$AA$2001,0)),"")</f>
        <v/>
      </c>
      <c r="R64">
        <f>IFERROR(INDEX(Registre!$B$2:$B$2001,MATCH(R$1&amp;"|"&amp;(ROW()-1),Registre!$AA$2:$AA$2001,0)),"")</f>
        <v/>
      </c>
      <c r="S64">
        <f>IFERROR(INDEX(Registre!$B$2:$B$2001,MATCH(S$1&amp;"|"&amp;(ROW()-1),Registre!$AA$2:$AA$2001,0)),"")</f>
        <v/>
      </c>
      <c r="T64">
        <f>IFERROR(INDEX(Registre!$B$2:$B$2001,MATCH(T$1&amp;"|"&amp;(ROW()-1),Registre!$AA$2:$AA$2001,0)),"")</f>
        <v/>
      </c>
      <c r="U64">
        <f>IFERROR(INDEX(Registre!$B$2:$B$2001,MATCH(U$1&amp;"|"&amp;(ROW()-1),Registre!$AA$2:$AA$2001,0)),"")</f>
        <v/>
      </c>
      <c r="V64">
        <f>IFERROR(INDEX(Registre!$B$2:$B$2001,MATCH(V$1&amp;"|"&amp;(ROW()-1),Registre!$AA$2:$AA$2001,0)),"")</f>
        <v/>
      </c>
    </row>
    <row r="65">
      <c r="O65">
        <f>IFERROR(INDEX(Registre!$B$2:$B$2001,MATCH(O$1&amp;"|"&amp;(ROW()-1),Registre!$AA$2:$AA$2001,0)),"")</f>
        <v/>
      </c>
      <c r="P65">
        <f>IFERROR(INDEX(Registre!$B$2:$B$2001,MATCH(P$1&amp;"|"&amp;(ROW()-1),Registre!$AA$2:$AA$2001,0)),"")</f>
        <v/>
      </c>
      <c r="Q65">
        <f>IFERROR(INDEX(Registre!$B$2:$B$2001,MATCH(Q$1&amp;"|"&amp;(ROW()-1),Registre!$AA$2:$AA$2001,0)),"")</f>
        <v/>
      </c>
      <c r="R65">
        <f>IFERROR(INDEX(Registre!$B$2:$B$2001,MATCH(R$1&amp;"|"&amp;(ROW()-1),Registre!$AA$2:$AA$2001,0)),"")</f>
        <v/>
      </c>
      <c r="S65">
        <f>IFERROR(INDEX(Registre!$B$2:$B$2001,MATCH(S$1&amp;"|"&amp;(ROW()-1),Registre!$AA$2:$AA$2001,0)),"")</f>
        <v/>
      </c>
      <c r="T65">
        <f>IFERROR(INDEX(Registre!$B$2:$B$2001,MATCH(T$1&amp;"|"&amp;(ROW()-1),Registre!$AA$2:$AA$2001,0)),"")</f>
        <v/>
      </c>
      <c r="U65">
        <f>IFERROR(INDEX(Registre!$B$2:$B$2001,MATCH(U$1&amp;"|"&amp;(ROW()-1),Registre!$AA$2:$AA$2001,0)),"")</f>
        <v/>
      </c>
      <c r="V65">
        <f>IFERROR(INDEX(Registre!$B$2:$B$2001,MATCH(V$1&amp;"|"&amp;(ROW()-1),Registre!$AA$2:$AA$2001,0)),"")</f>
        <v/>
      </c>
    </row>
    <row r="66">
      <c r="O66">
        <f>IFERROR(INDEX(Registre!$B$2:$B$2001,MATCH(O$1&amp;"|"&amp;(ROW()-1),Registre!$AA$2:$AA$2001,0)),"")</f>
        <v/>
      </c>
      <c r="P66">
        <f>IFERROR(INDEX(Registre!$B$2:$B$2001,MATCH(P$1&amp;"|"&amp;(ROW()-1),Registre!$AA$2:$AA$2001,0)),"")</f>
        <v/>
      </c>
      <c r="Q66">
        <f>IFERROR(INDEX(Registre!$B$2:$B$2001,MATCH(Q$1&amp;"|"&amp;(ROW()-1),Registre!$AA$2:$AA$2001,0)),"")</f>
        <v/>
      </c>
      <c r="R66">
        <f>IFERROR(INDEX(Registre!$B$2:$B$2001,MATCH(R$1&amp;"|"&amp;(ROW()-1),Registre!$AA$2:$AA$2001,0)),"")</f>
        <v/>
      </c>
      <c r="S66">
        <f>IFERROR(INDEX(Registre!$B$2:$B$2001,MATCH(S$1&amp;"|"&amp;(ROW()-1),Registre!$AA$2:$AA$2001,0)),"")</f>
        <v/>
      </c>
      <c r="T66">
        <f>IFERROR(INDEX(Registre!$B$2:$B$2001,MATCH(T$1&amp;"|"&amp;(ROW()-1),Registre!$AA$2:$AA$2001,0)),"")</f>
        <v/>
      </c>
      <c r="U66">
        <f>IFERROR(INDEX(Registre!$B$2:$B$2001,MATCH(U$1&amp;"|"&amp;(ROW()-1),Registre!$AA$2:$AA$2001,0)),"")</f>
        <v/>
      </c>
      <c r="V66">
        <f>IFERROR(INDEX(Registre!$B$2:$B$2001,MATCH(V$1&amp;"|"&amp;(ROW()-1),Registre!$AA$2:$AA$2001,0)),"")</f>
        <v/>
      </c>
    </row>
    <row r="67">
      <c r="O67">
        <f>IFERROR(INDEX(Registre!$B$2:$B$2001,MATCH(O$1&amp;"|"&amp;(ROW()-1),Registre!$AA$2:$AA$2001,0)),"")</f>
        <v/>
      </c>
      <c r="P67">
        <f>IFERROR(INDEX(Registre!$B$2:$B$2001,MATCH(P$1&amp;"|"&amp;(ROW()-1),Registre!$AA$2:$AA$2001,0)),"")</f>
        <v/>
      </c>
      <c r="Q67">
        <f>IFERROR(INDEX(Registre!$B$2:$B$2001,MATCH(Q$1&amp;"|"&amp;(ROW()-1),Registre!$AA$2:$AA$2001,0)),"")</f>
        <v/>
      </c>
      <c r="R67">
        <f>IFERROR(INDEX(Registre!$B$2:$B$2001,MATCH(R$1&amp;"|"&amp;(ROW()-1),Registre!$AA$2:$AA$2001,0)),"")</f>
        <v/>
      </c>
      <c r="S67">
        <f>IFERROR(INDEX(Registre!$B$2:$B$2001,MATCH(S$1&amp;"|"&amp;(ROW()-1),Registre!$AA$2:$AA$2001,0)),"")</f>
        <v/>
      </c>
      <c r="T67">
        <f>IFERROR(INDEX(Registre!$B$2:$B$2001,MATCH(T$1&amp;"|"&amp;(ROW()-1),Registre!$AA$2:$AA$2001,0)),"")</f>
        <v/>
      </c>
      <c r="U67">
        <f>IFERROR(INDEX(Registre!$B$2:$B$2001,MATCH(U$1&amp;"|"&amp;(ROW()-1),Registre!$AA$2:$AA$2001,0)),"")</f>
        <v/>
      </c>
      <c r="V67">
        <f>IFERROR(INDEX(Registre!$B$2:$B$2001,MATCH(V$1&amp;"|"&amp;(ROW()-1),Registre!$AA$2:$AA$2001,0)),"")</f>
        <v/>
      </c>
    </row>
    <row r="68">
      <c r="O68">
        <f>IFERROR(INDEX(Registre!$B$2:$B$2001,MATCH(O$1&amp;"|"&amp;(ROW()-1),Registre!$AA$2:$AA$2001,0)),"")</f>
        <v/>
      </c>
      <c r="P68">
        <f>IFERROR(INDEX(Registre!$B$2:$B$2001,MATCH(P$1&amp;"|"&amp;(ROW()-1),Registre!$AA$2:$AA$2001,0)),"")</f>
        <v/>
      </c>
      <c r="Q68">
        <f>IFERROR(INDEX(Registre!$B$2:$B$2001,MATCH(Q$1&amp;"|"&amp;(ROW()-1),Registre!$AA$2:$AA$2001,0)),"")</f>
        <v/>
      </c>
      <c r="R68">
        <f>IFERROR(INDEX(Registre!$B$2:$B$2001,MATCH(R$1&amp;"|"&amp;(ROW()-1),Registre!$AA$2:$AA$2001,0)),"")</f>
        <v/>
      </c>
      <c r="S68">
        <f>IFERROR(INDEX(Registre!$B$2:$B$2001,MATCH(S$1&amp;"|"&amp;(ROW()-1),Registre!$AA$2:$AA$2001,0)),"")</f>
        <v/>
      </c>
      <c r="T68">
        <f>IFERROR(INDEX(Registre!$B$2:$B$2001,MATCH(T$1&amp;"|"&amp;(ROW()-1),Registre!$AA$2:$AA$2001,0)),"")</f>
        <v/>
      </c>
      <c r="U68">
        <f>IFERROR(INDEX(Registre!$B$2:$B$2001,MATCH(U$1&amp;"|"&amp;(ROW()-1),Registre!$AA$2:$AA$2001,0)),"")</f>
        <v/>
      </c>
      <c r="V68">
        <f>IFERROR(INDEX(Registre!$B$2:$B$2001,MATCH(V$1&amp;"|"&amp;(ROW()-1),Registre!$AA$2:$AA$2001,0)),"")</f>
        <v/>
      </c>
    </row>
    <row r="69">
      <c r="O69">
        <f>IFERROR(INDEX(Registre!$B$2:$B$2001,MATCH(O$1&amp;"|"&amp;(ROW()-1),Registre!$AA$2:$AA$2001,0)),"")</f>
        <v/>
      </c>
      <c r="P69">
        <f>IFERROR(INDEX(Registre!$B$2:$B$2001,MATCH(P$1&amp;"|"&amp;(ROW()-1),Registre!$AA$2:$AA$2001,0)),"")</f>
        <v/>
      </c>
      <c r="Q69">
        <f>IFERROR(INDEX(Registre!$B$2:$B$2001,MATCH(Q$1&amp;"|"&amp;(ROW()-1),Registre!$AA$2:$AA$2001,0)),"")</f>
        <v/>
      </c>
      <c r="R69">
        <f>IFERROR(INDEX(Registre!$B$2:$B$2001,MATCH(R$1&amp;"|"&amp;(ROW()-1),Registre!$AA$2:$AA$2001,0)),"")</f>
        <v/>
      </c>
      <c r="S69">
        <f>IFERROR(INDEX(Registre!$B$2:$B$2001,MATCH(S$1&amp;"|"&amp;(ROW()-1),Registre!$AA$2:$AA$2001,0)),"")</f>
        <v/>
      </c>
      <c r="T69">
        <f>IFERROR(INDEX(Registre!$B$2:$B$2001,MATCH(T$1&amp;"|"&amp;(ROW()-1),Registre!$AA$2:$AA$2001,0)),"")</f>
        <v/>
      </c>
      <c r="U69">
        <f>IFERROR(INDEX(Registre!$B$2:$B$2001,MATCH(U$1&amp;"|"&amp;(ROW()-1),Registre!$AA$2:$AA$2001,0)),"")</f>
        <v/>
      </c>
      <c r="V69">
        <f>IFERROR(INDEX(Registre!$B$2:$B$2001,MATCH(V$1&amp;"|"&amp;(ROW()-1),Registre!$AA$2:$AA$2001,0)),"")</f>
        <v/>
      </c>
    </row>
    <row r="70">
      <c r="O70">
        <f>IFERROR(INDEX(Registre!$B$2:$B$2001,MATCH(O$1&amp;"|"&amp;(ROW()-1),Registre!$AA$2:$AA$2001,0)),"")</f>
        <v/>
      </c>
      <c r="P70">
        <f>IFERROR(INDEX(Registre!$B$2:$B$2001,MATCH(P$1&amp;"|"&amp;(ROW()-1),Registre!$AA$2:$AA$2001,0)),"")</f>
        <v/>
      </c>
      <c r="Q70">
        <f>IFERROR(INDEX(Registre!$B$2:$B$2001,MATCH(Q$1&amp;"|"&amp;(ROW()-1),Registre!$AA$2:$AA$2001,0)),"")</f>
        <v/>
      </c>
      <c r="R70">
        <f>IFERROR(INDEX(Registre!$B$2:$B$2001,MATCH(R$1&amp;"|"&amp;(ROW()-1),Registre!$AA$2:$AA$2001,0)),"")</f>
        <v/>
      </c>
      <c r="S70">
        <f>IFERROR(INDEX(Registre!$B$2:$B$2001,MATCH(S$1&amp;"|"&amp;(ROW()-1),Registre!$AA$2:$AA$2001,0)),"")</f>
        <v/>
      </c>
      <c r="T70">
        <f>IFERROR(INDEX(Registre!$B$2:$B$2001,MATCH(T$1&amp;"|"&amp;(ROW()-1),Registre!$AA$2:$AA$2001,0)),"")</f>
        <v/>
      </c>
      <c r="U70">
        <f>IFERROR(INDEX(Registre!$B$2:$B$2001,MATCH(U$1&amp;"|"&amp;(ROW()-1),Registre!$AA$2:$AA$2001,0)),"")</f>
        <v/>
      </c>
      <c r="V70">
        <f>IFERROR(INDEX(Registre!$B$2:$B$2001,MATCH(V$1&amp;"|"&amp;(ROW()-1),Registre!$AA$2:$AA$2001,0)),"")</f>
        <v/>
      </c>
    </row>
    <row r="71">
      <c r="O71">
        <f>IFERROR(INDEX(Registre!$B$2:$B$2001,MATCH(O$1&amp;"|"&amp;(ROW()-1),Registre!$AA$2:$AA$2001,0)),"")</f>
        <v/>
      </c>
      <c r="P71">
        <f>IFERROR(INDEX(Registre!$B$2:$B$2001,MATCH(P$1&amp;"|"&amp;(ROW()-1),Registre!$AA$2:$AA$2001,0)),"")</f>
        <v/>
      </c>
      <c r="Q71">
        <f>IFERROR(INDEX(Registre!$B$2:$B$2001,MATCH(Q$1&amp;"|"&amp;(ROW()-1),Registre!$AA$2:$AA$2001,0)),"")</f>
        <v/>
      </c>
      <c r="R71">
        <f>IFERROR(INDEX(Registre!$B$2:$B$2001,MATCH(R$1&amp;"|"&amp;(ROW()-1),Registre!$AA$2:$AA$2001,0)),"")</f>
        <v/>
      </c>
      <c r="S71">
        <f>IFERROR(INDEX(Registre!$B$2:$B$2001,MATCH(S$1&amp;"|"&amp;(ROW()-1),Registre!$AA$2:$AA$2001,0)),"")</f>
        <v/>
      </c>
      <c r="T71">
        <f>IFERROR(INDEX(Registre!$B$2:$B$2001,MATCH(T$1&amp;"|"&amp;(ROW()-1),Registre!$AA$2:$AA$2001,0)),"")</f>
        <v/>
      </c>
      <c r="U71">
        <f>IFERROR(INDEX(Registre!$B$2:$B$2001,MATCH(U$1&amp;"|"&amp;(ROW()-1),Registre!$AA$2:$AA$2001,0)),"")</f>
        <v/>
      </c>
      <c r="V71">
        <f>IFERROR(INDEX(Registre!$B$2:$B$2001,MATCH(V$1&amp;"|"&amp;(ROW()-1),Registre!$AA$2:$AA$2001,0)),"")</f>
        <v/>
      </c>
    </row>
    <row r="72">
      <c r="O72">
        <f>IFERROR(INDEX(Registre!$B$2:$B$2001,MATCH(O$1&amp;"|"&amp;(ROW()-1),Registre!$AA$2:$AA$2001,0)),"")</f>
        <v/>
      </c>
      <c r="P72">
        <f>IFERROR(INDEX(Registre!$B$2:$B$2001,MATCH(P$1&amp;"|"&amp;(ROW()-1),Registre!$AA$2:$AA$2001,0)),"")</f>
        <v/>
      </c>
      <c r="Q72">
        <f>IFERROR(INDEX(Registre!$B$2:$B$2001,MATCH(Q$1&amp;"|"&amp;(ROW()-1),Registre!$AA$2:$AA$2001,0)),"")</f>
        <v/>
      </c>
      <c r="R72">
        <f>IFERROR(INDEX(Registre!$B$2:$B$2001,MATCH(R$1&amp;"|"&amp;(ROW()-1),Registre!$AA$2:$AA$2001,0)),"")</f>
        <v/>
      </c>
      <c r="S72">
        <f>IFERROR(INDEX(Registre!$B$2:$B$2001,MATCH(S$1&amp;"|"&amp;(ROW()-1),Registre!$AA$2:$AA$2001,0)),"")</f>
        <v/>
      </c>
      <c r="T72">
        <f>IFERROR(INDEX(Registre!$B$2:$B$2001,MATCH(T$1&amp;"|"&amp;(ROW()-1),Registre!$AA$2:$AA$2001,0)),"")</f>
        <v/>
      </c>
      <c r="U72">
        <f>IFERROR(INDEX(Registre!$B$2:$B$2001,MATCH(U$1&amp;"|"&amp;(ROW()-1),Registre!$AA$2:$AA$2001,0)),"")</f>
        <v/>
      </c>
      <c r="V72">
        <f>IFERROR(INDEX(Registre!$B$2:$B$2001,MATCH(V$1&amp;"|"&amp;(ROW()-1),Registre!$AA$2:$AA$2001,0)),"")</f>
        <v/>
      </c>
    </row>
    <row r="73">
      <c r="O73">
        <f>IFERROR(INDEX(Registre!$B$2:$B$2001,MATCH(O$1&amp;"|"&amp;(ROW()-1),Registre!$AA$2:$AA$2001,0)),"")</f>
        <v/>
      </c>
      <c r="P73">
        <f>IFERROR(INDEX(Registre!$B$2:$B$2001,MATCH(P$1&amp;"|"&amp;(ROW()-1),Registre!$AA$2:$AA$2001,0)),"")</f>
        <v/>
      </c>
      <c r="Q73">
        <f>IFERROR(INDEX(Registre!$B$2:$B$2001,MATCH(Q$1&amp;"|"&amp;(ROW()-1),Registre!$AA$2:$AA$2001,0)),"")</f>
        <v/>
      </c>
      <c r="R73">
        <f>IFERROR(INDEX(Registre!$B$2:$B$2001,MATCH(R$1&amp;"|"&amp;(ROW()-1),Registre!$AA$2:$AA$2001,0)),"")</f>
        <v/>
      </c>
      <c r="S73">
        <f>IFERROR(INDEX(Registre!$B$2:$B$2001,MATCH(S$1&amp;"|"&amp;(ROW()-1),Registre!$AA$2:$AA$2001,0)),"")</f>
        <v/>
      </c>
      <c r="T73">
        <f>IFERROR(INDEX(Registre!$B$2:$B$2001,MATCH(T$1&amp;"|"&amp;(ROW()-1),Registre!$AA$2:$AA$2001,0)),"")</f>
        <v/>
      </c>
      <c r="U73">
        <f>IFERROR(INDEX(Registre!$B$2:$B$2001,MATCH(U$1&amp;"|"&amp;(ROW()-1),Registre!$AA$2:$AA$2001,0)),"")</f>
        <v/>
      </c>
      <c r="V73">
        <f>IFERROR(INDEX(Registre!$B$2:$B$2001,MATCH(V$1&amp;"|"&amp;(ROW()-1),Registre!$AA$2:$AA$2001,0)),"")</f>
        <v/>
      </c>
    </row>
    <row r="74">
      <c r="O74">
        <f>IFERROR(INDEX(Registre!$B$2:$B$2001,MATCH(O$1&amp;"|"&amp;(ROW()-1),Registre!$AA$2:$AA$2001,0)),"")</f>
        <v/>
      </c>
      <c r="P74">
        <f>IFERROR(INDEX(Registre!$B$2:$B$2001,MATCH(P$1&amp;"|"&amp;(ROW()-1),Registre!$AA$2:$AA$2001,0)),"")</f>
        <v/>
      </c>
      <c r="Q74">
        <f>IFERROR(INDEX(Registre!$B$2:$B$2001,MATCH(Q$1&amp;"|"&amp;(ROW()-1),Registre!$AA$2:$AA$2001,0)),"")</f>
        <v/>
      </c>
      <c r="R74">
        <f>IFERROR(INDEX(Registre!$B$2:$B$2001,MATCH(R$1&amp;"|"&amp;(ROW()-1),Registre!$AA$2:$AA$2001,0)),"")</f>
        <v/>
      </c>
      <c r="S74">
        <f>IFERROR(INDEX(Registre!$B$2:$B$2001,MATCH(S$1&amp;"|"&amp;(ROW()-1),Registre!$AA$2:$AA$2001,0)),"")</f>
        <v/>
      </c>
      <c r="T74">
        <f>IFERROR(INDEX(Registre!$B$2:$B$2001,MATCH(T$1&amp;"|"&amp;(ROW()-1),Registre!$AA$2:$AA$2001,0)),"")</f>
        <v/>
      </c>
      <c r="U74">
        <f>IFERROR(INDEX(Registre!$B$2:$B$2001,MATCH(U$1&amp;"|"&amp;(ROW()-1),Registre!$AA$2:$AA$2001,0)),"")</f>
        <v/>
      </c>
      <c r="V74">
        <f>IFERROR(INDEX(Registre!$B$2:$B$2001,MATCH(V$1&amp;"|"&amp;(ROW()-1),Registre!$AA$2:$AA$2001,0)),"")</f>
        <v/>
      </c>
    </row>
    <row r="75">
      <c r="O75">
        <f>IFERROR(INDEX(Registre!$B$2:$B$2001,MATCH(O$1&amp;"|"&amp;(ROW()-1),Registre!$AA$2:$AA$2001,0)),"")</f>
        <v/>
      </c>
      <c r="P75">
        <f>IFERROR(INDEX(Registre!$B$2:$B$2001,MATCH(P$1&amp;"|"&amp;(ROW()-1),Registre!$AA$2:$AA$2001,0)),"")</f>
        <v/>
      </c>
      <c r="Q75">
        <f>IFERROR(INDEX(Registre!$B$2:$B$2001,MATCH(Q$1&amp;"|"&amp;(ROW()-1),Registre!$AA$2:$AA$2001,0)),"")</f>
        <v/>
      </c>
      <c r="R75">
        <f>IFERROR(INDEX(Registre!$B$2:$B$2001,MATCH(R$1&amp;"|"&amp;(ROW()-1),Registre!$AA$2:$AA$2001,0)),"")</f>
        <v/>
      </c>
      <c r="S75">
        <f>IFERROR(INDEX(Registre!$B$2:$B$2001,MATCH(S$1&amp;"|"&amp;(ROW()-1),Registre!$AA$2:$AA$2001,0)),"")</f>
        <v/>
      </c>
      <c r="T75">
        <f>IFERROR(INDEX(Registre!$B$2:$B$2001,MATCH(T$1&amp;"|"&amp;(ROW()-1),Registre!$AA$2:$AA$2001,0)),"")</f>
        <v/>
      </c>
      <c r="U75">
        <f>IFERROR(INDEX(Registre!$B$2:$B$2001,MATCH(U$1&amp;"|"&amp;(ROW()-1),Registre!$AA$2:$AA$2001,0)),"")</f>
        <v/>
      </c>
      <c r="V75">
        <f>IFERROR(INDEX(Registre!$B$2:$B$2001,MATCH(V$1&amp;"|"&amp;(ROW()-1),Registre!$AA$2:$AA$2001,0)),"")</f>
        <v/>
      </c>
    </row>
    <row r="76">
      <c r="O76">
        <f>IFERROR(INDEX(Registre!$B$2:$B$2001,MATCH(O$1&amp;"|"&amp;(ROW()-1),Registre!$AA$2:$AA$2001,0)),"")</f>
        <v/>
      </c>
      <c r="P76">
        <f>IFERROR(INDEX(Registre!$B$2:$B$2001,MATCH(P$1&amp;"|"&amp;(ROW()-1),Registre!$AA$2:$AA$2001,0)),"")</f>
        <v/>
      </c>
      <c r="Q76">
        <f>IFERROR(INDEX(Registre!$B$2:$B$2001,MATCH(Q$1&amp;"|"&amp;(ROW()-1),Registre!$AA$2:$AA$2001,0)),"")</f>
        <v/>
      </c>
      <c r="R76">
        <f>IFERROR(INDEX(Registre!$B$2:$B$2001,MATCH(R$1&amp;"|"&amp;(ROW()-1),Registre!$AA$2:$AA$2001,0)),"")</f>
        <v/>
      </c>
      <c r="S76">
        <f>IFERROR(INDEX(Registre!$B$2:$B$2001,MATCH(S$1&amp;"|"&amp;(ROW()-1),Registre!$AA$2:$AA$2001,0)),"")</f>
        <v/>
      </c>
      <c r="T76">
        <f>IFERROR(INDEX(Registre!$B$2:$B$2001,MATCH(T$1&amp;"|"&amp;(ROW()-1),Registre!$AA$2:$AA$2001,0)),"")</f>
        <v/>
      </c>
      <c r="U76">
        <f>IFERROR(INDEX(Registre!$B$2:$B$2001,MATCH(U$1&amp;"|"&amp;(ROW()-1),Registre!$AA$2:$AA$2001,0)),"")</f>
        <v/>
      </c>
      <c r="V76">
        <f>IFERROR(INDEX(Registre!$B$2:$B$2001,MATCH(V$1&amp;"|"&amp;(ROW()-1),Registre!$AA$2:$AA$2001,0)),"")</f>
        <v/>
      </c>
    </row>
    <row r="77">
      <c r="O77">
        <f>IFERROR(INDEX(Registre!$B$2:$B$2001,MATCH(O$1&amp;"|"&amp;(ROW()-1),Registre!$AA$2:$AA$2001,0)),"")</f>
        <v/>
      </c>
      <c r="P77">
        <f>IFERROR(INDEX(Registre!$B$2:$B$2001,MATCH(P$1&amp;"|"&amp;(ROW()-1),Registre!$AA$2:$AA$2001,0)),"")</f>
        <v/>
      </c>
      <c r="Q77">
        <f>IFERROR(INDEX(Registre!$B$2:$B$2001,MATCH(Q$1&amp;"|"&amp;(ROW()-1),Registre!$AA$2:$AA$2001,0)),"")</f>
        <v/>
      </c>
      <c r="R77">
        <f>IFERROR(INDEX(Registre!$B$2:$B$2001,MATCH(R$1&amp;"|"&amp;(ROW()-1),Registre!$AA$2:$AA$2001,0)),"")</f>
        <v/>
      </c>
      <c r="S77">
        <f>IFERROR(INDEX(Registre!$B$2:$B$2001,MATCH(S$1&amp;"|"&amp;(ROW()-1),Registre!$AA$2:$AA$2001,0)),"")</f>
        <v/>
      </c>
      <c r="T77">
        <f>IFERROR(INDEX(Registre!$B$2:$B$2001,MATCH(T$1&amp;"|"&amp;(ROW()-1),Registre!$AA$2:$AA$2001,0)),"")</f>
        <v/>
      </c>
      <c r="U77">
        <f>IFERROR(INDEX(Registre!$B$2:$B$2001,MATCH(U$1&amp;"|"&amp;(ROW()-1),Registre!$AA$2:$AA$2001,0)),"")</f>
        <v/>
      </c>
      <c r="V77">
        <f>IFERROR(INDEX(Registre!$B$2:$B$2001,MATCH(V$1&amp;"|"&amp;(ROW()-1),Registre!$AA$2:$AA$2001,0)),"")</f>
        <v/>
      </c>
    </row>
    <row r="78">
      <c r="O78">
        <f>IFERROR(INDEX(Registre!$B$2:$B$2001,MATCH(O$1&amp;"|"&amp;(ROW()-1),Registre!$AA$2:$AA$2001,0)),"")</f>
        <v/>
      </c>
      <c r="P78">
        <f>IFERROR(INDEX(Registre!$B$2:$B$2001,MATCH(P$1&amp;"|"&amp;(ROW()-1),Registre!$AA$2:$AA$2001,0)),"")</f>
        <v/>
      </c>
      <c r="Q78">
        <f>IFERROR(INDEX(Registre!$B$2:$B$2001,MATCH(Q$1&amp;"|"&amp;(ROW()-1),Registre!$AA$2:$AA$2001,0)),"")</f>
        <v/>
      </c>
      <c r="R78">
        <f>IFERROR(INDEX(Registre!$B$2:$B$2001,MATCH(R$1&amp;"|"&amp;(ROW()-1),Registre!$AA$2:$AA$2001,0)),"")</f>
        <v/>
      </c>
      <c r="S78">
        <f>IFERROR(INDEX(Registre!$B$2:$B$2001,MATCH(S$1&amp;"|"&amp;(ROW()-1),Registre!$AA$2:$AA$2001,0)),"")</f>
        <v/>
      </c>
      <c r="T78">
        <f>IFERROR(INDEX(Registre!$B$2:$B$2001,MATCH(T$1&amp;"|"&amp;(ROW()-1),Registre!$AA$2:$AA$2001,0)),"")</f>
        <v/>
      </c>
      <c r="U78">
        <f>IFERROR(INDEX(Registre!$B$2:$B$2001,MATCH(U$1&amp;"|"&amp;(ROW()-1),Registre!$AA$2:$AA$2001,0)),"")</f>
        <v/>
      </c>
      <c r="V78">
        <f>IFERROR(INDEX(Registre!$B$2:$B$2001,MATCH(V$1&amp;"|"&amp;(ROW()-1),Registre!$AA$2:$AA$2001,0)),"")</f>
        <v/>
      </c>
    </row>
    <row r="79">
      <c r="O79">
        <f>IFERROR(INDEX(Registre!$B$2:$B$2001,MATCH(O$1&amp;"|"&amp;(ROW()-1),Registre!$AA$2:$AA$2001,0)),"")</f>
        <v/>
      </c>
      <c r="P79">
        <f>IFERROR(INDEX(Registre!$B$2:$B$2001,MATCH(P$1&amp;"|"&amp;(ROW()-1),Registre!$AA$2:$AA$2001,0)),"")</f>
        <v/>
      </c>
      <c r="Q79">
        <f>IFERROR(INDEX(Registre!$B$2:$B$2001,MATCH(Q$1&amp;"|"&amp;(ROW()-1),Registre!$AA$2:$AA$2001,0)),"")</f>
        <v/>
      </c>
      <c r="R79">
        <f>IFERROR(INDEX(Registre!$B$2:$B$2001,MATCH(R$1&amp;"|"&amp;(ROW()-1),Registre!$AA$2:$AA$2001,0)),"")</f>
        <v/>
      </c>
      <c r="S79">
        <f>IFERROR(INDEX(Registre!$B$2:$B$2001,MATCH(S$1&amp;"|"&amp;(ROW()-1),Registre!$AA$2:$AA$2001,0)),"")</f>
        <v/>
      </c>
      <c r="T79">
        <f>IFERROR(INDEX(Registre!$B$2:$B$2001,MATCH(T$1&amp;"|"&amp;(ROW()-1),Registre!$AA$2:$AA$2001,0)),"")</f>
        <v/>
      </c>
      <c r="U79">
        <f>IFERROR(INDEX(Registre!$B$2:$B$2001,MATCH(U$1&amp;"|"&amp;(ROW()-1),Registre!$AA$2:$AA$2001,0)),"")</f>
        <v/>
      </c>
      <c r="V79">
        <f>IFERROR(INDEX(Registre!$B$2:$B$2001,MATCH(V$1&amp;"|"&amp;(ROW()-1),Registre!$AA$2:$AA$2001,0)),"")</f>
        <v/>
      </c>
    </row>
    <row r="80">
      <c r="O80">
        <f>IFERROR(INDEX(Registre!$B$2:$B$2001,MATCH(O$1&amp;"|"&amp;(ROW()-1),Registre!$AA$2:$AA$2001,0)),"")</f>
        <v/>
      </c>
      <c r="P80">
        <f>IFERROR(INDEX(Registre!$B$2:$B$2001,MATCH(P$1&amp;"|"&amp;(ROW()-1),Registre!$AA$2:$AA$2001,0)),"")</f>
        <v/>
      </c>
      <c r="Q80">
        <f>IFERROR(INDEX(Registre!$B$2:$B$2001,MATCH(Q$1&amp;"|"&amp;(ROW()-1),Registre!$AA$2:$AA$2001,0)),"")</f>
        <v/>
      </c>
      <c r="R80">
        <f>IFERROR(INDEX(Registre!$B$2:$B$2001,MATCH(R$1&amp;"|"&amp;(ROW()-1),Registre!$AA$2:$AA$2001,0)),"")</f>
        <v/>
      </c>
      <c r="S80">
        <f>IFERROR(INDEX(Registre!$B$2:$B$2001,MATCH(S$1&amp;"|"&amp;(ROW()-1),Registre!$AA$2:$AA$2001,0)),"")</f>
        <v/>
      </c>
      <c r="T80">
        <f>IFERROR(INDEX(Registre!$B$2:$B$2001,MATCH(T$1&amp;"|"&amp;(ROW()-1),Registre!$AA$2:$AA$2001,0)),"")</f>
        <v/>
      </c>
      <c r="U80">
        <f>IFERROR(INDEX(Registre!$B$2:$B$2001,MATCH(U$1&amp;"|"&amp;(ROW()-1),Registre!$AA$2:$AA$2001,0)),"")</f>
        <v/>
      </c>
      <c r="V80">
        <f>IFERROR(INDEX(Registre!$B$2:$B$2001,MATCH(V$1&amp;"|"&amp;(ROW()-1),Registre!$AA$2:$AA$2001,0)),"")</f>
        <v/>
      </c>
    </row>
    <row r="81">
      <c r="O81">
        <f>IFERROR(INDEX(Registre!$B$2:$B$2001,MATCH(O$1&amp;"|"&amp;(ROW()-1),Registre!$AA$2:$AA$2001,0)),"")</f>
        <v/>
      </c>
      <c r="P81">
        <f>IFERROR(INDEX(Registre!$B$2:$B$2001,MATCH(P$1&amp;"|"&amp;(ROW()-1),Registre!$AA$2:$AA$2001,0)),"")</f>
        <v/>
      </c>
      <c r="Q81">
        <f>IFERROR(INDEX(Registre!$B$2:$B$2001,MATCH(Q$1&amp;"|"&amp;(ROW()-1),Registre!$AA$2:$AA$2001,0)),"")</f>
        <v/>
      </c>
      <c r="R81">
        <f>IFERROR(INDEX(Registre!$B$2:$B$2001,MATCH(R$1&amp;"|"&amp;(ROW()-1),Registre!$AA$2:$AA$2001,0)),"")</f>
        <v/>
      </c>
      <c r="S81">
        <f>IFERROR(INDEX(Registre!$B$2:$B$2001,MATCH(S$1&amp;"|"&amp;(ROW()-1),Registre!$AA$2:$AA$2001,0)),"")</f>
        <v/>
      </c>
      <c r="T81">
        <f>IFERROR(INDEX(Registre!$B$2:$B$2001,MATCH(T$1&amp;"|"&amp;(ROW()-1),Registre!$AA$2:$AA$2001,0)),"")</f>
        <v/>
      </c>
      <c r="U81">
        <f>IFERROR(INDEX(Registre!$B$2:$B$2001,MATCH(U$1&amp;"|"&amp;(ROW()-1),Registre!$AA$2:$AA$2001,0)),"")</f>
        <v/>
      </c>
      <c r="V81">
        <f>IFERROR(INDEX(Registre!$B$2:$B$2001,MATCH(V$1&amp;"|"&amp;(ROW()-1),Registre!$AA$2:$AA$2001,0)),"")</f>
        <v/>
      </c>
    </row>
    <row r="82">
      <c r="O82">
        <f>IFERROR(INDEX(Registre!$B$2:$B$2001,MATCH(O$1&amp;"|"&amp;(ROW()-1),Registre!$AA$2:$AA$2001,0)),"")</f>
        <v/>
      </c>
      <c r="P82">
        <f>IFERROR(INDEX(Registre!$B$2:$B$2001,MATCH(P$1&amp;"|"&amp;(ROW()-1),Registre!$AA$2:$AA$2001,0)),"")</f>
        <v/>
      </c>
      <c r="Q82">
        <f>IFERROR(INDEX(Registre!$B$2:$B$2001,MATCH(Q$1&amp;"|"&amp;(ROW()-1),Registre!$AA$2:$AA$2001,0)),"")</f>
        <v/>
      </c>
      <c r="R82">
        <f>IFERROR(INDEX(Registre!$B$2:$B$2001,MATCH(R$1&amp;"|"&amp;(ROW()-1),Registre!$AA$2:$AA$2001,0)),"")</f>
        <v/>
      </c>
      <c r="S82">
        <f>IFERROR(INDEX(Registre!$B$2:$B$2001,MATCH(S$1&amp;"|"&amp;(ROW()-1),Registre!$AA$2:$AA$2001,0)),"")</f>
        <v/>
      </c>
      <c r="T82">
        <f>IFERROR(INDEX(Registre!$B$2:$B$2001,MATCH(T$1&amp;"|"&amp;(ROW()-1),Registre!$AA$2:$AA$2001,0)),"")</f>
        <v/>
      </c>
      <c r="U82">
        <f>IFERROR(INDEX(Registre!$B$2:$B$2001,MATCH(U$1&amp;"|"&amp;(ROW()-1),Registre!$AA$2:$AA$2001,0)),"")</f>
        <v/>
      </c>
      <c r="V82">
        <f>IFERROR(INDEX(Registre!$B$2:$B$2001,MATCH(V$1&amp;"|"&amp;(ROW()-1),Registre!$AA$2:$AA$2001,0)),"")</f>
        <v/>
      </c>
    </row>
    <row r="83">
      <c r="O83">
        <f>IFERROR(INDEX(Registre!$B$2:$B$2001,MATCH(O$1&amp;"|"&amp;(ROW()-1),Registre!$AA$2:$AA$2001,0)),"")</f>
        <v/>
      </c>
      <c r="P83">
        <f>IFERROR(INDEX(Registre!$B$2:$B$2001,MATCH(P$1&amp;"|"&amp;(ROW()-1),Registre!$AA$2:$AA$2001,0)),"")</f>
        <v/>
      </c>
      <c r="Q83">
        <f>IFERROR(INDEX(Registre!$B$2:$B$2001,MATCH(Q$1&amp;"|"&amp;(ROW()-1),Registre!$AA$2:$AA$2001,0)),"")</f>
        <v/>
      </c>
      <c r="R83">
        <f>IFERROR(INDEX(Registre!$B$2:$B$2001,MATCH(R$1&amp;"|"&amp;(ROW()-1),Registre!$AA$2:$AA$2001,0)),"")</f>
        <v/>
      </c>
      <c r="S83">
        <f>IFERROR(INDEX(Registre!$B$2:$B$2001,MATCH(S$1&amp;"|"&amp;(ROW()-1),Registre!$AA$2:$AA$2001,0)),"")</f>
        <v/>
      </c>
      <c r="T83">
        <f>IFERROR(INDEX(Registre!$B$2:$B$2001,MATCH(T$1&amp;"|"&amp;(ROW()-1),Registre!$AA$2:$AA$2001,0)),"")</f>
        <v/>
      </c>
      <c r="U83">
        <f>IFERROR(INDEX(Registre!$B$2:$B$2001,MATCH(U$1&amp;"|"&amp;(ROW()-1),Registre!$AA$2:$AA$2001,0)),"")</f>
        <v/>
      </c>
      <c r="V83">
        <f>IFERROR(INDEX(Registre!$B$2:$B$2001,MATCH(V$1&amp;"|"&amp;(ROW()-1),Registre!$AA$2:$AA$2001,0)),"")</f>
        <v/>
      </c>
    </row>
    <row r="84">
      <c r="O84">
        <f>IFERROR(INDEX(Registre!$B$2:$B$2001,MATCH(O$1&amp;"|"&amp;(ROW()-1),Registre!$AA$2:$AA$2001,0)),"")</f>
        <v/>
      </c>
      <c r="P84">
        <f>IFERROR(INDEX(Registre!$B$2:$B$2001,MATCH(P$1&amp;"|"&amp;(ROW()-1),Registre!$AA$2:$AA$2001,0)),"")</f>
        <v/>
      </c>
      <c r="Q84">
        <f>IFERROR(INDEX(Registre!$B$2:$B$2001,MATCH(Q$1&amp;"|"&amp;(ROW()-1),Registre!$AA$2:$AA$2001,0)),"")</f>
        <v/>
      </c>
      <c r="R84">
        <f>IFERROR(INDEX(Registre!$B$2:$B$2001,MATCH(R$1&amp;"|"&amp;(ROW()-1),Registre!$AA$2:$AA$2001,0)),"")</f>
        <v/>
      </c>
      <c r="S84">
        <f>IFERROR(INDEX(Registre!$B$2:$B$2001,MATCH(S$1&amp;"|"&amp;(ROW()-1),Registre!$AA$2:$AA$2001,0)),"")</f>
        <v/>
      </c>
      <c r="T84">
        <f>IFERROR(INDEX(Registre!$B$2:$B$2001,MATCH(T$1&amp;"|"&amp;(ROW()-1),Registre!$AA$2:$AA$2001,0)),"")</f>
        <v/>
      </c>
      <c r="U84">
        <f>IFERROR(INDEX(Registre!$B$2:$B$2001,MATCH(U$1&amp;"|"&amp;(ROW()-1),Registre!$AA$2:$AA$2001,0)),"")</f>
        <v/>
      </c>
      <c r="V84">
        <f>IFERROR(INDEX(Registre!$B$2:$B$2001,MATCH(V$1&amp;"|"&amp;(ROW()-1),Registre!$AA$2:$AA$2001,0)),"")</f>
        <v/>
      </c>
    </row>
    <row r="85">
      <c r="O85">
        <f>IFERROR(INDEX(Registre!$B$2:$B$2001,MATCH(O$1&amp;"|"&amp;(ROW()-1),Registre!$AA$2:$AA$2001,0)),"")</f>
        <v/>
      </c>
      <c r="P85">
        <f>IFERROR(INDEX(Registre!$B$2:$B$2001,MATCH(P$1&amp;"|"&amp;(ROW()-1),Registre!$AA$2:$AA$2001,0)),"")</f>
        <v/>
      </c>
      <c r="Q85">
        <f>IFERROR(INDEX(Registre!$B$2:$B$2001,MATCH(Q$1&amp;"|"&amp;(ROW()-1),Registre!$AA$2:$AA$2001,0)),"")</f>
        <v/>
      </c>
      <c r="R85">
        <f>IFERROR(INDEX(Registre!$B$2:$B$2001,MATCH(R$1&amp;"|"&amp;(ROW()-1),Registre!$AA$2:$AA$2001,0)),"")</f>
        <v/>
      </c>
      <c r="S85">
        <f>IFERROR(INDEX(Registre!$B$2:$B$2001,MATCH(S$1&amp;"|"&amp;(ROW()-1),Registre!$AA$2:$AA$2001,0)),"")</f>
        <v/>
      </c>
      <c r="T85">
        <f>IFERROR(INDEX(Registre!$B$2:$B$2001,MATCH(T$1&amp;"|"&amp;(ROW()-1),Registre!$AA$2:$AA$2001,0)),"")</f>
        <v/>
      </c>
      <c r="U85">
        <f>IFERROR(INDEX(Registre!$B$2:$B$2001,MATCH(U$1&amp;"|"&amp;(ROW()-1),Registre!$AA$2:$AA$2001,0)),"")</f>
        <v/>
      </c>
      <c r="V85">
        <f>IFERROR(INDEX(Registre!$B$2:$B$2001,MATCH(V$1&amp;"|"&amp;(ROW()-1),Registre!$AA$2:$AA$2001,0)),"")</f>
        <v/>
      </c>
    </row>
    <row r="86">
      <c r="O86">
        <f>IFERROR(INDEX(Registre!$B$2:$B$2001,MATCH(O$1&amp;"|"&amp;(ROW()-1),Registre!$AA$2:$AA$2001,0)),"")</f>
        <v/>
      </c>
      <c r="P86">
        <f>IFERROR(INDEX(Registre!$B$2:$B$2001,MATCH(P$1&amp;"|"&amp;(ROW()-1),Registre!$AA$2:$AA$2001,0)),"")</f>
        <v/>
      </c>
      <c r="Q86">
        <f>IFERROR(INDEX(Registre!$B$2:$B$2001,MATCH(Q$1&amp;"|"&amp;(ROW()-1),Registre!$AA$2:$AA$2001,0)),"")</f>
        <v/>
      </c>
      <c r="R86">
        <f>IFERROR(INDEX(Registre!$B$2:$B$2001,MATCH(R$1&amp;"|"&amp;(ROW()-1),Registre!$AA$2:$AA$2001,0)),"")</f>
        <v/>
      </c>
      <c r="S86">
        <f>IFERROR(INDEX(Registre!$B$2:$B$2001,MATCH(S$1&amp;"|"&amp;(ROW()-1),Registre!$AA$2:$AA$2001,0)),"")</f>
        <v/>
      </c>
      <c r="T86">
        <f>IFERROR(INDEX(Registre!$B$2:$B$2001,MATCH(T$1&amp;"|"&amp;(ROW()-1),Registre!$AA$2:$AA$2001,0)),"")</f>
        <v/>
      </c>
      <c r="U86">
        <f>IFERROR(INDEX(Registre!$B$2:$B$2001,MATCH(U$1&amp;"|"&amp;(ROW()-1),Registre!$AA$2:$AA$2001,0)),"")</f>
        <v/>
      </c>
      <c r="V86">
        <f>IFERROR(INDEX(Registre!$B$2:$B$2001,MATCH(V$1&amp;"|"&amp;(ROW()-1),Registre!$AA$2:$AA$2001,0)),"")</f>
        <v/>
      </c>
    </row>
    <row r="87">
      <c r="O87">
        <f>IFERROR(INDEX(Registre!$B$2:$B$2001,MATCH(O$1&amp;"|"&amp;(ROW()-1),Registre!$AA$2:$AA$2001,0)),"")</f>
        <v/>
      </c>
      <c r="P87">
        <f>IFERROR(INDEX(Registre!$B$2:$B$2001,MATCH(P$1&amp;"|"&amp;(ROW()-1),Registre!$AA$2:$AA$2001,0)),"")</f>
        <v/>
      </c>
      <c r="Q87">
        <f>IFERROR(INDEX(Registre!$B$2:$B$2001,MATCH(Q$1&amp;"|"&amp;(ROW()-1),Registre!$AA$2:$AA$2001,0)),"")</f>
        <v/>
      </c>
      <c r="R87">
        <f>IFERROR(INDEX(Registre!$B$2:$B$2001,MATCH(R$1&amp;"|"&amp;(ROW()-1),Registre!$AA$2:$AA$2001,0)),"")</f>
        <v/>
      </c>
      <c r="S87">
        <f>IFERROR(INDEX(Registre!$B$2:$B$2001,MATCH(S$1&amp;"|"&amp;(ROW()-1),Registre!$AA$2:$AA$2001,0)),"")</f>
        <v/>
      </c>
      <c r="T87">
        <f>IFERROR(INDEX(Registre!$B$2:$B$2001,MATCH(T$1&amp;"|"&amp;(ROW()-1),Registre!$AA$2:$AA$2001,0)),"")</f>
        <v/>
      </c>
      <c r="U87">
        <f>IFERROR(INDEX(Registre!$B$2:$B$2001,MATCH(U$1&amp;"|"&amp;(ROW()-1),Registre!$AA$2:$AA$2001,0)),"")</f>
        <v/>
      </c>
      <c r="V87">
        <f>IFERROR(INDEX(Registre!$B$2:$B$2001,MATCH(V$1&amp;"|"&amp;(ROW()-1),Registre!$AA$2:$AA$2001,0)),"")</f>
        <v/>
      </c>
    </row>
    <row r="88">
      <c r="O88">
        <f>IFERROR(INDEX(Registre!$B$2:$B$2001,MATCH(O$1&amp;"|"&amp;(ROW()-1),Registre!$AA$2:$AA$2001,0)),"")</f>
        <v/>
      </c>
      <c r="P88">
        <f>IFERROR(INDEX(Registre!$B$2:$B$2001,MATCH(P$1&amp;"|"&amp;(ROW()-1),Registre!$AA$2:$AA$2001,0)),"")</f>
        <v/>
      </c>
      <c r="Q88">
        <f>IFERROR(INDEX(Registre!$B$2:$B$2001,MATCH(Q$1&amp;"|"&amp;(ROW()-1),Registre!$AA$2:$AA$2001,0)),"")</f>
        <v/>
      </c>
      <c r="R88">
        <f>IFERROR(INDEX(Registre!$B$2:$B$2001,MATCH(R$1&amp;"|"&amp;(ROW()-1),Registre!$AA$2:$AA$2001,0)),"")</f>
        <v/>
      </c>
      <c r="S88">
        <f>IFERROR(INDEX(Registre!$B$2:$B$2001,MATCH(S$1&amp;"|"&amp;(ROW()-1),Registre!$AA$2:$AA$2001,0)),"")</f>
        <v/>
      </c>
      <c r="T88">
        <f>IFERROR(INDEX(Registre!$B$2:$B$2001,MATCH(T$1&amp;"|"&amp;(ROW()-1),Registre!$AA$2:$AA$2001,0)),"")</f>
        <v/>
      </c>
      <c r="U88">
        <f>IFERROR(INDEX(Registre!$B$2:$B$2001,MATCH(U$1&amp;"|"&amp;(ROW()-1),Registre!$AA$2:$AA$2001,0)),"")</f>
        <v/>
      </c>
      <c r="V88">
        <f>IFERROR(INDEX(Registre!$B$2:$B$2001,MATCH(V$1&amp;"|"&amp;(ROW()-1),Registre!$AA$2:$AA$2001,0)),"")</f>
        <v/>
      </c>
    </row>
    <row r="89">
      <c r="O89">
        <f>IFERROR(INDEX(Registre!$B$2:$B$2001,MATCH(O$1&amp;"|"&amp;(ROW()-1),Registre!$AA$2:$AA$2001,0)),"")</f>
        <v/>
      </c>
      <c r="P89">
        <f>IFERROR(INDEX(Registre!$B$2:$B$2001,MATCH(P$1&amp;"|"&amp;(ROW()-1),Registre!$AA$2:$AA$2001,0)),"")</f>
        <v/>
      </c>
      <c r="Q89">
        <f>IFERROR(INDEX(Registre!$B$2:$B$2001,MATCH(Q$1&amp;"|"&amp;(ROW()-1),Registre!$AA$2:$AA$2001,0)),"")</f>
        <v/>
      </c>
      <c r="R89">
        <f>IFERROR(INDEX(Registre!$B$2:$B$2001,MATCH(R$1&amp;"|"&amp;(ROW()-1),Registre!$AA$2:$AA$2001,0)),"")</f>
        <v/>
      </c>
      <c r="S89">
        <f>IFERROR(INDEX(Registre!$B$2:$B$2001,MATCH(S$1&amp;"|"&amp;(ROW()-1),Registre!$AA$2:$AA$2001,0)),"")</f>
        <v/>
      </c>
      <c r="T89">
        <f>IFERROR(INDEX(Registre!$B$2:$B$2001,MATCH(T$1&amp;"|"&amp;(ROW()-1),Registre!$AA$2:$AA$2001,0)),"")</f>
        <v/>
      </c>
      <c r="U89">
        <f>IFERROR(INDEX(Registre!$B$2:$B$2001,MATCH(U$1&amp;"|"&amp;(ROW()-1),Registre!$AA$2:$AA$2001,0)),"")</f>
        <v/>
      </c>
      <c r="V89">
        <f>IFERROR(INDEX(Registre!$B$2:$B$2001,MATCH(V$1&amp;"|"&amp;(ROW()-1),Registre!$AA$2:$AA$2001,0)),"")</f>
        <v/>
      </c>
    </row>
    <row r="90">
      <c r="O90">
        <f>IFERROR(INDEX(Registre!$B$2:$B$2001,MATCH(O$1&amp;"|"&amp;(ROW()-1),Registre!$AA$2:$AA$2001,0)),"")</f>
        <v/>
      </c>
      <c r="P90">
        <f>IFERROR(INDEX(Registre!$B$2:$B$2001,MATCH(P$1&amp;"|"&amp;(ROW()-1),Registre!$AA$2:$AA$2001,0)),"")</f>
        <v/>
      </c>
      <c r="Q90">
        <f>IFERROR(INDEX(Registre!$B$2:$B$2001,MATCH(Q$1&amp;"|"&amp;(ROW()-1),Registre!$AA$2:$AA$2001,0)),"")</f>
        <v/>
      </c>
      <c r="R90">
        <f>IFERROR(INDEX(Registre!$B$2:$B$2001,MATCH(R$1&amp;"|"&amp;(ROW()-1),Registre!$AA$2:$AA$2001,0)),"")</f>
        <v/>
      </c>
      <c r="S90">
        <f>IFERROR(INDEX(Registre!$B$2:$B$2001,MATCH(S$1&amp;"|"&amp;(ROW()-1),Registre!$AA$2:$AA$2001,0)),"")</f>
        <v/>
      </c>
      <c r="T90">
        <f>IFERROR(INDEX(Registre!$B$2:$B$2001,MATCH(T$1&amp;"|"&amp;(ROW()-1),Registre!$AA$2:$AA$2001,0)),"")</f>
        <v/>
      </c>
      <c r="U90">
        <f>IFERROR(INDEX(Registre!$B$2:$B$2001,MATCH(U$1&amp;"|"&amp;(ROW()-1),Registre!$AA$2:$AA$2001,0)),"")</f>
        <v/>
      </c>
      <c r="V90">
        <f>IFERROR(INDEX(Registre!$B$2:$B$2001,MATCH(V$1&amp;"|"&amp;(ROW()-1),Registre!$AA$2:$AA$2001,0)),"")</f>
        <v/>
      </c>
    </row>
    <row r="91">
      <c r="O91">
        <f>IFERROR(INDEX(Registre!$B$2:$B$2001,MATCH(O$1&amp;"|"&amp;(ROW()-1),Registre!$AA$2:$AA$2001,0)),"")</f>
        <v/>
      </c>
      <c r="P91">
        <f>IFERROR(INDEX(Registre!$B$2:$B$2001,MATCH(P$1&amp;"|"&amp;(ROW()-1),Registre!$AA$2:$AA$2001,0)),"")</f>
        <v/>
      </c>
      <c r="Q91">
        <f>IFERROR(INDEX(Registre!$B$2:$B$2001,MATCH(Q$1&amp;"|"&amp;(ROW()-1),Registre!$AA$2:$AA$2001,0)),"")</f>
        <v/>
      </c>
      <c r="R91">
        <f>IFERROR(INDEX(Registre!$B$2:$B$2001,MATCH(R$1&amp;"|"&amp;(ROW()-1),Registre!$AA$2:$AA$2001,0)),"")</f>
        <v/>
      </c>
      <c r="S91">
        <f>IFERROR(INDEX(Registre!$B$2:$B$2001,MATCH(S$1&amp;"|"&amp;(ROW()-1),Registre!$AA$2:$AA$2001,0)),"")</f>
        <v/>
      </c>
      <c r="T91">
        <f>IFERROR(INDEX(Registre!$B$2:$B$2001,MATCH(T$1&amp;"|"&amp;(ROW()-1),Registre!$AA$2:$AA$2001,0)),"")</f>
        <v/>
      </c>
      <c r="U91">
        <f>IFERROR(INDEX(Registre!$B$2:$B$2001,MATCH(U$1&amp;"|"&amp;(ROW()-1),Registre!$AA$2:$AA$2001,0)),"")</f>
        <v/>
      </c>
      <c r="V91">
        <f>IFERROR(INDEX(Registre!$B$2:$B$2001,MATCH(V$1&amp;"|"&amp;(ROW()-1),Registre!$AA$2:$AA$2001,0)),"")</f>
        <v/>
      </c>
    </row>
    <row r="92">
      <c r="O92">
        <f>IFERROR(INDEX(Registre!$B$2:$B$2001,MATCH(O$1&amp;"|"&amp;(ROW()-1),Registre!$AA$2:$AA$2001,0)),"")</f>
        <v/>
      </c>
      <c r="P92">
        <f>IFERROR(INDEX(Registre!$B$2:$B$2001,MATCH(P$1&amp;"|"&amp;(ROW()-1),Registre!$AA$2:$AA$2001,0)),"")</f>
        <v/>
      </c>
      <c r="Q92">
        <f>IFERROR(INDEX(Registre!$B$2:$B$2001,MATCH(Q$1&amp;"|"&amp;(ROW()-1),Registre!$AA$2:$AA$2001,0)),"")</f>
        <v/>
      </c>
      <c r="R92">
        <f>IFERROR(INDEX(Registre!$B$2:$B$2001,MATCH(R$1&amp;"|"&amp;(ROW()-1),Registre!$AA$2:$AA$2001,0)),"")</f>
        <v/>
      </c>
      <c r="S92">
        <f>IFERROR(INDEX(Registre!$B$2:$B$2001,MATCH(S$1&amp;"|"&amp;(ROW()-1),Registre!$AA$2:$AA$2001,0)),"")</f>
        <v/>
      </c>
      <c r="T92">
        <f>IFERROR(INDEX(Registre!$B$2:$B$2001,MATCH(T$1&amp;"|"&amp;(ROW()-1),Registre!$AA$2:$AA$2001,0)),"")</f>
        <v/>
      </c>
      <c r="U92">
        <f>IFERROR(INDEX(Registre!$B$2:$B$2001,MATCH(U$1&amp;"|"&amp;(ROW()-1),Registre!$AA$2:$AA$2001,0)),"")</f>
        <v/>
      </c>
      <c r="V92">
        <f>IFERROR(INDEX(Registre!$B$2:$B$2001,MATCH(V$1&amp;"|"&amp;(ROW()-1),Registre!$AA$2:$AA$2001,0)),"")</f>
        <v/>
      </c>
    </row>
    <row r="93">
      <c r="O93">
        <f>IFERROR(INDEX(Registre!$B$2:$B$2001,MATCH(O$1&amp;"|"&amp;(ROW()-1),Registre!$AA$2:$AA$2001,0)),"")</f>
        <v/>
      </c>
      <c r="P93">
        <f>IFERROR(INDEX(Registre!$B$2:$B$2001,MATCH(P$1&amp;"|"&amp;(ROW()-1),Registre!$AA$2:$AA$2001,0)),"")</f>
        <v/>
      </c>
      <c r="Q93">
        <f>IFERROR(INDEX(Registre!$B$2:$B$2001,MATCH(Q$1&amp;"|"&amp;(ROW()-1),Registre!$AA$2:$AA$2001,0)),"")</f>
        <v/>
      </c>
      <c r="R93">
        <f>IFERROR(INDEX(Registre!$B$2:$B$2001,MATCH(R$1&amp;"|"&amp;(ROW()-1),Registre!$AA$2:$AA$2001,0)),"")</f>
        <v/>
      </c>
      <c r="S93">
        <f>IFERROR(INDEX(Registre!$B$2:$B$2001,MATCH(S$1&amp;"|"&amp;(ROW()-1),Registre!$AA$2:$AA$2001,0)),"")</f>
        <v/>
      </c>
      <c r="T93">
        <f>IFERROR(INDEX(Registre!$B$2:$B$2001,MATCH(T$1&amp;"|"&amp;(ROW()-1),Registre!$AA$2:$AA$2001,0)),"")</f>
        <v/>
      </c>
      <c r="U93">
        <f>IFERROR(INDEX(Registre!$B$2:$B$2001,MATCH(U$1&amp;"|"&amp;(ROW()-1),Registre!$AA$2:$AA$2001,0)),"")</f>
        <v/>
      </c>
      <c r="V93">
        <f>IFERROR(INDEX(Registre!$B$2:$B$2001,MATCH(V$1&amp;"|"&amp;(ROW()-1),Registre!$AA$2:$AA$2001,0)),"")</f>
        <v/>
      </c>
    </row>
    <row r="94">
      <c r="O94">
        <f>IFERROR(INDEX(Registre!$B$2:$B$2001,MATCH(O$1&amp;"|"&amp;(ROW()-1),Registre!$AA$2:$AA$2001,0)),"")</f>
        <v/>
      </c>
      <c r="P94">
        <f>IFERROR(INDEX(Registre!$B$2:$B$2001,MATCH(P$1&amp;"|"&amp;(ROW()-1),Registre!$AA$2:$AA$2001,0)),"")</f>
        <v/>
      </c>
      <c r="Q94">
        <f>IFERROR(INDEX(Registre!$B$2:$B$2001,MATCH(Q$1&amp;"|"&amp;(ROW()-1),Registre!$AA$2:$AA$2001,0)),"")</f>
        <v/>
      </c>
      <c r="R94">
        <f>IFERROR(INDEX(Registre!$B$2:$B$2001,MATCH(R$1&amp;"|"&amp;(ROW()-1),Registre!$AA$2:$AA$2001,0)),"")</f>
        <v/>
      </c>
      <c r="S94">
        <f>IFERROR(INDEX(Registre!$B$2:$B$2001,MATCH(S$1&amp;"|"&amp;(ROW()-1),Registre!$AA$2:$AA$2001,0)),"")</f>
        <v/>
      </c>
      <c r="T94">
        <f>IFERROR(INDEX(Registre!$B$2:$B$2001,MATCH(T$1&amp;"|"&amp;(ROW()-1),Registre!$AA$2:$AA$2001,0)),"")</f>
        <v/>
      </c>
      <c r="U94">
        <f>IFERROR(INDEX(Registre!$B$2:$B$2001,MATCH(U$1&amp;"|"&amp;(ROW()-1),Registre!$AA$2:$AA$2001,0)),"")</f>
        <v/>
      </c>
      <c r="V94">
        <f>IFERROR(INDEX(Registre!$B$2:$B$2001,MATCH(V$1&amp;"|"&amp;(ROW()-1),Registre!$AA$2:$AA$2001,0)),"")</f>
        <v/>
      </c>
    </row>
    <row r="95">
      <c r="O95">
        <f>IFERROR(INDEX(Registre!$B$2:$B$2001,MATCH(O$1&amp;"|"&amp;(ROW()-1),Registre!$AA$2:$AA$2001,0)),"")</f>
        <v/>
      </c>
      <c r="P95">
        <f>IFERROR(INDEX(Registre!$B$2:$B$2001,MATCH(P$1&amp;"|"&amp;(ROW()-1),Registre!$AA$2:$AA$2001,0)),"")</f>
        <v/>
      </c>
      <c r="Q95">
        <f>IFERROR(INDEX(Registre!$B$2:$B$2001,MATCH(Q$1&amp;"|"&amp;(ROW()-1),Registre!$AA$2:$AA$2001,0)),"")</f>
        <v/>
      </c>
      <c r="R95">
        <f>IFERROR(INDEX(Registre!$B$2:$B$2001,MATCH(R$1&amp;"|"&amp;(ROW()-1),Registre!$AA$2:$AA$2001,0)),"")</f>
        <v/>
      </c>
      <c r="S95">
        <f>IFERROR(INDEX(Registre!$B$2:$B$2001,MATCH(S$1&amp;"|"&amp;(ROW()-1),Registre!$AA$2:$AA$2001,0)),"")</f>
        <v/>
      </c>
      <c r="T95">
        <f>IFERROR(INDEX(Registre!$B$2:$B$2001,MATCH(T$1&amp;"|"&amp;(ROW()-1),Registre!$AA$2:$AA$2001,0)),"")</f>
        <v/>
      </c>
      <c r="U95">
        <f>IFERROR(INDEX(Registre!$B$2:$B$2001,MATCH(U$1&amp;"|"&amp;(ROW()-1),Registre!$AA$2:$AA$2001,0)),"")</f>
        <v/>
      </c>
      <c r="V95">
        <f>IFERROR(INDEX(Registre!$B$2:$B$2001,MATCH(V$1&amp;"|"&amp;(ROW()-1),Registre!$AA$2:$AA$2001,0)),"")</f>
        <v/>
      </c>
    </row>
    <row r="96">
      <c r="O96">
        <f>IFERROR(INDEX(Registre!$B$2:$B$2001,MATCH(O$1&amp;"|"&amp;(ROW()-1),Registre!$AA$2:$AA$2001,0)),"")</f>
        <v/>
      </c>
      <c r="P96">
        <f>IFERROR(INDEX(Registre!$B$2:$B$2001,MATCH(P$1&amp;"|"&amp;(ROW()-1),Registre!$AA$2:$AA$2001,0)),"")</f>
        <v/>
      </c>
      <c r="Q96">
        <f>IFERROR(INDEX(Registre!$B$2:$B$2001,MATCH(Q$1&amp;"|"&amp;(ROW()-1),Registre!$AA$2:$AA$2001,0)),"")</f>
        <v/>
      </c>
      <c r="R96">
        <f>IFERROR(INDEX(Registre!$B$2:$B$2001,MATCH(R$1&amp;"|"&amp;(ROW()-1),Registre!$AA$2:$AA$2001,0)),"")</f>
        <v/>
      </c>
      <c r="S96">
        <f>IFERROR(INDEX(Registre!$B$2:$B$2001,MATCH(S$1&amp;"|"&amp;(ROW()-1),Registre!$AA$2:$AA$2001,0)),"")</f>
        <v/>
      </c>
      <c r="T96">
        <f>IFERROR(INDEX(Registre!$B$2:$B$2001,MATCH(T$1&amp;"|"&amp;(ROW()-1),Registre!$AA$2:$AA$2001,0)),"")</f>
        <v/>
      </c>
      <c r="U96">
        <f>IFERROR(INDEX(Registre!$B$2:$B$2001,MATCH(U$1&amp;"|"&amp;(ROW()-1),Registre!$AA$2:$AA$2001,0)),"")</f>
        <v/>
      </c>
      <c r="V96">
        <f>IFERROR(INDEX(Registre!$B$2:$B$2001,MATCH(V$1&amp;"|"&amp;(ROW()-1),Registre!$AA$2:$AA$2001,0)),"")</f>
        <v/>
      </c>
    </row>
    <row r="97">
      <c r="O97">
        <f>IFERROR(INDEX(Registre!$B$2:$B$2001,MATCH(O$1&amp;"|"&amp;(ROW()-1),Registre!$AA$2:$AA$2001,0)),"")</f>
        <v/>
      </c>
      <c r="P97">
        <f>IFERROR(INDEX(Registre!$B$2:$B$2001,MATCH(P$1&amp;"|"&amp;(ROW()-1),Registre!$AA$2:$AA$2001,0)),"")</f>
        <v/>
      </c>
      <c r="Q97">
        <f>IFERROR(INDEX(Registre!$B$2:$B$2001,MATCH(Q$1&amp;"|"&amp;(ROW()-1),Registre!$AA$2:$AA$2001,0)),"")</f>
        <v/>
      </c>
      <c r="R97">
        <f>IFERROR(INDEX(Registre!$B$2:$B$2001,MATCH(R$1&amp;"|"&amp;(ROW()-1),Registre!$AA$2:$AA$2001,0)),"")</f>
        <v/>
      </c>
      <c r="S97">
        <f>IFERROR(INDEX(Registre!$B$2:$B$2001,MATCH(S$1&amp;"|"&amp;(ROW()-1),Registre!$AA$2:$AA$2001,0)),"")</f>
        <v/>
      </c>
      <c r="T97">
        <f>IFERROR(INDEX(Registre!$B$2:$B$2001,MATCH(T$1&amp;"|"&amp;(ROW()-1),Registre!$AA$2:$AA$2001,0)),"")</f>
        <v/>
      </c>
      <c r="U97">
        <f>IFERROR(INDEX(Registre!$B$2:$B$2001,MATCH(U$1&amp;"|"&amp;(ROW()-1),Registre!$AA$2:$AA$2001,0)),"")</f>
        <v/>
      </c>
      <c r="V97">
        <f>IFERROR(INDEX(Registre!$B$2:$B$2001,MATCH(V$1&amp;"|"&amp;(ROW()-1),Registre!$AA$2:$AA$2001,0)),"")</f>
        <v/>
      </c>
    </row>
    <row r="98">
      <c r="O98">
        <f>IFERROR(INDEX(Registre!$B$2:$B$2001,MATCH(O$1&amp;"|"&amp;(ROW()-1),Registre!$AA$2:$AA$2001,0)),"")</f>
        <v/>
      </c>
      <c r="P98">
        <f>IFERROR(INDEX(Registre!$B$2:$B$2001,MATCH(P$1&amp;"|"&amp;(ROW()-1),Registre!$AA$2:$AA$2001,0)),"")</f>
        <v/>
      </c>
      <c r="Q98">
        <f>IFERROR(INDEX(Registre!$B$2:$B$2001,MATCH(Q$1&amp;"|"&amp;(ROW()-1),Registre!$AA$2:$AA$2001,0)),"")</f>
        <v/>
      </c>
      <c r="R98">
        <f>IFERROR(INDEX(Registre!$B$2:$B$2001,MATCH(R$1&amp;"|"&amp;(ROW()-1),Registre!$AA$2:$AA$2001,0)),"")</f>
        <v/>
      </c>
      <c r="S98">
        <f>IFERROR(INDEX(Registre!$B$2:$B$2001,MATCH(S$1&amp;"|"&amp;(ROW()-1),Registre!$AA$2:$AA$2001,0)),"")</f>
        <v/>
      </c>
      <c r="T98">
        <f>IFERROR(INDEX(Registre!$B$2:$B$2001,MATCH(T$1&amp;"|"&amp;(ROW()-1),Registre!$AA$2:$AA$2001,0)),"")</f>
        <v/>
      </c>
      <c r="U98">
        <f>IFERROR(INDEX(Registre!$B$2:$B$2001,MATCH(U$1&amp;"|"&amp;(ROW()-1),Registre!$AA$2:$AA$2001,0)),"")</f>
        <v/>
      </c>
      <c r="V98">
        <f>IFERROR(INDEX(Registre!$B$2:$B$2001,MATCH(V$1&amp;"|"&amp;(ROW()-1),Registre!$AA$2:$AA$2001,0)),"")</f>
        <v/>
      </c>
    </row>
    <row r="99">
      <c r="O99">
        <f>IFERROR(INDEX(Registre!$B$2:$B$2001,MATCH(O$1&amp;"|"&amp;(ROW()-1),Registre!$AA$2:$AA$2001,0)),"")</f>
        <v/>
      </c>
      <c r="P99">
        <f>IFERROR(INDEX(Registre!$B$2:$B$2001,MATCH(P$1&amp;"|"&amp;(ROW()-1),Registre!$AA$2:$AA$2001,0)),"")</f>
        <v/>
      </c>
      <c r="Q99">
        <f>IFERROR(INDEX(Registre!$B$2:$B$2001,MATCH(Q$1&amp;"|"&amp;(ROW()-1),Registre!$AA$2:$AA$2001,0)),"")</f>
        <v/>
      </c>
      <c r="R99">
        <f>IFERROR(INDEX(Registre!$B$2:$B$2001,MATCH(R$1&amp;"|"&amp;(ROW()-1),Registre!$AA$2:$AA$2001,0)),"")</f>
        <v/>
      </c>
      <c r="S99">
        <f>IFERROR(INDEX(Registre!$B$2:$B$2001,MATCH(S$1&amp;"|"&amp;(ROW()-1),Registre!$AA$2:$AA$2001,0)),"")</f>
        <v/>
      </c>
      <c r="T99">
        <f>IFERROR(INDEX(Registre!$B$2:$B$2001,MATCH(T$1&amp;"|"&amp;(ROW()-1),Registre!$AA$2:$AA$2001,0)),"")</f>
        <v/>
      </c>
      <c r="U99">
        <f>IFERROR(INDEX(Registre!$B$2:$B$2001,MATCH(U$1&amp;"|"&amp;(ROW()-1),Registre!$AA$2:$AA$2001,0)),"")</f>
        <v/>
      </c>
      <c r="V99">
        <f>IFERROR(INDEX(Registre!$B$2:$B$2001,MATCH(V$1&amp;"|"&amp;(ROW()-1),Registre!$AA$2:$AA$2001,0)),"")</f>
        <v/>
      </c>
    </row>
    <row r="100">
      <c r="O100">
        <f>IFERROR(INDEX(Registre!$B$2:$B$2001,MATCH(O$1&amp;"|"&amp;(ROW()-1),Registre!$AA$2:$AA$2001,0)),"")</f>
        <v/>
      </c>
      <c r="P100">
        <f>IFERROR(INDEX(Registre!$B$2:$B$2001,MATCH(P$1&amp;"|"&amp;(ROW()-1),Registre!$AA$2:$AA$2001,0)),"")</f>
        <v/>
      </c>
      <c r="Q100">
        <f>IFERROR(INDEX(Registre!$B$2:$B$2001,MATCH(Q$1&amp;"|"&amp;(ROW()-1),Registre!$AA$2:$AA$2001,0)),"")</f>
        <v/>
      </c>
      <c r="R100">
        <f>IFERROR(INDEX(Registre!$B$2:$B$2001,MATCH(R$1&amp;"|"&amp;(ROW()-1),Registre!$AA$2:$AA$2001,0)),"")</f>
        <v/>
      </c>
      <c r="S100">
        <f>IFERROR(INDEX(Registre!$B$2:$B$2001,MATCH(S$1&amp;"|"&amp;(ROW()-1),Registre!$AA$2:$AA$2001,0)),"")</f>
        <v/>
      </c>
      <c r="T100">
        <f>IFERROR(INDEX(Registre!$B$2:$B$2001,MATCH(T$1&amp;"|"&amp;(ROW()-1),Registre!$AA$2:$AA$2001,0)),"")</f>
        <v/>
      </c>
      <c r="U100">
        <f>IFERROR(INDEX(Registre!$B$2:$B$2001,MATCH(U$1&amp;"|"&amp;(ROW()-1),Registre!$AA$2:$AA$2001,0)),"")</f>
        <v/>
      </c>
      <c r="V100">
        <f>IFERROR(INDEX(Registre!$B$2:$B$2001,MATCH(V$1&amp;"|"&amp;(ROW()-1),Registre!$AA$2:$AA$2001,0)),"")</f>
        <v/>
      </c>
    </row>
    <row r="101">
      <c r="O101">
        <f>IFERROR(INDEX(Registre!$B$2:$B$2001,MATCH(O$1&amp;"|"&amp;(ROW()-1),Registre!$AA$2:$AA$2001,0)),"")</f>
        <v/>
      </c>
      <c r="P101">
        <f>IFERROR(INDEX(Registre!$B$2:$B$2001,MATCH(P$1&amp;"|"&amp;(ROW()-1),Registre!$AA$2:$AA$2001,0)),"")</f>
        <v/>
      </c>
      <c r="Q101">
        <f>IFERROR(INDEX(Registre!$B$2:$B$2001,MATCH(Q$1&amp;"|"&amp;(ROW()-1),Registre!$AA$2:$AA$2001,0)),"")</f>
        <v/>
      </c>
      <c r="R101">
        <f>IFERROR(INDEX(Registre!$B$2:$B$2001,MATCH(R$1&amp;"|"&amp;(ROW()-1),Registre!$AA$2:$AA$2001,0)),"")</f>
        <v/>
      </c>
      <c r="S101">
        <f>IFERROR(INDEX(Registre!$B$2:$B$2001,MATCH(S$1&amp;"|"&amp;(ROW()-1),Registre!$AA$2:$AA$2001,0)),"")</f>
        <v/>
      </c>
      <c r="T101">
        <f>IFERROR(INDEX(Registre!$B$2:$B$2001,MATCH(T$1&amp;"|"&amp;(ROW()-1),Registre!$AA$2:$AA$2001,0)),"")</f>
        <v/>
      </c>
      <c r="U101">
        <f>IFERROR(INDEX(Registre!$B$2:$B$2001,MATCH(U$1&amp;"|"&amp;(ROW()-1),Registre!$AA$2:$AA$2001,0)),"")</f>
        <v/>
      </c>
      <c r="V101">
        <f>IFERROR(INDEX(Registre!$B$2:$B$2001,MATCH(V$1&amp;"|"&amp;(ROW()-1),Registre!$AA$2:$AA$2001,0)),"")</f>
        <v/>
      </c>
    </row>
    <row r="102">
      <c r="O102">
        <f>IFERROR(INDEX(Registre!$B$2:$B$2001,MATCH(O$1&amp;"|"&amp;(ROW()-1),Registre!$AA$2:$AA$2001,0)),"")</f>
        <v/>
      </c>
      <c r="P102">
        <f>IFERROR(INDEX(Registre!$B$2:$B$2001,MATCH(P$1&amp;"|"&amp;(ROW()-1),Registre!$AA$2:$AA$2001,0)),"")</f>
        <v/>
      </c>
      <c r="Q102">
        <f>IFERROR(INDEX(Registre!$B$2:$B$2001,MATCH(Q$1&amp;"|"&amp;(ROW()-1),Registre!$AA$2:$AA$2001,0)),"")</f>
        <v/>
      </c>
      <c r="R102">
        <f>IFERROR(INDEX(Registre!$B$2:$B$2001,MATCH(R$1&amp;"|"&amp;(ROW()-1),Registre!$AA$2:$AA$2001,0)),"")</f>
        <v/>
      </c>
      <c r="S102">
        <f>IFERROR(INDEX(Registre!$B$2:$B$2001,MATCH(S$1&amp;"|"&amp;(ROW()-1),Registre!$AA$2:$AA$2001,0)),"")</f>
        <v/>
      </c>
      <c r="T102">
        <f>IFERROR(INDEX(Registre!$B$2:$B$2001,MATCH(T$1&amp;"|"&amp;(ROW()-1),Registre!$AA$2:$AA$2001,0)),"")</f>
        <v/>
      </c>
      <c r="U102">
        <f>IFERROR(INDEX(Registre!$B$2:$B$2001,MATCH(U$1&amp;"|"&amp;(ROW()-1),Registre!$AA$2:$AA$2001,0)),"")</f>
        <v/>
      </c>
      <c r="V102">
        <f>IFERROR(INDEX(Registre!$B$2:$B$2001,MATCH(V$1&amp;"|"&amp;(ROW()-1),Registre!$AA$2:$AA$2001,0)),"")</f>
        <v/>
      </c>
    </row>
    <row r="103">
      <c r="O103">
        <f>IFERROR(INDEX(Registre!$B$2:$B$2001,MATCH(O$1&amp;"|"&amp;(ROW()-1),Registre!$AA$2:$AA$2001,0)),"")</f>
        <v/>
      </c>
      <c r="P103">
        <f>IFERROR(INDEX(Registre!$B$2:$B$2001,MATCH(P$1&amp;"|"&amp;(ROW()-1),Registre!$AA$2:$AA$2001,0)),"")</f>
        <v/>
      </c>
      <c r="Q103">
        <f>IFERROR(INDEX(Registre!$B$2:$B$2001,MATCH(Q$1&amp;"|"&amp;(ROW()-1),Registre!$AA$2:$AA$2001,0)),"")</f>
        <v/>
      </c>
      <c r="R103">
        <f>IFERROR(INDEX(Registre!$B$2:$B$2001,MATCH(R$1&amp;"|"&amp;(ROW()-1),Registre!$AA$2:$AA$2001,0)),"")</f>
        <v/>
      </c>
      <c r="S103">
        <f>IFERROR(INDEX(Registre!$B$2:$B$2001,MATCH(S$1&amp;"|"&amp;(ROW()-1),Registre!$AA$2:$AA$2001,0)),"")</f>
        <v/>
      </c>
      <c r="T103">
        <f>IFERROR(INDEX(Registre!$B$2:$B$2001,MATCH(T$1&amp;"|"&amp;(ROW()-1),Registre!$AA$2:$AA$2001,0)),"")</f>
        <v/>
      </c>
      <c r="U103">
        <f>IFERROR(INDEX(Registre!$B$2:$B$2001,MATCH(U$1&amp;"|"&amp;(ROW()-1),Registre!$AA$2:$AA$2001,0)),"")</f>
        <v/>
      </c>
      <c r="V103">
        <f>IFERROR(INDEX(Registre!$B$2:$B$2001,MATCH(V$1&amp;"|"&amp;(ROW()-1),Registre!$AA$2:$AA$2001,0)),"")</f>
        <v/>
      </c>
    </row>
    <row r="104">
      <c r="O104">
        <f>IFERROR(INDEX(Registre!$B$2:$B$2001,MATCH(O$1&amp;"|"&amp;(ROW()-1),Registre!$AA$2:$AA$2001,0)),"")</f>
        <v/>
      </c>
      <c r="P104">
        <f>IFERROR(INDEX(Registre!$B$2:$B$2001,MATCH(P$1&amp;"|"&amp;(ROW()-1),Registre!$AA$2:$AA$2001,0)),"")</f>
        <v/>
      </c>
      <c r="Q104">
        <f>IFERROR(INDEX(Registre!$B$2:$B$2001,MATCH(Q$1&amp;"|"&amp;(ROW()-1),Registre!$AA$2:$AA$2001,0)),"")</f>
        <v/>
      </c>
      <c r="R104">
        <f>IFERROR(INDEX(Registre!$B$2:$B$2001,MATCH(R$1&amp;"|"&amp;(ROW()-1),Registre!$AA$2:$AA$2001,0)),"")</f>
        <v/>
      </c>
      <c r="S104">
        <f>IFERROR(INDEX(Registre!$B$2:$B$2001,MATCH(S$1&amp;"|"&amp;(ROW()-1),Registre!$AA$2:$AA$2001,0)),"")</f>
        <v/>
      </c>
      <c r="T104">
        <f>IFERROR(INDEX(Registre!$B$2:$B$2001,MATCH(T$1&amp;"|"&amp;(ROW()-1),Registre!$AA$2:$AA$2001,0)),"")</f>
        <v/>
      </c>
      <c r="U104">
        <f>IFERROR(INDEX(Registre!$B$2:$B$2001,MATCH(U$1&amp;"|"&amp;(ROW()-1),Registre!$AA$2:$AA$2001,0)),"")</f>
        <v/>
      </c>
      <c r="V104">
        <f>IFERROR(INDEX(Registre!$B$2:$B$2001,MATCH(V$1&amp;"|"&amp;(ROW()-1),Registre!$AA$2:$AA$2001,0)),"")</f>
        <v/>
      </c>
    </row>
    <row r="105">
      <c r="O105">
        <f>IFERROR(INDEX(Registre!$B$2:$B$2001,MATCH(O$1&amp;"|"&amp;(ROW()-1),Registre!$AA$2:$AA$2001,0)),"")</f>
        <v/>
      </c>
      <c r="P105">
        <f>IFERROR(INDEX(Registre!$B$2:$B$2001,MATCH(P$1&amp;"|"&amp;(ROW()-1),Registre!$AA$2:$AA$2001,0)),"")</f>
        <v/>
      </c>
      <c r="Q105">
        <f>IFERROR(INDEX(Registre!$B$2:$B$2001,MATCH(Q$1&amp;"|"&amp;(ROW()-1),Registre!$AA$2:$AA$2001,0)),"")</f>
        <v/>
      </c>
      <c r="R105">
        <f>IFERROR(INDEX(Registre!$B$2:$B$2001,MATCH(R$1&amp;"|"&amp;(ROW()-1),Registre!$AA$2:$AA$2001,0)),"")</f>
        <v/>
      </c>
      <c r="S105">
        <f>IFERROR(INDEX(Registre!$B$2:$B$2001,MATCH(S$1&amp;"|"&amp;(ROW()-1),Registre!$AA$2:$AA$2001,0)),"")</f>
        <v/>
      </c>
      <c r="T105">
        <f>IFERROR(INDEX(Registre!$B$2:$B$2001,MATCH(T$1&amp;"|"&amp;(ROW()-1),Registre!$AA$2:$AA$2001,0)),"")</f>
        <v/>
      </c>
      <c r="U105">
        <f>IFERROR(INDEX(Registre!$B$2:$B$2001,MATCH(U$1&amp;"|"&amp;(ROW()-1),Registre!$AA$2:$AA$2001,0)),"")</f>
        <v/>
      </c>
      <c r="V105">
        <f>IFERROR(INDEX(Registre!$B$2:$B$2001,MATCH(V$1&amp;"|"&amp;(ROW()-1),Registre!$AA$2:$AA$2001,0)),"")</f>
        <v/>
      </c>
    </row>
    <row r="106">
      <c r="O106">
        <f>IFERROR(INDEX(Registre!$B$2:$B$2001,MATCH(O$1&amp;"|"&amp;(ROW()-1),Registre!$AA$2:$AA$2001,0)),"")</f>
        <v/>
      </c>
      <c r="P106">
        <f>IFERROR(INDEX(Registre!$B$2:$B$2001,MATCH(P$1&amp;"|"&amp;(ROW()-1),Registre!$AA$2:$AA$2001,0)),"")</f>
        <v/>
      </c>
      <c r="Q106">
        <f>IFERROR(INDEX(Registre!$B$2:$B$2001,MATCH(Q$1&amp;"|"&amp;(ROW()-1),Registre!$AA$2:$AA$2001,0)),"")</f>
        <v/>
      </c>
      <c r="R106">
        <f>IFERROR(INDEX(Registre!$B$2:$B$2001,MATCH(R$1&amp;"|"&amp;(ROW()-1),Registre!$AA$2:$AA$2001,0)),"")</f>
        <v/>
      </c>
      <c r="S106">
        <f>IFERROR(INDEX(Registre!$B$2:$B$2001,MATCH(S$1&amp;"|"&amp;(ROW()-1),Registre!$AA$2:$AA$2001,0)),"")</f>
        <v/>
      </c>
      <c r="T106">
        <f>IFERROR(INDEX(Registre!$B$2:$B$2001,MATCH(T$1&amp;"|"&amp;(ROW()-1),Registre!$AA$2:$AA$2001,0)),"")</f>
        <v/>
      </c>
      <c r="U106">
        <f>IFERROR(INDEX(Registre!$B$2:$B$2001,MATCH(U$1&amp;"|"&amp;(ROW()-1),Registre!$AA$2:$AA$2001,0)),"")</f>
        <v/>
      </c>
      <c r="V106">
        <f>IFERROR(INDEX(Registre!$B$2:$B$2001,MATCH(V$1&amp;"|"&amp;(ROW()-1),Registre!$AA$2:$AA$2001,0)),"")</f>
        <v/>
      </c>
    </row>
    <row r="107">
      <c r="O107">
        <f>IFERROR(INDEX(Registre!$B$2:$B$2001,MATCH(O$1&amp;"|"&amp;(ROW()-1),Registre!$AA$2:$AA$2001,0)),"")</f>
        <v/>
      </c>
      <c r="P107">
        <f>IFERROR(INDEX(Registre!$B$2:$B$2001,MATCH(P$1&amp;"|"&amp;(ROW()-1),Registre!$AA$2:$AA$2001,0)),"")</f>
        <v/>
      </c>
      <c r="Q107">
        <f>IFERROR(INDEX(Registre!$B$2:$B$2001,MATCH(Q$1&amp;"|"&amp;(ROW()-1),Registre!$AA$2:$AA$2001,0)),"")</f>
        <v/>
      </c>
      <c r="R107">
        <f>IFERROR(INDEX(Registre!$B$2:$B$2001,MATCH(R$1&amp;"|"&amp;(ROW()-1),Registre!$AA$2:$AA$2001,0)),"")</f>
        <v/>
      </c>
      <c r="S107">
        <f>IFERROR(INDEX(Registre!$B$2:$B$2001,MATCH(S$1&amp;"|"&amp;(ROW()-1),Registre!$AA$2:$AA$2001,0)),"")</f>
        <v/>
      </c>
      <c r="T107">
        <f>IFERROR(INDEX(Registre!$B$2:$B$2001,MATCH(T$1&amp;"|"&amp;(ROW()-1),Registre!$AA$2:$AA$2001,0)),"")</f>
        <v/>
      </c>
      <c r="U107">
        <f>IFERROR(INDEX(Registre!$B$2:$B$2001,MATCH(U$1&amp;"|"&amp;(ROW()-1),Registre!$AA$2:$AA$2001,0)),"")</f>
        <v/>
      </c>
      <c r="V107">
        <f>IFERROR(INDEX(Registre!$B$2:$B$2001,MATCH(V$1&amp;"|"&amp;(ROW()-1),Registre!$AA$2:$AA$2001,0)),"")</f>
        <v/>
      </c>
    </row>
    <row r="108">
      <c r="O108">
        <f>IFERROR(INDEX(Registre!$B$2:$B$2001,MATCH(O$1&amp;"|"&amp;(ROW()-1),Registre!$AA$2:$AA$2001,0)),"")</f>
        <v/>
      </c>
      <c r="P108">
        <f>IFERROR(INDEX(Registre!$B$2:$B$2001,MATCH(P$1&amp;"|"&amp;(ROW()-1),Registre!$AA$2:$AA$2001,0)),"")</f>
        <v/>
      </c>
      <c r="Q108">
        <f>IFERROR(INDEX(Registre!$B$2:$B$2001,MATCH(Q$1&amp;"|"&amp;(ROW()-1),Registre!$AA$2:$AA$2001,0)),"")</f>
        <v/>
      </c>
      <c r="R108">
        <f>IFERROR(INDEX(Registre!$B$2:$B$2001,MATCH(R$1&amp;"|"&amp;(ROW()-1),Registre!$AA$2:$AA$2001,0)),"")</f>
        <v/>
      </c>
      <c r="S108">
        <f>IFERROR(INDEX(Registre!$B$2:$B$2001,MATCH(S$1&amp;"|"&amp;(ROW()-1),Registre!$AA$2:$AA$2001,0)),"")</f>
        <v/>
      </c>
      <c r="T108">
        <f>IFERROR(INDEX(Registre!$B$2:$B$2001,MATCH(T$1&amp;"|"&amp;(ROW()-1),Registre!$AA$2:$AA$2001,0)),"")</f>
        <v/>
      </c>
      <c r="U108">
        <f>IFERROR(INDEX(Registre!$B$2:$B$2001,MATCH(U$1&amp;"|"&amp;(ROW()-1),Registre!$AA$2:$AA$2001,0)),"")</f>
        <v/>
      </c>
      <c r="V108">
        <f>IFERROR(INDEX(Registre!$B$2:$B$2001,MATCH(V$1&amp;"|"&amp;(ROW()-1),Registre!$AA$2:$AA$2001,0)),"")</f>
        <v/>
      </c>
    </row>
    <row r="109">
      <c r="O109">
        <f>IFERROR(INDEX(Registre!$B$2:$B$2001,MATCH(O$1&amp;"|"&amp;(ROW()-1),Registre!$AA$2:$AA$2001,0)),"")</f>
        <v/>
      </c>
      <c r="P109">
        <f>IFERROR(INDEX(Registre!$B$2:$B$2001,MATCH(P$1&amp;"|"&amp;(ROW()-1),Registre!$AA$2:$AA$2001,0)),"")</f>
        <v/>
      </c>
      <c r="Q109">
        <f>IFERROR(INDEX(Registre!$B$2:$B$2001,MATCH(Q$1&amp;"|"&amp;(ROW()-1),Registre!$AA$2:$AA$2001,0)),"")</f>
        <v/>
      </c>
      <c r="R109">
        <f>IFERROR(INDEX(Registre!$B$2:$B$2001,MATCH(R$1&amp;"|"&amp;(ROW()-1),Registre!$AA$2:$AA$2001,0)),"")</f>
        <v/>
      </c>
      <c r="S109">
        <f>IFERROR(INDEX(Registre!$B$2:$B$2001,MATCH(S$1&amp;"|"&amp;(ROW()-1),Registre!$AA$2:$AA$2001,0)),"")</f>
        <v/>
      </c>
      <c r="T109">
        <f>IFERROR(INDEX(Registre!$B$2:$B$2001,MATCH(T$1&amp;"|"&amp;(ROW()-1),Registre!$AA$2:$AA$2001,0)),"")</f>
        <v/>
      </c>
      <c r="U109">
        <f>IFERROR(INDEX(Registre!$B$2:$B$2001,MATCH(U$1&amp;"|"&amp;(ROW()-1),Registre!$AA$2:$AA$2001,0)),"")</f>
        <v/>
      </c>
      <c r="V109">
        <f>IFERROR(INDEX(Registre!$B$2:$B$2001,MATCH(V$1&amp;"|"&amp;(ROW()-1),Registre!$AA$2:$AA$2001,0)),"")</f>
        <v/>
      </c>
    </row>
    <row r="110">
      <c r="O110">
        <f>IFERROR(INDEX(Registre!$B$2:$B$2001,MATCH(O$1&amp;"|"&amp;(ROW()-1),Registre!$AA$2:$AA$2001,0)),"")</f>
        <v/>
      </c>
      <c r="P110">
        <f>IFERROR(INDEX(Registre!$B$2:$B$2001,MATCH(P$1&amp;"|"&amp;(ROW()-1),Registre!$AA$2:$AA$2001,0)),"")</f>
        <v/>
      </c>
      <c r="Q110">
        <f>IFERROR(INDEX(Registre!$B$2:$B$2001,MATCH(Q$1&amp;"|"&amp;(ROW()-1),Registre!$AA$2:$AA$2001,0)),"")</f>
        <v/>
      </c>
      <c r="R110">
        <f>IFERROR(INDEX(Registre!$B$2:$B$2001,MATCH(R$1&amp;"|"&amp;(ROW()-1),Registre!$AA$2:$AA$2001,0)),"")</f>
        <v/>
      </c>
      <c r="S110">
        <f>IFERROR(INDEX(Registre!$B$2:$B$2001,MATCH(S$1&amp;"|"&amp;(ROW()-1),Registre!$AA$2:$AA$2001,0)),"")</f>
        <v/>
      </c>
      <c r="T110">
        <f>IFERROR(INDEX(Registre!$B$2:$B$2001,MATCH(T$1&amp;"|"&amp;(ROW()-1),Registre!$AA$2:$AA$2001,0)),"")</f>
        <v/>
      </c>
      <c r="U110">
        <f>IFERROR(INDEX(Registre!$B$2:$B$2001,MATCH(U$1&amp;"|"&amp;(ROW()-1),Registre!$AA$2:$AA$2001,0)),"")</f>
        <v/>
      </c>
      <c r="V110">
        <f>IFERROR(INDEX(Registre!$B$2:$B$2001,MATCH(V$1&amp;"|"&amp;(ROW()-1),Registre!$AA$2:$AA$2001,0)),"")</f>
        <v/>
      </c>
    </row>
    <row r="111">
      <c r="O111">
        <f>IFERROR(INDEX(Registre!$B$2:$B$2001,MATCH(O$1&amp;"|"&amp;(ROW()-1),Registre!$AA$2:$AA$2001,0)),"")</f>
        <v/>
      </c>
      <c r="P111">
        <f>IFERROR(INDEX(Registre!$B$2:$B$2001,MATCH(P$1&amp;"|"&amp;(ROW()-1),Registre!$AA$2:$AA$2001,0)),"")</f>
        <v/>
      </c>
      <c r="Q111">
        <f>IFERROR(INDEX(Registre!$B$2:$B$2001,MATCH(Q$1&amp;"|"&amp;(ROW()-1),Registre!$AA$2:$AA$2001,0)),"")</f>
        <v/>
      </c>
      <c r="R111">
        <f>IFERROR(INDEX(Registre!$B$2:$B$2001,MATCH(R$1&amp;"|"&amp;(ROW()-1),Registre!$AA$2:$AA$2001,0)),"")</f>
        <v/>
      </c>
      <c r="S111">
        <f>IFERROR(INDEX(Registre!$B$2:$B$2001,MATCH(S$1&amp;"|"&amp;(ROW()-1),Registre!$AA$2:$AA$2001,0)),"")</f>
        <v/>
      </c>
      <c r="T111">
        <f>IFERROR(INDEX(Registre!$B$2:$B$2001,MATCH(T$1&amp;"|"&amp;(ROW()-1),Registre!$AA$2:$AA$2001,0)),"")</f>
        <v/>
      </c>
      <c r="U111">
        <f>IFERROR(INDEX(Registre!$B$2:$B$2001,MATCH(U$1&amp;"|"&amp;(ROW()-1),Registre!$AA$2:$AA$2001,0)),"")</f>
        <v/>
      </c>
      <c r="V111">
        <f>IFERROR(INDEX(Registre!$B$2:$B$2001,MATCH(V$1&amp;"|"&amp;(ROW()-1),Registre!$AA$2:$AA$2001,0)),"")</f>
        <v/>
      </c>
    </row>
    <row r="112">
      <c r="O112">
        <f>IFERROR(INDEX(Registre!$B$2:$B$2001,MATCH(O$1&amp;"|"&amp;(ROW()-1),Registre!$AA$2:$AA$2001,0)),"")</f>
        <v/>
      </c>
      <c r="P112">
        <f>IFERROR(INDEX(Registre!$B$2:$B$2001,MATCH(P$1&amp;"|"&amp;(ROW()-1),Registre!$AA$2:$AA$2001,0)),"")</f>
        <v/>
      </c>
      <c r="Q112">
        <f>IFERROR(INDEX(Registre!$B$2:$B$2001,MATCH(Q$1&amp;"|"&amp;(ROW()-1),Registre!$AA$2:$AA$2001,0)),"")</f>
        <v/>
      </c>
      <c r="R112">
        <f>IFERROR(INDEX(Registre!$B$2:$B$2001,MATCH(R$1&amp;"|"&amp;(ROW()-1),Registre!$AA$2:$AA$2001,0)),"")</f>
        <v/>
      </c>
      <c r="S112">
        <f>IFERROR(INDEX(Registre!$B$2:$B$2001,MATCH(S$1&amp;"|"&amp;(ROW()-1),Registre!$AA$2:$AA$2001,0)),"")</f>
        <v/>
      </c>
      <c r="T112">
        <f>IFERROR(INDEX(Registre!$B$2:$B$2001,MATCH(T$1&amp;"|"&amp;(ROW()-1),Registre!$AA$2:$AA$2001,0)),"")</f>
        <v/>
      </c>
      <c r="U112">
        <f>IFERROR(INDEX(Registre!$B$2:$B$2001,MATCH(U$1&amp;"|"&amp;(ROW()-1),Registre!$AA$2:$AA$2001,0)),"")</f>
        <v/>
      </c>
      <c r="V112">
        <f>IFERROR(INDEX(Registre!$B$2:$B$2001,MATCH(V$1&amp;"|"&amp;(ROW()-1),Registre!$AA$2:$AA$2001,0)),"")</f>
        <v/>
      </c>
    </row>
    <row r="113">
      <c r="O113">
        <f>IFERROR(INDEX(Registre!$B$2:$B$2001,MATCH(O$1&amp;"|"&amp;(ROW()-1),Registre!$AA$2:$AA$2001,0)),"")</f>
        <v/>
      </c>
      <c r="P113">
        <f>IFERROR(INDEX(Registre!$B$2:$B$2001,MATCH(P$1&amp;"|"&amp;(ROW()-1),Registre!$AA$2:$AA$2001,0)),"")</f>
        <v/>
      </c>
      <c r="Q113">
        <f>IFERROR(INDEX(Registre!$B$2:$B$2001,MATCH(Q$1&amp;"|"&amp;(ROW()-1),Registre!$AA$2:$AA$2001,0)),"")</f>
        <v/>
      </c>
      <c r="R113">
        <f>IFERROR(INDEX(Registre!$B$2:$B$2001,MATCH(R$1&amp;"|"&amp;(ROW()-1),Registre!$AA$2:$AA$2001,0)),"")</f>
        <v/>
      </c>
      <c r="S113">
        <f>IFERROR(INDEX(Registre!$B$2:$B$2001,MATCH(S$1&amp;"|"&amp;(ROW()-1),Registre!$AA$2:$AA$2001,0)),"")</f>
        <v/>
      </c>
      <c r="T113">
        <f>IFERROR(INDEX(Registre!$B$2:$B$2001,MATCH(T$1&amp;"|"&amp;(ROW()-1),Registre!$AA$2:$AA$2001,0)),"")</f>
        <v/>
      </c>
      <c r="U113">
        <f>IFERROR(INDEX(Registre!$B$2:$B$2001,MATCH(U$1&amp;"|"&amp;(ROW()-1),Registre!$AA$2:$AA$2001,0)),"")</f>
        <v/>
      </c>
      <c r="V113">
        <f>IFERROR(INDEX(Registre!$B$2:$B$2001,MATCH(V$1&amp;"|"&amp;(ROW()-1),Registre!$AA$2:$AA$2001,0)),"")</f>
        <v/>
      </c>
    </row>
    <row r="114">
      <c r="O114">
        <f>IFERROR(INDEX(Registre!$B$2:$B$2001,MATCH(O$1&amp;"|"&amp;(ROW()-1),Registre!$AA$2:$AA$2001,0)),"")</f>
        <v/>
      </c>
      <c r="P114">
        <f>IFERROR(INDEX(Registre!$B$2:$B$2001,MATCH(P$1&amp;"|"&amp;(ROW()-1),Registre!$AA$2:$AA$2001,0)),"")</f>
        <v/>
      </c>
      <c r="Q114">
        <f>IFERROR(INDEX(Registre!$B$2:$B$2001,MATCH(Q$1&amp;"|"&amp;(ROW()-1),Registre!$AA$2:$AA$2001,0)),"")</f>
        <v/>
      </c>
      <c r="R114">
        <f>IFERROR(INDEX(Registre!$B$2:$B$2001,MATCH(R$1&amp;"|"&amp;(ROW()-1),Registre!$AA$2:$AA$2001,0)),"")</f>
        <v/>
      </c>
      <c r="S114">
        <f>IFERROR(INDEX(Registre!$B$2:$B$2001,MATCH(S$1&amp;"|"&amp;(ROW()-1),Registre!$AA$2:$AA$2001,0)),"")</f>
        <v/>
      </c>
      <c r="T114">
        <f>IFERROR(INDEX(Registre!$B$2:$B$2001,MATCH(T$1&amp;"|"&amp;(ROW()-1),Registre!$AA$2:$AA$2001,0)),"")</f>
        <v/>
      </c>
      <c r="U114">
        <f>IFERROR(INDEX(Registre!$B$2:$B$2001,MATCH(U$1&amp;"|"&amp;(ROW()-1),Registre!$AA$2:$AA$2001,0)),"")</f>
        <v/>
      </c>
      <c r="V114">
        <f>IFERROR(INDEX(Registre!$B$2:$B$2001,MATCH(V$1&amp;"|"&amp;(ROW()-1),Registre!$AA$2:$AA$2001,0)),"")</f>
        <v/>
      </c>
    </row>
    <row r="115">
      <c r="O115">
        <f>IFERROR(INDEX(Registre!$B$2:$B$2001,MATCH(O$1&amp;"|"&amp;(ROW()-1),Registre!$AA$2:$AA$2001,0)),"")</f>
        <v/>
      </c>
      <c r="P115">
        <f>IFERROR(INDEX(Registre!$B$2:$B$2001,MATCH(P$1&amp;"|"&amp;(ROW()-1),Registre!$AA$2:$AA$2001,0)),"")</f>
        <v/>
      </c>
      <c r="Q115">
        <f>IFERROR(INDEX(Registre!$B$2:$B$2001,MATCH(Q$1&amp;"|"&amp;(ROW()-1),Registre!$AA$2:$AA$2001,0)),"")</f>
        <v/>
      </c>
      <c r="R115">
        <f>IFERROR(INDEX(Registre!$B$2:$B$2001,MATCH(R$1&amp;"|"&amp;(ROW()-1),Registre!$AA$2:$AA$2001,0)),"")</f>
        <v/>
      </c>
      <c r="S115">
        <f>IFERROR(INDEX(Registre!$B$2:$B$2001,MATCH(S$1&amp;"|"&amp;(ROW()-1),Registre!$AA$2:$AA$2001,0)),"")</f>
        <v/>
      </c>
      <c r="T115">
        <f>IFERROR(INDEX(Registre!$B$2:$B$2001,MATCH(T$1&amp;"|"&amp;(ROW()-1),Registre!$AA$2:$AA$2001,0)),"")</f>
        <v/>
      </c>
      <c r="U115">
        <f>IFERROR(INDEX(Registre!$B$2:$B$2001,MATCH(U$1&amp;"|"&amp;(ROW()-1),Registre!$AA$2:$AA$2001,0)),"")</f>
        <v/>
      </c>
      <c r="V115">
        <f>IFERROR(INDEX(Registre!$B$2:$B$2001,MATCH(V$1&amp;"|"&amp;(ROW()-1),Registre!$AA$2:$AA$2001,0)),"")</f>
        <v/>
      </c>
    </row>
    <row r="116">
      <c r="O116">
        <f>IFERROR(INDEX(Registre!$B$2:$B$2001,MATCH(O$1&amp;"|"&amp;(ROW()-1),Registre!$AA$2:$AA$2001,0)),"")</f>
        <v/>
      </c>
      <c r="P116">
        <f>IFERROR(INDEX(Registre!$B$2:$B$2001,MATCH(P$1&amp;"|"&amp;(ROW()-1),Registre!$AA$2:$AA$2001,0)),"")</f>
        <v/>
      </c>
      <c r="Q116">
        <f>IFERROR(INDEX(Registre!$B$2:$B$2001,MATCH(Q$1&amp;"|"&amp;(ROW()-1),Registre!$AA$2:$AA$2001,0)),"")</f>
        <v/>
      </c>
      <c r="R116">
        <f>IFERROR(INDEX(Registre!$B$2:$B$2001,MATCH(R$1&amp;"|"&amp;(ROW()-1),Registre!$AA$2:$AA$2001,0)),"")</f>
        <v/>
      </c>
      <c r="S116">
        <f>IFERROR(INDEX(Registre!$B$2:$B$2001,MATCH(S$1&amp;"|"&amp;(ROW()-1),Registre!$AA$2:$AA$2001,0)),"")</f>
        <v/>
      </c>
      <c r="T116">
        <f>IFERROR(INDEX(Registre!$B$2:$B$2001,MATCH(T$1&amp;"|"&amp;(ROW()-1),Registre!$AA$2:$AA$2001,0)),"")</f>
        <v/>
      </c>
      <c r="U116">
        <f>IFERROR(INDEX(Registre!$B$2:$B$2001,MATCH(U$1&amp;"|"&amp;(ROW()-1),Registre!$AA$2:$AA$2001,0)),"")</f>
        <v/>
      </c>
      <c r="V116">
        <f>IFERROR(INDEX(Registre!$B$2:$B$2001,MATCH(V$1&amp;"|"&amp;(ROW()-1),Registre!$AA$2:$AA$2001,0)),"")</f>
        <v/>
      </c>
    </row>
    <row r="117">
      <c r="O117">
        <f>IFERROR(INDEX(Registre!$B$2:$B$2001,MATCH(O$1&amp;"|"&amp;(ROW()-1),Registre!$AA$2:$AA$2001,0)),"")</f>
        <v/>
      </c>
      <c r="P117">
        <f>IFERROR(INDEX(Registre!$B$2:$B$2001,MATCH(P$1&amp;"|"&amp;(ROW()-1),Registre!$AA$2:$AA$2001,0)),"")</f>
        <v/>
      </c>
      <c r="Q117">
        <f>IFERROR(INDEX(Registre!$B$2:$B$2001,MATCH(Q$1&amp;"|"&amp;(ROW()-1),Registre!$AA$2:$AA$2001,0)),"")</f>
        <v/>
      </c>
      <c r="R117">
        <f>IFERROR(INDEX(Registre!$B$2:$B$2001,MATCH(R$1&amp;"|"&amp;(ROW()-1),Registre!$AA$2:$AA$2001,0)),"")</f>
        <v/>
      </c>
      <c r="S117">
        <f>IFERROR(INDEX(Registre!$B$2:$B$2001,MATCH(S$1&amp;"|"&amp;(ROW()-1),Registre!$AA$2:$AA$2001,0)),"")</f>
        <v/>
      </c>
      <c r="T117">
        <f>IFERROR(INDEX(Registre!$B$2:$B$2001,MATCH(T$1&amp;"|"&amp;(ROW()-1),Registre!$AA$2:$AA$2001,0)),"")</f>
        <v/>
      </c>
      <c r="U117">
        <f>IFERROR(INDEX(Registre!$B$2:$B$2001,MATCH(U$1&amp;"|"&amp;(ROW()-1),Registre!$AA$2:$AA$2001,0)),"")</f>
        <v/>
      </c>
      <c r="V117">
        <f>IFERROR(INDEX(Registre!$B$2:$B$2001,MATCH(V$1&amp;"|"&amp;(ROW()-1),Registre!$AA$2:$AA$2001,0)),"")</f>
        <v/>
      </c>
    </row>
    <row r="118">
      <c r="O118">
        <f>IFERROR(INDEX(Registre!$B$2:$B$2001,MATCH(O$1&amp;"|"&amp;(ROW()-1),Registre!$AA$2:$AA$2001,0)),"")</f>
        <v/>
      </c>
      <c r="P118">
        <f>IFERROR(INDEX(Registre!$B$2:$B$2001,MATCH(P$1&amp;"|"&amp;(ROW()-1),Registre!$AA$2:$AA$2001,0)),"")</f>
        <v/>
      </c>
      <c r="Q118">
        <f>IFERROR(INDEX(Registre!$B$2:$B$2001,MATCH(Q$1&amp;"|"&amp;(ROW()-1),Registre!$AA$2:$AA$2001,0)),"")</f>
        <v/>
      </c>
      <c r="R118">
        <f>IFERROR(INDEX(Registre!$B$2:$B$2001,MATCH(R$1&amp;"|"&amp;(ROW()-1),Registre!$AA$2:$AA$2001,0)),"")</f>
        <v/>
      </c>
      <c r="S118">
        <f>IFERROR(INDEX(Registre!$B$2:$B$2001,MATCH(S$1&amp;"|"&amp;(ROW()-1),Registre!$AA$2:$AA$2001,0)),"")</f>
        <v/>
      </c>
      <c r="T118">
        <f>IFERROR(INDEX(Registre!$B$2:$B$2001,MATCH(T$1&amp;"|"&amp;(ROW()-1),Registre!$AA$2:$AA$2001,0)),"")</f>
        <v/>
      </c>
      <c r="U118">
        <f>IFERROR(INDEX(Registre!$B$2:$B$2001,MATCH(U$1&amp;"|"&amp;(ROW()-1),Registre!$AA$2:$AA$2001,0)),"")</f>
        <v/>
      </c>
      <c r="V118">
        <f>IFERROR(INDEX(Registre!$B$2:$B$2001,MATCH(V$1&amp;"|"&amp;(ROW()-1),Registre!$AA$2:$AA$2001,0)),"")</f>
        <v/>
      </c>
    </row>
    <row r="119">
      <c r="O119">
        <f>IFERROR(INDEX(Registre!$B$2:$B$2001,MATCH(O$1&amp;"|"&amp;(ROW()-1),Registre!$AA$2:$AA$2001,0)),"")</f>
        <v/>
      </c>
      <c r="P119">
        <f>IFERROR(INDEX(Registre!$B$2:$B$2001,MATCH(P$1&amp;"|"&amp;(ROW()-1),Registre!$AA$2:$AA$2001,0)),"")</f>
        <v/>
      </c>
      <c r="Q119">
        <f>IFERROR(INDEX(Registre!$B$2:$B$2001,MATCH(Q$1&amp;"|"&amp;(ROW()-1),Registre!$AA$2:$AA$2001,0)),"")</f>
        <v/>
      </c>
      <c r="R119">
        <f>IFERROR(INDEX(Registre!$B$2:$B$2001,MATCH(R$1&amp;"|"&amp;(ROW()-1),Registre!$AA$2:$AA$2001,0)),"")</f>
        <v/>
      </c>
      <c r="S119">
        <f>IFERROR(INDEX(Registre!$B$2:$B$2001,MATCH(S$1&amp;"|"&amp;(ROW()-1),Registre!$AA$2:$AA$2001,0)),"")</f>
        <v/>
      </c>
      <c r="T119">
        <f>IFERROR(INDEX(Registre!$B$2:$B$2001,MATCH(T$1&amp;"|"&amp;(ROW()-1),Registre!$AA$2:$AA$2001,0)),"")</f>
        <v/>
      </c>
      <c r="U119">
        <f>IFERROR(INDEX(Registre!$B$2:$B$2001,MATCH(U$1&amp;"|"&amp;(ROW()-1),Registre!$AA$2:$AA$2001,0)),"")</f>
        <v/>
      </c>
      <c r="V119">
        <f>IFERROR(INDEX(Registre!$B$2:$B$2001,MATCH(V$1&amp;"|"&amp;(ROW()-1),Registre!$AA$2:$AA$2001,0)),"")</f>
        <v/>
      </c>
    </row>
    <row r="120">
      <c r="O120">
        <f>IFERROR(INDEX(Registre!$B$2:$B$2001,MATCH(O$1&amp;"|"&amp;(ROW()-1),Registre!$AA$2:$AA$2001,0)),"")</f>
        <v/>
      </c>
      <c r="P120">
        <f>IFERROR(INDEX(Registre!$B$2:$B$2001,MATCH(P$1&amp;"|"&amp;(ROW()-1),Registre!$AA$2:$AA$2001,0)),"")</f>
        <v/>
      </c>
      <c r="Q120">
        <f>IFERROR(INDEX(Registre!$B$2:$B$2001,MATCH(Q$1&amp;"|"&amp;(ROW()-1),Registre!$AA$2:$AA$2001,0)),"")</f>
        <v/>
      </c>
      <c r="R120">
        <f>IFERROR(INDEX(Registre!$B$2:$B$2001,MATCH(R$1&amp;"|"&amp;(ROW()-1),Registre!$AA$2:$AA$2001,0)),"")</f>
        <v/>
      </c>
      <c r="S120">
        <f>IFERROR(INDEX(Registre!$B$2:$B$2001,MATCH(S$1&amp;"|"&amp;(ROW()-1),Registre!$AA$2:$AA$2001,0)),"")</f>
        <v/>
      </c>
      <c r="T120">
        <f>IFERROR(INDEX(Registre!$B$2:$B$2001,MATCH(T$1&amp;"|"&amp;(ROW()-1),Registre!$AA$2:$AA$2001,0)),"")</f>
        <v/>
      </c>
      <c r="U120">
        <f>IFERROR(INDEX(Registre!$B$2:$B$2001,MATCH(U$1&amp;"|"&amp;(ROW()-1),Registre!$AA$2:$AA$2001,0)),"")</f>
        <v/>
      </c>
      <c r="V120">
        <f>IFERROR(INDEX(Registre!$B$2:$B$2001,MATCH(V$1&amp;"|"&amp;(ROW()-1),Registre!$AA$2:$AA$2001,0)),"")</f>
        <v/>
      </c>
    </row>
    <row r="121">
      <c r="O121">
        <f>IFERROR(INDEX(Registre!$B$2:$B$2001,MATCH(O$1&amp;"|"&amp;(ROW()-1),Registre!$AA$2:$AA$2001,0)),"")</f>
        <v/>
      </c>
      <c r="P121">
        <f>IFERROR(INDEX(Registre!$B$2:$B$2001,MATCH(P$1&amp;"|"&amp;(ROW()-1),Registre!$AA$2:$AA$2001,0)),"")</f>
        <v/>
      </c>
      <c r="Q121">
        <f>IFERROR(INDEX(Registre!$B$2:$B$2001,MATCH(Q$1&amp;"|"&amp;(ROW()-1),Registre!$AA$2:$AA$2001,0)),"")</f>
        <v/>
      </c>
      <c r="R121">
        <f>IFERROR(INDEX(Registre!$B$2:$B$2001,MATCH(R$1&amp;"|"&amp;(ROW()-1),Registre!$AA$2:$AA$2001,0)),"")</f>
        <v/>
      </c>
      <c r="S121">
        <f>IFERROR(INDEX(Registre!$B$2:$B$2001,MATCH(S$1&amp;"|"&amp;(ROW()-1),Registre!$AA$2:$AA$2001,0)),"")</f>
        <v/>
      </c>
      <c r="T121">
        <f>IFERROR(INDEX(Registre!$B$2:$B$2001,MATCH(T$1&amp;"|"&amp;(ROW()-1),Registre!$AA$2:$AA$2001,0)),"")</f>
        <v/>
      </c>
      <c r="U121">
        <f>IFERROR(INDEX(Registre!$B$2:$B$2001,MATCH(U$1&amp;"|"&amp;(ROW()-1),Registre!$AA$2:$AA$2001,0)),"")</f>
        <v/>
      </c>
      <c r="V121">
        <f>IFERROR(INDEX(Registre!$B$2:$B$2001,MATCH(V$1&amp;"|"&amp;(ROW()-1),Registre!$AA$2:$AA$2001,0)),"")</f>
        <v/>
      </c>
    </row>
    <row r="122">
      <c r="O122">
        <f>IFERROR(INDEX(Registre!$B$2:$B$2001,MATCH(O$1&amp;"|"&amp;(ROW()-1),Registre!$AA$2:$AA$2001,0)),"")</f>
        <v/>
      </c>
      <c r="P122">
        <f>IFERROR(INDEX(Registre!$B$2:$B$2001,MATCH(P$1&amp;"|"&amp;(ROW()-1),Registre!$AA$2:$AA$2001,0)),"")</f>
        <v/>
      </c>
      <c r="Q122">
        <f>IFERROR(INDEX(Registre!$B$2:$B$2001,MATCH(Q$1&amp;"|"&amp;(ROW()-1),Registre!$AA$2:$AA$2001,0)),"")</f>
        <v/>
      </c>
      <c r="R122">
        <f>IFERROR(INDEX(Registre!$B$2:$B$2001,MATCH(R$1&amp;"|"&amp;(ROW()-1),Registre!$AA$2:$AA$2001,0)),"")</f>
        <v/>
      </c>
      <c r="S122">
        <f>IFERROR(INDEX(Registre!$B$2:$B$2001,MATCH(S$1&amp;"|"&amp;(ROW()-1),Registre!$AA$2:$AA$2001,0)),"")</f>
        <v/>
      </c>
      <c r="T122">
        <f>IFERROR(INDEX(Registre!$B$2:$B$2001,MATCH(T$1&amp;"|"&amp;(ROW()-1),Registre!$AA$2:$AA$2001,0)),"")</f>
        <v/>
      </c>
      <c r="U122">
        <f>IFERROR(INDEX(Registre!$B$2:$B$2001,MATCH(U$1&amp;"|"&amp;(ROW()-1),Registre!$AA$2:$AA$2001,0)),"")</f>
        <v/>
      </c>
      <c r="V122">
        <f>IFERROR(INDEX(Registre!$B$2:$B$2001,MATCH(V$1&amp;"|"&amp;(ROW()-1),Registre!$AA$2:$AA$2001,0)),"")</f>
        <v/>
      </c>
    </row>
    <row r="123">
      <c r="O123">
        <f>IFERROR(INDEX(Registre!$B$2:$B$2001,MATCH(O$1&amp;"|"&amp;(ROW()-1),Registre!$AA$2:$AA$2001,0)),"")</f>
        <v/>
      </c>
      <c r="P123">
        <f>IFERROR(INDEX(Registre!$B$2:$B$2001,MATCH(P$1&amp;"|"&amp;(ROW()-1),Registre!$AA$2:$AA$2001,0)),"")</f>
        <v/>
      </c>
      <c r="Q123">
        <f>IFERROR(INDEX(Registre!$B$2:$B$2001,MATCH(Q$1&amp;"|"&amp;(ROW()-1),Registre!$AA$2:$AA$2001,0)),"")</f>
        <v/>
      </c>
      <c r="R123">
        <f>IFERROR(INDEX(Registre!$B$2:$B$2001,MATCH(R$1&amp;"|"&amp;(ROW()-1),Registre!$AA$2:$AA$2001,0)),"")</f>
        <v/>
      </c>
      <c r="S123">
        <f>IFERROR(INDEX(Registre!$B$2:$B$2001,MATCH(S$1&amp;"|"&amp;(ROW()-1),Registre!$AA$2:$AA$2001,0)),"")</f>
        <v/>
      </c>
      <c r="T123">
        <f>IFERROR(INDEX(Registre!$B$2:$B$2001,MATCH(T$1&amp;"|"&amp;(ROW()-1),Registre!$AA$2:$AA$2001,0)),"")</f>
        <v/>
      </c>
      <c r="U123">
        <f>IFERROR(INDEX(Registre!$B$2:$B$2001,MATCH(U$1&amp;"|"&amp;(ROW()-1),Registre!$AA$2:$AA$2001,0)),"")</f>
        <v/>
      </c>
      <c r="V123">
        <f>IFERROR(INDEX(Registre!$B$2:$B$2001,MATCH(V$1&amp;"|"&amp;(ROW()-1),Registre!$AA$2:$AA$2001,0)),"")</f>
        <v/>
      </c>
    </row>
    <row r="124">
      <c r="O124">
        <f>IFERROR(INDEX(Registre!$B$2:$B$2001,MATCH(O$1&amp;"|"&amp;(ROW()-1),Registre!$AA$2:$AA$2001,0)),"")</f>
        <v/>
      </c>
      <c r="P124">
        <f>IFERROR(INDEX(Registre!$B$2:$B$2001,MATCH(P$1&amp;"|"&amp;(ROW()-1),Registre!$AA$2:$AA$2001,0)),"")</f>
        <v/>
      </c>
      <c r="Q124">
        <f>IFERROR(INDEX(Registre!$B$2:$B$2001,MATCH(Q$1&amp;"|"&amp;(ROW()-1),Registre!$AA$2:$AA$2001,0)),"")</f>
        <v/>
      </c>
      <c r="R124">
        <f>IFERROR(INDEX(Registre!$B$2:$B$2001,MATCH(R$1&amp;"|"&amp;(ROW()-1),Registre!$AA$2:$AA$2001,0)),"")</f>
        <v/>
      </c>
      <c r="S124">
        <f>IFERROR(INDEX(Registre!$B$2:$B$2001,MATCH(S$1&amp;"|"&amp;(ROW()-1),Registre!$AA$2:$AA$2001,0)),"")</f>
        <v/>
      </c>
      <c r="T124">
        <f>IFERROR(INDEX(Registre!$B$2:$B$2001,MATCH(T$1&amp;"|"&amp;(ROW()-1),Registre!$AA$2:$AA$2001,0)),"")</f>
        <v/>
      </c>
      <c r="U124">
        <f>IFERROR(INDEX(Registre!$B$2:$B$2001,MATCH(U$1&amp;"|"&amp;(ROW()-1),Registre!$AA$2:$AA$2001,0)),"")</f>
        <v/>
      </c>
      <c r="V124">
        <f>IFERROR(INDEX(Registre!$B$2:$B$2001,MATCH(V$1&amp;"|"&amp;(ROW()-1),Registre!$AA$2:$AA$2001,0)),"")</f>
        <v/>
      </c>
    </row>
    <row r="125">
      <c r="O125">
        <f>IFERROR(INDEX(Registre!$B$2:$B$2001,MATCH(O$1&amp;"|"&amp;(ROW()-1),Registre!$AA$2:$AA$2001,0)),"")</f>
        <v/>
      </c>
      <c r="P125">
        <f>IFERROR(INDEX(Registre!$B$2:$B$2001,MATCH(P$1&amp;"|"&amp;(ROW()-1),Registre!$AA$2:$AA$2001,0)),"")</f>
        <v/>
      </c>
      <c r="Q125">
        <f>IFERROR(INDEX(Registre!$B$2:$B$2001,MATCH(Q$1&amp;"|"&amp;(ROW()-1),Registre!$AA$2:$AA$2001,0)),"")</f>
        <v/>
      </c>
      <c r="R125">
        <f>IFERROR(INDEX(Registre!$B$2:$B$2001,MATCH(R$1&amp;"|"&amp;(ROW()-1),Registre!$AA$2:$AA$2001,0)),"")</f>
        <v/>
      </c>
      <c r="S125">
        <f>IFERROR(INDEX(Registre!$B$2:$B$2001,MATCH(S$1&amp;"|"&amp;(ROW()-1),Registre!$AA$2:$AA$2001,0)),"")</f>
        <v/>
      </c>
      <c r="T125">
        <f>IFERROR(INDEX(Registre!$B$2:$B$2001,MATCH(T$1&amp;"|"&amp;(ROW()-1),Registre!$AA$2:$AA$2001,0)),"")</f>
        <v/>
      </c>
      <c r="U125">
        <f>IFERROR(INDEX(Registre!$B$2:$B$2001,MATCH(U$1&amp;"|"&amp;(ROW()-1),Registre!$AA$2:$AA$2001,0)),"")</f>
        <v/>
      </c>
      <c r="V125">
        <f>IFERROR(INDEX(Registre!$B$2:$B$2001,MATCH(V$1&amp;"|"&amp;(ROW()-1),Registre!$AA$2:$AA$2001,0)),"")</f>
        <v/>
      </c>
    </row>
    <row r="126">
      <c r="O126">
        <f>IFERROR(INDEX(Registre!$B$2:$B$2001,MATCH(O$1&amp;"|"&amp;(ROW()-1),Registre!$AA$2:$AA$2001,0)),"")</f>
        <v/>
      </c>
      <c r="P126">
        <f>IFERROR(INDEX(Registre!$B$2:$B$2001,MATCH(P$1&amp;"|"&amp;(ROW()-1),Registre!$AA$2:$AA$2001,0)),"")</f>
        <v/>
      </c>
      <c r="Q126">
        <f>IFERROR(INDEX(Registre!$B$2:$B$2001,MATCH(Q$1&amp;"|"&amp;(ROW()-1),Registre!$AA$2:$AA$2001,0)),"")</f>
        <v/>
      </c>
      <c r="R126">
        <f>IFERROR(INDEX(Registre!$B$2:$B$2001,MATCH(R$1&amp;"|"&amp;(ROW()-1),Registre!$AA$2:$AA$2001,0)),"")</f>
        <v/>
      </c>
      <c r="S126">
        <f>IFERROR(INDEX(Registre!$B$2:$B$2001,MATCH(S$1&amp;"|"&amp;(ROW()-1),Registre!$AA$2:$AA$2001,0)),"")</f>
        <v/>
      </c>
      <c r="T126">
        <f>IFERROR(INDEX(Registre!$B$2:$B$2001,MATCH(T$1&amp;"|"&amp;(ROW()-1),Registre!$AA$2:$AA$2001,0)),"")</f>
        <v/>
      </c>
      <c r="U126">
        <f>IFERROR(INDEX(Registre!$B$2:$B$2001,MATCH(U$1&amp;"|"&amp;(ROW()-1),Registre!$AA$2:$AA$2001,0)),"")</f>
        <v/>
      </c>
      <c r="V126">
        <f>IFERROR(INDEX(Registre!$B$2:$B$2001,MATCH(V$1&amp;"|"&amp;(ROW()-1),Registre!$AA$2:$AA$2001,0)),"")</f>
        <v/>
      </c>
    </row>
    <row r="127">
      <c r="O127">
        <f>IFERROR(INDEX(Registre!$B$2:$B$2001,MATCH(O$1&amp;"|"&amp;(ROW()-1),Registre!$AA$2:$AA$2001,0)),"")</f>
        <v/>
      </c>
      <c r="P127">
        <f>IFERROR(INDEX(Registre!$B$2:$B$2001,MATCH(P$1&amp;"|"&amp;(ROW()-1),Registre!$AA$2:$AA$2001,0)),"")</f>
        <v/>
      </c>
      <c r="Q127">
        <f>IFERROR(INDEX(Registre!$B$2:$B$2001,MATCH(Q$1&amp;"|"&amp;(ROW()-1),Registre!$AA$2:$AA$2001,0)),"")</f>
        <v/>
      </c>
      <c r="R127">
        <f>IFERROR(INDEX(Registre!$B$2:$B$2001,MATCH(R$1&amp;"|"&amp;(ROW()-1),Registre!$AA$2:$AA$2001,0)),"")</f>
        <v/>
      </c>
      <c r="S127">
        <f>IFERROR(INDEX(Registre!$B$2:$B$2001,MATCH(S$1&amp;"|"&amp;(ROW()-1),Registre!$AA$2:$AA$2001,0)),"")</f>
        <v/>
      </c>
      <c r="T127">
        <f>IFERROR(INDEX(Registre!$B$2:$B$2001,MATCH(T$1&amp;"|"&amp;(ROW()-1),Registre!$AA$2:$AA$2001,0)),"")</f>
        <v/>
      </c>
      <c r="U127">
        <f>IFERROR(INDEX(Registre!$B$2:$B$2001,MATCH(U$1&amp;"|"&amp;(ROW()-1),Registre!$AA$2:$AA$2001,0)),"")</f>
        <v/>
      </c>
      <c r="V127">
        <f>IFERROR(INDEX(Registre!$B$2:$B$2001,MATCH(V$1&amp;"|"&amp;(ROW()-1),Registre!$AA$2:$AA$2001,0)),"")</f>
        <v/>
      </c>
    </row>
    <row r="128">
      <c r="O128">
        <f>IFERROR(INDEX(Registre!$B$2:$B$2001,MATCH(O$1&amp;"|"&amp;(ROW()-1),Registre!$AA$2:$AA$2001,0)),"")</f>
        <v/>
      </c>
      <c r="P128">
        <f>IFERROR(INDEX(Registre!$B$2:$B$2001,MATCH(P$1&amp;"|"&amp;(ROW()-1),Registre!$AA$2:$AA$2001,0)),"")</f>
        <v/>
      </c>
      <c r="Q128">
        <f>IFERROR(INDEX(Registre!$B$2:$B$2001,MATCH(Q$1&amp;"|"&amp;(ROW()-1),Registre!$AA$2:$AA$2001,0)),"")</f>
        <v/>
      </c>
      <c r="R128">
        <f>IFERROR(INDEX(Registre!$B$2:$B$2001,MATCH(R$1&amp;"|"&amp;(ROW()-1),Registre!$AA$2:$AA$2001,0)),"")</f>
        <v/>
      </c>
      <c r="S128">
        <f>IFERROR(INDEX(Registre!$B$2:$B$2001,MATCH(S$1&amp;"|"&amp;(ROW()-1),Registre!$AA$2:$AA$2001,0)),"")</f>
        <v/>
      </c>
      <c r="T128">
        <f>IFERROR(INDEX(Registre!$B$2:$B$2001,MATCH(T$1&amp;"|"&amp;(ROW()-1),Registre!$AA$2:$AA$2001,0)),"")</f>
        <v/>
      </c>
      <c r="U128">
        <f>IFERROR(INDEX(Registre!$B$2:$B$2001,MATCH(U$1&amp;"|"&amp;(ROW()-1),Registre!$AA$2:$AA$2001,0)),"")</f>
        <v/>
      </c>
      <c r="V128">
        <f>IFERROR(INDEX(Registre!$B$2:$B$2001,MATCH(V$1&amp;"|"&amp;(ROW()-1),Registre!$AA$2:$AA$2001,0)),"")</f>
        <v/>
      </c>
    </row>
    <row r="129">
      <c r="O129">
        <f>IFERROR(INDEX(Registre!$B$2:$B$2001,MATCH(O$1&amp;"|"&amp;(ROW()-1),Registre!$AA$2:$AA$2001,0)),"")</f>
        <v/>
      </c>
      <c r="P129">
        <f>IFERROR(INDEX(Registre!$B$2:$B$2001,MATCH(P$1&amp;"|"&amp;(ROW()-1),Registre!$AA$2:$AA$2001,0)),"")</f>
        <v/>
      </c>
      <c r="Q129">
        <f>IFERROR(INDEX(Registre!$B$2:$B$2001,MATCH(Q$1&amp;"|"&amp;(ROW()-1),Registre!$AA$2:$AA$2001,0)),"")</f>
        <v/>
      </c>
      <c r="R129">
        <f>IFERROR(INDEX(Registre!$B$2:$B$2001,MATCH(R$1&amp;"|"&amp;(ROW()-1),Registre!$AA$2:$AA$2001,0)),"")</f>
        <v/>
      </c>
      <c r="S129">
        <f>IFERROR(INDEX(Registre!$B$2:$B$2001,MATCH(S$1&amp;"|"&amp;(ROW()-1),Registre!$AA$2:$AA$2001,0)),"")</f>
        <v/>
      </c>
      <c r="T129">
        <f>IFERROR(INDEX(Registre!$B$2:$B$2001,MATCH(T$1&amp;"|"&amp;(ROW()-1),Registre!$AA$2:$AA$2001,0)),"")</f>
        <v/>
      </c>
      <c r="U129">
        <f>IFERROR(INDEX(Registre!$B$2:$B$2001,MATCH(U$1&amp;"|"&amp;(ROW()-1),Registre!$AA$2:$AA$2001,0)),"")</f>
        <v/>
      </c>
      <c r="V129">
        <f>IFERROR(INDEX(Registre!$B$2:$B$2001,MATCH(V$1&amp;"|"&amp;(ROW()-1),Registre!$AA$2:$AA$2001,0)),"")</f>
        <v/>
      </c>
    </row>
    <row r="130">
      <c r="O130">
        <f>IFERROR(INDEX(Registre!$B$2:$B$2001,MATCH(O$1&amp;"|"&amp;(ROW()-1),Registre!$AA$2:$AA$2001,0)),"")</f>
        <v/>
      </c>
      <c r="P130">
        <f>IFERROR(INDEX(Registre!$B$2:$B$2001,MATCH(P$1&amp;"|"&amp;(ROW()-1),Registre!$AA$2:$AA$2001,0)),"")</f>
        <v/>
      </c>
      <c r="Q130">
        <f>IFERROR(INDEX(Registre!$B$2:$B$2001,MATCH(Q$1&amp;"|"&amp;(ROW()-1),Registre!$AA$2:$AA$2001,0)),"")</f>
        <v/>
      </c>
      <c r="R130">
        <f>IFERROR(INDEX(Registre!$B$2:$B$2001,MATCH(R$1&amp;"|"&amp;(ROW()-1),Registre!$AA$2:$AA$2001,0)),"")</f>
        <v/>
      </c>
      <c r="S130">
        <f>IFERROR(INDEX(Registre!$B$2:$B$2001,MATCH(S$1&amp;"|"&amp;(ROW()-1),Registre!$AA$2:$AA$2001,0)),"")</f>
        <v/>
      </c>
      <c r="T130">
        <f>IFERROR(INDEX(Registre!$B$2:$B$2001,MATCH(T$1&amp;"|"&amp;(ROW()-1),Registre!$AA$2:$AA$2001,0)),"")</f>
        <v/>
      </c>
      <c r="U130">
        <f>IFERROR(INDEX(Registre!$B$2:$B$2001,MATCH(U$1&amp;"|"&amp;(ROW()-1),Registre!$AA$2:$AA$2001,0)),"")</f>
        <v/>
      </c>
      <c r="V130">
        <f>IFERROR(INDEX(Registre!$B$2:$B$2001,MATCH(V$1&amp;"|"&amp;(ROW()-1),Registre!$AA$2:$AA$2001,0)),"")</f>
        <v/>
      </c>
    </row>
    <row r="131">
      <c r="O131">
        <f>IFERROR(INDEX(Registre!$B$2:$B$2001,MATCH(O$1&amp;"|"&amp;(ROW()-1),Registre!$AA$2:$AA$2001,0)),"")</f>
        <v/>
      </c>
      <c r="P131">
        <f>IFERROR(INDEX(Registre!$B$2:$B$2001,MATCH(P$1&amp;"|"&amp;(ROW()-1),Registre!$AA$2:$AA$2001,0)),"")</f>
        <v/>
      </c>
      <c r="Q131">
        <f>IFERROR(INDEX(Registre!$B$2:$B$2001,MATCH(Q$1&amp;"|"&amp;(ROW()-1),Registre!$AA$2:$AA$2001,0)),"")</f>
        <v/>
      </c>
      <c r="R131">
        <f>IFERROR(INDEX(Registre!$B$2:$B$2001,MATCH(R$1&amp;"|"&amp;(ROW()-1),Registre!$AA$2:$AA$2001,0)),"")</f>
        <v/>
      </c>
      <c r="S131">
        <f>IFERROR(INDEX(Registre!$B$2:$B$2001,MATCH(S$1&amp;"|"&amp;(ROW()-1),Registre!$AA$2:$AA$2001,0)),"")</f>
        <v/>
      </c>
      <c r="T131">
        <f>IFERROR(INDEX(Registre!$B$2:$B$2001,MATCH(T$1&amp;"|"&amp;(ROW()-1),Registre!$AA$2:$AA$2001,0)),"")</f>
        <v/>
      </c>
      <c r="U131">
        <f>IFERROR(INDEX(Registre!$B$2:$B$2001,MATCH(U$1&amp;"|"&amp;(ROW()-1),Registre!$AA$2:$AA$2001,0)),"")</f>
        <v/>
      </c>
      <c r="V131">
        <f>IFERROR(INDEX(Registre!$B$2:$B$2001,MATCH(V$1&amp;"|"&amp;(ROW()-1),Registre!$AA$2:$AA$2001,0)),"")</f>
        <v/>
      </c>
    </row>
    <row r="132">
      <c r="O132">
        <f>IFERROR(INDEX(Registre!$B$2:$B$2001,MATCH(O$1&amp;"|"&amp;(ROW()-1),Registre!$AA$2:$AA$2001,0)),"")</f>
        <v/>
      </c>
      <c r="P132">
        <f>IFERROR(INDEX(Registre!$B$2:$B$2001,MATCH(P$1&amp;"|"&amp;(ROW()-1),Registre!$AA$2:$AA$2001,0)),"")</f>
        <v/>
      </c>
      <c r="Q132">
        <f>IFERROR(INDEX(Registre!$B$2:$B$2001,MATCH(Q$1&amp;"|"&amp;(ROW()-1),Registre!$AA$2:$AA$2001,0)),"")</f>
        <v/>
      </c>
      <c r="R132">
        <f>IFERROR(INDEX(Registre!$B$2:$B$2001,MATCH(R$1&amp;"|"&amp;(ROW()-1),Registre!$AA$2:$AA$2001,0)),"")</f>
        <v/>
      </c>
      <c r="S132">
        <f>IFERROR(INDEX(Registre!$B$2:$B$2001,MATCH(S$1&amp;"|"&amp;(ROW()-1),Registre!$AA$2:$AA$2001,0)),"")</f>
        <v/>
      </c>
      <c r="T132">
        <f>IFERROR(INDEX(Registre!$B$2:$B$2001,MATCH(T$1&amp;"|"&amp;(ROW()-1),Registre!$AA$2:$AA$2001,0)),"")</f>
        <v/>
      </c>
      <c r="U132">
        <f>IFERROR(INDEX(Registre!$B$2:$B$2001,MATCH(U$1&amp;"|"&amp;(ROW()-1),Registre!$AA$2:$AA$2001,0)),"")</f>
        <v/>
      </c>
      <c r="V132">
        <f>IFERROR(INDEX(Registre!$B$2:$B$2001,MATCH(V$1&amp;"|"&amp;(ROW()-1),Registre!$AA$2:$AA$2001,0)),"")</f>
        <v/>
      </c>
    </row>
    <row r="133">
      <c r="O133">
        <f>IFERROR(INDEX(Registre!$B$2:$B$2001,MATCH(O$1&amp;"|"&amp;(ROW()-1),Registre!$AA$2:$AA$2001,0)),"")</f>
        <v/>
      </c>
      <c r="P133">
        <f>IFERROR(INDEX(Registre!$B$2:$B$2001,MATCH(P$1&amp;"|"&amp;(ROW()-1),Registre!$AA$2:$AA$2001,0)),"")</f>
        <v/>
      </c>
      <c r="Q133">
        <f>IFERROR(INDEX(Registre!$B$2:$B$2001,MATCH(Q$1&amp;"|"&amp;(ROW()-1),Registre!$AA$2:$AA$2001,0)),"")</f>
        <v/>
      </c>
      <c r="R133">
        <f>IFERROR(INDEX(Registre!$B$2:$B$2001,MATCH(R$1&amp;"|"&amp;(ROW()-1),Registre!$AA$2:$AA$2001,0)),"")</f>
        <v/>
      </c>
      <c r="S133">
        <f>IFERROR(INDEX(Registre!$B$2:$B$2001,MATCH(S$1&amp;"|"&amp;(ROW()-1),Registre!$AA$2:$AA$2001,0)),"")</f>
        <v/>
      </c>
      <c r="T133">
        <f>IFERROR(INDEX(Registre!$B$2:$B$2001,MATCH(T$1&amp;"|"&amp;(ROW()-1),Registre!$AA$2:$AA$2001,0)),"")</f>
        <v/>
      </c>
      <c r="U133">
        <f>IFERROR(INDEX(Registre!$B$2:$B$2001,MATCH(U$1&amp;"|"&amp;(ROW()-1),Registre!$AA$2:$AA$2001,0)),"")</f>
        <v/>
      </c>
      <c r="V133">
        <f>IFERROR(INDEX(Registre!$B$2:$B$2001,MATCH(V$1&amp;"|"&amp;(ROW()-1),Registre!$AA$2:$AA$2001,0)),"")</f>
        <v/>
      </c>
    </row>
    <row r="134">
      <c r="O134">
        <f>IFERROR(INDEX(Registre!$B$2:$B$2001,MATCH(O$1&amp;"|"&amp;(ROW()-1),Registre!$AA$2:$AA$2001,0)),"")</f>
        <v/>
      </c>
      <c r="P134">
        <f>IFERROR(INDEX(Registre!$B$2:$B$2001,MATCH(P$1&amp;"|"&amp;(ROW()-1),Registre!$AA$2:$AA$2001,0)),"")</f>
        <v/>
      </c>
      <c r="Q134">
        <f>IFERROR(INDEX(Registre!$B$2:$B$2001,MATCH(Q$1&amp;"|"&amp;(ROW()-1),Registre!$AA$2:$AA$2001,0)),"")</f>
        <v/>
      </c>
      <c r="R134">
        <f>IFERROR(INDEX(Registre!$B$2:$B$2001,MATCH(R$1&amp;"|"&amp;(ROW()-1),Registre!$AA$2:$AA$2001,0)),"")</f>
        <v/>
      </c>
      <c r="S134">
        <f>IFERROR(INDEX(Registre!$B$2:$B$2001,MATCH(S$1&amp;"|"&amp;(ROW()-1),Registre!$AA$2:$AA$2001,0)),"")</f>
        <v/>
      </c>
      <c r="T134">
        <f>IFERROR(INDEX(Registre!$B$2:$B$2001,MATCH(T$1&amp;"|"&amp;(ROW()-1),Registre!$AA$2:$AA$2001,0)),"")</f>
        <v/>
      </c>
      <c r="U134">
        <f>IFERROR(INDEX(Registre!$B$2:$B$2001,MATCH(U$1&amp;"|"&amp;(ROW()-1),Registre!$AA$2:$AA$2001,0)),"")</f>
        <v/>
      </c>
      <c r="V134">
        <f>IFERROR(INDEX(Registre!$B$2:$B$2001,MATCH(V$1&amp;"|"&amp;(ROW()-1),Registre!$AA$2:$AA$2001,0)),"")</f>
        <v/>
      </c>
    </row>
    <row r="135">
      <c r="O135">
        <f>IFERROR(INDEX(Registre!$B$2:$B$2001,MATCH(O$1&amp;"|"&amp;(ROW()-1),Registre!$AA$2:$AA$2001,0)),"")</f>
        <v/>
      </c>
      <c r="P135">
        <f>IFERROR(INDEX(Registre!$B$2:$B$2001,MATCH(P$1&amp;"|"&amp;(ROW()-1),Registre!$AA$2:$AA$2001,0)),"")</f>
        <v/>
      </c>
      <c r="Q135">
        <f>IFERROR(INDEX(Registre!$B$2:$B$2001,MATCH(Q$1&amp;"|"&amp;(ROW()-1),Registre!$AA$2:$AA$2001,0)),"")</f>
        <v/>
      </c>
      <c r="R135">
        <f>IFERROR(INDEX(Registre!$B$2:$B$2001,MATCH(R$1&amp;"|"&amp;(ROW()-1),Registre!$AA$2:$AA$2001,0)),"")</f>
        <v/>
      </c>
      <c r="S135">
        <f>IFERROR(INDEX(Registre!$B$2:$B$2001,MATCH(S$1&amp;"|"&amp;(ROW()-1),Registre!$AA$2:$AA$2001,0)),"")</f>
        <v/>
      </c>
      <c r="T135">
        <f>IFERROR(INDEX(Registre!$B$2:$B$2001,MATCH(T$1&amp;"|"&amp;(ROW()-1),Registre!$AA$2:$AA$2001,0)),"")</f>
        <v/>
      </c>
      <c r="U135">
        <f>IFERROR(INDEX(Registre!$B$2:$B$2001,MATCH(U$1&amp;"|"&amp;(ROW()-1),Registre!$AA$2:$AA$2001,0)),"")</f>
        <v/>
      </c>
      <c r="V135">
        <f>IFERROR(INDEX(Registre!$B$2:$B$2001,MATCH(V$1&amp;"|"&amp;(ROW()-1),Registre!$AA$2:$AA$2001,0)),"")</f>
        <v/>
      </c>
    </row>
    <row r="136">
      <c r="O136">
        <f>IFERROR(INDEX(Registre!$B$2:$B$2001,MATCH(O$1&amp;"|"&amp;(ROW()-1),Registre!$AA$2:$AA$2001,0)),"")</f>
        <v/>
      </c>
      <c r="P136">
        <f>IFERROR(INDEX(Registre!$B$2:$B$2001,MATCH(P$1&amp;"|"&amp;(ROW()-1),Registre!$AA$2:$AA$2001,0)),"")</f>
        <v/>
      </c>
      <c r="Q136">
        <f>IFERROR(INDEX(Registre!$B$2:$B$2001,MATCH(Q$1&amp;"|"&amp;(ROW()-1),Registre!$AA$2:$AA$2001,0)),"")</f>
        <v/>
      </c>
      <c r="R136">
        <f>IFERROR(INDEX(Registre!$B$2:$B$2001,MATCH(R$1&amp;"|"&amp;(ROW()-1),Registre!$AA$2:$AA$2001,0)),"")</f>
        <v/>
      </c>
      <c r="S136">
        <f>IFERROR(INDEX(Registre!$B$2:$B$2001,MATCH(S$1&amp;"|"&amp;(ROW()-1),Registre!$AA$2:$AA$2001,0)),"")</f>
        <v/>
      </c>
      <c r="T136">
        <f>IFERROR(INDEX(Registre!$B$2:$B$2001,MATCH(T$1&amp;"|"&amp;(ROW()-1),Registre!$AA$2:$AA$2001,0)),"")</f>
        <v/>
      </c>
      <c r="U136">
        <f>IFERROR(INDEX(Registre!$B$2:$B$2001,MATCH(U$1&amp;"|"&amp;(ROW()-1),Registre!$AA$2:$AA$2001,0)),"")</f>
        <v/>
      </c>
      <c r="V136">
        <f>IFERROR(INDEX(Registre!$B$2:$B$2001,MATCH(V$1&amp;"|"&amp;(ROW()-1),Registre!$AA$2:$AA$2001,0)),"")</f>
        <v/>
      </c>
    </row>
    <row r="137">
      <c r="O137">
        <f>IFERROR(INDEX(Registre!$B$2:$B$2001,MATCH(O$1&amp;"|"&amp;(ROW()-1),Registre!$AA$2:$AA$2001,0)),"")</f>
        <v/>
      </c>
      <c r="P137">
        <f>IFERROR(INDEX(Registre!$B$2:$B$2001,MATCH(P$1&amp;"|"&amp;(ROW()-1),Registre!$AA$2:$AA$2001,0)),"")</f>
        <v/>
      </c>
      <c r="Q137">
        <f>IFERROR(INDEX(Registre!$B$2:$B$2001,MATCH(Q$1&amp;"|"&amp;(ROW()-1),Registre!$AA$2:$AA$2001,0)),"")</f>
        <v/>
      </c>
      <c r="R137">
        <f>IFERROR(INDEX(Registre!$B$2:$B$2001,MATCH(R$1&amp;"|"&amp;(ROW()-1),Registre!$AA$2:$AA$2001,0)),"")</f>
        <v/>
      </c>
      <c r="S137">
        <f>IFERROR(INDEX(Registre!$B$2:$B$2001,MATCH(S$1&amp;"|"&amp;(ROW()-1),Registre!$AA$2:$AA$2001,0)),"")</f>
        <v/>
      </c>
      <c r="T137">
        <f>IFERROR(INDEX(Registre!$B$2:$B$2001,MATCH(T$1&amp;"|"&amp;(ROW()-1),Registre!$AA$2:$AA$2001,0)),"")</f>
        <v/>
      </c>
      <c r="U137">
        <f>IFERROR(INDEX(Registre!$B$2:$B$2001,MATCH(U$1&amp;"|"&amp;(ROW()-1),Registre!$AA$2:$AA$2001,0)),"")</f>
        <v/>
      </c>
      <c r="V137">
        <f>IFERROR(INDEX(Registre!$B$2:$B$2001,MATCH(V$1&amp;"|"&amp;(ROW()-1),Registre!$AA$2:$AA$2001,0)),"")</f>
        <v/>
      </c>
    </row>
    <row r="138">
      <c r="O138">
        <f>IFERROR(INDEX(Registre!$B$2:$B$2001,MATCH(O$1&amp;"|"&amp;(ROW()-1),Registre!$AA$2:$AA$2001,0)),"")</f>
        <v/>
      </c>
      <c r="P138">
        <f>IFERROR(INDEX(Registre!$B$2:$B$2001,MATCH(P$1&amp;"|"&amp;(ROW()-1),Registre!$AA$2:$AA$2001,0)),"")</f>
        <v/>
      </c>
      <c r="Q138">
        <f>IFERROR(INDEX(Registre!$B$2:$B$2001,MATCH(Q$1&amp;"|"&amp;(ROW()-1),Registre!$AA$2:$AA$2001,0)),"")</f>
        <v/>
      </c>
      <c r="R138">
        <f>IFERROR(INDEX(Registre!$B$2:$B$2001,MATCH(R$1&amp;"|"&amp;(ROW()-1),Registre!$AA$2:$AA$2001,0)),"")</f>
        <v/>
      </c>
      <c r="S138">
        <f>IFERROR(INDEX(Registre!$B$2:$B$2001,MATCH(S$1&amp;"|"&amp;(ROW()-1),Registre!$AA$2:$AA$2001,0)),"")</f>
        <v/>
      </c>
      <c r="T138">
        <f>IFERROR(INDEX(Registre!$B$2:$B$2001,MATCH(T$1&amp;"|"&amp;(ROW()-1),Registre!$AA$2:$AA$2001,0)),"")</f>
        <v/>
      </c>
      <c r="U138">
        <f>IFERROR(INDEX(Registre!$B$2:$B$2001,MATCH(U$1&amp;"|"&amp;(ROW()-1),Registre!$AA$2:$AA$2001,0)),"")</f>
        <v/>
      </c>
      <c r="V138">
        <f>IFERROR(INDEX(Registre!$B$2:$B$2001,MATCH(V$1&amp;"|"&amp;(ROW()-1),Registre!$AA$2:$AA$2001,0)),"")</f>
        <v/>
      </c>
    </row>
    <row r="139">
      <c r="O139">
        <f>IFERROR(INDEX(Registre!$B$2:$B$2001,MATCH(O$1&amp;"|"&amp;(ROW()-1),Registre!$AA$2:$AA$2001,0)),"")</f>
        <v/>
      </c>
      <c r="P139">
        <f>IFERROR(INDEX(Registre!$B$2:$B$2001,MATCH(P$1&amp;"|"&amp;(ROW()-1),Registre!$AA$2:$AA$2001,0)),"")</f>
        <v/>
      </c>
      <c r="Q139">
        <f>IFERROR(INDEX(Registre!$B$2:$B$2001,MATCH(Q$1&amp;"|"&amp;(ROW()-1),Registre!$AA$2:$AA$2001,0)),"")</f>
        <v/>
      </c>
      <c r="R139">
        <f>IFERROR(INDEX(Registre!$B$2:$B$2001,MATCH(R$1&amp;"|"&amp;(ROW()-1),Registre!$AA$2:$AA$2001,0)),"")</f>
        <v/>
      </c>
      <c r="S139">
        <f>IFERROR(INDEX(Registre!$B$2:$B$2001,MATCH(S$1&amp;"|"&amp;(ROW()-1),Registre!$AA$2:$AA$2001,0)),"")</f>
        <v/>
      </c>
      <c r="T139">
        <f>IFERROR(INDEX(Registre!$B$2:$B$2001,MATCH(T$1&amp;"|"&amp;(ROW()-1),Registre!$AA$2:$AA$2001,0)),"")</f>
        <v/>
      </c>
      <c r="U139">
        <f>IFERROR(INDEX(Registre!$B$2:$B$2001,MATCH(U$1&amp;"|"&amp;(ROW()-1),Registre!$AA$2:$AA$2001,0)),"")</f>
        <v/>
      </c>
      <c r="V139">
        <f>IFERROR(INDEX(Registre!$B$2:$B$2001,MATCH(V$1&amp;"|"&amp;(ROW()-1),Registre!$AA$2:$AA$2001,0)),"")</f>
        <v/>
      </c>
    </row>
    <row r="140">
      <c r="O140">
        <f>IFERROR(INDEX(Registre!$B$2:$B$2001,MATCH(O$1&amp;"|"&amp;(ROW()-1),Registre!$AA$2:$AA$2001,0)),"")</f>
        <v/>
      </c>
      <c r="P140">
        <f>IFERROR(INDEX(Registre!$B$2:$B$2001,MATCH(P$1&amp;"|"&amp;(ROW()-1),Registre!$AA$2:$AA$2001,0)),"")</f>
        <v/>
      </c>
      <c r="Q140">
        <f>IFERROR(INDEX(Registre!$B$2:$B$2001,MATCH(Q$1&amp;"|"&amp;(ROW()-1),Registre!$AA$2:$AA$2001,0)),"")</f>
        <v/>
      </c>
      <c r="R140">
        <f>IFERROR(INDEX(Registre!$B$2:$B$2001,MATCH(R$1&amp;"|"&amp;(ROW()-1),Registre!$AA$2:$AA$2001,0)),"")</f>
        <v/>
      </c>
      <c r="S140">
        <f>IFERROR(INDEX(Registre!$B$2:$B$2001,MATCH(S$1&amp;"|"&amp;(ROW()-1),Registre!$AA$2:$AA$2001,0)),"")</f>
        <v/>
      </c>
      <c r="T140">
        <f>IFERROR(INDEX(Registre!$B$2:$B$2001,MATCH(T$1&amp;"|"&amp;(ROW()-1),Registre!$AA$2:$AA$2001,0)),"")</f>
        <v/>
      </c>
      <c r="U140">
        <f>IFERROR(INDEX(Registre!$B$2:$B$2001,MATCH(U$1&amp;"|"&amp;(ROW()-1),Registre!$AA$2:$AA$2001,0)),"")</f>
        <v/>
      </c>
      <c r="V140">
        <f>IFERROR(INDEX(Registre!$B$2:$B$2001,MATCH(V$1&amp;"|"&amp;(ROW()-1),Registre!$AA$2:$AA$2001,0)),"")</f>
        <v/>
      </c>
    </row>
    <row r="141">
      <c r="O141">
        <f>IFERROR(INDEX(Registre!$B$2:$B$2001,MATCH(O$1&amp;"|"&amp;(ROW()-1),Registre!$AA$2:$AA$2001,0)),"")</f>
        <v/>
      </c>
      <c r="P141">
        <f>IFERROR(INDEX(Registre!$B$2:$B$2001,MATCH(P$1&amp;"|"&amp;(ROW()-1),Registre!$AA$2:$AA$2001,0)),"")</f>
        <v/>
      </c>
      <c r="Q141">
        <f>IFERROR(INDEX(Registre!$B$2:$B$2001,MATCH(Q$1&amp;"|"&amp;(ROW()-1),Registre!$AA$2:$AA$2001,0)),"")</f>
        <v/>
      </c>
      <c r="R141">
        <f>IFERROR(INDEX(Registre!$B$2:$B$2001,MATCH(R$1&amp;"|"&amp;(ROW()-1),Registre!$AA$2:$AA$2001,0)),"")</f>
        <v/>
      </c>
      <c r="S141">
        <f>IFERROR(INDEX(Registre!$B$2:$B$2001,MATCH(S$1&amp;"|"&amp;(ROW()-1),Registre!$AA$2:$AA$2001,0)),"")</f>
        <v/>
      </c>
      <c r="T141">
        <f>IFERROR(INDEX(Registre!$B$2:$B$2001,MATCH(T$1&amp;"|"&amp;(ROW()-1),Registre!$AA$2:$AA$2001,0)),"")</f>
        <v/>
      </c>
      <c r="U141">
        <f>IFERROR(INDEX(Registre!$B$2:$B$2001,MATCH(U$1&amp;"|"&amp;(ROW()-1),Registre!$AA$2:$AA$2001,0)),"")</f>
        <v/>
      </c>
      <c r="V141">
        <f>IFERROR(INDEX(Registre!$B$2:$B$2001,MATCH(V$1&amp;"|"&amp;(ROW()-1),Registre!$AA$2:$AA$2001,0)),"")</f>
        <v/>
      </c>
    </row>
    <row r="142">
      <c r="O142">
        <f>IFERROR(INDEX(Registre!$B$2:$B$2001,MATCH(O$1&amp;"|"&amp;(ROW()-1),Registre!$AA$2:$AA$2001,0)),"")</f>
        <v/>
      </c>
      <c r="P142">
        <f>IFERROR(INDEX(Registre!$B$2:$B$2001,MATCH(P$1&amp;"|"&amp;(ROW()-1),Registre!$AA$2:$AA$2001,0)),"")</f>
        <v/>
      </c>
      <c r="Q142">
        <f>IFERROR(INDEX(Registre!$B$2:$B$2001,MATCH(Q$1&amp;"|"&amp;(ROW()-1),Registre!$AA$2:$AA$2001,0)),"")</f>
        <v/>
      </c>
      <c r="R142">
        <f>IFERROR(INDEX(Registre!$B$2:$B$2001,MATCH(R$1&amp;"|"&amp;(ROW()-1),Registre!$AA$2:$AA$2001,0)),"")</f>
        <v/>
      </c>
      <c r="S142">
        <f>IFERROR(INDEX(Registre!$B$2:$B$2001,MATCH(S$1&amp;"|"&amp;(ROW()-1),Registre!$AA$2:$AA$2001,0)),"")</f>
        <v/>
      </c>
      <c r="T142">
        <f>IFERROR(INDEX(Registre!$B$2:$B$2001,MATCH(T$1&amp;"|"&amp;(ROW()-1),Registre!$AA$2:$AA$2001,0)),"")</f>
        <v/>
      </c>
      <c r="U142">
        <f>IFERROR(INDEX(Registre!$B$2:$B$2001,MATCH(U$1&amp;"|"&amp;(ROW()-1),Registre!$AA$2:$AA$2001,0)),"")</f>
        <v/>
      </c>
      <c r="V142">
        <f>IFERROR(INDEX(Registre!$B$2:$B$2001,MATCH(V$1&amp;"|"&amp;(ROW()-1),Registre!$AA$2:$AA$2001,0)),"")</f>
        <v/>
      </c>
    </row>
    <row r="143">
      <c r="O143">
        <f>IFERROR(INDEX(Registre!$B$2:$B$2001,MATCH(O$1&amp;"|"&amp;(ROW()-1),Registre!$AA$2:$AA$2001,0)),"")</f>
        <v/>
      </c>
      <c r="P143">
        <f>IFERROR(INDEX(Registre!$B$2:$B$2001,MATCH(P$1&amp;"|"&amp;(ROW()-1),Registre!$AA$2:$AA$2001,0)),"")</f>
        <v/>
      </c>
      <c r="Q143">
        <f>IFERROR(INDEX(Registre!$B$2:$B$2001,MATCH(Q$1&amp;"|"&amp;(ROW()-1),Registre!$AA$2:$AA$2001,0)),"")</f>
        <v/>
      </c>
      <c r="R143">
        <f>IFERROR(INDEX(Registre!$B$2:$B$2001,MATCH(R$1&amp;"|"&amp;(ROW()-1),Registre!$AA$2:$AA$2001,0)),"")</f>
        <v/>
      </c>
      <c r="S143">
        <f>IFERROR(INDEX(Registre!$B$2:$B$2001,MATCH(S$1&amp;"|"&amp;(ROW()-1),Registre!$AA$2:$AA$2001,0)),"")</f>
        <v/>
      </c>
      <c r="T143">
        <f>IFERROR(INDEX(Registre!$B$2:$B$2001,MATCH(T$1&amp;"|"&amp;(ROW()-1),Registre!$AA$2:$AA$2001,0)),"")</f>
        <v/>
      </c>
      <c r="U143">
        <f>IFERROR(INDEX(Registre!$B$2:$B$2001,MATCH(U$1&amp;"|"&amp;(ROW()-1),Registre!$AA$2:$AA$2001,0)),"")</f>
        <v/>
      </c>
      <c r="V143">
        <f>IFERROR(INDEX(Registre!$B$2:$B$2001,MATCH(V$1&amp;"|"&amp;(ROW()-1),Registre!$AA$2:$AA$2001,0)),"")</f>
        <v/>
      </c>
    </row>
    <row r="144">
      <c r="O144">
        <f>IFERROR(INDEX(Registre!$B$2:$B$2001,MATCH(O$1&amp;"|"&amp;(ROW()-1),Registre!$AA$2:$AA$2001,0)),"")</f>
        <v/>
      </c>
      <c r="P144">
        <f>IFERROR(INDEX(Registre!$B$2:$B$2001,MATCH(P$1&amp;"|"&amp;(ROW()-1),Registre!$AA$2:$AA$2001,0)),"")</f>
        <v/>
      </c>
      <c r="Q144">
        <f>IFERROR(INDEX(Registre!$B$2:$B$2001,MATCH(Q$1&amp;"|"&amp;(ROW()-1),Registre!$AA$2:$AA$2001,0)),"")</f>
        <v/>
      </c>
      <c r="R144">
        <f>IFERROR(INDEX(Registre!$B$2:$B$2001,MATCH(R$1&amp;"|"&amp;(ROW()-1),Registre!$AA$2:$AA$2001,0)),"")</f>
        <v/>
      </c>
      <c r="S144">
        <f>IFERROR(INDEX(Registre!$B$2:$B$2001,MATCH(S$1&amp;"|"&amp;(ROW()-1),Registre!$AA$2:$AA$2001,0)),"")</f>
        <v/>
      </c>
      <c r="T144">
        <f>IFERROR(INDEX(Registre!$B$2:$B$2001,MATCH(T$1&amp;"|"&amp;(ROW()-1),Registre!$AA$2:$AA$2001,0)),"")</f>
        <v/>
      </c>
      <c r="U144">
        <f>IFERROR(INDEX(Registre!$B$2:$B$2001,MATCH(U$1&amp;"|"&amp;(ROW()-1),Registre!$AA$2:$AA$2001,0)),"")</f>
        <v/>
      </c>
      <c r="V144">
        <f>IFERROR(INDEX(Registre!$B$2:$B$2001,MATCH(V$1&amp;"|"&amp;(ROW()-1),Registre!$AA$2:$AA$2001,0)),"")</f>
        <v/>
      </c>
    </row>
    <row r="145">
      <c r="O145">
        <f>IFERROR(INDEX(Registre!$B$2:$B$2001,MATCH(O$1&amp;"|"&amp;(ROW()-1),Registre!$AA$2:$AA$2001,0)),"")</f>
        <v/>
      </c>
      <c r="P145">
        <f>IFERROR(INDEX(Registre!$B$2:$B$2001,MATCH(P$1&amp;"|"&amp;(ROW()-1),Registre!$AA$2:$AA$2001,0)),"")</f>
        <v/>
      </c>
      <c r="Q145">
        <f>IFERROR(INDEX(Registre!$B$2:$B$2001,MATCH(Q$1&amp;"|"&amp;(ROW()-1),Registre!$AA$2:$AA$2001,0)),"")</f>
        <v/>
      </c>
      <c r="R145">
        <f>IFERROR(INDEX(Registre!$B$2:$B$2001,MATCH(R$1&amp;"|"&amp;(ROW()-1),Registre!$AA$2:$AA$2001,0)),"")</f>
        <v/>
      </c>
      <c r="S145">
        <f>IFERROR(INDEX(Registre!$B$2:$B$2001,MATCH(S$1&amp;"|"&amp;(ROW()-1),Registre!$AA$2:$AA$2001,0)),"")</f>
        <v/>
      </c>
      <c r="T145">
        <f>IFERROR(INDEX(Registre!$B$2:$B$2001,MATCH(T$1&amp;"|"&amp;(ROW()-1),Registre!$AA$2:$AA$2001,0)),"")</f>
        <v/>
      </c>
      <c r="U145">
        <f>IFERROR(INDEX(Registre!$B$2:$B$2001,MATCH(U$1&amp;"|"&amp;(ROW()-1),Registre!$AA$2:$AA$2001,0)),"")</f>
        <v/>
      </c>
      <c r="V145">
        <f>IFERROR(INDEX(Registre!$B$2:$B$2001,MATCH(V$1&amp;"|"&amp;(ROW()-1),Registre!$AA$2:$AA$2001,0)),"")</f>
        <v/>
      </c>
    </row>
    <row r="146">
      <c r="O146">
        <f>IFERROR(INDEX(Registre!$B$2:$B$2001,MATCH(O$1&amp;"|"&amp;(ROW()-1),Registre!$AA$2:$AA$2001,0)),"")</f>
        <v/>
      </c>
      <c r="P146">
        <f>IFERROR(INDEX(Registre!$B$2:$B$2001,MATCH(P$1&amp;"|"&amp;(ROW()-1),Registre!$AA$2:$AA$2001,0)),"")</f>
        <v/>
      </c>
      <c r="Q146">
        <f>IFERROR(INDEX(Registre!$B$2:$B$2001,MATCH(Q$1&amp;"|"&amp;(ROW()-1),Registre!$AA$2:$AA$2001,0)),"")</f>
        <v/>
      </c>
      <c r="R146">
        <f>IFERROR(INDEX(Registre!$B$2:$B$2001,MATCH(R$1&amp;"|"&amp;(ROW()-1),Registre!$AA$2:$AA$2001,0)),"")</f>
        <v/>
      </c>
      <c r="S146">
        <f>IFERROR(INDEX(Registre!$B$2:$B$2001,MATCH(S$1&amp;"|"&amp;(ROW()-1),Registre!$AA$2:$AA$2001,0)),"")</f>
        <v/>
      </c>
      <c r="T146">
        <f>IFERROR(INDEX(Registre!$B$2:$B$2001,MATCH(T$1&amp;"|"&amp;(ROW()-1),Registre!$AA$2:$AA$2001,0)),"")</f>
        <v/>
      </c>
      <c r="U146">
        <f>IFERROR(INDEX(Registre!$B$2:$B$2001,MATCH(U$1&amp;"|"&amp;(ROW()-1),Registre!$AA$2:$AA$2001,0)),"")</f>
        <v/>
      </c>
      <c r="V146">
        <f>IFERROR(INDEX(Registre!$B$2:$B$2001,MATCH(V$1&amp;"|"&amp;(ROW()-1),Registre!$AA$2:$AA$2001,0)),"")</f>
        <v/>
      </c>
    </row>
    <row r="147">
      <c r="O147">
        <f>IFERROR(INDEX(Registre!$B$2:$B$2001,MATCH(O$1&amp;"|"&amp;(ROW()-1),Registre!$AA$2:$AA$2001,0)),"")</f>
        <v/>
      </c>
      <c r="P147">
        <f>IFERROR(INDEX(Registre!$B$2:$B$2001,MATCH(P$1&amp;"|"&amp;(ROW()-1),Registre!$AA$2:$AA$2001,0)),"")</f>
        <v/>
      </c>
      <c r="Q147">
        <f>IFERROR(INDEX(Registre!$B$2:$B$2001,MATCH(Q$1&amp;"|"&amp;(ROW()-1),Registre!$AA$2:$AA$2001,0)),"")</f>
        <v/>
      </c>
      <c r="R147">
        <f>IFERROR(INDEX(Registre!$B$2:$B$2001,MATCH(R$1&amp;"|"&amp;(ROW()-1),Registre!$AA$2:$AA$2001,0)),"")</f>
        <v/>
      </c>
      <c r="S147">
        <f>IFERROR(INDEX(Registre!$B$2:$B$2001,MATCH(S$1&amp;"|"&amp;(ROW()-1),Registre!$AA$2:$AA$2001,0)),"")</f>
        <v/>
      </c>
      <c r="T147">
        <f>IFERROR(INDEX(Registre!$B$2:$B$2001,MATCH(T$1&amp;"|"&amp;(ROW()-1),Registre!$AA$2:$AA$2001,0)),"")</f>
        <v/>
      </c>
      <c r="U147">
        <f>IFERROR(INDEX(Registre!$B$2:$B$2001,MATCH(U$1&amp;"|"&amp;(ROW()-1),Registre!$AA$2:$AA$2001,0)),"")</f>
        <v/>
      </c>
      <c r="V147">
        <f>IFERROR(INDEX(Registre!$B$2:$B$2001,MATCH(V$1&amp;"|"&amp;(ROW()-1),Registre!$AA$2:$AA$2001,0)),"")</f>
        <v/>
      </c>
    </row>
    <row r="148">
      <c r="O148">
        <f>IFERROR(INDEX(Registre!$B$2:$B$2001,MATCH(O$1&amp;"|"&amp;(ROW()-1),Registre!$AA$2:$AA$2001,0)),"")</f>
        <v/>
      </c>
      <c r="P148">
        <f>IFERROR(INDEX(Registre!$B$2:$B$2001,MATCH(P$1&amp;"|"&amp;(ROW()-1),Registre!$AA$2:$AA$2001,0)),"")</f>
        <v/>
      </c>
      <c r="Q148">
        <f>IFERROR(INDEX(Registre!$B$2:$B$2001,MATCH(Q$1&amp;"|"&amp;(ROW()-1),Registre!$AA$2:$AA$2001,0)),"")</f>
        <v/>
      </c>
      <c r="R148">
        <f>IFERROR(INDEX(Registre!$B$2:$B$2001,MATCH(R$1&amp;"|"&amp;(ROW()-1),Registre!$AA$2:$AA$2001,0)),"")</f>
        <v/>
      </c>
      <c r="S148">
        <f>IFERROR(INDEX(Registre!$B$2:$B$2001,MATCH(S$1&amp;"|"&amp;(ROW()-1),Registre!$AA$2:$AA$2001,0)),"")</f>
        <v/>
      </c>
      <c r="T148">
        <f>IFERROR(INDEX(Registre!$B$2:$B$2001,MATCH(T$1&amp;"|"&amp;(ROW()-1),Registre!$AA$2:$AA$2001,0)),"")</f>
        <v/>
      </c>
      <c r="U148">
        <f>IFERROR(INDEX(Registre!$B$2:$B$2001,MATCH(U$1&amp;"|"&amp;(ROW()-1),Registre!$AA$2:$AA$2001,0)),"")</f>
        <v/>
      </c>
      <c r="V148">
        <f>IFERROR(INDEX(Registre!$B$2:$B$2001,MATCH(V$1&amp;"|"&amp;(ROW()-1),Registre!$AA$2:$AA$2001,0)),"")</f>
        <v/>
      </c>
    </row>
    <row r="149">
      <c r="O149">
        <f>IFERROR(INDEX(Registre!$B$2:$B$2001,MATCH(O$1&amp;"|"&amp;(ROW()-1),Registre!$AA$2:$AA$2001,0)),"")</f>
        <v/>
      </c>
      <c r="P149">
        <f>IFERROR(INDEX(Registre!$B$2:$B$2001,MATCH(P$1&amp;"|"&amp;(ROW()-1),Registre!$AA$2:$AA$2001,0)),"")</f>
        <v/>
      </c>
      <c r="Q149">
        <f>IFERROR(INDEX(Registre!$B$2:$B$2001,MATCH(Q$1&amp;"|"&amp;(ROW()-1),Registre!$AA$2:$AA$2001,0)),"")</f>
        <v/>
      </c>
      <c r="R149">
        <f>IFERROR(INDEX(Registre!$B$2:$B$2001,MATCH(R$1&amp;"|"&amp;(ROW()-1),Registre!$AA$2:$AA$2001,0)),"")</f>
        <v/>
      </c>
      <c r="S149">
        <f>IFERROR(INDEX(Registre!$B$2:$B$2001,MATCH(S$1&amp;"|"&amp;(ROW()-1),Registre!$AA$2:$AA$2001,0)),"")</f>
        <v/>
      </c>
      <c r="T149">
        <f>IFERROR(INDEX(Registre!$B$2:$B$2001,MATCH(T$1&amp;"|"&amp;(ROW()-1),Registre!$AA$2:$AA$2001,0)),"")</f>
        <v/>
      </c>
      <c r="U149">
        <f>IFERROR(INDEX(Registre!$B$2:$B$2001,MATCH(U$1&amp;"|"&amp;(ROW()-1),Registre!$AA$2:$AA$2001,0)),"")</f>
        <v/>
      </c>
      <c r="V149">
        <f>IFERROR(INDEX(Registre!$B$2:$B$2001,MATCH(V$1&amp;"|"&amp;(ROW()-1),Registre!$AA$2:$AA$2001,0)),"")</f>
        <v/>
      </c>
    </row>
    <row r="150">
      <c r="O150">
        <f>IFERROR(INDEX(Registre!$B$2:$B$2001,MATCH(O$1&amp;"|"&amp;(ROW()-1),Registre!$AA$2:$AA$2001,0)),"")</f>
        <v/>
      </c>
      <c r="P150">
        <f>IFERROR(INDEX(Registre!$B$2:$B$2001,MATCH(P$1&amp;"|"&amp;(ROW()-1),Registre!$AA$2:$AA$2001,0)),"")</f>
        <v/>
      </c>
      <c r="Q150">
        <f>IFERROR(INDEX(Registre!$B$2:$B$2001,MATCH(Q$1&amp;"|"&amp;(ROW()-1),Registre!$AA$2:$AA$2001,0)),"")</f>
        <v/>
      </c>
      <c r="R150">
        <f>IFERROR(INDEX(Registre!$B$2:$B$2001,MATCH(R$1&amp;"|"&amp;(ROW()-1),Registre!$AA$2:$AA$2001,0)),"")</f>
        <v/>
      </c>
      <c r="S150">
        <f>IFERROR(INDEX(Registre!$B$2:$B$2001,MATCH(S$1&amp;"|"&amp;(ROW()-1),Registre!$AA$2:$AA$2001,0)),"")</f>
        <v/>
      </c>
      <c r="T150">
        <f>IFERROR(INDEX(Registre!$B$2:$B$2001,MATCH(T$1&amp;"|"&amp;(ROW()-1),Registre!$AA$2:$AA$2001,0)),"")</f>
        <v/>
      </c>
      <c r="U150">
        <f>IFERROR(INDEX(Registre!$B$2:$B$2001,MATCH(U$1&amp;"|"&amp;(ROW()-1),Registre!$AA$2:$AA$2001,0)),"")</f>
        <v/>
      </c>
      <c r="V150">
        <f>IFERROR(INDEX(Registre!$B$2:$B$2001,MATCH(V$1&amp;"|"&amp;(ROW()-1),Registre!$AA$2:$AA$2001,0)),"")</f>
        <v/>
      </c>
    </row>
    <row r="151">
      <c r="O151">
        <f>IFERROR(INDEX(Registre!$B$2:$B$2001,MATCH(O$1&amp;"|"&amp;(ROW()-1),Registre!$AA$2:$AA$2001,0)),"")</f>
        <v/>
      </c>
      <c r="P151">
        <f>IFERROR(INDEX(Registre!$B$2:$B$2001,MATCH(P$1&amp;"|"&amp;(ROW()-1),Registre!$AA$2:$AA$2001,0)),"")</f>
        <v/>
      </c>
      <c r="Q151">
        <f>IFERROR(INDEX(Registre!$B$2:$B$2001,MATCH(Q$1&amp;"|"&amp;(ROW()-1),Registre!$AA$2:$AA$2001,0)),"")</f>
        <v/>
      </c>
      <c r="R151">
        <f>IFERROR(INDEX(Registre!$B$2:$B$2001,MATCH(R$1&amp;"|"&amp;(ROW()-1),Registre!$AA$2:$AA$2001,0)),"")</f>
        <v/>
      </c>
      <c r="S151">
        <f>IFERROR(INDEX(Registre!$B$2:$B$2001,MATCH(S$1&amp;"|"&amp;(ROW()-1),Registre!$AA$2:$AA$2001,0)),"")</f>
        <v/>
      </c>
      <c r="T151">
        <f>IFERROR(INDEX(Registre!$B$2:$B$2001,MATCH(T$1&amp;"|"&amp;(ROW()-1),Registre!$AA$2:$AA$2001,0)),"")</f>
        <v/>
      </c>
      <c r="U151">
        <f>IFERROR(INDEX(Registre!$B$2:$B$2001,MATCH(U$1&amp;"|"&amp;(ROW()-1),Registre!$AA$2:$AA$2001,0)),"")</f>
        <v/>
      </c>
      <c r="V151">
        <f>IFERROR(INDEX(Registre!$B$2:$B$2001,MATCH(V$1&amp;"|"&amp;(ROW()-1),Registre!$AA$2:$AA$2001,0)),"")</f>
        <v/>
      </c>
    </row>
    <row r="152">
      <c r="O152">
        <f>IFERROR(INDEX(Registre!$B$2:$B$2001,MATCH(O$1&amp;"|"&amp;(ROW()-1),Registre!$AA$2:$AA$2001,0)),"")</f>
        <v/>
      </c>
      <c r="P152">
        <f>IFERROR(INDEX(Registre!$B$2:$B$2001,MATCH(P$1&amp;"|"&amp;(ROW()-1),Registre!$AA$2:$AA$2001,0)),"")</f>
        <v/>
      </c>
      <c r="Q152">
        <f>IFERROR(INDEX(Registre!$B$2:$B$2001,MATCH(Q$1&amp;"|"&amp;(ROW()-1),Registre!$AA$2:$AA$2001,0)),"")</f>
        <v/>
      </c>
      <c r="R152">
        <f>IFERROR(INDEX(Registre!$B$2:$B$2001,MATCH(R$1&amp;"|"&amp;(ROW()-1),Registre!$AA$2:$AA$2001,0)),"")</f>
        <v/>
      </c>
      <c r="S152">
        <f>IFERROR(INDEX(Registre!$B$2:$B$2001,MATCH(S$1&amp;"|"&amp;(ROW()-1),Registre!$AA$2:$AA$2001,0)),"")</f>
        <v/>
      </c>
      <c r="T152">
        <f>IFERROR(INDEX(Registre!$B$2:$B$2001,MATCH(T$1&amp;"|"&amp;(ROW()-1),Registre!$AA$2:$AA$2001,0)),"")</f>
        <v/>
      </c>
      <c r="U152">
        <f>IFERROR(INDEX(Registre!$B$2:$B$2001,MATCH(U$1&amp;"|"&amp;(ROW()-1),Registre!$AA$2:$AA$2001,0)),"")</f>
        <v/>
      </c>
      <c r="V152">
        <f>IFERROR(INDEX(Registre!$B$2:$B$2001,MATCH(V$1&amp;"|"&amp;(ROW()-1),Registre!$AA$2:$AA$2001,0)),"")</f>
        <v/>
      </c>
    </row>
    <row r="153">
      <c r="O153">
        <f>IFERROR(INDEX(Registre!$B$2:$B$2001,MATCH(O$1&amp;"|"&amp;(ROW()-1),Registre!$AA$2:$AA$2001,0)),"")</f>
        <v/>
      </c>
      <c r="P153">
        <f>IFERROR(INDEX(Registre!$B$2:$B$2001,MATCH(P$1&amp;"|"&amp;(ROW()-1),Registre!$AA$2:$AA$2001,0)),"")</f>
        <v/>
      </c>
      <c r="Q153">
        <f>IFERROR(INDEX(Registre!$B$2:$B$2001,MATCH(Q$1&amp;"|"&amp;(ROW()-1),Registre!$AA$2:$AA$2001,0)),"")</f>
        <v/>
      </c>
      <c r="R153">
        <f>IFERROR(INDEX(Registre!$B$2:$B$2001,MATCH(R$1&amp;"|"&amp;(ROW()-1),Registre!$AA$2:$AA$2001,0)),"")</f>
        <v/>
      </c>
      <c r="S153">
        <f>IFERROR(INDEX(Registre!$B$2:$B$2001,MATCH(S$1&amp;"|"&amp;(ROW()-1),Registre!$AA$2:$AA$2001,0)),"")</f>
        <v/>
      </c>
      <c r="T153">
        <f>IFERROR(INDEX(Registre!$B$2:$B$2001,MATCH(T$1&amp;"|"&amp;(ROW()-1),Registre!$AA$2:$AA$2001,0)),"")</f>
        <v/>
      </c>
      <c r="U153">
        <f>IFERROR(INDEX(Registre!$B$2:$B$2001,MATCH(U$1&amp;"|"&amp;(ROW()-1),Registre!$AA$2:$AA$2001,0)),"")</f>
        <v/>
      </c>
      <c r="V153">
        <f>IFERROR(INDEX(Registre!$B$2:$B$2001,MATCH(V$1&amp;"|"&amp;(ROW()-1),Registre!$AA$2:$AA$2001,0)),"")</f>
        <v/>
      </c>
    </row>
    <row r="154">
      <c r="O154">
        <f>IFERROR(INDEX(Registre!$B$2:$B$2001,MATCH(O$1&amp;"|"&amp;(ROW()-1),Registre!$AA$2:$AA$2001,0)),"")</f>
        <v/>
      </c>
      <c r="P154">
        <f>IFERROR(INDEX(Registre!$B$2:$B$2001,MATCH(P$1&amp;"|"&amp;(ROW()-1),Registre!$AA$2:$AA$2001,0)),"")</f>
        <v/>
      </c>
      <c r="Q154">
        <f>IFERROR(INDEX(Registre!$B$2:$B$2001,MATCH(Q$1&amp;"|"&amp;(ROW()-1),Registre!$AA$2:$AA$2001,0)),"")</f>
        <v/>
      </c>
      <c r="R154">
        <f>IFERROR(INDEX(Registre!$B$2:$B$2001,MATCH(R$1&amp;"|"&amp;(ROW()-1),Registre!$AA$2:$AA$2001,0)),"")</f>
        <v/>
      </c>
      <c r="S154">
        <f>IFERROR(INDEX(Registre!$B$2:$B$2001,MATCH(S$1&amp;"|"&amp;(ROW()-1),Registre!$AA$2:$AA$2001,0)),"")</f>
        <v/>
      </c>
      <c r="T154">
        <f>IFERROR(INDEX(Registre!$B$2:$B$2001,MATCH(T$1&amp;"|"&amp;(ROW()-1),Registre!$AA$2:$AA$2001,0)),"")</f>
        <v/>
      </c>
      <c r="U154">
        <f>IFERROR(INDEX(Registre!$B$2:$B$2001,MATCH(U$1&amp;"|"&amp;(ROW()-1),Registre!$AA$2:$AA$2001,0)),"")</f>
        <v/>
      </c>
      <c r="V154">
        <f>IFERROR(INDEX(Registre!$B$2:$B$2001,MATCH(V$1&amp;"|"&amp;(ROW()-1),Registre!$AA$2:$AA$2001,0)),"")</f>
        <v/>
      </c>
    </row>
    <row r="155">
      <c r="O155">
        <f>IFERROR(INDEX(Registre!$B$2:$B$2001,MATCH(O$1&amp;"|"&amp;(ROW()-1),Registre!$AA$2:$AA$2001,0)),"")</f>
        <v/>
      </c>
      <c r="P155">
        <f>IFERROR(INDEX(Registre!$B$2:$B$2001,MATCH(P$1&amp;"|"&amp;(ROW()-1),Registre!$AA$2:$AA$2001,0)),"")</f>
        <v/>
      </c>
      <c r="Q155">
        <f>IFERROR(INDEX(Registre!$B$2:$B$2001,MATCH(Q$1&amp;"|"&amp;(ROW()-1),Registre!$AA$2:$AA$2001,0)),"")</f>
        <v/>
      </c>
      <c r="R155">
        <f>IFERROR(INDEX(Registre!$B$2:$B$2001,MATCH(R$1&amp;"|"&amp;(ROW()-1),Registre!$AA$2:$AA$2001,0)),"")</f>
        <v/>
      </c>
      <c r="S155">
        <f>IFERROR(INDEX(Registre!$B$2:$B$2001,MATCH(S$1&amp;"|"&amp;(ROW()-1),Registre!$AA$2:$AA$2001,0)),"")</f>
        <v/>
      </c>
      <c r="T155">
        <f>IFERROR(INDEX(Registre!$B$2:$B$2001,MATCH(T$1&amp;"|"&amp;(ROW()-1),Registre!$AA$2:$AA$2001,0)),"")</f>
        <v/>
      </c>
      <c r="U155">
        <f>IFERROR(INDEX(Registre!$B$2:$B$2001,MATCH(U$1&amp;"|"&amp;(ROW()-1),Registre!$AA$2:$AA$2001,0)),"")</f>
        <v/>
      </c>
      <c r="V155">
        <f>IFERROR(INDEX(Registre!$B$2:$B$2001,MATCH(V$1&amp;"|"&amp;(ROW()-1),Registre!$AA$2:$AA$2001,0)),"")</f>
        <v/>
      </c>
    </row>
    <row r="156">
      <c r="O156">
        <f>IFERROR(INDEX(Registre!$B$2:$B$2001,MATCH(O$1&amp;"|"&amp;(ROW()-1),Registre!$AA$2:$AA$2001,0)),"")</f>
        <v/>
      </c>
      <c r="P156">
        <f>IFERROR(INDEX(Registre!$B$2:$B$2001,MATCH(P$1&amp;"|"&amp;(ROW()-1),Registre!$AA$2:$AA$2001,0)),"")</f>
        <v/>
      </c>
      <c r="Q156">
        <f>IFERROR(INDEX(Registre!$B$2:$B$2001,MATCH(Q$1&amp;"|"&amp;(ROW()-1),Registre!$AA$2:$AA$2001,0)),"")</f>
        <v/>
      </c>
      <c r="R156">
        <f>IFERROR(INDEX(Registre!$B$2:$B$2001,MATCH(R$1&amp;"|"&amp;(ROW()-1),Registre!$AA$2:$AA$2001,0)),"")</f>
        <v/>
      </c>
      <c r="S156">
        <f>IFERROR(INDEX(Registre!$B$2:$B$2001,MATCH(S$1&amp;"|"&amp;(ROW()-1),Registre!$AA$2:$AA$2001,0)),"")</f>
        <v/>
      </c>
      <c r="T156">
        <f>IFERROR(INDEX(Registre!$B$2:$B$2001,MATCH(T$1&amp;"|"&amp;(ROW()-1),Registre!$AA$2:$AA$2001,0)),"")</f>
        <v/>
      </c>
      <c r="U156">
        <f>IFERROR(INDEX(Registre!$B$2:$B$2001,MATCH(U$1&amp;"|"&amp;(ROW()-1),Registre!$AA$2:$AA$2001,0)),"")</f>
        <v/>
      </c>
      <c r="V156">
        <f>IFERROR(INDEX(Registre!$B$2:$B$2001,MATCH(V$1&amp;"|"&amp;(ROW()-1),Registre!$AA$2:$AA$2001,0)),"")</f>
        <v/>
      </c>
    </row>
    <row r="157">
      <c r="O157">
        <f>IFERROR(INDEX(Registre!$B$2:$B$2001,MATCH(O$1&amp;"|"&amp;(ROW()-1),Registre!$AA$2:$AA$2001,0)),"")</f>
        <v/>
      </c>
      <c r="P157">
        <f>IFERROR(INDEX(Registre!$B$2:$B$2001,MATCH(P$1&amp;"|"&amp;(ROW()-1),Registre!$AA$2:$AA$2001,0)),"")</f>
        <v/>
      </c>
      <c r="Q157">
        <f>IFERROR(INDEX(Registre!$B$2:$B$2001,MATCH(Q$1&amp;"|"&amp;(ROW()-1),Registre!$AA$2:$AA$2001,0)),"")</f>
        <v/>
      </c>
      <c r="R157">
        <f>IFERROR(INDEX(Registre!$B$2:$B$2001,MATCH(R$1&amp;"|"&amp;(ROW()-1),Registre!$AA$2:$AA$2001,0)),"")</f>
        <v/>
      </c>
      <c r="S157">
        <f>IFERROR(INDEX(Registre!$B$2:$B$2001,MATCH(S$1&amp;"|"&amp;(ROW()-1),Registre!$AA$2:$AA$2001,0)),"")</f>
        <v/>
      </c>
      <c r="T157">
        <f>IFERROR(INDEX(Registre!$B$2:$B$2001,MATCH(T$1&amp;"|"&amp;(ROW()-1),Registre!$AA$2:$AA$2001,0)),"")</f>
        <v/>
      </c>
      <c r="U157">
        <f>IFERROR(INDEX(Registre!$B$2:$B$2001,MATCH(U$1&amp;"|"&amp;(ROW()-1),Registre!$AA$2:$AA$2001,0)),"")</f>
        <v/>
      </c>
      <c r="V157">
        <f>IFERROR(INDEX(Registre!$B$2:$B$2001,MATCH(V$1&amp;"|"&amp;(ROW()-1),Registre!$AA$2:$AA$2001,0)),"")</f>
        <v/>
      </c>
    </row>
    <row r="158">
      <c r="O158">
        <f>IFERROR(INDEX(Registre!$B$2:$B$2001,MATCH(O$1&amp;"|"&amp;(ROW()-1),Registre!$AA$2:$AA$2001,0)),"")</f>
        <v/>
      </c>
      <c r="P158">
        <f>IFERROR(INDEX(Registre!$B$2:$B$2001,MATCH(P$1&amp;"|"&amp;(ROW()-1),Registre!$AA$2:$AA$2001,0)),"")</f>
        <v/>
      </c>
      <c r="Q158">
        <f>IFERROR(INDEX(Registre!$B$2:$B$2001,MATCH(Q$1&amp;"|"&amp;(ROW()-1),Registre!$AA$2:$AA$2001,0)),"")</f>
        <v/>
      </c>
      <c r="R158">
        <f>IFERROR(INDEX(Registre!$B$2:$B$2001,MATCH(R$1&amp;"|"&amp;(ROW()-1),Registre!$AA$2:$AA$2001,0)),"")</f>
        <v/>
      </c>
      <c r="S158">
        <f>IFERROR(INDEX(Registre!$B$2:$B$2001,MATCH(S$1&amp;"|"&amp;(ROW()-1),Registre!$AA$2:$AA$2001,0)),"")</f>
        <v/>
      </c>
      <c r="T158">
        <f>IFERROR(INDEX(Registre!$B$2:$B$2001,MATCH(T$1&amp;"|"&amp;(ROW()-1),Registre!$AA$2:$AA$2001,0)),"")</f>
        <v/>
      </c>
      <c r="U158">
        <f>IFERROR(INDEX(Registre!$B$2:$B$2001,MATCH(U$1&amp;"|"&amp;(ROW()-1),Registre!$AA$2:$AA$2001,0)),"")</f>
        <v/>
      </c>
      <c r="V158">
        <f>IFERROR(INDEX(Registre!$B$2:$B$2001,MATCH(V$1&amp;"|"&amp;(ROW()-1),Registre!$AA$2:$AA$2001,0)),"")</f>
        <v/>
      </c>
    </row>
    <row r="159">
      <c r="O159">
        <f>IFERROR(INDEX(Registre!$B$2:$B$2001,MATCH(O$1&amp;"|"&amp;(ROW()-1),Registre!$AA$2:$AA$2001,0)),"")</f>
        <v/>
      </c>
      <c r="P159">
        <f>IFERROR(INDEX(Registre!$B$2:$B$2001,MATCH(P$1&amp;"|"&amp;(ROW()-1),Registre!$AA$2:$AA$2001,0)),"")</f>
        <v/>
      </c>
      <c r="Q159">
        <f>IFERROR(INDEX(Registre!$B$2:$B$2001,MATCH(Q$1&amp;"|"&amp;(ROW()-1),Registre!$AA$2:$AA$2001,0)),"")</f>
        <v/>
      </c>
      <c r="R159">
        <f>IFERROR(INDEX(Registre!$B$2:$B$2001,MATCH(R$1&amp;"|"&amp;(ROW()-1),Registre!$AA$2:$AA$2001,0)),"")</f>
        <v/>
      </c>
      <c r="S159">
        <f>IFERROR(INDEX(Registre!$B$2:$B$2001,MATCH(S$1&amp;"|"&amp;(ROW()-1),Registre!$AA$2:$AA$2001,0)),"")</f>
        <v/>
      </c>
      <c r="T159">
        <f>IFERROR(INDEX(Registre!$B$2:$B$2001,MATCH(T$1&amp;"|"&amp;(ROW()-1),Registre!$AA$2:$AA$2001,0)),"")</f>
        <v/>
      </c>
      <c r="U159">
        <f>IFERROR(INDEX(Registre!$B$2:$B$2001,MATCH(U$1&amp;"|"&amp;(ROW()-1),Registre!$AA$2:$AA$2001,0)),"")</f>
        <v/>
      </c>
      <c r="V159">
        <f>IFERROR(INDEX(Registre!$B$2:$B$2001,MATCH(V$1&amp;"|"&amp;(ROW()-1),Registre!$AA$2:$AA$2001,0)),"")</f>
        <v/>
      </c>
    </row>
    <row r="160">
      <c r="O160">
        <f>IFERROR(INDEX(Registre!$B$2:$B$2001,MATCH(O$1&amp;"|"&amp;(ROW()-1),Registre!$AA$2:$AA$2001,0)),"")</f>
        <v/>
      </c>
      <c r="P160">
        <f>IFERROR(INDEX(Registre!$B$2:$B$2001,MATCH(P$1&amp;"|"&amp;(ROW()-1),Registre!$AA$2:$AA$2001,0)),"")</f>
        <v/>
      </c>
      <c r="Q160">
        <f>IFERROR(INDEX(Registre!$B$2:$B$2001,MATCH(Q$1&amp;"|"&amp;(ROW()-1),Registre!$AA$2:$AA$2001,0)),"")</f>
        <v/>
      </c>
      <c r="R160">
        <f>IFERROR(INDEX(Registre!$B$2:$B$2001,MATCH(R$1&amp;"|"&amp;(ROW()-1),Registre!$AA$2:$AA$2001,0)),"")</f>
        <v/>
      </c>
      <c r="S160">
        <f>IFERROR(INDEX(Registre!$B$2:$B$2001,MATCH(S$1&amp;"|"&amp;(ROW()-1),Registre!$AA$2:$AA$2001,0)),"")</f>
        <v/>
      </c>
      <c r="T160">
        <f>IFERROR(INDEX(Registre!$B$2:$B$2001,MATCH(T$1&amp;"|"&amp;(ROW()-1),Registre!$AA$2:$AA$2001,0)),"")</f>
        <v/>
      </c>
      <c r="U160">
        <f>IFERROR(INDEX(Registre!$B$2:$B$2001,MATCH(U$1&amp;"|"&amp;(ROW()-1),Registre!$AA$2:$AA$2001,0)),"")</f>
        <v/>
      </c>
      <c r="V160">
        <f>IFERROR(INDEX(Registre!$B$2:$B$2001,MATCH(V$1&amp;"|"&amp;(ROW()-1),Registre!$AA$2:$AA$2001,0)),"")</f>
        <v/>
      </c>
    </row>
    <row r="161">
      <c r="O161">
        <f>IFERROR(INDEX(Registre!$B$2:$B$2001,MATCH(O$1&amp;"|"&amp;(ROW()-1),Registre!$AA$2:$AA$2001,0)),"")</f>
        <v/>
      </c>
      <c r="P161">
        <f>IFERROR(INDEX(Registre!$B$2:$B$2001,MATCH(P$1&amp;"|"&amp;(ROW()-1),Registre!$AA$2:$AA$2001,0)),"")</f>
        <v/>
      </c>
      <c r="Q161">
        <f>IFERROR(INDEX(Registre!$B$2:$B$2001,MATCH(Q$1&amp;"|"&amp;(ROW()-1),Registre!$AA$2:$AA$2001,0)),"")</f>
        <v/>
      </c>
      <c r="R161">
        <f>IFERROR(INDEX(Registre!$B$2:$B$2001,MATCH(R$1&amp;"|"&amp;(ROW()-1),Registre!$AA$2:$AA$2001,0)),"")</f>
        <v/>
      </c>
      <c r="S161">
        <f>IFERROR(INDEX(Registre!$B$2:$B$2001,MATCH(S$1&amp;"|"&amp;(ROW()-1),Registre!$AA$2:$AA$2001,0)),"")</f>
        <v/>
      </c>
      <c r="T161">
        <f>IFERROR(INDEX(Registre!$B$2:$B$2001,MATCH(T$1&amp;"|"&amp;(ROW()-1),Registre!$AA$2:$AA$2001,0)),"")</f>
        <v/>
      </c>
      <c r="U161">
        <f>IFERROR(INDEX(Registre!$B$2:$B$2001,MATCH(U$1&amp;"|"&amp;(ROW()-1),Registre!$AA$2:$AA$2001,0)),"")</f>
        <v/>
      </c>
      <c r="V161">
        <f>IFERROR(INDEX(Registre!$B$2:$B$2001,MATCH(V$1&amp;"|"&amp;(ROW()-1),Registre!$AA$2:$AA$2001,0)),"")</f>
        <v/>
      </c>
    </row>
    <row r="162">
      <c r="O162">
        <f>IFERROR(INDEX(Registre!$B$2:$B$2001,MATCH(O$1&amp;"|"&amp;(ROW()-1),Registre!$AA$2:$AA$2001,0)),"")</f>
        <v/>
      </c>
      <c r="P162">
        <f>IFERROR(INDEX(Registre!$B$2:$B$2001,MATCH(P$1&amp;"|"&amp;(ROW()-1),Registre!$AA$2:$AA$2001,0)),"")</f>
        <v/>
      </c>
      <c r="Q162">
        <f>IFERROR(INDEX(Registre!$B$2:$B$2001,MATCH(Q$1&amp;"|"&amp;(ROW()-1),Registre!$AA$2:$AA$2001,0)),"")</f>
        <v/>
      </c>
      <c r="R162">
        <f>IFERROR(INDEX(Registre!$B$2:$B$2001,MATCH(R$1&amp;"|"&amp;(ROW()-1),Registre!$AA$2:$AA$2001,0)),"")</f>
        <v/>
      </c>
      <c r="S162">
        <f>IFERROR(INDEX(Registre!$B$2:$B$2001,MATCH(S$1&amp;"|"&amp;(ROW()-1),Registre!$AA$2:$AA$2001,0)),"")</f>
        <v/>
      </c>
      <c r="T162">
        <f>IFERROR(INDEX(Registre!$B$2:$B$2001,MATCH(T$1&amp;"|"&amp;(ROW()-1),Registre!$AA$2:$AA$2001,0)),"")</f>
        <v/>
      </c>
      <c r="U162">
        <f>IFERROR(INDEX(Registre!$B$2:$B$2001,MATCH(U$1&amp;"|"&amp;(ROW()-1),Registre!$AA$2:$AA$2001,0)),"")</f>
        <v/>
      </c>
      <c r="V162">
        <f>IFERROR(INDEX(Registre!$B$2:$B$2001,MATCH(V$1&amp;"|"&amp;(ROW()-1),Registre!$AA$2:$AA$2001,0)),"")</f>
        <v/>
      </c>
    </row>
    <row r="163">
      <c r="O163">
        <f>IFERROR(INDEX(Registre!$B$2:$B$2001,MATCH(O$1&amp;"|"&amp;(ROW()-1),Registre!$AA$2:$AA$2001,0)),"")</f>
        <v/>
      </c>
      <c r="P163">
        <f>IFERROR(INDEX(Registre!$B$2:$B$2001,MATCH(P$1&amp;"|"&amp;(ROW()-1),Registre!$AA$2:$AA$2001,0)),"")</f>
        <v/>
      </c>
      <c r="Q163">
        <f>IFERROR(INDEX(Registre!$B$2:$B$2001,MATCH(Q$1&amp;"|"&amp;(ROW()-1),Registre!$AA$2:$AA$2001,0)),"")</f>
        <v/>
      </c>
      <c r="R163">
        <f>IFERROR(INDEX(Registre!$B$2:$B$2001,MATCH(R$1&amp;"|"&amp;(ROW()-1),Registre!$AA$2:$AA$2001,0)),"")</f>
        <v/>
      </c>
      <c r="S163">
        <f>IFERROR(INDEX(Registre!$B$2:$B$2001,MATCH(S$1&amp;"|"&amp;(ROW()-1),Registre!$AA$2:$AA$2001,0)),"")</f>
        <v/>
      </c>
      <c r="T163">
        <f>IFERROR(INDEX(Registre!$B$2:$B$2001,MATCH(T$1&amp;"|"&amp;(ROW()-1),Registre!$AA$2:$AA$2001,0)),"")</f>
        <v/>
      </c>
      <c r="U163">
        <f>IFERROR(INDEX(Registre!$B$2:$B$2001,MATCH(U$1&amp;"|"&amp;(ROW()-1),Registre!$AA$2:$AA$2001,0)),"")</f>
        <v/>
      </c>
      <c r="V163">
        <f>IFERROR(INDEX(Registre!$B$2:$B$2001,MATCH(V$1&amp;"|"&amp;(ROW()-1),Registre!$AA$2:$AA$2001,0)),"")</f>
        <v/>
      </c>
    </row>
    <row r="164">
      <c r="O164">
        <f>IFERROR(INDEX(Registre!$B$2:$B$2001,MATCH(O$1&amp;"|"&amp;(ROW()-1),Registre!$AA$2:$AA$2001,0)),"")</f>
        <v/>
      </c>
      <c r="P164">
        <f>IFERROR(INDEX(Registre!$B$2:$B$2001,MATCH(P$1&amp;"|"&amp;(ROW()-1),Registre!$AA$2:$AA$2001,0)),"")</f>
        <v/>
      </c>
      <c r="Q164">
        <f>IFERROR(INDEX(Registre!$B$2:$B$2001,MATCH(Q$1&amp;"|"&amp;(ROW()-1),Registre!$AA$2:$AA$2001,0)),"")</f>
        <v/>
      </c>
      <c r="R164">
        <f>IFERROR(INDEX(Registre!$B$2:$B$2001,MATCH(R$1&amp;"|"&amp;(ROW()-1),Registre!$AA$2:$AA$2001,0)),"")</f>
        <v/>
      </c>
      <c r="S164">
        <f>IFERROR(INDEX(Registre!$B$2:$B$2001,MATCH(S$1&amp;"|"&amp;(ROW()-1),Registre!$AA$2:$AA$2001,0)),"")</f>
        <v/>
      </c>
      <c r="T164">
        <f>IFERROR(INDEX(Registre!$B$2:$B$2001,MATCH(T$1&amp;"|"&amp;(ROW()-1),Registre!$AA$2:$AA$2001,0)),"")</f>
        <v/>
      </c>
      <c r="U164">
        <f>IFERROR(INDEX(Registre!$B$2:$B$2001,MATCH(U$1&amp;"|"&amp;(ROW()-1),Registre!$AA$2:$AA$2001,0)),"")</f>
        <v/>
      </c>
      <c r="V164">
        <f>IFERROR(INDEX(Registre!$B$2:$B$2001,MATCH(V$1&amp;"|"&amp;(ROW()-1),Registre!$AA$2:$AA$2001,0)),"")</f>
        <v/>
      </c>
    </row>
    <row r="165">
      <c r="O165">
        <f>IFERROR(INDEX(Registre!$B$2:$B$2001,MATCH(O$1&amp;"|"&amp;(ROW()-1),Registre!$AA$2:$AA$2001,0)),"")</f>
        <v/>
      </c>
      <c r="P165">
        <f>IFERROR(INDEX(Registre!$B$2:$B$2001,MATCH(P$1&amp;"|"&amp;(ROW()-1),Registre!$AA$2:$AA$2001,0)),"")</f>
        <v/>
      </c>
      <c r="Q165">
        <f>IFERROR(INDEX(Registre!$B$2:$B$2001,MATCH(Q$1&amp;"|"&amp;(ROW()-1),Registre!$AA$2:$AA$2001,0)),"")</f>
        <v/>
      </c>
      <c r="R165">
        <f>IFERROR(INDEX(Registre!$B$2:$B$2001,MATCH(R$1&amp;"|"&amp;(ROW()-1),Registre!$AA$2:$AA$2001,0)),"")</f>
        <v/>
      </c>
      <c r="S165">
        <f>IFERROR(INDEX(Registre!$B$2:$B$2001,MATCH(S$1&amp;"|"&amp;(ROW()-1),Registre!$AA$2:$AA$2001,0)),"")</f>
        <v/>
      </c>
      <c r="T165">
        <f>IFERROR(INDEX(Registre!$B$2:$B$2001,MATCH(T$1&amp;"|"&amp;(ROW()-1),Registre!$AA$2:$AA$2001,0)),"")</f>
        <v/>
      </c>
      <c r="U165">
        <f>IFERROR(INDEX(Registre!$B$2:$B$2001,MATCH(U$1&amp;"|"&amp;(ROW()-1),Registre!$AA$2:$AA$2001,0)),"")</f>
        <v/>
      </c>
      <c r="V165">
        <f>IFERROR(INDEX(Registre!$B$2:$B$2001,MATCH(V$1&amp;"|"&amp;(ROW()-1),Registre!$AA$2:$AA$2001,0)),"")</f>
        <v/>
      </c>
    </row>
    <row r="166">
      <c r="O166">
        <f>IFERROR(INDEX(Registre!$B$2:$B$2001,MATCH(O$1&amp;"|"&amp;(ROW()-1),Registre!$AA$2:$AA$2001,0)),"")</f>
        <v/>
      </c>
      <c r="P166">
        <f>IFERROR(INDEX(Registre!$B$2:$B$2001,MATCH(P$1&amp;"|"&amp;(ROW()-1),Registre!$AA$2:$AA$2001,0)),"")</f>
        <v/>
      </c>
      <c r="Q166">
        <f>IFERROR(INDEX(Registre!$B$2:$B$2001,MATCH(Q$1&amp;"|"&amp;(ROW()-1),Registre!$AA$2:$AA$2001,0)),"")</f>
        <v/>
      </c>
      <c r="R166">
        <f>IFERROR(INDEX(Registre!$B$2:$B$2001,MATCH(R$1&amp;"|"&amp;(ROW()-1),Registre!$AA$2:$AA$2001,0)),"")</f>
        <v/>
      </c>
      <c r="S166">
        <f>IFERROR(INDEX(Registre!$B$2:$B$2001,MATCH(S$1&amp;"|"&amp;(ROW()-1),Registre!$AA$2:$AA$2001,0)),"")</f>
        <v/>
      </c>
      <c r="T166">
        <f>IFERROR(INDEX(Registre!$B$2:$B$2001,MATCH(T$1&amp;"|"&amp;(ROW()-1),Registre!$AA$2:$AA$2001,0)),"")</f>
        <v/>
      </c>
      <c r="U166">
        <f>IFERROR(INDEX(Registre!$B$2:$B$2001,MATCH(U$1&amp;"|"&amp;(ROW()-1),Registre!$AA$2:$AA$2001,0)),"")</f>
        <v/>
      </c>
      <c r="V166">
        <f>IFERROR(INDEX(Registre!$B$2:$B$2001,MATCH(V$1&amp;"|"&amp;(ROW()-1),Registre!$AA$2:$AA$2001,0)),"")</f>
        <v/>
      </c>
    </row>
    <row r="167">
      <c r="O167">
        <f>IFERROR(INDEX(Registre!$B$2:$B$2001,MATCH(O$1&amp;"|"&amp;(ROW()-1),Registre!$AA$2:$AA$2001,0)),"")</f>
        <v/>
      </c>
      <c r="P167">
        <f>IFERROR(INDEX(Registre!$B$2:$B$2001,MATCH(P$1&amp;"|"&amp;(ROW()-1),Registre!$AA$2:$AA$2001,0)),"")</f>
        <v/>
      </c>
      <c r="Q167">
        <f>IFERROR(INDEX(Registre!$B$2:$B$2001,MATCH(Q$1&amp;"|"&amp;(ROW()-1),Registre!$AA$2:$AA$2001,0)),"")</f>
        <v/>
      </c>
      <c r="R167">
        <f>IFERROR(INDEX(Registre!$B$2:$B$2001,MATCH(R$1&amp;"|"&amp;(ROW()-1),Registre!$AA$2:$AA$2001,0)),"")</f>
        <v/>
      </c>
      <c r="S167">
        <f>IFERROR(INDEX(Registre!$B$2:$B$2001,MATCH(S$1&amp;"|"&amp;(ROW()-1),Registre!$AA$2:$AA$2001,0)),"")</f>
        <v/>
      </c>
      <c r="T167">
        <f>IFERROR(INDEX(Registre!$B$2:$B$2001,MATCH(T$1&amp;"|"&amp;(ROW()-1),Registre!$AA$2:$AA$2001,0)),"")</f>
        <v/>
      </c>
      <c r="U167">
        <f>IFERROR(INDEX(Registre!$B$2:$B$2001,MATCH(U$1&amp;"|"&amp;(ROW()-1),Registre!$AA$2:$AA$2001,0)),"")</f>
        <v/>
      </c>
      <c r="V167">
        <f>IFERROR(INDEX(Registre!$B$2:$B$2001,MATCH(V$1&amp;"|"&amp;(ROW()-1),Registre!$AA$2:$AA$2001,0)),"")</f>
        <v/>
      </c>
    </row>
    <row r="168">
      <c r="O168">
        <f>IFERROR(INDEX(Registre!$B$2:$B$2001,MATCH(O$1&amp;"|"&amp;(ROW()-1),Registre!$AA$2:$AA$2001,0)),"")</f>
        <v/>
      </c>
      <c r="P168">
        <f>IFERROR(INDEX(Registre!$B$2:$B$2001,MATCH(P$1&amp;"|"&amp;(ROW()-1),Registre!$AA$2:$AA$2001,0)),"")</f>
        <v/>
      </c>
      <c r="Q168">
        <f>IFERROR(INDEX(Registre!$B$2:$B$2001,MATCH(Q$1&amp;"|"&amp;(ROW()-1),Registre!$AA$2:$AA$2001,0)),"")</f>
        <v/>
      </c>
      <c r="R168">
        <f>IFERROR(INDEX(Registre!$B$2:$B$2001,MATCH(R$1&amp;"|"&amp;(ROW()-1),Registre!$AA$2:$AA$2001,0)),"")</f>
        <v/>
      </c>
      <c r="S168">
        <f>IFERROR(INDEX(Registre!$B$2:$B$2001,MATCH(S$1&amp;"|"&amp;(ROW()-1),Registre!$AA$2:$AA$2001,0)),"")</f>
        <v/>
      </c>
      <c r="T168">
        <f>IFERROR(INDEX(Registre!$B$2:$B$2001,MATCH(T$1&amp;"|"&amp;(ROW()-1),Registre!$AA$2:$AA$2001,0)),"")</f>
        <v/>
      </c>
      <c r="U168">
        <f>IFERROR(INDEX(Registre!$B$2:$B$2001,MATCH(U$1&amp;"|"&amp;(ROW()-1),Registre!$AA$2:$AA$2001,0)),"")</f>
        <v/>
      </c>
      <c r="V168">
        <f>IFERROR(INDEX(Registre!$B$2:$B$2001,MATCH(V$1&amp;"|"&amp;(ROW()-1),Registre!$AA$2:$AA$2001,0)),"")</f>
        <v/>
      </c>
    </row>
    <row r="169">
      <c r="O169">
        <f>IFERROR(INDEX(Registre!$B$2:$B$2001,MATCH(O$1&amp;"|"&amp;(ROW()-1),Registre!$AA$2:$AA$2001,0)),"")</f>
        <v/>
      </c>
      <c r="P169">
        <f>IFERROR(INDEX(Registre!$B$2:$B$2001,MATCH(P$1&amp;"|"&amp;(ROW()-1),Registre!$AA$2:$AA$2001,0)),"")</f>
        <v/>
      </c>
      <c r="Q169">
        <f>IFERROR(INDEX(Registre!$B$2:$B$2001,MATCH(Q$1&amp;"|"&amp;(ROW()-1),Registre!$AA$2:$AA$2001,0)),"")</f>
        <v/>
      </c>
      <c r="R169">
        <f>IFERROR(INDEX(Registre!$B$2:$B$2001,MATCH(R$1&amp;"|"&amp;(ROW()-1),Registre!$AA$2:$AA$2001,0)),"")</f>
        <v/>
      </c>
      <c r="S169">
        <f>IFERROR(INDEX(Registre!$B$2:$B$2001,MATCH(S$1&amp;"|"&amp;(ROW()-1),Registre!$AA$2:$AA$2001,0)),"")</f>
        <v/>
      </c>
      <c r="T169">
        <f>IFERROR(INDEX(Registre!$B$2:$B$2001,MATCH(T$1&amp;"|"&amp;(ROW()-1),Registre!$AA$2:$AA$2001,0)),"")</f>
        <v/>
      </c>
      <c r="U169">
        <f>IFERROR(INDEX(Registre!$B$2:$B$2001,MATCH(U$1&amp;"|"&amp;(ROW()-1),Registre!$AA$2:$AA$2001,0)),"")</f>
        <v/>
      </c>
      <c r="V169">
        <f>IFERROR(INDEX(Registre!$B$2:$B$2001,MATCH(V$1&amp;"|"&amp;(ROW()-1),Registre!$AA$2:$AA$2001,0)),"")</f>
        <v/>
      </c>
    </row>
    <row r="170">
      <c r="O170">
        <f>IFERROR(INDEX(Registre!$B$2:$B$2001,MATCH(O$1&amp;"|"&amp;(ROW()-1),Registre!$AA$2:$AA$2001,0)),"")</f>
        <v/>
      </c>
      <c r="P170">
        <f>IFERROR(INDEX(Registre!$B$2:$B$2001,MATCH(P$1&amp;"|"&amp;(ROW()-1),Registre!$AA$2:$AA$2001,0)),"")</f>
        <v/>
      </c>
      <c r="Q170">
        <f>IFERROR(INDEX(Registre!$B$2:$B$2001,MATCH(Q$1&amp;"|"&amp;(ROW()-1),Registre!$AA$2:$AA$2001,0)),"")</f>
        <v/>
      </c>
      <c r="R170">
        <f>IFERROR(INDEX(Registre!$B$2:$B$2001,MATCH(R$1&amp;"|"&amp;(ROW()-1),Registre!$AA$2:$AA$2001,0)),"")</f>
        <v/>
      </c>
      <c r="S170">
        <f>IFERROR(INDEX(Registre!$B$2:$B$2001,MATCH(S$1&amp;"|"&amp;(ROW()-1),Registre!$AA$2:$AA$2001,0)),"")</f>
        <v/>
      </c>
      <c r="T170">
        <f>IFERROR(INDEX(Registre!$B$2:$B$2001,MATCH(T$1&amp;"|"&amp;(ROW()-1),Registre!$AA$2:$AA$2001,0)),"")</f>
        <v/>
      </c>
      <c r="U170">
        <f>IFERROR(INDEX(Registre!$B$2:$B$2001,MATCH(U$1&amp;"|"&amp;(ROW()-1),Registre!$AA$2:$AA$2001,0)),"")</f>
        <v/>
      </c>
      <c r="V170">
        <f>IFERROR(INDEX(Registre!$B$2:$B$2001,MATCH(V$1&amp;"|"&amp;(ROW()-1),Registre!$AA$2:$AA$2001,0)),"")</f>
        <v/>
      </c>
    </row>
    <row r="171">
      <c r="O171">
        <f>IFERROR(INDEX(Registre!$B$2:$B$2001,MATCH(O$1&amp;"|"&amp;(ROW()-1),Registre!$AA$2:$AA$2001,0)),"")</f>
        <v/>
      </c>
      <c r="P171">
        <f>IFERROR(INDEX(Registre!$B$2:$B$2001,MATCH(P$1&amp;"|"&amp;(ROW()-1),Registre!$AA$2:$AA$2001,0)),"")</f>
        <v/>
      </c>
      <c r="Q171">
        <f>IFERROR(INDEX(Registre!$B$2:$B$2001,MATCH(Q$1&amp;"|"&amp;(ROW()-1),Registre!$AA$2:$AA$2001,0)),"")</f>
        <v/>
      </c>
      <c r="R171">
        <f>IFERROR(INDEX(Registre!$B$2:$B$2001,MATCH(R$1&amp;"|"&amp;(ROW()-1),Registre!$AA$2:$AA$2001,0)),"")</f>
        <v/>
      </c>
      <c r="S171">
        <f>IFERROR(INDEX(Registre!$B$2:$B$2001,MATCH(S$1&amp;"|"&amp;(ROW()-1),Registre!$AA$2:$AA$2001,0)),"")</f>
        <v/>
      </c>
      <c r="T171">
        <f>IFERROR(INDEX(Registre!$B$2:$B$2001,MATCH(T$1&amp;"|"&amp;(ROW()-1),Registre!$AA$2:$AA$2001,0)),"")</f>
        <v/>
      </c>
      <c r="U171">
        <f>IFERROR(INDEX(Registre!$B$2:$B$2001,MATCH(U$1&amp;"|"&amp;(ROW()-1),Registre!$AA$2:$AA$2001,0)),"")</f>
        <v/>
      </c>
      <c r="V171">
        <f>IFERROR(INDEX(Registre!$B$2:$B$2001,MATCH(V$1&amp;"|"&amp;(ROW()-1),Registre!$AA$2:$AA$2001,0)),"")</f>
        <v/>
      </c>
    </row>
    <row r="172">
      <c r="O172">
        <f>IFERROR(INDEX(Registre!$B$2:$B$2001,MATCH(O$1&amp;"|"&amp;(ROW()-1),Registre!$AA$2:$AA$2001,0)),"")</f>
        <v/>
      </c>
      <c r="P172">
        <f>IFERROR(INDEX(Registre!$B$2:$B$2001,MATCH(P$1&amp;"|"&amp;(ROW()-1),Registre!$AA$2:$AA$2001,0)),"")</f>
        <v/>
      </c>
      <c r="Q172">
        <f>IFERROR(INDEX(Registre!$B$2:$B$2001,MATCH(Q$1&amp;"|"&amp;(ROW()-1),Registre!$AA$2:$AA$2001,0)),"")</f>
        <v/>
      </c>
      <c r="R172">
        <f>IFERROR(INDEX(Registre!$B$2:$B$2001,MATCH(R$1&amp;"|"&amp;(ROW()-1),Registre!$AA$2:$AA$2001,0)),"")</f>
        <v/>
      </c>
      <c r="S172">
        <f>IFERROR(INDEX(Registre!$B$2:$B$2001,MATCH(S$1&amp;"|"&amp;(ROW()-1),Registre!$AA$2:$AA$2001,0)),"")</f>
        <v/>
      </c>
      <c r="T172">
        <f>IFERROR(INDEX(Registre!$B$2:$B$2001,MATCH(T$1&amp;"|"&amp;(ROW()-1),Registre!$AA$2:$AA$2001,0)),"")</f>
        <v/>
      </c>
      <c r="U172">
        <f>IFERROR(INDEX(Registre!$B$2:$B$2001,MATCH(U$1&amp;"|"&amp;(ROW()-1),Registre!$AA$2:$AA$2001,0)),"")</f>
        <v/>
      </c>
      <c r="V172">
        <f>IFERROR(INDEX(Registre!$B$2:$B$2001,MATCH(V$1&amp;"|"&amp;(ROW()-1),Registre!$AA$2:$AA$2001,0)),"")</f>
        <v/>
      </c>
    </row>
    <row r="173">
      <c r="O173">
        <f>IFERROR(INDEX(Registre!$B$2:$B$2001,MATCH(O$1&amp;"|"&amp;(ROW()-1),Registre!$AA$2:$AA$2001,0)),"")</f>
        <v/>
      </c>
      <c r="P173">
        <f>IFERROR(INDEX(Registre!$B$2:$B$2001,MATCH(P$1&amp;"|"&amp;(ROW()-1),Registre!$AA$2:$AA$2001,0)),"")</f>
        <v/>
      </c>
      <c r="Q173">
        <f>IFERROR(INDEX(Registre!$B$2:$B$2001,MATCH(Q$1&amp;"|"&amp;(ROW()-1),Registre!$AA$2:$AA$2001,0)),"")</f>
        <v/>
      </c>
      <c r="R173">
        <f>IFERROR(INDEX(Registre!$B$2:$B$2001,MATCH(R$1&amp;"|"&amp;(ROW()-1),Registre!$AA$2:$AA$2001,0)),"")</f>
        <v/>
      </c>
      <c r="S173">
        <f>IFERROR(INDEX(Registre!$B$2:$B$2001,MATCH(S$1&amp;"|"&amp;(ROW()-1),Registre!$AA$2:$AA$2001,0)),"")</f>
        <v/>
      </c>
      <c r="T173">
        <f>IFERROR(INDEX(Registre!$B$2:$B$2001,MATCH(T$1&amp;"|"&amp;(ROW()-1),Registre!$AA$2:$AA$2001,0)),"")</f>
        <v/>
      </c>
      <c r="U173">
        <f>IFERROR(INDEX(Registre!$B$2:$B$2001,MATCH(U$1&amp;"|"&amp;(ROW()-1),Registre!$AA$2:$AA$2001,0)),"")</f>
        <v/>
      </c>
      <c r="V173">
        <f>IFERROR(INDEX(Registre!$B$2:$B$2001,MATCH(V$1&amp;"|"&amp;(ROW()-1),Registre!$AA$2:$AA$2001,0)),"")</f>
        <v/>
      </c>
    </row>
    <row r="174">
      <c r="O174">
        <f>IFERROR(INDEX(Registre!$B$2:$B$2001,MATCH(O$1&amp;"|"&amp;(ROW()-1),Registre!$AA$2:$AA$2001,0)),"")</f>
        <v/>
      </c>
      <c r="P174">
        <f>IFERROR(INDEX(Registre!$B$2:$B$2001,MATCH(P$1&amp;"|"&amp;(ROW()-1),Registre!$AA$2:$AA$2001,0)),"")</f>
        <v/>
      </c>
      <c r="Q174">
        <f>IFERROR(INDEX(Registre!$B$2:$B$2001,MATCH(Q$1&amp;"|"&amp;(ROW()-1),Registre!$AA$2:$AA$2001,0)),"")</f>
        <v/>
      </c>
      <c r="R174">
        <f>IFERROR(INDEX(Registre!$B$2:$B$2001,MATCH(R$1&amp;"|"&amp;(ROW()-1),Registre!$AA$2:$AA$2001,0)),"")</f>
        <v/>
      </c>
      <c r="S174">
        <f>IFERROR(INDEX(Registre!$B$2:$B$2001,MATCH(S$1&amp;"|"&amp;(ROW()-1),Registre!$AA$2:$AA$2001,0)),"")</f>
        <v/>
      </c>
      <c r="T174">
        <f>IFERROR(INDEX(Registre!$B$2:$B$2001,MATCH(T$1&amp;"|"&amp;(ROW()-1),Registre!$AA$2:$AA$2001,0)),"")</f>
        <v/>
      </c>
      <c r="U174">
        <f>IFERROR(INDEX(Registre!$B$2:$B$2001,MATCH(U$1&amp;"|"&amp;(ROW()-1),Registre!$AA$2:$AA$2001,0)),"")</f>
        <v/>
      </c>
      <c r="V174">
        <f>IFERROR(INDEX(Registre!$B$2:$B$2001,MATCH(V$1&amp;"|"&amp;(ROW()-1),Registre!$AA$2:$AA$2001,0)),"")</f>
        <v/>
      </c>
    </row>
    <row r="175">
      <c r="O175">
        <f>IFERROR(INDEX(Registre!$B$2:$B$2001,MATCH(O$1&amp;"|"&amp;(ROW()-1),Registre!$AA$2:$AA$2001,0)),"")</f>
        <v/>
      </c>
      <c r="P175">
        <f>IFERROR(INDEX(Registre!$B$2:$B$2001,MATCH(P$1&amp;"|"&amp;(ROW()-1),Registre!$AA$2:$AA$2001,0)),"")</f>
        <v/>
      </c>
      <c r="Q175">
        <f>IFERROR(INDEX(Registre!$B$2:$B$2001,MATCH(Q$1&amp;"|"&amp;(ROW()-1),Registre!$AA$2:$AA$2001,0)),"")</f>
        <v/>
      </c>
      <c r="R175">
        <f>IFERROR(INDEX(Registre!$B$2:$B$2001,MATCH(R$1&amp;"|"&amp;(ROW()-1),Registre!$AA$2:$AA$2001,0)),"")</f>
        <v/>
      </c>
      <c r="S175">
        <f>IFERROR(INDEX(Registre!$B$2:$B$2001,MATCH(S$1&amp;"|"&amp;(ROW()-1),Registre!$AA$2:$AA$2001,0)),"")</f>
        <v/>
      </c>
      <c r="T175">
        <f>IFERROR(INDEX(Registre!$B$2:$B$2001,MATCH(T$1&amp;"|"&amp;(ROW()-1),Registre!$AA$2:$AA$2001,0)),"")</f>
        <v/>
      </c>
      <c r="U175">
        <f>IFERROR(INDEX(Registre!$B$2:$B$2001,MATCH(U$1&amp;"|"&amp;(ROW()-1),Registre!$AA$2:$AA$2001,0)),"")</f>
        <v/>
      </c>
      <c r="V175">
        <f>IFERROR(INDEX(Registre!$B$2:$B$2001,MATCH(V$1&amp;"|"&amp;(ROW()-1),Registre!$AA$2:$AA$2001,0)),"")</f>
        <v/>
      </c>
    </row>
    <row r="176">
      <c r="O176">
        <f>IFERROR(INDEX(Registre!$B$2:$B$2001,MATCH(O$1&amp;"|"&amp;(ROW()-1),Registre!$AA$2:$AA$2001,0)),"")</f>
        <v/>
      </c>
      <c r="P176">
        <f>IFERROR(INDEX(Registre!$B$2:$B$2001,MATCH(P$1&amp;"|"&amp;(ROW()-1),Registre!$AA$2:$AA$2001,0)),"")</f>
        <v/>
      </c>
      <c r="Q176">
        <f>IFERROR(INDEX(Registre!$B$2:$B$2001,MATCH(Q$1&amp;"|"&amp;(ROW()-1),Registre!$AA$2:$AA$2001,0)),"")</f>
        <v/>
      </c>
      <c r="R176">
        <f>IFERROR(INDEX(Registre!$B$2:$B$2001,MATCH(R$1&amp;"|"&amp;(ROW()-1),Registre!$AA$2:$AA$2001,0)),"")</f>
        <v/>
      </c>
      <c r="S176">
        <f>IFERROR(INDEX(Registre!$B$2:$B$2001,MATCH(S$1&amp;"|"&amp;(ROW()-1),Registre!$AA$2:$AA$2001,0)),"")</f>
        <v/>
      </c>
      <c r="T176">
        <f>IFERROR(INDEX(Registre!$B$2:$B$2001,MATCH(T$1&amp;"|"&amp;(ROW()-1),Registre!$AA$2:$AA$2001,0)),"")</f>
        <v/>
      </c>
      <c r="U176">
        <f>IFERROR(INDEX(Registre!$B$2:$B$2001,MATCH(U$1&amp;"|"&amp;(ROW()-1),Registre!$AA$2:$AA$2001,0)),"")</f>
        <v/>
      </c>
      <c r="V176">
        <f>IFERROR(INDEX(Registre!$B$2:$B$2001,MATCH(V$1&amp;"|"&amp;(ROW()-1),Registre!$AA$2:$AA$2001,0)),"")</f>
        <v/>
      </c>
    </row>
    <row r="177">
      <c r="O177">
        <f>IFERROR(INDEX(Registre!$B$2:$B$2001,MATCH(O$1&amp;"|"&amp;(ROW()-1),Registre!$AA$2:$AA$2001,0)),"")</f>
        <v/>
      </c>
      <c r="P177">
        <f>IFERROR(INDEX(Registre!$B$2:$B$2001,MATCH(P$1&amp;"|"&amp;(ROW()-1),Registre!$AA$2:$AA$2001,0)),"")</f>
        <v/>
      </c>
      <c r="Q177">
        <f>IFERROR(INDEX(Registre!$B$2:$B$2001,MATCH(Q$1&amp;"|"&amp;(ROW()-1),Registre!$AA$2:$AA$2001,0)),"")</f>
        <v/>
      </c>
      <c r="R177">
        <f>IFERROR(INDEX(Registre!$B$2:$B$2001,MATCH(R$1&amp;"|"&amp;(ROW()-1),Registre!$AA$2:$AA$2001,0)),"")</f>
        <v/>
      </c>
      <c r="S177">
        <f>IFERROR(INDEX(Registre!$B$2:$B$2001,MATCH(S$1&amp;"|"&amp;(ROW()-1),Registre!$AA$2:$AA$2001,0)),"")</f>
        <v/>
      </c>
      <c r="T177">
        <f>IFERROR(INDEX(Registre!$B$2:$B$2001,MATCH(T$1&amp;"|"&amp;(ROW()-1),Registre!$AA$2:$AA$2001,0)),"")</f>
        <v/>
      </c>
      <c r="U177">
        <f>IFERROR(INDEX(Registre!$B$2:$B$2001,MATCH(U$1&amp;"|"&amp;(ROW()-1),Registre!$AA$2:$AA$2001,0)),"")</f>
        <v/>
      </c>
      <c r="V177">
        <f>IFERROR(INDEX(Registre!$B$2:$B$2001,MATCH(V$1&amp;"|"&amp;(ROW()-1),Registre!$AA$2:$AA$2001,0)),"")</f>
        <v/>
      </c>
    </row>
    <row r="178">
      <c r="O178">
        <f>IFERROR(INDEX(Registre!$B$2:$B$2001,MATCH(O$1&amp;"|"&amp;(ROW()-1),Registre!$AA$2:$AA$2001,0)),"")</f>
        <v/>
      </c>
      <c r="P178">
        <f>IFERROR(INDEX(Registre!$B$2:$B$2001,MATCH(P$1&amp;"|"&amp;(ROW()-1),Registre!$AA$2:$AA$2001,0)),"")</f>
        <v/>
      </c>
      <c r="Q178">
        <f>IFERROR(INDEX(Registre!$B$2:$B$2001,MATCH(Q$1&amp;"|"&amp;(ROW()-1),Registre!$AA$2:$AA$2001,0)),"")</f>
        <v/>
      </c>
      <c r="R178">
        <f>IFERROR(INDEX(Registre!$B$2:$B$2001,MATCH(R$1&amp;"|"&amp;(ROW()-1),Registre!$AA$2:$AA$2001,0)),"")</f>
        <v/>
      </c>
      <c r="S178">
        <f>IFERROR(INDEX(Registre!$B$2:$B$2001,MATCH(S$1&amp;"|"&amp;(ROW()-1),Registre!$AA$2:$AA$2001,0)),"")</f>
        <v/>
      </c>
      <c r="T178">
        <f>IFERROR(INDEX(Registre!$B$2:$B$2001,MATCH(T$1&amp;"|"&amp;(ROW()-1),Registre!$AA$2:$AA$2001,0)),"")</f>
        <v/>
      </c>
      <c r="U178">
        <f>IFERROR(INDEX(Registre!$B$2:$B$2001,MATCH(U$1&amp;"|"&amp;(ROW()-1),Registre!$AA$2:$AA$2001,0)),"")</f>
        <v/>
      </c>
      <c r="V178">
        <f>IFERROR(INDEX(Registre!$B$2:$B$2001,MATCH(V$1&amp;"|"&amp;(ROW()-1),Registre!$AA$2:$AA$2001,0)),"")</f>
        <v/>
      </c>
    </row>
    <row r="179">
      <c r="O179">
        <f>IFERROR(INDEX(Registre!$B$2:$B$2001,MATCH(O$1&amp;"|"&amp;(ROW()-1),Registre!$AA$2:$AA$2001,0)),"")</f>
        <v/>
      </c>
      <c r="P179">
        <f>IFERROR(INDEX(Registre!$B$2:$B$2001,MATCH(P$1&amp;"|"&amp;(ROW()-1),Registre!$AA$2:$AA$2001,0)),"")</f>
        <v/>
      </c>
      <c r="Q179">
        <f>IFERROR(INDEX(Registre!$B$2:$B$2001,MATCH(Q$1&amp;"|"&amp;(ROW()-1),Registre!$AA$2:$AA$2001,0)),"")</f>
        <v/>
      </c>
      <c r="R179">
        <f>IFERROR(INDEX(Registre!$B$2:$B$2001,MATCH(R$1&amp;"|"&amp;(ROW()-1),Registre!$AA$2:$AA$2001,0)),"")</f>
        <v/>
      </c>
      <c r="S179">
        <f>IFERROR(INDEX(Registre!$B$2:$B$2001,MATCH(S$1&amp;"|"&amp;(ROW()-1),Registre!$AA$2:$AA$2001,0)),"")</f>
        <v/>
      </c>
      <c r="T179">
        <f>IFERROR(INDEX(Registre!$B$2:$B$2001,MATCH(T$1&amp;"|"&amp;(ROW()-1),Registre!$AA$2:$AA$2001,0)),"")</f>
        <v/>
      </c>
      <c r="U179">
        <f>IFERROR(INDEX(Registre!$B$2:$B$2001,MATCH(U$1&amp;"|"&amp;(ROW()-1),Registre!$AA$2:$AA$2001,0)),"")</f>
        <v/>
      </c>
      <c r="V179">
        <f>IFERROR(INDEX(Registre!$B$2:$B$2001,MATCH(V$1&amp;"|"&amp;(ROW()-1),Registre!$AA$2:$AA$2001,0)),"")</f>
        <v/>
      </c>
    </row>
    <row r="180">
      <c r="O180">
        <f>IFERROR(INDEX(Registre!$B$2:$B$2001,MATCH(O$1&amp;"|"&amp;(ROW()-1),Registre!$AA$2:$AA$2001,0)),"")</f>
        <v/>
      </c>
      <c r="P180">
        <f>IFERROR(INDEX(Registre!$B$2:$B$2001,MATCH(P$1&amp;"|"&amp;(ROW()-1),Registre!$AA$2:$AA$2001,0)),"")</f>
        <v/>
      </c>
      <c r="Q180">
        <f>IFERROR(INDEX(Registre!$B$2:$B$2001,MATCH(Q$1&amp;"|"&amp;(ROW()-1),Registre!$AA$2:$AA$2001,0)),"")</f>
        <v/>
      </c>
      <c r="R180">
        <f>IFERROR(INDEX(Registre!$B$2:$B$2001,MATCH(R$1&amp;"|"&amp;(ROW()-1),Registre!$AA$2:$AA$2001,0)),"")</f>
        <v/>
      </c>
      <c r="S180">
        <f>IFERROR(INDEX(Registre!$B$2:$B$2001,MATCH(S$1&amp;"|"&amp;(ROW()-1),Registre!$AA$2:$AA$2001,0)),"")</f>
        <v/>
      </c>
      <c r="T180">
        <f>IFERROR(INDEX(Registre!$B$2:$B$2001,MATCH(T$1&amp;"|"&amp;(ROW()-1),Registre!$AA$2:$AA$2001,0)),"")</f>
        <v/>
      </c>
      <c r="U180">
        <f>IFERROR(INDEX(Registre!$B$2:$B$2001,MATCH(U$1&amp;"|"&amp;(ROW()-1),Registre!$AA$2:$AA$2001,0)),"")</f>
        <v/>
      </c>
      <c r="V180">
        <f>IFERROR(INDEX(Registre!$B$2:$B$2001,MATCH(V$1&amp;"|"&amp;(ROW()-1),Registre!$AA$2:$AA$2001,0)),"")</f>
        <v/>
      </c>
    </row>
    <row r="181">
      <c r="O181">
        <f>IFERROR(INDEX(Registre!$B$2:$B$2001,MATCH(O$1&amp;"|"&amp;(ROW()-1),Registre!$AA$2:$AA$2001,0)),"")</f>
        <v/>
      </c>
      <c r="P181">
        <f>IFERROR(INDEX(Registre!$B$2:$B$2001,MATCH(P$1&amp;"|"&amp;(ROW()-1),Registre!$AA$2:$AA$2001,0)),"")</f>
        <v/>
      </c>
      <c r="Q181">
        <f>IFERROR(INDEX(Registre!$B$2:$B$2001,MATCH(Q$1&amp;"|"&amp;(ROW()-1),Registre!$AA$2:$AA$2001,0)),"")</f>
        <v/>
      </c>
      <c r="R181">
        <f>IFERROR(INDEX(Registre!$B$2:$B$2001,MATCH(R$1&amp;"|"&amp;(ROW()-1),Registre!$AA$2:$AA$2001,0)),"")</f>
        <v/>
      </c>
      <c r="S181">
        <f>IFERROR(INDEX(Registre!$B$2:$B$2001,MATCH(S$1&amp;"|"&amp;(ROW()-1),Registre!$AA$2:$AA$2001,0)),"")</f>
        <v/>
      </c>
      <c r="T181">
        <f>IFERROR(INDEX(Registre!$B$2:$B$2001,MATCH(T$1&amp;"|"&amp;(ROW()-1),Registre!$AA$2:$AA$2001,0)),"")</f>
        <v/>
      </c>
      <c r="U181">
        <f>IFERROR(INDEX(Registre!$B$2:$B$2001,MATCH(U$1&amp;"|"&amp;(ROW()-1),Registre!$AA$2:$AA$2001,0)),"")</f>
        <v/>
      </c>
      <c r="V181">
        <f>IFERROR(INDEX(Registre!$B$2:$B$2001,MATCH(V$1&amp;"|"&amp;(ROW()-1),Registre!$AA$2:$AA$2001,0)),"")</f>
        <v/>
      </c>
    </row>
    <row r="182">
      <c r="O182">
        <f>IFERROR(INDEX(Registre!$B$2:$B$2001,MATCH(O$1&amp;"|"&amp;(ROW()-1),Registre!$AA$2:$AA$2001,0)),"")</f>
        <v/>
      </c>
      <c r="P182">
        <f>IFERROR(INDEX(Registre!$B$2:$B$2001,MATCH(P$1&amp;"|"&amp;(ROW()-1),Registre!$AA$2:$AA$2001,0)),"")</f>
        <v/>
      </c>
      <c r="Q182">
        <f>IFERROR(INDEX(Registre!$B$2:$B$2001,MATCH(Q$1&amp;"|"&amp;(ROW()-1),Registre!$AA$2:$AA$2001,0)),"")</f>
        <v/>
      </c>
      <c r="R182">
        <f>IFERROR(INDEX(Registre!$B$2:$B$2001,MATCH(R$1&amp;"|"&amp;(ROW()-1),Registre!$AA$2:$AA$2001,0)),"")</f>
        <v/>
      </c>
      <c r="S182">
        <f>IFERROR(INDEX(Registre!$B$2:$B$2001,MATCH(S$1&amp;"|"&amp;(ROW()-1),Registre!$AA$2:$AA$2001,0)),"")</f>
        <v/>
      </c>
      <c r="T182">
        <f>IFERROR(INDEX(Registre!$B$2:$B$2001,MATCH(T$1&amp;"|"&amp;(ROW()-1),Registre!$AA$2:$AA$2001,0)),"")</f>
        <v/>
      </c>
      <c r="U182">
        <f>IFERROR(INDEX(Registre!$B$2:$B$2001,MATCH(U$1&amp;"|"&amp;(ROW()-1),Registre!$AA$2:$AA$2001,0)),"")</f>
        <v/>
      </c>
      <c r="V182">
        <f>IFERROR(INDEX(Registre!$B$2:$B$2001,MATCH(V$1&amp;"|"&amp;(ROW()-1),Registre!$AA$2:$AA$2001,0)),"")</f>
        <v/>
      </c>
    </row>
    <row r="183">
      <c r="O183">
        <f>IFERROR(INDEX(Registre!$B$2:$B$2001,MATCH(O$1&amp;"|"&amp;(ROW()-1),Registre!$AA$2:$AA$2001,0)),"")</f>
        <v/>
      </c>
      <c r="P183">
        <f>IFERROR(INDEX(Registre!$B$2:$B$2001,MATCH(P$1&amp;"|"&amp;(ROW()-1),Registre!$AA$2:$AA$2001,0)),"")</f>
        <v/>
      </c>
      <c r="Q183">
        <f>IFERROR(INDEX(Registre!$B$2:$B$2001,MATCH(Q$1&amp;"|"&amp;(ROW()-1),Registre!$AA$2:$AA$2001,0)),"")</f>
        <v/>
      </c>
      <c r="R183">
        <f>IFERROR(INDEX(Registre!$B$2:$B$2001,MATCH(R$1&amp;"|"&amp;(ROW()-1),Registre!$AA$2:$AA$2001,0)),"")</f>
        <v/>
      </c>
      <c r="S183">
        <f>IFERROR(INDEX(Registre!$B$2:$B$2001,MATCH(S$1&amp;"|"&amp;(ROW()-1),Registre!$AA$2:$AA$2001,0)),"")</f>
        <v/>
      </c>
      <c r="T183">
        <f>IFERROR(INDEX(Registre!$B$2:$B$2001,MATCH(T$1&amp;"|"&amp;(ROW()-1),Registre!$AA$2:$AA$2001,0)),"")</f>
        <v/>
      </c>
      <c r="U183">
        <f>IFERROR(INDEX(Registre!$B$2:$B$2001,MATCH(U$1&amp;"|"&amp;(ROW()-1),Registre!$AA$2:$AA$2001,0)),"")</f>
        <v/>
      </c>
      <c r="V183">
        <f>IFERROR(INDEX(Registre!$B$2:$B$2001,MATCH(V$1&amp;"|"&amp;(ROW()-1),Registre!$AA$2:$AA$2001,0)),"")</f>
        <v/>
      </c>
    </row>
    <row r="184">
      <c r="O184">
        <f>IFERROR(INDEX(Registre!$B$2:$B$2001,MATCH(O$1&amp;"|"&amp;(ROW()-1),Registre!$AA$2:$AA$2001,0)),"")</f>
        <v/>
      </c>
      <c r="P184">
        <f>IFERROR(INDEX(Registre!$B$2:$B$2001,MATCH(P$1&amp;"|"&amp;(ROW()-1),Registre!$AA$2:$AA$2001,0)),"")</f>
        <v/>
      </c>
      <c r="Q184">
        <f>IFERROR(INDEX(Registre!$B$2:$B$2001,MATCH(Q$1&amp;"|"&amp;(ROW()-1),Registre!$AA$2:$AA$2001,0)),"")</f>
        <v/>
      </c>
      <c r="R184">
        <f>IFERROR(INDEX(Registre!$B$2:$B$2001,MATCH(R$1&amp;"|"&amp;(ROW()-1),Registre!$AA$2:$AA$2001,0)),"")</f>
        <v/>
      </c>
      <c r="S184">
        <f>IFERROR(INDEX(Registre!$B$2:$B$2001,MATCH(S$1&amp;"|"&amp;(ROW()-1),Registre!$AA$2:$AA$2001,0)),"")</f>
        <v/>
      </c>
      <c r="T184">
        <f>IFERROR(INDEX(Registre!$B$2:$B$2001,MATCH(T$1&amp;"|"&amp;(ROW()-1),Registre!$AA$2:$AA$2001,0)),"")</f>
        <v/>
      </c>
      <c r="U184">
        <f>IFERROR(INDEX(Registre!$B$2:$B$2001,MATCH(U$1&amp;"|"&amp;(ROW()-1),Registre!$AA$2:$AA$2001,0)),"")</f>
        <v/>
      </c>
      <c r="V184">
        <f>IFERROR(INDEX(Registre!$B$2:$B$2001,MATCH(V$1&amp;"|"&amp;(ROW()-1),Registre!$AA$2:$AA$2001,0)),"")</f>
        <v/>
      </c>
    </row>
    <row r="185">
      <c r="O185">
        <f>IFERROR(INDEX(Registre!$B$2:$B$2001,MATCH(O$1&amp;"|"&amp;(ROW()-1),Registre!$AA$2:$AA$2001,0)),"")</f>
        <v/>
      </c>
      <c r="P185">
        <f>IFERROR(INDEX(Registre!$B$2:$B$2001,MATCH(P$1&amp;"|"&amp;(ROW()-1),Registre!$AA$2:$AA$2001,0)),"")</f>
        <v/>
      </c>
      <c r="Q185">
        <f>IFERROR(INDEX(Registre!$B$2:$B$2001,MATCH(Q$1&amp;"|"&amp;(ROW()-1),Registre!$AA$2:$AA$2001,0)),"")</f>
        <v/>
      </c>
      <c r="R185">
        <f>IFERROR(INDEX(Registre!$B$2:$B$2001,MATCH(R$1&amp;"|"&amp;(ROW()-1),Registre!$AA$2:$AA$2001,0)),"")</f>
        <v/>
      </c>
      <c r="S185">
        <f>IFERROR(INDEX(Registre!$B$2:$B$2001,MATCH(S$1&amp;"|"&amp;(ROW()-1),Registre!$AA$2:$AA$2001,0)),"")</f>
        <v/>
      </c>
      <c r="T185">
        <f>IFERROR(INDEX(Registre!$B$2:$B$2001,MATCH(T$1&amp;"|"&amp;(ROW()-1),Registre!$AA$2:$AA$2001,0)),"")</f>
        <v/>
      </c>
      <c r="U185">
        <f>IFERROR(INDEX(Registre!$B$2:$B$2001,MATCH(U$1&amp;"|"&amp;(ROW()-1),Registre!$AA$2:$AA$2001,0)),"")</f>
        <v/>
      </c>
      <c r="V185">
        <f>IFERROR(INDEX(Registre!$B$2:$B$2001,MATCH(V$1&amp;"|"&amp;(ROW()-1),Registre!$AA$2:$AA$2001,0)),"")</f>
        <v/>
      </c>
    </row>
    <row r="186">
      <c r="O186">
        <f>IFERROR(INDEX(Registre!$B$2:$B$2001,MATCH(O$1&amp;"|"&amp;(ROW()-1),Registre!$AA$2:$AA$2001,0)),"")</f>
        <v/>
      </c>
      <c r="P186">
        <f>IFERROR(INDEX(Registre!$B$2:$B$2001,MATCH(P$1&amp;"|"&amp;(ROW()-1),Registre!$AA$2:$AA$2001,0)),"")</f>
        <v/>
      </c>
      <c r="Q186">
        <f>IFERROR(INDEX(Registre!$B$2:$B$2001,MATCH(Q$1&amp;"|"&amp;(ROW()-1),Registre!$AA$2:$AA$2001,0)),"")</f>
        <v/>
      </c>
      <c r="R186">
        <f>IFERROR(INDEX(Registre!$B$2:$B$2001,MATCH(R$1&amp;"|"&amp;(ROW()-1),Registre!$AA$2:$AA$2001,0)),"")</f>
        <v/>
      </c>
      <c r="S186">
        <f>IFERROR(INDEX(Registre!$B$2:$B$2001,MATCH(S$1&amp;"|"&amp;(ROW()-1),Registre!$AA$2:$AA$2001,0)),"")</f>
        <v/>
      </c>
      <c r="T186">
        <f>IFERROR(INDEX(Registre!$B$2:$B$2001,MATCH(T$1&amp;"|"&amp;(ROW()-1),Registre!$AA$2:$AA$2001,0)),"")</f>
        <v/>
      </c>
      <c r="U186">
        <f>IFERROR(INDEX(Registre!$B$2:$B$2001,MATCH(U$1&amp;"|"&amp;(ROW()-1),Registre!$AA$2:$AA$2001,0)),"")</f>
        <v/>
      </c>
      <c r="V186">
        <f>IFERROR(INDEX(Registre!$B$2:$B$2001,MATCH(V$1&amp;"|"&amp;(ROW()-1),Registre!$AA$2:$AA$2001,0)),"")</f>
        <v/>
      </c>
    </row>
    <row r="187">
      <c r="O187">
        <f>IFERROR(INDEX(Registre!$B$2:$B$2001,MATCH(O$1&amp;"|"&amp;(ROW()-1),Registre!$AA$2:$AA$2001,0)),"")</f>
        <v/>
      </c>
      <c r="P187">
        <f>IFERROR(INDEX(Registre!$B$2:$B$2001,MATCH(P$1&amp;"|"&amp;(ROW()-1),Registre!$AA$2:$AA$2001,0)),"")</f>
        <v/>
      </c>
      <c r="Q187">
        <f>IFERROR(INDEX(Registre!$B$2:$B$2001,MATCH(Q$1&amp;"|"&amp;(ROW()-1),Registre!$AA$2:$AA$2001,0)),"")</f>
        <v/>
      </c>
      <c r="R187">
        <f>IFERROR(INDEX(Registre!$B$2:$B$2001,MATCH(R$1&amp;"|"&amp;(ROW()-1),Registre!$AA$2:$AA$2001,0)),"")</f>
        <v/>
      </c>
      <c r="S187">
        <f>IFERROR(INDEX(Registre!$B$2:$B$2001,MATCH(S$1&amp;"|"&amp;(ROW()-1),Registre!$AA$2:$AA$2001,0)),"")</f>
        <v/>
      </c>
      <c r="T187">
        <f>IFERROR(INDEX(Registre!$B$2:$B$2001,MATCH(T$1&amp;"|"&amp;(ROW()-1),Registre!$AA$2:$AA$2001,0)),"")</f>
        <v/>
      </c>
      <c r="U187">
        <f>IFERROR(INDEX(Registre!$B$2:$B$2001,MATCH(U$1&amp;"|"&amp;(ROW()-1),Registre!$AA$2:$AA$2001,0)),"")</f>
        <v/>
      </c>
      <c r="V187">
        <f>IFERROR(INDEX(Registre!$B$2:$B$2001,MATCH(V$1&amp;"|"&amp;(ROW()-1),Registre!$AA$2:$AA$2001,0)),"")</f>
        <v/>
      </c>
    </row>
    <row r="188">
      <c r="O188">
        <f>IFERROR(INDEX(Registre!$B$2:$B$2001,MATCH(O$1&amp;"|"&amp;(ROW()-1),Registre!$AA$2:$AA$2001,0)),"")</f>
        <v/>
      </c>
      <c r="P188">
        <f>IFERROR(INDEX(Registre!$B$2:$B$2001,MATCH(P$1&amp;"|"&amp;(ROW()-1),Registre!$AA$2:$AA$2001,0)),"")</f>
        <v/>
      </c>
      <c r="Q188">
        <f>IFERROR(INDEX(Registre!$B$2:$B$2001,MATCH(Q$1&amp;"|"&amp;(ROW()-1),Registre!$AA$2:$AA$2001,0)),"")</f>
        <v/>
      </c>
      <c r="R188">
        <f>IFERROR(INDEX(Registre!$B$2:$B$2001,MATCH(R$1&amp;"|"&amp;(ROW()-1),Registre!$AA$2:$AA$2001,0)),"")</f>
        <v/>
      </c>
      <c r="S188">
        <f>IFERROR(INDEX(Registre!$B$2:$B$2001,MATCH(S$1&amp;"|"&amp;(ROW()-1),Registre!$AA$2:$AA$2001,0)),"")</f>
        <v/>
      </c>
      <c r="T188">
        <f>IFERROR(INDEX(Registre!$B$2:$B$2001,MATCH(T$1&amp;"|"&amp;(ROW()-1),Registre!$AA$2:$AA$2001,0)),"")</f>
        <v/>
      </c>
      <c r="U188">
        <f>IFERROR(INDEX(Registre!$B$2:$B$2001,MATCH(U$1&amp;"|"&amp;(ROW()-1),Registre!$AA$2:$AA$2001,0)),"")</f>
        <v/>
      </c>
      <c r="V188">
        <f>IFERROR(INDEX(Registre!$B$2:$B$2001,MATCH(V$1&amp;"|"&amp;(ROW()-1),Registre!$AA$2:$AA$2001,0)),"")</f>
        <v/>
      </c>
    </row>
    <row r="189">
      <c r="O189">
        <f>IFERROR(INDEX(Registre!$B$2:$B$2001,MATCH(O$1&amp;"|"&amp;(ROW()-1),Registre!$AA$2:$AA$2001,0)),"")</f>
        <v/>
      </c>
      <c r="P189">
        <f>IFERROR(INDEX(Registre!$B$2:$B$2001,MATCH(P$1&amp;"|"&amp;(ROW()-1),Registre!$AA$2:$AA$2001,0)),"")</f>
        <v/>
      </c>
      <c r="Q189">
        <f>IFERROR(INDEX(Registre!$B$2:$B$2001,MATCH(Q$1&amp;"|"&amp;(ROW()-1),Registre!$AA$2:$AA$2001,0)),"")</f>
        <v/>
      </c>
      <c r="R189">
        <f>IFERROR(INDEX(Registre!$B$2:$B$2001,MATCH(R$1&amp;"|"&amp;(ROW()-1),Registre!$AA$2:$AA$2001,0)),"")</f>
        <v/>
      </c>
      <c r="S189">
        <f>IFERROR(INDEX(Registre!$B$2:$B$2001,MATCH(S$1&amp;"|"&amp;(ROW()-1),Registre!$AA$2:$AA$2001,0)),"")</f>
        <v/>
      </c>
      <c r="T189">
        <f>IFERROR(INDEX(Registre!$B$2:$B$2001,MATCH(T$1&amp;"|"&amp;(ROW()-1),Registre!$AA$2:$AA$2001,0)),"")</f>
        <v/>
      </c>
      <c r="U189">
        <f>IFERROR(INDEX(Registre!$B$2:$B$2001,MATCH(U$1&amp;"|"&amp;(ROW()-1),Registre!$AA$2:$AA$2001,0)),"")</f>
        <v/>
      </c>
      <c r="V189">
        <f>IFERROR(INDEX(Registre!$B$2:$B$2001,MATCH(V$1&amp;"|"&amp;(ROW()-1),Registre!$AA$2:$AA$2001,0)),"")</f>
        <v/>
      </c>
    </row>
    <row r="190">
      <c r="O190">
        <f>IFERROR(INDEX(Registre!$B$2:$B$2001,MATCH(O$1&amp;"|"&amp;(ROW()-1),Registre!$AA$2:$AA$2001,0)),"")</f>
        <v/>
      </c>
      <c r="P190">
        <f>IFERROR(INDEX(Registre!$B$2:$B$2001,MATCH(P$1&amp;"|"&amp;(ROW()-1),Registre!$AA$2:$AA$2001,0)),"")</f>
        <v/>
      </c>
      <c r="Q190">
        <f>IFERROR(INDEX(Registre!$B$2:$B$2001,MATCH(Q$1&amp;"|"&amp;(ROW()-1),Registre!$AA$2:$AA$2001,0)),"")</f>
        <v/>
      </c>
      <c r="R190">
        <f>IFERROR(INDEX(Registre!$B$2:$B$2001,MATCH(R$1&amp;"|"&amp;(ROW()-1),Registre!$AA$2:$AA$2001,0)),"")</f>
        <v/>
      </c>
      <c r="S190">
        <f>IFERROR(INDEX(Registre!$B$2:$B$2001,MATCH(S$1&amp;"|"&amp;(ROW()-1),Registre!$AA$2:$AA$2001,0)),"")</f>
        <v/>
      </c>
      <c r="T190">
        <f>IFERROR(INDEX(Registre!$B$2:$B$2001,MATCH(T$1&amp;"|"&amp;(ROW()-1),Registre!$AA$2:$AA$2001,0)),"")</f>
        <v/>
      </c>
      <c r="U190">
        <f>IFERROR(INDEX(Registre!$B$2:$B$2001,MATCH(U$1&amp;"|"&amp;(ROW()-1),Registre!$AA$2:$AA$2001,0)),"")</f>
        <v/>
      </c>
      <c r="V190">
        <f>IFERROR(INDEX(Registre!$B$2:$B$2001,MATCH(V$1&amp;"|"&amp;(ROW()-1),Registre!$AA$2:$AA$2001,0)),"")</f>
        <v/>
      </c>
    </row>
    <row r="191">
      <c r="O191">
        <f>IFERROR(INDEX(Registre!$B$2:$B$2001,MATCH(O$1&amp;"|"&amp;(ROW()-1),Registre!$AA$2:$AA$2001,0)),"")</f>
        <v/>
      </c>
      <c r="P191">
        <f>IFERROR(INDEX(Registre!$B$2:$B$2001,MATCH(P$1&amp;"|"&amp;(ROW()-1),Registre!$AA$2:$AA$2001,0)),"")</f>
        <v/>
      </c>
      <c r="Q191">
        <f>IFERROR(INDEX(Registre!$B$2:$B$2001,MATCH(Q$1&amp;"|"&amp;(ROW()-1),Registre!$AA$2:$AA$2001,0)),"")</f>
        <v/>
      </c>
      <c r="R191">
        <f>IFERROR(INDEX(Registre!$B$2:$B$2001,MATCH(R$1&amp;"|"&amp;(ROW()-1),Registre!$AA$2:$AA$2001,0)),"")</f>
        <v/>
      </c>
      <c r="S191">
        <f>IFERROR(INDEX(Registre!$B$2:$B$2001,MATCH(S$1&amp;"|"&amp;(ROW()-1),Registre!$AA$2:$AA$2001,0)),"")</f>
        <v/>
      </c>
      <c r="T191">
        <f>IFERROR(INDEX(Registre!$B$2:$B$2001,MATCH(T$1&amp;"|"&amp;(ROW()-1),Registre!$AA$2:$AA$2001,0)),"")</f>
        <v/>
      </c>
      <c r="U191">
        <f>IFERROR(INDEX(Registre!$B$2:$B$2001,MATCH(U$1&amp;"|"&amp;(ROW()-1),Registre!$AA$2:$AA$2001,0)),"")</f>
        <v/>
      </c>
      <c r="V191">
        <f>IFERROR(INDEX(Registre!$B$2:$B$2001,MATCH(V$1&amp;"|"&amp;(ROW()-1),Registre!$AA$2:$AA$2001,0)),"")</f>
        <v/>
      </c>
    </row>
    <row r="192">
      <c r="O192">
        <f>IFERROR(INDEX(Registre!$B$2:$B$2001,MATCH(O$1&amp;"|"&amp;(ROW()-1),Registre!$AA$2:$AA$2001,0)),"")</f>
        <v/>
      </c>
      <c r="P192">
        <f>IFERROR(INDEX(Registre!$B$2:$B$2001,MATCH(P$1&amp;"|"&amp;(ROW()-1),Registre!$AA$2:$AA$2001,0)),"")</f>
        <v/>
      </c>
      <c r="Q192">
        <f>IFERROR(INDEX(Registre!$B$2:$B$2001,MATCH(Q$1&amp;"|"&amp;(ROW()-1),Registre!$AA$2:$AA$2001,0)),"")</f>
        <v/>
      </c>
      <c r="R192">
        <f>IFERROR(INDEX(Registre!$B$2:$B$2001,MATCH(R$1&amp;"|"&amp;(ROW()-1),Registre!$AA$2:$AA$2001,0)),"")</f>
        <v/>
      </c>
      <c r="S192">
        <f>IFERROR(INDEX(Registre!$B$2:$B$2001,MATCH(S$1&amp;"|"&amp;(ROW()-1),Registre!$AA$2:$AA$2001,0)),"")</f>
        <v/>
      </c>
      <c r="T192">
        <f>IFERROR(INDEX(Registre!$B$2:$B$2001,MATCH(T$1&amp;"|"&amp;(ROW()-1),Registre!$AA$2:$AA$2001,0)),"")</f>
        <v/>
      </c>
      <c r="U192">
        <f>IFERROR(INDEX(Registre!$B$2:$B$2001,MATCH(U$1&amp;"|"&amp;(ROW()-1),Registre!$AA$2:$AA$2001,0)),"")</f>
        <v/>
      </c>
      <c r="V192">
        <f>IFERROR(INDEX(Registre!$B$2:$B$2001,MATCH(V$1&amp;"|"&amp;(ROW()-1),Registre!$AA$2:$AA$2001,0)),"")</f>
        <v/>
      </c>
    </row>
    <row r="193">
      <c r="O193">
        <f>IFERROR(INDEX(Registre!$B$2:$B$2001,MATCH(O$1&amp;"|"&amp;(ROW()-1),Registre!$AA$2:$AA$2001,0)),"")</f>
        <v/>
      </c>
      <c r="P193">
        <f>IFERROR(INDEX(Registre!$B$2:$B$2001,MATCH(P$1&amp;"|"&amp;(ROW()-1),Registre!$AA$2:$AA$2001,0)),"")</f>
        <v/>
      </c>
      <c r="Q193">
        <f>IFERROR(INDEX(Registre!$B$2:$B$2001,MATCH(Q$1&amp;"|"&amp;(ROW()-1),Registre!$AA$2:$AA$2001,0)),"")</f>
        <v/>
      </c>
      <c r="R193">
        <f>IFERROR(INDEX(Registre!$B$2:$B$2001,MATCH(R$1&amp;"|"&amp;(ROW()-1),Registre!$AA$2:$AA$2001,0)),"")</f>
        <v/>
      </c>
      <c r="S193">
        <f>IFERROR(INDEX(Registre!$B$2:$B$2001,MATCH(S$1&amp;"|"&amp;(ROW()-1),Registre!$AA$2:$AA$2001,0)),"")</f>
        <v/>
      </c>
      <c r="T193">
        <f>IFERROR(INDEX(Registre!$B$2:$B$2001,MATCH(T$1&amp;"|"&amp;(ROW()-1),Registre!$AA$2:$AA$2001,0)),"")</f>
        <v/>
      </c>
      <c r="U193">
        <f>IFERROR(INDEX(Registre!$B$2:$B$2001,MATCH(U$1&amp;"|"&amp;(ROW()-1),Registre!$AA$2:$AA$2001,0)),"")</f>
        <v/>
      </c>
      <c r="V193">
        <f>IFERROR(INDEX(Registre!$B$2:$B$2001,MATCH(V$1&amp;"|"&amp;(ROW()-1),Registre!$AA$2:$AA$2001,0)),"")</f>
        <v/>
      </c>
    </row>
    <row r="194">
      <c r="O194">
        <f>IFERROR(INDEX(Registre!$B$2:$B$2001,MATCH(O$1&amp;"|"&amp;(ROW()-1),Registre!$AA$2:$AA$2001,0)),"")</f>
        <v/>
      </c>
      <c r="P194">
        <f>IFERROR(INDEX(Registre!$B$2:$B$2001,MATCH(P$1&amp;"|"&amp;(ROW()-1),Registre!$AA$2:$AA$2001,0)),"")</f>
        <v/>
      </c>
      <c r="Q194">
        <f>IFERROR(INDEX(Registre!$B$2:$B$2001,MATCH(Q$1&amp;"|"&amp;(ROW()-1),Registre!$AA$2:$AA$2001,0)),"")</f>
        <v/>
      </c>
      <c r="R194">
        <f>IFERROR(INDEX(Registre!$B$2:$B$2001,MATCH(R$1&amp;"|"&amp;(ROW()-1),Registre!$AA$2:$AA$2001,0)),"")</f>
        <v/>
      </c>
      <c r="S194">
        <f>IFERROR(INDEX(Registre!$B$2:$B$2001,MATCH(S$1&amp;"|"&amp;(ROW()-1),Registre!$AA$2:$AA$2001,0)),"")</f>
        <v/>
      </c>
      <c r="T194">
        <f>IFERROR(INDEX(Registre!$B$2:$B$2001,MATCH(T$1&amp;"|"&amp;(ROW()-1),Registre!$AA$2:$AA$2001,0)),"")</f>
        <v/>
      </c>
      <c r="U194">
        <f>IFERROR(INDEX(Registre!$B$2:$B$2001,MATCH(U$1&amp;"|"&amp;(ROW()-1),Registre!$AA$2:$AA$2001,0)),"")</f>
        <v/>
      </c>
      <c r="V194">
        <f>IFERROR(INDEX(Registre!$B$2:$B$2001,MATCH(V$1&amp;"|"&amp;(ROW()-1),Registre!$AA$2:$AA$2001,0)),"")</f>
        <v/>
      </c>
    </row>
    <row r="195">
      <c r="O195">
        <f>IFERROR(INDEX(Registre!$B$2:$B$2001,MATCH(O$1&amp;"|"&amp;(ROW()-1),Registre!$AA$2:$AA$2001,0)),"")</f>
        <v/>
      </c>
      <c r="P195">
        <f>IFERROR(INDEX(Registre!$B$2:$B$2001,MATCH(P$1&amp;"|"&amp;(ROW()-1),Registre!$AA$2:$AA$2001,0)),"")</f>
        <v/>
      </c>
      <c r="Q195">
        <f>IFERROR(INDEX(Registre!$B$2:$B$2001,MATCH(Q$1&amp;"|"&amp;(ROW()-1),Registre!$AA$2:$AA$2001,0)),"")</f>
        <v/>
      </c>
      <c r="R195">
        <f>IFERROR(INDEX(Registre!$B$2:$B$2001,MATCH(R$1&amp;"|"&amp;(ROW()-1),Registre!$AA$2:$AA$2001,0)),"")</f>
        <v/>
      </c>
      <c r="S195">
        <f>IFERROR(INDEX(Registre!$B$2:$B$2001,MATCH(S$1&amp;"|"&amp;(ROW()-1),Registre!$AA$2:$AA$2001,0)),"")</f>
        <v/>
      </c>
      <c r="T195">
        <f>IFERROR(INDEX(Registre!$B$2:$B$2001,MATCH(T$1&amp;"|"&amp;(ROW()-1),Registre!$AA$2:$AA$2001,0)),"")</f>
        <v/>
      </c>
      <c r="U195">
        <f>IFERROR(INDEX(Registre!$B$2:$B$2001,MATCH(U$1&amp;"|"&amp;(ROW()-1),Registre!$AA$2:$AA$2001,0)),"")</f>
        <v/>
      </c>
      <c r="V195">
        <f>IFERROR(INDEX(Registre!$B$2:$B$2001,MATCH(V$1&amp;"|"&amp;(ROW()-1),Registre!$AA$2:$AA$2001,0)),"")</f>
        <v/>
      </c>
    </row>
    <row r="196">
      <c r="O196">
        <f>IFERROR(INDEX(Registre!$B$2:$B$2001,MATCH(O$1&amp;"|"&amp;(ROW()-1),Registre!$AA$2:$AA$2001,0)),"")</f>
        <v/>
      </c>
      <c r="P196">
        <f>IFERROR(INDEX(Registre!$B$2:$B$2001,MATCH(P$1&amp;"|"&amp;(ROW()-1),Registre!$AA$2:$AA$2001,0)),"")</f>
        <v/>
      </c>
      <c r="Q196">
        <f>IFERROR(INDEX(Registre!$B$2:$B$2001,MATCH(Q$1&amp;"|"&amp;(ROW()-1),Registre!$AA$2:$AA$2001,0)),"")</f>
        <v/>
      </c>
      <c r="R196">
        <f>IFERROR(INDEX(Registre!$B$2:$B$2001,MATCH(R$1&amp;"|"&amp;(ROW()-1),Registre!$AA$2:$AA$2001,0)),"")</f>
        <v/>
      </c>
      <c r="S196">
        <f>IFERROR(INDEX(Registre!$B$2:$B$2001,MATCH(S$1&amp;"|"&amp;(ROW()-1),Registre!$AA$2:$AA$2001,0)),"")</f>
        <v/>
      </c>
      <c r="T196">
        <f>IFERROR(INDEX(Registre!$B$2:$B$2001,MATCH(T$1&amp;"|"&amp;(ROW()-1),Registre!$AA$2:$AA$2001,0)),"")</f>
        <v/>
      </c>
      <c r="U196">
        <f>IFERROR(INDEX(Registre!$B$2:$B$2001,MATCH(U$1&amp;"|"&amp;(ROW()-1),Registre!$AA$2:$AA$2001,0)),"")</f>
        <v/>
      </c>
      <c r="V196">
        <f>IFERROR(INDEX(Registre!$B$2:$B$2001,MATCH(V$1&amp;"|"&amp;(ROW()-1),Registre!$AA$2:$AA$2001,0)),"")</f>
        <v/>
      </c>
    </row>
    <row r="197">
      <c r="O197">
        <f>IFERROR(INDEX(Registre!$B$2:$B$2001,MATCH(O$1&amp;"|"&amp;(ROW()-1),Registre!$AA$2:$AA$2001,0)),"")</f>
        <v/>
      </c>
      <c r="P197">
        <f>IFERROR(INDEX(Registre!$B$2:$B$2001,MATCH(P$1&amp;"|"&amp;(ROW()-1),Registre!$AA$2:$AA$2001,0)),"")</f>
        <v/>
      </c>
      <c r="Q197">
        <f>IFERROR(INDEX(Registre!$B$2:$B$2001,MATCH(Q$1&amp;"|"&amp;(ROW()-1),Registre!$AA$2:$AA$2001,0)),"")</f>
        <v/>
      </c>
      <c r="R197">
        <f>IFERROR(INDEX(Registre!$B$2:$B$2001,MATCH(R$1&amp;"|"&amp;(ROW()-1),Registre!$AA$2:$AA$2001,0)),"")</f>
        <v/>
      </c>
      <c r="S197">
        <f>IFERROR(INDEX(Registre!$B$2:$B$2001,MATCH(S$1&amp;"|"&amp;(ROW()-1),Registre!$AA$2:$AA$2001,0)),"")</f>
        <v/>
      </c>
      <c r="T197">
        <f>IFERROR(INDEX(Registre!$B$2:$B$2001,MATCH(T$1&amp;"|"&amp;(ROW()-1),Registre!$AA$2:$AA$2001,0)),"")</f>
        <v/>
      </c>
      <c r="U197">
        <f>IFERROR(INDEX(Registre!$B$2:$B$2001,MATCH(U$1&amp;"|"&amp;(ROW()-1),Registre!$AA$2:$AA$2001,0)),"")</f>
        <v/>
      </c>
      <c r="V197">
        <f>IFERROR(INDEX(Registre!$B$2:$B$2001,MATCH(V$1&amp;"|"&amp;(ROW()-1),Registre!$AA$2:$AA$2001,0)),"")</f>
        <v/>
      </c>
    </row>
    <row r="198">
      <c r="O198">
        <f>IFERROR(INDEX(Registre!$B$2:$B$2001,MATCH(O$1&amp;"|"&amp;(ROW()-1),Registre!$AA$2:$AA$2001,0)),"")</f>
        <v/>
      </c>
      <c r="P198">
        <f>IFERROR(INDEX(Registre!$B$2:$B$2001,MATCH(P$1&amp;"|"&amp;(ROW()-1),Registre!$AA$2:$AA$2001,0)),"")</f>
        <v/>
      </c>
      <c r="Q198">
        <f>IFERROR(INDEX(Registre!$B$2:$B$2001,MATCH(Q$1&amp;"|"&amp;(ROW()-1),Registre!$AA$2:$AA$2001,0)),"")</f>
        <v/>
      </c>
      <c r="R198">
        <f>IFERROR(INDEX(Registre!$B$2:$B$2001,MATCH(R$1&amp;"|"&amp;(ROW()-1),Registre!$AA$2:$AA$2001,0)),"")</f>
        <v/>
      </c>
      <c r="S198">
        <f>IFERROR(INDEX(Registre!$B$2:$B$2001,MATCH(S$1&amp;"|"&amp;(ROW()-1),Registre!$AA$2:$AA$2001,0)),"")</f>
        <v/>
      </c>
      <c r="T198">
        <f>IFERROR(INDEX(Registre!$B$2:$B$2001,MATCH(T$1&amp;"|"&amp;(ROW()-1),Registre!$AA$2:$AA$2001,0)),"")</f>
        <v/>
      </c>
      <c r="U198">
        <f>IFERROR(INDEX(Registre!$B$2:$B$2001,MATCH(U$1&amp;"|"&amp;(ROW()-1),Registre!$AA$2:$AA$2001,0)),"")</f>
        <v/>
      </c>
      <c r="V198">
        <f>IFERROR(INDEX(Registre!$B$2:$B$2001,MATCH(V$1&amp;"|"&amp;(ROW()-1),Registre!$AA$2:$AA$2001,0)),"")</f>
        <v/>
      </c>
    </row>
    <row r="199">
      <c r="O199">
        <f>IFERROR(INDEX(Registre!$B$2:$B$2001,MATCH(O$1&amp;"|"&amp;(ROW()-1),Registre!$AA$2:$AA$2001,0)),"")</f>
        <v/>
      </c>
      <c r="P199">
        <f>IFERROR(INDEX(Registre!$B$2:$B$2001,MATCH(P$1&amp;"|"&amp;(ROW()-1),Registre!$AA$2:$AA$2001,0)),"")</f>
        <v/>
      </c>
      <c r="Q199">
        <f>IFERROR(INDEX(Registre!$B$2:$B$2001,MATCH(Q$1&amp;"|"&amp;(ROW()-1),Registre!$AA$2:$AA$2001,0)),"")</f>
        <v/>
      </c>
      <c r="R199">
        <f>IFERROR(INDEX(Registre!$B$2:$B$2001,MATCH(R$1&amp;"|"&amp;(ROW()-1),Registre!$AA$2:$AA$2001,0)),"")</f>
        <v/>
      </c>
      <c r="S199">
        <f>IFERROR(INDEX(Registre!$B$2:$B$2001,MATCH(S$1&amp;"|"&amp;(ROW()-1),Registre!$AA$2:$AA$2001,0)),"")</f>
        <v/>
      </c>
      <c r="T199">
        <f>IFERROR(INDEX(Registre!$B$2:$B$2001,MATCH(T$1&amp;"|"&amp;(ROW()-1),Registre!$AA$2:$AA$2001,0)),"")</f>
        <v/>
      </c>
      <c r="U199">
        <f>IFERROR(INDEX(Registre!$B$2:$B$2001,MATCH(U$1&amp;"|"&amp;(ROW()-1),Registre!$AA$2:$AA$2001,0)),"")</f>
        <v/>
      </c>
      <c r="V199">
        <f>IFERROR(INDEX(Registre!$B$2:$B$2001,MATCH(V$1&amp;"|"&amp;(ROW()-1),Registre!$AA$2:$AA$2001,0)),"")</f>
        <v/>
      </c>
    </row>
    <row r="200">
      <c r="O200">
        <f>IFERROR(INDEX(Registre!$B$2:$B$2001,MATCH(O$1&amp;"|"&amp;(ROW()-1),Registre!$AA$2:$AA$2001,0)),"")</f>
        <v/>
      </c>
      <c r="P200">
        <f>IFERROR(INDEX(Registre!$B$2:$B$2001,MATCH(P$1&amp;"|"&amp;(ROW()-1),Registre!$AA$2:$AA$2001,0)),"")</f>
        <v/>
      </c>
      <c r="Q200">
        <f>IFERROR(INDEX(Registre!$B$2:$B$2001,MATCH(Q$1&amp;"|"&amp;(ROW()-1),Registre!$AA$2:$AA$2001,0)),"")</f>
        <v/>
      </c>
      <c r="R200">
        <f>IFERROR(INDEX(Registre!$B$2:$B$2001,MATCH(R$1&amp;"|"&amp;(ROW()-1),Registre!$AA$2:$AA$2001,0)),"")</f>
        <v/>
      </c>
      <c r="S200">
        <f>IFERROR(INDEX(Registre!$B$2:$B$2001,MATCH(S$1&amp;"|"&amp;(ROW()-1),Registre!$AA$2:$AA$2001,0)),"")</f>
        <v/>
      </c>
      <c r="T200">
        <f>IFERROR(INDEX(Registre!$B$2:$B$2001,MATCH(T$1&amp;"|"&amp;(ROW()-1),Registre!$AA$2:$AA$2001,0)),"")</f>
        <v/>
      </c>
      <c r="U200">
        <f>IFERROR(INDEX(Registre!$B$2:$B$2001,MATCH(U$1&amp;"|"&amp;(ROW()-1),Registre!$AA$2:$AA$2001,0)),"")</f>
        <v/>
      </c>
      <c r="V200">
        <f>IFERROR(INDEX(Registre!$B$2:$B$2001,MATCH(V$1&amp;"|"&amp;(ROW()-1),Registre!$AA$2:$AA$2001,0)),"")</f>
        <v/>
      </c>
    </row>
    <row r="201">
      <c r="O201">
        <f>IFERROR(INDEX(Registre!$B$2:$B$2001,MATCH(O$1&amp;"|"&amp;(ROW()-1),Registre!$AA$2:$AA$2001,0)),"")</f>
        <v/>
      </c>
      <c r="P201">
        <f>IFERROR(INDEX(Registre!$B$2:$B$2001,MATCH(P$1&amp;"|"&amp;(ROW()-1),Registre!$AA$2:$AA$2001,0)),"")</f>
        <v/>
      </c>
      <c r="Q201">
        <f>IFERROR(INDEX(Registre!$B$2:$B$2001,MATCH(Q$1&amp;"|"&amp;(ROW()-1),Registre!$AA$2:$AA$2001,0)),"")</f>
        <v/>
      </c>
      <c r="R201">
        <f>IFERROR(INDEX(Registre!$B$2:$B$2001,MATCH(R$1&amp;"|"&amp;(ROW()-1),Registre!$AA$2:$AA$2001,0)),"")</f>
        <v/>
      </c>
      <c r="S201">
        <f>IFERROR(INDEX(Registre!$B$2:$B$2001,MATCH(S$1&amp;"|"&amp;(ROW()-1),Registre!$AA$2:$AA$2001,0)),"")</f>
        <v/>
      </c>
      <c r="T201">
        <f>IFERROR(INDEX(Registre!$B$2:$B$2001,MATCH(T$1&amp;"|"&amp;(ROW()-1),Registre!$AA$2:$AA$2001,0)),"")</f>
        <v/>
      </c>
      <c r="U201">
        <f>IFERROR(INDEX(Registre!$B$2:$B$2001,MATCH(U$1&amp;"|"&amp;(ROW()-1),Registre!$AA$2:$AA$2001,0)),"")</f>
        <v/>
      </c>
      <c r="V201">
        <f>IFERROR(INDEX(Registre!$B$2:$B$2001,MATCH(V$1&amp;"|"&amp;(ROW()-1),Registre!$AA$2:$AA$2001,0)),"")</f>
        <v/>
      </c>
    </row>
    <row r="202">
      <c r="O202">
        <f>IFERROR(INDEX(Registre!$B$2:$B$2001,MATCH(O$1&amp;"|"&amp;(ROW()-1),Registre!$AA$2:$AA$2001,0)),"")</f>
        <v/>
      </c>
      <c r="P202">
        <f>IFERROR(INDEX(Registre!$B$2:$B$2001,MATCH(P$1&amp;"|"&amp;(ROW()-1),Registre!$AA$2:$AA$2001,0)),"")</f>
        <v/>
      </c>
      <c r="Q202">
        <f>IFERROR(INDEX(Registre!$B$2:$B$2001,MATCH(Q$1&amp;"|"&amp;(ROW()-1),Registre!$AA$2:$AA$2001,0)),"")</f>
        <v/>
      </c>
      <c r="R202">
        <f>IFERROR(INDEX(Registre!$B$2:$B$2001,MATCH(R$1&amp;"|"&amp;(ROW()-1),Registre!$AA$2:$AA$2001,0)),"")</f>
        <v/>
      </c>
      <c r="S202">
        <f>IFERROR(INDEX(Registre!$B$2:$B$2001,MATCH(S$1&amp;"|"&amp;(ROW()-1),Registre!$AA$2:$AA$2001,0)),"")</f>
        <v/>
      </c>
      <c r="T202">
        <f>IFERROR(INDEX(Registre!$B$2:$B$2001,MATCH(T$1&amp;"|"&amp;(ROW()-1),Registre!$AA$2:$AA$2001,0)),"")</f>
        <v/>
      </c>
      <c r="U202">
        <f>IFERROR(INDEX(Registre!$B$2:$B$2001,MATCH(U$1&amp;"|"&amp;(ROW()-1),Registre!$AA$2:$AA$2001,0)),"")</f>
        <v/>
      </c>
      <c r="V202">
        <f>IFERROR(INDEX(Registre!$B$2:$B$2001,MATCH(V$1&amp;"|"&amp;(ROW()-1),Registre!$AA$2:$AA$2001,0)),"")</f>
        <v/>
      </c>
    </row>
    <row r="203">
      <c r="O203">
        <f>IFERROR(INDEX(Registre!$B$2:$B$2001,MATCH(O$1&amp;"|"&amp;(ROW()-1),Registre!$AA$2:$AA$2001,0)),"")</f>
        <v/>
      </c>
      <c r="P203">
        <f>IFERROR(INDEX(Registre!$B$2:$B$2001,MATCH(P$1&amp;"|"&amp;(ROW()-1),Registre!$AA$2:$AA$2001,0)),"")</f>
        <v/>
      </c>
      <c r="Q203">
        <f>IFERROR(INDEX(Registre!$B$2:$B$2001,MATCH(Q$1&amp;"|"&amp;(ROW()-1),Registre!$AA$2:$AA$2001,0)),"")</f>
        <v/>
      </c>
      <c r="R203">
        <f>IFERROR(INDEX(Registre!$B$2:$B$2001,MATCH(R$1&amp;"|"&amp;(ROW()-1),Registre!$AA$2:$AA$2001,0)),"")</f>
        <v/>
      </c>
      <c r="S203">
        <f>IFERROR(INDEX(Registre!$B$2:$B$2001,MATCH(S$1&amp;"|"&amp;(ROW()-1),Registre!$AA$2:$AA$2001,0)),"")</f>
        <v/>
      </c>
      <c r="T203">
        <f>IFERROR(INDEX(Registre!$B$2:$B$2001,MATCH(T$1&amp;"|"&amp;(ROW()-1),Registre!$AA$2:$AA$2001,0)),"")</f>
        <v/>
      </c>
      <c r="U203">
        <f>IFERROR(INDEX(Registre!$B$2:$B$2001,MATCH(U$1&amp;"|"&amp;(ROW()-1),Registre!$AA$2:$AA$2001,0)),"")</f>
        <v/>
      </c>
      <c r="V203">
        <f>IFERROR(INDEX(Registre!$B$2:$B$2001,MATCH(V$1&amp;"|"&amp;(ROW()-1),Registre!$AA$2:$AA$2001,0)),"")</f>
        <v/>
      </c>
    </row>
    <row r="204">
      <c r="O204">
        <f>IFERROR(INDEX(Registre!$B$2:$B$2001,MATCH(O$1&amp;"|"&amp;(ROW()-1),Registre!$AA$2:$AA$2001,0)),"")</f>
        <v/>
      </c>
      <c r="P204">
        <f>IFERROR(INDEX(Registre!$B$2:$B$2001,MATCH(P$1&amp;"|"&amp;(ROW()-1),Registre!$AA$2:$AA$2001,0)),"")</f>
        <v/>
      </c>
      <c r="Q204">
        <f>IFERROR(INDEX(Registre!$B$2:$B$2001,MATCH(Q$1&amp;"|"&amp;(ROW()-1),Registre!$AA$2:$AA$2001,0)),"")</f>
        <v/>
      </c>
      <c r="R204">
        <f>IFERROR(INDEX(Registre!$B$2:$B$2001,MATCH(R$1&amp;"|"&amp;(ROW()-1),Registre!$AA$2:$AA$2001,0)),"")</f>
        <v/>
      </c>
      <c r="S204">
        <f>IFERROR(INDEX(Registre!$B$2:$B$2001,MATCH(S$1&amp;"|"&amp;(ROW()-1),Registre!$AA$2:$AA$2001,0)),"")</f>
        <v/>
      </c>
      <c r="T204">
        <f>IFERROR(INDEX(Registre!$B$2:$B$2001,MATCH(T$1&amp;"|"&amp;(ROW()-1),Registre!$AA$2:$AA$2001,0)),"")</f>
        <v/>
      </c>
      <c r="U204">
        <f>IFERROR(INDEX(Registre!$B$2:$B$2001,MATCH(U$1&amp;"|"&amp;(ROW()-1),Registre!$AA$2:$AA$2001,0)),"")</f>
        <v/>
      </c>
      <c r="V204">
        <f>IFERROR(INDEX(Registre!$B$2:$B$2001,MATCH(V$1&amp;"|"&amp;(ROW()-1),Registre!$AA$2:$AA$2001,0)),"")</f>
        <v/>
      </c>
    </row>
    <row r="205">
      <c r="O205">
        <f>IFERROR(INDEX(Registre!$B$2:$B$2001,MATCH(O$1&amp;"|"&amp;(ROW()-1),Registre!$AA$2:$AA$2001,0)),"")</f>
        <v/>
      </c>
      <c r="P205">
        <f>IFERROR(INDEX(Registre!$B$2:$B$2001,MATCH(P$1&amp;"|"&amp;(ROW()-1),Registre!$AA$2:$AA$2001,0)),"")</f>
        <v/>
      </c>
      <c r="Q205">
        <f>IFERROR(INDEX(Registre!$B$2:$B$2001,MATCH(Q$1&amp;"|"&amp;(ROW()-1),Registre!$AA$2:$AA$2001,0)),"")</f>
        <v/>
      </c>
      <c r="R205">
        <f>IFERROR(INDEX(Registre!$B$2:$B$2001,MATCH(R$1&amp;"|"&amp;(ROW()-1),Registre!$AA$2:$AA$2001,0)),"")</f>
        <v/>
      </c>
      <c r="S205">
        <f>IFERROR(INDEX(Registre!$B$2:$B$2001,MATCH(S$1&amp;"|"&amp;(ROW()-1),Registre!$AA$2:$AA$2001,0)),"")</f>
        <v/>
      </c>
      <c r="T205">
        <f>IFERROR(INDEX(Registre!$B$2:$B$2001,MATCH(T$1&amp;"|"&amp;(ROW()-1),Registre!$AA$2:$AA$2001,0)),"")</f>
        <v/>
      </c>
      <c r="U205">
        <f>IFERROR(INDEX(Registre!$B$2:$B$2001,MATCH(U$1&amp;"|"&amp;(ROW()-1),Registre!$AA$2:$AA$2001,0)),"")</f>
        <v/>
      </c>
      <c r="V205">
        <f>IFERROR(INDEX(Registre!$B$2:$B$2001,MATCH(V$1&amp;"|"&amp;(ROW()-1),Registre!$AA$2:$AA$2001,0)),"")</f>
        <v/>
      </c>
    </row>
    <row r="206">
      <c r="O206">
        <f>IFERROR(INDEX(Registre!$B$2:$B$2001,MATCH(O$1&amp;"|"&amp;(ROW()-1),Registre!$AA$2:$AA$2001,0)),"")</f>
        <v/>
      </c>
      <c r="P206">
        <f>IFERROR(INDEX(Registre!$B$2:$B$2001,MATCH(P$1&amp;"|"&amp;(ROW()-1),Registre!$AA$2:$AA$2001,0)),"")</f>
        <v/>
      </c>
      <c r="Q206">
        <f>IFERROR(INDEX(Registre!$B$2:$B$2001,MATCH(Q$1&amp;"|"&amp;(ROW()-1),Registre!$AA$2:$AA$2001,0)),"")</f>
        <v/>
      </c>
      <c r="R206">
        <f>IFERROR(INDEX(Registre!$B$2:$B$2001,MATCH(R$1&amp;"|"&amp;(ROW()-1),Registre!$AA$2:$AA$2001,0)),"")</f>
        <v/>
      </c>
      <c r="S206">
        <f>IFERROR(INDEX(Registre!$B$2:$B$2001,MATCH(S$1&amp;"|"&amp;(ROW()-1),Registre!$AA$2:$AA$2001,0)),"")</f>
        <v/>
      </c>
      <c r="T206">
        <f>IFERROR(INDEX(Registre!$B$2:$B$2001,MATCH(T$1&amp;"|"&amp;(ROW()-1),Registre!$AA$2:$AA$2001,0)),"")</f>
        <v/>
      </c>
      <c r="U206">
        <f>IFERROR(INDEX(Registre!$B$2:$B$2001,MATCH(U$1&amp;"|"&amp;(ROW()-1),Registre!$AA$2:$AA$2001,0)),"")</f>
        <v/>
      </c>
      <c r="V206">
        <f>IFERROR(INDEX(Registre!$B$2:$B$2001,MATCH(V$1&amp;"|"&amp;(ROW()-1),Registre!$AA$2:$AA$2001,0)),"")</f>
        <v/>
      </c>
    </row>
    <row r="207">
      <c r="O207">
        <f>IFERROR(INDEX(Registre!$B$2:$B$2001,MATCH(O$1&amp;"|"&amp;(ROW()-1),Registre!$AA$2:$AA$2001,0)),"")</f>
        <v/>
      </c>
      <c r="P207">
        <f>IFERROR(INDEX(Registre!$B$2:$B$2001,MATCH(P$1&amp;"|"&amp;(ROW()-1),Registre!$AA$2:$AA$2001,0)),"")</f>
        <v/>
      </c>
      <c r="Q207">
        <f>IFERROR(INDEX(Registre!$B$2:$B$2001,MATCH(Q$1&amp;"|"&amp;(ROW()-1),Registre!$AA$2:$AA$2001,0)),"")</f>
        <v/>
      </c>
      <c r="R207">
        <f>IFERROR(INDEX(Registre!$B$2:$B$2001,MATCH(R$1&amp;"|"&amp;(ROW()-1),Registre!$AA$2:$AA$2001,0)),"")</f>
        <v/>
      </c>
      <c r="S207">
        <f>IFERROR(INDEX(Registre!$B$2:$B$2001,MATCH(S$1&amp;"|"&amp;(ROW()-1),Registre!$AA$2:$AA$2001,0)),"")</f>
        <v/>
      </c>
      <c r="T207">
        <f>IFERROR(INDEX(Registre!$B$2:$B$2001,MATCH(T$1&amp;"|"&amp;(ROW()-1),Registre!$AA$2:$AA$2001,0)),"")</f>
        <v/>
      </c>
      <c r="U207">
        <f>IFERROR(INDEX(Registre!$B$2:$B$2001,MATCH(U$1&amp;"|"&amp;(ROW()-1),Registre!$AA$2:$AA$2001,0)),"")</f>
        <v/>
      </c>
      <c r="V207">
        <f>IFERROR(INDEX(Registre!$B$2:$B$2001,MATCH(V$1&amp;"|"&amp;(ROW()-1),Registre!$AA$2:$AA$2001,0)),"")</f>
        <v/>
      </c>
    </row>
    <row r="208">
      <c r="O208">
        <f>IFERROR(INDEX(Registre!$B$2:$B$2001,MATCH(O$1&amp;"|"&amp;(ROW()-1),Registre!$AA$2:$AA$2001,0)),"")</f>
        <v/>
      </c>
      <c r="P208">
        <f>IFERROR(INDEX(Registre!$B$2:$B$2001,MATCH(P$1&amp;"|"&amp;(ROW()-1),Registre!$AA$2:$AA$2001,0)),"")</f>
        <v/>
      </c>
      <c r="Q208">
        <f>IFERROR(INDEX(Registre!$B$2:$B$2001,MATCH(Q$1&amp;"|"&amp;(ROW()-1),Registre!$AA$2:$AA$2001,0)),"")</f>
        <v/>
      </c>
      <c r="R208">
        <f>IFERROR(INDEX(Registre!$B$2:$B$2001,MATCH(R$1&amp;"|"&amp;(ROW()-1),Registre!$AA$2:$AA$2001,0)),"")</f>
        <v/>
      </c>
      <c r="S208">
        <f>IFERROR(INDEX(Registre!$B$2:$B$2001,MATCH(S$1&amp;"|"&amp;(ROW()-1),Registre!$AA$2:$AA$2001,0)),"")</f>
        <v/>
      </c>
      <c r="T208">
        <f>IFERROR(INDEX(Registre!$B$2:$B$2001,MATCH(T$1&amp;"|"&amp;(ROW()-1),Registre!$AA$2:$AA$2001,0)),"")</f>
        <v/>
      </c>
      <c r="U208">
        <f>IFERROR(INDEX(Registre!$B$2:$B$2001,MATCH(U$1&amp;"|"&amp;(ROW()-1),Registre!$AA$2:$AA$2001,0)),"")</f>
        <v/>
      </c>
      <c r="V208">
        <f>IFERROR(INDEX(Registre!$B$2:$B$2001,MATCH(V$1&amp;"|"&amp;(ROW()-1),Registre!$AA$2:$AA$2001,0)),"")</f>
        <v/>
      </c>
    </row>
    <row r="209">
      <c r="O209">
        <f>IFERROR(INDEX(Registre!$B$2:$B$2001,MATCH(O$1&amp;"|"&amp;(ROW()-1),Registre!$AA$2:$AA$2001,0)),"")</f>
        <v/>
      </c>
      <c r="P209">
        <f>IFERROR(INDEX(Registre!$B$2:$B$2001,MATCH(P$1&amp;"|"&amp;(ROW()-1),Registre!$AA$2:$AA$2001,0)),"")</f>
        <v/>
      </c>
      <c r="Q209">
        <f>IFERROR(INDEX(Registre!$B$2:$B$2001,MATCH(Q$1&amp;"|"&amp;(ROW()-1),Registre!$AA$2:$AA$2001,0)),"")</f>
        <v/>
      </c>
      <c r="R209">
        <f>IFERROR(INDEX(Registre!$B$2:$B$2001,MATCH(R$1&amp;"|"&amp;(ROW()-1),Registre!$AA$2:$AA$2001,0)),"")</f>
        <v/>
      </c>
      <c r="S209">
        <f>IFERROR(INDEX(Registre!$B$2:$B$2001,MATCH(S$1&amp;"|"&amp;(ROW()-1),Registre!$AA$2:$AA$2001,0)),"")</f>
        <v/>
      </c>
      <c r="T209">
        <f>IFERROR(INDEX(Registre!$B$2:$B$2001,MATCH(T$1&amp;"|"&amp;(ROW()-1),Registre!$AA$2:$AA$2001,0)),"")</f>
        <v/>
      </c>
      <c r="U209">
        <f>IFERROR(INDEX(Registre!$B$2:$B$2001,MATCH(U$1&amp;"|"&amp;(ROW()-1),Registre!$AA$2:$AA$2001,0)),"")</f>
        <v/>
      </c>
      <c r="V209">
        <f>IFERROR(INDEX(Registre!$B$2:$B$2001,MATCH(V$1&amp;"|"&amp;(ROW()-1),Registre!$AA$2:$AA$2001,0)),"")</f>
        <v/>
      </c>
    </row>
    <row r="210">
      <c r="O210">
        <f>IFERROR(INDEX(Registre!$B$2:$B$2001,MATCH(O$1&amp;"|"&amp;(ROW()-1),Registre!$AA$2:$AA$2001,0)),"")</f>
        <v/>
      </c>
      <c r="P210">
        <f>IFERROR(INDEX(Registre!$B$2:$B$2001,MATCH(P$1&amp;"|"&amp;(ROW()-1),Registre!$AA$2:$AA$2001,0)),"")</f>
        <v/>
      </c>
      <c r="Q210">
        <f>IFERROR(INDEX(Registre!$B$2:$B$2001,MATCH(Q$1&amp;"|"&amp;(ROW()-1),Registre!$AA$2:$AA$2001,0)),"")</f>
        <v/>
      </c>
      <c r="R210">
        <f>IFERROR(INDEX(Registre!$B$2:$B$2001,MATCH(R$1&amp;"|"&amp;(ROW()-1),Registre!$AA$2:$AA$2001,0)),"")</f>
        <v/>
      </c>
      <c r="S210">
        <f>IFERROR(INDEX(Registre!$B$2:$B$2001,MATCH(S$1&amp;"|"&amp;(ROW()-1),Registre!$AA$2:$AA$2001,0)),"")</f>
        <v/>
      </c>
      <c r="T210">
        <f>IFERROR(INDEX(Registre!$B$2:$B$2001,MATCH(T$1&amp;"|"&amp;(ROW()-1),Registre!$AA$2:$AA$2001,0)),"")</f>
        <v/>
      </c>
      <c r="U210">
        <f>IFERROR(INDEX(Registre!$B$2:$B$2001,MATCH(U$1&amp;"|"&amp;(ROW()-1),Registre!$AA$2:$AA$2001,0)),"")</f>
        <v/>
      </c>
      <c r="V210">
        <f>IFERROR(INDEX(Registre!$B$2:$B$2001,MATCH(V$1&amp;"|"&amp;(ROW()-1),Registre!$AA$2:$AA$2001,0)),"")</f>
        <v/>
      </c>
    </row>
    <row r="211">
      <c r="O211">
        <f>IFERROR(INDEX(Registre!$B$2:$B$2001,MATCH(O$1&amp;"|"&amp;(ROW()-1),Registre!$AA$2:$AA$2001,0)),"")</f>
        <v/>
      </c>
      <c r="P211">
        <f>IFERROR(INDEX(Registre!$B$2:$B$2001,MATCH(P$1&amp;"|"&amp;(ROW()-1),Registre!$AA$2:$AA$2001,0)),"")</f>
        <v/>
      </c>
      <c r="Q211">
        <f>IFERROR(INDEX(Registre!$B$2:$B$2001,MATCH(Q$1&amp;"|"&amp;(ROW()-1),Registre!$AA$2:$AA$2001,0)),"")</f>
        <v/>
      </c>
      <c r="R211">
        <f>IFERROR(INDEX(Registre!$B$2:$B$2001,MATCH(R$1&amp;"|"&amp;(ROW()-1),Registre!$AA$2:$AA$2001,0)),"")</f>
        <v/>
      </c>
      <c r="S211">
        <f>IFERROR(INDEX(Registre!$B$2:$B$2001,MATCH(S$1&amp;"|"&amp;(ROW()-1),Registre!$AA$2:$AA$2001,0)),"")</f>
        <v/>
      </c>
      <c r="T211">
        <f>IFERROR(INDEX(Registre!$B$2:$B$2001,MATCH(T$1&amp;"|"&amp;(ROW()-1),Registre!$AA$2:$AA$2001,0)),"")</f>
        <v/>
      </c>
      <c r="U211">
        <f>IFERROR(INDEX(Registre!$B$2:$B$2001,MATCH(U$1&amp;"|"&amp;(ROW()-1),Registre!$AA$2:$AA$2001,0)),"")</f>
        <v/>
      </c>
      <c r="V211">
        <f>IFERROR(INDEX(Registre!$B$2:$B$2001,MATCH(V$1&amp;"|"&amp;(ROW()-1),Registre!$AA$2:$AA$2001,0)),"")</f>
        <v/>
      </c>
    </row>
    <row r="212">
      <c r="O212">
        <f>IFERROR(INDEX(Registre!$B$2:$B$2001,MATCH(O$1&amp;"|"&amp;(ROW()-1),Registre!$AA$2:$AA$2001,0)),"")</f>
        <v/>
      </c>
      <c r="P212">
        <f>IFERROR(INDEX(Registre!$B$2:$B$2001,MATCH(P$1&amp;"|"&amp;(ROW()-1),Registre!$AA$2:$AA$2001,0)),"")</f>
        <v/>
      </c>
      <c r="Q212">
        <f>IFERROR(INDEX(Registre!$B$2:$B$2001,MATCH(Q$1&amp;"|"&amp;(ROW()-1),Registre!$AA$2:$AA$2001,0)),"")</f>
        <v/>
      </c>
      <c r="R212">
        <f>IFERROR(INDEX(Registre!$B$2:$B$2001,MATCH(R$1&amp;"|"&amp;(ROW()-1),Registre!$AA$2:$AA$2001,0)),"")</f>
        <v/>
      </c>
      <c r="S212">
        <f>IFERROR(INDEX(Registre!$B$2:$B$2001,MATCH(S$1&amp;"|"&amp;(ROW()-1),Registre!$AA$2:$AA$2001,0)),"")</f>
        <v/>
      </c>
      <c r="T212">
        <f>IFERROR(INDEX(Registre!$B$2:$B$2001,MATCH(T$1&amp;"|"&amp;(ROW()-1),Registre!$AA$2:$AA$2001,0)),"")</f>
        <v/>
      </c>
      <c r="U212">
        <f>IFERROR(INDEX(Registre!$B$2:$B$2001,MATCH(U$1&amp;"|"&amp;(ROW()-1),Registre!$AA$2:$AA$2001,0)),"")</f>
        <v/>
      </c>
      <c r="V212">
        <f>IFERROR(INDEX(Registre!$B$2:$B$2001,MATCH(V$1&amp;"|"&amp;(ROW()-1),Registre!$AA$2:$AA$2001,0)),"")</f>
        <v/>
      </c>
    </row>
    <row r="213">
      <c r="O213">
        <f>IFERROR(INDEX(Registre!$B$2:$B$2001,MATCH(O$1&amp;"|"&amp;(ROW()-1),Registre!$AA$2:$AA$2001,0)),"")</f>
        <v/>
      </c>
      <c r="P213">
        <f>IFERROR(INDEX(Registre!$B$2:$B$2001,MATCH(P$1&amp;"|"&amp;(ROW()-1),Registre!$AA$2:$AA$2001,0)),"")</f>
        <v/>
      </c>
      <c r="Q213">
        <f>IFERROR(INDEX(Registre!$B$2:$B$2001,MATCH(Q$1&amp;"|"&amp;(ROW()-1),Registre!$AA$2:$AA$2001,0)),"")</f>
        <v/>
      </c>
      <c r="R213">
        <f>IFERROR(INDEX(Registre!$B$2:$B$2001,MATCH(R$1&amp;"|"&amp;(ROW()-1),Registre!$AA$2:$AA$2001,0)),"")</f>
        <v/>
      </c>
      <c r="S213">
        <f>IFERROR(INDEX(Registre!$B$2:$B$2001,MATCH(S$1&amp;"|"&amp;(ROW()-1),Registre!$AA$2:$AA$2001,0)),"")</f>
        <v/>
      </c>
      <c r="T213">
        <f>IFERROR(INDEX(Registre!$B$2:$B$2001,MATCH(T$1&amp;"|"&amp;(ROW()-1),Registre!$AA$2:$AA$2001,0)),"")</f>
        <v/>
      </c>
      <c r="U213">
        <f>IFERROR(INDEX(Registre!$B$2:$B$2001,MATCH(U$1&amp;"|"&amp;(ROW()-1),Registre!$AA$2:$AA$2001,0)),"")</f>
        <v/>
      </c>
      <c r="V213">
        <f>IFERROR(INDEX(Registre!$B$2:$B$2001,MATCH(V$1&amp;"|"&amp;(ROW()-1),Registre!$AA$2:$AA$2001,0)),"")</f>
        <v/>
      </c>
    </row>
    <row r="214">
      <c r="O214">
        <f>IFERROR(INDEX(Registre!$B$2:$B$2001,MATCH(O$1&amp;"|"&amp;(ROW()-1),Registre!$AA$2:$AA$2001,0)),"")</f>
        <v/>
      </c>
      <c r="P214">
        <f>IFERROR(INDEX(Registre!$B$2:$B$2001,MATCH(P$1&amp;"|"&amp;(ROW()-1),Registre!$AA$2:$AA$2001,0)),"")</f>
        <v/>
      </c>
      <c r="Q214">
        <f>IFERROR(INDEX(Registre!$B$2:$B$2001,MATCH(Q$1&amp;"|"&amp;(ROW()-1),Registre!$AA$2:$AA$2001,0)),"")</f>
        <v/>
      </c>
      <c r="R214">
        <f>IFERROR(INDEX(Registre!$B$2:$B$2001,MATCH(R$1&amp;"|"&amp;(ROW()-1),Registre!$AA$2:$AA$2001,0)),"")</f>
        <v/>
      </c>
      <c r="S214">
        <f>IFERROR(INDEX(Registre!$B$2:$B$2001,MATCH(S$1&amp;"|"&amp;(ROW()-1),Registre!$AA$2:$AA$2001,0)),"")</f>
        <v/>
      </c>
      <c r="T214">
        <f>IFERROR(INDEX(Registre!$B$2:$B$2001,MATCH(T$1&amp;"|"&amp;(ROW()-1),Registre!$AA$2:$AA$2001,0)),"")</f>
        <v/>
      </c>
      <c r="U214">
        <f>IFERROR(INDEX(Registre!$B$2:$B$2001,MATCH(U$1&amp;"|"&amp;(ROW()-1),Registre!$AA$2:$AA$2001,0)),"")</f>
        <v/>
      </c>
      <c r="V214">
        <f>IFERROR(INDEX(Registre!$B$2:$B$2001,MATCH(V$1&amp;"|"&amp;(ROW()-1),Registre!$AA$2:$AA$2001,0)),"")</f>
        <v/>
      </c>
    </row>
    <row r="215">
      <c r="O215">
        <f>IFERROR(INDEX(Registre!$B$2:$B$2001,MATCH(O$1&amp;"|"&amp;(ROW()-1),Registre!$AA$2:$AA$2001,0)),"")</f>
        <v/>
      </c>
      <c r="P215">
        <f>IFERROR(INDEX(Registre!$B$2:$B$2001,MATCH(P$1&amp;"|"&amp;(ROW()-1),Registre!$AA$2:$AA$2001,0)),"")</f>
        <v/>
      </c>
      <c r="Q215">
        <f>IFERROR(INDEX(Registre!$B$2:$B$2001,MATCH(Q$1&amp;"|"&amp;(ROW()-1),Registre!$AA$2:$AA$2001,0)),"")</f>
        <v/>
      </c>
      <c r="R215">
        <f>IFERROR(INDEX(Registre!$B$2:$B$2001,MATCH(R$1&amp;"|"&amp;(ROW()-1),Registre!$AA$2:$AA$2001,0)),"")</f>
        <v/>
      </c>
      <c r="S215">
        <f>IFERROR(INDEX(Registre!$B$2:$B$2001,MATCH(S$1&amp;"|"&amp;(ROW()-1),Registre!$AA$2:$AA$2001,0)),"")</f>
        <v/>
      </c>
      <c r="T215">
        <f>IFERROR(INDEX(Registre!$B$2:$B$2001,MATCH(T$1&amp;"|"&amp;(ROW()-1),Registre!$AA$2:$AA$2001,0)),"")</f>
        <v/>
      </c>
      <c r="U215">
        <f>IFERROR(INDEX(Registre!$B$2:$B$2001,MATCH(U$1&amp;"|"&amp;(ROW()-1),Registre!$AA$2:$AA$2001,0)),"")</f>
        <v/>
      </c>
      <c r="V215">
        <f>IFERROR(INDEX(Registre!$B$2:$B$2001,MATCH(V$1&amp;"|"&amp;(ROW()-1),Registre!$AA$2:$AA$2001,0)),"")</f>
        <v/>
      </c>
    </row>
    <row r="216">
      <c r="O216">
        <f>IFERROR(INDEX(Registre!$B$2:$B$2001,MATCH(O$1&amp;"|"&amp;(ROW()-1),Registre!$AA$2:$AA$2001,0)),"")</f>
        <v/>
      </c>
      <c r="P216">
        <f>IFERROR(INDEX(Registre!$B$2:$B$2001,MATCH(P$1&amp;"|"&amp;(ROW()-1),Registre!$AA$2:$AA$2001,0)),"")</f>
        <v/>
      </c>
      <c r="Q216">
        <f>IFERROR(INDEX(Registre!$B$2:$B$2001,MATCH(Q$1&amp;"|"&amp;(ROW()-1),Registre!$AA$2:$AA$2001,0)),"")</f>
        <v/>
      </c>
      <c r="R216">
        <f>IFERROR(INDEX(Registre!$B$2:$B$2001,MATCH(R$1&amp;"|"&amp;(ROW()-1),Registre!$AA$2:$AA$2001,0)),"")</f>
        <v/>
      </c>
      <c r="S216">
        <f>IFERROR(INDEX(Registre!$B$2:$B$2001,MATCH(S$1&amp;"|"&amp;(ROW()-1),Registre!$AA$2:$AA$2001,0)),"")</f>
        <v/>
      </c>
      <c r="T216">
        <f>IFERROR(INDEX(Registre!$B$2:$B$2001,MATCH(T$1&amp;"|"&amp;(ROW()-1),Registre!$AA$2:$AA$2001,0)),"")</f>
        <v/>
      </c>
      <c r="U216">
        <f>IFERROR(INDEX(Registre!$B$2:$B$2001,MATCH(U$1&amp;"|"&amp;(ROW()-1),Registre!$AA$2:$AA$2001,0)),"")</f>
        <v/>
      </c>
      <c r="V216">
        <f>IFERROR(INDEX(Registre!$B$2:$B$2001,MATCH(V$1&amp;"|"&amp;(ROW()-1),Registre!$AA$2:$AA$2001,0)),"")</f>
        <v/>
      </c>
    </row>
    <row r="217">
      <c r="O217">
        <f>IFERROR(INDEX(Registre!$B$2:$B$2001,MATCH(O$1&amp;"|"&amp;(ROW()-1),Registre!$AA$2:$AA$2001,0)),"")</f>
        <v/>
      </c>
      <c r="P217">
        <f>IFERROR(INDEX(Registre!$B$2:$B$2001,MATCH(P$1&amp;"|"&amp;(ROW()-1),Registre!$AA$2:$AA$2001,0)),"")</f>
        <v/>
      </c>
      <c r="Q217">
        <f>IFERROR(INDEX(Registre!$B$2:$B$2001,MATCH(Q$1&amp;"|"&amp;(ROW()-1),Registre!$AA$2:$AA$2001,0)),"")</f>
        <v/>
      </c>
      <c r="R217">
        <f>IFERROR(INDEX(Registre!$B$2:$B$2001,MATCH(R$1&amp;"|"&amp;(ROW()-1),Registre!$AA$2:$AA$2001,0)),"")</f>
        <v/>
      </c>
      <c r="S217">
        <f>IFERROR(INDEX(Registre!$B$2:$B$2001,MATCH(S$1&amp;"|"&amp;(ROW()-1),Registre!$AA$2:$AA$2001,0)),"")</f>
        <v/>
      </c>
      <c r="T217">
        <f>IFERROR(INDEX(Registre!$B$2:$B$2001,MATCH(T$1&amp;"|"&amp;(ROW()-1),Registre!$AA$2:$AA$2001,0)),"")</f>
        <v/>
      </c>
      <c r="U217">
        <f>IFERROR(INDEX(Registre!$B$2:$B$2001,MATCH(U$1&amp;"|"&amp;(ROW()-1),Registre!$AA$2:$AA$2001,0)),"")</f>
        <v/>
      </c>
      <c r="V217">
        <f>IFERROR(INDEX(Registre!$B$2:$B$2001,MATCH(V$1&amp;"|"&amp;(ROW()-1),Registre!$AA$2:$AA$2001,0)),"")</f>
        <v/>
      </c>
    </row>
    <row r="218">
      <c r="O218">
        <f>IFERROR(INDEX(Registre!$B$2:$B$2001,MATCH(O$1&amp;"|"&amp;(ROW()-1),Registre!$AA$2:$AA$2001,0)),"")</f>
        <v/>
      </c>
      <c r="P218">
        <f>IFERROR(INDEX(Registre!$B$2:$B$2001,MATCH(P$1&amp;"|"&amp;(ROW()-1),Registre!$AA$2:$AA$2001,0)),"")</f>
        <v/>
      </c>
      <c r="Q218">
        <f>IFERROR(INDEX(Registre!$B$2:$B$2001,MATCH(Q$1&amp;"|"&amp;(ROW()-1),Registre!$AA$2:$AA$2001,0)),"")</f>
        <v/>
      </c>
      <c r="R218">
        <f>IFERROR(INDEX(Registre!$B$2:$B$2001,MATCH(R$1&amp;"|"&amp;(ROW()-1),Registre!$AA$2:$AA$2001,0)),"")</f>
        <v/>
      </c>
      <c r="S218">
        <f>IFERROR(INDEX(Registre!$B$2:$B$2001,MATCH(S$1&amp;"|"&amp;(ROW()-1),Registre!$AA$2:$AA$2001,0)),"")</f>
        <v/>
      </c>
      <c r="T218">
        <f>IFERROR(INDEX(Registre!$B$2:$B$2001,MATCH(T$1&amp;"|"&amp;(ROW()-1),Registre!$AA$2:$AA$2001,0)),"")</f>
        <v/>
      </c>
      <c r="U218">
        <f>IFERROR(INDEX(Registre!$B$2:$B$2001,MATCH(U$1&amp;"|"&amp;(ROW()-1),Registre!$AA$2:$AA$2001,0)),"")</f>
        <v/>
      </c>
      <c r="V218">
        <f>IFERROR(INDEX(Registre!$B$2:$B$2001,MATCH(V$1&amp;"|"&amp;(ROW()-1),Registre!$AA$2:$AA$2001,0)),"")</f>
        <v/>
      </c>
    </row>
    <row r="219">
      <c r="O219">
        <f>IFERROR(INDEX(Registre!$B$2:$B$2001,MATCH(O$1&amp;"|"&amp;(ROW()-1),Registre!$AA$2:$AA$2001,0)),"")</f>
        <v/>
      </c>
      <c r="P219">
        <f>IFERROR(INDEX(Registre!$B$2:$B$2001,MATCH(P$1&amp;"|"&amp;(ROW()-1),Registre!$AA$2:$AA$2001,0)),"")</f>
        <v/>
      </c>
      <c r="Q219">
        <f>IFERROR(INDEX(Registre!$B$2:$B$2001,MATCH(Q$1&amp;"|"&amp;(ROW()-1),Registre!$AA$2:$AA$2001,0)),"")</f>
        <v/>
      </c>
      <c r="R219">
        <f>IFERROR(INDEX(Registre!$B$2:$B$2001,MATCH(R$1&amp;"|"&amp;(ROW()-1),Registre!$AA$2:$AA$2001,0)),"")</f>
        <v/>
      </c>
      <c r="S219">
        <f>IFERROR(INDEX(Registre!$B$2:$B$2001,MATCH(S$1&amp;"|"&amp;(ROW()-1),Registre!$AA$2:$AA$2001,0)),"")</f>
        <v/>
      </c>
      <c r="T219">
        <f>IFERROR(INDEX(Registre!$B$2:$B$2001,MATCH(T$1&amp;"|"&amp;(ROW()-1),Registre!$AA$2:$AA$2001,0)),"")</f>
        <v/>
      </c>
      <c r="U219">
        <f>IFERROR(INDEX(Registre!$B$2:$B$2001,MATCH(U$1&amp;"|"&amp;(ROW()-1),Registre!$AA$2:$AA$2001,0)),"")</f>
        <v/>
      </c>
      <c r="V219">
        <f>IFERROR(INDEX(Registre!$B$2:$B$2001,MATCH(V$1&amp;"|"&amp;(ROW()-1),Registre!$AA$2:$AA$2001,0)),"")</f>
        <v/>
      </c>
    </row>
    <row r="220">
      <c r="O220">
        <f>IFERROR(INDEX(Registre!$B$2:$B$2001,MATCH(O$1&amp;"|"&amp;(ROW()-1),Registre!$AA$2:$AA$2001,0)),"")</f>
        <v/>
      </c>
      <c r="P220">
        <f>IFERROR(INDEX(Registre!$B$2:$B$2001,MATCH(P$1&amp;"|"&amp;(ROW()-1),Registre!$AA$2:$AA$2001,0)),"")</f>
        <v/>
      </c>
      <c r="Q220">
        <f>IFERROR(INDEX(Registre!$B$2:$B$2001,MATCH(Q$1&amp;"|"&amp;(ROW()-1),Registre!$AA$2:$AA$2001,0)),"")</f>
        <v/>
      </c>
      <c r="R220">
        <f>IFERROR(INDEX(Registre!$B$2:$B$2001,MATCH(R$1&amp;"|"&amp;(ROW()-1),Registre!$AA$2:$AA$2001,0)),"")</f>
        <v/>
      </c>
      <c r="S220">
        <f>IFERROR(INDEX(Registre!$B$2:$B$2001,MATCH(S$1&amp;"|"&amp;(ROW()-1),Registre!$AA$2:$AA$2001,0)),"")</f>
        <v/>
      </c>
      <c r="T220">
        <f>IFERROR(INDEX(Registre!$B$2:$B$2001,MATCH(T$1&amp;"|"&amp;(ROW()-1),Registre!$AA$2:$AA$2001,0)),"")</f>
        <v/>
      </c>
      <c r="U220">
        <f>IFERROR(INDEX(Registre!$B$2:$B$2001,MATCH(U$1&amp;"|"&amp;(ROW()-1),Registre!$AA$2:$AA$2001,0)),"")</f>
        <v/>
      </c>
      <c r="V220">
        <f>IFERROR(INDEX(Registre!$B$2:$B$2001,MATCH(V$1&amp;"|"&amp;(ROW()-1),Registre!$AA$2:$AA$2001,0)),"")</f>
        <v/>
      </c>
    </row>
    <row r="221">
      <c r="O221">
        <f>IFERROR(INDEX(Registre!$B$2:$B$2001,MATCH(O$1&amp;"|"&amp;(ROW()-1),Registre!$AA$2:$AA$2001,0)),"")</f>
        <v/>
      </c>
      <c r="P221">
        <f>IFERROR(INDEX(Registre!$B$2:$B$2001,MATCH(P$1&amp;"|"&amp;(ROW()-1),Registre!$AA$2:$AA$2001,0)),"")</f>
        <v/>
      </c>
      <c r="Q221">
        <f>IFERROR(INDEX(Registre!$B$2:$B$2001,MATCH(Q$1&amp;"|"&amp;(ROW()-1),Registre!$AA$2:$AA$2001,0)),"")</f>
        <v/>
      </c>
      <c r="R221">
        <f>IFERROR(INDEX(Registre!$B$2:$B$2001,MATCH(R$1&amp;"|"&amp;(ROW()-1),Registre!$AA$2:$AA$2001,0)),"")</f>
        <v/>
      </c>
      <c r="S221">
        <f>IFERROR(INDEX(Registre!$B$2:$B$2001,MATCH(S$1&amp;"|"&amp;(ROW()-1),Registre!$AA$2:$AA$2001,0)),"")</f>
        <v/>
      </c>
      <c r="T221">
        <f>IFERROR(INDEX(Registre!$B$2:$B$2001,MATCH(T$1&amp;"|"&amp;(ROW()-1),Registre!$AA$2:$AA$2001,0)),"")</f>
        <v/>
      </c>
      <c r="U221">
        <f>IFERROR(INDEX(Registre!$B$2:$B$2001,MATCH(U$1&amp;"|"&amp;(ROW()-1),Registre!$AA$2:$AA$2001,0)),"")</f>
        <v/>
      </c>
      <c r="V221">
        <f>IFERROR(INDEX(Registre!$B$2:$B$2001,MATCH(V$1&amp;"|"&amp;(ROW()-1),Registre!$AA$2:$AA$2001,0)),"")</f>
        <v/>
      </c>
    </row>
    <row r="222">
      <c r="O222">
        <f>IFERROR(INDEX(Registre!$B$2:$B$2001,MATCH(O$1&amp;"|"&amp;(ROW()-1),Registre!$AA$2:$AA$2001,0)),"")</f>
        <v/>
      </c>
      <c r="P222">
        <f>IFERROR(INDEX(Registre!$B$2:$B$2001,MATCH(P$1&amp;"|"&amp;(ROW()-1),Registre!$AA$2:$AA$2001,0)),"")</f>
        <v/>
      </c>
      <c r="Q222">
        <f>IFERROR(INDEX(Registre!$B$2:$B$2001,MATCH(Q$1&amp;"|"&amp;(ROW()-1),Registre!$AA$2:$AA$2001,0)),"")</f>
        <v/>
      </c>
      <c r="R222">
        <f>IFERROR(INDEX(Registre!$B$2:$B$2001,MATCH(R$1&amp;"|"&amp;(ROW()-1),Registre!$AA$2:$AA$2001,0)),"")</f>
        <v/>
      </c>
      <c r="S222">
        <f>IFERROR(INDEX(Registre!$B$2:$B$2001,MATCH(S$1&amp;"|"&amp;(ROW()-1),Registre!$AA$2:$AA$2001,0)),"")</f>
        <v/>
      </c>
      <c r="T222">
        <f>IFERROR(INDEX(Registre!$B$2:$B$2001,MATCH(T$1&amp;"|"&amp;(ROW()-1),Registre!$AA$2:$AA$2001,0)),"")</f>
        <v/>
      </c>
      <c r="U222">
        <f>IFERROR(INDEX(Registre!$B$2:$B$2001,MATCH(U$1&amp;"|"&amp;(ROW()-1),Registre!$AA$2:$AA$2001,0)),"")</f>
        <v/>
      </c>
      <c r="V222">
        <f>IFERROR(INDEX(Registre!$B$2:$B$2001,MATCH(V$1&amp;"|"&amp;(ROW()-1),Registre!$AA$2:$AA$2001,0)),"")</f>
        <v/>
      </c>
    </row>
    <row r="223">
      <c r="O223">
        <f>IFERROR(INDEX(Registre!$B$2:$B$2001,MATCH(O$1&amp;"|"&amp;(ROW()-1),Registre!$AA$2:$AA$2001,0)),"")</f>
        <v/>
      </c>
      <c r="P223">
        <f>IFERROR(INDEX(Registre!$B$2:$B$2001,MATCH(P$1&amp;"|"&amp;(ROW()-1),Registre!$AA$2:$AA$2001,0)),"")</f>
        <v/>
      </c>
      <c r="Q223">
        <f>IFERROR(INDEX(Registre!$B$2:$B$2001,MATCH(Q$1&amp;"|"&amp;(ROW()-1),Registre!$AA$2:$AA$2001,0)),"")</f>
        <v/>
      </c>
      <c r="R223">
        <f>IFERROR(INDEX(Registre!$B$2:$B$2001,MATCH(R$1&amp;"|"&amp;(ROW()-1),Registre!$AA$2:$AA$2001,0)),"")</f>
        <v/>
      </c>
      <c r="S223">
        <f>IFERROR(INDEX(Registre!$B$2:$B$2001,MATCH(S$1&amp;"|"&amp;(ROW()-1),Registre!$AA$2:$AA$2001,0)),"")</f>
        <v/>
      </c>
      <c r="T223">
        <f>IFERROR(INDEX(Registre!$B$2:$B$2001,MATCH(T$1&amp;"|"&amp;(ROW()-1),Registre!$AA$2:$AA$2001,0)),"")</f>
        <v/>
      </c>
      <c r="U223">
        <f>IFERROR(INDEX(Registre!$B$2:$B$2001,MATCH(U$1&amp;"|"&amp;(ROW()-1),Registre!$AA$2:$AA$2001,0)),"")</f>
        <v/>
      </c>
      <c r="V223">
        <f>IFERROR(INDEX(Registre!$B$2:$B$2001,MATCH(V$1&amp;"|"&amp;(ROW()-1),Registre!$AA$2:$AA$2001,0)),"")</f>
        <v/>
      </c>
    </row>
    <row r="224">
      <c r="O224">
        <f>IFERROR(INDEX(Registre!$B$2:$B$2001,MATCH(O$1&amp;"|"&amp;(ROW()-1),Registre!$AA$2:$AA$2001,0)),"")</f>
        <v/>
      </c>
      <c r="P224">
        <f>IFERROR(INDEX(Registre!$B$2:$B$2001,MATCH(P$1&amp;"|"&amp;(ROW()-1),Registre!$AA$2:$AA$2001,0)),"")</f>
        <v/>
      </c>
      <c r="Q224">
        <f>IFERROR(INDEX(Registre!$B$2:$B$2001,MATCH(Q$1&amp;"|"&amp;(ROW()-1),Registre!$AA$2:$AA$2001,0)),"")</f>
        <v/>
      </c>
      <c r="R224">
        <f>IFERROR(INDEX(Registre!$B$2:$B$2001,MATCH(R$1&amp;"|"&amp;(ROW()-1),Registre!$AA$2:$AA$2001,0)),"")</f>
        <v/>
      </c>
      <c r="S224">
        <f>IFERROR(INDEX(Registre!$B$2:$B$2001,MATCH(S$1&amp;"|"&amp;(ROW()-1),Registre!$AA$2:$AA$2001,0)),"")</f>
        <v/>
      </c>
      <c r="T224">
        <f>IFERROR(INDEX(Registre!$B$2:$B$2001,MATCH(T$1&amp;"|"&amp;(ROW()-1),Registre!$AA$2:$AA$2001,0)),"")</f>
        <v/>
      </c>
      <c r="U224">
        <f>IFERROR(INDEX(Registre!$B$2:$B$2001,MATCH(U$1&amp;"|"&amp;(ROW()-1),Registre!$AA$2:$AA$2001,0)),"")</f>
        <v/>
      </c>
      <c r="V224">
        <f>IFERROR(INDEX(Registre!$B$2:$B$2001,MATCH(V$1&amp;"|"&amp;(ROW()-1),Registre!$AA$2:$AA$2001,0)),"")</f>
        <v/>
      </c>
    </row>
    <row r="225">
      <c r="O225">
        <f>IFERROR(INDEX(Registre!$B$2:$B$2001,MATCH(O$1&amp;"|"&amp;(ROW()-1),Registre!$AA$2:$AA$2001,0)),"")</f>
        <v/>
      </c>
      <c r="P225">
        <f>IFERROR(INDEX(Registre!$B$2:$B$2001,MATCH(P$1&amp;"|"&amp;(ROW()-1),Registre!$AA$2:$AA$2001,0)),"")</f>
        <v/>
      </c>
      <c r="Q225">
        <f>IFERROR(INDEX(Registre!$B$2:$B$2001,MATCH(Q$1&amp;"|"&amp;(ROW()-1),Registre!$AA$2:$AA$2001,0)),"")</f>
        <v/>
      </c>
      <c r="R225">
        <f>IFERROR(INDEX(Registre!$B$2:$B$2001,MATCH(R$1&amp;"|"&amp;(ROW()-1),Registre!$AA$2:$AA$2001,0)),"")</f>
        <v/>
      </c>
      <c r="S225">
        <f>IFERROR(INDEX(Registre!$B$2:$B$2001,MATCH(S$1&amp;"|"&amp;(ROW()-1),Registre!$AA$2:$AA$2001,0)),"")</f>
        <v/>
      </c>
      <c r="T225">
        <f>IFERROR(INDEX(Registre!$B$2:$B$2001,MATCH(T$1&amp;"|"&amp;(ROW()-1),Registre!$AA$2:$AA$2001,0)),"")</f>
        <v/>
      </c>
      <c r="U225">
        <f>IFERROR(INDEX(Registre!$B$2:$B$2001,MATCH(U$1&amp;"|"&amp;(ROW()-1),Registre!$AA$2:$AA$2001,0)),"")</f>
        <v/>
      </c>
      <c r="V225">
        <f>IFERROR(INDEX(Registre!$B$2:$B$2001,MATCH(V$1&amp;"|"&amp;(ROW()-1),Registre!$AA$2:$AA$2001,0)),"")</f>
        <v/>
      </c>
    </row>
    <row r="226">
      <c r="O226">
        <f>IFERROR(INDEX(Registre!$B$2:$B$2001,MATCH(O$1&amp;"|"&amp;(ROW()-1),Registre!$AA$2:$AA$2001,0)),"")</f>
        <v/>
      </c>
      <c r="P226">
        <f>IFERROR(INDEX(Registre!$B$2:$B$2001,MATCH(P$1&amp;"|"&amp;(ROW()-1),Registre!$AA$2:$AA$2001,0)),"")</f>
        <v/>
      </c>
      <c r="Q226">
        <f>IFERROR(INDEX(Registre!$B$2:$B$2001,MATCH(Q$1&amp;"|"&amp;(ROW()-1),Registre!$AA$2:$AA$2001,0)),"")</f>
        <v/>
      </c>
      <c r="R226">
        <f>IFERROR(INDEX(Registre!$B$2:$B$2001,MATCH(R$1&amp;"|"&amp;(ROW()-1),Registre!$AA$2:$AA$2001,0)),"")</f>
        <v/>
      </c>
      <c r="S226">
        <f>IFERROR(INDEX(Registre!$B$2:$B$2001,MATCH(S$1&amp;"|"&amp;(ROW()-1),Registre!$AA$2:$AA$2001,0)),"")</f>
        <v/>
      </c>
      <c r="T226">
        <f>IFERROR(INDEX(Registre!$B$2:$B$2001,MATCH(T$1&amp;"|"&amp;(ROW()-1),Registre!$AA$2:$AA$2001,0)),"")</f>
        <v/>
      </c>
      <c r="U226">
        <f>IFERROR(INDEX(Registre!$B$2:$B$2001,MATCH(U$1&amp;"|"&amp;(ROW()-1),Registre!$AA$2:$AA$2001,0)),"")</f>
        <v/>
      </c>
      <c r="V226">
        <f>IFERROR(INDEX(Registre!$B$2:$B$2001,MATCH(V$1&amp;"|"&amp;(ROW()-1),Registre!$AA$2:$AA$2001,0)),"")</f>
        <v/>
      </c>
    </row>
    <row r="227">
      <c r="O227">
        <f>IFERROR(INDEX(Registre!$B$2:$B$2001,MATCH(O$1&amp;"|"&amp;(ROW()-1),Registre!$AA$2:$AA$2001,0)),"")</f>
        <v/>
      </c>
      <c r="P227">
        <f>IFERROR(INDEX(Registre!$B$2:$B$2001,MATCH(P$1&amp;"|"&amp;(ROW()-1),Registre!$AA$2:$AA$2001,0)),"")</f>
        <v/>
      </c>
      <c r="Q227">
        <f>IFERROR(INDEX(Registre!$B$2:$B$2001,MATCH(Q$1&amp;"|"&amp;(ROW()-1),Registre!$AA$2:$AA$2001,0)),"")</f>
        <v/>
      </c>
      <c r="R227">
        <f>IFERROR(INDEX(Registre!$B$2:$B$2001,MATCH(R$1&amp;"|"&amp;(ROW()-1),Registre!$AA$2:$AA$2001,0)),"")</f>
        <v/>
      </c>
      <c r="S227">
        <f>IFERROR(INDEX(Registre!$B$2:$B$2001,MATCH(S$1&amp;"|"&amp;(ROW()-1),Registre!$AA$2:$AA$2001,0)),"")</f>
        <v/>
      </c>
      <c r="T227">
        <f>IFERROR(INDEX(Registre!$B$2:$B$2001,MATCH(T$1&amp;"|"&amp;(ROW()-1),Registre!$AA$2:$AA$2001,0)),"")</f>
        <v/>
      </c>
      <c r="U227">
        <f>IFERROR(INDEX(Registre!$B$2:$B$2001,MATCH(U$1&amp;"|"&amp;(ROW()-1),Registre!$AA$2:$AA$2001,0)),"")</f>
        <v/>
      </c>
      <c r="V227">
        <f>IFERROR(INDEX(Registre!$B$2:$B$2001,MATCH(V$1&amp;"|"&amp;(ROW()-1),Registre!$AA$2:$AA$2001,0)),"")</f>
        <v/>
      </c>
    </row>
    <row r="228">
      <c r="O228">
        <f>IFERROR(INDEX(Registre!$B$2:$B$2001,MATCH(O$1&amp;"|"&amp;(ROW()-1),Registre!$AA$2:$AA$2001,0)),"")</f>
        <v/>
      </c>
      <c r="P228">
        <f>IFERROR(INDEX(Registre!$B$2:$B$2001,MATCH(P$1&amp;"|"&amp;(ROW()-1),Registre!$AA$2:$AA$2001,0)),"")</f>
        <v/>
      </c>
      <c r="Q228">
        <f>IFERROR(INDEX(Registre!$B$2:$B$2001,MATCH(Q$1&amp;"|"&amp;(ROW()-1),Registre!$AA$2:$AA$2001,0)),"")</f>
        <v/>
      </c>
      <c r="R228">
        <f>IFERROR(INDEX(Registre!$B$2:$B$2001,MATCH(R$1&amp;"|"&amp;(ROW()-1),Registre!$AA$2:$AA$2001,0)),"")</f>
        <v/>
      </c>
      <c r="S228">
        <f>IFERROR(INDEX(Registre!$B$2:$B$2001,MATCH(S$1&amp;"|"&amp;(ROW()-1),Registre!$AA$2:$AA$2001,0)),"")</f>
        <v/>
      </c>
      <c r="T228">
        <f>IFERROR(INDEX(Registre!$B$2:$B$2001,MATCH(T$1&amp;"|"&amp;(ROW()-1),Registre!$AA$2:$AA$2001,0)),"")</f>
        <v/>
      </c>
      <c r="U228">
        <f>IFERROR(INDEX(Registre!$B$2:$B$2001,MATCH(U$1&amp;"|"&amp;(ROW()-1),Registre!$AA$2:$AA$2001,0)),"")</f>
        <v/>
      </c>
      <c r="V228">
        <f>IFERROR(INDEX(Registre!$B$2:$B$2001,MATCH(V$1&amp;"|"&amp;(ROW()-1),Registre!$AA$2:$AA$2001,0)),"")</f>
        <v/>
      </c>
    </row>
    <row r="229">
      <c r="O229">
        <f>IFERROR(INDEX(Registre!$B$2:$B$2001,MATCH(O$1&amp;"|"&amp;(ROW()-1),Registre!$AA$2:$AA$2001,0)),"")</f>
        <v/>
      </c>
      <c r="P229">
        <f>IFERROR(INDEX(Registre!$B$2:$B$2001,MATCH(P$1&amp;"|"&amp;(ROW()-1),Registre!$AA$2:$AA$2001,0)),"")</f>
        <v/>
      </c>
      <c r="Q229">
        <f>IFERROR(INDEX(Registre!$B$2:$B$2001,MATCH(Q$1&amp;"|"&amp;(ROW()-1),Registre!$AA$2:$AA$2001,0)),"")</f>
        <v/>
      </c>
      <c r="R229">
        <f>IFERROR(INDEX(Registre!$B$2:$B$2001,MATCH(R$1&amp;"|"&amp;(ROW()-1),Registre!$AA$2:$AA$2001,0)),"")</f>
        <v/>
      </c>
      <c r="S229">
        <f>IFERROR(INDEX(Registre!$B$2:$B$2001,MATCH(S$1&amp;"|"&amp;(ROW()-1),Registre!$AA$2:$AA$2001,0)),"")</f>
        <v/>
      </c>
      <c r="T229">
        <f>IFERROR(INDEX(Registre!$B$2:$B$2001,MATCH(T$1&amp;"|"&amp;(ROW()-1),Registre!$AA$2:$AA$2001,0)),"")</f>
        <v/>
      </c>
      <c r="U229">
        <f>IFERROR(INDEX(Registre!$B$2:$B$2001,MATCH(U$1&amp;"|"&amp;(ROW()-1),Registre!$AA$2:$AA$2001,0)),"")</f>
        <v/>
      </c>
      <c r="V229">
        <f>IFERROR(INDEX(Registre!$B$2:$B$2001,MATCH(V$1&amp;"|"&amp;(ROW()-1),Registre!$AA$2:$AA$2001,0)),"")</f>
        <v/>
      </c>
    </row>
    <row r="230">
      <c r="O230">
        <f>IFERROR(INDEX(Registre!$B$2:$B$2001,MATCH(O$1&amp;"|"&amp;(ROW()-1),Registre!$AA$2:$AA$2001,0)),"")</f>
        <v/>
      </c>
      <c r="P230">
        <f>IFERROR(INDEX(Registre!$B$2:$B$2001,MATCH(P$1&amp;"|"&amp;(ROW()-1),Registre!$AA$2:$AA$2001,0)),"")</f>
        <v/>
      </c>
      <c r="Q230">
        <f>IFERROR(INDEX(Registre!$B$2:$B$2001,MATCH(Q$1&amp;"|"&amp;(ROW()-1),Registre!$AA$2:$AA$2001,0)),"")</f>
        <v/>
      </c>
      <c r="R230">
        <f>IFERROR(INDEX(Registre!$B$2:$B$2001,MATCH(R$1&amp;"|"&amp;(ROW()-1),Registre!$AA$2:$AA$2001,0)),"")</f>
        <v/>
      </c>
      <c r="S230">
        <f>IFERROR(INDEX(Registre!$B$2:$B$2001,MATCH(S$1&amp;"|"&amp;(ROW()-1),Registre!$AA$2:$AA$2001,0)),"")</f>
        <v/>
      </c>
      <c r="T230">
        <f>IFERROR(INDEX(Registre!$B$2:$B$2001,MATCH(T$1&amp;"|"&amp;(ROW()-1),Registre!$AA$2:$AA$2001,0)),"")</f>
        <v/>
      </c>
      <c r="U230">
        <f>IFERROR(INDEX(Registre!$B$2:$B$2001,MATCH(U$1&amp;"|"&amp;(ROW()-1),Registre!$AA$2:$AA$2001,0)),"")</f>
        <v/>
      </c>
      <c r="V230">
        <f>IFERROR(INDEX(Registre!$B$2:$B$2001,MATCH(V$1&amp;"|"&amp;(ROW()-1),Registre!$AA$2:$AA$2001,0)),"")</f>
        <v/>
      </c>
    </row>
    <row r="231">
      <c r="O231">
        <f>IFERROR(INDEX(Registre!$B$2:$B$2001,MATCH(O$1&amp;"|"&amp;(ROW()-1),Registre!$AA$2:$AA$2001,0)),"")</f>
        <v/>
      </c>
      <c r="P231">
        <f>IFERROR(INDEX(Registre!$B$2:$B$2001,MATCH(P$1&amp;"|"&amp;(ROW()-1),Registre!$AA$2:$AA$2001,0)),"")</f>
        <v/>
      </c>
      <c r="Q231">
        <f>IFERROR(INDEX(Registre!$B$2:$B$2001,MATCH(Q$1&amp;"|"&amp;(ROW()-1),Registre!$AA$2:$AA$2001,0)),"")</f>
        <v/>
      </c>
      <c r="R231">
        <f>IFERROR(INDEX(Registre!$B$2:$B$2001,MATCH(R$1&amp;"|"&amp;(ROW()-1),Registre!$AA$2:$AA$2001,0)),"")</f>
        <v/>
      </c>
      <c r="S231">
        <f>IFERROR(INDEX(Registre!$B$2:$B$2001,MATCH(S$1&amp;"|"&amp;(ROW()-1),Registre!$AA$2:$AA$2001,0)),"")</f>
        <v/>
      </c>
      <c r="T231">
        <f>IFERROR(INDEX(Registre!$B$2:$B$2001,MATCH(T$1&amp;"|"&amp;(ROW()-1),Registre!$AA$2:$AA$2001,0)),"")</f>
        <v/>
      </c>
      <c r="U231">
        <f>IFERROR(INDEX(Registre!$B$2:$B$2001,MATCH(U$1&amp;"|"&amp;(ROW()-1),Registre!$AA$2:$AA$2001,0)),"")</f>
        <v/>
      </c>
      <c r="V231">
        <f>IFERROR(INDEX(Registre!$B$2:$B$2001,MATCH(V$1&amp;"|"&amp;(ROW()-1),Registre!$AA$2:$AA$2001,0)),"")</f>
        <v/>
      </c>
    </row>
    <row r="232">
      <c r="O232">
        <f>IFERROR(INDEX(Registre!$B$2:$B$2001,MATCH(O$1&amp;"|"&amp;(ROW()-1),Registre!$AA$2:$AA$2001,0)),"")</f>
        <v/>
      </c>
      <c r="P232">
        <f>IFERROR(INDEX(Registre!$B$2:$B$2001,MATCH(P$1&amp;"|"&amp;(ROW()-1),Registre!$AA$2:$AA$2001,0)),"")</f>
        <v/>
      </c>
      <c r="Q232">
        <f>IFERROR(INDEX(Registre!$B$2:$B$2001,MATCH(Q$1&amp;"|"&amp;(ROW()-1),Registre!$AA$2:$AA$2001,0)),"")</f>
        <v/>
      </c>
      <c r="R232">
        <f>IFERROR(INDEX(Registre!$B$2:$B$2001,MATCH(R$1&amp;"|"&amp;(ROW()-1),Registre!$AA$2:$AA$2001,0)),"")</f>
        <v/>
      </c>
      <c r="S232">
        <f>IFERROR(INDEX(Registre!$B$2:$B$2001,MATCH(S$1&amp;"|"&amp;(ROW()-1),Registre!$AA$2:$AA$2001,0)),"")</f>
        <v/>
      </c>
      <c r="T232">
        <f>IFERROR(INDEX(Registre!$B$2:$B$2001,MATCH(T$1&amp;"|"&amp;(ROW()-1),Registre!$AA$2:$AA$2001,0)),"")</f>
        <v/>
      </c>
      <c r="U232">
        <f>IFERROR(INDEX(Registre!$B$2:$B$2001,MATCH(U$1&amp;"|"&amp;(ROW()-1),Registre!$AA$2:$AA$2001,0)),"")</f>
        <v/>
      </c>
      <c r="V232">
        <f>IFERROR(INDEX(Registre!$B$2:$B$2001,MATCH(V$1&amp;"|"&amp;(ROW()-1),Registre!$AA$2:$AA$2001,0)),"")</f>
        <v/>
      </c>
    </row>
    <row r="233">
      <c r="O233">
        <f>IFERROR(INDEX(Registre!$B$2:$B$2001,MATCH(O$1&amp;"|"&amp;(ROW()-1),Registre!$AA$2:$AA$2001,0)),"")</f>
        <v/>
      </c>
      <c r="P233">
        <f>IFERROR(INDEX(Registre!$B$2:$B$2001,MATCH(P$1&amp;"|"&amp;(ROW()-1),Registre!$AA$2:$AA$2001,0)),"")</f>
        <v/>
      </c>
      <c r="Q233">
        <f>IFERROR(INDEX(Registre!$B$2:$B$2001,MATCH(Q$1&amp;"|"&amp;(ROW()-1),Registre!$AA$2:$AA$2001,0)),"")</f>
        <v/>
      </c>
      <c r="R233">
        <f>IFERROR(INDEX(Registre!$B$2:$B$2001,MATCH(R$1&amp;"|"&amp;(ROW()-1),Registre!$AA$2:$AA$2001,0)),"")</f>
        <v/>
      </c>
      <c r="S233">
        <f>IFERROR(INDEX(Registre!$B$2:$B$2001,MATCH(S$1&amp;"|"&amp;(ROW()-1),Registre!$AA$2:$AA$2001,0)),"")</f>
        <v/>
      </c>
      <c r="T233">
        <f>IFERROR(INDEX(Registre!$B$2:$B$2001,MATCH(T$1&amp;"|"&amp;(ROW()-1),Registre!$AA$2:$AA$2001,0)),"")</f>
        <v/>
      </c>
      <c r="U233">
        <f>IFERROR(INDEX(Registre!$B$2:$B$2001,MATCH(U$1&amp;"|"&amp;(ROW()-1),Registre!$AA$2:$AA$2001,0)),"")</f>
        <v/>
      </c>
      <c r="V233">
        <f>IFERROR(INDEX(Registre!$B$2:$B$2001,MATCH(V$1&amp;"|"&amp;(ROW()-1),Registre!$AA$2:$AA$2001,0)),"")</f>
        <v/>
      </c>
    </row>
    <row r="234">
      <c r="O234">
        <f>IFERROR(INDEX(Registre!$B$2:$B$2001,MATCH(O$1&amp;"|"&amp;(ROW()-1),Registre!$AA$2:$AA$2001,0)),"")</f>
        <v/>
      </c>
      <c r="P234">
        <f>IFERROR(INDEX(Registre!$B$2:$B$2001,MATCH(P$1&amp;"|"&amp;(ROW()-1),Registre!$AA$2:$AA$2001,0)),"")</f>
        <v/>
      </c>
      <c r="Q234">
        <f>IFERROR(INDEX(Registre!$B$2:$B$2001,MATCH(Q$1&amp;"|"&amp;(ROW()-1),Registre!$AA$2:$AA$2001,0)),"")</f>
        <v/>
      </c>
      <c r="R234">
        <f>IFERROR(INDEX(Registre!$B$2:$B$2001,MATCH(R$1&amp;"|"&amp;(ROW()-1),Registre!$AA$2:$AA$2001,0)),"")</f>
        <v/>
      </c>
      <c r="S234">
        <f>IFERROR(INDEX(Registre!$B$2:$B$2001,MATCH(S$1&amp;"|"&amp;(ROW()-1),Registre!$AA$2:$AA$2001,0)),"")</f>
        <v/>
      </c>
      <c r="T234">
        <f>IFERROR(INDEX(Registre!$B$2:$B$2001,MATCH(T$1&amp;"|"&amp;(ROW()-1),Registre!$AA$2:$AA$2001,0)),"")</f>
        <v/>
      </c>
      <c r="U234">
        <f>IFERROR(INDEX(Registre!$B$2:$B$2001,MATCH(U$1&amp;"|"&amp;(ROW()-1),Registre!$AA$2:$AA$2001,0)),"")</f>
        <v/>
      </c>
      <c r="V234">
        <f>IFERROR(INDEX(Registre!$B$2:$B$2001,MATCH(V$1&amp;"|"&amp;(ROW()-1),Registre!$AA$2:$AA$2001,0)),"")</f>
        <v/>
      </c>
    </row>
    <row r="235">
      <c r="O235">
        <f>IFERROR(INDEX(Registre!$B$2:$B$2001,MATCH(O$1&amp;"|"&amp;(ROW()-1),Registre!$AA$2:$AA$2001,0)),"")</f>
        <v/>
      </c>
      <c r="P235">
        <f>IFERROR(INDEX(Registre!$B$2:$B$2001,MATCH(P$1&amp;"|"&amp;(ROW()-1),Registre!$AA$2:$AA$2001,0)),"")</f>
        <v/>
      </c>
      <c r="Q235">
        <f>IFERROR(INDEX(Registre!$B$2:$B$2001,MATCH(Q$1&amp;"|"&amp;(ROW()-1),Registre!$AA$2:$AA$2001,0)),"")</f>
        <v/>
      </c>
      <c r="R235">
        <f>IFERROR(INDEX(Registre!$B$2:$B$2001,MATCH(R$1&amp;"|"&amp;(ROW()-1),Registre!$AA$2:$AA$2001,0)),"")</f>
        <v/>
      </c>
      <c r="S235">
        <f>IFERROR(INDEX(Registre!$B$2:$B$2001,MATCH(S$1&amp;"|"&amp;(ROW()-1),Registre!$AA$2:$AA$2001,0)),"")</f>
        <v/>
      </c>
      <c r="T235">
        <f>IFERROR(INDEX(Registre!$B$2:$B$2001,MATCH(T$1&amp;"|"&amp;(ROW()-1),Registre!$AA$2:$AA$2001,0)),"")</f>
        <v/>
      </c>
      <c r="U235">
        <f>IFERROR(INDEX(Registre!$B$2:$B$2001,MATCH(U$1&amp;"|"&amp;(ROW()-1),Registre!$AA$2:$AA$2001,0)),"")</f>
        <v/>
      </c>
      <c r="V235">
        <f>IFERROR(INDEX(Registre!$B$2:$B$2001,MATCH(V$1&amp;"|"&amp;(ROW()-1),Registre!$AA$2:$AA$2001,0)),"")</f>
        <v/>
      </c>
    </row>
    <row r="236">
      <c r="O236">
        <f>IFERROR(INDEX(Registre!$B$2:$B$2001,MATCH(O$1&amp;"|"&amp;(ROW()-1),Registre!$AA$2:$AA$2001,0)),"")</f>
        <v/>
      </c>
      <c r="P236">
        <f>IFERROR(INDEX(Registre!$B$2:$B$2001,MATCH(P$1&amp;"|"&amp;(ROW()-1),Registre!$AA$2:$AA$2001,0)),"")</f>
        <v/>
      </c>
      <c r="Q236">
        <f>IFERROR(INDEX(Registre!$B$2:$B$2001,MATCH(Q$1&amp;"|"&amp;(ROW()-1),Registre!$AA$2:$AA$2001,0)),"")</f>
        <v/>
      </c>
      <c r="R236">
        <f>IFERROR(INDEX(Registre!$B$2:$B$2001,MATCH(R$1&amp;"|"&amp;(ROW()-1),Registre!$AA$2:$AA$2001,0)),"")</f>
        <v/>
      </c>
      <c r="S236">
        <f>IFERROR(INDEX(Registre!$B$2:$B$2001,MATCH(S$1&amp;"|"&amp;(ROW()-1),Registre!$AA$2:$AA$2001,0)),"")</f>
        <v/>
      </c>
      <c r="T236">
        <f>IFERROR(INDEX(Registre!$B$2:$B$2001,MATCH(T$1&amp;"|"&amp;(ROW()-1),Registre!$AA$2:$AA$2001,0)),"")</f>
        <v/>
      </c>
      <c r="U236">
        <f>IFERROR(INDEX(Registre!$B$2:$B$2001,MATCH(U$1&amp;"|"&amp;(ROW()-1),Registre!$AA$2:$AA$2001,0)),"")</f>
        <v/>
      </c>
      <c r="V236">
        <f>IFERROR(INDEX(Registre!$B$2:$B$2001,MATCH(V$1&amp;"|"&amp;(ROW()-1),Registre!$AA$2:$AA$2001,0)),"")</f>
        <v/>
      </c>
    </row>
    <row r="237">
      <c r="O237">
        <f>IFERROR(INDEX(Registre!$B$2:$B$2001,MATCH(O$1&amp;"|"&amp;(ROW()-1),Registre!$AA$2:$AA$2001,0)),"")</f>
        <v/>
      </c>
      <c r="P237">
        <f>IFERROR(INDEX(Registre!$B$2:$B$2001,MATCH(P$1&amp;"|"&amp;(ROW()-1),Registre!$AA$2:$AA$2001,0)),"")</f>
        <v/>
      </c>
      <c r="Q237">
        <f>IFERROR(INDEX(Registre!$B$2:$B$2001,MATCH(Q$1&amp;"|"&amp;(ROW()-1),Registre!$AA$2:$AA$2001,0)),"")</f>
        <v/>
      </c>
      <c r="R237">
        <f>IFERROR(INDEX(Registre!$B$2:$B$2001,MATCH(R$1&amp;"|"&amp;(ROW()-1),Registre!$AA$2:$AA$2001,0)),"")</f>
        <v/>
      </c>
      <c r="S237">
        <f>IFERROR(INDEX(Registre!$B$2:$B$2001,MATCH(S$1&amp;"|"&amp;(ROW()-1),Registre!$AA$2:$AA$2001,0)),"")</f>
        <v/>
      </c>
      <c r="T237">
        <f>IFERROR(INDEX(Registre!$B$2:$B$2001,MATCH(T$1&amp;"|"&amp;(ROW()-1),Registre!$AA$2:$AA$2001,0)),"")</f>
        <v/>
      </c>
      <c r="U237">
        <f>IFERROR(INDEX(Registre!$B$2:$B$2001,MATCH(U$1&amp;"|"&amp;(ROW()-1),Registre!$AA$2:$AA$2001,0)),"")</f>
        <v/>
      </c>
      <c r="V237">
        <f>IFERROR(INDEX(Registre!$B$2:$B$2001,MATCH(V$1&amp;"|"&amp;(ROW()-1),Registre!$AA$2:$AA$2001,0)),"")</f>
        <v/>
      </c>
    </row>
    <row r="238">
      <c r="O238">
        <f>IFERROR(INDEX(Registre!$B$2:$B$2001,MATCH(O$1&amp;"|"&amp;(ROW()-1),Registre!$AA$2:$AA$2001,0)),"")</f>
        <v/>
      </c>
      <c r="P238">
        <f>IFERROR(INDEX(Registre!$B$2:$B$2001,MATCH(P$1&amp;"|"&amp;(ROW()-1),Registre!$AA$2:$AA$2001,0)),"")</f>
        <v/>
      </c>
      <c r="Q238">
        <f>IFERROR(INDEX(Registre!$B$2:$B$2001,MATCH(Q$1&amp;"|"&amp;(ROW()-1),Registre!$AA$2:$AA$2001,0)),"")</f>
        <v/>
      </c>
      <c r="R238">
        <f>IFERROR(INDEX(Registre!$B$2:$B$2001,MATCH(R$1&amp;"|"&amp;(ROW()-1),Registre!$AA$2:$AA$2001,0)),"")</f>
        <v/>
      </c>
      <c r="S238">
        <f>IFERROR(INDEX(Registre!$B$2:$B$2001,MATCH(S$1&amp;"|"&amp;(ROW()-1),Registre!$AA$2:$AA$2001,0)),"")</f>
        <v/>
      </c>
      <c r="T238">
        <f>IFERROR(INDEX(Registre!$B$2:$B$2001,MATCH(T$1&amp;"|"&amp;(ROW()-1),Registre!$AA$2:$AA$2001,0)),"")</f>
        <v/>
      </c>
      <c r="U238">
        <f>IFERROR(INDEX(Registre!$B$2:$B$2001,MATCH(U$1&amp;"|"&amp;(ROW()-1),Registre!$AA$2:$AA$2001,0)),"")</f>
        <v/>
      </c>
      <c r="V238">
        <f>IFERROR(INDEX(Registre!$B$2:$B$2001,MATCH(V$1&amp;"|"&amp;(ROW()-1),Registre!$AA$2:$AA$2001,0)),"")</f>
        <v/>
      </c>
    </row>
    <row r="239">
      <c r="O239">
        <f>IFERROR(INDEX(Registre!$B$2:$B$2001,MATCH(O$1&amp;"|"&amp;(ROW()-1),Registre!$AA$2:$AA$2001,0)),"")</f>
        <v/>
      </c>
      <c r="P239">
        <f>IFERROR(INDEX(Registre!$B$2:$B$2001,MATCH(P$1&amp;"|"&amp;(ROW()-1),Registre!$AA$2:$AA$2001,0)),"")</f>
        <v/>
      </c>
      <c r="Q239">
        <f>IFERROR(INDEX(Registre!$B$2:$B$2001,MATCH(Q$1&amp;"|"&amp;(ROW()-1),Registre!$AA$2:$AA$2001,0)),"")</f>
        <v/>
      </c>
      <c r="R239">
        <f>IFERROR(INDEX(Registre!$B$2:$B$2001,MATCH(R$1&amp;"|"&amp;(ROW()-1),Registre!$AA$2:$AA$2001,0)),"")</f>
        <v/>
      </c>
      <c r="S239">
        <f>IFERROR(INDEX(Registre!$B$2:$B$2001,MATCH(S$1&amp;"|"&amp;(ROW()-1),Registre!$AA$2:$AA$2001,0)),"")</f>
        <v/>
      </c>
      <c r="T239">
        <f>IFERROR(INDEX(Registre!$B$2:$B$2001,MATCH(T$1&amp;"|"&amp;(ROW()-1),Registre!$AA$2:$AA$2001,0)),"")</f>
        <v/>
      </c>
      <c r="U239">
        <f>IFERROR(INDEX(Registre!$B$2:$B$2001,MATCH(U$1&amp;"|"&amp;(ROW()-1),Registre!$AA$2:$AA$2001,0)),"")</f>
        <v/>
      </c>
      <c r="V239">
        <f>IFERROR(INDEX(Registre!$B$2:$B$2001,MATCH(V$1&amp;"|"&amp;(ROW()-1),Registre!$AA$2:$AA$2001,0)),"")</f>
        <v/>
      </c>
    </row>
    <row r="240">
      <c r="O240">
        <f>IFERROR(INDEX(Registre!$B$2:$B$2001,MATCH(O$1&amp;"|"&amp;(ROW()-1),Registre!$AA$2:$AA$2001,0)),"")</f>
        <v/>
      </c>
      <c r="P240">
        <f>IFERROR(INDEX(Registre!$B$2:$B$2001,MATCH(P$1&amp;"|"&amp;(ROW()-1),Registre!$AA$2:$AA$2001,0)),"")</f>
        <v/>
      </c>
      <c r="Q240">
        <f>IFERROR(INDEX(Registre!$B$2:$B$2001,MATCH(Q$1&amp;"|"&amp;(ROW()-1),Registre!$AA$2:$AA$2001,0)),"")</f>
        <v/>
      </c>
      <c r="R240">
        <f>IFERROR(INDEX(Registre!$B$2:$B$2001,MATCH(R$1&amp;"|"&amp;(ROW()-1),Registre!$AA$2:$AA$2001,0)),"")</f>
        <v/>
      </c>
      <c r="S240">
        <f>IFERROR(INDEX(Registre!$B$2:$B$2001,MATCH(S$1&amp;"|"&amp;(ROW()-1),Registre!$AA$2:$AA$2001,0)),"")</f>
        <v/>
      </c>
      <c r="T240">
        <f>IFERROR(INDEX(Registre!$B$2:$B$2001,MATCH(T$1&amp;"|"&amp;(ROW()-1),Registre!$AA$2:$AA$2001,0)),"")</f>
        <v/>
      </c>
      <c r="U240">
        <f>IFERROR(INDEX(Registre!$B$2:$B$2001,MATCH(U$1&amp;"|"&amp;(ROW()-1),Registre!$AA$2:$AA$2001,0)),"")</f>
        <v/>
      </c>
      <c r="V240">
        <f>IFERROR(INDEX(Registre!$B$2:$B$2001,MATCH(V$1&amp;"|"&amp;(ROW()-1),Registre!$AA$2:$AA$2001,0)),"")</f>
        <v/>
      </c>
    </row>
    <row r="241">
      <c r="O241">
        <f>IFERROR(INDEX(Registre!$B$2:$B$2001,MATCH(O$1&amp;"|"&amp;(ROW()-1),Registre!$AA$2:$AA$2001,0)),"")</f>
        <v/>
      </c>
      <c r="P241">
        <f>IFERROR(INDEX(Registre!$B$2:$B$2001,MATCH(P$1&amp;"|"&amp;(ROW()-1),Registre!$AA$2:$AA$2001,0)),"")</f>
        <v/>
      </c>
      <c r="Q241">
        <f>IFERROR(INDEX(Registre!$B$2:$B$2001,MATCH(Q$1&amp;"|"&amp;(ROW()-1),Registre!$AA$2:$AA$2001,0)),"")</f>
        <v/>
      </c>
      <c r="R241">
        <f>IFERROR(INDEX(Registre!$B$2:$B$2001,MATCH(R$1&amp;"|"&amp;(ROW()-1),Registre!$AA$2:$AA$2001,0)),"")</f>
        <v/>
      </c>
      <c r="S241">
        <f>IFERROR(INDEX(Registre!$B$2:$B$2001,MATCH(S$1&amp;"|"&amp;(ROW()-1),Registre!$AA$2:$AA$2001,0)),"")</f>
        <v/>
      </c>
      <c r="T241">
        <f>IFERROR(INDEX(Registre!$B$2:$B$2001,MATCH(T$1&amp;"|"&amp;(ROW()-1),Registre!$AA$2:$AA$2001,0)),"")</f>
        <v/>
      </c>
      <c r="U241">
        <f>IFERROR(INDEX(Registre!$B$2:$B$2001,MATCH(U$1&amp;"|"&amp;(ROW()-1),Registre!$AA$2:$AA$2001,0)),"")</f>
        <v/>
      </c>
      <c r="V241">
        <f>IFERROR(INDEX(Registre!$B$2:$B$2001,MATCH(V$1&amp;"|"&amp;(ROW()-1),Registre!$AA$2:$AA$2001,0)),"")</f>
        <v/>
      </c>
    </row>
    <row r="242">
      <c r="O242">
        <f>IFERROR(INDEX(Registre!$B$2:$B$2001,MATCH(O$1&amp;"|"&amp;(ROW()-1),Registre!$AA$2:$AA$2001,0)),"")</f>
        <v/>
      </c>
      <c r="P242">
        <f>IFERROR(INDEX(Registre!$B$2:$B$2001,MATCH(P$1&amp;"|"&amp;(ROW()-1),Registre!$AA$2:$AA$2001,0)),"")</f>
        <v/>
      </c>
      <c r="Q242">
        <f>IFERROR(INDEX(Registre!$B$2:$B$2001,MATCH(Q$1&amp;"|"&amp;(ROW()-1),Registre!$AA$2:$AA$2001,0)),"")</f>
        <v/>
      </c>
      <c r="R242">
        <f>IFERROR(INDEX(Registre!$B$2:$B$2001,MATCH(R$1&amp;"|"&amp;(ROW()-1),Registre!$AA$2:$AA$2001,0)),"")</f>
        <v/>
      </c>
      <c r="S242">
        <f>IFERROR(INDEX(Registre!$B$2:$B$2001,MATCH(S$1&amp;"|"&amp;(ROW()-1),Registre!$AA$2:$AA$2001,0)),"")</f>
        <v/>
      </c>
      <c r="T242">
        <f>IFERROR(INDEX(Registre!$B$2:$B$2001,MATCH(T$1&amp;"|"&amp;(ROW()-1),Registre!$AA$2:$AA$2001,0)),"")</f>
        <v/>
      </c>
      <c r="U242">
        <f>IFERROR(INDEX(Registre!$B$2:$B$2001,MATCH(U$1&amp;"|"&amp;(ROW()-1),Registre!$AA$2:$AA$2001,0)),"")</f>
        <v/>
      </c>
      <c r="V242">
        <f>IFERROR(INDEX(Registre!$B$2:$B$2001,MATCH(V$1&amp;"|"&amp;(ROW()-1),Registre!$AA$2:$AA$2001,0)),"")</f>
        <v/>
      </c>
    </row>
    <row r="243">
      <c r="O243">
        <f>IFERROR(INDEX(Registre!$B$2:$B$2001,MATCH(O$1&amp;"|"&amp;(ROW()-1),Registre!$AA$2:$AA$2001,0)),"")</f>
        <v/>
      </c>
      <c r="P243">
        <f>IFERROR(INDEX(Registre!$B$2:$B$2001,MATCH(P$1&amp;"|"&amp;(ROW()-1),Registre!$AA$2:$AA$2001,0)),"")</f>
        <v/>
      </c>
      <c r="Q243">
        <f>IFERROR(INDEX(Registre!$B$2:$B$2001,MATCH(Q$1&amp;"|"&amp;(ROW()-1),Registre!$AA$2:$AA$2001,0)),"")</f>
        <v/>
      </c>
      <c r="R243">
        <f>IFERROR(INDEX(Registre!$B$2:$B$2001,MATCH(R$1&amp;"|"&amp;(ROW()-1),Registre!$AA$2:$AA$2001,0)),"")</f>
        <v/>
      </c>
      <c r="S243">
        <f>IFERROR(INDEX(Registre!$B$2:$B$2001,MATCH(S$1&amp;"|"&amp;(ROW()-1),Registre!$AA$2:$AA$2001,0)),"")</f>
        <v/>
      </c>
      <c r="T243">
        <f>IFERROR(INDEX(Registre!$B$2:$B$2001,MATCH(T$1&amp;"|"&amp;(ROW()-1),Registre!$AA$2:$AA$2001,0)),"")</f>
        <v/>
      </c>
      <c r="U243">
        <f>IFERROR(INDEX(Registre!$B$2:$B$2001,MATCH(U$1&amp;"|"&amp;(ROW()-1),Registre!$AA$2:$AA$2001,0)),"")</f>
        <v/>
      </c>
      <c r="V243">
        <f>IFERROR(INDEX(Registre!$B$2:$B$2001,MATCH(V$1&amp;"|"&amp;(ROW()-1),Registre!$AA$2:$AA$2001,0)),"")</f>
        <v/>
      </c>
    </row>
    <row r="244">
      <c r="O244">
        <f>IFERROR(INDEX(Registre!$B$2:$B$2001,MATCH(O$1&amp;"|"&amp;(ROW()-1),Registre!$AA$2:$AA$2001,0)),"")</f>
        <v/>
      </c>
      <c r="P244">
        <f>IFERROR(INDEX(Registre!$B$2:$B$2001,MATCH(P$1&amp;"|"&amp;(ROW()-1),Registre!$AA$2:$AA$2001,0)),"")</f>
        <v/>
      </c>
      <c r="Q244">
        <f>IFERROR(INDEX(Registre!$B$2:$B$2001,MATCH(Q$1&amp;"|"&amp;(ROW()-1),Registre!$AA$2:$AA$2001,0)),"")</f>
        <v/>
      </c>
      <c r="R244">
        <f>IFERROR(INDEX(Registre!$B$2:$B$2001,MATCH(R$1&amp;"|"&amp;(ROW()-1),Registre!$AA$2:$AA$2001,0)),"")</f>
        <v/>
      </c>
      <c r="S244">
        <f>IFERROR(INDEX(Registre!$B$2:$B$2001,MATCH(S$1&amp;"|"&amp;(ROW()-1),Registre!$AA$2:$AA$2001,0)),"")</f>
        <v/>
      </c>
      <c r="T244">
        <f>IFERROR(INDEX(Registre!$B$2:$B$2001,MATCH(T$1&amp;"|"&amp;(ROW()-1),Registre!$AA$2:$AA$2001,0)),"")</f>
        <v/>
      </c>
      <c r="U244">
        <f>IFERROR(INDEX(Registre!$B$2:$B$2001,MATCH(U$1&amp;"|"&amp;(ROW()-1),Registre!$AA$2:$AA$2001,0)),"")</f>
        <v/>
      </c>
      <c r="V244">
        <f>IFERROR(INDEX(Registre!$B$2:$B$2001,MATCH(V$1&amp;"|"&amp;(ROW()-1),Registre!$AA$2:$AA$2001,0)),"")</f>
        <v/>
      </c>
    </row>
    <row r="245">
      <c r="O245">
        <f>IFERROR(INDEX(Registre!$B$2:$B$2001,MATCH(O$1&amp;"|"&amp;(ROW()-1),Registre!$AA$2:$AA$2001,0)),"")</f>
        <v/>
      </c>
      <c r="P245">
        <f>IFERROR(INDEX(Registre!$B$2:$B$2001,MATCH(P$1&amp;"|"&amp;(ROW()-1),Registre!$AA$2:$AA$2001,0)),"")</f>
        <v/>
      </c>
      <c r="Q245">
        <f>IFERROR(INDEX(Registre!$B$2:$B$2001,MATCH(Q$1&amp;"|"&amp;(ROW()-1),Registre!$AA$2:$AA$2001,0)),"")</f>
        <v/>
      </c>
      <c r="R245">
        <f>IFERROR(INDEX(Registre!$B$2:$B$2001,MATCH(R$1&amp;"|"&amp;(ROW()-1),Registre!$AA$2:$AA$2001,0)),"")</f>
        <v/>
      </c>
      <c r="S245">
        <f>IFERROR(INDEX(Registre!$B$2:$B$2001,MATCH(S$1&amp;"|"&amp;(ROW()-1),Registre!$AA$2:$AA$2001,0)),"")</f>
        <v/>
      </c>
      <c r="T245">
        <f>IFERROR(INDEX(Registre!$B$2:$B$2001,MATCH(T$1&amp;"|"&amp;(ROW()-1),Registre!$AA$2:$AA$2001,0)),"")</f>
        <v/>
      </c>
      <c r="U245">
        <f>IFERROR(INDEX(Registre!$B$2:$B$2001,MATCH(U$1&amp;"|"&amp;(ROW()-1),Registre!$AA$2:$AA$2001,0)),"")</f>
        <v/>
      </c>
      <c r="V245">
        <f>IFERROR(INDEX(Registre!$B$2:$B$2001,MATCH(V$1&amp;"|"&amp;(ROW()-1),Registre!$AA$2:$AA$2001,0)),"")</f>
        <v/>
      </c>
    </row>
    <row r="246">
      <c r="O246">
        <f>IFERROR(INDEX(Registre!$B$2:$B$2001,MATCH(O$1&amp;"|"&amp;(ROW()-1),Registre!$AA$2:$AA$2001,0)),"")</f>
        <v/>
      </c>
      <c r="P246">
        <f>IFERROR(INDEX(Registre!$B$2:$B$2001,MATCH(P$1&amp;"|"&amp;(ROW()-1),Registre!$AA$2:$AA$2001,0)),"")</f>
        <v/>
      </c>
      <c r="Q246">
        <f>IFERROR(INDEX(Registre!$B$2:$B$2001,MATCH(Q$1&amp;"|"&amp;(ROW()-1),Registre!$AA$2:$AA$2001,0)),"")</f>
        <v/>
      </c>
      <c r="R246">
        <f>IFERROR(INDEX(Registre!$B$2:$B$2001,MATCH(R$1&amp;"|"&amp;(ROW()-1),Registre!$AA$2:$AA$2001,0)),"")</f>
        <v/>
      </c>
      <c r="S246">
        <f>IFERROR(INDEX(Registre!$B$2:$B$2001,MATCH(S$1&amp;"|"&amp;(ROW()-1),Registre!$AA$2:$AA$2001,0)),"")</f>
        <v/>
      </c>
      <c r="T246">
        <f>IFERROR(INDEX(Registre!$B$2:$B$2001,MATCH(T$1&amp;"|"&amp;(ROW()-1),Registre!$AA$2:$AA$2001,0)),"")</f>
        <v/>
      </c>
      <c r="U246">
        <f>IFERROR(INDEX(Registre!$B$2:$B$2001,MATCH(U$1&amp;"|"&amp;(ROW()-1),Registre!$AA$2:$AA$2001,0)),"")</f>
        <v/>
      </c>
      <c r="V246">
        <f>IFERROR(INDEX(Registre!$B$2:$B$2001,MATCH(V$1&amp;"|"&amp;(ROW()-1),Registre!$AA$2:$AA$2001,0)),"")</f>
        <v/>
      </c>
    </row>
    <row r="247">
      <c r="O247">
        <f>IFERROR(INDEX(Registre!$B$2:$B$2001,MATCH(O$1&amp;"|"&amp;(ROW()-1),Registre!$AA$2:$AA$2001,0)),"")</f>
        <v/>
      </c>
      <c r="P247">
        <f>IFERROR(INDEX(Registre!$B$2:$B$2001,MATCH(P$1&amp;"|"&amp;(ROW()-1),Registre!$AA$2:$AA$2001,0)),"")</f>
        <v/>
      </c>
      <c r="Q247">
        <f>IFERROR(INDEX(Registre!$B$2:$B$2001,MATCH(Q$1&amp;"|"&amp;(ROW()-1),Registre!$AA$2:$AA$2001,0)),"")</f>
        <v/>
      </c>
      <c r="R247">
        <f>IFERROR(INDEX(Registre!$B$2:$B$2001,MATCH(R$1&amp;"|"&amp;(ROW()-1),Registre!$AA$2:$AA$2001,0)),"")</f>
        <v/>
      </c>
      <c r="S247">
        <f>IFERROR(INDEX(Registre!$B$2:$B$2001,MATCH(S$1&amp;"|"&amp;(ROW()-1),Registre!$AA$2:$AA$2001,0)),"")</f>
        <v/>
      </c>
      <c r="T247">
        <f>IFERROR(INDEX(Registre!$B$2:$B$2001,MATCH(T$1&amp;"|"&amp;(ROW()-1),Registre!$AA$2:$AA$2001,0)),"")</f>
        <v/>
      </c>
      <c r="U247">
        <f>IFERROR(INDEX(Registre!$B$2:$B$2001,MATCH(U$1&amp;"|"&amp;(ROW()-1),Registre!$AA$2:$AA$2001,0)),"")</f>
        <v/>
      </c>
      <c r="V247">
        <f>IFERROR(INDEX(Registre!$B$2:$B$2001,MATCH(V$1&amp;"|"&amp;(ROW()-1),Registre!$AA$2:$AA$2001,0)),"")</f>
        <v/>
      </c>
    </row>
    <row r="248">
      <c r="O248">
        <f>IFERROR(INDEX(Registre!$B$2:$B$2001,MATCH(O$1&amp;"|"&amp;(ROW()-1),Registre!$AA$2:$AA$2001,0)),"")</f>
        <v/>
      </c>
      <c r="P248">
        <f>IFERROR(INDEX(Registre!$B$2:$B$2001,MATCH(P$1&amp;"|"&amp;(ROW()-1),Registre!$AA$2:$AA$2001,0)),"")</f>
        <v/>
      </c>
      <c r="Q248">
        <f>IFERROR(INDEX(Registre!$B$2:$B$2001,MATCH(Q$1&amp;"|"&amp;(ROW()-1),Registre!$AA$2:$AA$2001,0)),"")</f>
        <v/>
      </c>
      <c r="R248">
        <f>IFERROR(INDEX(Registre!$B$2:$B$2001,MATCH(R$1&amp;"|"&amp;(ROW()-1),Registre!$AA$2:$AA$2001,0)),"")</f>
        <v/>
      </c>
      <c r="S248">
        <f>IFERROR(INDEX(Registre!$B$2:$B$2001,MATCH(S$1&amp;"|"&amp;(ROW()-1),Registre!$AA$2:$AA$2001,0)),"")</f>
        <v/>
      </c>
      <c r="T248">
        <f>IFERROR(INDEX(Registre!$B$2:$B$2001,MATCH(T$1&amp;"|"&amp;(ROW()-1),Registre!$AA$2:$AA$2001,0)),"")</f>
        <v/>
      </c>
      <c r="U248">
        <f>IFERROR(INDEX(Registre!$B$2:$B$2001,MATCH(U$1&amp;"|"&amp;(ROW()-1),Registre!$AA$2:$AA$2001,0)),"")</f>
        <v/>
      </c>
      <c r="V248">
        <f>IFERROR(INDEX(Registre!$B$2:$B$2001,MATCH(V$1&amp;"|"&amp;(ROW()-1),Registre!$AA$2:$AA$2001,0)),"")</f>
        <v/>
      </c>
    </row>
    <row r="249">
      <c r="O249">
        <f>IFERROR(INDEX(Registre!$B$2:$B$2001,MATCH(O$1&amp;"|"&amp;(ROW()-1),Registre!$AA$2:$AA$2001,0)),"")</f>
        <v/>
      </c>
      <c r="P249">
        <f>IFERROR(INDEX(Registre!$B$2:$B$2001,MATCH(P$1&amp;"|"&amp;(ROW()-1),Registre!$AA$2:$AA$2001,0)),"")</f>
        <v/>
      </c>
      <c r="Q249">
        <f>IFERROR(INDEX(Registre!$B$2:$B$2001,MATCH(Q$1&amp;"|"&amp;(ROW()-1),Registre!$AA$2:$AA$2001,0)),"")</f>
        <v/>
      </c>
      <c r="R249">
        <f>IFERROR(INDEX(Registre!$B$2:$B$2001,MATCH(R$1&amp;"|"&amp;(ROW()-1),Registre!$AA$2:$AA$2001,0)),"")</f>
        <v/>
      </c>
      <c r="S249">
        <f>IFERROR(INDEX(Registre!$B$2:$B$2001,MATCH(S$1&amp;"|"&amp;(ROW()-1),Registre!$AA$2:$AA$2001,0)),"")</f>
        <v/>
      </c>
      <c r="T249">
        <f>IFERROR(INDEX(Registre!$B$2:$B$2001,MATCH(T$1&amp;"|"&amp;(ROW()-1),Registre!$AA$2:$AA$2001,0)),"")</f>
        <v/>
      </c>
      <c r="U249">
        <f>IFERROR(INDEX(Registre!$B$2:$B$2001,MATCH(U$1&amp;"|"&amp;(ROW()-1),Registre!$AA$2:$AA$2001,0)),"")</f>
        <v/>
      </c>
      <c r="V249">
        <f>IFERROR(INDEX(Registre!$B$2:$B$2001,MATCH(V$1&amp;"|"&amp;(ROW()-1),Registre!$AA$2:$AA$2001,0)),"")</f>
        <v/>
      </c>
    </row>
    <row r="250">
      <c r="O250">
        <f>IFERROR(INDEX(Registre!$B$2:$B$2001,MATCH(O$1&amp;"|"&amp;(ROW()-1),Registre!$AA$2:$AA$2001,0)),"")</f>
        <v/>
      </c>
      <c r="P250">
        <f>IFERROR(INDEX(Registre!$B$2:$B$2001,MATCH(P$1&amp;"|"&amp;(ROW()-1),Registre!$AA$2:$AA$2001,0)),"")</f>
        <v/>
      </c>
      <c r="Q250">
        <f>IFERROR(INDEX(Registre!$B$2:$B$2001,MATCH(Q$1&amp;"|"&amp;(ROW()-1),Registre!$AA$2:$AA$2001,0)),"")</f>
        <v/>
      </c>
      <c r="R250">
        <f>IFERROR(INDEX(Registre!$B$2:$B$2001,MATCH(R$1&amp;"|"&amp;(ROW()-1),Registre!$AA$2:$AA$2001,0)),"")</f>
        <v/>
      </c>
      <c r="S250">
        <f>IFERROR(INDEX(Registre!$B$2:$B$2001,MATCH(S$1&amp;"|"&amp;(ROW()-1),Registre!$AA$2:$AA$2001,0)),"")</f>
        <v/>
      </c>
      <c r="T250">
        <f>IFERROR(INDEX(Registre!$B$2:$B$2001,MATCH(T$1&amp;"|"&amp;(ROW()-1),Registre!$AA$2:$AA$2001,0)),"")</f>
        <v/>
      </c>
      <c r="U250">
        <f>IFERROR(INDEX(Registre!$B$2:$B$2001,MATCH(U$1&amp;"|"&amp;(ROW()-1),Registre!$AA$2:$AA$2001,0)),"")</f>
        <v/>
      </c>
      <c r="V250">
        <f>IFERROR(INDEX(Registre!$B$2:$B$2001,MATCH(V$1&amp;"|"&amp;(ROW()-1),Registre!$AA$2:$AA$2001,0)),"")</f>
        <v/>
      </c>
    </row>
    <row r="251">
      <c r="O251">
        <f>IFERROR(INDEX(Registre!$B$2:$B$2001,MATCH(O$1&amp;"|"&amp;(ROW()-1),Registre!$AA$2:$AA$2001,0)),"")</f>
        <v/>
      </c>
      <c r="P251">
        <f>IFERROR(INDEX(Registre!$B$2:$B$2001,MATCH(P$1&amp;"|"&amp;(ROW()-1),Registre!$AA$2:$AA$2001,0)),"")</f>
        <v/>
      </c>
      <c r="Q251">
        <f>IFERROR(INDEX(Registre!$B$2:$B$2001,MATCH(Q$1&amp;"|"&amp;(ROW()-1),Registre!$AA$2:$AA$2001,0)),"")</f>
        <v/>
      </c>
      <c r="R251">
        <f>IFERROR(INDEX(Registre!$B$2:$B$2001,MATCH(R$1&amp;"|"&amp;(ROW()-1),Registre!$AA$2:$AA$2001,0)),"")</f>
        <v/>
      </c>
      <c r="S251">
        <f>IFERROR(INDEX(Registre!$B$2:$B$2001,MATCH(S$1&amp;"|"&amp;(ROW()-1),Registre!$AA$2:$AA$2001,0)),"")</f>
        <v/>
      </c>
      <c r="T251">
        <f>IFERROR(INDEX(Registre!$B$2:$B$2001,MATCH(T$1&amp;"|"&amp;(ROW()-1),Registre!$AA$2:$AA$2001,0)),"")</f>
        <v/>
      </c>
      <c r="U251">
        <f>IFERROR(INDEX(Registre!$B$2:$B$2001,MATCH(U$1&amp;"|"&amp;(ROW()-1),Registre!$AA$2:$AA$2001,0)),"")</f>
        <v/>
      </c>
      <c r="V251">
        <f>IFERROR(INDEX(Registre!$B$2:$B$2001,MATCH(V$1&amp;"|"&amp;(ROW()-1),Registre!$AA$2:$AA$2001,0)),"")</f>
        <v/>
      </c>
    </row>
    <row r="252">
      <c r="O252">
        <f>IFERROR(INDEX(Registre!$B$2:$B$2001,MATCH(O$1&amp;"|"&amp;(ROW()-1),Registre!$AA$2:$AA$2001,0)),"")</f>
        <v/>
      </c>
      <c r="P252">
        <f>IFERROR(INDEX(Registre!$B$2:$B$2001,MATCH(P$1&amp;"|"&amp;(ROW()-1),Registre!$AA$2:$AA$2001,0)),"")</f>
        <v/>
      </c>
      <c r="Q252">
        <f>IFERROR(INDEX(Registre!$B$2:$B$2001,MATCH(Q$1&amp;"|"&amp;(ROW()-1),Registre!$AA$2:$AA$2001,0)),"")</f>
        <v/>
      </c>
      <c r="R252">
        <f>IFERROR(INDEX(Registre!$B$2:$B$2001,MATCH(R$1&amp;"|"&amp;(ROW()-1),Registre!$AA$2:$AA$2001,0)),"")</f>
        <v/>
      </c>
      <c r="S252">
        <f>IFERROR(INDEX(Registre!$B$2:$B$2001,MATCH(S$1&amp;"|"&amp;(ROW()-1),Registre!$AA$2:$AA$2001,0)),"")</f>
        <v/>
      </c>
      <c r="T252">
        <f>IFERROR(INDEX(Registre!$B$2:$B$2001,MATCH(T$1&amp;"|"&amp;(ROW()-1),Registre!$AA$2:$AA$2001,0)),"")</f>
        <v/>
      </c>
      <c r="U252">
        <f>IFERROR(INDEX(Registre!$B$2:$B$2001,MATCH(U$1&amp;"|"&amp;(ROW()-1),Registre!$AA$2:$AA$2001,0)),"")</f>
        <v/>
      </c>
      <c r="V252">
        <f>IFERROR(INDEX(Registre!$B$2:$B$2001,MATCH(V$1&amp;"|"&amp;(ROW()-1),Registre!$AA$2:$AA$2001,0)),"")</f>
        <v/>
      </c>
    </row>
    <row r="253">
      <c r="O253">
        <f>IFERROR(INDEX(Registre!$B$2:$B$2001,MATCH(O$1&amp;"|"&amp;(ROW()-1),Registre!$AA$2:$AA$2001,0)),"")</f>
        <v/>
      </c>
      <c r="P253">
        <f>IFERROR(INDEX(Registre!$B$2:$B$2001,MATCH(P$1&amp;"|"&amp;(ROW()-1),Registre!$AA$2:$AA$2001,0)),"")</f>
        <v/>
      </c>
      <c r="Q253">
        <f>IFERROR(INDEX(Registre!$B$2:$B$2001,MATCH(Q$1&amp;"|"&amp;(ROW()-1),Registre!$AA$2:$AA$2001,0)),"")</f>
        <v/>
      </c>
      <c r="R253">
        <f>IFERROR(INDEX(Registre!$B$2:$B$2001,MATCH(R$1&amp;"|"&amp;(ROW()-1),Registre!$AA$2:$AA$2001,0)),"")</f>
        <v/>
      </c>
      <c r="S253">
        <f>IFERROR(INDEX(Registre!$B$2:$B$2001,MATCH(S$1&amp;"|"&amp;(ROW()-1),Registre!$AA$2:$AA$2001,0)),"")</f>
        <v/>
      </c>
      <c r="T253">
        <f>IFERROR(INDEX(Registre!$B$2:$B$2001,MATCH(T$1&amp;"|"&amp;(ROW()-1),Registre!$AA$2:$AA$2001,0)),"")</f>
        <v/>
      </c>
      <c r="U253">
        <f>IFERROR(INDEX(Registre!$B$2:$B$2001,MATCH(U$1&amp;"|"&amp;(ROW()-1),Registre!$AA$2:$AA$2001,0)),"")</f>
        <v/>
      </c>
      <c r="V253">
        <f>IFERROR(INDEX(Registre!$B$2:$B$2001,MATCH(V$1&amp;"|"&amp;(ROW()-1),Registre!$AA$2:$AA$2001,0)),"")</f>
        <v/>
      </c>
    </row>
    <row r="254">
      <c r="O254">
        <f>IFERROR(INDEX(Registre!$B$2:$B$2001,MATCH(O$1&amp;"|"&amp;(ROW()-1),Registre!$AA$2:$AA$2001,0)),"")</f>
        <v/>
      </c>
      <c r="P254">
        <f>IFERROR(INDEX(Registre!$B$2:$B$2001,MATCH(P$1&amp;"|"&amp;(ROW()-1),Registre!$AA$2:$AA$2001,0)),"")</f>
        <v/>
      </c>
      <c r="Q254">
        <f>IFERROR(INDEX(Registre!$B$2:$B$2001,MATCH(Q$1&amp;"|"&amp;(ROW()-1),Registre!$AA$2:$AA$2001,0)),"")</f>
        <v/>
      </c>
      <c r="R254">
        <f>IFERROR(INDEX(Registre!$B$2:$B$2001,MATCH(R$1&amp;"|"&amp;(ROW()-1),Registre!$AA$2:$AA$2001,0)),"")</f>
        <v/>
      </c>
      <c r="S254">
        <f>IFERROR(INDEX(Registre!$B$2:$B$2001,MATCH(S$1&amp;"|"&amp;(ROW()-1),Registre!$AA$2:$AA$2001,0)),"")</f>
        <v/>
      </c>
      <c r="T254">
        <f>IFERROR(INDEX(Registre!$B$2:$B$2001,MATCH(T$1&amp;"|"&amp;(ROW()-1),Registre!$AA$2:$AA$2001,0)),"")</f>
        <v/>
      </c>
      <c r="U254">
        <f>IFERROR(INDEX(Registre!$B$2:$B$2001,MATCH(U$1&amp;"|"&amp;(ROW()-1),Registre!$AA$2:$AA$2001,0)),"")</f>
        <v/>
      </c>
      <c r="V254">
        <f>IFERROR(INDEX(Registre!$B$2:$B$2001,MATCH(V$1&amp;"|"&amp;(ROW()-1),Registre!$AA$2:$AA$2001,0)),"")</f>
        <v/>
      </c>
    </row>
    <row r="255">
      <c r="O255">
        <f>IFERROR(INDEX(Registre!$B$2:$B$2001,MATCH(O$1&amp;"|"&amp;(ROW()-1),Registre!$AA$2:$AA$2001,0)),"")</f>
        <v/>
      </c>
      <c r="P255">
        <f>IFERROR(INDEX(Registre!$B$2:$B$2001,MATCH(P$1&amp;"|"&amp;(ROW()-1),Registre!$AA$2:$AA$2001,0)),"")</f>
        <v/>
      </c>
      <c r="Q255">
        <f>IFERROR(INDEX(Registre!$B$2:$B$2001,MATCH(Q$1&amp;"|"&amp;(ROW()-1),Registre!$AA$2:$AA$2001,0)),"")</f>
        <v/>
      </c>
      <c r="R255">
        <f>IFERROR(INDEX(Registre!$B$2:$B$2001,MATCH(R$1&amp;"|"&amp;(ROW()-1),Registre!$AA$2:$AA$2001,0)),"")</f>
        <v/>
      </c>
      <c r="S255">
        <f>IFERROR(INDEX(Registre!$B$2:$B$2001,MATCH(S$1&amp;"|"&amp;(ROW()-1),Registre!$AA$2:$AA$2001,0)),"")</f>
        <v/>
      </c>
      <c r="T255">
        <f>IFERROR(INDEX(Registre!$B$2:$B$2001,MATCH(T$1&amp;"|"&amp;(ROW()-1),Registre!$AA$2:$AA$2001,0)),"")</f>
        <v/>
      </c>
      <c r="U255">
        <f>IFERROR(INDEX(Registre!$B$2:$B$2001,MATCH(U$1&amp;"|"&amp;(ROW()-1),Registre!$AA$2:$AA$2001,0)),"")</f>
        <v/>
      </c>
      <c r="V255">
        <f>IFERROR(INDEX(Registre!$B$2:$B$2001,MATCH(V$1&amp;"|"&amp;(ROW()-1),Registre!$AA$2:$AA$2001,0)),"")</f>
        <v/>
      </c>
    </row>
    <row r="256">
      <c r="O256">
        <f>IFERROR(INDEX(Registre!$B$2:$B$2001,MATCH(O$1&amp;"|"&amp;(ROW()-1),Registre!$AA$2:$AA$2001,0)),"")</f>
        <v/>
      </c>
      <c r="P256">
        <f>IFERROR(INDEX(Registre!$B$2:$B$2001,MATCH(P$1&amp;"|"&amp;(ROW()-1),Registre!$AA$2:$AA$2001,0)),"")</f>
        <v/>
      </c>
      <c r="Q256">
        <f>IFERROR(INDEX(Registre!$B$2:$B$2001,MATCH(Q$1&amp;"|"&amp;(ROW()-1),Registre!$AA$2:$AA$2001,0)),"")</f>
        <v/>
      </c>
      <c r="R256">
        <f>IFERROR(INDEX(Registre!$B$2:$B$2001,MATCH(R$1&amp;"|"&amp;(ROW()-1),Registre!$AA$2:$AA$2001,0)),"")</f>
        <v/>
      </c>
      <c r="S256">
        <f>IFERROR(INDEX(Registre!$B$2:$B$2001,MATCH(S$1&amp;"|"&amp;(ROW()-1),Registre!$AA$2:$AA$2001,0)),"")</f>
        <v/>
      </c>
      <c r="T256">
        <f>IFERROR(INDEX(Registre!$B$2:$B$2001,MATCH(T$1&amp;"|"&amp;(ROW()-1),Registre!$AA$2:$AA$2001,0)),"")</f>
        <v/>
      </c>
      <c r="U256">
        <f>IFERROR(INDEX(Registre!$B$2:$B$2001,MATCH(U$1&amp;"|"&amp;(ROW()-1),Registre!$AA$2:$AA$2001,0)),"")</f>
        <v/>
      </c>
      <c r="V256">
        <f>IFERROR(INDEX(Registre!$B$2:$B$2001,MATCH(V$1&amp;"|"&amp;(ROW()-1),Registre!$AA$2:$AA$2001,0)),"")</f>
        <v/>
      </c>
    </row>
    <row r="257">
      <c r="O257">
        <f>IFERROR(INDEX(Registre!$B$2:$B$2001,MATCH(O$1&amp;"|"&amp;(ROW()-1),Registre!$AA$2:$AA$2001,0)),"")</f>
        <v/>
      </c>
      <c r="P257">
        <f>IFERROR(INDEX(Registre!$B$2:$B$2001,MATCH(P$1&amp;"|"&amp;(ROW()-1),Registre!$AA$2:$AA$2001,0)),"")</f>
        <v/>
      </c>
      <c r="Q257">
        <f>IFERROR(INDEX(Registre!$B$2:$B$2001,MATCH(Q$1&amp;"|"&amp;(ROW()-1),Registre!$AA$2:$AA$2001,0)),"")</f>
        <v/>
      </c>
      <c r="R257">
        <f>IFERROR(INDEX(Registre!$B$2:$B$2001,MATCH(R$1&amp;"|"&amp;(ROW()-1),Registre!$AA$2:$AA$2001,0)),"")</f>
        <v/>
      </c>
      <c r="S257">
        <f>IFERROR(INDEX(Registre!$B$2:$B$2001,MATCH(S$1&amp;"|"&amp;(ROW()-1),Registre!$AA$2:$AA$2001,0)),"")</f>
        <v/>
      </c>
      <c r="T257">
        <f>IFERROR(INDEX(Registre!$B$2:$B$2001,MATCH(T$1&amp;"|"&amp;(ROW()-1),Registre!$AA$2:$AA$2001,0)),"")</f>
        <v/>
      </c>
      <c r="U257">
        <f>IFERROR(INDEX(Registre!$B$2:$B$2001,MATCH(U$1&amp;"|"&amp;(ROW()-1),Registre!$AA$2:$AA$2001,0)),"")</f>
        <v/>
      </c>
      <c r="V257">
        <f>IFERROR(INDEX(Registre!$B$2:$B$2001,MATCH(V$1&amp;"|"&amp;(ROW()-1),Registre!$AA$2:$AA$2001,0)),"")</f>
        <v/>
      </c>
    </row>
    <row r="258">
      <c r="O258">
        <f>IFERROR(INDEX(Registre!$B$2:$B$2001,MATCH(O$1&amp;"|"&amp;(ROW()-1),Registre!$AA$2:$AA$2001,0)),"")</f>
        <v/>
      </c>
      <c r="P258">
        <f>IFERROR(INDEX(Registre!$B$2:$B$2001,MATCH(P$1&amp;"|"&amp;(ROW()-1),Registre!$AA$2:$AA$2001,0)),"")</f>
        <v/>
      </c>
      <c r="Q258">
        <f>IFERROR(INDEX(Registre!$B$2:$B$2001,MATCH(Q$1&amp;"|"&amp;(ROW()-1),Registre!$AA$2:$AA$2001,0)),"")</f>
        <v/>
      </c>
      <c r="R258">
        <f>IFERROR(INDEX(Registre!$B$2:$B$2001,MATCH(R$1&amp;"|"&amp;(ROW()-1),Registre!$AA$2:$AA$2001,0)),"")</f>
        <v/>
      </c>
      <c r="S258">
        <f>IFERROR(INDEX(Registre!$B$2:$B$2001,MATCH(S$1&amp;"|"&amp;(ROW()-1),Registre!$AA$2:$AA$2001,0)),"")</f>
        <v/>
      </c>
      <c r="T258">
        <f>IFERROR(INDEX(Registre!$B$2:$B$2001,MATCH(T$1&amp;"|"&amp;(ROW()-1),Registre!$AA$2:$AA$2001,0)),"")</f>
        <v/>
      </c>
      <c r="U258">
        <f>IFERROR(INDEX(Registre!$B$2:$B$2001,MATCH(U$1&amp;"|"&amp;(ROW()-1),Registre!$AA$2:$AA$2001,0)),"")</f>
        <v/>
      </c>
      <c r="V258">
        <f>IFERROR(INDEX(Registre!$B$2:$B$2001,MATCH(V$1&amp;"|"&amp;(ROW()-1),Registre!$AA$2:$AA$2001,0)),"")</f>
        <v/>
      </c>
    </row>
    <row r="259">
      <c r="O259">
        <f>IFERROR(INDEX(Registre!$B$2:$B$2001,MATCH(O$1&amp;"|"&amp;(ROW()-1),Registre!$AA$2:$AA$2001,0)),"")</f>
        <v/>
      </c>
      <c r="P259">
        <f>IFERROR(INDEX(Registre!$B$2:$B$2001,MATCH(P$1&amp;"|"&amp;(ROW()-1),Registre!$AA$2:$AA$2001,0)),"")</f>
        <v/>
      </c>
      <c r="Q259">
        <f>IFERROR(INDEX(Registre!$B$2:$B$2001,MATCH(Q$1&amp;"|"&amp;(ROW()-1),Registre!$AA$2:$AA$2001,0)),"")</f>
        <v/>
      </c>
      <c r="R259">
        <f>IFERROR(INDEX(Registre!$B$2:$B$2001,MATCH(R$1&amp;"|"&amp;(ROW()-1),Registre!$AA$2:$AA$2001,0)),"")</f>
        <v/>
      </c>
      <c r="S259">
        <f>IFERROR(INDEX(Registre!$B$2:$B$2001,MATCH(S$1&amp;"|"&amp;(ROW()-1),Registre!$AA$2:$AA$2001,0)),"")</f>
        <v/>
      </c>
      <c r="T259">
        <f>IFERROR(INDEX(Registre!$B$2:$B$2001,MATCH(T$1&amp;"|"&amp;(ROW()-1),Registre!$AA$2:$AA$2001,0)),"")</f>
        <v/>
      </c>
      <c r="U259">
        <f>IFERROR(INDEX(Registre!$B$2:$B$2001,MATCH(U$1&amp;"|"&amp;(ROW()-1),Registre!$AA$2:$AA$2001,0)),"")</f>
        <v/>
      </c>
      <c r="V259">
        <f>IFERROR(INDEX(Registre!$B$2:$B$2001,MATCH(V$1&amp;"|"&amp;(ROW()-1),Registre!$AA$2:$AA$2001,0)),"")</f>
        <v/>
      </c>
    </row>
    <row r="260">
      <c r="O260">
        <f>IFERROR(INDEX(Registre!$B$2:$B$2001,MATCH(O$1&amp;"|"&amp;(ROW()-1),Registre!$AA$2:$AA$2001,0)),"")</f>
        <v/>
      </c>
      <c r="P260">
        <f>IFERROR(INDEX(Registre!$B$2:$B$2001,MATCH(P$1&amp;"|"&amp;(ROW()-1),Registre!$AA$2:$AA$2001,0)),"")</f>
        <v/>
      </c>
      <c r="Q260">
        <f>IFERROR(INDEX(Registre!$B$2:$B$2001,MATCH(Q$1&amp;"|"&amp;(ROW()-1),Registre!$AA$2:$AA$2001,0)),"")</f>
        <v/>
      </c>
      <c r="R260">
        <f>IFERROR(INDEX(Registre!$B$2:$B$2001,MATCH(R$1&amp;"|"&amp;(ROW()-1),Registre!$AA$2:$AA$2001,0)),"")</f>
        <v/>
      </c>
      <c r="S260">
        <f>IFERROR(INDEX(Registre!$B$2:$B$2001,MATCH(S$1&amp;"|"&amp;(ROW()-1),Registre!$AA$2:$AA$2001,0)),"")</f>
        <v/>
      </c>
      <c r="T260">
        <f>IFERROR(INDEX(Registre!$B$2:$B$2001,MATCH(T$1&amp;"|"&amp;(ROW()-1),Registre!$AA$2:$AA$2001,0)),"")</f>
        <v/>
      </c>
      <c r="U260">
        <f>IFERROR(INDEX(Registre!$B$2:$B$2001,MATCH(U$1&amp;"|"&amp;(ROW()-1),Registre!$AA$2:$AA$2001,0)),"")</f>
        <v/>
      </c>
      <c r="V260">
        <f>IFERROR(INDEX(Registre!$B$2:$B$2001,MATCH(V$1&amp;"|"&amp;(ROW()-1),Registre!$AA$2:$AA$2001,0)),"")</f>
        <v/>
      </c>
    </row>
    <row r="261">
      <c r="O261">
        <f>IFERROR(INDEX(Registre!$B$2:$B$2001,MATCH(O$1&amp;"|"&amp;(ROW()-1),Registre!$AA$2:$AA$2001,0)),"")</f>
        <v/>
      </c>
      <c r="P261">
        <f>IFERROR(INDEX(Registre!$B$2:$B$2001,MATCH(P$1&amp;"|"&amp;(ROW()-1),Registre!$AA$2:$AA$2001,0)),"")</f>
        <v/>
      </c>
      <c r="Q261">
        <f>IFERROR(INDEX(Registre!$B$2:$B$2001,MATCH(Q$1&amp;"|"&amp;(ROW()-1),Registre!$AA$2:$AA$2001,0)),"")</f>
        <v/>
      </c>
      <c r="R261">
        <f>IFERROR(INDEX(Registre!$B$2:$B$2001,MATCH(R$1&amp;"|"&amp;(ROW()-1),Registre!$AA$2:$AA$2001,0)),"")</f>
        <v/>
      </c>
      <c r="S261">
        <f>IFERROR(INDEX(Registre!$B$2:$B$2001,MATCH(S$1&amp;"|"&amp;(ROW()-1),Registre!$AA$2:$AA$2001,0)),"")</f>
        <v/>
      </c>
      <c r="T261">
        <f>IFERROR(INDEX(Registre!$B$2:$B$2001,MATCH(T$1&amp;"|"&amp;(ROW()-1),Registre!$AA$2:$AA$2001,0)),"")</f>
        <v/>
      </c>
      <c r="U261">
        <f>IFERROR(INDEX(Registre!$B$2:$B$2001,MATCH(U$1&amp;"|"&amp;(ROW()-1),Registre!$AA$2:$AA$2001,0)),"")</f>
        <v/>
      </c>
      <c r="V261">
        <f>IFERROR(INDEX(Registre!$B$2:$B$2001,MATCH(V$1&amp;"|"&amp;(ROW()-1),Registre!$AA$2:$AA$2001,0)),"")</f>
        <v/>
      </c>
    </row>
    <row r="262">
      <c r="O262">
        <f>IFERROR(INDEX(Registre!$B$2:$B$2001,MATCH(O$1&amp;"|"&amp;(ROW()-1),Registre!$AA$2:$AA$2001,0)),"")</f>
        <v/>
      </c>
      <c r="P262">
        <f>IFERROR(INDEX(Registre!$B$2:$B$2001,MATCH(P$1&amp;"|"&amp;(ROW()-1),Registre!$AA$2:$AA$2001,0)),"")</f>
        <v/>
      </c>
      <c r="Q262">
        <f>IFERROR(INDEX(Registre!$B$2:$B$2001,MATCH(Q$1&amp;"|"&amp;(ROW()-1),Registre!$AA$2:$AA$2001,0)),"")</f>
        <v/>
      </c>
      <c r="R262">
        <f>IFERROR(INDEX(Registre!$B$2:$B$2001,MATCH(R$1&amp;"|"&amp;(ROW()-1),Registre!$AA$2:$AA$2001,0)),"")</f>
        <v/>
      </c>
      <c r="S262">
        <f>IFERROR(INDEX(Registre!$B$2:$B$2001,MATCH(S$1&amp;"|"&amp;(ROW()-1),Registre!$AA$2:$AA$2001,0)),"")</f>
        <v/>
      </c>
      <c r="T262">
        <f>IFERROR(INDEX(Registre!$B$2:$B$2001,MATCH(T$1&amp;"|"&amp;(ROW()-1),Registre!$AA$2:$AA$2001,0)),"")</f>
        <v/>
      </c>
      <c r="U262">
        <f>IFERROR(INDEX(Registre!$B$2:$B$2001,MATCH(U$1&amp;"|"&amp;(ROW()-1),Registre!$AA$2:$AA$2001,0)),"")</f>
        <v/>
      </c>
      <c r="V262">
        <f>IFERROR(INDEX(Registre!$B$2:$B$2001,MATCH(V$1&amp;"|"&amp;(ROW()-1),Registre!$AA$2:$AA$2001,0)),"")</f>
        <v/>
      </c>
    </row>
    <row r="263">
      <c r="O263">
        <f>IFERROR(INDEX(Registre!$B$2:$B$2001,MATCH(O$1&amp;"|"&amp;(ROW()-1),Registre!$AA$2:$AA$2001,0)),"")</f>
        <v/>
      </c>
      <c r="P263">
        <f>IFERROR(INDEX(Registre!$B$2:$B$2001,MATCH(P$1&amp;"|"&amp;(ROW()-1),Registre!$AA$2:$AA$2001,0)),"")</f>
        <v/>
      </c>
      <c r="Q263">
        <f>IFERROR(INDEX(Registre!$B$2:$B$2001,MATCH(Q$1&amp;"|"&amp;(ROW()-1),Registre!$AA$2:$AA$2001,0)),"")</f>
        <v/>
      </c>
      <c r="R263">
        <f>IFERROR(INDEX(Registre!$B$2:$B$2001,MATCH(R$1&amp;"|"&amp;(ROW()-1),Registre!$AA$2:$AA$2001,0)),"")</f>
        <v/>
      </c>
      <c r="S263">
        <f>IFERROR(INDEX(Registre!$B$2:$B$2001,MATCH(S$1&amp;"|"&amp;(ROW()-1),Registre!$AA$2:$AA$2001,0)),"")</f>
        <v/>
      </c>
      <c r="T263">
        <f>IFERROR(INDEX(Registre!$B$2:$B$2001,MATCH(T$1&amp;"|"&amp;(ROW()-1),Registre!$AA$2:$AA$2001,0)),"")</f>
        <v/>
      </c>
      <c r="U263">
        <f>IFERROR(INDEX(Registre!$B$2:$B$2001,MATCH(U$1&amp;"|"&amp;(ROW()-1),Registre!$AA$2:$AA$2001,0)),"")</f>
        <v/>
      </c>
      <c r="V263">
        <f>IFERROR(INDEX(Registre!$B$2:$B$2001,MATCH(V$1&amp;"|"&amp;(ROW()-1),Registre!$AA$2:$AA$2001,0)),"")</f>
        <v/>
      </c>
    </row>
    <row r="264">
      <c r="O264">
        <f>IFERROR(INDEX(Registre!$B$2:$B$2001,MATCH(O$1&amp;"|"&amp;(ROW()-1),Registre!$AA$2:$AA$2001,0)),"")</f>
        <v/>
      </c>
      <c r="P264">
        <f>IFERROR(INDEX(Registre!$B$2:$B$2001,MATCH(P$1&amp;"|"&amp;(ROW()-1),Registre!$AA$2:$AA$2001,0)),"")</f>
        <v/>
      </c>
      <c r="Q264">
        <f>IFERROR(INDEX(Registre!$B$2:$B$2001,MATCH(Q$1&amp;"|"&amp;(ROW()-1),Registre!$AA$2:$AA$2001,0)),"")</f>
        <v/>
      </c>
      <c r="R264">
        <f>IFERROR(INDEX(Registre!$B$2:$B$2001,MATCH(R$1&amp;"|"&amp;(ROW()-1),Registre!$AA$2:$AA$2001,0)),"")</f>
        <v/>
      </c>
      <c r="S264">
        <f>IFERROR(INDEX(Registre!$B$2:$B$2001,MATCH(S$1&amp;"|"&amp;(ROW()-1),Registre!$AA$2:$AA$2001,0)),"")</f>
        <v/>
      </c>
      <c r="T264">
        <f>IFERROR(INDEX(Registre!$B$2:$B$2001,MATCH(T$1&amp;"|"&amp;(ROW()-1),Registre!$AA$2:$AA$2001,0)),"")</f>
        <v/>
      </c>
      <c r="U264">
        <f>IFERROR(INDEX(Registre!$B$2:$B$2001,MATCH(U$1&amp;"|"&amp;(ROW()-1),Registre!$AA$2:$AA$2001,0)),"")</f>
        <v/>
      </c>
      <c r="V264">
        <f>IFERROR(INDEX(Registre!$B$2:$B$2001,MATCH(V$1&amp;"|"&amp;(ROW()-1),Registre!$AA$2:$AA$2001,0)),"")</f>
        <v/>
      </c>
    </row>
    <row r="265">
      <c r="O265">
        <f>IFERROR(INDEX(Registre!$B$2:$B$2001,MATCH(O$1&amp;"|"&amp;(ROW()-1),Registre!$AA$2:$AA$2001,0)),"")</f>
        <v/>
      </c>
      <c r="P265">
        <f>IFERROR(INDEX(Registre!$B$2:$B$2001,MATCH(P$1&amp;"|"&amp;(ROW()-1),Registre!$AA$2:$AA$2001,0)),"")</f>
        <v/>
      </c>
      <c r="Q265">
        <f>IFERROR(INDEX(Registre!$B$2:$B$2001,MATCH(Q$1&amp;"|"&amp;(ROW()-1),Registre!$AA$2:$AA$2001,0)),"")</f>
        <v/>
      </c>
      <c r="R265">
        <f>IFERROR(INDEX(Registre!$B$2:$B$2001,MATCH(R$1&amp;"|"&amp;(ROW()-1),Registre!$AA$2:$AA$2001,0)),"")</f>
        <v/>
      </c>
      <c r="S265">
        <f>IFERROR(INDEX(Registre!$B$2:$B$2001,MATCH(S$1&amp;"|"&amp;(ROW()-1),Registre!$AA$2:$AA$2001,0)),"")</f>
        <v/>
      </c>
      <c r="T265">
        <f>IFERROR(INDEX(Registre!$B$2:$B$2001,MATCH(T$1&amp;"|"&amp;(ROW()-1),Registre!$AA$2:$AA$2001,0)),"")</f>
        <v/>
      </c>
      <c r="U265">
        <f>IFERROR(INDEX(Registre!$B$2:$B$2001,MATCH(U$1&amp;"|"&amp;(ROW()-1),Registre!$AA$2:$AA$2001,0)),"")</f>
        <v/>
      </c>
      <c r="V265">
        <f>IFERROR(INDEX(Registre!$B$2:$B$2001,MATCH(V$1&amp;"|"&amp;(ROW()-1),Registre!$AA$2:$AA$2001,0)),"")</f>
        <v/>
      </c>
    </row>
    <row r="266">
      <c r="O266">
        <f>IFERROR(INDEX(Registre!$B$2:$B$2001,MATCH(O$1&amp;"|"&amp;(ROW()-1),Registre!$AA$2:$AA$2001,0)),"")</f>
        <v/>
      </c>
      <c r="P266">
        <f>IFERROR(INDEX(Registre!$B$2:$B$2001,MATCH(P$1&amp;"|"&amp;(ROW()-1),Registre!$AA$2:$AA$2001,0)),"")</f>
        <v/>
      </c>
      <c r="Q266">
        <f>IFERROR(INDEX(Registre!$B$2:$B$2001,MATCH(Q$1&amp;"|"&amp;(ROW()-1),Registre!$AA$2:$AA$2001,0)),"")</f>
        <v/>
      </c>
      <c r="R266">
        <f>IFERROR(INDEX(Registre!$B$2:$B$2001,MATCH(R$1&amp;"|"&amp;(ROW()-1),Registre!$AA$2:$AA$2001,0)),"")</f>
        <v/>
      </c>
      <c r="S266">
        <f>IFERROR(INDEX(Registre!$B$2:$B$2001,MATCH(S$1&amp;"|"&amp;(ROW()-1),Registre!$AA$2:$AA$2001,0)),"")</f>
        <v/>
      </c>
      <c r="T266">
        <f>IFERROR(INDEX(Registre!$B$2:$B$2001,MATCH(T$1&amp;"|"&amp;(ROW()-1),Registre!$AA$2:$AA$2001,0)),"")</f>
        <v/>
      </c>
      <c r="U266">
        <f>IFERROR(INDEX(Registre!$B$2:$B$2001,MATCH(U$1&amp;"|"&amp;(ROW()-1),Registre!$AA$2:$AA$2001,0)),"")</f>
        <v/>
      </c>
      <c r="V266">
        <f>IFERROR(INDEX(Registre!$B$2:$B$2001,MATCH(V$1&amp;"|"&amp;(ROW()-1),Registre!$AA$2:$AA$2001,0)),"")</f>
        <v/>
      </c>
    </row>
    <row r="267">
      <c r="O267">
        <f>IFERROR(INDEX(Registre!$B$2:$B$2001,MATCH(O$1&amp;"|"&amp;(ROW()-1),Registre!$AA$2:$AA$2001,0)),"")</f>
        <v/>
      </c>
      <c r="P267">
        <f>IFERROR(INDEX(Registre!$B$2:$B$2001,MATCH(P$1&amp;"|"&amp;(ROW()-1),Registre!$AA$2:$AA$2001,0)),"")</f>
        <v/>
      </c>
      <c r="Q267">
        <f>IFERROR(INDEX(Registre!$B$2:$B$2001,MATCH(Q$1&amp;"|"&amp;(ROW()-1),Registre!$AA$2:$AA$2001,0)),"")</f>
        <v/>
      </c>
      <c r="R267">
        <f>IFERROR(INDEX(Registre!$B$2:$B$2001,MATCH(R$1&amp;"|"&amp;(ROW()-1),Registre!$AA$2:$AA$2001,0)),"")</f>
        <v/>
      </c>
      <c r="S267">
        <f>IFERROR(INDEX(Registre!$B$2:$B$2001,MATCH(S$1&amp;"|"&amp;(ROW()-1),Registre!$AA$2:$AA$2001,0)),"")</f>
        <v/>
      </c>
      <c r="T267">
        <f>IFERROR(INDEX(Registre!$B$2:$B$2001,MATCH(T$1&amp;"|"&amp;(ROW()-1),Registre!$AA$2:$AA$2001,0)),"")</f>
        <v/>
      </c>
      <c r="U267">
        <f>IFERROR(INDEX(Registre!$B$2:$B$2001,MATCH(U$1&amp;"|"&amp;(ROW()-1),Registre!$AA$2:$AA$2001,0)),"")</f>
        <v/>
      </c>
      <c r="V267">
        <f>IFERROR(INDEX(Registre!$B$2:$B$2001,MATCH(V$1&amp;"|"&amp;(ROW()-1),Registre!$AA$2:$AA$2001,0)),"")</f>
        <v/>
      </c>
    </row>
    <row r="268">
      <c r="O268">
        <f>IFERROR(INDEX(Registre!$B$2:$B$2001,MATCH(O$1&amp;"|"&amp;(ROW()-1),Registre!$AA$2:$AA$2001,0)),"")</f>
        <v/>
      </c>
      <c r="P268">
        <f>IFERROR(INDEX(Registre!$B$2:$B$2001,MATCH(P$1&amp;"|"&amp;(ROW()-1),Registre!$AA$2:$AA$2001,0)),"")</f>
        <v/>
      </c>
      <c r="Q268">
        <f>IFERROR(INDEX(Registre!$B$2:$B$2001,MATCH(Q$1&amp;"|"&amp;(ROW()-1),Registre!$AA$2:$AA$2001,0)),"")</f>
        <v/>
      </c>
      <c r="R268">
        <f>IFERROR(INDEX(Registre!$B$2:$B$2001,MATCH(R$1&amp;"|"&amp;(ROW()-1),Registre!$AA$2:$AA$2001,0)),"")</f>
        <v/>
      </c>
      <c r="S268">
        <f>IFERROR(INDEX(Registre!$B$2:$B$2001,MATCH(S$1&amp;"|"&amp;(ROW()-1),Registre!$AA$2:$AA$2001,0)),"")</f>
        <v/>
      </c>
      <c r="T268">
        <f>IFERROR(INDEX(Registre!$B$2:$B$2001,MATCH(T$1&amp;"|"&amp;(ROW()-1),Registre!$AA$2:$AA$2001,0)),"")</f>
        <v/>
      </c>
      <c r="U268">
        <f>IFERROR(INDEX(Registre!$B$2:$B$2001,MATCH(U$1&amp;"|"&amp;(ROW()-1),Registre!$AA$2:$AA$2001,0)),"")</f>
        <v/>
      </c>
      <c r="V268">
        <f>IFERROR(INDEX(Registre!$B$2:$B$2001,MATCH(V$1&amp;"|"&amp;(ROW()-1),Registre!$AA$2:$AA$2001,0)),"")</f>
        <v/>
      </c>
    </row>
    <row r="269">
      <c r="O269">
        <f>IFERROR(INDEX(Registre!$B$2:$B$2001,MATCH(O$1&amp;"|"&amp;(ROW()-1),Registre!$AA$2:$AA$2001,0)),"")</f>
        <v/>
      </c>
      <c r="P269">
        <f>IFERROR(INDEX(Registre!$B$2:$B$2001,MATCH(P$1&amp;"|"&amp;(ROW()-1),Registre!$AA$2:$AA$2001,0)),"")</f>
        <v/>
      </c>
      <c r="Q269">
        <f>IFERROR(INDEX(Registre!$B$2:$B$2001,MATCH(Q$1&amp;"|"&amp;(ROW()-1),Registre!$AA$2:$AA$2001,0)),"")</f>
        <v/>
      </c>
      <c r="R269">
        <f>IFERROR(INDEX(Registre!$B$2:$B$2001,MATCH(R$1&amp;"|"&amp;(ROW()-1),Registre!$AA$2:$AA$2001,0)),"")</f>
        <v/>
      </c>
      <c r="S269">
        <f>IFERROR(INDEX(Registre!$B$2:$B$2001,MATCH(S$1&amp;"|"&amp;(ROW()-1),Registre!$AA$2:$AA$2001,0)),"")</f>
        <v/>
      </c>
      <c r="T269">
        <f>IFERROR(INDEX(Registre!$B$2:$B$2001,MATCH(T$1&amp;"|"&amp;(ROW()-1),Registre!$AA$2:$AA$2001,0)),"")</f>
        <v/>
      </c>
      <c r="U269">
        <f>IFERROR(INDEX(Registre!$B$2:$B$2001,MATCH(U$1&amp;"|"&amp;(ROW()-1),Registre!$AA$2:$AA$2001,0)),"")</f>
        <v/>
      </c>
      <c r="V269">
        <f>IFERROR(INDEX(Registre!$B$2:$B$2001,MATCH(V$1&amp;"|"&amp;(ROW()-1),Registre!$AA$2:$AA$2001,0)),"")</f>
        <v/>
      </c>
    </row>
    <row r="270">
      <c r="O270">
        <f>IFERROR(INDEX(Registre!$B$2:$B$2001,MATCH(O$1&amp;"|"&amp;(ROW()-1),Registre!$AA$2:$AA$2001,0)),"")</f>
        <v/>
      </c>
      <c r="P270">
        <f>IFERROR(INDEX(Registre!$B$2:$B$2001,MATCH(P$1&amp;"|"&amp;(ROW()-1),Registre!$AA$2:$AA$2001,0)),"")</f>
        <v/>
      </c>
      <c r="Q270">
        <f>IFERROR(INDEX(Registre!$B$2:$B$2001,MATCH(Q$1&amp;"|"&amp;(ROW()-1),Registre!$AA$2:$AA$2001,0)),"")</f>
        <v/>
      </c>
      <c r="R270">
        <f>IFERROR(INDEX(Registre!$B$2:$B$2001,MATCH(R$1&amp;"|"&amp;(ROW()-1),Registre!$AA$2:$AA$2001,0)),"")</f>
        <v/>
      </c>
      <c r="S270">
        <f>IFERROR(INDEX(Registre!$B$2:$B$2001,MATCH(S$1&amp;"|"&amp;(ROW()-1),Registre!$AA$2:$AA$2001,0)),"")</f>
        <v/>
      </c>
      <c r="T270">
        <f>IFERROR(INDEX(Registre!$B$2:$B$2001,MATCH(T$1&amp;"|"&amp;(ROW()-1),Registre!$AA$2:$AA$2001,0)),"")</f>
        <v/>
      </c>
      <c r="U270">
        <f>IFERROR(INDEX(Registre!$B$2:$B$2001,MATCH(U$1&amp;"|"&amp;(ROW()-1),Registre!$AA$2:$AA$2001,0)),"")</f>
        <v/>
      </c>
      <c r="V270">
        <f>IFERROR(INDEX(Registre!$B$2:$B$2001,MATCH(V$1&amp;"|"&amp;(ROW()-1),Registre!$AA$2:$AA$2001,0)),"")</f>
        <v/>
      </c>
    </row>
    <row r="271">
      <c r="O271">
        <f>IFERROR(INDEX(Registre!$B$2:$B$2001,MATCH(O$1&amp;"|"&amp;(ROW()-1),Registre!$AA$2:$AA$2001,0)),"")</f>
        <v/>
      </c>
      <c r="P271">
        <f>IFERROR(INDEX(Registre!$B$2:$B$2001,MATCH(P$1&amp;"|"&amp;(ROW()-1),Registre!$AA$2:$AA$2001,0)),"")</f>
        <v/>
      </c>
      <c r="Q271">
        <f>IFERROR(INDEX(Registre!$B$2:$B$2001,MATCH(Q$1&amp;"|"&amp;(ROW()-1),Registre!$AA$2:$AA$2001,0)),"")</f>
        <v/>
      </c>
      <c r="R271">
        <f>IFERROR(INDEX(Registre!$B$2:$B$2001,MATCH(R$1&amp;"|"&amp;(ROW()-1),Registre!$AA$2:$AA$2001,0)),"")</f>
        <v/>
      </c>
      <c r="S271">
        <f>IFERROR(INDEX(Registre!$B$2:$B$2001,MATCH(S$1&amp;"|"&amp;(ROW()-1),Registre!$AA$2:$AA$2001,0)),"")</f>
        <v/>
      </c>
      <c r="T271">
        <f>IFERROR(INDEX(Registre!$B$2:$B$2001,MATCH(T$1&amp;"|"&amp;(ROW()-1),Registre!$AA$2:$AA$2001,0)),"")</f>
        <v/>
      </c>
      <c r="U271">
        <f>IFERROR(INDEX(Registre!$B$2:$B$2001,MATCH(U$1&amp;"|"&amp;(ROW()-1),Registre!$AA$2:$AA$2001,0)),"")</f>
        <v/>
      </c>
      <c r="V271">
        <f>IFERROR(INDEX(Registre!$B$2:$B$2001,MATCH(V$1&amp;"|"&amp;(ROW()-1),Registre!$AA$2:$AA$2001,0)),"")</f>
        <v/>
      </c>
    </row>
    <row r="272">
      <c r="O272">
        <f>IFERROR(INDEX(Registre!$B$2:$B$2001,MATCH(O$1&amp;"|"&amp;(ROW()-1),Registre!$AA$2:$AA$2001,0)),"")</f>
        <v/>
      </c>
      <c r="P272">
        <f>IFERROR(INDEX(Registre!$B$2:$B$2001,MATCH(P$1&amp;"|"&amp;(ROW()-1),Registre!$AA$2:$AA$2001,0)),"")</f>
        <v/>
      </c>
      <c r="Q272">
        <f>IFERROR(INDEX(Registre!$B$2:$B$2001,MATCH(Q$1&amp;"|"&amp;(ROW()-1),Registre!$AA$2:$AA$2001,0)),"")</f>
        <v/>
      </c>
      <c r="R272">
        <f>IFERROR(INDEX(Registre!$B$2:$B$2001,MATCH(R$1&amp;"|"&amp;(ROW()-1),Registre!$AA$2:$AA$2001,0)),"")</f>
        <v/>
      </c>
      <c r="S272">
        <f>IFERROR(INDEX(Registre!$B$2:$B$2001,MATCH(S$1&amp;"|"&amp;(ROW()-1),Registre!$AA$2:$AA$2001,0)),"")</f>
        <v/>
      </c>
      <c r="T272">
        <f>IFERROR(INDEX(Registre!$B$2:$B$2001,MATCH(T$1&amp;"|"&amp;(ROW()-1),Registre!$AA$2:$AA$2001,0)),"")</f>
        <v/>
      </c>
      <c r="U272">
        <f>IFERROR(INDEX(Registre!$B$2:$B$2001,MATCH(U$1&amp;"|"&amp;(ROW()-1),Registre!$AA$2:$AA$2001,0)),"")</f>
        <v/>
      </c>
      <c r="V272">
        <f>IFERROR(INDEX(Registre!$B$2:$B$2001,MATCH(V$1&amp;"|"&amp;(ROW()-1),Registre!$AA$2:$AA$2001,0)),"")</f>
        <v/>
      </c>
    </row>
    <row r="273">
      <c r="O273">
        <f>IFERROR(INDEX(Registre!$B$2:$B$2001,MATCH(O$1&amp;"|"&amp;(ROW()-1),Registre!$AA$2:$AA$2001,0)),"")</f>
        <v/>
      </c>
      <c r="P273">
        <f>IFERROR(INDEX(Registre!$B$2:$B$2001,MATCH(P$1&amp;"|"&amp;(ROW()-1),Registre!$AA$2:$AA$2001,0)),"")</f>
        <v/>
      </c>
      <c r="Q273">
        <f>IFERROR(INDEX(Registre!$B$2:$B$2001,MATCH(Q$1&amp;"|"&amp;(ROW()-1),Registre!$AA$2:$AA$2001,0)),"")</f>
        <v/>
      </c>
      <c r="R273">
        <f>IFERROR(INDEX(Registre!$B$2:$B$2001,MATCH(R$1&amp;"|"&amp;(ROW()-1),Registre!$AA$2:$AA$2001,0)),"")</f>
        <v/>
      </c>
      <c r="S273">
        <f>IFERROR(INDEX(Registre!$B$2:$B$2001,MATCH(S$1&amp;"|"&amp;(ROW()-1),Registre!$AA$2:$AA$2001,0)),"")</f>
        <v/>
      </c>
      <c r="T273">
        <f>IFERROR(INDEX(Registre!$B$2:$B$2001,MATCH(T$1&amp;"|"&amp;(ROW()-1),Registre!$AA$2:$AA$2001,0)),"")</f>
        <v/>
      </c>
      <c r="U273">
        <f>IFERROR(INDEX(Registre!$B$2:$B$2001,MATCH(U$1&amp;"|"&amp;(ROW()-1),Registre!$AA$2:$AA$2001,0)),"")</f>
        <v/>
      </c>
      <c r="V273">
        <f>IFERROR(INDEX(Registre!$B$2:$B$2001,MATCH(V$1&amp;"|"&amp;(ROW()-1),Registre!$AA$2:$AA$2001,0)),"")</f>
        <v/>
      </c>
    </row>
    <row r="274">
      <c r="O274">
        <f>IFERROR(INDEX(Registre!$B$2:$B$2001,MATCH(O$1&amp;"|"&amp;(ROW()-1),Registre!$AA$2:$AA$2001,0)),"")</f>
        <v/>
      </c>
      <c r="P274">
        <f>IFERROR(INDEX(Registre!$B$2:$B$2001,MATCH(P$1&amp;"|"&amp;(ROW()-1),Registre!$AA$2:$AA$2001,0)),"")</f>
        <v/>
      </c>
      <c r="Q274">
        <f>IFERROR(INDEX(Registre!$B$2:$B$2001,MATCH(Q$1&amp;"|"&amp;(ROW()-1),Registre!$AA$2:$AA$2001,0)),"")</f>
        <v/>
      </c>
      <c r="R274">
        <f>IFERROR(INDEX(Registre!$B$2:$B$2001,MATCH(R$1&amp;"|"&amp;(ROW()-1),Registre!$AA$2:$AA$2001,0)),"")</f>
        <v/>
      </c>
      <c r="S274">
        <f>IFERROR(INDEX(Registre!$B$2:$B$2001,MATCH(S$1&amp;"|"&amp;(ROW()-1),Registre!$AA$2:$AA$2001,0)),"")</f>
        <v/>
      </c>
      <c r="T274">
        <f>IFERROR(INDEX(Registre!$B$2:$B$2001,MATCH(T$1&amp;"|"&amp;(ROW()-1),Registre!$AA$2:$AA$2001,0)),"")</f>
        <v/>
      </c>
      <c r="U274">
        <f>IFERROR(INDEX(Registre!$B$2:$B$2001,MATCH(U$1&amp;"|"&amp;(ROW()-1),Registre!$AA$2:$AA$2001,0)),"")</f>
        <v/>
      </c>
      <c r="V274">
        <f>IFERROR(INDEX(Registre!$B$2:$B$2001,MATCH(V$1&amp;"|"&amp;(ROW()-1),Registre!$AA$2:$AA$2001,0)),"")</f>
        <v/>
      </c>
    </row>
    <row r="275">
      <c r="O275">
        <f>IFERROR(INDEX(Registre!$B$2:$B$2001,MATCH(O$1&amp;"|"&amp;(ROW()-1),Registre!$AA$2:$AA$2001,0)),"")</f>
        <v/>
      </c>
      <c r="P275">
        <f>IFERROR(INDEX(Registre!$B$2:$B$2001,MATCH(P$1&amp;"|"&amp;(ROW()-1),Registre!$AA$2:$AA$2001,0)),"")</f>
        <v/>
      </c>
      <c r="Q275">
        <f>IFERROR(INDEX(Registre!$B$2:$B$2001,MATCH(Q$1&amp;"|"&amp;(ROW()-1),Registre!$AA$2:$AA$2001,0)),"")</f>
        <v/>
      </c>
      <c r="R275">
        <f>IFERROR(INDEX(Registre!$B$2:$B$2001,MATCH(R$1&amp;"|"&amp;(ROW()-1),Registre!$AA$2:$AA$2001,0)),"")</f>
        <v/>
      </c>
      <c r="S275">
        <f>IFERROR(INDEX(Registre!$B$2:$B$2001,MATCH(S$1&amp;"|"&amp;(ROW()-1),Registre!$AA$2:$AA$2001,0)),"")</f>
        <v/>
      </c>
      <c r="T275">
        <f>IFERROR(INDEX(Registre!$B$2:$B$2001,MATCH(T$1&amp;"|"&amp;(ROW()-1),Registre!$AA$2:$AA$2001,0)),"")</f>
        <v/>
      </c>
      <c r="U275">
        <f>IFERROR(INDEX(Registre!$B$2:$B$2001,MATCH(U$1&amp;"|"&amp;(ROW()-1),Registre!$AA$2:$AA$2001,0)),"")</f>
        <v/>
      </c>
      <c r="V275">
        <f>IFERROR(INDEX(Registre!$B$2:$B$2001,MATCH(V$1&amp;"|"&amp;(ROW()-1),Registre!$AA$2:$AA$2001,0)),"")</f>
        <v/>
      </c>
    </row>
    <row r="276">
      <c r="O276">
        <f>IFERROR(INDEX(Registre!$B$2:$B$2001,MATCH(O$1&amp;"|"&amp;(ROW()-1),Registre!$AA$2:$AA$2001,0)),"")</f>
        <v/>
      </c>
      <c r="P276">
        <f>IFERROR(INDEX(Registre!$B$2:$B$2001,MATCH(P$1&amp;"|"&amp;(ROW()-1),Registre!$AA$2:$AA$2001,0)),"")</f>
        <v/>
      </c>
      <c r="Q276">
        <f>IFERROR(INDEX(Registre!$B$2:$B$2001,MATCH(Q$1&amp;"|"&amp;(ROW()-1),Registre!$AA$2:$AA$2001,0)),"")</f>
        <v/>
      </c>
      <c r="R276">
        <f>IFERROR(INDEX(Registre!$B$2:$B$2001,MATCH(R$1&amp;"|"&amp;(ROW()-1),Registre!$AA$2:$AA$2001,0)),"")</f>
        <v/>
      </c>
      <c r="S276">
        <f>IFERROR(INDEX(Registre!$B$2:$B$2001,MATCH(S$1&amp;"|"&amp;(ROW()-1),Registre!$AA$2:$AA$2001,0)),"")</f>
        <v/>
      </c>
      <c r="T276">
        <f>IFERROR(INDEX(Registre!$B$2:$B$2001,MATCH(T$1&amp;"|"&amp;(ROW()-1),Registre!$AA$2:$AA$2001,0)),"")</f>
        <v/>
      </c>
      <c r="U276">
        <f>IFERROR(INDEX(Registre!$B$2:$B$2001,MATCH(U$1&amp;"|"&amp;(ROW()-1),Registre!$AA$2:$AA$2001,0)),"")</f>
        <v/>
      </c>
      <c r="V276">
        <f>IFERROR(INDEX(Registre!$B$2:$B$2001,MATCH(V$1&amp;"|"&amp;(ROW()-1),Registre!$AA$2:$AA$2001,0)),"")</f>
        <v/>
      </c>
    </row>
    <row r="277">
      <c r="O277">
        <f>IFERROR(INDEX(Registre!$B$2:$B$2001,MATCH(O$1&amp;"|"&amp;(ROW()-1),Registre!$AA$2:$AA$2001,0)),"")</f>
        <v/>
      </c>
      <c r="P277">
        <f>IFERROR(INDEX(Registre!$B$2:$B$2001,MATCH(P$1&amp;"|"&amp;(ROW()-1),Registre!$AA$2:$AA$2001,0)),"")</f>
        <v/>
      </c>
      <c r="Q277">
        <f>IFERROR(INDEX(Registre!$B$2:$B$2001,MATCH(Q$1&amp;"|"&amp;(ROW()-1),Registre!$AA$2:$AA$2001,0)),"")</f>
        <v/>
      </c>
      <c r="R277">
        <f>IFERROR(INDEX(Registre!$B$2:$B$2001,MATCH(R$1&amp;"|"&amp;(ROW()-1),Registre!$AA$2:$AA$2001,0)),"")</f>
        <v/>
      </c>
      <c r="S277">
        <f>IFERROR(INDEX(Registre!$B$2:$B$2001,MATCH(S$1&amp;"|"&amp;(ROW()-1),Registre!$AA$2:$AA$2001,0)),"")</f>
        <v/>
      </c>
      <c r="T277">
        <f>IFERROR(INDEX(Registre!$B$2:$B$2001,MATCH(T$1&amp;"|"&amp;(ROW()-1),Registre!$AA$2:$AA$2001,0)),"")</f>
        <v/>
      </c>
      <c r="U277">
        <f>IFERROR(INDEX(Registre!$B$2:$B$2001,MATCH(U$1&amp;"|"&amp;(ROW()-1),Registre!$AA$2:$AA$2001,0)),"")</f>
        <v/>
      </c>
      <c r="V277">
        <f>IFERROR(INDEX(Registre!$B$2:$B$2001,MATCH(V$1&amp;"|"&amp;(ROW()-1),Registre!$AA$2:$AA$2001,0)),"")</f>
        <v/>
      </c>
    </row>
    <row r="278">
      <c r="O278">
        <f>IFERROR(INDEX(Registre!$B$2:$B$2001,MATCH(O$1&amp;"|"&amp;(ROW()-1),Registre!$AA$2:$AA$2001,0)),"")</f>
        <v/>
      </c>
      <c r="P278">
        <f>IFERROR(INDEX(Registre!$B$2:$B$2001,MATCH(P$1&amp;"|"&amp;(ROW()-1),Registre!$AA$2:$AA$2001,0)),"")</f>
        <v/>
      </c>
      <c r="Q278">
        <f>IFERROR(INDEX(Registre!$B$2:$B$2001,MATCH(Q$1&amp;"|"&amp;(ROW()-1),Registre!$AA$2:$AA$2001,0)),"")</f>
        <v/>
      </c>
      <c r="R278">
        <f>IFERROR(INDEX(Registre!$B$2:$B$2001,MATCH(R$1&amp;"|"&amp;(ROW()-1),Registre!$AA$2:$AA$2001,0)),"")</f>
        <v/>
      </c>
      <c r="S278">
        <f>IFERROR(INDEX(Registre!$B$2:$B$2001,MATCH(S$1&amp;"|"&amp;(ROW()-1),Registre!$AA$2:$AA$2001,0)),"")</f>
        <v/>
      </c>
      <c r="T278">
        <f>IFERROR(INDEX(Registre!$B$2:$B$2001,MATCH(T$1&amp;"|"&amp;(ROW()-1),Registre!$AA$2:$AA$2001,0)),"")</f>
        <v/>
      </c>
      <c r="U278">
        <f>IFERROR(INDEX(Registre!$B$2:$B$2001,MATCH(U$1&amp;"|"&amp;(ROW()-1),Registre!$AA$2:$AA$2001,0)),"")</f>
        <v/>
      </c>
      <c r="V278">
        <f>IFERROR(INDEX(Registre!$B$2:$B$2001,MATCH(V$1&amp;"|"&amp;(ROW()-1),Registre!$AA$2:$AA$2001,0)),"")</f>
        <v/>
      </c>
    </row>
    <row r="279">
      <c r="O279">
        <f>IFERROR(INDEX(Registre!$B$2:$B$2001,MATCH(O$1&amp;"|"&amp;(ROW()-1),Registre!$AA$2:$AA$2001,0)),"")</f>
        <v/>
      </c>
      <c r="P279">
        <f>IFERROR(INDEX(Registre!$B$2:$B$2001,MATCH(P$1&amp;"|"&amp;(ROW()-1),Registre!$AA$2:$AA$2001,0)),"")</f>
        <v/>
      </c>
      <c r="Q279">
        <f>IFERROR(INDEX(Registre!$B$2:$B$2001,MATCH(Q$1&amp;"|"&amp;(ROW()-1),Registre!$AA$2:$AA$2001,0)),"")</f>
        <v/>
      </c>
      <c r="R279">
        <f>IFERROR(INDEX(Registre!$B$2:$B$2001,MATCH(R$1&amp;"|"&amp;(ROW()-1),Registre!$AA$2:$AA$2001,0)),"")</f>
        <v/>
      </c>
      <c r="S279">
        <f>IFERROR(INDEX(Registre!$B$2:$B$2001,MATCH(S$1&amp;"|"&amp;(ROW()-1),Registre!$AA$2:$AA$2001,0)),"")</f>
        <v/>
      </c>
      <c r="T279">
        <f>IFERROR(INDEX(Registre!$B$2:$B$2001,MATCH(T$1&amp;"|"&amp;(ROW()-1),Registre!$AA$2:$AA$2001,0)),"")</f>
        <v/>
      </c>
      <c r="U279">
        <f>IFERROR(INDEX(Registre!$B$2:$B$2001,MATCH(U$1&amp;"|"&amp;(ROW()-1),Registre!$AA$2:$AA$2001,0)),"")</f>
        <v/>
      </c>
      <c r="V279">
        <f>IFERROR(INDEX(Registre!$B$2:$B$2001,MATCH(V$1&amp;"|"&amp;(ROW()-1),Registre!$AA$2:$AA$2001,0)),"")</f>
        <v/>
      </c>
    </row>
    <row r="280">
      <c r="O280">
        <f>IFERROR(INDEX(Registre!$B$2:$B$2001,MATCH(O$1&amp;"|"&amp;(ROW()-1),Registre!$AA$2:$AA$2001,0)),"")</f>
        <v/>
      </c>
      <c r="P280">
        <f>IFERROR(INDEX(Registre!$B$2:$B$2001,MATCH(P$1&amp;"|"&amp;(ROW()-1),Registre!$AA$2:$AA$2001,0)),"")</f>
        <v/>
      </c>
      <c r="Q280">
        <f>IFERROR(INDEX(Registre!$B$2:$B$2001,MATCH(Q$1&amp;"|"&amp;(ROW()-1),Registre!$AA$2:$AA$2001,0)),"")</f>
        <v/>
      </c>
      <c r="R280">
        <f>IFERROR(INDEX(Registre!$B$2:$B$2001,MATCH(R$1&amp;"|"&amp;(ROW()-1),Registre!$AA$2:$AA$2001,0)),"")</f>
        <v/>
      </c>
      <c r="S280">
        <f>IFERROR(INDEX(Registre!$B$2:$B$2001,MATCH(S$1&amp;"|"&amp;(ROW()-1),Registre!$AA$2:$AA$2001,0)),"")</f>
        <v/>
      </c>
      <c r="T280">
        <f>IFERROR(INDEX(Registre!$B$2:$B$2001,MATCH(T$1&amp;"|"&amp;(ROW()-1),Registre!$AA$2:$AA$2001,0)),"")</f>
        <v/>
      </c>
      <c r="U280">
        <f>IFERROR(INDEX(Registre!$B$2:$B$2001,MATCH(U$1&amp;"|"&amp;(ROW()-1),Registre!$AA$2:$AA$2001,0)),"")</f>
        <v/>
      </c>
      <c r="V280">
        <f>IFERROR(INDEX(Registre!$B$2:$B$2001,MATCH(V$1&amp;"|"&amp;(ROW()-1),Registre!$AA$2:$AA$2001,0)),"")</f>
        <v/>
      </c>
    </row>
    <row r="281">
      <c r="O281">
        <f>IFERROR(INDEX(Registre!$B$2:$B$2001,MATCH(O$1&amp;"|"&amp;(ROW()-1),Registre!$AA$2:$AA$2001,0)),"")</f>
        <v/>
      </c>
      <c r="P281">
        <f>IFERROR(INDEX(Registre!$B$2:$B$2001,MATCH(P$1&amp;"|"&amp;(ROW()-1),Registre!$AA$2:$AA$2001,0)),"")</f>
        <v/>
      </c>
      <c r="Q281">
        <f>IFERROR(INDEX(Registre!$B$2:$B$2001,MATCH(Q$1&amp;"|"&amp;(ROW()-1),Registre!$AA$2:$AA$2001,0)),"")</f>
        <v/>
      </c>
      <c r="R281">
        <f>IFERROR(INDEX(Registre!$B$2:$B$2001,MATCH(R$1&amp;"|"&amp;(ROW()-1),Registre!$AA$2:$AA$2001,0)),"")</f>
        <v/>
      </c>
      <c r="S281">
        <f>IFERROR(INDEX(Registre!$B$2:$B$2001,MATCH(S$1&amp;"|"&amp;(ROW()-1),Registre!$AA$2:$AA$2001,0)),"")</f>
        <v/>
      </c>
      <c r="T281">
        <f>IFERROR(INDEX(Registre!$B$2:$B$2001,MATCH(T$1&amp;"|"&amp;(ROW()-1),Registre!$AA$2:$AA$2001,0)),"")</f>
        <v/>
      </c>
      <c r="U281">
        <f>IFERROR(INDEX(Registre!$B$2:$B$2001,MATCH(U$1&amp;"|"&amp;(ROW()-1),Registre!$AA$2:$AA$2001,0)),"")</f>
        <v/>
      </c>
      <c r="V281">
        <f>IFERROR(INDEX(Registre!$B$2:$B$2001,MATCH(V$1&amp;"|"&amp;(ROW()-1),Registre!$AA$2:$AA$2001,0)),"")</f>
        <v/>
      </c>
    </row>
    <row r="282">
      <c r="O282">
        <f>IFERROR(INDEX(Registre!$B$2:$B$2001,MATCH(O$1&amp;"|"&amp;(ROW()-1),Registre!$AA$2:$AA$2001,0)),"")</f>
        <v/>
      </c>
      <c r="P282">
        <f>IFERROR(INDEX(Registre!$B$2:$B$2001,MATCH(P$1&amp;"|"&amp;(ROW()-1),Registre!$AA$2:$AA$2001,0)),"")</f>
        <v/>
      </c>
      <c r="Q282">
        <f>IFERROR(INDEX(Registre!$B$2:$B$2001,MATCH(Q$1&amp;"|"&amp;(ROW()-1),Registre!$AA$2:$AA$2001,0)),"")</f>
        <v/>
      </c>
      <c r="R282">
        <f>IFERROR(INDEX(Registre!$B$2:$B$2001,MATCH(R$1&amp;"|"&amp;(ROW()-1),Registre!$AA$2:$AA$2001,0)),"")</f>
        <v/>
      </c>
      <c r="S282">
        <f>IFERROR(INDEX(Registre!$B$2:$B$2001,MATCH(S$1&amp;"|"&amp;(ROW()-1),Registre!$AA$2:$AA$2001,0)),"")</f>
        <v/>
      </c>
      <c r="T282">
        <f>IFERROR(INDEX(Registre!$B$2:$B$2001,MATCH(T$1&amp;"|"&amp;(ROW()-1),Registre!$AA$2:$AA$2001,0)),"")</f>
        <v/>
      </c>
      <c r="U282">
        <f>IFERROR(INDEX(Registre!$B$2:$B$2001,MATCH(U$1&amp;"|"&amp;(ROW()-1),Registre!$AA$2:$AA$2001,0)),"")</f>
        <v/>
      </c>
      <c r="V282">
        <f>IFERROR(INDEX(Registre!$B$2:$B$2001,MATCH(V$1&amp;"|"&amp;(ROW()-1),Registre!$AA$2:$AA$2001,0)),"")</f>
        <v/>
      </c>
    </row>
    <row r="283">
      <c r="O283">
        <f>IFERROR(INDEX(Registre!$B$2:$B$2001,MATCH(O$1&amp;"|"&amp;(ROW()-1),Registre!$AA$2:$AA$2001,0)),"")</f>
        <v/>
      </c>
      <c r="P283">
        <f>IFERROR(INDEX(Registre!$B$2:$B$2001,MATCH(P$1&amp;"|"&amp;(ROW()-1),Registre!$AA$2:$AA$2001,0)),"")</f>
        <v/>
      </c>
      <c r="Q283">
        <f>IFERROR(INDEX(Registre!$B$2:$B$2001,MATCH(Q$1&amp;"|"&amp;(ROW()-1),Registre!$AA$2:$AA$2001,0)),"")</f>
        <v/>
      </c>
      <c r="R283">
        <f>IFERROR(INDEX(Registre!$B$2:$B$2001,MATCH(R$1&amp;"|"&amp;(ROW()-1),Registre!$AA$2:$AA$2001,0)),"")</f>
        <v/>
      </c>
      <c r="S283">
        <f>IFERROR(INDEX(Registre!$B$2:$B$2001,MATCH(S$1&amp;"|"&amp;(ROW()-1),Registre!$AA$2:$AA$2001,0)),"")</f>
        <v/>
      </c>
      <c r="T283">
        <f>IFERROR(INDEX(Registre!$B$2:$B$2001,MATCH(T$1&amp;"|"&amp;(ROW()-1),Registre!$AA$2:$AA$2001,0)),"")</f>
        <v/>
      </c>
      <c r="U283">
        <f>IFERROR(INDEX(Registre!$B$2:$B$2001,MATCH(U$1&amp;"|"&amp;(ROW()-1),Registre!$AA$2:$AA$2001,0)),"")</f>
        <v/>
      </c>
      <c r="V283">
        <f>IFERROR(INDEX(Registre!$B$2:$B$2001,MATCH(V$1&amp;"|"&amp;(ROW()-1),Registre!$AA$2:$AA$2001,0)),"")</f>
        <v/>
      </c>
    </row>
    <row r="284">
      <c r="O284">
        <f>IFERROR(INDEX(Registre!$B$2:$B$2001,MATCH(O$1&amp;"|"&amp;(ROW()-1),Registre!$AA$2:$AA$2001,0)),"")</f>
        <v/>
      </c>
      <c r="P284">
        <f>IFERROR(INDEX(Registre!$B$2:$B$2001,MATCH(P$1&amp;"|"&amp;(ROW()-1),Registre!$AA$2:$AA$2001,0)),"")</f>
        <v/>
      </c>
      <c r="Q284">
        <f>IFERROR(INDEX(Registre!$B$2:$B$2001,MATCH(Q$1&amp;"|"&amp;(ROW()-1),Registre!$AA$2:$AA$2001,0)),"")</f>
        <v/>
      </c>
      <c r="R284">
        <f>IFERROR(INDEX(Registre!$B$2:$B$2001,MATCH(R$1&amp;"|"&amp;(ROW()-1),Registre!$AA$2:$AA$2001,0)),"")</f>
        <v/>
      </c>
      <c r="S284">
        <f>IFERROR(INDEX(Registre!$B$2:$B$2001,MATCH(S$1&amp;"|"&amp;(ROW()-1),Registre!$AA$2:$AA$2001,0)),"")</f>
        <v/>
      </c>
      <c r="T284">
        <f>IFERROR(INDEX(Registre!$B$2:$B$2001,MATCH(T$1&amp;"|"&amp;(ROW()-1),Registre!$AA$2:$AA$2001,0)),"")</f>
        <v/>
      </c>
      <c r="U284">
        <f>IFERROR(INDEX(Registre!$B$2:$B$2001,MATCH(U$1&amp;"|"&amp;(ROW()-1),Registre!$AA$2:$AA$2001,0)),"")</f>
        <v/>
      </c>
      <c r="V284">
        <f>IFERROR(INDEX(Registre!$B$2:$B$2001,MATCH(V$1&amp;"|"&amp;(ROW()-1),Registre!$AA$2:$AA$2001,0)),"")</f>
        <v/>
      </c>
    </row>
    <row r="285">
      <c r="O285">
        <f>IFERROR(INDEX(Registre!$B$2:$B$2001,MATCH(O$1&amp;"|"&amp;(ROW()-1),Registre!$AA$2:$AA$2001,0)),"")</f>
        <v/>
      </c>
      <c r="P285">
        <f>IFERROR(INDEX(Registre!$B$2:$B$2001,MATCH(P$1&amp;"|"&amp;(ROW()-1),Registre!$AA$2:$AA$2001,0)),"")</f>
        <v/>
      </c>
      <c r="Q285">
        <f>IFERROR(INDEX(Registre!$B$2:$B$2001,MATCH(Q$1&amp;"|"&amp;(ROW()-1),Registre!$AA$2:$AA$2001,0)),"")</f>
        <v/>
      </c>
      <c r="R285">
        <f>IFERROR(INDEX(Registre!$B$2:$B$2001,MATCH(R$1&amp;"|"&amp;(ROW()-1),Registre!$AA$2:$AA$2001,0)),"")</f>
        <v/>
      </c>
      <c r="S285">
        <f>IFERROR(INDEX(Registre!$B$2:$B$2001,MATCH(S$1&amp;"|"&amp;(ROW()-1),Registre!$AA$2:$AA$2001,0)),"")</f>
        <v/>
      </c>
      <c r="T285">
        <f>IFERROR(INDEX(Registre!$B$2:$B$2001,MATCH(T$1&amp;"|"&amp;(ROW()-1),Registre!$AA$2:$AA$2001,0)),"")</f>
        <v/>
      </c>
      <c r="U285">
        <f>IFERROR(INDEX(Registre!$B$2:$B$2001,MATCH(U$1&amp;"|"&amp;(ROW()-1),Registre!$AA$2:$AA$2001,0)),"")</f>
        <v/>
      </c>
      <c r="V285">
        <f>IFERROR(INDEX(Registre!$B$2:$B$2001,MATCH(V$1&amp;"|"&amp;(ROW()-1),Registre!$AA$2:$AA$2001,0)),"")</f>
        <v/>
      </c>
    </row>
    <row r="286">
      <c r="O286">
        <f>IFERROR(INDEX(Registre!$B$2:$B$2001,MATCH(O$1&amp;"|"&amp;(ROW()-1),Registre!$AA$2:$AA$2001,0)),"")</f>
        <v/>
      </c>
      <c r="P286">
        <f>IFERROR(INDEX(Registre!$B$2:$B$2001,MATCH(P$1&amp;"|"&amp;(ROW()-1),Registre!$AA$2:$AA$2001,0)),"")</f>
        <v/>
      </c>
      <c r="Q286">
        <f>IFERROR(INDEX(Registre!$B$2:$B$2001,MATCH(Q$1&amp;"|"&amp;(ROW()-1),Registre!$AA$2:$AA$2001,0)),"")</f>
        <v/>
      </c>
      <c r="R286">
        <f>IFERROR(INDEX(Registre!$B$2:$B$2001,MATCH(R$1&amp;"|"&amp;(ROW()-1),Registre!$AA$2:$AA$2001,0)),"")</f>
        <v/>
      </c>
      <c r="S286">
        <f>IFERROR(INDEX(Registre!$B$2:$B$2001,MATCH(S$1&amp;"|"&amp;(ROW()-1),Registre!$AA$2:$AA$2001,0)),"")</f>
        <v/>
      </c>
      <c r="T286">
        <f>IFERROR(INDEX(Registre!$B$2:$B$2001,MATCH(T$1&amp;"|"&amp;(ROW()-1),Registre!$AA$2:$AA$2001,0)),"")</f>
        <v/>
      </c>
      <c r="U286">
        <f>IFERROR(INDEX(Registre!$B$2:$B$2001,MATCH(U$1&amp;"|"&amp;(ROW()-1),Registre!$AA$2:$AA$2001,0)),"")</f>
        <v/>
      </c>
      <c r="V286">
        <f>IFERROR(INDEX(Registre!$B$2:$B$2001,MATCH(V$1&amp;"|"&amp;(ROW()-1),Registre!$AA$2:$AA$2001,0)),"")</f>
        <v/>
      </c>
    </row>
    <row r="287">
      <c r="O287">
        <f>IFERROR(INDEX(Registre!$B$2:$B$2001,MATCH(O$1&amp;"|"&amp;(ROW()-1),Registre!$AA$2:$AA$2001,0)),"")</f>
        <v/>
      </c>
      <c r="P287">
        <f>IFERROR(INDEX(Registre!$B$2:$B$2001,MATCH(P$1&amp;"|"&amp;(ROW()-1),Registre!$AA$2:$AA$2001,0)),"")</f>
        <v/>
      </c>
      <c r="Q287">
        <f>IFERROR(INDEX(Registre!$B$2:$B$2001,MATCH(Q$1&amp;"|"&amp;(ROW()-1),Registre!$AA$2:$AA$2001,0)),"")</f>
        <v/>
      </c>
      <c r="R287">
        <f>IFERROR(INDEX(Registre!$B$2:$B$2001,MATCH(R$1&amp;"|"&amp;(ROW()-1),Registre!$AA$2:$AA$2001,0)),"")</f>
        <v/>
      </c>
      <c r="S287">
        <f>IFERROR(INDEX(Registre!$B$2:$B$2001,MATCH(S$1&amp;"|"&amp;(ROW()-1),Registre!$AA$2:$AA$2001,0)),"")</f>
        <v/>
      </c>
      <c r="T287">
        <f>IFERROR(INDEX(Registre!$B$2:$B$2001,MATCH(T$1&amp;"|"&amp;(ROW()-1),Registre!$AA$2:$AA$2001,0)),"")</f>
        <v/>
      </c>
      <c r="U287">
        <f>IFERROR(INDEX(Registre!$B$2:$B$2001,MATCH(U$1&amp;"|"&amp;(ROW()-1),Registre!$AA$2:$AA$2001,0)),"")</f>
        <v/>
      </c>
      <c r="V287">
        <f>IFERROR(INDEX(Registre!$B$2:$B$2001,MATCH(V$1&amp;"|"&amp;(ROW()-1),Registre!$AA$2:$AA$2001,0)),"")</f>
        <v/>
      </c>
    </row>
    <row r="288">
      <c r="O288">
        <f>IFERROR(INDEX(Registre!$B$2:$B$2001,MATCH(O$1&amp;"|"&amp;(ROW()-1),Registre!$AA$2:$AA$2001,0)),"")</f>
        <v/>
      </c>
      <c r="P288">
        <f>IFERROR(INDEX(Registre!$B$2:$B$2001,MATCH(P$1&amp;"|"&amp;(ROW()-1),Registre!$AA$2:$AA$2001,0)),"")</f>
        <v/>
      </c>
      <c r="Q288">
        <f>IFERROR(INDEX(Registre!$B$2:$B$2001,MATCH(Q$1&amp;"|"&amp;(ROW()-1),Registre!$AA$2:$AA$2001,0)),"")</f>
        <v/>
      </c>
      <c r="R288">
        <f>IFERROR(INDEX(Registre!$B$2:$B$2001,MATCH(R$1&amp;"|"&amp;(ROW()-1),Registre!$AA$2:$AA$2001,0)),"")</f>
        <v/>
      </c>
      <c r="S288">
        <f>IFERROR(INDEX(Registre!$B$2:$B$2001,MATCH(S$1&amp;"|"&amp;(ROW()-1),Registre!$AA$2:$AA$2001,0)),"")</f>
        <v/>
      </c>
      <c r="T288">
        <f>IFERROR(INDEX(Registre!$B$2:$B$2001,MATCH(T$1&amp;"|"&amp;(ROW()-1),Registre!$AA$2:$AA$2001,0)),"")</f>
        <v/>
      </c>
      <c r="U288">
        <f>IFERROR(INDEX(Registre!$B$2:$B$2001,MATCH(U$1&amp;"|"&amp;(ROW()-1),Registre!$AA$2:$AA$2001,0)),"")</f>
        <v/>
      </c>
      <c r="V288">
        <f>IFERROR(INDEX(Registre!$B$2:$B$2001,MATCH(V$1&amp;"|"&amp;(ROW()-1),Registre!$AA$2:$AA$2001,0)),"")</f>
        <v/>
      </c>
    </row>
    <row r="289">
      <c r="O289">
        <f>IFERROR(INDEX(Registre!$B$2:$B$2001,MATCH(O$1&amp;"|"&amp;(ROW()-1),Registre!$AA$2:$AA$2001,0)),"")</f>
        <v/>
      </c>
      <c r="P289">
        <f>IFERROR(INDEX(Registre!$B$2:$B$2001,MATCH(P$1&amp;"|"&amp;(ROW()-1),Registre!$AA$2:$AA$2001,0)),"")</f>
        <v/>
      </c>
      <c r="Q289">
        <f>IFERROR(INDEX(Registre!$B$2:$B$2001,MATCH(Q$1&amp;"|"&amp;(ROW()-1),Registre!$AA$2:$AA$2001,0)),"")</f>
        <v/>
      </c>
      <c r="R289">
        <f>IFERROR(INDEX(Registre!$B$2:$B$2001,MATCH(R$1&amp;"|"&amp;(ROW()-1),Registre!$AA$2:$AA$2001,0)),"")</f>
        <v/>
      </c>
      <c r="S289">
        <f>IFERROR(INDEX(Registre!$B$2:$B$2001,MATCH(S$1&amp;"|"&amp;(ROW()-1),Registre!$AA$2:$AA$2001,0)),"")</f>
        <v/>
      </c>
      <c r="T289">
        <f>IFERROR(INDEX(Registre!$B$2:$B$2001,MATCH(T$1&amp;"|"&amp;(ROW()-1),Registre!$AA$2:$AA$2001,0)),"")</f>
        <v/>
      </c>
      <c r="U289">
        <f>IFERROR(INDEX(Registre!$B$2:$B$2001,MATCH(U$1&amp;"|"&amp;(ROW()-1),Registre!$AA$2:$AA$2001,0)),"")</f>
        <v/>
      </c>
      <c r="V289">
        <f>IFERROR(INDEX(Registre!$B$2:$B$2001,MATCH(V$1&amp;"|"&amp;(ROW()-1),Registre!$AA$2:$AA$2001,0)),"")</f>
        <v/>
      </c>
    </row>
    <row r="290">
      <c r="O290">
        <f>IFERROR(INDEX(Registre!$B$2:$B$2001,MATCH(O$1&amp;"|"&amp;(ROW()-1),Registre!$AA$2:$AA$2001,0)),"")</f>
        <v/>
      </c>
      <c r="P290">
        <f>IFERROR(INDEX(Registre!$B$2:$B$2001,MATCH(P$1&amp;"|"&amp;(ROW()-1),Registre!$AA$2:$AA$2001,0)),"")</f>
        <v/>
      </c>
      <c r="Q290">
        <f>IFERROR(INDEX(Registre!$B$2:$B$2001,MATCH(Q$1&amp;"|"&amp;(ROW()-1),Registre!$AA$2:$AA$2001,0)),"")</f>
        <v/>
      </c>
      <c r="R290">
        <f>IFERROR(INDEX(Registre!$B$2:$B$2001,MATCH(R$1&amp;"|"&amp;(ROW()-1),Registre!$AA$2:$AA$2001,0)),"")</f>
        <v/>
      </c>
      <c r="S290">
        <f>IFERROR(INDEX(Registre!$B$2:$B$2001,MATCH(S$1&amp;"|"&amp;(ROW()-1),Registre!$AA$2:$AA$2001,0)),"")</f>
        <v/>
      </c>
      <c r="T290">
        <f>IFERROR(INDEX(Registre!$B$2:$B$2001,MATCH(T$1&amp;"|"&amp;(ROW()-1),Registre!$AA$2:$AA$2001,0)),"")</f>
        <v/>
      </c>
      <c r="U290">
        <f>IFERROR(INDEX(Registre!$B$2:$B$2001,MATCH(U$1&amp;"|"&amp;(ROW()-1),Registre!$AA$2:$AA$2001,0)),"")</f>
        <v/>
      </c>
      <c r="V290">
        <f>IFERROR(INDEX(Registre!$B$2:$B$2001,MATCH(V$1&amp;"|"&amp;(ROW()-1),Registre!$AA$2:$AA$2001,0)),"")</f>
        <v/>
      </c>
    </row>
    <row r="291">
      <c r="O291">
        <f>IFERROR(INDEX(Registre!$B$2:$B$2001,MATCH(O$1&amp;"|"&amp;(ROW()-1),Registre!$AA$2:$AA$2001,0)),"")</f>
        <v/>
      </c>
      <c r="P291">
        <f>IFERROR(INDEX(Registre!$B$2:$B$2001,MATCH(P$1&amp;"|"&amp;(ROW()-1),Registre!$AA$2:$AA$2001,0)),"")</f>
        <v/>
      </c>
      <c r="Q291">
        <f>IFERROR(INDEX(Registre!$B$2:$B$2001,MATCH(Q$1&amp;"|"&amp;(ROW()-1),Registre!$AA$2:$AA$2001,0)),"")</f>
        <v/>
      </c>
      <c r="R291">
        <f>IFERROR(INDEX(Registre!$B$2:$B$2001,MATCH(R$1&amp;"|"&amp;(ROW()-1),Registre!$AA$2:$AA$2001,0)),"")</f>
        <v/>
      </c>
      <c r="S291">
        <f>IFERROR(INDEX(Registre!$B$2:$B$2001,MATCH(S$1&amp;"|"&amp;(ROW()-1),Registre!$AA$2:$AA$2001,0)),"")</f>
        <v/>
      </c>
      <c r="T291">
        <f>IFERROR(INDEX(Registre!$B$2:$B$2001,MATCH(T$1&amp;"|"&amp;(ROW()-1),Registre!$AA$2:$AA$2001,0)),"")</f>
        <v/>
      </c>
      <c r="U291">
        <f>IFERROR(INDEX(Registre!$B$2:$B$2001,MATCH(U$1&amp;"|"&amp;(ROW()-1),Registre!$AA$2:$AA$2001,0)),"")</f>
        <v/>
      </c>
      <c r="V291">
        <f>IFERROR(INDEX(Registre!$B$2:$B$2001,MATCH(V$1&amp;"|"&amp;(ROW()-1),Registre!$AA$2:$AA$2001,0)),"")</f>
        <v/>
      </c>
    </row>
    <row r="292">
      <c r="O292">
        <f>IFERROR(INDEX(Registre!$B$2:$B$2001,MATCH(O$1&amp;"|"&amp;(ROW()-1),Registre!$AA$2:$AA$2001,0)),"")</f>
        <v/>
      </c>
      <c r="P292">
        <f>IFERROR(INDEX(Registre!$B$2:$B$2001,MATCH(P$1&amp;"|"&amp;(ROW()-1),Registre!$AA$2:$AA$2001,0)),"")</f>
        <v/>
      </c>
      <c r="Q292">
        <f>IFERROR(INDEX(Registre!$B$2:$B$2001,MATCH(Q$1&amp;"|"&amp;(ROW()-1),Registre!$AA$2:$AA$2001,0)),"")</f>
        <v/>
      </c>
      <c r="R292">
        <f>IFERROR(INDEX(Registre!$B$2:$B$2001,MATCH(R$1&amp;"|"&amp;(ROW()-1),Registre!$AA$2:$AA$2001,0)),"")</f>
        <v/>
      </c>
      <c r="S292">
        <f>IFERROR(INDEX(Registre!$B$2:$B$2001,MATCH(S$1&amp;"|"&amp;(ROW()-1),Registre!$AA$2:$AA$2001,0)),"")</f>
        <v/>
      </c>
      <c r="T292">
        <f>IFERROR(INDEX(Registre!$B$2:$B$2001,MATCH(T$1&amp;"|"&amp;(ROW()-1),Registre!$AA$2:$AA$2001,0)),"")</f>
        <v/>
      </c>
      <c r="U292">
        <f>IFERROR(INDEX(Registre!$B$2:$B$2001,MATCH(U$1&amp;"|"&amp;(ROW()-1),Registre!$AA$2:$AA$2001,0)),"")</f>
        <v/>
      </c>
      <c r="V292">
        <f>IFERROR(INDEX(Registre!$B$2:$B$2001,MATCH(V$1&amp;"|"&amp;(ROW()-1),Registre!$AA$2:$AA$2001,0)),"")</f>
        <v/>
      </c>
    </row>
    <row r="293">
      <c r="O293">
        <f>IFERROR(INDEX(Registre!$B$2:$B$2001,MATCH(O$1&amp;"|"&amp;(ROW()-1),Registre!$AA$2:$AA$2001,0)),"")</f>
        <v/>
      </c>
      <c r="P293">
        <f>IFERROR(INDEX(Registre!$B$2:$B$2001,MATCH(P$1&amp;"|"&amp;(ROW()-1),Registre!$AA$2:$AA$2001,0)),"")</f>
        <v/>
      </c>
      <c r="Q293">
        <f>IFERROR(INDEX(Registre!$B$2:$B$2001,MATCH(Q$1&amp;"|"&amp;(ROW()-1),Registre!$AA$2:$AA$2001,0)),"")</f>
        <v/>
      </c>
      <c r="R293">
        <f>IFERROR(INDEX(Registre!$B$2:$B$2001,MATCH(R$1&amp;"|"&amp;(ROW()-1),Registre!$AA$2:$AA$2001,0)),"")</f>
        <v/>
      </c>
      <c r="S293">
        <f>IFERROR(INDEX(Registre!$B$2:$B$2001,MATCH(S$1&amp;"|"&amp;(ROW()-1),Registre!$AA$2:$AA$2001,0)),"")</f>
        <v/>
      </c>
      <c r="T293">
        <f>IFERROR(INDEX(Registre!$B$2:$B$2001,MATCH(T$1&amp;"|"&amp;(ROW()-1),Registre!$AA$2:$AA$2001,0)),"")</f>
        <v/>
      </c>
      <c r="U293">
        <f>IFERROR(INDEX(Registre!$B$2:$B$2001,MATCH(U$1&amp;"|"&amp;(ROW()-1),Registre!$AA$2:$AA$2001,0)),"")</f>
        <v/>
      </c>
      <c r="V293">
        <f>IFERROR(INDEX(Registre!$B$2:$B$2001,MATCH(V$1&amp;"|"&amp;(ROW()-1),Registre!$AA$2:$AA$2001,0)),"")</f>
        <v/>
      </c>
    </row>
    <row r="294">
      <c r="O294">
        <f>IFERROR(INDEX(Registre!$B$2:$B$2001,MATCH(O$1&amp;"|"&amp;(ROW()-1),Registre!$AA$2:$AA$2001,0)),"")</f>
        <v/>
      </c>
      <c r="P294">
        <f>IFERROR(INDEX(Registre!$B$2:$B$2001,MATCH(P$1&amp;"|"&amp;(ROW()-1),Registre!$AA$2:$AA$2001,0)),"")</f>
        <v/>
      </c>
      <c r="Q294">
        <f>IFERROR(INDEX(Registre!$B$2:$B$2001,MATCH(Q$1&amp;"|"&amp;(ROW()-1),Registre!$AA$2:$AA$2001,0)),"")</f>
        <v/>
      </c>
      <c r="R294">
        <f>IFERROR(INDEX(Registre!$B$2:$B$2001,MATCH(R$1&amp;"|"&amp;(ROW()-1),Registre!$AA$2:$AA$2001,0)),"")</f>
        <v/>
      </c>
      <c r="S294">
        <f>IFERROR(INDEX(Registre!$B$2:$B$2001,MATCH(S$1&amp;"|"&amp;(ROW()-1),Registre!$AA$2:$AA$2001,0)),"")</f>
        <v/>
      </c>
      <c r="T294">
        <f>IFERROR(INDEX(Registre!$B$2:$B$2001,MATCH(T$1&amp;"|"&amp;(ROW()-1),Registre!$AA$2:$AA$2001,0)),"")</f>
        <v/>
      </c>
      <c r="U294">
        <f>IFERROR(INDEX(Registre!$B$2:$B$2001,MATCH(U$1&amp;"|"&amp;(ROW()-1),Registre!$AA$2:$AA$2001,0)),"")</f>
        <v/>
      </c>
      <c r="V294">
        <f>IFERROR(INDEX(Registre!$B$2:$B$2001,MATCH(V$1&amp;"|"&amp;(ROW()-1),Registre!$AA$2:$AA$2001,0)),"")</f>
        <v/>
      </c>
    </row>
    <row r="295">
      <c r="O295">
        <f>IFERROR(INDEX(Registre!$B$2:$B$2001,MATCH(O$1&amp;"|"&amp;(ROW()-1),Registre!$AA$2:$AA$2001,0)),"")</f>
        <v/>
      </c>
      <c r="P295">
        <f>IFERROR(INDEX(Registre!$B$2:$B$2001,MATCH(P$1&amp;"|"&amp;(ROW()-1),Registre!$AA$2:$AA$2001,0)),"")</f>
        <v/>
      </c>
      <c r="Q295">
        <f>IFERROR(INDEX(Registre!$B$2:$B$2001,MATCH(Q$1&amp;"|"&amp;(ROW()-1),Registre!$AA$2:$AA$2001,0)),"")</f>
        <v/>
      </c>
      <c r="R295">
        <f>IFERROR(INDEX(Registre!$B$2:$B$2001,MATCH(R$1&amp;"|"&amp;(ROW()-1),Registre!$AA$2:$AA$2001,0)),"")</f>
        <v/>
      </c>
      <c r="S295">
        <f>IFERROR(INDEX(Registre!$B$2:$B$2001,MATCH(S$1&amp;"|"&amp;(ROW()-1),Registre!$AA$2:$AA$2001,0)),"")</f>
        <v/>
      </c>
      <c r="T295">
        <f>IFERROR(INDEX(Registre!$B$2:$B$2001,MATCH(T$1&amp;"|"&amp;(ROW()-1),Registre!$AA$2:$AA$2001,0)),"")</f>
        <v/>
      </c>
      <c r="U295">
        <f>IFERROR(INDEX(Registre!$B$2:$B$2001,MATCH(U$1&amp;"|"&amp;(ROW()-1),Registre!$AA$2:$AA$2001,0)),"")</f>
        <v/>
      </c>
      <c r="V295">
        <f>IFERROR(INDEX(Registre!$B$2:$B$2001,MATCH(V$1&amp;"|"&amp;(ROW()-1),Registre!$AA$2:$AA$2001,0)),"")</f>
        <v/>
      </c>
    </row>
    <row r="296">
      <c r="O296">
        <f>IFERROR(INDEX(Registre!$B$2:$B$2001,MATCH(O$1&amp;"|"&amp;(ROW()-1),Registre!$AA$2:$AA$2001,0)),"")</f>
        <v/>
      </c>
      <c r="P296">
        <f>IFERROR(INDEX(Registre!$B$2:$B$2001,MATCH(P$1&amp;"|"&amp;(ROW()-1),Registre!$AA$2:$AA$2001,0)),"")</f>
        <v/>
      </c>
      <c r="Q296">
        <f>IFERROR(INDEX(Registre!$B$2:$B$2001,MATCH(Q$1&amp;"|"&amp;(ROW()-1),Registre!$AA$2:$AA$2001,0)),"")</f>
        <v/>
      </c>
      <c r="R296">
        <f>IFERROR(INDEX(Registre!$B$2:$B$2001,MATCH(R$1&amp;"|"&amp;(ROW()-1),Registre!$AA$2:$AA$2001,0)),"")</f>
        <v/>
      </c>
      <c r="S296">
        <f>IFERROR(INDEX(Registre!$B$2:$B$2001,MATCH(S$1&amp;"|"&amp;(ROW()-1),Registre!$AA$2:$AA$2001,0)),"")</f>
        <v/>
      </c>
      <c r="T296">
        <f>IFERROR(INDEX(Registre!$B$2:$B$2001,MATCH(T$1&amp;"|"&amp;(ROW()-1),Registre!$AA$2:$AA$2001,0)),"")</f>
        <v/>
      </c>
      <c r="U296">
        <f>IFERROR(INDEX(Registre!$B$2:$B$2001,MATCH(U$1&amp;"|"&amp;(ROW()-1),Registre!$AA$2:$AA$2001,0)),"")</f>
        <v/>
      </c>
      <c r="V296">
        <f>IFERROR(INDEX(Registre!$B$2:$B$2001,MATCH(V$1&amp;"|"&amp;(ROW()-1),Registre!$AA$2:$AA$2001,0)),"")</f>
        <v/>
      </c>
    </row>
    <row r="297">
      <c r="O297">
        <f>IFERROR(INDEX(Registre!$B$2:$B$2001,MATCH(O$1&amp;"|"&amp;(ROW()-1),Registre!$AA$2:$AA$2001,0)),"")</f>
        <v/>
      </c>
      <c r="P297">
        <f>IFERROR(INDEX(Registre!$B$2:$B$2001,MATCH(P$1&amp;"|"&amp;(ROW()-1),Registre!$AA$2:$AA$2001,0)),"")</f>
        <v/>
      </c>
      <c r="Q297">
        <f>IFERROR(INDEX(Registre!$B$2:$B$2001,MATCH(Q$1&amp;"|"&amp;(ROW()-1),Registre!$AA$2:$AA$2001,0)),"")</f>
        <v/>
      </c>
      <c r="R297">
        <f>IFERROR(INDEX(Registre!$B$2:$B$2001,MATCH(R$1&amp;"|"&amp;(ROW()-1),Registre!$AA$2:$AA$2001,0)),"")</f>
        <v/>
      </c>
      <c r="S297">
        <f>IFERROR(INDEX(Registre!$B$2:$B$2001,MATCH(S$1&amp;"|"&amp;(ROW()-1),Registre!$AA$2:$AA$2001,0)),"")</f>
        <v/>
      </c>
      <c r="T297">
        <f>IFERROR(INDEX(Registre!$B$2:$B$2001,MATCH(T$1&amp;"|"&amp;(ROW()-1),Registre!$AA$2:$AA$2001,0)),"")</f>
        <v/>
      </c>
      <c r="U297">
        <f>IFERROR(INDEX(Registre!$B$2:$B$2001,MATCH(U$1&amp;"|"&amp;(ROW()-1),Registre!$AA$2:$AA$2001,0)),"")</f>
        <v/>
      </c>
      <c r="V297">
        <f>IFERROR(INDEX(Registre!$B$2:$B$2001,MATCH(V$1&amp;"|"&amp;(ROW()-1),Registre!$AA$2:$AA$2001,0)),"")</f>
        <v/>
      </c>
    </row>
    <row r="298">
      <c r="O298">
        <f>IFERROR(INDEX(Registre!$B$2:$B$2001,MATCH(O$1&amp;"|"&amp;(ROW()-1),Registre!$AA$2:$AA$2001,0)),"")</f>
        <v/>
      </c>
      <c r="P298">
        <f>IFERROR(INDEX(Registre!$B$2:$B$2001,MATCH(P$1&amp;"|"&amp;(ROW()-1),Registre!$AA$2:$AA$2001,0)),"")</f>
        <v/>
      </c>
      <c r="Q298">
        <f>IFERROR(INDEX(Registre!$B$2:$B$2001,MATCH(Q$1&amp;"|"&amp;(ROW()-1),Registre!$AA$2:$AA$2001,0)),"")</f>
        <v/>
      </c>
      <c r="R298">
        <f>IFERROR(INDEX(Registre!$B$2:$B$2001,MATCH(R$1&amp;"|"&amp;(ROW()-1),Registre!$AA$2:$AA$2001,0)),"")</f>
        <v/>
      </c>
      <c r="S298">
        <f>IFERROR(INDEX(Registre!$B$2:$B$2001,MATCH(S$1&amp;"|"&amp;(ROW()-1),Registre!$AA$2:$AA$2001,0)),"")</f>
        <v/>
      </c>
      <c r="T298">
        <f>IFERROR(INDEX(Registre!$B$2:$B$2001,MATCH(T$1&amp;"|"&amp;(ROW()-1),Registre!$AA$2:$AA$2001,0)),"")</f>
        <v/>
      </c>
      <c r="U298">
        <f>IFERROR(INDEX(Registre!$B$2:$B$2001,MATCH(U$1&amp;"|"&amp;(ROW()-1),Registre!$AA$2:$AA$2001,0)),"")</f>
        <v/>
      </c>
      <c r="V298">
        <f>IFERROR(INDEX(Registre!$B$2:$B$2001,MATCH(V$1&amp;"|"&amp;(ROW()-1),Registre!$AA$2:$AA$2001,0)),"")</f>
        <v/>
      </c>
    </row>
    <row r="299">
      <c r="O299">
        <f>IFERROR(INDEX(Registre!$B$2:$B$2001,MATCH(O$1&amp;"|"&amp;(ROW()-1),Registre!$AA$2:$AA$2001,0)),"")</f>
        <v/>
      </c>
      <c r="P299">
        <f>IFERROR(INDEX(Registre!$B$2:$B$2001,MATCH(P$1&amp;"|"&amp;(ROW()-1),Registre!$AA$2:$AA$2001,0)),"")</f>
        <v/>
      </c>
      <c r="Q299">
        <f>IFERROR(INDEX(Registre!$B$2:$B$2001,MATCH(Q$1&amp;"|"&amp;(ROW()-1),Registre!$AA$2:$AA$2001,0)),"")</f>
        <v/>
      </c>
      <c r="R299">
        <f>IFERROR(INDEX(Registre!$B$2:$B$2001,MATCH(R$1&amp;"|"&amp;(ROW()-1),Registre!$AA$2:$AA$2001,0)),"")</f>
        <v/>
      </c>
      <c r="S299">
        <f>IFERROR(INDEX(Registre!$B$2:$B$2001,MATCH(S$1&amp;"|"&amp;(ROW()-1),Registre!$AA$2:$AA$2001,0)),"")</f>
        <v/>
      </c>
      <c r="T299">
        <f>IFERROR(INDEX(Registre!$B$2:$B$2001,MATCH(T$1&amp;"|"&amp;(ROW()-1),Registre!$AA$2:$AA$2001,0)),"")</f>
        <v/>
      </c>
      <c r="U299">
        <f>IFERROR(INDEX(Registre!$B$2:$B$2001,MATCH(U$1&amp;"|"&amp;(ROW()-1),Registre!$AA$2:$AA$2001,0)),"")</f>
        <v/>
      </c>
      <c r="V299">
        <f>IFERROR(INDEX(Registre!$B$2:$B$2001,MATCH(V$1&amp;"|"&amp;(ROW()-1),Registre!$AA$2:$AA$2001,0)),"")</f>
        <v/>
      </c>
    </row>
    <row r="300">
      <c r="O300">
        <f>IFERROR(INDEX(Registre!$B$2:$B$2001,MATCH(O$1&amp;"|"&amp;(ROW()-1),Registre!$AA$2:$AA$2001,0)),"")</f>
        <v/>
      </c>
      <c r="P300">
        <f>IFERROR(INDEX(Registre!$B$2:$B$2001,MATCH(P$1&amp;"|"&amp;(ROW()-1),Registre!$AA$2:$AA$2001,0)),"")</f>
        <v/>
      </c>
      <c r="Q300">
        <f>IFERROR(INDEX(Registre!$B$2:$B$2001,MATCH(Q$1&amp;"|"&amp;(ROW()-1),Registre!$AA$2:$AA$2001,0)),"")</f>
        <v/>
      </c>
      <c r="R300">
        <f>IFERROR(INDEX(Registre!$B$2:$B$2001,MATCH(R$1&amp;"|"&amp;(ROW()-1),Registre!$AA$2:$AA$2001,0)),"")</f>
        <v/>
      </c>
      <c r="S300">
        <f>IFERROR(INDEX(Registre!$B$2:$B$2001,MATCH(S$1&amp;"|"&amp;(ROW()-1),Registre!$AA$2:$AA$2001,0)),"")</f>
        <v/>
      </c>
      <c r="T300">
        <f>IFERROR(INDEX(Registre!$B$2:$B$2001,MATCH(T$1&amp;"|"&amp;(ROW()-1),Registre!$AA$2:$AA$2001,0)),"")</f>
        <v/>
      </c>
      <c r="U300">
        <f>IFERROR(INDEX(Registre!$B$2:$B$2001,MATCH(U$1&amp;"|"&amp;(ROW()-1),Registre!$AA$2:$AA$2001,0)),"")</f>
        <v/>
      </c>
      <c r="V300">
        <f>IFERROR(INDEX(Registre!$B$2:$B$2001,MATCH(V$1&amp;"|"&amp;(ROW()-1),Registre!$AA$2:$AA$2001,0)),"")</f>
        <v/>
      </c>
    </row>
    <row r="301">
      <c r="O301">
        <f>IFERROR(INDEX(Registre!$B$2:$B$2001,MATCH(O$1&amp;"|"&amp;(ROW()-1),Registre!$AA$2:$AA$2001,0)),"")</f>
        <v/>
      </c>
      <c r="P301">
        <f>IFERROR(INDEX(Registre!$B$2:$B$2001,MATCH(P$1&amp;"|"&amp;(ROW()-1),Registre!$AA$2:$AA$2001,0)),"")</f>
        <v/>
      </c>
      <c r="Q301">
        <f>IFERROR(INDEX(Registre!$B$2:$B$2001,MATCH(Q$1&amp;"|"&amp;(ROW()-1),Registre!$AA$2:$AA$2001,0)),"")</f>
        <v/>
      </c>
      <c r="R301">
        <f>IFERROR(INDEX(Registre!$B$2:$B$2001,MATCH(R$1&amp;"|"&amp;(ROW()-1),Registre!$AA$2:$AA$2001,0)),"")</f>
        <v/>
      </c>
      <c r="S301">
        <f>IFERROR(INDEX(Registre!$B$2:$B$2001,MATCH(S$1&amp;"|"&amp;(ROW()-1),Registre!$AA$2:$AA$2001,0)),"")</f>
        <v/>
      </c>
      <c r="T301">
        <f>IFERROR(INDEX(Registre!$B$2:$B$2001,MATCH(T$1&amp;"|"&amp;(ROW()-1),Registre!$AA$2:$AA$2001,0)),"")</f>
        <v/>
      </c>
      <c r="U301">
        <f>IFERROR(INDEX(Registre!$B$2:$B$2001,MATCH(U$1&amp;"|"&amp;(ROW()-1),Registre!$AA$2:$AA$2001,0)),"")</f>
        <v/>
      </c>
      <c r="V301">
        <f>IFERROR(INDEX(Registre!$B$2:$B$2001,MATCH(V$1&amp;"|"&amp;(ROW()-1),Registre!$AA$2:$AA$2001,0)),"")</f>
        <v/>
      </c>
    </row>
    <row r="302">
      <c r="O302">
        <f>IFERROR(INDEX(Registre!$B$2:$B$2001,MATCH(O$1&amp;"|"&amp;(ROW()-1),Registre!$AA$2:$AA$2001,0)),"")</f>
        <v/>
      </c>
      <c r="P302">
        <f>IFERROR(INDEX(Registre!$B$2:$B$2001,MATCH(P$1&amp;"|"&amp;(ROW()-1),Registre!$AA$2:$AA$2001,0)),"")</f>
        <v/>
      </c>
      <c r="Q302">
        <f>IFERROR(INDEX(Registre!$B$2:$B$2001,MATCH(Q$1&amp;"|"&amp;(ROW()-1),Registre!$AA$2:$AA$2001,0)),"")</f>
        <v/>
      </c>
      <c r="R302">
        <f>IFERROR(INDEX(Registre!$B$2:$B$2001,MATCH(R$1&amp;"|"&amp;(ROW()-1),Registre!$AA$2:$AA$2001,0)),"")</f>
        <v/>
      </c>
      <c r="S302">
        <f>IFERROR(INDEX(Registre!$B$2:$B$2001,MATCH(S$1&amp;"|"&amp;(ROW()-1),Registre!$AA$2:$AA$2001,0)),"")</f>
        <v/>
      </c>
      <c r="T302">
        <f>IFERROR(INDEX(Registre!$B$2:$B$2001,MATCH(T$1&amp;"|"&amp;(ROW()-1),Registre!$AA$2:$AA$2001,0)),"")</f>
        <v/>
      </c>
      <c r="U302">
        <f>IFERROR(INDEX(Registre!$B$2:$B$2001,MATCH(U$1&amp;"|"&amp;(ROW()-1),Registre!$AA$2:$AA$2001,0)),"")</f>
        <v/>
      </c>
      <c r="V302">
        <f>IFERROR(INDEX(Registre!$B$2:$B$2001,MATCH(V$1&amp;"|"&amp;(ROW()-1),Registre!$AA$2:$AA$2001,0)),"")</f>
        <v/>
      </c>
    </row>
    <row r="303">
      <c r="O303">
        <f>IFERROR(INDEX(Registre!$B$2:$B$2001,MATCH(O$1&amp;"|"&amp;(ROW()-1),Registre!$AA$2:$AA$2001,0)),"")</f>
        <v/>
      </c>
      <c r="P303">
        <f>IFERROR(INDEX(Registre!$B$2:$B$2001,MATCH(P$1&amp;"|"&amp;(ROW()-1),Registre!$AA$2:$AA$2001,0)),"")</f>
        <v/>
      </c>
      <c r="Q303">
        <f>IFERROR(INDEX(Registre!$B$2:$B$2001,MATCH(Q$1&amp;"|"&amp;(ROW()-1),Registre!$AA$2:$AA$2001,0)),"")</f>
        <v/>
      </c>
      <c r="R303">
        <f>IFERROR(INDEX(Registre!$B$2:$B$2001,MATCH(R$1&amp;"|"&amp;(ROW()-1),Registre!$AA$2:$AA$2001,0)),"")</f>
        <v/>
      </c>
      <c r="S303">
        <f>IFERROR(INDEX(Registre!$B$2:$B$2001,MATCH(S$1&amp;"|"&amp;(ROW()-1),Registre!$AA$2:$AA$2001,0)),"")</f>
        <v/>
      </c>
      <c r="T303">
        <f>IFERROR(INDEX(Registre!$B$2:$B$2001,MATCH(T$1&amp;"|"&amp;(ROW()-1),Registre!$AA$2:$AA$2001,0)),"")</f>
        <v/>
      </c>
      <c r="U303">
        <f>IFERROR(INDEX(Registre!$B$2:$B$2001,MATCH(U$1&amp;"|"&amp;(ROW()-1),Registre!$AA$2:$AA$2001,0)),"")</f>
        <v/>
      </c>
      <c r="V303">
        <f>IFERROR(INDEX(Registre!$B$2:$B$2001,MATCH(V$1&amp;"|"&amp;(ROW()-1),Registre!$AA$2:$AA$2001,0)),"")</f>
        <v/>
      </c>
    </row>
    <row r="304">
      <c r="O304">
        <f>IFERROR(INDEX(Registre!$B$2:$B$2001,MATCH(O$1&amp;"|"&amp;(ROW()-1),Registre!$AA$2:$AA$2001,0)),"")</f>
        <v/>
      </c>
      <c r="P304">
        <f>IFERROR(INDEX(Registre!$B$2:$B$2001,MATCH(P$1&amp;"|"&amp;(ROW()-1),Registre!$AA$2:$AA$2001,0)),"")</f>
        <v/>
      </c>
      <c r="Q304">
        <f>IFERROR(INDEX(Registre!$B$2:$B$2001,MATCH(Q$1&amp;"|"&amp;(ROW()-1),Registre!$AA$2:$AA$2001,0)),"")</f>
        <v/>
      </c>
      <c r="R304">
        <f>IFERROR(INDEX(Registre!$B$2:$B$2001,MATCH(R$1&amp;"|"&amp;(ROW()-1),Registre!$AA$2:$AA$2001,0)),"")</f>
        <v/>
      </c>
      <c r="S304">
        <f>IFERROR(INDEX(Registre!$B$2:$B$2001,MATCH(S$1&amp;"|"&amp;(ROW()-1),Registre!$AA$2:$AA$2001,0)),"")</f>
        <v/>
      </c>
      <c r="T304">
        <f>IFERROR(INDEX(Registre!$B$2:$B$2001,MATCH(T$1&amp;"|"&amp;(ROW()-1),Registre!$AA$2:$AA$2001,0)),"")</f>
        <v/>
      </c>
      <c r="U304">
        <f>IFERROR(INDEX(Registre!$B$2:$B$2001,MATCH(U$1&amp;"|"&amp;(ROW()-1),Registre!$AA$2:$AA$2001,0)),"")</f>
        <v/>
      </c>
      <c r="V304">
        <f>IFERROR(INDEX(Registre!$B$2:$B$2001,MATCH(V$1&amp;"|"&amp;(ROW()-1),Registre!$AA$2:$AA$2001,0)),"")</f>
        <v/>
      </c>
    </row>
    <row r="305">
      <c r="O305">
        <f>IFERROR(INDEX(Registre!$B$2:$B$2001,MATCH(O$1&amp;"|"&amp;(ROW()-1),Registre!$AA$2:$AA$2001,0)),"")</f>
        <v/>
      </c>
      <c r="P305">
        <f>IFERROR(INDEX(Registre!$B$2:$B$2001,MATCH(P$1&amp;"|"&amp;(ROW()-1),Registre!$AA$2:$AA$2001,0)),"")</f>
        <v/>
      </c>
      <c r="Q305">
        <f>IFERROR(INDEX(Registre!$B$2:$B$2001,MATCH(Q$1&amp;"|"&amp;(ROW()-1),Registre!$AA$2:$AA$2001,0)),"")</f>
        <v/>
      </c>
      <c r="R305">
        <f>IFERROR(INDEX(Registre!$B$2:$B$2001,MATCH(R$1&amp;"|"&amp;(ROW()-1),Registre!$AA$2:$AA$2001,0)),"")</f>
        <v/>
      </c>
      <c r="S305">
        <f>IFERROR(INDEX(Registre!$B$2:$B$2001,MATCH(S$1&amp;"|"&amp;(ROW()-1),Registre!$AA$2:$AA$2001,0)),"")</f>
        <v/>
      </c>
      <c r="T305">
        <f>IFERROR(INDEX(Registre!$B$2:$B$2001,MATCH(T$1&amp;"|"&amp;(ROW()-1),Registre!$AA$2:$AA$2001,0)),"")</f>
        <v/>
      </c>
      <c r="U305">
        <f>IFERROR(INDEX(Registre!$B$2:$B$2001,MATCH(U$1&amp;"|"&amp;(ROW()-1),Registre!$AA$2:$AA$2001,0)),"")</f>
        <v/>
      </c>
      <c r="V305">
        <f>IFERROR(INDEX(Registre!$B$2:$B$2001,MATCH(V$1&amp;"|"&amp;(ROW()-1),Registre!$AA$2:$AA$2001,0)),"")</f>
        <v/>
      </c>
    </row>
    <row r="306">
      <c r="O306">
        <f>IFERROR(INDEX(Registre!$B$2:$B$2001,MATCH(O$1&amp;"|"&amp;(ROW()-1),Registre!$AA$2:$AA$2001,0)),"")</f>
        <v/>
      </c>
      <c r="P306">
        <f>IFERROR(INDEX(Registre!$B$2:$B$2001,MATCH(P$1&amp;"|"&amp;(ROW()-1),Registre!$AA$2:$AA$2001,0)),"")</f>
        <v/>
      </c>
      <c r="Q306">
        <f>IFERROR(INDEX(Registre!$B$2:$B$2001,MATCH(Q$1&amp;"|"&amp;(ROW()-1),Registre!$AA$2:$AA$2001,0)),"")</f>
        <v/>
      </c>
      <c r="R306">
        <f>IFERROR(INDEX(Registre!$B$2:$B$2001,MATCH(R$1&amp;"|"&amp;(ROW()-1),Registre!$AA$2:$AA$2001,0)),"")</f>
        <v/>
      </c>
      <c r="S306">
        <f>IFERROR(INDEX(Registre!$B$2:$B$2001,MATCH(S$1&amp;"|"&amp;(ROW()-1),Registre!$AA$2:$AA$2001,0)),"")</f>
        <v/>
      </c>
      <c r="T306">
        <f>IFERROR(INDEX(Registre!$B$2:$B$2001,MATCH(T$1&amp;"|"&amp;(ROW()-1),Registre!$AA$2:$AA$2001,0)),"")</f>
        <v/>
      </c>
      <c r="U306">
        <f>IFERROR(INDEX(Registre!$B$2:$B$2001,MATCH(U$1&amp;"|"&amp;(ROW()-1),Registre!$AA$2:$AA$2001,0)),"")</f>
        <v/>
      </c>
      <c r="V306">
        <f>IFERROR(INDEX(Registre!$B$2:$B$2001,MATCH(V$1&amp;"|"&amp;(ROW()-1),Registre!$AA$2:$AA$2001,0)),"")</f>
        <v/>
      </c>
    </row>
    <row r="307">
      <c r="O307">
        <f>IFERROR(INDEX(Registre!$B$2:$B$2001,MATCH(O$1&amp;"|"&amp;(ROW()-1),Registre!$AA$2:$AA$2001,0)),"")</f>
        <v/>
      </c>
      <c r="P307">
        <f>IFERROR(INDEX(Registre!$B$2:$B$2001,MATCH(P$1&amp;"|"&amp;(ROW()-1),Registre!$AA$2:$AA$2001,0)),"")</f>
        <v/>
      </c>
      <c r="Q307">
        <f>IFERROR(INDEX(Registre!$B$2:$B$2001,MATCH(Q$1&amp;"|"&amp;(ROW()-1),Registre!$AA$2:$AA$2001,0)),"")</f>
        <v/>
      </c>
      <c r="R307">
        <f>IFERROR(INDEX(Registre!$B$2:$B$2001,MATCH(R$1&amp;"|"&amp;(ROW()-1),Registre!$AA$2:$AA$2001,0)),"")</f>
        <v/>
      </c>
      <c r="S307">
        <f>IFERROR(INDEX(Registre!$B$2:$B$2001,MATCH(S$1&amp;"|"&amp;(ROW()-1),Registre!$AA$2:$AA$2001,0)),"")</f>
        <v/>
      </c>
      <c r="T307">
        <f>IFERROR(INDEX(Registre!$B$2:$B$2001,MATCH(T$1&amp;"|"&amp;(ROW()-1),Registre!$AA$2:$AA$2001,0)),"")</f>
        <v/>
      </c>
      <c r="U307">
        <f>IFERROR(INDEX(Registre!$B$2:$B$2001,MATCH(U$1&amp;"|"&amp;(ROW()-1),Registre!$AA$2:$AA$2001,0)),"")</f>
        <v/>
      </c>
      <c r="V307">
        <f>IFERROR(INDEX(Registre!$B$2:$B$2001,MATCH(V$1&amp;"|"&amp;(ROW()-1),Registre!$AA$2:$AA$2001,0)),"")</f>
        <v/>
      </c>
    </row>
    <row r="308">
      <c r="O308">
        <f>IFERROR(INDEX(Registre!$B$2:$B$2001,MATCH(O$1&amp;"|"&amp;(ROW()-1),Registre!$AA$2:$AA$2001,0)),"")</f>
        <v/>
      </c>
      <c r="P308">
        <f>IFERROR(INDEX(Registre!$B$2:$B$2001,MATCH(P$1&amp;"|"&amp;(ROW()-1),Registre!$AA$2:$AA$2001,0)),"")</f>
        <v/>
      </c>
      <c r="Q308">
        <f>IFERROR(INDEX(Registre!$B$2:$B$2001,MATCH(Q$1&amp;"|"&amp;(ROW()-1),Registre!$AA$2:$AA$2001,0)),"")</f>
        <v/>
      </c>
      <c r="R308">
        <f>IFERROR(INDEX(Registre!$B$2:$B$2001,MATCH(R$1&amp;"|"&amp;(ROW()-1),Registre!$AA$2:$AA$2001,0)),"")</f>
        <v/>
      </c>
      <c r="S308">
        <f>IFERROR(INDEX(Registre!$B$2:$B$2001,MATCH(S$1&amp;"|"&amp;(ROW()-1),Registre!$AA$2:$AA$2001,0)),"")</f>
        <v/>
      </c>
      <c r="T308">
        <f>IFERROR(INDEX(Registre!$B$2:$B$2001,MATCH(T$1&amp;"|"&amp;(ROW()-1),Registre!$AA$2:$AA$2001,0)),"")</f>
        <v/>
      </c>
      <c r="U308">
        <f>IFERROR(INDEX(Registre!$B$2:$B$2001,MATCH(U$1&amp;"|"&amp;(ROW()-1),Registre!$AA$2:$AA$2001,0)),"")</f>
        <v/>
      </c>
      <c r="V308">
        <f>IFERROR(INDEX(Registre!$B$2:$B$2001,MATCH(V$1&amp;"|"&amp;(ROW()-1),Registre!$AA$2:$AA$2001,0)),"")</f>
        <v/>
      </c>
    </row>
    <row r="309">
      <c r="O309">
        <f>IFERROR(INDEX(Registre!$B$2:$B$2001,MATCH(O$1&amp;"|"&amp;(ROW()-1),Registre!$AA$2:$AA$2001,0)),"")</f>
        <v/>
      </c>
      <c r="P309">
        <f>IFERROR(INDEX(Registre!$B$2:$B$2001,MATCH(P$1&amp;"|"&amp;(ROW()-1),Registre!$AA$2:$AA$2001,0)),"")</f>
        <v/>
      </c>
      <c r="Q309">
        <f>IFERROR(INDEX(Registre!$B$2:$B$2001,MATCH(Q$1&amp;"|"&amp;(ROW()-1),Registre!$AA$2:$AA$2001,0)),"")</f>
        <v/>
      </c>
      <c r="R309">
        <f>IFERROR(INDEX(Registre!$B$2:$B$2001,MATCH(R$1&amp;"|"&amp;(ROW()-1),Registre!$AA$2:$AA$2001,0)),"")</f>
        <v/>
      </c>
      <c r="S309">
        <f>IFERROR(INDEX(Registre!$B$2:$B$2001,MATCH(S$1&amp;"|"&amp;(ROW()-1),Registre!$AA$2:$AA$2001,0)),"")</f>
        <v/>
      </c>
      <c r="T309">
        <f>IFERROR(INDEX(Registre!$B$2:$B$2001,MATCH(T$1&amp;"|"&amp;(ROW()-1),Registre!$AA$2:$AA$2001,0)),"")</f>
        <v/>
      </c>
      <c r="U309">
        <f>IFERROR(INDEX(Registre!$B$2:$B$2001,MATCH(U$1&amp;"|"&amp;(ROW()-1),Registre!$AA$2:$AA$2001,0)),"")</f>
        <v/>
      </c>
      <c r="V309">
        <f>IFERROR(INDEX(Registre!$B$2:$B$2001,MATCH(V$1&amp;"|"&amp;(ROW()-1),Registre!$AA$2:$AA$2001,0)),"")</f>
        <v/>
      </c>
    </row>
    <row r="310">
      <c r="O310">
        <f>IFERROR(INDEX(Registre!$B$2:$B$2001,MATCH(O$1&amp;"|"&amp;(ROW()-1),Registre!$AA$2:$AA$2001,0)),"")</f>
        <v/>
      </c>
      <c r="P310">
        <f>IFERROR(INDEX(Registre!$B$2:$B$2001,MATCH(P$1&amp;"|"&amp;(ROW()-1),Registre!$AA$2:$AA$2001,0)),"")</f>
        <v/>
      </c>
      <c r="Q310">
        <f>IFERROR(INDEX(Registre!$B$2:$B$2001,MATCH(Q$1&amp;"|"&amp;(ROW()-1),Registre!$AA$2:$AA$2001,0)),"")</f>
        <v/>
      </c>
      <c r="R310">
        <f>IFERROR(INDEX(Registre!$B$2:$B$2001,MATCH(R$1&amp;"|"&amp;(ROW()-1),Registre!$AA$2:$AA$2001,0)),"")</f>
        <v/>
      </c>
      <c r="S310">
        <f>IFERROR(INDEX(Registre!$B$2:$B$2001,MATCH(S$1&amp;"|"&amp;(ROW()-1),Registre!$AA$2:$AA$2001,0)),"")</f>
        <v/>
      </c>
      <c r="T310">
        <f>IFERROR(INDEX(Registre!$B$2:$B$2001,MATCH(T$1&amp;"|"&amp;(ROW()-1),Registre!$AA$2:$AA$2001,0)),"")</f>
        <v/>
      </c>
      <c r="U310">
        <f>IFERROR(INDEX(Registre!$B$2:$B$2001,MATCH(U$1&amp;"|"&amp;(ROW()-1),Registre!$AA$2:$AA$2001,0)),"")</f>
        <v/>
      </c>
      <c r="V310">
        <f>IFERROR(INDEX(Registre!$B$2:$B$2001,MATCH(V$1&amp;"|"&amp;(ROW()-1),Registre!$AA$2:$AA$2001,0)),"")</f>
        <v/>
      </c>
    </row>
    <row r="311">
      <c r="O311">
        <f>IFERROR(INDEX(Registre!$B$2:$B$2001,MATCH(O$1&amp;"|"&amp;(ROW()-1),Registre!$AA$2:$AA$2001,0)),"")</f>
        <v/>
      </c>
      <c r="P311">
        <f>IFERROR(INDEX(Registre!$B$2:$B$2001,MATCH(P$1&amp;"|"&amp;(ROW()-1),Registre!$AA$2:$AA$2001,0)),"")</f>
        <v/>
      </c>
      <c r="Q311">
        <f>IFERROR(INDEX(Registre!$B$2:$B$2001,MATCH(Q$1&amp;"|"&amp;(ROW()-1),Registre!$AA$2:$AA$2001,0)),"")</f>
        <v/>
      </c>
      <c r="R311">
        <f>IFERROR(INDEX(Registre!$B$2:$B$2001,MATCH(R$1&amp;"|"&amp;(ROW()-1),Registre!$AA$2:$AA$2001,0)),"")</f>
        <v/>
      </c>
      <c r="S311">
        <f>IFERROR(INDEX(Registre!$B$2:$B$2001,MATCH(S$1&amp;"|"&amp;(ROW()-1),Registre!$AA$2:$AA$2001,0)),"")</f>
        <v/>
      </c>
      <c r="T311">
        <f>IFERROR(INDEX(Registre!$B$2:$B$2001,MATCH(T$1&amp;"|"&amp;(ROW()-1),Registre!$AA$2:$AA$2001,0)),"")</f>
        <v/>
      </c>
      <c r="U311">
        <f>IFERROR(INDEX(Registre!$B$2:$B$2001,MATCH(U$1&amp;"|"&amp;(ROW()-1),Registre!$AA$2:$AA$2001,0)),"")</f>
        <v/>
      </c>
      <c r="V311">
        <f>IFERROR(INDEX(Registre!$B$2:$B$2001,MATCH(V$1&amp;"|"&amp;(ROW()-1),Registre!$AA$2:$AA$2001,0)),"")</f>
        <v/>
      </c>
    </row>
    <row r="312">
      <c r="O312">
        <f>IFERROR(INDEX(Registre!$B$2:$B$2001,MATCH(O$1&amp;"|"&amp;(ROW()-1),Registre!$AA$2:$AA$2001,0)),"")</f>
        <v/>
      </c>
      <c r="P312">
        <f>IFERROR(INDEX(Registre!$B$2:$B$2001,MATCH(P$1&amp;"|"&amp;(ROW()-1),Registre!$AA$2:$AA$2001,0)),"")</f>
        <v/>
      </c>
      <c r="Q312">
        <f>IFERROR(INDEX(Registre!$B$2:$B$2001,MATCH(Q$1&amp;"|"&amp;(ROW()-1),Registre!$AA$2:$AA$2001,0)),"")</f>
        <v/>
      </c>
      <c r="R312">
        <f>IFERROR(INDEX(Registre!$B$2:$B$2001,MATCH(R$1&amp;"|"&amp;(ROW()-1),Registre!$AA$2:$AA$2001,0)),"")</f>
        <v/>
      </c>
      <c r="S312">
        <f>IFERROR(INDEX(Registre!$B$2:$B$2001,MATCH(S$1&amp;"|"&amp;(ROW()-1),Registre!$AA$2:$AA$2001,0)),"")</f>
        <v/>
      </c>
      <c r="T312">
        <f>IFERROR(INDEX(Registre!$B$2:$B$2001,MATCH(T$1&amp;"|"&amp;(ROW()-1),Registre!$AA$2:$AA$2001,0)),"")</f>
        <v/>
      </c>
      <c r="U312">
        <f>IFERROR(INDEX(Registre!$B$2:$B$2001,MATCH(U$1&amp;"|"&amp;(ROW()-1),Registre!$AA$2:$AA$2001,0)),"")</f>
        <v/>
      </c>
      <c r="V312">
        <f>IFERROR(INDEX(Registre!$B$2:$B$2001,MATCH(V$1&amp;"|"&amp;(ROW()-1),Registre!$AA$2:$AA$2001,0)),"")</f>
        <v/>
      </c>
    </row>
    <row r="313">
      <c r="O313">
        <f>IFERROR(INDEX(Registre!$B$2:$B$2001,MATCH(O$1&amp;"|"&amp;(ROW()-1),Registre!$AA$2:$AA$2001,0)),"")</f>
        <v/>
      </c>
      <c r="P313">
        <f>IFERROR(INDEX(Registre!$B$2:$B$2001,MATCH(P$1&amp;"|"&amp;(ROW()-1),Registre!$AA$2:$AA$2001,0)),"")</f>
        <v/>
      </c>
      <c r="Q313">
        <f>IFERROR(INDEX(Registre!$B$2:$B$2001,MATCH(Q$1&amp;"|"&amp;(ROW()-1),Registre!$AA$2:$AA$2001,0)),"")</f>
        <v/>
      </c>
      <c r="R313">
        <f>IFERROR(INDEX(Registre!$B$2:$B$2001,MATCH(R$1&amp;"|"&amp;(ROW()-1),Registre!$AA$2:$AA$2001,0)),"")</f>
        <v/>
      </c>
      <c r="S313">
        <f>IFERROR(INDEX(Registre!$B$2:$B$2001,MATCH(S$1&amp;"|"&amp;(ROW()-1),Registre!$AA$2:$AA$2001,0)),"")</f>
        <v/>
      </c>
      <c r="T313">
        <f>IFERROR(INDEX(Registre!$B$2:$B$2001,MATCH(T$1&amp;"|"&amp;(ROW()-1),Registre!$AA$2:$AA$2001,0)),"")</f>
        <v/>
      </c>
      <c r="U313">
        <f>IFERROR(INDEX(Registre!$B$2:$B$2001,MATCH(U$1&amp;"|"&amp;(ROW()-1),Registre!$AA$2:$AA$2001,0)),"")</f>
        <v/>
      </c>
      <c r="V313">
        <f>IFERROR(INDEX(Registre!$B$2:$B$2001,MATCH(V$1&amp;"|"&amp;(ROW()-1),Registre!$AA$2:$AA$2001,0)),"")</f>
        <v/>
      </c>
    </row>
    <row r="314">
      <c r="O314">
        <f>IFERROR(INDEX(Registre!$B$2:$B$2001,MATCH(O$1&amp;"|"&amp;(ROW()-1),Registre!$AA$2:$AA$2001,0)),"")</f>
        <v/>
      </c>
      <c r="P314">
        <f>IFERROR(INDEX(Registre!$B$2:$B$2001,MATCH(P$1&amp;"|"&amp;(ROW()-1),Registre!$AA$2:$AA$2001,0)),"")</f>
        <v/>
      </c>
      <c r="Q314">
        <f>IFERROR(INDEX(Registre!$B$2:$B$2001,MATCH(Q$1&amp;"|"&amp;(ROW()-1),Registre!$AA$2:$AA$2001,0)),"")</f>
        <v/>
      </c>
      <c r="R314">
        <f>IFERROR(INDEX(Registre!$B$2:$B$2001,MATCH(R$1&amp;"|"&amp;(ROW()-1),Registre!$AA$2:$AA$2001,0)),"")</f>
        <v/>
      </c>
      <c r="S314">
        <f>IFERROR(INDEX(Registre!$B$2:$B$2001,MATCH(S$1&amp;"|"&amp;(ROW()-1),Registre!$AA$2:$AA$2001,0)),"")</f>
        <v/>
      </c>
      <c r="T314">
        <f>IFERROR(INDEX(Registre!$B$2:$B$2001,MATCH(T$1&amp;"|"&amp;(ROW()-1),Registre!$AA$2:$AA$2001,0)),"")</f>
        <v/>
      </c>
      <c r="U314">
        <f>IFERROR(INDEX(Registre!$B$2:$B$2001,MATCH(U$1&amp;"|"&amp;(ROW()-1),Registre!$AA$2:$AA$2001,0)),"")</f>
        <v/>
      </c>
      <c r="V314">
        <f>IFERROR(INDEX(Registre!$B$2:$B$2001,MATCH(V$1&amp;"|"&amp;(ROW()-1),Registre!$AA$2:$AA$2001,0)),"")</f>
        <v/>
      </c>
    </row>
    <row r="315">
      <c r="O315">
        <f>IFERROR(INDEX(Registre!$B$2:$B$2001,MATCH(O$1&amp;"|"&amp;(ROW()-1),Registre!$AA$2:$AA$2001,0)),"")</f>
        <v/>
      </c>
      <c r="P315">
        <f>IFERROR(INDEX(Registre!$B$2:$B$2001,MATCH(P$1&amp;"|"&amp;(ROW()-1),Registre!$AA$2:$AA$2001,0)),"")</f>
        <v/>
      </c>
      <c r="Q315">
        <f>IFERROR(INDEX(Registre!$B$2:$B$2001,MATCH(Q$1&amp;"|"&amp;(ROW()-1),Registre!$AA$2:$AA$2001,0)),"")</f>
        <v/>
      </c>
      <c r="R315">
        <f>IFERROR(INDEX(Registre!$B$2:$B$2001,MATCH(R$1&amp;"|"&amp;(ROW()-1),Registre!$AA$2:$AA$2001,0)),"")</f>
        <v/>
      </c>
      <c r="S315">
        <f>IFERROR(INDEX(Registre!$B$2:$B$2001,MATCH(S$1&amp;"|"&amp;(ROW()-1),Registre!$AA$2:$AA$2001,0)),"")</f>
        <v/>
      </c>
      <c r="T315">
        <f>IFERROR(INDEX(Registre!$B$2:$B$2001,MATCH(T$1&amp;"|"&amp;(ROW()-1),Registre!$AA$2:$AA$2001,0)),"")</f>
        <v/>
      </c>
      <c r="U315">
        <f>IFERROR(INDEX(Registre!$B$2:$B$2001,MATCH(U$1&amp;"|"&amp;(ROW()-1),Registre!$AA$2:$AA$2001,0)),"")</f>
        <v/>
      </c>
      <c r="V315">
        <f>IFERROR(INDEX(Registre!$B$2:$B$2001,MATCH(V$1&amp;"|"&amp;(ROW()-1),Registre!$AA$2:$AA$2001,0)),"")</f>
        <v/>
      </c>
    </row>
    <row r="316">
      <c r="O316">
        <f>IFERROR(INDEX(Registre!$B$2:$B$2001,MATCH(O$1&amp;"|"&amp;(ROW()-1),Registre!$AA$2:$AA$2001,0)),"")</f>
        <v/>
      </c>
      <c r="P316">
        <f>IFERROR(INDEX(Registre!$B$2:$B$2001,MATCH(P$1&amp;"|"&amp;(ROW()-1),Registre!$AA$2:$AA$2001,0)),"")</f>
        <v/>
      </c>
      <c r="Q316">
        <f>IFERROR(INDEX(Registre!$B$2:$B$2001,MATCH(Q$1&amp;"|"&amp;(ROW()-1),Registre!$AA$2:$AA$2001,0)),"")</f>
        <v/>
      </c>
      <c r="R316">
        <f>IFERROR(INDEX(Registre!$B$2:$B$2001,MATCH(R$1&amp;"|"&amp;(ROW()-1),Registre!$AA$2:$AA$2001,0)),"")</f>
        <v/>
      </c>
      <c r="S316">
        <f>IFERROR(INDEX(Registre!$B$2:$B$2001,MATCH(S$1&amp;"|"&amp;(ROW()-1),Registre!$AA$2:$AA$2001,0)),"")</f>
        <v/>
      </c>
      <c r="T316">
        <f>IFERROR(INDEX(Registre!$B$2:$B$2001,MATCH(T$1&amp;"|"&amp;(ROW()-1),Registre!$AA$2:$AA$2001,0)),"")</f>
        <v/>
      </c>
      <c r="U316">
        <f>IFERROR(INDEX(Registre!$B$2:$B$2001,MATCH(U$1&amp;"|"&amp;(ROW()-1),Registre!$AA$2:$AA$2001,0)),"")</f>
        <v/>
      </c>
      <c r="V316">
        <f>IFERROR(INDEX(Registre!$B$2:$B$2001,MATCH(V$1&amp;"|"&amp;(ROW()-1),Registre!$AA$2:$AA$2001,0)),"")</f>
        <v/>
      </c>
    </row>
    <row r="317">
      <c r="O317">
        <f>IFERROR(INDEX(Registre!$B$2:$B$2001,MATCH(O$1&amp;"|"&amp;(ROW()-1),Registre!$AA$2:$AA$2001,0)),"")</f>
        <v/>
      </c>
      <c r="P317">
        <f>IFERROR(INDEX(Registre!$B$2:$B$2001,MATCH(P$1&amp;"|"&amp;(ROW()-1),Registre!$AA$2:$AA$2001,0)),"")</f>
        <v/>
      </c>
      <c r="Q317">
        <f>IFERROR(INDEX(Registre!$B$2:$B$2001,MATCH(Q$1&amp;"|"&amp;(ROW()-1),Registre!$AA$2:$AA$2001,0)),"")</f>
        <v/>
      </c>
      <c r="R317">
        <f>IFERROR(INDEX(Registre!$B$2:$B$2001,MATCH(R$1&amp;"|"&amp;(ROW()-1),Registre!$AA$2:$AA$2001,0)),"")</f>
        <v/>
      </c>
      <c r="S317">
        <f>IFERROR(INDEX(Registre!$B$2:$B$2001,MATCH(S$1&amp;"|"&amp;(ROW()-1),Registre!$AA$2:$AA$2001,0)),"")</f>
        <v/>
      </c>
      <c r="T317">
        <f>IFERROR(INDEX(Registre!$B$2:$B$2001,MATCH(T$1&amp;"|"&amp;(ROW()-1),Registre!$AA$2:$AA$2001,0)),"")</f>
        <v/>
      </c>
      <c r="U317">
        <f>IFERROR(INDEX(Registre!$B$2:$B$2001,MATCH(U$1&amp;"|"&amp;(ROW()-1),Registre!$AA$2:$AA$2001,0)),"")</f>
        <v/>
      </c>
      <c r="V317">
        <f>IFERROR(INDEX(Registre!$B$2:$B$2001,MATCH(V$1&amp;"|"&amp;(ROW()-1),Registre!$AA$2:$AA$2001,0)),"")</f>
        <v/>
      </c>
    </row>
    <row r="318">
      <c r="O318">
        <f>IFERROR(INDEX(Registre!$B$2:$B$2001,MATCH(O$1&amp;"|"&amp;(ROW()-1),Registre!$AA$2:$AA$2001,0)),"")</f>
        <v/>
      </c>
      <c r="P318">
        <f>IFERROR(INDEX(Registre!$B$2:$B$2001,MATCH(P$1&amp;"|"&amp;(ROW()-1),Registre!$AA$2:$AA$2001,0)),"")</f>
        <v/>
      </c>
      <c r="Q318">
        <f>IFERROR(INDEX(Registre!$B$2:$B$2001,MATCH(Q$1&amp;"|"&amp;(ROW()-1),Registre!$AA$2:$AA$2001,0)),"")</f>
        <v/>
      </c>
      <c r="R318">
        <f>IFERROR(INDEX(Registre!$B$2:$B$2001,MATCH(R$1&amp;"|"&amp;(ROW()-1),Registre!$AA$2:$AA$2001,0)),"")</f>
        <v/>
      </c>
      <c r="S318">
        <f>IFERROR(INDEX(Registre!$B$2:$B$2001,MATCH(S$1&amp;"|"&amp;(ROW()-1),Registre!$AA$2:$AA$2001,0)),"")</f>
        <v/>
      </c>
      <c r="T318">
        <f>IFERROR(INDEX(Registre!$B$2:$B$2001,MATCH(T$1&amp;"|"&amp;(ROW()-1),Registre!$AA$2:$AA$2001,0)),"")</f>
        <v/>
      </c>
      <c r="U318">
        <f>IFERROR(INDEX(Registre!$B$2:$B$2001,MATCH(U$1&amp;"|"&amp;(ROW()-1),Registre!$AA$2:$AA$2001,0)),"")</f>
        <v/>
      </c>
      <c r="V318">
        <f>IFERROR(INDEX(Registre!$B$2:$B$2001,MATCH(V$1&amp;"|"&amp;(ROW()-1),Registre!$AA$2:$AA$2001,0)),"")</f>
        <v/>
      </c>
    </row>
    <row r="319">
      <c r="O319">
        <f>IFERROR(INDEX(Registre!$B$2:$B$2001,MATCH(O$1&amp;"|"&amp;(ROW()-1),Registre!$AA$2:$AA$2001,0)),"")</f>
        <v/>
      </c>
      <c r="P319">
        <f>IFERROR(INDEX(Registre!$B$2:$B$2001,MATCH(P$1&amp;"|"&amp;(ROW()-1),Registre!$AA$2:$AA$2001,0)),"")</f>
        <v/>
      </c>
      <c r="Q319">
        <f>IFERROR(INDEX(Registre!$B$2:$B$2001,MATCH(Q$1&amp;"|"&amp;(ROW()-1),Registre!$AA$2:$AA$2001,0)),"")</f>
        <v/>
      </c>
      <c r="R319">
        <f>IFERROR(INDEX(Registre!$B$2:$B$2001,MATCH(R$1&amp;"|"&amp;(ROW()-1),Registre!$AA$2:$AA$2001,0)),"")</f>
        <v/>
      </c>
      <c r="S319">
        <f>IFERROR(INDEX(Registre!$B$2:$B$2001,MATCH(S$1&amp;"|"&amp;(ROW()-1),Registre!$AA$2:$AA$2001,0)),"")</f>
        <v/>
      </c>
      <c r="T319">
        <f>IFERROR(INDEX(Registre!$B$2:$B$2001,MATCH(T$1&amp;"|"&amp;(ROW()-1),Registre!$AA$2:$AA$2001,0)),"")</f>
        <v/>
      </c>
      <c r="U319">
        <f>IFERROR(INDEX(Registre!$B$2:$B$2001,MATCH(U$1&amp;"|"&amp;(ROW()-1),Registre!$AA$2:$AA$2001,0)),"")</f>
        <v/>
      </c>
      <c r="V319">
        <f>IFERROR(INDEX(Registre!$B$2:$B$2001,MATCH(V$1&amp;"|"&amp;(ROW()-1),Registre!$AA$2:$AA$2001,0)),"")</f>
        <v/>
      </c>
    </row>
    <row r="320">
      <c r="O320">
        <f>IFERROR(INDEX(Registre!$B$2:$B$2001,MATCH(O$1&amp;"|"&amp;(ROW()-1),Registre!$AA$2:$AA$2001,0)),"")</f>
        <v/>
      </c>
      <c r="P320">
        <f>IFERROR(INDEX(Registre!$B$2:$B$2001,MATCH(P$1&amp;"|"&amp;(ROW()-1),Registre!$AA$2:$AA$2001,0)),"")</f>
        <v/>
      </c>
      <c r="Q320">
        <f>IFERROR(INDEX(Registre!$B$2:$B$2001,MATCH(Q$1&amp;"|"&amp;(ROW()-1),Registre!$AA$2:$AA$2001,0)),"")</f>
        <v/>
      </c>
      <c r="R320">
        <f>IFERROR(INDEX(Registre!$B$2:$B$2001,MATCH(R$1&amp;"|"&amp;(ROW()-1),Registre!$AA$2:$AA$2001,0)),"")</f>
        <v/>
      </c>
      <c r="S320">
        <f>IFERROR(INDEX(Registre!$B$2:$B$2001,MATCH(S$1&amp;"|"&amp;(ROW()-1),Registre!$AA$2:$AA$2001,0)),"")</f>
        <v/>
      </c>
      <c r="T320">
        <f>IFERROR(INDEX(Registre!$B$2:$B$2001,MATCH(T$1&amp;"|"&amp;(ROW()-1),Registre!$AA$2:$AA$2001,0)),"")</f>
        <v/>
      </c>
      <c r="U320">
        <f>IFERROR(INDEX(Registre!$B$2:$B$2001,MATCH(U$1&amp;"|"&amp;(ROW()-1),Registre!$AA$2:$AA$2001,0)),"")</f>
        <v/>
      </c>
      <c r="V320">
        <f>IFERROR(INDEX(Registre!$B$2:$B$2001,MATCH(V$1&amp;"|"&amp;(ROW()-1),Registre!$AA$2:$AA$2001,0)),"")</f>
        <v/>
      </c>
    </row>
    <row r="321">
      <c r="O321">
        <f>IFERROR(INDEX(Registre!$B$2:$B$2001,MATCH(O$1&amp;"|"&amp;(ROW()-1),Registre!$AA$2:$AA$2001,0)),"")</f>
        <v/>
      </c>
      <c r="P321">
        <f>IFERROR(INDEX(Registre!$B$2:$B$2001,MATCH(P$1&amp;"|"&amp;(ROW()-1),Registre!$AA$2:$AA$2001,0)),"")</f>
        <v/>
      </c>
      <c r="Q321">
        <f>IFERROR(INDEX(Registre!$B$2:$B$2001,MATCH(Q$1&amp;"|"&amp;(ROW()-1),Registre!$AA$2:$AA$2001,0)),"")</f>
        <v/>
      </c>
      <c r="R321">
        <f>IFERROR(INDEX(Registre!$B$2:$B$2001,MATCH(R$1&amp;"|"&amp;(ROW()-1),Registre!$AA$2:$AA$2001,0)),"")</f>
        <v/>
      </c>
      <c r="S321">
        <f>IFERROR(INDEX(Registre!$B$2:$B$2001,MATCH(S$1&amp;"|"&amp;(ROW()-1),Registre!$AA$2:$AA$2001,0)),"")</f>
        <v/>
      </c>
      <c r="T321">
        <f>IFERROR(INDEX(Registre!$B$2:$B$2001,MATCH(T$1&amp;"|"&amp;(ROW()-1),Registre!$AA$2:$AA$2001,0)),"")</f>
        <v/>
      </c>
      <c r="U321">
        <f>IFERROR(INDEX(Registre!$B$2:$B$2001,MATCH(U$1&amp;"|"&amp;(ROW()-1),Registre!$AA$2:$AA$2001,0)),"")</f>
        <v/>
      </c>
      <c r="V321">
        <f>IFERROR(INDEX(Registre!$B$2:$B$2001,MATCH(V$1&amp;"|"&amp;(ROW()-1),Registre!$AA$2:$AA$2001,0)),"")</f>
        <v/>
      </c>
    </row>
    <row r="322">
      <c r="O322">
        <f>IFERROR(INDEX(Registre!$B$2:$B$2001,MATCH(O$1&amp;"|"&amp;(ROW()-1),Registre!$AA$2:$AA$2001,0)),"")</f>
        <v/>
      </c>
      <c r="P322">
        <f>IFERROR(INDEX(Registre!$B$2:$B$2001,MATCH(P$1&amp;"|"&amp;(ROW()-1),Registre!$AA$2:$AA$2001,0)),"")</f>
        <v/>
      </c>
      <c r="Q322">
        <f>IFERROR(INDEX(Registre!$B$2:$B$2001,MATCH(Q$1&amp;"|"&amp;(ROW()-1),Registre!$AA$2:$AA$2001,0)),"")</f>
        <v/>
      </c>
      <c r="R322">
        <f>IFERROR(INDEX(Registre!$B$2:$B$2001,MATCH(R$1&amp;"|"&amp;(ROW()-1),Registre!$AA$2:$AA$2001,0)),"")</f>
        <v/>
      </c>
      <c r="S322">
        <f>IFERROR(INDEX(Registre!$B$2:$B$2001,MATCH(S$1&amp;"|"&amp;(ROW()-1),Registre!$AA$2:$AA$2001,0)),"")</f>
        <v/>
      </c>
      <c r="T322">
        <f>IFERROR(INDEX(Registre!$B$2:$B$2001,MATCH(T$1&amp;"|"&amp;(ROW()-1),Registre!$AA$2:$AA$2001,0)),"")</f>
        <v/>
      </c>
      <c r="U322">
        <f>IFERROR(INDEX(Registre!$B$2:$B$2001,MATCH(U$1&amp;"|"&amp;(ROW()-1),Registre!$AA$2:$AA$2001,0)),"")</f>
        <v/>
      </c>
      <c r="V322">
        <f>IFERROR(INDEX(Registre!$B$2:$B$2001,MATCH(V$1&amp;"|"&amp;(ROW()-1),Registre!$AA$2:$AA$2001,0)),"")</f>
        <v/>
      </c>
    </row>
    <row r="323">
      <c r="O323">
        <f>IFERROR(INDEX(Registre!$B$2:$B$2001,MATCH(O$1&amp;"|"&amp;(ROW()-1),Registre!$AA$2:$AA$2001,0)),"")</f>
        <v/>
      </c>
      <c r="P323">
        <f>IFERROR(INDEX(Registre!$B$2:$B$2001,MATCH(P$1&amp;"|"&amp;(ROW()-1),Registre!$AA$2:$AA$2001,0)),"")</f>
        <v/>
      </c>
      <c r="Q323">
        <f>IFERROR(INDEX(Registre!$B$2:$B$2001,MATCH(Q$1&amp;"|"&amp;(ROW()-1),Registre!$AA$2:$AA$2001,0)),"")</f>
        <v/>
      </c>
      <c r="R323">
        <f>IFERROR(INDEX(Registre!$B$2:$B$2001,MATCH(R$1&amp;"|"&amp;(ROW()-1),Registre!$AA$2:$AA$2001,0)),"")</f>
        <v/>
      </c>
      <c r="S323">
        <f>IFERROR(INDEX(Registre!$B$2:$B$2001,MATCH(S$1&amp;"|"&amp;(ROW()-1),Registre!$AA$2:$AA$2001,0)),"")</f>
        <v/>
      </c>
      <c r="T323">
        <f>IFERROR(INDEX(Registre!$B$2:$B$2001,MATCH(T$1&amp;"|"&amp;(ROW()-1),Registre!$AA$2:$AA$2001,0)),"")</f>
        <v/>
      </c>
      <c r="U323">
        <f>IFERROR(INDEX(Registre!$B$2:$B$2001,MATCH(U$1&amp;"|"&amp;(ROW()-1),Registre!$AA$2:$AA$2001,0)),"")</f>
        <v/>
      </c>
      <c r="V323">
        <f>IFERROR(INDEX(Registre!$B$2:$B$2001,MATCH(V$1&amp;"|"&amp;(ROW()-1),Registre!$AA$2:$AA$2001,0)),"")</f>
        <v/>
      </c>
    </row>
    <row r="324">
      <c r="O324">
        <f>IFERROR(INDEX(Registre!$B$2:$B$2001,MATCH(O$1&amp;"|"&amp;(ROW()-1),Registre!$AA$2:$AA$2001,0)),"")</f>
        <v/>
      </c>
      <c r="P324">
        <f>IFERROR(INDEX(Registre!$B$2:$B$2001,MATCH(P$1&amp;"|"&amp;(ROW()-1),Registre!$AA$2:$AA$2001,0)),"")</f>
        <v/>
      </c>
      <c r="Q324">
        <f>IFERROR(INDEX(Registre!$B$2:$B$2001,MATCH(Q$1&amp;"|"&amp;(ROW()-1),Registre!$AA$2:$AA$2001,0)),"")</f>
        <v/>
      </c>
      <c r="R324">
        <f>IFERROR(INDEX(Registre!$B$2:$B$2001,MATCH(R$1&amp;"|"&amp;(ROW()-1),Registre!$AA$2:$AA$2001,0)),"")</f>
        <v/>
      </c>
      <c r="S324">
        <f>IFERROR(INDEX(Registre!$B$2:$B$2001,MATCH(S$1&amp;"|"&amp;(ROW()-1),Registre!$AA$2:$AA$2001,0)),"")</f>
        <v/>
      </c>
      <c r="T324">
        <f>IFERROR(INDEX(Registre!$B$2:$B$2001,MATCH(T$1&amp;"|"&amp;(ROW()-1),Registre!$AA$2:$AA$2001,0)),"")</f>
        <v/>
      </c>
      <c r="U324">
        <f>IFERROR(INDEX(Registre!$B$2:$B$2001,MATCH(U$1&amp;"|"&amp;(ROW()-1),Registre!$AA$2:$AA$2001,0)),"")</f>
        <v/>
      </c>
      <c r="V324">
        <f>IFERROR(INDEX(Registre!$B$2:$B$2001,MATCH(V$1&amp;"|"&amp;(ROW()-1),Registre!$AA$2:$AA$2001,0)),"")</f>
        <v/>
      </c>
    </row>
    <row r="325">
      <c r="O325">
        <f>IFERROR(INDEX(Registre!$B$2:$B$2001,MATCH(O$1&amp;"|"&amp;(ROW()-1),Registre!$AA$2:$AA$2001,0)),"")</f>
        <v/>
      </c>
      <c r="P325">
        <f>IFERROR(INDEX(Registre!$B$2:$B$2001,MATCH(P$1&amp;"|"&amp;(ROW()-1),Registre!$AA$2:$AA$2001,0)),"")</f>
        <v/>
      </c>
      <c r="Q325">
        <f>IFERROR(INDEX(Registre!$B$2:$B$2001,MATCH(Q$1&amp;"|"&amp;(ROW()-1),Registre!$AA$2:$AA$2001,0)),"")</f>
        <v/>
      </c>
      <c r="R325">
        <f>IFERROR(INDEX(Registre!$B$2:$B$2001,MATCH(R$1&amp;"|"&amp;(ROW()-1),Registre!$AA$2:$AA$2001,0)),"")</f>
        <v/>
      </c>
      <c r="S325">
        <f>IFERROR(INDEX(Registre!$B$2:$B$2001,MATCH(S$1&amp;"|"&amp;(ROW()-1),Registre!$AA$2:$AA$2001,0)),"")</f>
        <v/>
      </c>
      <c r="T325">
        <f>IFERROR(INDEX(Registre!$B$2:$B$2001,MATCH(T$1&amp;"|"&amp;(ROW()-1),Registre!$AA$2:$AA$2001,0)),"")</f>
        <v/>
      </c>
      <c r="U325">
        <f>IFERROR(INDEX(Registre!$B$2:$B$2001,MATCH(U$1&amp;"|"&amp;(ROW()-1),Registre!$AA$2:$AA$2001,0)),"")</f>
        <v/>
      </c>
      <c r="V325">
        <f>IFERROR(INDEX(Registre!$B$2:$B$2001,MATCH(V$1&amp;"|"&amp;(ROW()-1),Registre!$AA$2:$AA$2001,0)),"")</f>
        <v/>
      </c>
    </row>
    <row r="326">
      <c r="O326">
        <f>IFERROR(INDEX(Registre!$B$2:$B$2001,MATCH(O$1&amp;"|"&amp;(ROW()-1),Registre!$AA$2:$AA$2001,0)),"")</f>
        <v/>
      </c>
      <c r="P326">
        <f>IFERROR(INDEX(Registre!$B$2:$B$2001,MATCH(P$1&amp;"|"&amp;(ROW()-1),Registre!$AA$2:$AA$2001,0)),"")</f>
        <v/>
      </c>
      <c r="Q326">
        <f>IFERROR(INDEX(Registre!$B$2:$B$2001,MATCH(Q$1&amp;"|"&amp;(ROW()-1),Registre!$AA$2:$AA$2001,0)),"")</f>
        <v/>
      </c>
      <c r="R326">
        <f>IFERROR(INDEX(Registre!$B$2:$B$2001,MATCH(R$1&amp;"|"&amp;(ROW()-1),Registre!$AA$2:$AA$2001,0)),"")</f>
        <v/>
      </c>
      <c r="S326">
        <f>IFERROR(INDEX(Registre!$B$2:$B$2001,MATCH(S$1&amp;"|"&amp;(ROW()-1),Registre!$AA$2:$AA$2001,0)),"")</f>
        <v/>
      </c>
      <c r="T326">
        <f>IFERROR(INDEX(Registre!$B$2:$B$2001,MATCH(T$1&amp;"|"&amp;(ROW()-1),Registre!$AA$2:$AA$2001,0)),"")</f>
        <v/>
      </c>
      <c r="U326">
        <f>IFERROR(INDEX(Registre!$B$2:$B$2001,MATCH(U$1&amp;"|"&amp;(ROW()-1),Registre!$AA$2:$AA$2001,0)),"")</f>
        <v/>
      </c>
      <c r="V326">
        <f>IFERROR(INDEX(Registre!$B$2:$B$2001,MATCH(V$1&amp;"|"&amp;(ROW()-1),Registre!$AA$2:$AA$2001,0)),"")</f>
        <v/>
      </c>
    </row>
    <row r="327">
      <c r="O327">
        <f>IFERROR(INDEX(Registre!$B$2:$B$2001,MATCH(O$1&amp;"|"&amp;(ROW()-1),Registre!$AA$2:$AA$2001,0)),"")</f>
        <v/>
      </c>
      <c r="P327">
        <f>IFERROR(INDEX(Registre!$B$2:$B$2001,MATCH(P$1&amp;"|"&amp;(ROW()-1),Registre!$AA$2:$AA$2001,0)),"")</f>
        <v/>
      </c>
      <c r="Q327">
        <f>IFERROR(INDEX(Registre!$B$2:$B$2001,MATCH(Q$1&amp;"|"&amp;(ROW()-1),Registre!$AA$2:$AA$2001,0)),"")</f>
        <v/>
      </c>
      <c r="R327">
        <f>IFERROR(INDEX(Registre!$B$2:$B$2001,MATCH(R$1&amp;"|"&amp;(ROW()-1),Registre!$AA$2:$AA$2001,0)),"")</f>
        <v/>
      </c>
      <c r="S327">
        <f>IFERROR(INDEX(Registre!$B$2:$B$2001,MATCH(S$1&amp;"|"&amp;(ROW()-1),Registre!$AA$2:$AA$2001,0)),"")</f>
        <v/>
      </c>
      <c r="T327">
        <f>IFERROR(INDEX(Registre!$B$2:$B$2001,MATCH(T$1&amp;"|"&amp;(ROW()-1),Registre!$AA$2:$AA$2001,0)),"")</f>
        <v/>
      </c>
      <c r="U327">
        <f>IFERROR(INDEX(Registre!$B$2:$B$2001,MATCH(U$1&amp;"|"&amp;(ROW()-1),Registre!$AA$2:$AA$2001,0)),"")</f>
        <v/>
      </c>
      <c r="V327">
        <f>IFERROR(INDEX(Registre!$B$2:$B$2001,MATCH(V$1&amp;"|"&amp;(ROW()-1),Registre!$AA$2:$AA$2001,0)),"")</f>
        <v/>
      </c>
    </row>
    <row r="328">
      <c r="O328">
        <f>IFERROR(INDEX(Registre!$B$2:$B$2001,MATCH(O$1&amp;"|"&amp;(ROW()-1),Registre!$AA$2:$AA$2001,0)),"")</f>
        <v/>
      </c>
      <c r="P328">
        <f>IFERROR(INDEX(Registre!$B$2:$B$2001,MATCH(P$1&amp;"|"&amp;(ROW()-1),Registre!$AA$2:$AA$2001,0)),"")</f>
        <v/>
      </c>
      <c r="Q328">
        <f>IFERROR(INDEX(Registre!$B$2:$B$2001,MATCH(Q$1&amp;"|"&amp;(ROW()-1),Registre!$AA$2:$AA$2001,0)),"")</f>
        <v/>
      </c>
      <c r="R328">
        <f>IFERROR(INDEX(Registre!$B$2:$B$2001,MATCH(R$1&amp;"|"&amp;(ROW()-1),Registre!$AA$2:$AA$2001,0)),"")</f>
        <v/>
      </c>
      <c r="S328">
        <f>IFERROR(INDEX(Registre!$B$2:$B$2001,MATCH(S$1&amp;"|"&amp;(ROW()-1),Registre!$AA$2:$AA$2001,0)),"")</f>
        <v/>
      </c>
      <c r="T328">
        <f>IFERROR(INDEX(Registre!$B$2:$B$2001,MATCH(T$1&amp;"|"&amp;(ROW()-1),Registre!$AA$2:$AA$2001,0)),"")</f>
        <v/>
      </c>
      <c r="U328">
        <f>IFERROR(INDEX(Registre!$B$2:$B$2001,MATCH(U$1&amp;"|"&amp;(ROW()-1),Registre!$AA$2:$AA$2001,0)),"")</f>
        <v/>
      </c>
      <c r="V328">
        <f>IFERROR(INDEX(Registre!$B$2:$B$2001,MATCH(V$1&amp;"|"&amp;(ROW()-1),Registre!$AA$2:$AA$2001,0)),"")</f>
        <v/>
      </c>
    </row>
    <row r="329">
      <c r="O329">
        <f>IFERROR(INDEX(Registre!$B$2:$B$2001,MATCH(O$1&amp;"|"&amp;(ROW()-1),Registre!$AA$2:$AA$2001,0)),"")</f>
        <v/>
      </c>
      <c r="P329">
        <f>IFERROR(INDEX(Registre!$B$2:$B$2001,MATCH(P$1&amp;"|"&amp;(ROW()-1),Registre!$AA$2:$AA$2001,0)),"")</f>
        <v/>
      </c>
      <c r="Q329">
        <f>IFERROR(INDEX(Registre!$B$2:$B$2001,MATCH(Q$1&amp;"|"&amp;(ROW()-1),Registre!$AA$2:$AA$2001,0)),"")</f>
        <v/>
      </c>
      <c r="R329">
        <f>IFERROR(INDEX(Registre!$B$2:$B$2001,MATCH(R$1&amp;"|"&amp;(ROW()-1),Registre!$AA$2:$AA$2001,0)),"")</f>
        <v/>
      </c>
      <c r="S329">
        <f>IFERROR(INDEX(Registre!$B$2:$B$2001,MATCH(S$1&amp;"|"&amp;(ROW()-1),Registre!$AA$2:$AA$2001,0)),"")</f>
        <v/>
      </c>
      <c r="T329">
        <f>IFERROR(INDEX(Registre!$B$2:$B$2001,MATCH(T$1&amp;"|"&amp;(ROW()-1),Registre!$AA$2:$AA$2001,0)),"")</f>
        <v/>
      </c>
      <c r="U329">
        <f>IFERROR(INDEX(Registre!$B$2:$B$2001,MATCH(U$1&amp;"|"&amp;(ROW()-1),Registre!$AA$2:$AA$2001,0)),"")</f>
        <v/>
      </c>
      <c r="V329">
        <f>IFERROR(INDEX(Registre!$B$2:$B$2001,MATCH(V$1&amp;"|"&amp;(ROW()-1),Registre!$AA$2:$AA$2001,0)),"")</f>
        <v/>
      </c>
    </row>
    <row r="330">
      <c r="O330">
        <f>IFERROR(INDEX(Registre!$B$2:$B$2001,MATCH(O$1&amp;"|"&amp;(ROW()-1),Registre!$AA$2:$AA$2001,0)),"")</f>
        <v/>
      </c>
      <c r="P330">
        <f>IFERROR(INDEX(Registre!$B$2:$B$2001,MATCH(P$1&amp;"|"&amp;(ROW()-1),Registre!$AA$2:$AA$2001,0)),"")</f>
        <v/>
      </c>
      <c r="Q330">
        <f>IFERROR(INDEX(Registre!$B$2:$B$2001,MATCH(Q$1&amp;"|"&amp;(ROW()-1),Registre!$AA$2:$AA$2001,0)),"")</f>
        <v/>
      </c>
      <c r="R330">
        <f>IFERROR(INDEX(Registre!$B$2:$B$2001,MATCH(R$1&amp;"|"&amp;(ROW()-1),Registre!$AA$2:$AA$2001,0)),"")</f>
        <v/>
      </c>
      <c r="S330">
        <f>IFERROR(INDEX(Registre!$B$2:$B$2001,MATCH(S$1&amp;"|"&amp;(ROW()-1),Registre!$AA$2:$AA$2001,0)),"")</f>
        <v/>
      </c>
      <c r="T330">
        <f>IFERROR(INDEX(Registre!$B$2:$B$2001,MATCH(T$1&amp;"|"&amp;(ROW()-1),Registre!$AA$2:$AA$2001,0)),"")</f>
        <v/>
      </c>
      <c r="U330">
        <f>IFERROR(INDEX(Registre!$B$2:$B$2001,MATCH(U$1&amp;"|"&amp;(ROW()-1),Registre!$AA$2:$AA$2001,0)),"")</f>
        <v/>
      </c>
      <c r="V330">
        <f>IFERROR(INDEX(Registre!$B$2:$B$2001,MATCH(V$1&amp;"|"&amp;(ROW()-1),Registre!$AA$2:$AA$2001,0)),"")</f>
        <v/>
      </c>
    </row>
    <row r="331">
      <c r="O331">
        <f>IFERROR(INDEX(Registre!$B$2:$B$2001,MATCH(O$1&amp;"|"&amp;(ROW()-1),Registre!$AA$2:$AA$2001,0)),"")</f>
        <v/>
      </c>
      <c r="P331">
        <f>IFERROR(INDEX(Registre!$B$2:$B$2001,MATCH(P$1&amp;"|"&amp;(ROW()-1),Registre!$AA$2:$AA$2001,0)),"")</f>
        <v/>
      </c>
      <c r="Q331">
        <f>IFERROR(INDEX(Registre!$B$2:$B$2001,MATCH(Q$1&amp;"|"&amp;(ROW()-1),Registre!$AA$2:$AA$2001,0)),"")</f>
        <v/>
      </c>
      <c r="R331">
        <f>IFERROR(INDEX(Registre!$B$2:$B$2001,MATCH(R$1&amp;"|"&amp;(ROW()-1),Registre!$AA$2:$AA$2001,0)),"")</f>
        <v/>
      </c>
      <c r="S331">
        <f>IFERROR(INDEX(Registre!$B$2:$B$2001,MATCH(S$1&amp;"|"&amp;(ROW()-1),Registre!$AA$2:$AA$2001,0)),"")</f>
        <v/>
      </c>
      <c r="T331">
        <f>IFERROR(INDEX(Registre!$B$2:$B$2001,MATCH(T$1&amp;"|"&amp;(ROW()-1),Registre!$AA$2:$AA$2001,0)),"")</f>
        <v/>
      </c>
      <c r="U331">
        <f>IFERROR(INDEX(Registre!$B$2:$B$2001,MATCH(U$1&amp;"|"&amp;(ROW()-1),Registre!$AA$2:$AA$2001,0)),"")</f>
        <v/>
      </c>
      <c r="V331">
        <f>IFERROR(INDEX(Registre!$B$2:$B$2001,MATCH(V$1&amp;"|"&amp;(ROW()-1),Registre!$AA$2:$AA$2001,0)),"")</f>
        <v/>
      </c>
    </row>
    <row r="332">
      <c r="O332">
        <f>IFERROR(INDEX(Registre!$B$2:$B$2001,MATCH(O$1&amp;"|"&amp;(ROW()-1),Registre!$AA$2:$AA$2001,0)),"")</f>
        <v/>
      </c>
      <c r="P332">
        <f>IFERROR(INDEX(Registre!$B$2:$B$2001,MATCH(P$1&amp;"|"&amp;(ROW()-1),Registre!$AA$2:$AA$2001,0)),"")</f>
        <v/>
      </c>
      <c r="Q332">
        <f>IFERROR(INDEX(Registre!$B$2:$B$2001,MATCH(Q$1&amp;"|"&amp;(ROW()-1),Registre!$AA$2:$AA$2001,0)),"")</f>
        <v/>
      </c>
      <c r="R332">
        <f>IFERROR(INDEX(Registre!$B$2:$B$2001,MATCH(R$1&amp;"|"&amp;(ROW()-1),Registre!$AA$2:$AA$2001,0)),"")</f>
        <v/>
      </c>
      <c r="S332">
        <f>IFERROR(INDEX(Registre!$B$2:$B$2001,MATCH(S$1&amp;"|"&amp;(ROW()-1),Registre!$AA$2:$AA$2001,0)),"")</f>
        <v/>
      </c>
      <c r="T332">
        <f>IFERROR(INDEX(Registre!$B$2:$B$2001,MATCH(T$1&amp;"|"&amp;(ROW()-1),Registre!$AA$2:$AA$2001,0)),"")</f>
        <v/>
      </c>
      <c r="U332">
        <f>IFERROR(INDEX(Registre!$B$2:$B$2001,MATCH(U$1&amp;"|"&amp;(ROW()-1),Registre!$AA$2:$AA$2001,0)),"")</f>
        <v/>
      </c>
      <c r="V332">
        <f>IFERROR(INDEX(Registre!$B$2:$B$2001,MATCH(V$1&amp;"|"&amp;(ROW()-1),Registre!$AA$2:$AA$2001,0)),"")</f>
        <v/>
      </c>
    </row>
    <row r="333">
      <c r="O333">
        <f>IFERROR(INDEX(Registre!$B$2:$B$2001,MATCH(O$1&amp;"|"&amp;(ROW()-1),Registre!$AA$2:$AA$2001,0)),"")</f>
        <v/>
      </c>
      <c r="P333">
        <f>IFERROR(INDEX(Registre!$B$2:$B$2001,MATCH(P$1&amp;"|"&amp;(ROW()-1),Registre!$AA$2:$AA$2001,0)),"")</f>
        <v/>
      </c>
      <c r="Q333">
        <f>IFERROR(INDEX(Registre!$B$2:$B$2001,MATCH(Q$1&amp;"|"&amp;(ROW()-1),Registre!$AA$2:$AA$2001,0)),"")</f>
        <v/>
      </c>
      <c r="R333">
        <f>IFERROR(INDEX(Registre!$B$2:$B$2001,MATCH(R$1&amp;"|"&amp;(ROW()-1),Registre!$AA$2:$AA$2001,0)),"")</f>
        <v/>
      </c>
      <c r="S333">
        <f>IFERROR(INDEX(Registre!$B$2:$B$2001,MATCH(S$1&amp;"|"&amp;(ROW()-1),Registre!$AA$2:$AA$2001,0)),"")</f>
        <v/>
      </c>
      <c r="T333">
        <f>IFERROR(INDEX(Registre!$B$2:$B$2001,MATCH(T$1&amp;"|"&amp;(ROW()-1),Registre!$AA$2:$AA$2001,0)),"")</f>
        <v/>
      </c>
      <c r="U333">
        <f>IFERROR(INDEX(Registre!$B$2:$B$2001,MATCH(U$1&amp;"|"&amp;(ROW()-1),Registre!$AA$2:$AA$2001,0)),"")</f>
        <v/>
      </c>
      <c r="V333">
        <f>IFERROR(INDEX(Registre!$B$2:$B$2001,MATCH(V$1&amp;"|"&amp;(ROW()-1),Registre!$AA$2:$AA$2001,0)),"")</f>
        <v/>
      </c>
    </row>
    <row r="334">
      <c r="O334">
        <f>IFERROR(INDEX(Registre!$B$2:$B$2001,MATCH(O$1&amp;"|"&amp;(ROW()-1),Registre!$AA$2:$AA$2001,0)),"")</f>
        <v/>
      </c>
      <c r="P334">
        <f>IFERROR(INDEX(Registre!$B$2:$B$2001,MATCH(P$1&amp;"|"&amp;(ROW()-1),Registre!$AA$2:$AA$2001,0)),"")</f>
        <v/>
      </c>
      <c r="Q334">
        <f>IFERROR(INDEX(Registre!$B$2:$B$2001,MATCH(Q$1&amp;"|"&amp;(ROW()-1),Registre!$AA$2:$AA$2001,0)),"")</f>
        <v/>
      </c>
      <c r="R334">
        <f>IFERROR(INDEX(Registre!$B$2:$B$2001,MATCH(R$1&amp;"|"&amp;(ROW()-1),Registre!$AA$2:$AA$2001,0)),"")</f>
        <v/>
      </c>
      <c r="S334">
        <f>IFERROR(INDEX(Registre!$B$2:$B$2001,MATCH(S$1&amp;"|"&amp;(ROW()-1),Registre!$AA$2:$AA$2001,0)),"")</f>
        <v/>
      </c>
      <c r="T334">
        <f>IFERROR(INDEX(Registre!$B$2:$B$2001,MATCH(T$1&amp;"|"&amp;(ROW()-1),Registre!$AA$2:$AA$2001,0)),"")</f>
        <v/>
      </c>
      <c r="U334">
        <f>IFERROR(INDEX(Registre!$B$2:$B$2001,MATCH(U$1&amp;"|"&amp;(ROW()-1),Registre!$AA$2:$AA$2001,0)),"")</f>
        <v/>
      </c>
      <c r="V334">
        <f>IFERROR(INDEX(Registre!$B$2:$B$2001,MATCH(V$1&amp;"|"&amp;(ROW()-1),Registre!$AA$2:$AA$2001,0)),"")</f>
        <v/>
      </c>
    </row>
    <row r="335">
      <c r="O335">
        <f>IFERROR(INDEX(Registre!$B$2:$B$2001,MATCH(O$1&amp;"|"&amp;(ROW()-1),Registre!$AA$2:$AA$2001,0)),"")</f>
        <v/>
      </c>
      <c r="P335">
        <f>IFERROR(INDEX(Registre!$B$2:$B$2001,MATCH(P$1&amp;"|"&amp;(ROW()-1),Registre!$AA$2:$AA$2001,0)),"")</f>
        <v/>
      </c>
      <c r="Q335">
        <f>IFERROR(INDEX(Registre!$B$2:$B$2001,MATCH(Q$1&amp;"|"&amp;(ROW()-1),Registre!$AA$2:$AA$2001,0)),"")</f>
        <v/>
      </c>
      <c r="R335">
        <f>IFERROR(INDEX(Registre!$B$2:$B$2001,MATCH(R$1&amp;"|"&amp;(ROW()-1),Registre!$AA$2:$AA$2001,0)),"")</f>
        <v/>
      </c>
      <c r="S335">
        <f>IFERROR(INDEX(Registre!$B$2:$B$2001,MATCH(S$1&amp;"|"&amp;(ROW()-1),Registre!$AA$2:$AA$2001,0)),"")</f>
        <v/>
      </c>
      <c r="T335">
        <f>IFERROR(INDEX(Registre!$B$2:$B$2001,MATCH(T$1&amp;"|"&amp;(ROW()-1),Registre!$AA$2:$AA$2001,0)),"")</f>
        <v/>
      </c>
      <c r="U335">
        <f>IFERROR(INDEX(Registre!$B$2:$B$2001,MATCH(U$1&amp;"|"&amp;(ROW()-1),Registre!$AA$2:$AA$2001,0)),"")</f>
        <v/>
      </c>
      <c r="V335">
        <f>IFERROR(INDEX(Registre!$B$2:$B$2001,MATCH(V$1&amp;"|"&amp;(ROW()-1),Registre!$AA$2:$AA$2001,0)),"")</f>
        <v/>
      </c>
    </row>
    <row r="336">
      <c r="O336">
        <f>IFERROR(INDEX(Registre!$B$2:$B$2001,MATCH(O$1&amp;"|"&amp;(ROW()-1),Registre!$AA$2:$AA$2001,0)),"")</f>
        <v/>
      </c>
      <c r="P336">
        <f>IFERROR(INDEX(Registre!$B$2:$B$2001,MATCH(P$1&amp;"|"&amp;(ROW()-1),Registre!$AA$2:$AA$2001,0)),"")</f>
        <v/>
      </c>
      <c r="Q336">
        <f>IFERROR(INDEX(Registre!$B$2:$B$2001,MATCH(Q$1&amp;"|"&amp;(ROW()-1),Registre!$AA$2:$AA$2001,0)),"")</f>
        <v/>
      </c>
      <c r="R336">
        <f>IFERROR(INDEX(Registre!$B$2:$B$2001,MATCH(R$1&amp;"|"&amp;(ROW()-1),Registre!$AA$2:$AA$2001,0)),"")</f>
        <v/>
      </c>
      <c r="S336">
        <f>IFERROR(INDEX(Registre!$B$2:$B$2001,MATCH(S$1&amp;"|"&amp;(ROW()-1),Registre!$AA$2:$AA$2001,0)),"")</f>
        <v/>
      </c>
      <c r="T336">
        <f>IFERROR(INDEX(Registre!$B$2:$B$2001,MATCH(T$1&amp;"|"&amp;(ROW()-1),Registre!$AA$2:$AA$2001,0)),"")</f>
        <v/>
      </c>
      <c r="U336">
        <f>IFERROR(INDEX(Registre!$B$2:$B$2001,MATCH(U$1&amp;"|"&amp;(ROW()-1),Registre!$AA$2:$AA$2001,0)),"")</f>
        <v/>
      </c>
      <c r="V336">
        <f>IFERROR(INDEX(Registre!$B$2:$B$2001,MATCH(V$1&amp;"|"&amp;(ROW()-1),Registre!$AA$2:$AA$2001,0)),"")</f>
        <v/>
      </c>
    </row>
    <row r="337">
      <c r="O337">
        <f>IFERROR(INDEX(Registre!$B$2:$B$2001,MATCH(O$1&amp;"|"&amp;(ROW()-1),Registre!$AA$2:$AA$2001,0)),"")</f>
        <v/>
      </c>
      <c r="P337">
        <f>IFERROR(INDEX(Registre!$B$2:$B$2001,MATCH(P$1&amp;"|"&amp;(ROW()-1),Registre!$AA$2:$AA$2001,0)),"")</f>
        <v/>
      </c>
      <c r="Q337">
        <f>IFERROR(INDEX(Registre!$B$2:$B$2001,MATCH(Q$1&amp;"|"&amp;(ROW()-1),Registre!$AA$2:$AA$2001,0)),"")</f>
        <v/>
      </c>
      <c r="R337">
        <f>IFERROR(INDEX(Registre!$B$2:$B$2001,MATCH(R$1&amp;"|"&amp;(ROW()-1),Registre!$AA$2:$AA$2001,0)),"")</f>
        <v/>
      </c>
      <c r="S337">
        <f>IFERROR(INDEX(Registre!$B$2:$B$2001,MATCH(S$1&amp;"|"&amp;(ROW()-1),Registre!$AA$2:$AA$2001,0)),"")</f>
        <v/>
      </c>
      <c r="T337">
        <f>IFERROR(INDEX(Registre!$B$2:$B$2001,MATCH(T$1&amp;"|"&amp;(ROW()-1),Registre!$AA$2:$AA$2001,0)),"")</f>
        <v/>
      </c>
      <c r="U337">
        <f>IFERROR(INDEX(Registre!$B$2:$B$2001,MATCH(U$1&amp;"|"&amp;(ROW()-1),Registre!$AA$2:$AA$2001,0)),"")</f>
        <v/>
      </c>
      <c r="V337">
        <f>IFERROR(INDEX(Registre!$B$2:$B$2001,MATCH(V$1&amp;"|"&amp;(ROW()-1),Registre!$AA$2:$AA$2001,0)),"")</f>
        <v/>
      </c>
    </row>
    <row r="338">
      <c r="O338">
        <f>IFERROR(INDEX(Registre!$B$2:$B$2001,MATCH(O$1&amp;"|"&amp;(ROW()-1),Registre!$AA$2:$AA$2001,0)),"")</f>
        <v/>
      </c>
      <c r="P338">
        <f>IFERROR(INDEX(Registre!$B$2:$B$2001,MATCH(P$1&amp;"|"&amp;(ROW()-1),Registre!$AA$2:$AA$2001,0)),"")</f>
        <v/>
      </c>
      <c r="Q338">
        <f>IFERROR(INDEX(Registre!$B$2:$B$2001,MATCH(Q$1&amp;"|"&amp;(ROW()-1),Registre!$AA$2:$AA$2001,0)),"")</f>
        <v/>
      </c>
      <c r="R338">
        <f>IFERROR(INDEX(Registre!$B$2:$B$2001,MATCH(R$1&amp;"|"&amp;(ROW()-1),Registre!$AA$2:$AA$2001,0)),"")</f>
        <v/>
      </c>
      <c r="S338">
        <f>IFERROR(INDEX(Registre!$B$2:$B$2001,MATCH(S$1&amp;"|"&amp;(ROW()-1),Registre!$AA$2:$AA$2001,0)),"")</f>
        <v/>
      </c>
      <c r="T338">
        <f>IFERROR(INDEX(Registre!$B$2:$B$2001,MATCH(T$1&amp;"|"&amp;(ROW()-1),Registre!$AA$2:$AA$2001,0)),"")</f>
        <v/>
      </c>
      <c r="U338">
        <f>IFERROR(INDEX(Registre!$B$2:$B$2001,MATCH(U$1&amp;"|"&amp;(ROW()-1),Registre!$AA$2:$AA$2001,0)),"")</f>
        <v/>
      </c>
      <c r="V338">
        <f>IFERROR(INDEX(Registre!$B$2:$B$2001,MATCH(V$1&amp;"|"&amp;(ROW()-1),Registre!$AA$2:$AA$2001,0)),"")</f>
        <v/>
      </c>
    </row>
    <row r="339">
      <c r="O339">
        <f>IFERROR(INDEX(Registre!$B$2:$B$2001,MATCH(O$1&amp;"|"&amp;(ROW()-1),Registre!$AA$2:$AA$2001,0)),"")</f>
        <v/>
      </c>
      <c r="P339">
        <f>IFERROR(INDEX(Registre!$B$2:$B$2001,MATCH(P$1&amp;"|"&amp;(ROW()-1),Registre!$AA$2:$AA$2001,0)),"")</f>
        <v/>
      </c>
      <c r="Q339">
        <f>IFERROR(INDEX(Registre!$B$2:$B$2001,MATCH(Q$1&amp;"|"&amp;(ROW()-1),Registre!$AA$2:$AA$2001,0)),"")</f>
        <v/>
      </c>
      <c r="R339">
        <f>IFERROR(INDEX(Registre!$B$2:$B$2001,MATCH(R$1&amp;"|"&amp;(ROW()-1),Registre!$AA$2:$AA$2001,0)),"")</f>
        <v/>
      </c>
      <c r="S339">
        <f>IFERROR(INDEX(Registre!$B$2:$B$2001,MATCH(S$1&amp;"|"&amp;(ROW()-1),Registre!$AA$2:$AA$2001,0)),"")</f>
        <v/>
      </c>
      <c r="T339">
        <f>IFERROR(INDEX(Registre!$B$2:$B$2001,MATCH(T$1&amp;"|"&amp;(ROW()-1),Registre!$AA$2:$AA$2001,0)),"")</f>
        <v/>
      </c>
      <c r="U339">
        <f>IFERROR(INDEX(Registre!$B$2:$B$2001,MATCH(U$1&amp;"|"&amp;(ROW()-1),Registre!$AA$2:$AA$2001,0)),"")</f>
        <v/>
      </c>
      <c r="V339">
        <f>IFERROR(INDEX(Registre!$B$2:$B$2001,MATCH(V$1&amp;"|"&amp;(ROW()-1),Registre!$AA$2:$AA$2001,0)),"")</f>
        <v/>
      </c>
    </row>
    <row r="340">
      <c r="O340">
        <f>IFERROR(INDEX(Registre!$B$2:$B$2001,MATCH(O$1&amp;"|"&amp;(ROW()-1),Registre!$AA$2:$AA$2001,0)),"")</f>
        <v/>
      </c>
      <c r="P340">
        <f>IFERROR(INDEX(Registre!$B$2:$B$2001,MATCH(P$1&amp;"|"&amp;(ROW()-1),Registre!$AA$2:$AA$2001,0)),"")</f>
        <v/>
      </c>
      <c r="Q340">
        <f>IFERROR(INDEX(Registre!$B$2:$B$2001,MATCH(Q$1&amp;"|"&amp;(ROW()-1),Registre!$AA$2:$AA$2001,0)),"")</f>
        <v/>
      </c>
      <c r="R340">
        <f>IFERROR(INDEX(Registre!$B$2:$B$2001,MATCH(R$1&amp;"|"&amp;(ROW()-1),Registre!$AA$2:$AA$2001,0)),"")</f>
        <v/>
      </c>
      <c r="S340">
        <f>IFERROR(INDEX(Registre!$B$2:$B$2001,MATCH(S$1&amp;"|"&amp;(ROW()-1),Registre!$AA$2:$AA$2001,0)),"")</f>
        <v/>
      </c>
      <c r="T340">
        <f>IFERROR(INDEX(Registre!$B$2:$B$2001,MATCH(T$1&amp;"|"&amp;(ROW()-1),Registre!$AA$2:$AA$2001,0)),"")</f>
        <v/>
      </c>
      <c r="U340">
        <f>IFERROR(INDEX(Registre!$B$2:$B$2001,MATCH(U$1&amp;"|"&amp;(ROW()-1),Registre!$AA$2:$AA$2001,0)),"")</f>
        <v/>
      </c>
      <c r="V340">
        <f>IFERROR(INDEX(Registre!$B$2:$B$2001,MATCH(V$1&amp;"|"&amp;(ROW()-1),Registre!$AA$2:$AA$2001,0)),"")</f>
        <v/>
      </c>
    </row>
    <row r="341">
      <c r="O341">
        <f>IFERROR(INDEX(Registre!$B$2:$B$2001,MATCH(O$1&amp;"|"&amp;(ROW()-1),Registre!$AA$2:$AA$2001,0)),"")</f>
        <v/>
      </c>
      <c r="P341">
        <f>IFERROR(INDEX(Registre!$B$2:$B$2001,MATCH(P$1&amp;"|"&amp;(ROW()-1),Registre!$AA$2:$AA$2001,0)),"")</f>
        <v/>
      </c>
      <c r="Q341">
        <f>IFERROR(INDEX(Registre!$B$2:$B$2001,MATCH(Q$1&amp;"|"&amp;(ROW()-1),Registre!$AA$2:$AA$2001,0)),"")</f>
        <v/>
      </c>
      <c r="R341">
        <f>IFERROR(INDEX(Registre!$B$2:$B$2001,MATCH(R$1&amp;"|"&amp;(ROW()-1),Registre!$AA$2:$AA$2001,0)),"")</f>
        <v/>
      </c>
      <c r="S341">
        <f>IFERROR(INDEX(Registre!$B$2:$B$2001,MATCH(S$1&amp;"|"&amp;(ROW()-1),Registre!$AA$2:$AA$2001,0)),"")</f>
        <v/>
      </c>
      <c r="T341">
        <f>IFERROR(INDEX(Registre!$B$2:$B$2001,MATCH(T$1&amp;"|"&amp;(ROW()-1),Registre!$AA$2:$AA$2001,0)),"")</f>
        <v/>
      </c>
      <c r="U341">
        <f>IFERROR(INDEX(Registre!$B$2:$B$2001,MATCH(U$1&amp;"|"&amp;(ROW()-1),Registre!$AA$2:$AA$2001,0)),"")</f>
        <v/>
      </c>
      <c r="V341">
        <f>IFERROR(INDEX(Registre!$B$2:$B$2001,MATCH(V$1&amp;"|"&amp;(ROW()-1),Registre!$AA$2:$AA$2001,0)),"")</f>
        <v/>
      </c>
    </row>
    <row r="342">
      <c r="O342">
        <f>IFERROR(INDEX(Registre!$B$2:$B$2001,MATCH(O$1&amp;"|"&amp;(ROW()-1),Registre!$AA$2:$AA$2001,0)),"")</f>
        <v/>
      </c>
      <c r="P342">
        <f>IFERROR(INDEX(Registre!$B$2:$B$2001,MATCH(P$1&amp;"|"&amp;(ROW()-1),Registre!$AA$2:$AA$2001,0)),"")</f>
        <v/>
      </c>
      <c r="Q342">
        <f>IFERROR(INDEX(Registre!$B$2:$B$2001,MATCH(Q$1&amp;"|"&amp;(ROW()-1),Registre!$AA$2:$AA$2001,0)),"")</f>
        <v/>
      </c>
      <c r="R342">
        <f>IFERROR(INDEX(Registre!$B$2:$B$2001,MATCH(R$1&amp;"|"&amp;(ROW()-1),Registre!$AA$2:$AA$2001,0)),"")</f>
        <v/>
      </c>
      <c r="S342">
        <f>IFERROR(INDEX(Registre!$B$2:$B$2001,MATCH(S$1&amp;"|"&amp;(ROW()-1),Registre!$AA$2:$AA$2001,0)),"")</f>
        <v/>
      </c>
      <c r="T342">
        <f>IFERROR(INDEX(Registre!$B$2:$B$2001,MATCH(T$1&amp;"|"&amp;(ROW()-1),Registre!$AA$2:$AA$2001,0)),"")</f>
        <v/>
      </c>
      <c r="U342">
        <f>IFERROR(INDEX(Registre!$B$2:$B$2001,MATCH(U$1&amp;"|"&amp;(ROW()-1),Registre!$AA$2:$AA$2001,0)),"")</f>
        <v/>
      </c>
      <c r="V342">
        <f>IFERROR(INDEX(Registre!$B$2:$B$2001,MATCH(V$1&amp;"|"&amp;(ROW()-1),Registre!$AA$2:$AA$2001,0)),"")</f>
        <v/>
      </c>
    </row>
    <row r="343">
      <c r="O343">
        <f>IFERROR(INDEX(Registre!$B$2:$B$2001,MATCH(O$1&amp;"|"&amp;(ROW()-1),Registre!$AA$2:$AA$2001,0)),"")</f>
        <v/>
      </c>
      <c r="P343">
        <f>IFERROR(INDEX(Registre!$B$2:$B$2001,MATCH(P$1&amp;"|"&amp;(ROW()-1),Registre!$AA$2:$AA$2001,0)),"")</f>
        <v/>
      </c>
      <c r="Q343">
        <f>IFERROR(INDEX(Registre!$B$2:$B$2001,MATCH(Q$1&amp;"|"&amp;(ROW()-1),Registre!$AA$2:$AA$2001,0)),"")</f>
        <v/>
      </c>
      <c r="R343">
        <f>IFERROR(INDEX(Registre!$B$2:$B$2001,MATCH(R$1&amp;"|"&amp;(ROW()-1),Registre!$AA$2:$AA$2001,0)),"")</f>
        <v/>
      </c>
      <c r="S343">
        <f>IFERROR(INDEX(Registre!$B$2:$B$2001,MATCH(S$1&amp;"|"&amp;(ROW()-1),Registre!$AA$2:$AA$2001,0)),"")</f>
        <v/>
      </c>
      <c r="T343">
        <f>IFERROR(INDEX(Registre!$B$2:$B$2001,MATCH(T$1&amp;"|"&amp;(ROW()-1),Registre!$AA$2:$AA$2001,0)),"")</f>
        <v/>
      </c>
      <c r="U343">
        <f>IFERROR(INDEX(Registre!$B$2:$B$2001,MATCH(U$1&amp;"|"&amp;(ROW()-1),Registre!$AA$2:$AA$2001,0)),"")</f>
        <v/>
      </c>
      <c r="V343">
        <f>IFERROR(INDEX(Registre!$B$2:$B$2001,MATCH(V$1&amp;"|"&amp;(ROW()-1),Registre!$AA$2:$AA$2001,0)),"")</f>
        <v/>
      </c>
    </row>
    <row r="344">
      <c r="O344">
        <f>IFERROR(INDEX(Registre!$B$2:$B$2001,MATCH(O$1&amp;"|"&amp;(ROW()-1),Registre!$AA$2:$AA$2001,0)),"")</f>
        <v/>
      </c>
      <c r="P344">
        <f>IFERROR(INDEX(Registre!$B$2:$B$2001,MATCH(P$1&amp;"|"&amp;(ROW()-1),Registre!$AA$2:$AA$2001,0)),"")</f>
        <v/>
      </c>
      <c r="Q344">
        <f>IFERROR(INDEX(Registre!$B$2:$B$2001,MATCH(Q$1&amp;"|"&amp;(ROW()-1),Registre!$AA$2:$AA$2001,0)),"")</f>
        <v/>
      </c>
      <c r="R344">
        <f>IFERROR(INDEX(Registre!$B$2:$B$2001,MATCH(R$1&amp;"|"&amp;(ROW()-1),Registre!$AA$2:$AA$2001,0)),"")</f>
        <v/>
      </c>
      <c r="S344">
        <f>IFERROR(INDEX(Registre!$B$2:$B$2001,MATCH(S$1&amp;"|"&amp;(ROW()-1),Registre!$AA$2:$AA$2001,0)),"")</f>
        <v/>
      </c>
      <c r="T344">
        <f>IFERROR(INDEX(Registre!$B$2:$B$2001,MATCH(T$1&amp;"|"&amp;(ROW()-1),Registre!$AA$2:$AA$2001,0)),"")</f>
        <v/>
      </c>
      <c r="U344">
        <f>IFERROR(INDEX(Registre!$B$2:$B$2001,MATCH(U$1&amp;"|"&amp;(ROW()-1),Registre!$AA$2:$AA$2001,0)),"")</f>
        <v/>
      </c>
      <c r="V344">
        <f>IFERROR(INDEX(Registre!$B$2:$B$2001,MATCH(V$1&amp;"|"&amp;(ROW()-1),Registre!$AA$2:$AA$2001,0)),"")</f>
        <v/>
      </c>
    </row>
    <row r="345">
      <c r="O345">
        <f>IFERROR(INDEX(Registre!$B$2:$B$2001,MATCH(O$1&amp;"|"&amp;(ROW()-1),Registre!$AA$2:$AA$2001,0)),"")</f>
        <v/>
      </c>
      <c r="P345">
        <f>IFERROR(INDEX(Registre!$B$2:$B$2001,MATCH(P$1&amp;"|"&amp;(ROW()-1),Registre!$AA$2:$AA$2001,0)),"")</f>
        <v/>
      </c>
      <c r="Q345">
        <f>IFERROR(INDEX(Registre!$B$2:$B$2001,MATCH(Q$1&amp;"|"&amp;(ROW()-1),Registre!$AA$2:$AA$2001,0)),"")</f>
        <v/>
      </c>
      <c r="R345">
        <f>IFERROR(INDEX(Registre!$B$2:$B$2001,MATCH(R$1&amp;"|"&amp;(ROW()-1),Registre!$AA$2:$AA$2001,0)),"")</f>
        <v/>
      </c>
      <c r="S345">
        <f>IFERROR(INDEX(Registre!$B$2:$B$2001,MATCH(S$1&amp;"|"&amp;(ROW()-1),Registre!$AA$2:$AA$2001,0)),"")</f>
        <v/>
      </c>
      <c r="T345">
        <f>IFERROR(INDEX(Registre!$B$2:$B$2001,MATCH(T$1&amp;"|"&amp;(ROW()-1),Registre!$AA$2:$AA$2001,0)),"")</f>
        <v/>
      </c>
      <c r="U345">
        <f>IFERROR(INDEX(Registre!$B$2:$B$2001,MATCH(U$1&amp;"|"&amp;(ROW()-1),Registre!$AA$2:$AA$2001,0)),"")</f>
        <v/>
      </c>
      <c r="V345">
        <f>IFERROR(INDEX(Registre!$B$2:$B$2001,MATCH(V$1&amp;"|"&amp;(ROW()-1),Registre!$AA$2:$AA$2001,0)),"")</f>
        <v/>
      </c>
    </row>
    <row r="346">
      <c r="O346">
        <f>IFERROR(INDEX(Registre!$B$2:$B$2001,MATCH(O$1&amp;"|"&amp;(ROW()-1),Registre!$AA$2:$AA$2001,0)),"")</f>
        <v/>
      </c>
      <c r="P346">
        <f>IFERROR(INDEX(Registre!$B$2:$B$2001,MATCH(P$1&amp;"|"&amp;(ROW()-1),Registre!$AA$2:$AA$2001,0)),"")</f>
        <v/>
      </c>
      <c r="Q346">
        <f>IFERROR(INDEX(Registre!$B$2:$B$2001,MATCH(Q$1&amp;"|"&amp;(ROW()-1),Registre!$AA$2:$AA$2001,0)),"")</f>
        <v/>
      </c>
      <c r="R346">
        <f>IFERROR(INDEX(Registre!$B$2:$B$2001,MATCH(R$1&amp;"|"&amp;(ROW()-1),Registre!$AA$2:$AA$2001,0)),"")</f>
        <v/>
      </c>
      <c r="S346">
        <f>IFERROR(INDEX(Registre!$B$2:$B$2001,MATCH(S$1&amp;"|"&amp;(ROW()-1),Registre!$AA$2:$AA$2001,0)),"")</f>
        <v/>
      </c>
      <c r="T346">
        <f>IFERROR(INDEX(Registre!$B$2:$B$2001,MATCH(T$1&amp;"|"&amp;(ROW()-1),Registre!$AA$2:$AA$2001,0)),"")</f>
        <v/>
      </c>
      <c r="U346">
        <f>IFERROR(INDEX(Registre!$B$2:$B$2001,MATCH(U$1&amp;"|"&amp;(ROW()-1),Registre!$AA$2:$AA$2001,0)),"")</f>
        <v/>
      </c>
      <c r="V346">
        <f>IFERROR(INDEX(Registre!$B$2:$B$2001,MATCH(V$1&amp;"|"&amp;(ROW()-1),Registre!$AA$2:$AA$2001,0)),"")</f>
        <v/>
      </c>
    </row>
    <row r="347">
      <c r="O347">
        <f>IFERROR(INDEX(Registre!$B$2:$B$2001,MATCH(O$1&amp;"|"&amp;(ROW()-1),Registre!$AA$2:$AA$2001,0)),"")</f>
        <v/>
      </c>
      <c r="P347">
        <f>IFERROR(INDEX(Registre!$B$2:$B$2001,MATCH(P$1&amp;"|"&amp;(ROW()-1),Registre!$AA$2:$AA$2001,0)),"")</f>
        <v/>
      </c>
      <c r="Q347">
        <f>IFERROR(INDEX(Registre!$B$2:$B$2001,MATCH(Q$1&amp;"|"&amp;(ROW()-1),Registre!$AA$2:$AA$2001,0)),"")</f>
        <v/>
      </c>
      <c r="R347">
        <f>IFERROR(INDEX(Registre!$B$2:$B$2001,MATCH(R$1&amp;"|"&amp;(ROW()-1),Registre!$AA$2:$AA$2001,0)),"")</f>
        <v/>
      </c>
      <c r="S347">
        <f>IFERROR(INDEX(Registre!$B$2:$B$2001,MATCH(S$1&amp;"|"&amp;(ROW()-1),Registre!$AA$2:$AA$2001,0)),"")</f>
        <v/>
      </c>
      <c r="T347">
        <f>IFERROR(INDEX(Registre!$B$2:$B$2001,MATCH(T$1&amp;"|"&amp;(ROW()-1),Registre!$AA$2:$AA$2001,0)),"")</f>
        <v/>
      </c>
      <c r="U347">
        <f>IFERROR(INDEX(Registre!$B$2:$B$2001,MATCH(U$1&amp;"|"&amp;(ROW()-1),Registre!$AA$2:$AA$2001,0)),"")</f>
        <v/>
      </c>
      <c r="V347">
        <f>IFERROR(INDEX(Registre!$B$2:$B$2001,MATCH(V$1&amp;"|"&amp;(ROW()-1),Registre!$AA$2:$AA$2001,0)),"")</f>
        <v/>
      </c>
    </row>
    <row r="348">
      <c r="O348">
        <f>IFERROR(INDEX(Registre!$B$2:$B$2001,MATCH(O$1&amp;"|"&amp;(ROW()-1),Registre!$AA$2:$AA$2001,0)),"")</f>
        <v/>
      </c>
      <c r="P348">
        <f>IFERROR(INDEX(Registre!$B$2:$B$2001,MATCH(P$1&amp;"|"&amp;(ROW()-1),Registre!$AA$2:$AA$2001,0)),"")</f>
        <v/>
      </c>
      <c r="Q348">
        <f>IFERROR(INDEX(Registre!$B$2:$B$2001,MATCH(Q$1&amp;"|"&amp;(ROW()-1),Registre!$AA$2:$AA$2001,0)),"")</f>
        <v/>
      </c>
      <c r="R348">
        <f>IFERROR(INDEX(Registre!$B$2:$B$2001,MATCH(R$1&amp;"|"&amp;(ROW()-1),Registre!$AA$2:$AA$2001,0)),"")</f>
        <v/>
      </c>
      <c r="S348">
        <f>IFERROR(INDEX(Registre!$B$2:$B$2001,MATCH(S$1&amp;"|"&amp;(ROW()-1),Registre!$AA$2:$AA$2001,0)),"")</f>
        <v/>
      </c>
      <c r="T348">
        <f>IFERROR(INDEX(Registre!$B$2:$B$2001,MATCH(T$1&amp;"|"&amp;(ROW()-1),Registre!$AA$2:$AA$2001,0)),"")</f>
        <v/>
      </c>
      <c r="U348">
        <f>IFERROR(INDEX(Registre!$B$2:$B$2001,MATCH(U$1&amp;"|"&amp;(ROW()-1),Registre!$AA$2:$AA$2001,0)),"")</f>
        <v/>
      </c>
      <c r="V348">
        <f>IFERROR(INDEX(Registre!$B$2:$B$2001,MATCH(V$1&amp;"|"&amp;(ROW()-1),Registre!$AA$2:$AA$2001,0)),"")</f>
        <v/>
      </c>
    </row>
    <row r="349">
      <c r="O349">
        <f>IFERROR(INDEX(Registre!$B$2:$B$2001,MATCH(O$1&amp;"|"&amp;(ROW()-1),Registre!$AA$2:$AA$2001,0)),"")</f>
        <v/>
      </c>
      <c r="P349">
        <f>IFERROR(INDEX(Registre!$B$2:$B$2001,MATCH(P$1&amp;"|"&amp;(ROW()-1),Registre!$AA$2:$AA$2001,0)),"")</f>
        <v/>
      </c>
      <c r="Q349">
        <f>IFERROR(INDEX(Registre!$B$2:$B$2001,MATCH(Q$1&amp;"|"&amp;(ROW()-1),Registre!$AA$2:$AA$2001,0)),"")</f>
        <v/>
      </c>
      <c r="R349">
        <f>IFERROR(INDEX(Registre!$B$2:$B$2001,MATCH(R$1&amp;"|"&amp;(ROW()-1),Registre!$AA$2:$AA$2001,0)),"")</f>
        <v/>
      </c>
      <c r="S349">
        <f>IFERROR(INDEX(Registre!$B$2:$B$2001,MATCH(S$1&amp;"|"&amp;(ROW()-1),Registre!$AA$2:$AA$2001,0)),"")</f>
        <v/>
      </c>
      <c r="T349">
        <f>IFERROR(INDEX(Registre!$B$2:$B$2001,MATCH(T$1&amp;"|"&amp;(ROW()-1),Registre!$AA$2:$AA$2001,0)),"")</f>
        <v/>
      </c>
      <c r="U349">
        <f>IFERROR(INDEX(Registre!$B$2:$B$2001,MATCH(U$1&amp;"|"&amp;(ROW()-1),Registre!$AA$2:$AA$2001,0)),"")</f>
        <v/>
      </c>
      <c r="V349">
        <f>IFERROR(INDEX(Registre!$B$2:$B$2001,MATCH(V$1&amp;"|"&amp;(ROW()-1),Registre!$AA$2:$AA$2001,0)),"")</f>
        <v/>
      </c>
    </row>
    <row r="350">
      <c r="O350">
        <f>IFERROR(INDEX(Registre!$B$2:$B$2001,MATCH(O$1&amp;"|"&amp;(ROW()-1),Registre!$AA$2:$AA$2001,0)),"")</f>
        <v/>
      </c>
      <c r="P350">
        <f>IFERROR(INDEX(Registre!$B$2:$B$2001,MATCH(P$1&amp;"|"&amp;(ROW()-1),Registre!$AA$2:$AA$2001,0)),"")</f>
        <v/>
      </c>
      <c r="Q350">
        <f>IFERROR(INDEX(Registre!$B$2:$B$2001,MATCH(Q$1&amp;"|"&amp;(ROW()-1),Registre!$AA$2:$AA$2001,0)),"")</f>
        <v/>
      </c>
      <c r="R350">
        <f>IFERROR(INDEX(Registre!$B$2:$B$2001,MATCH(R$1&amp;"|"&amp;(ROW()-1),Registre!$AA$2:$AA$2001,0)),"")</f>
        <v/>
      </c>
      <c r="S350">
        <f>IFERROR(INDEX(Registre!$B$2:$B$2001,MATCH(S$1&amp;"|"&amp;(ROW()-1),Registre!$AA$2:$AA$2001,0)),"")</f>
        <v/>
      </c>
      <c r="T350">
        <f>IFERROR(INDEX(Registre!$B$2:$B$2001,MATCH(T$1&amp;"|"&amp;(ROW()-1),Registre!$AA$2:$AA$2001,0)),"")</f>
        <v/>
      </c>
      <c r="U350">
        <f>IFERROR(INDEX(Registre!$B$2:$B$2001,MATCH(U$1&amp;"|"&amp;(ROW()-1),Registre!$AA$2:$AA$2001,0)),"")</f>
        <v/>
      </c>
      <c r="V350">
        <f>IFERROR(INDEX(Registre!$B$2:$B$2001,MATCH(V$1&amp;"|"&amp;(ROW()-1),Registre!$AA$2:$AA$2001,0)),"")</f>
        <v/>
      </c>
    </row>
    <row r="351">
      <c r="O351">
        <f>IFERROR(INDEX(Registre!$B$2:$B$2001,MATCH(O$1&amp;"|"&amp;(ROW()-1),Registre!$AA$2:$AA$2001,0)),"")</f>
        <v/>
      </c>
      <c r="P351">
        <f>IFERROR(INDEX(Registre!$B$2:$B$2001,MATCH(P$1&amp;"|"&amp;(ROW()-1),Registre!$AA$2:$AA$2001,0)),"")</f>
        <v/>
      </c>
      <c r="Q351">
        <f>IFERROR(INDEX(Registre!$B$2:$B$2001,MATCH(Q$1&amp;"|"&amp;(ROW()-1),Registre!$AA$2:$AA$2001,0)),"")</f>
        <v/>
      </c>
      <c r="R351">
        <f>IFERROR(INDEX(Registre!$B$2:$B$2001,MATCH(R$1&amp;"|"&amp;(ROW()-1),Registre!$AA$2:$AA$2001,0)),"")</f>
        <v/>
      </c>
      <c r="S351">
        <f>IFERROR(INDEX(Registre!$B$2:$B$2001,MATCH(S$1&amp;"|"&amp;(ROW()-1),Registre!$AA$2:$AA$2001,0)),"")</f>
        <v/>
      </c>
      <c r="T351">
        <f>IFERROR(INDEX(Registre!$B$2:$B$2001,MATCH(T$1&amp;"|"&amp;(ROW()-1),Registre!$AA$2:$AA$2001,0)),"")</f>
        <v/>
      </c>
      <c r="U351">
        <f>IFERROR(INDEX(Registre!$B$2:$B$2001,MATCH(U$1&amp;"|"&amp;(ROW()-1),Registre!$AA$2:$AA$2001,0)),"")</f>
        <v/>
      </c>
      <c r="V351">
        <f>IFERROR(INDEX(Registre!$B$2:$B$2001,MATCH(V$1&amp;"|"&amp;(ROW()-1),Registre!$AA$2:$AA$2001,0)),"")</f>
        <v/>
      </c>
    </row>
    <row r="352">
      <c r="O352">
        <f>IFERROR(INDEX(Registre!$B$2:$B$2001,MATCH(O$1&amp;"|"&amp;(ROW()-1),Registre!$AA$2:$AA$2001,0)),"")</f>
        <v/>
      </c>
      <c r="P352">
        <f>IFERROR(INDEX(Registre!$B$2:$B$2001,MATCH(P$1&amp;"|"&amp;(ROW()-1),Registre!$AA$2:$AA$2001,0)),"")</f>
        <v/>
      </c>
      <c r="Q352">
        <f>IFERROR(INDEX(Registre!$B$2:$B$2001,MATCH(Q$1&amp;"|"&amp;(ROW()-1),Registre!$AA$2:$AA$2001,0)),"")</f>
        <v/>
      </c>
      <c r="R352">
        <f>IFERROR(INDEX(Registre!$B$2:$B$2001,MATCH(R$1&amp;"|"&amp;(ROW()-1),Registre!$AA$2:$AA$2001,0)),"")</f>
        <v/>
      </c>
      <c r="S352">
        <f>IFERROR(INDEX(Registre!$B$2:$B$2001,MATCH(S$1&amp;"|"&amp;(ROW()-1),Registre!$AA$2:$AA$2001,0)),"")</f>
        <v/>
      </c>
      <c r="T352">
        <f>IFERROR(INDEX(Registre!$B$2:$B$2001,MATCH(T$1&amp;"|"&amp;(ROW()-1),Registre!$AA$2:$AA$2001,0)),"")</f>
        <v/>
      </c>
      <c r="U352">
        <f>IFERROR(INDEX(Registre!$B$2:$B$2001,MATCH(U$1&amp;"|"&amp;(ROW()-1),Registre!$AA$2:$AA$2001,0)),"")</f>
        <v/>
      </c>
      <c r="V352">
        <f>IFERROR(INDEX(Registre!$B$2:$B$2001,MATCH(V$1&amp;"|"&amp;(ROW()-1),Registre!$AA$2:$AA$2001,0)),"")</f>
        <v/>
      </c>
    </row>
    <row r="353">
      <c r="O353">
        <f>IFERROR(INDEX(Registre!$B$2:$B$2001,MATCH(O$1&amp;"|"&amp;(ROW()-1),Registre!$AA$2:$AA$2001,0)),"")</f>
        <v/>
      </c>
      <c r="P353">
        <f>IFERROR(INDEX(Registre!$B$2:$B$2001,MATCH(P$1&amp;"|"&amp;(ROW()-1),Registre!$AA$2:$AA$2001,0)),"")</f>
        <v/>
      </c>
      <c r="Q353">
        <f>IFERROR(INDEX(Registre!$B$2:$B$2001,MATCH(Q$1&amp;"|"&amp;(ROW()-1),Registre!$AA$2:$AA$2001,0)),"")</f>
        <v/>
      </c>
      <c r="R353">
        <f>IFERROR(INDEX(Registre!$B$2:$B$2001,MATCH(R$1&amp;"|"&amp;(ROW()-1),Registre!$AA$2:$AA$2001,0)),"")</f>
        <v/>
      </c>
      <c r="S353">
        <f>IFERROR(INDEX(Registre!$B$2:$B$2001,MATCH(S$1&amp;"|"&amp;(ROW()-1),Registre!$AA$2:$AA$2001,0)),"")</f>
        <v/>
      </c>
      <c r="T353">
        <f>IFERROR(INDEX(Registre!$B$2:$B$2001,MATCH(T$1&amp;"|"&amp;(ROW()-1),Registre!$AA$2:$AA$2001,0)),"")</f>
        <v/>
      </c>
      <c r="U353">
        <f>IFERROR(INDEX(Registre!$B$2:$B$2001,MATCH(U$1&amp;"|"&amp;(ROW()-1),Registre!$AA$2:$AA$2001,0)),"")</f>
        <v/>
      </c>
      <c r="V353">
        <f>IFERROR(INDEX(Registre!$B$2:$B$2001,MATCH(V$1&amp;"|"&amp;(ROW()-1),Registre!$AA$2:$AA$2001,0)),"")</f>
        <v/>
      </c>
    </row>
    <row r="354">
      <c r="O354">
        <f>IFERROR(INDEX(Registre!$B$2:$B$2001,MATCH(O$1&amp;"|"&amp;(ROW()-1),Registre!$AA$2:$AA$2001,0)),"")</f>
        <v/>
      </c>
      <c r="P354">
        <f>IFERROR(INDEX(Registre!$B$2:$B$2001,MATCH(P$1&amp;"|"&amp;(ROW()-1),Registre!$AA$2:$AA$2001,0)),"")</f>
        <v/>
      </c>
      <c r="Q354">
        <f>IFERROR(INDEX(Registre!$B$2:$B$2001,MATCH(Q$1&amp;"|"&amp;(ROW()-1),Registre!$AA$2:$AA$2001,0)),"")</f>
        <v/>
      </c>
      <c r="R354">
        <f>IFERROR(INDEX(Registre!$B$2:$B$2001,MATCH(R$1&amp;"|"&amp;(ROW()-1),Registre!$AA$2:$AA$2001,0)),"")</f>
        <v/>
      </c>
      <c r="S354">
        <f>IFERROR(INDEX(Registre!$B$2:$B$2001,MATCH(S$1&amp;"|"&amp;(ROW()-1),Registre!$AA$2:$AA$2001,0)),"")</f>
        <v/>
      </c>
      <c r="T354">
        <f>IFERROR(INDEX(Registre!$B$2:$B$2001,MATCH(T$1&amp;"|"&amp;(ROW()-1),Registre!$AA$2:$AA$2001,0)),"")</f>
        <v/>
      </c>
      <c r="U354">
        <f>IFERROR(INDEX(Registre!$B$2:$B$2001,MATCH(U$1&amp;"|"&amp;(ROW()-1),Registre!$AA$2:$AA$2001,0)),"")</f>
        <v/>
      </c>
      <c r="V354">
        <f>IFERROR(INDEX(Registre!$B$2:$B$2001,MATCH(V$1&amp;"|"&amp;(ROW()-1),Registre!$AA$2:$AA$2001,0)),"")</f>
        <v/>
      </c>
    </row>
    <row r="355">
      <c r="O355">
        <f>IFERROR(INDEX(Registre!$B$2:$B$2001,MATCH(O$1&amp;"|"&amp;(ROW()-1),Registre!$AA$2:$AA$2001,0)),"")</f>
        <v/>
      </c>
      <c r="P355">
        <f>IFERROR(INDEX(Registre!$B$2:$B$2001,MATCH(P$1&amp;"|"&amp;(ROW()-1),Registre!$AA$2:$AA$2001,0)),"")</f>
        <v/>
      </c>
      <c r="Q355">
        <f>IFERROR(INDEX(Registre!$B$2:$B$2001,MATCH(Q$1&amp;"|"&amp;(ROW()-1),Registre!$AA$2:$AA$2001,0)),"")</f>
        <v/>
      </c>
      <c r="R355">
        <f>IFERROR(INDEX(Registre!$B$2:$B$2001,MATCH(R$1&amp;"|"&amp;(ROW()-1),Registre!$AA$2:$AA$2001,0)),"")</f>
        <v/>
      </c>
      <c r="S355">
        <f>IFERROR(INDEX(Registre!$B$2:$B$2001,MATCH(S$1&amp;"|"&amp;(ROW()-1),Registre!$AA$2:$AA$2001,0)),"")</f>
        <v/>
      </c>
      <c r="T355">
        <f>IFERROR(INDEX(Registre!$B$2:$B$2001,MATCH(T$1&amp;"|"&amp;(ROW()-1),Registre!$AA$2:$AA$2001,0)),"")</f>
        <v/>
      </c>
      <c r="U355">
        <f>IFERROR(INDEX(Registre!$B$2:$B$2001,MATCH(U$1&amp;"|"&amp;(ROW()-1),Registre!$AA$2:$AA$2001,0)),"")</f>
        <v/>
      </c>
      <c r="V355">
        <f>IFERROR(INDEX(Registre!$B$2:$B$2001,MATCH(V$1&amp;"|"&amp;(ROW()-1),Registre!$AA$2:$AA$2001,0)),"")</f>
        <v/>
      </c>
    </row>
    <row r="356">
      <c r="O356">
        <f>IFERROR(INDEX(Registre!$B$2:$B$2001,MATCH(O$1&amp;"|"&amp;(ROW()-1),Registre!$AA$2:$AA$2001,0)),"")</f>
        <v/>
      </c>
      <c r="P356">
        <f>IFERROR(INDEX(Registre!$B$2:$B$2001,MATCH(P$1&amp;"|"&amp;(ROW()-1),Registre!$AA$2:$AA$2001,0)),"")</f>
        <v/>
      </c>
      <c r="Q356">
        <f>IFERROR(INDEX(Registre!$B$2:$B$2001,MATCH(Q$1&amp;"|"&amp;(ROW()-1),Registre!$AA$2:$AA$2001,0)),"")</f>
        <v/>
      </c>
      <c r="R356">
        <f>IFERROR(INDEX(Registre!$B$2:$B$2001,MATCH(R$1&amp;"|"&amp;(ROW()-1),Registre!$AA$2:$AA$2001,0)),"")</f>
        <v/>
      </c>
      <c r="S356">
        <f>IFERROR(INDEX(Registre!$B$2:$B$2001,MATCH(S$1&amp;"|"&amp;(ROW()-1),Registre!$AA$2:$AA$2001,0)),"")</f>
        <v/>
      </c>
      <c r="T356">
        <f>IFERROR(INDEX(Registre!$B$2:$B$2001,MATCH(T$1&amp;"|"&amp;(ROW()-1),Registre!$AA$2:$AA$2001,0)),"")</f>
        <v/>
      </c>
      <c r="U356">
        <f>IFERROR(INDEX(Registre!$B$2:$B$2001,MATCH(U$1&amp;"|"&amp;(ROW()-1),Registre!$AA$2:$AA$2001,0)),"")</f>
        <v/>
      </c>
      <c r="V356">
        <f>IFERROR(INDEX(Registre!$B$2:$B$2001,MATCH(V$1&amp;"|"&amp;(ROW()-1),Registre!$AA$2:$AA$2001,0)),"")</f>
        <v/>
      </c>
    </row>
    <row r="357">
      <c r="O357">
        <f>IFERROR(INDEX(Registre!$B$2:$B$2001,MATCH(O$1&amp;"|"&amp;(ROW()-1),Registre!$AA$2:$AA$2001,0)),"")</f>
        <v/>
      </c>
      <c r="P357">
        <f>IFERROR(INDEX(Registre!$B$2:$B$2001,MATCH(P$1&amp;"|"&amp;(ROW()-1),Registre!$AA$2:$AA$2001,0)),"")</f>
        <v/>
      </c>
      <c r="Q357">
        <f>IFERROR(INDEX(Registre!$B$2:$B$2001,MATCH(Q$1&amp;"|"&amp;(ROW()-1),Registre!$AA$2:$AA$2001,0)),"")</f>
        <v/>
      </c>
      <c r="R357">
        <f>IFERROR(INDEX(Registre!$B$2:$B$2001,MATCH(R$1&amp;"|"&amp;(ROW()-1),Registre!$AA$2:$AA$2001,0)),"")</f>
        <v/>
      </c>
      <c r="S357">
        <f>IFERROR(INDEX(Registre!$B$2:$B$2001,MATCH(S$1&amp;"|"&amp;(ROW()-1),Registre!$AA$2:$AA$2001,0)),"")</f>
        <v/>
      </c>
      <c r="T357">
        <f>IFERROR(INDEX(Registre!$B$2:$B$2001,MATCH(T$1&amp;"|"&amp;(ROW()-1),Registre!$AA$2:$AA$2001,0)),"")</f>
        <v/>
      </c>
      <c r="U357">
        <f>IFERROR(INDEX(Registre!$B$2:$B$2001,MATCH(U$1&amp;"|"&amp;(ROW()-1),Registre!$AA$2:$AA$2001,0)),"")</f>
        <v/>
      </c>
      <c r="V357">
        <f>IFERROR(INDEX(Registre!$B$2:$B$2001,MATCH(V$1&amp;"|"&amp;(ROW()-1),Registre!$AA$2:$AA$2001,0)),"")</f>
        <v/>
      </c>
    </row>
    <row r="358">
      <c r="O358">
        <f>IFERROR(INDEX(Registre!$B$2:$B$2001,MATCH(O$1&amp;"|"&amp;(ROW()-1),Registre!$AA$2:$AA$2001,0)),"")</f>
        <v/>
      </c>
      <c r="P358">
        <f>IFERROR(INDEX(Registre!$B$2:$B$2001,MATCH(P$1&amp;"|"&amp;(ROW()-1),Registre!$AA$2:$AA$2001,0)),"")</f>
        <v/>
      </c>
      <c r="Q358">
        <f>IFERROR(INDEX(Registre!$B$2:$B$2001,MATCH(Q$1&amp;"|"&amp;(ROW()-1),Registre!$AA$2:$AA$2001,0)),"")</f>
        <v/>
      </c>
      <c r="R358">
        <f>IFERROR(INDEX(Registre!$B$2:$B$2001,MATCH(R$1&amp;"|"&amp;(ROW()-1),Registre!$AA$2:$AA$2001,0)),"")</f>
        <v/>
      </c>
      <c r="S358">
        <f>IFERROR(INDEX(Registre!$B$2:$B$2001,MATCH(S$1&amp;"|"&amp;(ROW()-1),Registre!$AA$2:$AA$2001,0)),"")</f>
        <v/>
      </c>
      <c r="T358">
        <f>IFERROR(INDEX(Registre!$B$2:$B$2001,MATCH(T$1&amp;"|"&amp;(ROW()-1),Registre!$AA$2:$AA$2001,0)),"")</f>
        <v/>
      </c>
      <c r="U358">
        <f>IFERROR(INDEX(Registre!$B$2:$B$2001,MATCH(U$1&amp;"|"&amp;(ROW()-1),Registre!$AA$2:$AA$2001,0)),"")</f>
        <v/>
      </c>
      <c r="V358">
        <f>IFERROR(INDEX(Registre!$B$2:$B$2001,MATCH(V$1&amp;"|"&amp;(ROW()-1),Registre!$AA$2:$AA$2001,0)),"")</f>
        <v/>
      </c>
    </row>
    <row r="359">
      <c r="O359">
        <f>IFERROR(INDEX(Registre!$B$2:$B$2001,MATCH(O$1&amp;"|"&amp;(ROW()-1),Registre!$AA$2:$AA$2001,0)),"")</f>
        <v/>
      </c>
      <c r="P359">
        <f>IFERROR(INDEX(Registre!$B$2:$B$2001,MATCH(P$1&amp;"|"&amp;(ROW()-1),Registre!$AA$2:$AA$2001,0)),"")</f>
        <v/>
      </c>
      <c r="Q359">
        <f>IFERROR(INDEX(Registre!$B$2:$B$2001,MATCH(Q$1&amp;"|"&amp;(ROW()-1),Registre!$AA$2:$AA$2001,0)),"")</f>
        <v/>
      </c>
      <c r="R359">
        <f>IFERROR(INDEX(Registre!$B$2:$B$2001,MATCH(R$1&amp;"|"&amp;(ROW()-1),Registre!$AA$2:$AA$2001,0)),"")</f>
        <v/>
      </c>
      <c r="S359">
        <f>IFERROR(INDEX(Registre!$B$2:$B$2001,MATCH(S$1&amp;"|"&amp;(ROW()-1),Registre!$AA$2:$AA$2001,0)),"")</f>
        <v/>
      </c>
      <c r="T359">
        <f>IFERROR(INDEX(Registre!$B$2:$B$2001,MATCH(T$1&amp;"|"&amp;(ROW()-1),Registre!$AA$2:$AA$2001,0)),"")</f>
        <v/>
      </c>
      <c r="U359">
        <f>IFERROR(INDEX(Registre!$B$2:$B$2001,MATCH(U$1&amp;"|"&amp;(ROW()-1),Registre!$AA$2:$AA$2001,0)),"")</f>
        <v/>
      </c>
      <c r="V359">
        <f>IFERROR(INDEX(Registre!$B$2:$B$2001,MATCH(V$1&amp;"|"&amp;(ROW()-1),Registre!$AA$2:$AA$2001,0)),"")</f>
        <v/>
      </c>
    </row>
    <row r="360">
      <c r="O360">
        <f>IFERROR(INDEX(Registre!$B$2:$B$2001,MATCH(O$1&amp;"|"&amp;(ROW()-1),Registre!$AA$2:$AA$2001,0)),"")</f>
        <v/>
      </c>
      <c r="P360">
        <f>IFERROR(INDEX(Registre!$B$2:$B$2001,MATCH(P$1&amp;"|"&amp;(ROW()-1),Registre!$AA$2:$AA$2001,0)),"")</f>
        <v/>
      </c>
      <c r="Q360">
        <f>IFERROR(INDEX(Registre!$B$2:$B$2001,MATCH(Q$1&amp;"|"&amp;(ROW()-1),Registre!$AA$2:$AA$2001,0)),"")</f>
        <v/>
      </c>
      <c r="R360">
        <f>IFERROR(INDEX(Registre!$B$2:$B$2001,MATCH(R$1&amp;"|"&amp;(ROW()-1),Registre!$AA$2:$AA$2001,0)),"")</f>
        <v/>
      </c>
      <c r="S360">
        <f>IFERROR(INDEX(Registre!$B$2:$B$2001,MATCH(S$1&amp;"|"&amp;(ROW()-1),Registre!$AA$2:$AA$2001,0)),"")</f>
        <v/>
      </c>
      <c r="T360">
        <f>IFERROR(INDEX(Registre!$B$2:$B$2001,MATCH(T$1&amp;"|"&amp;(ROW()-1),Registre!$AA$2:$AA$2001,0)),"")</f>
        <v/>
      </c>
      <c r="U360">
        <f>IFERROR(INDEX(Registre!$B$2:$B$2001,MATCH(U$1&amp;"|"&amp;(ROW()-1),Registre!$AA$2:$AA$2001,0)),"")</f>
        <v/>
      </c>
      <c r="V360">
        <f>IFERROR(INDEX(Registre!$B$2:$B$2001,MATCH(V$1&amp;"|"&amp;(ROW()-1),Registre!$AA$2:$AA$2001,0)),"")</f>
        <v/>
      </c>
    </row>
    <row r="361">
      <c r="O361">
        <f>IFERROR(INDEX(Registre!$B$2:$B$2001,MATCH(O$1&amp;"|"&amp;(ROW()-1),Registre!$AA$2:$AA$2001,0)),"")</f>
        <v/>
      </c>
      <c r="P361">
        <f>IFERROR(INDEX(Registre!$B$2:$B$2001,MATCH(P$1&amp;"|"&amp;(ROW()-1),Registre!$AA$2:$AA$2001,0)),"")</f>
        <v/>
      </c>
      <c r="Q361">
        <f>IFERROR(INDEX(Registre!$B$2:$B$2001,MATCH(Q$1&amp;"|"&amp;(ROW()-1),Registre!$AA$2:$AA$2001,0)),"")</f>
        <v/>
      </c>
      <c r="R361">
        <f>IFERROR(INDEX(Registre!$B$2:$B$2001,MATCH(R$1&amp;"|"&amp;(ROW()-1),Registre!$AA$2:$AA$2001,0)),"")</f>
        <v/>
      </c>
      <c r="S361">
        <f>IFERROR(INDEX(Registre!$B$2:$B$2001,MATCH(S$1&amp;"|"&amp;(ROW()-1),Registre!$AA$2:$AA$2001,0)),"")</f>
        <v/>
      </c>
      <c r="T361">
        <f>IFERROR(INDEX(Registre!$B$2:$B$2001,MATCH(T$1&amp;"|"&amp;(ROW()-1),Registre!$AA$2:$AA$2001,0)),"")</f>
        <v/>
      </c>
      <c r="U361">
        <f>IFERROR(INDEX(Registre!$B$2:$B$2001,MATCH(U$1&amp;"|"&amp;(ROW()-1),Registre!$AA$2:$AA$2001,0)),"")</f>
        <v/>
      </c>
      <c r="V361">
        <f>IFERROR(INDEX(Registre!$B$2:$B$2001,MATCH(V$1&amp;"|"&amp;(ROW()-1),Registre!$AA$2:$AA$2001,0)),"")</f>
        <v/>
      </c>
    </row>
    <row r="362">
      <c r="O362">
        <f>IFERROR(INDEX(Registre!$B$2:$B$2001,MATCH(O$1&amp;"|"&amp;(ROW()-1),Registre!$AA$2:$AA$2001,0)),"")</f>
        <v/>
      </c>
      <c r="P362">
        <f>IFERROR(INDEX(Registre!$B$2:$B$2001,MATCH(P$1&amp;"|"&amp;(ROW()-1),Registre!$AA$2:$AA$2001,0)),"")</f>
        <v/>
      </c>
      <c r="Q362">
        <f>IFERROR(INDEX(Registre!$B$2:$B$2001,MATCH(Q$1&amp;"|"&amp;(ROW()-1),Registre!$AA$2:$AA$2001,0)),"")</f>
        <v/>
      </c>
      <c r="R362">
        <f>IFERROR(INDEX(Registre!$B$2:$B$2001,MATCH(R$1&amp;"|"&amp;(ROW()-1),Registre!$AA$2:$AA$2001,0)),"")</f>
        <v/>
      </c>
      <c r="S362">
        <f>IFERROR(INDEX(Registre!$B$2:$B$2001,MATCH(S$1&amp;"|"&amp;(ROW()-1),Registre!$AA$2:$AA$2001,0)),"")</f>
        <v/>
      </c>
      <c r="T362">
        <f>IFERROR(INDEX(Registre!$B$2:$B$2001,MATCH(T$1&amp;"|"&amp;(ROW()-1),Registre!$AA$2:$AA$2001,0)),"")</f>
        <v/>
      </c>
      <c r="U362">
        <f>IFERROR(INDEX(Registre!$B$2:$B$2001,MATCH(U$1&amp;"|"&amp;(ROW()-1),Registre!$AA$2:$AA$2001,0)),"")</f>
        <v/>
      </c>
      <c r="V362">
        <f>IFERROR(INDEX(Registre!$B$2:$B$2001,MATCH(V$1&amp;"|"&amp;(ROW()-1),Registre!$AA$2:$AA$2001,0)),"")</f>
        <v/>
      </c>
    </row>
    <row r="363">
      <c r="O363">
        <f>IFERROR(INDEX(Registre!$B$2:$B$2001,MATCH(O$1&amp;"|"&amp;(ROW()-1),Registre!$AA$2:$AA$2001,0)),"")</f>
        <v/>
      </c>
      <c r="P363">
        <f>IFERROR(INDEX(Registre!$B$2:$B$2001,MATCH(P$1&amp;"|"&amp;(ROW()-1),Registre!$AA$2:$AA$2001,0)),"")</f>
        <v/>
      </c>
      <c r="Q363">
        <f>IFERROR(INDEX(Registre!$B$2:$B$2001,MATCH(Q$1&amp;"|"&amp;(ROW()-1),Registre!$AA$2:$AA$2001,0)),"")</f>
        <v/>
      </c>
      <c r="R363">
        <f>IFERROR(INDEX(Registre!$B$2:$B$2001,MATCH(R$1&amp;"|"&amp;(ROW()-1),Registre!$AA$2:$AA$2001,0)),"")</f>
        <v/>
      </c>
      <c r="S363">
        <f>IFERROR(INDEX(Registre!$B$2:$B$2001,MATCH(S$1&amp;"|"&amp;(ROW()-1),Registre!$AA$2:$AA$2001,0)),"")</f>
        <v/>
      </c>
      <c r="T363">
        <f>IFERROR(INDEX(Registre!$B$2:$B$2001,MATCH(T$1&amp;"|"&amp;(ROW()-1),Registre!$AA$2:$AA$2001,0)),"")</f>
        <v/>
      </c>
      <c r="U363">
        <f>IFERROR(INDEX(Registre!$B$2:$B$2001,MATCH(U$1&amp;"|"&amp;(ROW()-1),Registre!$AA$2:$AA$2001,0)),"")</f>
        <v/>
      </c>
      <c r="V363">
        <f>IFERROR(INDEX(Registre!$B$2:$B$2001,MATCH(V$1&amp;"|"&amp;(ROW()-1),Registre!$AA$2:$AA$2001,0)),"")</f>
        <v/>
      </c>
    </row>
    <row r="364">
      <c r="O364">
        <f>IFERROR(INDEX(Registre!$B$2:$B$2001,MATCH(O$1&amp;"|"&amp;(ROW()-1),Registre!$AA$2:$AA$2001,0)),"")</f>
        <v/>
      </c>
      <c r="P364">
        <f>IFERROR(INDEX(Registre!$B$2:$B$2001,MATCH(P$1&amp;"|"&amp;(ROW()-1),Registre!$AA$2:$AA$2001,0)),"")</f>
        <v/>
      </c>
      <c r="Q364">
        <f>IFERROR(INDEX(Registre!$B$2:$B$2001,MATCH(Q$1&amp;"|"&amp;(ROW()-1),Registre!$AA$2:$AA$2001,0)),"")</f>
        <v/>
      </c>
      <c r="R364">
        <f>IFERROR(INDEX(Registre!$B$2:$B$2001,MATCH(R$1&amp;"|"&amp;(ROW()-1),Registre!$AA$2:$AA$2001,0)),"")</f>
        <v/>
      </c>
      <c r="S364">
        <f>IFERROR(INDEX(Registre!$B$2:$B$2001,MATCH(S$1&amp;"|"&amp;(ROW()-1),Registre!$AA$2:$AA$2001,0)),"")</f>
        <v/>
      </c>
      <c r="T364">
        <f>IFERROR(INDEX(Registre!$B$2:$B$2001,MATCH(T$1&amp;"|"&amp;(ROW()-1),Registre!$AA$2:$AA$2001,0)),"")</f>
        <v/>
      </c>
      <c r="U364">
        <f>IFERROR(INDEX(Registre!$B$2:$B$2001,MATCH(U$1&amp;"|"&amp;(ROW()-1),Registre!$AA$2:$AA$2001,0)),"")</f>
        <v/>
      </c>
      <c r="V364">
        <f>IFERROR(INDEX(Registre!$B$2:$B$2001,MATCH(V$1&amp;"|"&amp;(ROW()-1),Registre!$AA$2:$AA$2001,0)),"")</f>
        <v/>
      </c>
    </row>
    <row r="365">
      <c r="O365">
        <f>IFERROR(INDEX(Registre!$B$2:$B$2001,MATCH(O$1&amp;"|"&amp;(ROW()-1),Registre!$AA$2:$AA$2001,0)),"")</f>
        <v/>
      </c>
      <c r="P365">
        <f>IFERROR(INDEX(Registre!$B$2:$B$2001,MATCH(P$1&amp;"|"&amp;(ROW()-1),Registre!$AA$2:$AA$2001,0)),"")</f>
        <v/>
      </c>
      <c r="Q365">
        <f>IFERROR(INDEX(Registre!$B$2:$B$2001,MATCH(Q$1&amp;"|"&amp;(ROW()-1),Registre!$AA$2:$AA$2001,0)),"")</f>
        <v/>
      </c>
      <c r="R365">
        <f>IFERROR(INDEX(Registre!$B$2:$B$2001,MATCH(R$1&amp;"|"&amp;(ROW()-1),Registre!$AA$2:$AA$2001,0)),"")</f>
        <v/>
      </c>
      <c r="S365">
        <f>IFERROR(INDEX(Registre!$B$2:$B$2001,MATCH(S$1&amp;"|"&amp;(ROW()-1),Registre!$AA$2:$AA$2001,0)),"")</f>
        <v/>
      </c>
      <c r="T365">
        <f>IFERROR(INDEX(Registre!$B$2:$B$2001,MATCH(T$1&amp;"|"&amp;(ROW()-1),Registre!$AA$2:$AA$2001,0)),"")</f>
        <v/>
      </c>
      <c r="U365">
        <f>IFERROR(INDEX(Registre!$B$2:$B$2001,MATCH(U$1&amp;"|"&amp;(ROW()-1),Registre!$AA$2:$AA$2001,0)),"")</f>
        <v/>
      </c>
      <c r="V365">
        <f>IFERROR(INDEX(Registre!$B$2:$B$2001,MATCH(V$1&amp;"|"&amp;(ROW()-1),Registre!$AA$2:$AA$2001,0)),"")</f>
        <v/>
      </c>
    </row>
    <row r="366">
      <c r="O366">
        <f>IFERROR(INDEX(Registre!$B$2:$B$2001,MATCH(O$1&amp;"|"&amp;(ROW()-1),Registre!$AA$2:$AA$2001,0)),"")</f>
        <v/>
      </c>
      <c r="P366">
        <f>IFERROR(INDEX(Registre!$B$2:$B$2001,MATCH(P$1&amp;"|"&amp;(ROW()-1),Registre!$AA$2:$AA$2001,0)),"")</f>
        <v/>
      </c>
      <c r="Q366">
        <f>IFERROR(INDEX(Registre!$B$2:$B$2001,MATCH(Q$1&amp;"|"&amp;(ROW()-1),Registre!$AA$2:$AA$2001,0)),"")</f>
        <v/>
      </c>
      <c r="R366">
        <f>IFERROR(INDEX(Registre!$B$2:$B$2001,MATCH(R$1&amp;"|"&amp;(ROW()-1),Registre!$AA$2:$AA$2001,0)),"")</f>
        <v/>
      </c>
      <c r="S366">
        <f>IFERROR(INDEX(Registre!$B$2:$B$2001,MATCH(S$1&amp;"|"&amp;(ROW()-1),Registre!$AA$2:$AA$2001,0)),"")</f>
        <v/>
      </c>
      <c r="T366">
        <f>IFERROR(INDEX(Registre!$B$2:$B$2001,MATCH(T$1&amp;"|"&amp;(ROW()-1),Registre!$AA$2:$AA$2001,0)),"")</f>
        <v/>
      </c>
      <c r="U366">
        <f>IFERROR(INDEX(Registre!$B$2:$B$2001,MATCH(U$1&amp;"|"&amp;(ROW()-1),Registre!$AA$2:$AA$2001,0)),"")</f>
        <v/>
      </c>
      <c r="V366">
        <f>IFERROR(INDEX(Registre!$B$2:$B$2001,MATCH(V$1&amp;"|"&amp;(ROW()-1),Registre!$AA$2:$AA$2001,0)),"")</f>
        <v/>
      </c>
    </row>
    <row r="367">
      <c r="O367">
        <f>IFERROR(INDEX(Registre!$B$2:$B$2001,MATCH(O$1&amp;"|"&amp;(ROW()-1),Registre!$AA$2:$AA$2001,0)),"")</f>
        <v/>
      </c>
      <c r="P367">
        <f>IFERROR(INDEX(Registre!$B$2:$B$2001,MATCH(P$1&amp;"|"&amp;(ROW()-1),Registre!$AA$2:$AA$2001,0)),"")</f>
        <v/>
      </c>
      <c r="Q367">
        <f>IFERROR(INDEX(Registre!$B$2:$B$2001,MATCH(Q$1&amp;"|"&amp;(ROW()-1),Registre!$AA$2:$AA$2001,0)),"")</f>
        <v/>
      </c>
      <c r="R367">
        <f>IFERROR(INDEX(Registre!$B$2:$B$2001,MATCH(R$1&amp;"|"&amp;(ROW()-1),Registre!$AA$2:$AA$2001,0)),"")</f>
        <v/>
      </c>
      <c r="S367">
        <f>IFERROR(INDEX(Registre!$B$2:$B$2001,MATCH(S$1&amp;"|"&amp;(ROW()-1),Registre!$AA$2:$AA$2001,0)),"")</f>
        <v/>
      </c>
      <c r="T367">
        <f>IFERROR(INDEX(Registre!$B$2:$B$2001,MATCH(T$1&amp;"|"&amp;(ROW()-1),Registre!$AA$2:$AA$2001,0)),"")</f>
        <v/>
      </c>
      <c r="U367">
        <f>IFERROR(INDEX(Registre!$B$2:$B$2001,MATCH(U$1&amp;"|"&amp;(ROW()-1),Registre!$AA$2:$AA$2001,0)),"")</f>
        <v/>
      </c>
      <c r="V367">
        <f>IFERROR(INDEX(Registre!$B$2:$B$2001,MATCH(V$1&amp;"|"&amp;(ROW()-1),Registre!$AA$2:$AA$2001,0)),"")</f>
        <v/>
      </c>
    </row>
    <row r="368">
      <c r="O368">
        <f>IFERROR(INDEX(Registre!$B$2:$B$2001,MATCH(O$1&amp;"|"&amp;(ROW()-1),Registre!$AA$2:$AA$2001,0)),"")</f>
        <v/>
      </c>
      <c r="P368">
        <f>IFERROR(INDEX(Registre!$B$2:$B$2001,MATCH(P$1&amp;"|"&amp;(ROW()-1),Registre!$AA$2:$AA$2001,0)),"")</f>
        <v/>
      </c>
      <c r="Q368">
        <f>IFERROR(INDEX(Registre!$B$2:$B$2001,MATCH(Q$1&amp;"|"&amp;(ROW()-1),Registre!$AA$2:$AA$2001,0)),"")</f>
        <v/>
      </c>
      <c r="R368">
        <f>IFERROR(INDEX(Registre!$B$2:$B$2001,MATCH(R$1&amp;"|"&amp;(ROW()-1),Registre!$AA$2:$AA$2001,0)),"")</f>
        <v/>
      </c>
      <c r="S368">
        <f>IFERROR(INDEX(Registre!$B$2:$B$2001,MATCH(S$1&amp;"|"&amp;(ROW()-1),Registre!$AA$2:$AA$2001,0)),"")</f>
        <v/>
      </c>
      <c r="T368">
        <f>IFERROR(INDEX(Registre!$B$2:$B$2001,MATCH(T$1&amp;"|"&amp;(ROW()-1),Registre!$AA$2:$AA$2001,0)),"")</f>
        <v/>
      </c>
      <c r="U368">
        <f>IFERROR(INDEX(Registre!$B$2:$B$2001,MATCH(U$1&amp;"|"&amp;(ROW()-1),Registre!$AA$2:$AA$2001,0)),"")</f>
        <v/>
      </c>
      <c r="V368">
        <f>IFERROR(INDEX(Registre!$B$2:$B$2001,MATCH(V$1&amp;"|"&amp;(ROW()-1),Registre!$AA$2:$AA$2001,0)),"")</f>
        <v/>
      </c>
    </row>
    <row r="369">
      <c r="O369">
        <f>IFERROR(INDEX(Registre!$B$2:$B$2001,MATCH(O$1&amp;"|"&amp;(ROW()-1),Registre!$AA$2:$AA$2001,0)),"")</f>
        <v/>
      </c>
      <c r="P369">
        <f>IFERROR(INDEX(Registre!$B$2:$B$2001,MATCH(P$1&amp;"|"&amp;(ROW()-1),Registre!$AA$2:$AA$2001,0)),"")</f>
        <v/>
      </c>
      <c r="Q369">
        <f>IFERROR(INDEX(Registre!$B$2:$B$2001,MATCH(Q$1&amp;"|"&amp;(ROW()-1),Registre!$AA$2:$AA$2001,0)),"")</f>
        <v/>
      </c>
      <c r="R369">
        <f>IFERROR(INDEX(Registre!$B$2:$B$2001,MATCH(R$1&amp;"|"&amp;(ROW()-1),Registre!$AA$2:$AA$2001,0)),"")</f>
        <v/>
      </c>
      <c r="S369">
        <f>IFERROR(INDEX(Registre!$B$2:$B$2001,MATCH(S$1&amp;"|"&amp;(ROW()-1),Registre!$AA$2:$AA$2001,0)),"")</f>
        <v/>
      </c>
      <c r="T369">
        <f>IFERROR(INDEX(Registre!$B$2:$B$2001,MATCH(T$1&amp;"|"&amp;(ROW()-1),Registre!$AA$2:$AA$2001,0)),"")</f>
        <v/>
      </c>
      <c r="U369">
        <f>IFERROR(INDEX(Registre!$B$2:$B$2001,MATCH(U$1&amp;"|"&amp;(ROW()-1),Registre!$AA$2:$AA$2001,0)),"")</f>
        <v/>
      </c>
      <c r="V369">
        <f>IFERROR(INDEX(Registre!$B$2:$B$2001,MATCH(V$1&amp;"|"&amp;(ROW()-1),Registre!$AA$2:$AA$2001,0)),"")</f>
        <v/>
      </c>
    </row>
    <row r="370">
      <c r="O370">
        <f>IFERROR(INDEX(Registre!$B$2:$B$2001,MATCH(O$1&amp;"|"&amp;(ROW()-1),Registre!$AA$2:$AA$2001,0)),"")</f>
        <v/>
      </c>
      <c r="P370">
        <f>IFERROR(INDEX(Registre!$B$2:$B$2001,MATCH(P$1&amp;"|"&amp;(ROW()-1),Registre!$AA$2:$AA$2001,0)),"")</f>
        <v/>
      </c>
      <c r="Q370">
        <f>IFERROR(INDEX(Registre!$B$2:$B$2001,MATCH(Q$1&amp;"|"&amp;(ROW()-1),Registre!$AA$2:$AA$2001,0)),"")</f>
        <v/>
      </c>
      <c r="R370">
        <f>IFERROR(INDEX(Registre!$B$2:$B$2001,MATCH(R$1&amp;"|"&amp;(ROW()-1),Registre!$AA$2:$AA$2001,0)),"")</f>
        <v/>
      </c>
      <c r="S370">
        <f>IFERROR(INDEX(Registre!$B$2:$B$2001,MATCH(S$1&amp;"|"&amp;(ROW()-1),Registre!$AA$2:$AA$2001,0)),"")</f>
        <v/>
      </c>
      <c r="T370">
        <f>IFERROR(INDEX(Registre!$B$2:$B$2001,MATCH(T$1&amp;"|"&amp;(ROW()-1),Registre!$AA$2:$AA$2001,0)),"")</f>
        <v/>
      </c>
      <c r="U370">
        <f>IFERROR(INDEX(Registre!$B$2:$B$2001,MATCH(U$1&amp;"|"&amp;(ROW()-1),Registre!$AA$2:$AA$2001,0)),"")</f>
        <v/>
      </c>
      <c r="V370">
        <f>IFERROR(INDEX(Registre!$B$2:$B$2001,MATCH(V$1&amp;"|"&amp;(ROW()-1),Registre!$AA$2:$AA$2001,0)),"")</f>
        <v/>
      </c>
    </row>
    <row r="371">
      <c r="O371">
        <f>IFERROR(INDEX(Registre!$B$2:$B$2001,MATCH(O$1&amp;"|"&amp;(ROW()-1),Registre!$AA$2:$AA$2001,0)),"")</f>
        <v/>
      </c>
      <c r="P371">
        <f>IFERROR(INDEX(Registre!$B$2:$B$2001,MATCH(P$1&amp;"|"&amp;(ROW()-1),Registre!$AA$2:$AA$2001,0)),"")</f>
        <v/>
      </c>
      <c r="Q371">
        <f>IFERROR(INDEX(Registre!$B$2:$B$2001,MATCH(Q$1&amp;"|"&amp;(ROW()-1),Registre!$AA$2:$AA$2001,0)),"")</f>
        <v/>
      </c>
      <c r="R371">
        <f>IFERROR(INDEX(Registre!$B$2:$B$2001,MATCH(R$1&amp;"|"&amp;(ROW()-1),Registre!$AA$2:$AA$2001,0)),"")</f>
        <v/>
      </c>
      <c r="S371">
        <f>IFERROR(INDEX(Registre!$B$2:$B$2001,MATCH(S$1&amp;"|"&amp;(ROW()-1),Registre!$AA$2:$AA$2001,0)),"")</f>
        <v/>
      </c>
      <c r="T371">
        <f>IFERROR(INDEX(Registre!$B$2:$B$2001,MATCH(T$1&amp;"|"&amp;(ROW()-1),Registre!$AA$2:$AA$2001,0)),"")</f>
        <v/>
      </c>
      <c r="U371">
        <f>IFERROR(INDEX(Registre!$B$2:$B$2001,MATCH(U$1&amp;"|"&amp;(ROW()-1),Registre!$AA$2:$AA$2001,0)),"")</f>
        <v/>
      </c>
      <c r="V371">
        <f>IFERROR(INDEX(Registre!$B$2:$B$2001,MATCH(V$1&amp;"|"&amp;(ROW()-1),Registre!$AA$2:$AA$2001,0)),"")</f>
        <v/>
      </c>
    </row>
    <row r="372">
      <c r="O372">
        <f>IFERROR(INDEX(Registre!$B$2:$B$2001,MATCH(O$1&amp;"|"&amp;(ROW()-1),Registre!$AA$2:$AA$2001,0)),"")</f>
        <v/>
      </c>
      <c r="P372">
        <f>IFERROR(INDEX(Registre!$B$2:$B$2001,MATCH(P$1&amp;"|"&amp;(ROW()-1),Registre!$AA$2:$AA$2001,0)),"")</f>
        <v/>
      </c>
      <c r="Q372">
        <f>IFERROR(INDEX(Registre!$B$2:$B$2001,MATCH(Q$1&amp;"|"&amp;(ROW()-1),Registre!$AA$2:$AA$2001,0)),"")</f>
        <v/>
      </c>
      <c r="R372">
        <f>IFERROR(INDEX(Registre!$B$2:$B$2001,MATCH(R$1&amp;"|"&amp;(ROW()-1),Registre!$AA$2:$AA$2001,0)),"")</f>
        <v/>
      </c>
      <c r="S372">
        <f>IFERROR(INDEX(Registre!$B$2:$B$2001,MATCH(S$1&amp;"|"&amp;(ROW()-1),Registre!$AA$2:$AA$2001,0)),"")</f>
        <v/>
      </c>
      <c r="T372">
        <f>IFERROR(INDEX(Registre!$B$2:$B$2001,MATCH(T$1&amp;"|"&amp;(ROW()-1),Registre!$AA$2:$AA$2001,0)),"")</f>
        <v/>
      </c>
      <c r="U372">
        <f>IFERROR(INDEX(Registre!$B$2:$B$2001,MATCH(U$1&amp;"|"&amp;(ROW()-1),Registre!$AA$2:$AA$2001,0)),"")</f>
        <v/>
      </c>
      <c r="V372">
        <f>IFERROR(INDEX(Registre!$B$2:$B$2001,MATCH(V$1&amp;"|"&amp;(ROW()-1),Registre!$AA$2:$AA$2001,0)),"")</f>
        <v/>
      </c>
    </row>
    <row r="373">
      <c r="O373">
        <f>IFERROR(INDEX(Registre!$B$2:$B$2001,MATCH(O$1&amp;"|"&amp;(ROW()-1),Registre!$AA$2:$AA$2001,0)),"")</f>
        <v/>
      </c>
      <c r="P373">
        <f>IFERROR(INDEX(Registre!$B$2:$B$2001,MATCH(P$1&amp;"|"&amp;(ROW()-1),Registre!$AA$2:$AA$2001,0)),"")</f>
        <v/>
      </c>
      <c r="Q373">
        <f>IFERROR(INDEX(Registre!$B$2:$B$2001,MATCH(Q$1&amp;"|"&amp;(ROW()-1),Registre!$AA$2:$AA$2001,0)),"")</f>
        <v/>
      </c>
      <c r="R373">
        <f>IFERROR(INDEX(Registre!$B$2:$B$2001,MATCH(R$1&amp;"|"&amp;(ROW()-1),Registre!$AA$2:$AA$2001,0)),"")</f>
        <v/>
      </c>
      <c r="S373">
        <f>IFERROR(INDEX(Registre!$B$2:$B$2001,MATCH(S$1&amp;"|"&amp;(ROW()-1),Registre!$AA$2:$AA$2001,0)),"")</f>
        <v/>
      </c>
      <c r="T373">
        <f>IFERROR(INDEX(Registre!$B$2:$B$2001,MATCH(T$1&amp;"|"&amp;(ROW()-1),Registre!$AA$2:$AA$2001,0)),"")</f>
        <v/>
      </c>
      <c r="U373">
        <f>IFERROR(INDEX(Registre!$B$2:$B$2001,MATCH(U$1&amp;"|"&amp;(ROW()-1),Registre!$AA$2:$AA$2001,0)),"")</f>
        <v/>
      </c>
      <c r="V373">
        <f>IFERROR(INDEX(Registre!$B$2:$B$2001,MATCH(V$1&amp;"|"&amp;(ROW()-1),Registre!$AA$2:$AA$2001,0)),"")</f>
        <v/>
      </c>
    </row>
    <row r="374">
      <c r="O374">
        <f>IFERROR(INDEX(Registre!$B$2:$B$2001,MATCH(O$1&amp;"|"&amp;(ROW()-1),Registre!$AA$2:$AA$2001,0)),"")</f>
        <v/>
      </c>
      <c r="P374">
        <f>IFERROR(INDEX(Registre!$B$2:$B$2001,MATCH(P$1&amp;"|"&amp;(ROW()-1),Registre!$AA$2:$AA$2001,0)),"")</f>
        <v/>
      </c>
      <c r="Q374">
        <f>IFERROR(INDEX(Registre!$B$2:$B$2001,MATCH(Q$1&amp;"|"&amp;(ROW()-1),Registre!$AA$2:$AA$2001,0)),"")</f>
        <v/>
      </c>
      <c r="R374">
        <f>IFERROR(INDEX(Registre!$B$2:$B$2001,MATCH(R$1&amp;"|"&amp;(ROW()-1),Registre!$AA$2:$AA$2001,0)),"")</f>
        <v/>
      </c>
      <c r="S374">
        <f>IFERROR(INDEX(Registre!$B$2:$B$2001,MATCH(S$1&amp;"|"&amp;(ROW()-1),Registre!$AA$2:$AA$2001,0)),"")</f>
        <v/>
      </c>
      <c r="T374">
        <f>IFERROR(INDEX(Registre!$B$2:$B$2001,MATCH(T$1&amp;"|"&amp;(ROW()-1),Registre!$AA$2:$AA$2001,0)),"")</f>
        <v/>
      </c>
      <c r="U374">
        <f>IFERROR(INDEX(Registre!$B$2:$B$2001,MATCH(U$1&amp;"|"&amp;(ROW()-1),Registre!$AA$2:$AA$2001,0)),"")</f>
        <v/>
      </c>
      <c r="V374">
        <f>IFERROR(INDEX(Registre!$B$2:$B$2001,MATCH(V$1&amp;"|"&amp;(ROW()-1),Registre!$AA$2:$AA$2001,0)),"")</f>
        <v/>
      </c>
    </row>
    <row r="375">
      <c r="O375">
        <f>IFERROR(INDEX(Registre!$B$2:$B$2001,MATCH(O$1&amp;"|"&amp;(ROW()-1),Registre!$AA$2:$AA$2001,0)),"")</f>
        <v/>
      </c>
      <c r="P375">
        <f>IFERROR(INDEX(Registre!$B$2:$B$2001,MATCH(P$1&amp;"|"&amp;(ROW()-1),Registre!$AA$2:$AA$2001,0)),"")</f>
        <v/>
      </c>
      <c r="Q375">
        <f>IFERROR(INDEX(Registre!$B$2:$B$2001,MATCH(Q$1&amp;"|"&amp;(ROW()-1),Registre!$AA$2:$AA$2001,0)),"")</f>
        <v/>
      </c>
      <c r="R375">
        <f>IFERROR(INDEX(Registre!$B$2:$B$2001,MATCH(R$1&amp;"|"&amp;(ROW()-1),Registre!$AA$2:$AA$2001,0)),"")</f>
        <v/>
      </c>
      <c r="S375">
        <f>IFERROR(INDEX(Registre!$B$2:$B$2001,MATCH(S$1&amp;"|"&amp;(ROW()-1),Registre!$AA$2:$AA$2001,0)),"")</f>
        <v/>
      </c>
      <c r="T375">
        <f>IFERROR(INDEX(Registre!$B$2:$B$2001,MATCH(T$1&amp;"|"&amp;(ROW()-1),Registre!$AA$2:$AA$2001,0)),"")</f>
        <v/>
      </c>
      <c r="U375">
        <f>IFERROR(INDEX(Registre!$B$2:$B$2001,MATCH(U$1&amp;"|"&amp;(ROW()-1),Registre!$AA$2:$AA$2001,0)),"")</f>
        <v/>
      </c>
      <c r="V375">
        <f>IFERROR(INDEX(Registre!$B$2:$B$2001,MATCH(V$1&amp;"|"&amp;(ROW()-1),Registre!$AA$2:$AA$2001,0)),"")</f>
        <v/>
      </c>
    </row>
    <row r="376">
      <c r="O376">
        <f>IFERROR(INDEX(Registre!$B$2:$B$2001,MATCH(O$1&amp;"|"&amp;(ROW()-1),Registre!$AA$2:$AA$2001,0)),"")</f>
        <v/>
      </c>
      <c r="P376">
        <f>IFERROR(INDEX(Registre!$B$2:$B$2001,MATCH(P$1&amp;"|"&amp;(ROW()-1),Registre!$AA$2:$AA$2001,0)),"")</f>
        <v/>
      </c>
      <c r="Q376">
        <f>IFERROR(INDEX(Registre!$B$2:$B$2001,MATCH(Q$1&amp;"|"&amp;(ROW()-1),Registre!$AA$2:$AA$2001,0)),"")</f>
        <v/>
      </c>
      <c r="R376">
        <f>IFERROR(INDEX(Registre!$B$2:$B$2001,MATCH(R$1&amp;"|"&amp;(ROW()-1),Registre!$AA$2:$AA$2001,0)),"")</f>
        <v/>
      </c>
      <c r="S376">
        <f>IFERROR(INDEX(Registre!$B$2:$B$2001,MATCH(S$1&amp;"|"&amp;(ROW()-1),Registre!$AA$2:$AA$2001,0)),"")</f>
        <v/>
      </c>
      <c r="T376">
        <f>IFERROR(INDEX(Registre!$B$2:$B$2001,MATCH(T$1&amp;"|"&amp;(ROW()-1),Registre!$AA$2:$AA$2001,0)),"")</f>
        <v/>
      </c>
      <c r="U376">
        <f>IFERROR(INDEX(Registre!$B$2:$B$2001,MATCH(U$1&amp;"|"&amp;(ROW()-1),Registre!$AA$2:$AA$2001,0)),"")</f>
        <v/>
      </c>
      <c r="V376">
        <f>IFERROR(INDEX(Registre!$B$2:$B$2001,MATCH(V$1&amp;"|"&amp;(ROW()-1),Registre!$AA$2:$AA$2001,0)),"")</f>
        <v/>
      </c>
    </row>
    <row r="377">
      <c r="O377">
        <f>IFERROR(INDEX(Registre!$B$2:$B$2001,MATCH(O$1&amp;"|"&amp;(ROW()-1),Registre!$AA$2:$AA$2001,0)),"")</f>
        <v/>
      </c>
      <c r="P377">
        <f>IFERROR(INDEX(Registre!$B$2:$B$2001,MATCH(P$1&amp;"|"&amp;(ROW()-1),Registre!$AA$2:$AA$2001,0)),"")</f>
        <v/>
      </c>
      <c r="Q377">
        <f>IFERROR(INDEX(Registre!$B$2:$B$2001,MATCH(Q$1&amp;"|"&amp;(ROW()-1),Registre!$AA$2:$AA$2001,0)),"")</f>
        <v/>
      </c>
      <c r="R377">
        <f>IFERROR(INDEX(Registre!$B$2:$B$2001,MATCH(R$1&amp;"|"&amp;(ROW()-1),Registre!$AA$2:$AA$2001,0)),"")</f>
        <v/>
      </c>
      <c r="S377">
        <f>IFERROR(INDEX(Registre!$B$2:$B$2001,MATCH(S$1&amp;"|"&amp;(ROW()-1),Registre!$AA$2:$AA$2001,0)),"")</f>
        <v/>
      </c>
      <c r="T377">
        <f>IFERROR(INDEX(Registre!$B$2:$B$2001,MATCH(T$1&amp;"|"&amp;(ROW()-1),Registre!$AA$2:$AA$2001,0)),"")</f>
        <v/>
      </c>
      <c r="U377">
        <f>IFERROR(INDEX(Registre!$B$2:$B$2001,MATCH(U$1&amp;"|"&amp;(ROW()-1),Registre!$AA$2:$AA$2001,0)),"")</f>
        <v/>
      </c>
      <c r="V377">
        <f>IFERROR(INDEX(Registre!$B$2:$B$2001,MATCH(V$1&amp;"|"&amp;(ROW()-1),Registre!$AA$2:$AA$2001,0)),"")</f>
        <v/>
      </c>
    </row>
    <row r="378">
      <c r="O378">
        <f>IFERROR(INDEX(Registre!$B$2:$B$2001,MATCH(O$1&amp;"|"&amp;(ROW()-1),Registre!$AA$2:$AA$2001,0)),"")</f>
        <v/>
      </c>
      <c r="P378">
        <f>IFERROR(INDEX(Registre!$B$2:$B$2001,MATCH(P$1&amp;"|"&amp;(ROW()-1),Registre!$AA$2:$AA$2001,0)),"")</f>
        <v/>
      </c>
      <c r="Q378">
        <f>IFERROR(INDEX(Registre!$B$2:$B$2001,MATCH(Q$1&amp;"|"&amp;(ROW()-1),Registre!$AA$2:$AA$2001,0)),"")</f>
        <v/>
      </c>
      <c r="R378">
        <f>IFERROR(INDEX(Registre!$B$2:$B$2001,MATCH(R$1&amp;"|"&amp;(ROW()-1),Registre!$AA$2:$AA$2001,0)),"")</f>
        <v/>
      </c>
      <c r="S378">
        <f>IFERROR(INDEX(Registre!$B$2:$B$2001,MATCH(S$1&amp;"|"&amp;(ROW()-1),Registre!$AA$2:$AA$2001,0)),"")</f>
        <v/>
      </c>
      <c r="T378">
        <f>IFERROR(INDEX(Registre!$B$2:$B$2001,MATCH(T$1&amp;"|"&amp;(ROW()-1),Registre!$AA$2:$AA$2001,0)),"")</f>
        <v/>
      </c>
      <c r="U378">
        <f>IFERROR(INDEX(Registre!$B$2:$B$2001,MATCH(U$1&amp;"|"&amp;(ROW()-1),Registre!$AA$2:$AA$2001,0)),"")</f>
        <v/>
      </c>
      <c r="V378">
        <f>IFERROR(INDEX(Registre!$B$2:$B$2001,MATCH(V$1&amp;"|"&amp;(ROW()-1),Registre!$AA$2:$AA$2001,0)),"")</f>
        <v/>
      </c>
    </row>
    <row r="379">
      <c r="O379">
        <f>IFERROR(INDEX(Registre!$B$2:$B$2001,MATCH(O$1&amp;"|"&amp;(ROW()-1),Registre!$AA$2:$AA$2001,0)),"")</f>
        <v/>
      </c>
      <c r="P379">
        <f>IFERROR(INDEX(Registre!$B$2:$B$2001,MATCH(P$1&amp;"|"&amp;(ROW()-1),Registre!$AA$2:$AA$2001,0)),"")</f>
        <v/>
      </c>
      <c r="Q379">
        <f>IFERROR(INDEX(Registre!$B$2:$B$2001,MATCH(Q$1&amp;"|"&amp;(ROW()-1),Registre!$AA$2:$AA$2001,0)),"")</f>
        <v/>
      </c>
      <c r="R379">
        <f>IFERROR(INDEX(Registre!$B$2:$B$2001,MATCH(R$1&amp;"|"&amp;(ROW()-1),Registre!$AA$2:$AA$2001,0)),"")</f>
        <v/>
      </c>
      <c r="S379">
        <f>IFERROR(INDEX(Registre!$B$2:$B$2001,MATCH(S$1&amp;"|"&amp;(ROW()-1),Registre!$AA$2:$AA$2001,0)),"")</f>
        <v/>
      </c>
      <c r="T379">
        <f>IFERROR(INDEX(Registre!$B$2:$B$2001,MATCH(T$1&amp;"|"&amp;(ROW()-1),Registre!$AA$2:$AA$2001,0)),"")</f>
        <v/>
      </c>
      <c r="U379">
        <f>IFERROR(INDEX(Registre!$B$2:$B$2001,MATCH(U$1&amp;"|"&amp;(ROW()-1),Registre!$AA$2:$AA$2001,0)),"")</f>
        <v/>
      </c>
      <c r="V379">
        <f>IFERROR(INDEX(Registre!$B$2:$B$2001,MATCH(V$1&amp;"|"&amp;(ROW()-1),Registre!$AA$2:$AA$2001,0)),"")</f>
        <v/>
      </c>
    </row>
    <row r="380">
      <c r="O380">
        <f>IFERROR(INDEX(Registre!$B$2:$B$2001,MATCH(O$1&amp;"|"&amp;(ROW()-1),Registre!$AA$2:$AA$2001,0)),"")</f>
        <v/>
      </c>
      <c r="P380">
        <f>IFERROR(INDEX(Registre!$B$2:$B$2001,MATCH(P$1&amp;"|"&amp;(ROW()-1),Registre!$AA$2:$AA$2001,0)),"")</f>
        <v/>
      </c>
      <c r="Q380">
        <f>IFERROR(INDEX(Registre!$B$2:$B$2001,MATCH(Q$1&amp;"|"&amp;(ROW()-1),Registre!$AA$2:$AA$2001,0)),"")</f>
        <v/>
      </c>
      <c r="R380">
        <f>IFERROR(INDEX(Registre!$B$2:$B$2001,MATCH(R$1&amp;"|"&amp;(ROW()-1),Registre!$AA$2:$AA$2001,0)),"")</f>
        <v/>
      </c>
      <c r="S380">
        <f>IFERROR(INDEX(Registre!$B$2:$B$2001,MATCH(S$1&amp;"|"&amp;(ROW()-1),Registre!$AA$2:$AA$2001,0)),"")</f>
        <v/>
      </c>
      <c r="T380">
        <f>IFERROR(INDEX(Registre!$B$2:$B$2001,MATCH(T$1&amp;"|"&amp;(ROW()-1),Registre!$AA$2:$AA$2001,0)),"")</f>
        <v/>
      </c>
      <c r="U380">
        <f>IFERROR(INDEX(Registre!$B$2:$B$2001,MATCH(U$1&amp;"|"&amp;(ROW()-1),Registre!$AA$2:$AA$2001,0)),"")</f>
        <v/>
      </c>
      <c r="V380">
        <f>IFERROR(INDEX(Registre!$B$2:$B$2001,MATCH(V$1&amp;"|"&amp;(ROW()-1),Registre!$AA$2:$AA$2001,0)),"")</f>
        <v/>
      </c>
    </row>
    <row r="381">
      <c r="O381">
        <f>IFERROR(INDEX(Registre!$B$2:$B$2001,MATCH(O$1&amp;"|"&amp;(ROW()-1),Registre!$AA$2:$AA$2001,0)),"")</f>
        <v/>
      </c>
      <c r="P381">
        <f>IFERROR(INDEX(Registre!$B$2:$B$2001,MATCH(P$1&amp;"|"&amp;(ROW()-1),Registre!$AA$2:$AA$2001,0)),"")</f>
        <v/>
      </c>
      <c r="Q381">
        <f>IFERROR(INDEX(Registre!$B$2:$B$2001,MATCH(Q$1&amp;"|"&amp;(ROW()-1),Registre!$AA$2:$AA$2001,0)),"")</f>
        <v/>
      </c>
      <c r="R381">
        <f>IFERROR(INDEX(Registre!$B$2:$B$2001,MATCH(R$1&amp;"|"&amp;(ROW()-1),Registre!$AA$2:$AA$2001,0)),"")</f>
        <v/>
      </c>
      <c r="S381">
        <f>IFERROR(INDEX(Registre!$B$2:$B$2001,MATCH(S$1&amp;"|"&amp;(ROW()-1),Registre!$AA$2:$AA$2001,0)),"")</f>
        <v/>
      </c>
      <c r="T381">
        <f>IFERROR(INDEX(Registre!$B$2:$B$2001,MATCH(T$1&amp;"|"&amp;(ROW()-1),Registre!$AA$2:$AA$2001,0)),"")</f>
        <v/>
      </c>
      <c r="U381">
        <f>IFERROR(INDEX(Registre!$B$2:$B$2001,MATCH(U$1&amp;"|"&amp;(ROW()-1),Registre!$AA$2:$AA$2001,0)),"")</f>
        <v/>
      </c>
      <c r="V381">
        <f>IFERROR(INDEX(Registre!$B$2:$B$2001,MATCH(V$1&amp;"|"&amp;(ROW()-1),Registre!$AA$2:$AA$2001,0)),"")</f>
        <v/>
      </c>
    </row>
    <row r="382">
      <c r="O382">
        <f>IFERROR(INDEX(Registre!$B$2:$B$2001,MATCH(O$1&amp;"|"&amp;(ROW()-1),Registre!$AA$2:$AA$2001,0)),"")</f>
        <v/>
      </c>
      <c r="P382">
        <f>IFERROR(INDEX(Registre!$B$2:$B$2001,MATCH(P$1&amp;"|"&amp;(ROW()-1),Registre!$AA$2:$AA$2001,0)),"")</f>
        <v/>
      </c>
      <c r="Q382">
        <f>IFERROR(INDEX(Registre!$B$2:$B$2001,MATCH(Q$1&amp;"|"&amp;(ROW()-1),Registre!$AA$2:$AA$2001,0)),"")</f>
        <v/>
      </c>
      <c r="R382">
        <f>IFERROR(INDEX(Registre!$B$2:$B$2001,MATCH(R$1&amp;"|"&amp;(ROW()-1),Registre!$AA$2:$AA$2001,0)),"")</f>
        <v/>
      </c>
      <c r="S382">
        <f>IFERROR(INDEX(Registre!$B$2:$B$2001,MATCH(S$1&amp;"|"&amp;(ROW()-1),Registre!$AA$2:$AA$2001,0)),"")</f>
        <v/>
      </c>
      <c r="T382">
        <f>IFERROR(INDEX(Registre!$B$2:$B$2001,MATCH(T$1&amp;"|"&amp;(ROW()-1),Registre!$AA$2:$AA$2001,0)),"")</f>
        <v/>
      </c>
      <c r="U382">
        <f>IFERROR(INDEX(Registre!$B$2:$B$2001,MATCH(U$1&amp;"|"&amp;(ROW()-1),Registre!$AA$2:$AA$2001,0)),"")</f>
        <v/>
      </c>
      <c r="V382">
        <f>IFERROR(INDEX(Registre!$B$2:$B$2001,MATCH(V$1&amp;"|"&amp;(ROW()-1),Registre!$AA$2:$AA$2001,0)),"")</f>
        <v/>
      </c>
    </row>
    <row r="383">
      <c r="O383">
        <f>IFERROR(INDEX(Registre!$B$2:$B$2001,MATCH(O$1&amp;"|"&amp;(ROW()-1),Registre!$AA$2:$AA$2001,0)),"")</f>
        <v/>
      </c>
      <c r="P383">
        <f>IFERROR(INDEX(Registre!$B$2:$B$2001,MATCH(P$1&amp;"|"&amp;(ROW()-1),Registre!$AA$2:$AA$2001,0)),"")</f>
        <v/>
      </c>
      <c r="Q383">
        <f>IFERROR(INDEX(Registre!$B$2:$B$2001,MATCH(Q$1&amp;"|"&amp;(ROW()-1),Registre!$AA$2:$AA$2001,0)),"")</f>
        <v/>
      </c>
      <c r="R383">
        <f>IFERROR(INDEX(Registre!$B$2:$B$2001,MATCH(R$1&amp;"|"&amp;(ROW()-1),Registre!$AA$2:$AA$2001,0)),"")</f>
        <v/>
      </c>
      <c r="S383">
        <f>IFERROR(INDEX(Registre!$B$2:$B$2001,MATCH(S$1&amp;"|"&amp;(ROW()-1),Registre!$AA$2:$AA$2001,0)),"")</f>
        <v/>
      </c>
      <c r="T383">
        <f>IFERROR(INDEX(Registre!$B$2:$B$2001,MATCH(T$1&amp;"|"&amp;(ROW()-1),Registre!$AA$2:$AA$2001,0)),"")</f>
        <v/>
      </c>
      <c r="U383">
        <f>IFERROR(INDEX(Registre!$B$2:$B$2001,MATCH(U$1&amp;"|"&amp;(ROW()-1),Registre!$AA$2:$AA$2001,0)),"")</f>
        <v/>
      </c>
      <c r="V383">
        <f>IFERROR(INDEX(Registre!$B$2:$B$2001,MATCH(V$1&amp;"|"&amp;(ROW()-1),Registre!$AA$2:$AA$2001,0)),"")</f>
        <v/>
      </c>
    </row>
    <row r="384">
      <c r="O384">
        <f>IFERROR(INDEX(Registre!$B$2:$B$2001,MATCH(O$1&amp;"|"&amp;(ROW()-1),Registre!$AA$2:$AA$2001,0)),"")</f>
        <v/>
      </c>
      <c r="P384">
        <f>IFERROR(INDEX(Registre!$B$2:$B$2001,MATCH(P$1&amp;"|"&amp;(ROW()-1),Registre!$AA$2:$AA$2001,0)),"")</f>
        <v/>
      </c>
      <c r="Q384">
        <f>IFERROR(INDEX(Registre!$B$2:$B$2001,MATCH(Q$1&amp;"|"&amp;(ROW()-1),Registre!$AA$2:$AA$2001,0)),"")</f>
        <v/>
      </c>
      <c r="R384">
        <f>IFERROR(INDEX(Registre!$B$2:$B$2001,MATCH(R$1&amp;"|"&amp;(ROW()-1),Registre!$AA$2:$AA$2001,0)),"")</f>
        <v/>
      </c>
      <c r="S384">
        <f>IFERROR(INDEX(Registre!$B$2:$B$2001,MATCH(S$1&amp;"|"&amp;(ROW()-1),Registre!$AA$2:$AA$2001,0)),"")</f>
        <v/>
      </c>
      <c r="T384">
        <f>IFERROR(INDEX(Registre!$B$2:$B$2001,MATCH(T$1&amp;"|"&amp;(ROW()-1),Registre!$AA$2:$AA$2001,0)),"")</f>
        <v/>
      </c>
      <c r="U384">
        <f>IFERROR(INDEX(Registre!$B$2:$B$2001,MATCH(U$1&amp;"|"&amp;(ROW()-1),Registre!$AA$2:$AA$2001,0)),"")</f>
        <v/>
      </c>
      <c r="V384">
        <f>IFERROR(INDEX(Registre!$B$2:$B$2001,MATCH(V$1&amp;"|"&amp;(ROW()-1),Registre!$AA$2:$AA$2001,0)),"")</f>
        <v/>
      </c>
    </row>
    <row r="385">
      <c r="O385">
        <f>IFERROR(INDEX(Registre!$B$2:$B$2001,MATCH(O$1&amp;"|"&amp;(ROW()-1),Registre!$AA$2:$AA$2001,0)),"")</f>
        <v/>
      </c>
      <c r="P385">
        <f>IFERROR(INDEX(Registre!$B$2:$B$2001,MATCH(P$1&amp;"|"&amp;(ROW()-1),Registre!$AA$2:$AA$2001,0)),"")</f>
        <v/>
      </c>
      <c r="Q385">
        <f>IFERROR(INDEX(Registre!$B$2:$B$2001,MATCH(Q$1&amp;"|"&amp;(ROW()-1),Registre!$AA$2:$AA$2001,0)),"")</f>
        <v/>
      </c>
      <c r="R385">
        <f>IFERROR(INDEX(Registre!$B$2:$B$2001,MATCH(R$1&amp;"|"&amp;(ROW()-1),Registre!$AA$2:$AA$2001,0)),"")</f>
        <v/>
      </c>
      <c r="S385">
        <f>IFERROR(INDEX(Registre!$B$2:$B$2001,MATCH(S$1&amp;"|"&amp;(ROW()-1),Registre!$AA$2:$AA$2001,0)),"")</f>
        <v/>
      </c>
      <c r="T385">
        <f>IFERROR(INDEX(Registre!$B$2:$B$2001,MATCH(T$1&amp;"|"&amp;(ROW()-1),Registre!$AA$2:$AA$2001,0)),"")</f>
        <v/>
      </c>
      <c r="U385">
        <f>IFERROR(INDEX(Registre!$B$2:$B$2001,MATCH(U$1&amp;"|"&amp;(ROW()-1),Registre!$AA$2:$AA$2001,0)),"")</f>
        <v/>
      </c>
      <c r="V385">
        <f>IFERROR(INDEX(Registre!$B$2:$B$2001,MATCH(V$1&amp;"|"&amp;(ROW()-1),Registre!$AA$2:$AA$2001,0)),"")</f>
        <v/>
      </c>
    </row>
    <row r="386">
      <c r="O386">
        <f>IFERROR(INDEX(Registre!$B$2:$B$2001,MATCH(O$1&amp;"|"&amp;(ROW()-1),Registre!$AA$2:$AA$2001,0)),"")</f>
        <v/>
      </c>
      <c r="P386">
        <f>IFERROR(INDEX(Registre!$B$2:$B$2001,MATCH(P$1&amp;"|"&amp;(ROW()-1),Registre!$AA$2:$AA$2001,0)),"")</f>
        <v/>
      </c>
      <c r="Q386">
        <f>IFERROR(INDEX(Registre!$B$2:$B$2001,MATCH(Q$1&amp;"|"&amp;(ROW()-1),Registre!$AA$2:$AA$2001,0)),"")</f>
        <v/>
      </c>
      <c r="R386">
        <f>IFERROR(INDEX(Registre!$B$2:$B$2001,MATCH(R$1&amp;"|"&amp;(ROW()-1),Registre!$AA$2:$AA$2001,0)),"")</f>
        <v/>
      </c>
      <c r="S386">
        <f>IFERROR(INDEX(Registre!$B$2:$B$2001,MATCH(S$1&amp;"|"&amp;(ROW()-1),Registre!$AA$2:$AA$2001,0)),"")</f>
        <v/>
      </c>
      <c r="T386">
        <f>IFERROR(INDEX(Registre!$B$2:$B$2001,MATCH(T$1&amp;"|"&amp;(ROW()-1),Registre!$AA$2:$AA$2001,0)),"")</f>
        <v/>
      </c>
      <c r="U386">
        <f>IFERROR(INDEX(Registre!$B$2:$B$2001,MATCH(U$1&amp;"|"&amp;(ROW()-1),Registre!$AA$2:$AA$2001,0)),"")</f>
        <v/>
      </c>
      <c r="V386">
        <f>IFERROR(INDEX(Registre!$B$2:$B$2001,MATCH(V$1&amp;"|"&amp;(ROW()-1),Registre!$AA$2:$AA$2001,0)),"")</f>
        <v/>
      </c>
    </row>
    <row r="387">
      <c r="O387">
        <f>IFERROR(INDEX(Registre!$B$2:$B$2001,MATCH(O$1&amp;"|"&amp;(ROW()-1),Registre!$AA$2:$AA$2001,0)),"")</f>
        <v/>
      </c>
      <c r="P387">
        <f>IFERROR(INDEX(Registre!$B$2:$B$2001,MATCH(P$1&amp;"|"&amp;(ROW()-1),Registre!$AA$2:$AA$2001,0)),"")</f>
        <v/>
      </c>
      <c r="Q387">
        <f>IFERROR(INDEX(Registre!$B$2:$B$2001,MATCH(Q$1&amp;"|"&amp;(ROW()-1),Registre!$AA$2:$AA$2001,0)),"")</f>
        <v/>
      </c>
      <c r="R387">
        <f>IFERROR(INDEX(Registre!$B$2:$B$2001,MATCH(R$1&amp;"|"&amp;(ROW()-1),Registre!$AA$2:$AA$2001,0)),"")</f>
        <v/>
      </c>
      <c r="S387">
        <f>IFERROR(INDEX(Registre!$B$2:$B$2001,MATCH(S$1&amp;"|"&amp;(ROW()-1),Registre!$AA$2:$AA$2001,0)),"")</f>
        <v/>
      </c>
      <c r="T387">
        <f>IFERROR(INDEX(Registre!$B$2:$B$2001,MATCH(T$1&amp;"|"&amp;(ROW()-1),Registre!$AA$2:$AA$2001,0)),"")</f>
        <v/>
      </c>
      <c r="U387">
        <f>IFERROR(INDEX(Registre!$B$2:$B$2001,MATCH(U$1&amp;"|"&amp;(ROW()-1),Registre!$AA$2:$AA$2001,0)),"")</f>
        <v/>
      </c>
      <c r="V387">
        <f>IFERROR(INDEX(Registre!$B$2:$B$2001,MATCH(V$1&amp;"|"&amp;(ROW()-1),Registre!$AA$2:$AA$2001,0)),"")</f>
        <v/>
      </c>
    </row>
    <row r="388">
      <c r="O388">
        <f>IFERROR(INDEX(Registre!$B$2:$B$2001,MATCH(O$1&amp;"|"&amp;(ROW()-1),Registre!$AA$2:$AA$2001,0)),"")</f>
        <v/>
      </c>
      <c r="P388">
        <f>IFERROR(INDEX(Registre!$B$2:$B$2001,MATCH(P$1&amp;"|"&amp;(ROW()-1),Registre!$AA$2:$AA$2001,0)),"")</f>
        <v/>
      </c>
      <c r="Q388">
        <f>IFERROR(INDEX(Registre!$B$2:$B$2001,MATCH(Q$1&amp;"|"&amp;(ROW()-1),Registre!$AA$2:$AA$2001,0)),"")</f>
        <v/>
      </c>
      <c r="R388">
        <f>IFERROR(INDEX(Registre!$B$2:$B$2001,MATCH(R$1&amp;"|"&amp;(ROW()-1),Registre!$AA$2:$AA$2001,0)),"")</f>
        <v/>
      </c>
      <c r="S388">
        <f>IFERROR(INDEX(Registre!$B$2:$B$2001,MATCH(S$1&amp;"|"&amp;(ROW()-1),Registre!$AA$2:$AA$2001,0)),"")</f>
        <v/>
      </c>
      <c r="T388">
        <f>IFERROR(INDEX(Registre!$B$2:$B$2001,MATCH(T$1&amp;"|"&amp;(ROW()-1),Registre!$AA$2:$AA$2001,0)),"")</f>
        <v/>
      </c>
      <c r="U388">
        <f>IFERROR(INDEX(Registre!$B$2:$B$2001,MATCH(U$1&amp;"|"&amp;(ROW()-1),Registre!$AA$2:$AA$2001,0)),"")</f>
        <v/>
      </c>
      <c r="V388">
        <f>IFERROR(INDEX(Registre!$B$2:$B$2001,MATCH(V$1&amp;"|"&amp;(ROW()-1),Registre!$AA$2:$AA$2001,0)),"")</f>
        <v/>
      </c>
    </row>
    <row r="389">
      <c r="O389">
        <f>IFERROR(INDEX(Registre!$B$2:$B$2001,MATCH(O$1&amp;"|"&amp;(ROW()-1),Registre!$AA$2:$AA$2001,0)),"")</f>
        <v/>
      </c>
      <c r="P389">
        <f>IFERROR(INDEX(Registre!$B$2:$B$2001,MATCH(P$1&amp;"|"&amp;(ROW()-1),Registre!$AA$2:$AA$2001,0)),"")</f>
        <v/>
      </c>
      <c r="Q389">
        <f>IFERROR(INDEX(Registre!$B$2:$B$2001,MATCH(Q$1&amp;"|"&amp;(ROW()-1),Registre!$AA$2:$AA$2001,0)),"")</f>
        <v/>
      </c>
      <c r="R389">
        <f>IFERROR(INDEX(Registre!$B$2:$B$2001,MATCH(R$1&amp;"|"&amp;(ROW()-1),Registre!$AA$2:$AA$2001,0)),"")</f>
        <v/>
      </c>
      <c r="S389">
        <f>IFERROR(INDEX(Registre!$B$2:$B$2001,MATCH(S$1&amp;"|"&amp;(ROW()-1),Registre!$AA$2:$AA$2001,0)),"")</f>
        <v/>
      </c>
      <c r="T389">
        <f>IFERROR(INDEX(Registre!$B$2:$B$2001,MATCH(T$1&amp;"|"&amp;(ROW()-1),Registre!$AA$2:$AA$2001,0)),"")</f>
        <v/>
      </c>
      <c r="U389">
        <f>IFERROR(INDEX(Registre!$B$2:$B$2001,MATCH(U$1&amp;"|"&amp;(ROW()-1),Registre!$AA$2:$AA$2001,0)),"")</f>
        <v/>
      </c>
      <c r="V389">
        <f>IFERROR(INDEX(Registre!$B$2:$B$2001,MATCH(V$1&amp;"|"&amp;(ROW()-1),Registre!$AA$2:$AA$2001,0)),"")</f>
        <v/>
      </c>
    </row>
    <row r="390">
      <c r="O390">
        <f>IFERROR(INDEX(Registre!$B$2:$B$2001,MATCH(O$1&amp;"|"&amp;(ROW()-1),Registre!$AA$2:$AA$2001,0)),"")</f>
        <v/>
      </c>
      <c r="P390">
        <f>IFERROR(INDEX(Registre!$B$2:$B$2001,MATCH(P$1&amp;"|"&amp;(ROW()-1),Registre!$AA$2:$AA$2001,0)),"")</f>
        <v/>
      </c>
      <c r="Q390">
        <f>IFERROR(INDEX(Registre!$B$2:$B$2001,MATCH(Q$1&amp;"|"&amp;(ROW()-1),Registre!$AA$2:$AA$2001,0)),"")</f>
        <v/>
      </c>
      <c r="R390">
        <f>IFERROR(INDEX(Registre!$B$2:$B$2001,MATCH(R$1&amp;"|"&amp;(ROW()-1),Registre!$AA$2:$AA$2001,0)),"")</f>
        <v/>
      </c>
      <c r="S390">
        <f>IFERROR(INDEX(Registre!$B$2:$B$2001,MATCH(S$1&amp;"|"&amp;(ROW()-1),Registre!$AA$2:$AA$2001,0)),"")</f>
        <v/>
      </c>
      <c r="T390">
        <f>IFERROR(INDEX(Registre!$B$2:$B$2001,MATCH(T$1&amp;"|"&amp;(ROW()-1),Registre!$AA$2:$AA$2001,0)),"")</f>
        <v/>
      </c>
      <c r="U390">
        <f>IFERROR(INDEX(Registre!$B$2:$B$2001,MATCH(U$1&amp;"|"&amp;(ROW()-1),Registre!$AA$2:$AA$2001,0)),"")</f>
        <v/>
      </c>
      <c r="V390">
        <f>IFERROR(INDEX(Registre!$B$2:$B$2001,MATCH(V$1&amp;"|"&amp;(ROW()-1),Registre!$AA$2:$AA$2001,0)),"")</f>
        <v/>
      </c>
    </row>
    <row r="391">
      <c r="O391">
        <f>IFERROR(INDEX(Registre!$B$2:$B$2001,MATCH(O$1&amp;"|"&amp;(ROW()-1),Registre!$AA$2:$AA$2001,0)),"")</f>
        <v/>
      </c>
      <c r="P391">
        <f>IFERROR(INDEX(Registre!$B$2:$B$2001,MATCH(P$1&amp;"|"&amp;(ROW()-1),Registre!$AA$2:$AA$2001,0)),"")</f>
        <v/>
      </c>
      <c r="Q391">
        <f>IFERROR(INDEX(Registre!$B$2:$B$2001,MATCH(Q$1&amp;"|"&amp;(ROW()-1),Registre!$AA$2:$AA$2001,0)),"")</f>
        <v/>
      </c>
      <c r="R391">
        <f>IFERROR(INDEX(Registre!$B$2:$B$2001,MATCH(R$1&amp;"|"&amp;(ROW()-1),Registre!$AA$2:$AA$2001,0)),"")</f>
        <v/>
      </c>
      <c r="S391">
        <f>IFERROR(INDEX(Registre!$B$2:$B$2001,MATCH(S$1&amp;"|"&amp;(ROW()-1),Registre!$AA$2:$AA$2001,0)),"")</f>
        <v/>
      </c>
      <c r="T391">
        <f>IFERROR(INDEX(Registre!$B$2:$B$2001,MATCH(T$1&amp;"|"&amp;(ROW()-1),Registre!$AA$2:$AA$2001,0)),"")</f>
        <v/>
      </c>
      <c r="U391">
        <f>IFERROR(INDEX(Registre!$B$2:$B$2001,MATCH(U$1&amp;"|"&amp;(ROW()-1),Registre!$AA$2:$AA$2001,0)),"")</f>
        <v/>
      </c>
      <c r="V391">
        <f>IFERROR(INDEX(Registre!$B$2:$B$2001,MATCH(V$1&amp;"|"&amp;(ROW()-1),Registre!$AA$2:$AA$2001,0)),"")</f>
        <v/>
      </c>
    </row>
    <row r="392">
      <c r="O392">
        <f>IFERROR(INDEX(Registre!$B$2:$B$2001,MATCH(O$1&amp;"|"&amp;(ROW()-1),Registre!$AA$2:$AA$2001,0)),"")</f>
        <v/>
      </c>
      <c r="P392">
        <f>IFERROR(INDEX(Registre!$B$2:$B$2001,MATCH(P$1&amp;"|"&amp;(ROW()-1),Registre!$AA$2:$AA$2001,0)),"")</f>
        <v/>
      </c>
      <c r="Q392">
        <f>IFERROR(INDEX(Registre!$B$2:$B$2001,MATCH(Q$1&amp;"|"&amp;(ROW()-1),Registre!$AA$2:$AA$2001,0)),"")</f>
        <v/>
      </c>
      <c r="R392">
        <f>IFERROR(INDEX(Registre!$B$2:$B$2001,MATCH(R$1&amp;"|"&amp;(ROW()-1),Registre!$AA$2:$AA$2001,0)),"")</f>
        <v/>
      </c>
      <c r="S392">
        <f>IFERROR(INDEX(Registre!$B$2:$B$2001,MATCH(S$1&amp;"|"&amp;(ROW()-1),Registre!$AA$2:$AA$2001,0)),"")</f>
        <v/>
      </c>
      <c r="T392">
        <f>IFERROR(INDEX(Registre!$B$2:$B$2001,MATCH(T$1&amp;"|"&amp;(ROW()-1),Registre!$AA$2:$AA$2001,0)),"")</f>
        <v/>
      </c>
      <c r="U392">
        <f>IFERROR(INDEX(Registre!$B$2:$B$2001,MATCH(U$1&amp;"|"&amp;(ROW()-1),Registre!$AA$2:$AA$2001,0)),"")</f>
        <v/>
      </c>
      <c r="V392">
        <f>IFERROR(INDEX(Registre!$B$2:$B$2001,MATCH(V$1&amp;"|"&amp;(ROW()-1),Registre!$AA$2:$AA$2001,0)),"")</f>
        <v/>
      </c>
    </row>
    <row r="393">
      <c r="O393">
        <f>IFERROR(INDEX(Registre!$B$2:$B$2001,MATCH(O$1&amp;"|"&amp;(ROW()-1),Registre!$AA$2:$AA$2001,0)),"")</f>
        <v/>
      </c>
      <c r="P393">
        <f>IFERROR(INDEX(Registre!$B$2:$B$2001,MATCH(P$1&amp;"|"&amp;(ROW()-1),Registre!$AA$2:$AA$2001,0)),"")</f>
        <v/>
      </c>
      <c r="Q393">
        <f>IFERROR(INDEX(Registre!$B$2:$B$2001,MATCH(Q$1&amp;"|"&amp;(ROW()-1),Registre!$AA$2:$AA$2001,0)),"")</f>
        <v/>
      </c>
      <c r="R393">
        <f>IFERROR(INDEX(Registre!$B$2:$B$2001,MATCH(R$1&amp;"|"&amp;(ROW()-1),Registre!$AA$2:$AA$2001,0)),"")</f>
        <v/>
      </c>
      <c r="S393">
        <f>IFERROR(INDEX(Registre!$B$2:$B$2001,MATCH(S$1&amp;"|"&amp;(ROW()-1),Registre!$AA$2:$AA$2001,0)),"")</f>
        <v/>
      </c>
      <c r="T393">
        <f>IFERROR(INDEX(Registre!$B$2:$B$2001,MATCH(T$1&amp;"|"&amp;(ROW()-1),Registre!$AA$2:$AA$2001,0)),"")</f>
        <v/>
      </c>
      <c r="U393">
        <f>IFERROR(INDEX(Registre!$B$2:$B$2001,MATCH(U$1&amp;"|"&amp;(ROW()-1),Registre!$AA$2:$AA$2001,0)),"")</f>
        <v/>
      </c>
      <c r="V393">
        <f>IFERROR(INDEX(Registre!$B$2:$B$2001,MATCH(V$1&amp;"|"&amp;(ROW()-1),Registre!$AA$2:$AA$2001,0)),"")</f>
        <v/>
      </c>
    </row>
    <row r="394">
      <c r="O394">
        <f>IFERROR(INDEX(Registre!$B$2:$B$2001,MATCH(O$1&amp;"|"&amp;(ROW()-1),Registre!$AA$2:$AA$2001,0)),"")</f>
        <v/>
      </c>
      <c r="P394">
        <f>IFERROR(INDEX(Registre!$B$2:$B$2001,MATCH(P$1&amp;"|"&amp;(ROW()-1),Registre!$AA$2:$AA$2001,0)),"")</f>
        <v/>
      </c>
      <c r="Q394">
        <f>IFERROR(INDEX(Registre!$B$2:$B$2001,MATCH(Q$1&amp;"|"&amp;(ROW()-1),Registre!$AA$2:$AA$2001,0)),"")</f>
        <v/>
      </c>
      <c r="R394">
        <f>IFERROR(INDEX(Registre!$B$2:$B$2001,MATCH(R$1&amp;"|"&amp;(ROW()-1),Registre!$AA$2:$AA$2001,0)),"")</f>
        <v/>
      </c>
      <c r="S394">
        <f>IFERROR(INDEX(Registre!$B$2:$B$2001,MATCH(S$1&amp;"|"&amp;(ROW()-1),Registre!$AA$2:$AA$2001,0)),"")</f>
        <v/>
      </c>
      <c r="T394">
        <f>IFERROR(INDEX(Registre!$B$2:$B$2001,MATCH(T$1&amp;"|"&amp;(ROW()-1),Registre!$AA$2:$AA$2001,0)),"")</f>
        <v/>
      </c>
      <c r="U394">
        <f>IFERROR(INDEX(Registre!$B$2:$B$2001,MATCH(U$1&amp;"|"&amp;(ROW()-1),Registre!$AA$2:$AA$2001,0)),"")</f>
        <v/>
      </c>
      <c r="V394">
        <f>IFERROR(INDEX(Registre!$B$2:$B$2001,MATCH(V$1&amp;"|"&amp;(ROW()-1),Registre!$AA$2:$AA$2001,0)),"")</f>
        <v/>
      </c>
    </row>
    <row r="395">
      <c r="O395">
        <f>IFERROR(INDEX(Registre!$B$2:$B$2001,MATCH(O$1&amp;"|"&amp;(ROW()-1),Registre!$AA$2:$AA$2001,0)),"")</f>
        <v/>
      </c>
      <c r="P395">
        <f>IFERROR(INDEX(Registre!$B$2:$B$2001,MATCH(P$1&amp;"|"&amp;(ROW()-1),Registre!$AA$2:$AA$2001,0)),"")</f>
        <v/>
      </c>
      <c r="Q395">
        <f>IFERROR(INDEX(Registre!$B$2:$B$2001,MATCH(Q$1&amp;"|"&amp;(ROW()-1),Registre!$AA$2:$AA$2001,0)),"")</f>
        <v/>
      </c>
      <c r="R395">
        <f>IFERROR(INDEX(Registre!$B$2:$B$2001,MATCH(R$1&amp;"|"&amp;(ROW()-1),Registre!$AA$2:$AA$2001,0)),"")</f>
        <v/>
      </c>
      <c r="S395">
        <f>IFERROR(INDEX(Registre!$B$2:$B$2001,MATCH(S$1&amp;"|"&amp;(ROW()-1),Registre!$AA$2:$AA$2001,0)),"")</f>
        <v/>
      </c>
      <c r="T395">
        <f>IFERROR(INDEX(Registre!$B$2:$B$2001,MATCH(T$1&amp;"|"&amp;(ROW()-1),Registre!$AA$2:$AA$2001,0)),"")</f>
        <v/>
      </c>
      <c r="U395">
        <f>IFERROR(INDEX(Registre!$B$2:$B$2001,MATCH(U$1&amp;"|"&amp;(ROW()-1),Registre!$AA$2:$AA$2001,0)),"")</f>
        <v/>
      </c>
      <c r="V395">
        <f>IFERROR(INDEX(Registre!$B$2:$B$2001,MATCH(V$1&amp;"|"&amp;(ROW()-1),Registre!$AA$2:$AA$2001,0)),"")</f>
        <v/>
      </c>
    </row>
    <row r="396">
      <c r="O396">
        <f>IFERROR(INDEX(Registre!$B$2:$B$2001,MATCH(O$1&amp;"|"&amp;(ROW()-1),Registre!$AA$2:$AA$2001,0)),"")</f>
        <v/>
      </c>
      <c r="P396">
        <f>IFERROR(INDEX(Registre!$B$2:$B$2001,MATCH(P$1&amp;"|"&amp;(ROW()-1),Registre!$AA$2:$AA$2001,0)),"")</f>
        <v/>
      </c>
      <c r="Q396">
        <f>IFERROR(INDEX(Registre!$B$2:$B$2001,MATCH(Q$1&amp;"|"&amp;(ROW()-1),Registre!$AA$2:$AA$2001,0)),"")</f>
        <v/>
      </c>
      <c r="R396">
        <f>IFERROR(INDEX(Registre!$B$2:$B$2001,MATCH(R$1&amp;"|"&amp;(ROW()-1),Registre!$AA$2:$AA$2001,0)),"")</f>
        <v/>
      </c>
      <c r="S396">
        <f>IFERROR(INDEX(Registre!$B$2:$B$2001,MATCH(S$1&amp;"|"&amp;(ROW()-1),Registre!$AA$2:$AA$2001,0)),"")</f>
        <v/>
      </c>
      <c r="T396">
        <f>IFERROR(INDEX(Registre!$B$2:$B$2001,MATCH(T$1&amp;"|"&amp;(ROW()-1),Registre!$AA$2:$AA$2001,0)),"")</f>
        <v/>
      </c>
      <c r="U396">
        <f>IFERROR(INDEX(Registre!$B$2:$B$2001,MATCH(U$1&amp;"|"&amp;(ROW()-1),Registre!$AA$2:$AA$2001,0)),"")</f>
        <v/>
      </c>
      <c r="V396">
        <f>IFERROR(INDEX(Registre!$B$2:$B$2001,MATCH(V$1&amp;"|"&amp;(ROW()-1),Registre!$AA$2:$AA$2001,0)),"")</f>
        <v/>
      </c>
    </row>
    <row r="397">
      <c r="O397">
        <f>IFERROR(INDEX(Registre!$B$2:$B$2001,MATCH(O$1&amp;"|"&amp;(ROW()-1),Registre!$AA$2:$AA$2001,0)),"")</f>
        <v/>
      </c>
      <c r="P397">
        <f>IFERROR(INDEX(Registre!$B$2:$B$2001,MATCH(P$1&amp;"|"&amp;(ROW()-1),Registre!$AA$2:$AA$2001,0)),"")</f>
        <v/>
      </c>
      <c r="Q397">
        <f>IFERROR(INDEX(Registre!$B$2:$B$2001,MATCH(Q$1&amp;"|"&amp;(ROW()-1),Registre!$AA$2:$AA$2001,0)),"")</f>
        <v/>
      </c>
      <c r="R397">
        <f>IFERROR(INDEX(Registre!$B$2:$B$2001,MATCH(R$1&amp;"|"&amp;(ROW()-1),Registre!$AA$2:$AA$2001,0)),"")</f>
        <v/>
      </c>
      <c r="S397">
        <f>IFERROR(INDEX(Registre!$B$2:$B$2001,MATCH(S$1&amp;"|"&amp;(ROW()-1),Registre!$AA$2:$AA$2001,0)),"")</f>
        <v/>
      </c>
      <c r="T397">
        <f>IFERROR(INDEX(Registre!$B$2:$B$2001,MATCH(T$1&amp;"|"&amp;(ROW()-1),Registre!$AA$2:$AA$2001,0)),"")</f>
        <v/>
      </c>
      <c r="U397">
        <f>IFERROR(INDEX(Registre!$B$2:$B$2001,MATCH(U$1&amp;"|"&amp;(ROW()-1),Registre!$AA$2:$AA$2001,0)),"")</f>
        <v/>
      </c>
      <c r="V397">
        <f>IFERROR(INDEX(Registre!$B$2:$B$2001,MATCH(V$1&amp;"|"&amp;(ROW()-1),Registre!$AA$2:$AA$2001,0)),"")</f>
        <v/>
      </c>
    </row>
    <row r="398">
      <c r="O398">
        <f>IFERROR(INDEX(Registre!$B$2:$B$2001,MATCH(O$1&amp;"|"&amp;(ROW()-1),Registre!$AA$2:$AA$2001,0)),"")</f>
        <v/>
      </c>
      <c r="P398">
        <f>IFERROR(INDEX(Registre!$B$2:$B$2001,MATCH(P$1&amp;"|"&amp;(ROW()-1),Registre!$AA$2:$AA$2001,0)),"")</f>
        <v/>
      </c>
      <c r="Q398">
        <f>IFERROR(INDEX(Registre!$B$2:$B$2001,MATCH(Q$1&amp;"|"&amp;(ROW()-1),Registre!$AA$2:$AA$2001,0)),"")</f>
        <v/>
      </c>
      <c r="R398">
        <f>IFERROR(INDEX(Registre!$B$2:$B$2001,MATCH(R$1&amp;"|"&amp;(ROW()-1),Registre!$AA$2:$AA$2001,0)),"")</f>
        <v/>
      </c>
      <c r="S398">
        <f>IFERROR(INDEX(Registre!$B$2:$B$2001,MATCH(S$1&amp;"|"&amp;(ROW()-1),Registre!$AA$2:$AA$2001,0)),"")</f>
        <v/>
      </c>
      <c r="T398">
        <f>IFERROR(INDEX(Registre!$B$2:$B$2001,MATCH(T$1&amp;"|"&amp;(ROW()-1),Registre!$AA$2:$AA$2001,0)),"")</f>
        <v/>
      </c>
      <c r="U398">
        <f>IFERROR(INDEX(Registre!$B$2:$B$2001,MATCH(U$1&amp;"|"&amp;(ROW()-1),Registre!$AA$2:$AA$2001,0)),"")</f>
        <v/>
      </c>
      <c r="V398">
        <f>IFERROR(INDEX(Registre!$B$2:$B$2001,MATCH(V$1&amp;"|"&amp;(ROW()-1),Registre!$AA$2:$AA$2001,0)),"")</f>
        <v/>
      </c>
    </row>
    <row r="399">
      <c r="O399">
        <f>IFERROR(INDEX(Registre!$B$2:$B$2001,MATCH(O$1&amp;"|"&amp;(ROW()-1),Registre!$AA$2:$AA$2001,0)),"")</f>
        <v/>
      </c>
      <c r="P399">
        <f>IFERROR(INDEX(Registre!$B$2:$B$2001,MATCH(P$1&amp;"|"&amp;(ROW()-1),Registre!$AA$2:$AA$2001,0)),"")</f>
        <v/>
      </c>
      <c r="Q399">
        <f>IFERROR(INDEX(Registre!$B$2:$B$2001,MATCH(Q$1&amp;"|"&amp;(ROW()-1),Registre!$AA$2:$AA$2001,0)),"")</f>
        <v/>
      </c>
      <c r="R399">
        <f>IFERROR(INDEX(Registre!$B$2:$B$2001,MATCH(R$1&amp;"|"&amp;(ROW()-1),Registre!$AA$2:$AA$2001,0)),"")</f>
        <v/>
      </c>
      <c r="S399">
        <f>IFERROR(INDEX(Registre!$B$2:$B$2001,MATCH(S$1&amp;"|"&amp;(ROW()-1),Registre!$AA$2:$AA$2001,0)),"")</f>
        <v/>
      </c>
      <c r="T399">
        <f>IFERROR(INDEX(Registre!$B$2:$B$2001,MATCH(T$1&amp;"|"&amp;(ROW()-1),Registre!$AA$2:$AA$2001,0)),"")</f>
        <v/>
      </c>
      <c r="U399">
        <f>IFERROR(INDEX(Registre!$B$2:$B$2001,MATCH(U$1&amp;"|"&amp;(ROW()-1),Registre!$AA$2:$AA$2001,0)),"")</f>
        <v/>
      </c>
      <c r="V399">
        <f>IFERROR(INDEX(Registre!$B$2:$B$2001,MATCH(V$1&amp;"|"&amp;(ROW()-1),Registre!$AA$2:$AA$2001,0)),"")</f>
        <v/>
      </c>
    </row>
    <row r="400">
      <c r="O400">
        <f>IFERROR(INDEX(Registre!$B$2:$B$2001,MATCH(O$1&amp;"|"&amp;(ROW()-1),Registre!$AA$2:$AA$2001,0)),"")</f>
        <v/>
      </c>
      <c r="P400">
        <f>IFERROR(INDEX(Registre!$B$2:$B$2001,MATCH(P$1&amp;"|"&amp;(ROW()-1),Registre!$AA$2:$AA$2001,0)),"")</f>
        <v/>
      </c>
      <c r="Q400">
        <f>IFERROR(INDEX(Registre!$B$2:$B$2001,MATCH(Q$1&amp;"|"&amp;(ROW()-1),Registre!$AA$2:$AA$2001,0)),"")</f>
        <v/>
      </c>
      <c r="R400">
        <f>IFERROR(INDEX(Registre!$B$2:$B$2001,MATCH(R$1&amp;"|"&amp;(ROW()-1),Registre!$AA$2:$AA$2001,0)),"")</f>
        <v/>
      </c>
      <c r="S400">
        <f>IFERROR(INDEX(Registre!$B$2:$B$2001,MATCH(S$1&amp;"|"&amp;(ROW()-1),Registre!$AA$2:$AA$2001,0)),"")</f>
        <v/>
      </c>
      <c r="T400">
        <f>IFERROR(INDEX(Registre!$B$2:$B$2001,MATCH(T$1&amp;"|"&amp;(ROW()-1),Registre!$AA$2:$AA$2001,0)),"")</f>
        <v/>
      </c>
      <c r="U400">
        <f>IFERROR(INDEX(Registre!$B$2:$B$2001,MATCH(U$1&amp;"|"&amp;(ROW()-1),Registre!$AA$2:$AA$2001,0)),"")</f>
        <v/>
      </c>
      <c r="V400">
        <f>IFERROR(INDEX(Registre!$B$2:$B$2001,MATCH(V$1&amp;"|"&amp;(ROW()-1),Registre!$AA$2:$AA$2001,0)),"")</f>
        <v/>
      </c>
    </row>
    <row r="401">
      <c r="O401">
        <f>IFERROR(INDEX(Registre!$B$2:$B$2001,MATCH(O$1&amp;"|"&amp;(ROW()-1),Registre!$AA$2:$AA$2001,0)),"")</f>
        <v/>
      </c>
      <c r="P401">
        <f>IFERROR(INDEX(Registre!$B$2:$B$2001,MATCH(P$1&amp;"|"&amp;(ROW()-1),Registre!$AA$2:$AA$2001,0)),"")</f>
        <v/>
      </c>
      <c r="Q401">
        <f>IFERROR(INDEX(Registre!$B$2:$B$2001,MATCH(Q$1&amp;"|"&amp;(ROW()-1),Registre!$AA$2:$AA$2001,0)),"")</f>
        <v/>
      </c>
      <c r="R401">
        <f>IFERROR(INDEX(Registre!$B$2:$B$2001,MATCH(R$1&amp;"|"&amp;(ROW()-1),Registre!$AA$2:$AA$2001,0)),"")</f>
        <v/>
      </c>
      <c r="S401">
        <f>IFERROR(INDEX(Registre!$B$2:$B$2001,MATCH(S$1&amp;"|"&amp;(ROW()-1),Registre!$AA$2:$AA$2001,0)),"")</f>
        <v/>
      </c>
      <c r="T401">
        <f>IFERROR(INDEX(Registre!$B$2:$B$2001,MATCH(T$1&amp;"|"&amp;(ROW()-1),Registre!$AA$2:$AA$2001,0)),"")</f>
        <v/>
      </c>
      <c r="U401">
        <f>IFERROR(INDEX(Registre!$B$2:$B$2001,MATCH(U$1&amp;"|"&amp;(ROW()-1),Registre!$AA$2:$AA$2001,0)),"")</f>
        <v/>
      </c>
      <c r="V401">
        <f>IFERROR(INDEX(Registre!$B$2:$B$2001,MATCH(V$1&amp;"|"&amp;(ROW()-1),Registre!$AA$2:$AA$2001,0)),"")</f>
        <v/>
      </c>
    </row>
    <row r="402">
      <c r="O402">
        <f>IFERROR(INDEX(Registre!$B$2:$B$2001,MATCH(O$1&amp;"|"&amp;(ROW()-1),Registre!$AA$2:$AA$2001,0)),"")</f>
        <v/>
      </c>
      <c r="P402">
        <f>IFERROR(INDEX(Registre!$B$2:$B$2001,MATCH(P$1&amp;"|"&amp;(ROW()-1),Registre!$AA$2:$AA$2001,0)),"")</f>
        <v/>
      </c>
      <c r="Q402">
        <f>IFERROR(INDEX(Registre!$B$2:$B$2001,MATCH(Q$1&amp;"|"&amp;(ROW()-1),Registre!$AA$2:$AA$2001,0)),"")</f>
        <v/>
      </c>
      <c r="R402">
        <f>IFERROR(INDEX(Registre!$B$2:$B$2001,MATCH(R$1&amp;"|"&amp;(ROW()-1),Registre!$AA$2:$AA$2001,0)),"")</f>
        <v/>
      </c>
      <c r="S402">
        <f>IFERROR(INDEX(Registre!$B$2:$B$2001,MATCH(S$1&amp;"|"&amp;(ROW()-1),Registre!$AA$2:$AA$2001,0)),"")</f>
        <v/>
      </c>
      <c r="T402">
        <f>IFERROR(INDEX(Registre!$B$2:$B$2001,MATCH(T$1&amp;"|"&amp;(ROW()-1),Registre!$AA$2:$AA$2001,0)),"")</f>
        <v/>
      </c>
      <c r="U402">
        <f>IFERROR(INDEX(Registre!$B$2:$B$2001,MATCH(U$1&amp;"|"&amp;(ROW()-1),Registre!$AA$2:$AA$2001,0)),"")</f>
        <v/>
      </c>
      <c r="V402">
        <f>IFERROR(INDEX(Registre!$B$2:$B$2001,MATCH(V$1&amp;"|"&amp;(ROW()-1),Registre!$AA$2:$AA$2001,0)),"")</f>
        <v/>
      </c>
    </row>
    <row r="403">
      <c r="O403">
        <f>IFERROR(INDEX(Registre!$B$2:$B$2001,MATCH(O$1&amp;"|"&amp;(ROW()-1),Registre!$AA$2:$AA$2001,0)),"")</f>
        <v/>
      </c>
      <c r="P403">
        <f>IFERROR(INDEX(Registre!$B$2:$B$2001,MATCH(P$1&amp;"|"&amp;(ROW()-1),Registre!$AA$2:$AA$2001,0)),"")</f>
        <v/>
      </c>
      <c r="Q403">
        <f>IFERROR(INDEX(Registre!$B$2:$B$2001,MATCH(Q$1&amp;"|"&amp;(ROW()-1),Registre!$AA$2:$AA$2001,0)),"")</f>
        <v/>
      </c>
      <c r="R403">
        <f>IFERROR(INDEX(Registre!$B$2:$B$2001,MATCH(R$1&amp;"|"&amp;(ROW()-1),Registre!$AA$2:$AA$2001,0)),"")</f>
        <v/>
      </c>
      <c r="S403">
        <f>IFERROR(INDEX(Registre!$B$2:$B$2001,MATCH(S$1&amp;"|"&amp;(ROW()-1),Registre!$AA$2:$AA$2001,0)),"")</f>
        <v/>
      </c>
      <c r="T403">
        <f>IFERROR(INDEX(Registre!$B$2:$B$2001,MATCH(T$1&amp;"|"&amp;(ROW()-1),Registre!$AA$2:$AA$2001,0)),"")</f>
        <v/>
      </c>
      <c r="U403">
        <f>IFERROR(INDEX(Registre!$B$2:$B$2001,MATCH(U$1&amp;"|"&amp;(ROW()-1),Registre!$AA$2:$AA$2001,0)),"")</f>
        <v/>
      </c>
      <c r="V403">
        <f>IFERROR(INDEX(Registre!$B$2:$B$2001,MATCH(V$1&amp;"|"&amp;(ROW()-1),Registre!$AA$2:$AA$2001,0)),"")</f>
        <v/>
      </c>
    </row>
    <row r="404">
      <c r="O404">
        <f>IFERROR(INDEX(Registre!$B$2:$B$2001,MATCH(O$1&amp;"|"&amp;(ROW()-1),Registre!$AA$2:$AA$2001,0)),"")</f>
        <v/>
      </c>
      <c r="P404">
        <f>IFERROR(INDEX(Registre!$B$2:$B$2001,MATCH(P$1&amp;"|"&amp;(ROW()-1),Registre!$AA$2:$AA$2001,0)),"")</f>
        <v/>
      </c>
      <c r="Q404">
        <f>IFERROR(INDEX(Registre!$B$2:$B$2001,MATCH(Q$1&amp;"|"&amp;(ROW()-1),Registre!$AA$2:$AA$2001,0)),"")</f>
        <v/>
      </c>
      <c r="R404">
        <f>IFERROR(INDEX(Registre!$B$2:$B$2001,MATCH(R$1&amp;"|"&amp;(ROW()-1),Registre!$AA$2:$AA$2001,0)),"")</f>
        <v/>
      </c>
      <c r="S404">
        <f>IFERROR(INDEX(Registre!$B$2:$B$2001,MATCH(S$1&amp;"|"&amp;(ROW()-1),Registre!$AA$2:$AA$2001,0)),"")</f>
        <v/>
      </c>
      <c r="T404">
        <f>IFERROR(INDEX(Registre!$B$2:$B$2001,MATCH(T$1&amp;"|"&amp;(ROW()-1),Registre!$AA$2:$AA$2001,0)),"")</f>
        <v/>
      </c>
      <c r="U404">
        <f>IFERROR(INDEX(Registre!$B$2:$B$2001,MATCH(U$1&amp;"|"&amp;(ROW()-1),Registre!$AA$2:$AA$2001,0)),"")</f>
        <v/>
      </c>
      <c r="V404">
        <f>IFERROR(INDEX(Registre!$B$2:$B$2001,MATCH(V$1&amp;"|"&amp;(ROW()-1),Registre!$AA$2:$AA$2001,0)),"")</f>
        <v/>
      </c>
    </row>
    <row r="405">
      <c r="O405">
        <f>IFERROR(INDEX(Registre!$B$2:$B$2001,MATCH(O$1&amp;"|"&amp;(ROW()-1),Registre!$AA$2:$AA$2001,0)),"")</f>
        <v/>
      </c>
      <c r="P405">
        <f>IFERROR(INDEX(Registre!$B$2:$B$2001,MATCH(P$1&amp;"|"&amp;(ROW()-1),Registre!$AA$2:$AA$2001,0)),"")</f>
        <v/>
      </c>
      <c r="Q405">
        <f>IFERROR(INDEX(Registre!$B$2:$B$2001,MATCH(Q$1&amp;"|"&amp;(ROW()-1),Registre!$AA$2:$AA$2001,0)),"")</f>
        <v/>
      </c>
      <c r="R405">
        <f>IFERROR(INDEX(Registre!$B$2:$B$2001,MATCH(R$1&amp;"|"&amp;(ROW()-1),Registre!$AA$2:$AA$2001,0)),"")</f>
        <v/>
      </c>
      <c r="S405">
        <f>IFERROR(INDEX(Registre!$B$2:$B$2001,MATCH(S$1&amp;"|"&amp;(ROW()-1),Registre!$AA$2:$AA$2001,0)),"")</f>
        <v/>
      </c>
      <c r="T405">
        <f>IFERROR(INDEX(Registre!$B$2:$B$2001,MATCH(T$1&amp;"|"&amp;(ROW()-1),Registre!$AA$2:$AA$2001,0)),"")</f>
        <v/>
      </c>
      <c r="U405">
        <f>IFERROR(INDEX(Registre!$B$2:$B$2001,MATCH(U$1&amp;"|"&amp;(ROW()-1),Registre!$AA$2:$AA$2001,0)),"")</f>
        <v/>
      </c>
      <c r="V405">
        <f>IFERROR(INDEX(Registre!$B$2:$B$2001,MATCH(V$1&amp;"|"&amp;(ROW()-1),Registre!$AA$2:$AA$2001,0)),"")</f>
        <v/>
      </c>
    </row>
    <row r="406">
      <c r="O406">
        <f>IFERROR(INDEX(Registre!$B$2:$B$2001,MATCH(O$1&amp;"|"&amp;(ROW()-1),Registre!$AA$2:$AA$2001,0)),"")</f>
        <v/>
      </c>
      <c r="P406">
        <f>IFERROR(INDEX(Registre!$B$2:$B$2001,MATCH(P$1&amp;"|"&amp;(ROW()-1),Registre!$AA$2:$AA$2001,0)),"")</f>
        <v/>
      </c>
      <c r="Q406">
        <f>IFERROR(INDEX(Registre!$B$2:$B$2001,MATCH(Q$1&amp;"|"&amp;(ROW()-1),Registre!$AA$2:$AA$2001,0)),"")</f>
        <v/>
      </c>
      <c r="R406">
        <f>IFERROR(INDEX(Registre!$B$2:$B$2001,MATCH(R$1&amp;"|"&amp;(ROW()-1),Registre!$AA$2:$AA$2001,0)),"")</f>
        <v/>
      </c>
      <c r="S406">
        <f>IFERROR(INDEX(Registre!$B$2:$B$2001,MATCH(S$1&amp;"|"&amp;(ROW()-1),Registre!$AA$2:$AA$2001,0)),"")</f>
        <v/>
      </c>
      <c r="T406">
        <f>IFERROR(INDEX(Registre!$B$2:$B$2001,MATCH(T$1&amp;"|"&amp;(ROW()-1),Registre!$AA$2:$AA$2001,0)),"")</f>
        <v/>
      </c>
      <c r="U406">
        <f>IFERROR(INDEX(Registre!$B$2:$B$2001,MATCH(U$1&amp;"|"&amp;(ROW()-1),Registre!$AA$2:$AA$2001,0)),"")</f>
        <v/>
      </c>
      <c r="V406">
        <f>IFERROR(INDEX(Registre!$B$2:$B$2001,MATCH(V$1&amp;"|"&amp;(ROW()-1),Registre!$AA$2:$AA$2001,0)),"")</f>
        <v/>
      </c>
    </row>
    <row r="407">
      <c r="O407">
        <f>IFERROR(INDEX(Registre!$B$2:$B$2001,MATCH(O$1&amp;"|"&amp;(ROW()-1),Registre!$AA$2:$AA$2001,0)),"")</f>
        <v/>
      </c>
      <c r="P407">
        <f>IFERROR(INDEX(Registre!$B$2:$B$2001,MATCH(P$1&amp;"|"&amp;(ROW()-1),Registre!$AA$2:$AA$2001,0)),"")</f>
        <v/>
      </c>
      <c r="Q407">
        <f>IFERROR(INDEX(Registre!$B$2:$B$2001,MATCH(Q$1&amp;"|"&amp;(ROW()-1),Registre!$AA$2:$AA$2001,0)),"")</f>
        <v/>
      </c>
      <c r="R407">
        <f>IFERROR(INDEX(Registre!$B$2:$B$2001,MATCH(R$1&amp;"|"&amp;(ROW()-1),Registre!$AA$2:$AA$2001,0)),"")</f>
        <v/>
      </c>
      <c r="S407">
        <f>IFERROR(INDEX(Registre!$B$2:$B$2001,MATCH(S$1&amp;"|"&amp;(ROW()-1),Registre!$AA$2:$AA$2001,0)),"")</f>
        <v/>
      </c>
      <c r="T407">
        <f>IFERROR(INDEX(Registre!$B$2:$B$2001,MATCH(T$1&amp;"|"&amp;(ROW()-1),Registre!$AA$2:$AA$2001,0)),"")</f>
        <v/>
      </c>
      <c r="U407">
        <f>IFERROR(INDEX(Registre!$B$2:$B$2001,MATCH(U$1&amp;"|"&amp;(ROW()-1),Registre!$AA$2:$AA$2001,0)),"")</f>
        <v/>
      </c>
      <c r="V407">
        <f>IFERROR(INDEX(Registre!$B$2:$B$2001,MATCH(V$1&amp;"|"&amp;(ROW()-1),Registre!$AA$2:$AA$2001,0)),"")</f>
        <v/>
      </c>
    </row>
    <row r="408">
      <c r="O408">
        <f>IFERROR(INDEX(Registre!$B$2:$B$2001,MATCH(O$1&amp;"|"&amp;(ROW()-1),Registre!$AA$2:$AA$2001,0)),"")</f>
        <v/>
      </c>
      <c r="P408">
        <f>IFERROR(INDEX(Registre!$B$2:$B$2001,MATCH(P$1&amp;"|"&amp;(ROW()-1),Registre!$AA$2:$AA$2001,0)),"")</f>
        <v/>
      </c>
      <c r="Q408">
        <f>IFERROR(INDEX(Registre!$B$2:$B$2001,MATCH(Q$1&amp;"|"&amp;(ROW()-1),Registre!$AA$2:$AA$2001,0)),"")</f>
        <v/>
      </c>
      <c r="R408">
        <f>IFERROR(INDEX(Registre!$B$2:$B$2001,MATCH(R$1&amp;"|"&amp;(ROW()-1),Registre!$AA$2:$AA$2001,0)),"")</f>
        <v/>
      </c>
      <c r="S408">
        <f>IFERROR(INDEX(Registre!$B$2:$B$2001,MATCH(S$1&amp;"|"&amp;(ROW()-1),Registre!$AA$2:$AA$2001,0)),"")</f>
        <v/>
      </c>
      <c r="T408">
        <f>IFERROR(INDEX(Registre!$B$2:$B$2001,MATCH(T$1&amp;"|"&amp;(ROW()-1),Registre!$AA$2:$AA$2001,0)),"")</f>
        <v/>
      </c>
      <c r="U408">
        <f>IFERROR(INDEX(Registre!$B$2:$B$2001,MATCH(U$1&amp;"|"&amp;(ROW()-1),Registre!$AA$2:$AA$2001,0)),"")</f>
        <v/>
      </c>
      <c r="V408">
        <f>IFERROR(INDEX(Registre!$B$2:$B$2001,MATCH(V$1&amp;"|"&amp;(ROW()-1),Registre!$AA$2:$AA$2001,0)),"")</f>
        <v/>
      </c>
    </row>
    <row r="409">
      <c r="O409">
        <f>IFERROR(INDEX(Registre!$B$2:$B$2001,MATCH(O$1&amp;"|"&amp;(ROW()-1),Registre!$AA$2:$AA$2001,0)),"")</f>
        <v/>
      </c>
      <c r="P409">
        <f>IFERROR(INDEX(Registre!$B$2:$B$2001,MATCH(P$1&amp;"|"&amp;(ROW()-1),Registre!$AA$2:$AA$2001,0)),"")</f>
        <v/>
      </c>
      <c r="Q409">
        <f>IFERROR(INDEX(Registre!$B$2:$B$2001,MATCH(Q$1&amp;"|"&amp;(ROW()-1),Registre!$AA$2:$AA$2001,0)),"")</f>
        <v/>
      </c>
      <c r="R409">
        <f>IFERROR(INDEX(Registre!$B$2:$B$2001,MATCH(R$1&amp;"|"&amp;(ROW()-1),Registre!$AA$2:$AA$2001,0)),"")</f>
        <v/>
      </c>
      <c r="S409">
        <f>IFERROR(INDEX(Registre!$B$2:$B$2001,MATCH(S$1&amp;"|"&amp;(ROW()-1),Registre!$AA$2:$AA$2001,0)),"")</f>
        <v/>
      </c>
      <c r="T409">
        <f>IFERROR(INDEX(Registre!$B$2:$B$2001,MATCH(T$1&amp;"|"&amp;(ROW()-1),Registre!$AA$2:$AA$2001,0)),"")</f>
        <v/>
      </c>
      <c r="U409">
        <f>IFERROR(INDEX(Registre!$B$2:$B$2001,MATCH(U$1&amp;"|"&amp;(ROW()-1),Registre!$AA$2:$AA$2001,0)),"")</f>
        <v/>
      </c>
      <c r="V409">
        <f>IFERROR(INDEX(Registre!$B$2:$B$2001,MATCH(V$1&amp;"|"&amp;(ROW()-1),Registre!$AA$2:$AA$2001,0)),"")</f>
        <v/>
      </c>
    </row>
    <row r="410">
      <c r="O410">
        <f>IFERROR(INDEX(Registre!$B$2:$B$2001,MATCH(O$1&amp;"|"&amp;(ROW()-1),Registre!$AA$2:$AA$2001,0)),"")</f>
        <v/>
      </c>
      <c r="P410">
        <f>IFERROR(INDEX(Registre!$B$2:$B$2001,MATCH(P$1&amp;"|"&amp;(ROW()-1),Registre!$AA$2:$AA$2001,0)),"")</f>
        <v/>
      </c>
      <c r="Q410">
        <f>IFERROR(INDEX(Registre!$B$2:$B$2001,MATCH(Q$1&amp;"|"&amp;(ROW()-1),Registre!$AA$2:$AA$2001,0)),"")</f>
        <v/>
      </c>
      <c r="R410">
        <f>IFERROR(INDEX(Registre!$B$2:$B$2001,MATCH(R$1&amp;"|"&amp;(ROW()-1),Registre!$AA$2:$AA$2001,0)),"")</f>
        <v/>
      </c>
      <c r="S410">
        <f>IFERROR(INDEX(Registre!$B$2:$B$2001,MATCH(S$1&amp;"|"&amp;(ROW()-1),Registre!$AA$2:$AA$2001,0)),"")</f>
        <v/>
      </c>
      <c r="T410">
        <f>IFERROR(INDEX(Registre!$B$2:$B$2001,MATCH(T$1&amp;"|"&amp;(ROW()-1),Registre!$AA$2:$AA$2001,0)),"")</f>
        <v/>
      </c>
      <c r="U410">
        <f>IFERROR(INDEX(Registre!$B$2:$B$2001,MATCH(U$1&amp;"|"&amp;(ROW()-1),Registre!$AA$2:$AA$2001,0)),"")</f>
        <v/>
      </c>
      <c r="V410">
        <f>IFERROR(INDEX(Registre!$B$2:$B$2001,MATCH(V$1&amp;"|"&amp;(ROW()-1),Registre!$AA$2:$AA$2001,0)),"")</f>
        <v/>
      </c>
    </row>
    <row r="411">
      <c r="O411">
        <f>IFERROR(INDEX(Registre!$B$2:$B$2001,MATCH(O$1&amp;"|"&amp;(ROW()-1),Registre!$AA$2:$AA$2001,0)),"")</f>
        <v/>
      </c>
      <c r="P411">
        <f>IFERROR(INDEX(Registre!$B$2:$B$2001,MATCH(P$1&amp;"|"&amp;(ROW()-1),Registre!$AA$2:$AA$2001,0)),"")</f>
        <v/>
      </c>
      <c r="Q411">
        <f>IFERROR(INDEX(Registre!$B$2:$B$2001,MATCH(Q$1&amp;"|"&amp;(ROW()-1),Registre!$AA$2:$AA$2001,0)),"")</f>
        <v/>
      </c>
      <c r="R411">
        <f>IFERROR(INDEX(Registre!$B$2:$B$2001,MATCH(R$1&amp;"|"&amp;(ROW()-1),Registre!$AA$2:$AA$2001,0)),"")</f>
        <v/>
      </c>
      <c r="S411">
        <f>IFERROR(INDEX(Registre!$B$2:$B$2001,MATCH(S$1&amp;"|"&amp;(ROW()-1),Registre!$AA$2:$AA$2001,0)),"")</f>
        <v/>
      </c>
      <c r="T411">
        <f>IFERROR(INDEX(Registre!$B$2:$B$2001,MATCH(T$1&amp;"|"&amp;(ROW()-1),Registre!$AA$2:$AA$2001,0)),"")</f>
        <v/>
      </c>
      <c r="U411">
        <f>IFERROR(INDEX(Registre!$B$2:$B$2001,MATCH(U$1&amp;"|"&amp;(ROW()-1),Registre!$AA$2:$AA$2001,0)),"")</f>
        <v/>
      </c>
      <c r="V411">
        <f>IFERROR(INDEX(Registre!$B$2:$B$2001,MATCH(V$1&amp;"|"&amp;(ROW()-1),Registre!$AA$2:$AA$2001,0)),"")</f>
        <v/>
      </c>
    </row>
    <row r="412">
      <c r="O412">
        <f>IFERROR(INDEX(Registre!$B$2:$B$2001,MATCH(O$1&amp;"|"&amp;(ROW()-1),Registre!$AA$2:$AA$2001,0)),"")</f>
        <v/>
      </c>
      <c r="P412">
        <f>IFERROR(INDEX(Registre!$B$2:$B$2001,MATCH(P$1&amp;"|"&amp;(ROW()-1),Registre!$AA$2:$AA$2001,0)),"")</f>
        <v/>
      </c>
      <c r="Q412">
        <f>IFERROR(INDEX(Registre!$B$2:$B$2001,MATCH(Q$1&amp;"|"&amp;(ROW()-1),Registre!$AA$2:$AA$2001,0)),"")</f>
        <v/>
      </c>
      <c r="R412">
        <f>IFERROR(INDEX(Registre!$B$2:$B$2001,MATCH(R$1&amp;"|"&amp;(ROW()-1),Registre!$AA$2:$AA$2001,0)),"")</f>
        <v/>
      </c>
      <c r="S412">
        <f>IFERROR(INDEX(Registre!$B$2:$B$2001,MATCH(S$1&amp;"|"&amp;(ROW()-1),Registre!$AA$2:$AA$2001,0)),"")</f>
        <v/>
      </c>
      <c r="T412">
        <f>IFERROR(INDEX(Registre!$B$2:$B$2001,MATCH(T$1&amp;"|"&amp;(ROW()-1),Registre!$AA$2:$AA$2001,0)),"")</f>
        <v/>
      </c>
      <c r="U412">
        <f>IFERROR(INDEX(Registre!$B$2:$B$2001,MATCH(U$1&amp;"|"&amp;(ROW()-1),Registre!$AA$2:$AA$2001,0)),"")</f>
        <v/>
      </c>
      <c r="V412">
        <f>IFERROR(INDEX(Registre!$B$2:$B$2001,MATCH(V$1&amp;"|"&amp;(ROW()-1),Registre!$AA$2:$AA$2001,0)),"")</f>
        <v/>
      </c>
    </row>
    <row r="413">
      <c r="O413">
        <f>IFERROR(INDEX(Registre!$B$2:$B$2001,MATCH(O$1&amp;"|"&amp;(ROW()-1),Registre!$AA$2:$AA$2001,0)),"")</f>
        <v/>
      </c>
      <c r="P413">
        <f>IFERROR(INDEX(Registre!$B$2:$B$2001,MATCH(P$1&amp;"|"&amp;(ROW()-1),Registre!$AA$2:$AA$2001,0)),"")</f>
        <v/>
      </c>
      <c r="Q413">
        <f>IFERROR(INDEX(Registre!$B$2:$B$2001,MATCH(Q$1&amp;"|"&amp;(ROW()-1),Registre!$AA$2:$AA$2001,0)),"")</f>
        <v/>
      </c>
      <c r="R413">
        <f>IFERROR(INDEX(Registre!$B$2:$B$2001,MATCH(R$1&amp;"|"&amp;(ROW()-1),Registre!$AA$2:$AA$2001,0)),"")</f>
        <v/>
      </c>
      <c r="S413">
        <f>IFERROR(INDEX(Registre!$B$2:$B$2001,MATCH(S$1&amp;"|"&amp;(ROW()-1),Registre!$AA$2:$AA$2001,0)),"")</f>
        <v/>
      </c>
      <c r="T413">
        <f>IFERROR(INDEX(Registre!$B$2:$B$2001,MATCH(T$1&amp;"|"&amp;(ROW()-1),Registre!$AA$2:$AA$2001,0)),"")</f>
        <v/>
      </c>
      <c r="U413">
        <f>IFERROR(INDEX(Registre!$B$2:$B$2001,MATCH(U$1&amp;"|"&amp;(ROW()-1),Registre!$AA$2:$AA$2001,0)),"")</f>
        <v/>
      </c>
      <c r="V413">
        <f>IFERROR(INDEX(Registre!$B$2:$B$2001,MATCH(V$1&amp;"|"&amp;(ROW()-1),Registre!$AA$2:$AA$2001,0)),"")</f>
        <v/>
      </c>
    </row>
    <row r="414">
      <c r="O414">
        <f>IFERROR(INDEX(Registre!$B$2:$B$2001,MATCH(O$1&amp;"|"&amp;(ROW()-1),Registre!$AA$2:$AA$2001,0)),"")</f>
        <v/>
      </c>
      <c r="P414">
        <f>IFERROR(INDEX(Registre!$B$2:$B$2001,MATCH(P$1&amp;"|"&amp;(ROW()-1),Registre!$AA$2:$AA$2001,0)),"")</f>
        <v/>
      </c>
      <c r="Q414">
        <f>IFERROR(INDEX(Registre!$B$2:$B$2001,MATCH(Q$1&amp;"|"&amp;(ROW()-1),Registre!$AA$2:$AA$2001,0)),"")</f>
        <v/>
      </c>
      <c r="R414">
        <f>IFERROR(INDEX(Registre!$B$2:$B$2001,MATCH(R$1&amp;"|"&amp;(ROW()-1),Registre!$AA$2:$AA$2001,0)),"")</f>
        <v/>
      </c>
      <c r="S414">
        <f>IFERROR(INDEX(Registre!$B$2:$B$2001,MATCH(S$1&amp;"|"&amp;(ROW()-1),Registre!$AA$2:$AA$2001,0)),"")</f>
        <v/>
      </c>
      <c r="T414">
        <f>IFERROR(INDEX(Registre!$B$2:$B$2001,MATCH(T$1&amp;"|"&amp;(ROW()-1),Registre!$AA$2:$AA$2001,0)),"")</f>
        <v/>
      </c>
      <c r="U414">
        <f>IFERROR(INDEX(Registre!$B$2:$B$2001,MATCH(U$1&amp;"|"&amp;(ROW()-1),Registre!$AA$2:$AA$2001,0)),"")</f>
        <v/>
      </c>
      <c r="V414">
        <f>IFERROR(INDEX(Registre!$B$2:$B$2001,MATCH(V$1&amp;"|"&amp;(ROW()-1),Registre!$AA$2:$AA$2001,0)),"")</f>
        <v/>
      </c>
    </row>
    <row r="415">
      <c r="O415">
        <f>IFERROR(INDEX(Registre!$B$2:$B$2001,MATCH(O$1&amp;"|"&amp;(ROW()-1),Registre!$AA$2:$AA$2001,0)),"")</f>
        <v/>
      </c>
      <c r="P415">
        <f>IFERROR(INDEX(Registre!$B$2:$B$2001,MATCH(P$1&amp;"|"&amp;(ROW()-1),Registre!$AA$2:$AA$2001,0)),"")</f>
        <v/>
      </c>
      <c r="Q415">
        <f>IFERROR(INDEX(Registre!$B$2:$B$2001,MATCH(Q$1&amp;"|"&amp;(ROW()-1),Registre!$AA$2:$AA$2001,0)),"")</f>
        <v/>
      </c>
      <c r="R415">
        <f>IFERROR(INDEX(Registre!$B$2:$B$2001,MATCH(R$1&amp;"|"&amp;(ROW()-1),Registre!$AA$2:$AA$2001,0)),"")</f>
        <v/>
      </c>
      <c r="S415">
        <f>IFERROR(INDEX(Registre!$B$2:$B$2001,MATCH(S$1&amp;"|"&amp;(ROW()-1),Registre!$AA$2:$AA$2001,0)),"")</f>
        <v/>
      </c>
      <c r="T415">
        <f>IFERROR(INDEX(Registre!$B$2:$B$2001,MATCH(T$1&amp;"|"&amp;(ROW()-1),Registre!$AA$2:$AA$2001,0)),"")</f>
        <v/>
      </c>
      <c r="U415">
        <f>IFERROR(INDEX(Registre!$B$2:$B$2001,MATCH(U$1&amp;"|"&amp;(ROW()-1),Registre!$AA$2:$AA$2001,0)),"")</f>
        <v/>
      </c>
      <c r="V415">
        <f>IFERROR(INDEX(Registre!$B$2:$B$2001,MATCH(V$1&amp;"|"&amp;(ROW()-1),Registre!$AA$2:$AA$2001,0)),"")</f>
        <v/>
      </c>
    </row>
    <row r="416">
      <c r="O416">
        <f>IFERROR(INDEX(Registre!$B$2:$B$2001,MATCH(O$1&amp;"|"&amp;(ROW()-1),Registre!$AA$2:$AA$2001,0)),"")</f>
        <v/>
      </c>
      <c r="P416">
        <f>IFERROR(INDEX(Registre!$B$2:$B$2001,MATCH(P$1&amp;"|"&amp;(ROW()-1),Registre!$AA$2:$AA$2001,0)),"")</f>
        <v/>
      </c>
      <c r="Q416">
        <f>IFERROR(INDEX(Registre!$B$2:$B$2001,MATCH(Q$1&amp;"|"&amp;(ROW()-1),Registre!$AA$2:$AA$2001,0)),"")</f>
        <v/>
      </c>
      <c r="R416">
        <f>IFERROR(INDEX(Registre!$B$2:$B$2001,MATCH(R$1&amp;"|"&amp;(ROW()-1),Registre!$AA$2:$AA$2001,0)),"")</f>
        <v/>
      </c>
      <c r="S416">
        <f>IFERROR(INDEX(Registre!$B$2:$B$2001,MATCH(S$1&amp;"|"&amp;(ROW()-1),Registre!$AA$2:$AA$2001,0)),"")</f>
        <v/>
      </c>
      <c r="T416">
        <f>IFERROR(INDEX(Registre!$B$2:$B$2001,MATCH(T$1&amp;"|"&amp;(ROW()-1),Registre!$AA$2:$AA$2001,0)),"")</f>
        <v/>
      </c>
      <c r="U416">
        <f>IFERROR(INDEX(Registre!$B$2:$B$2001,MATCH(U$1&amp;"|"&amp;(ROW()-1),Registre!$AA$2:$AA$2001,0)),"")</f>
        <v/>
      </c>
      <c r="V416">
        <f>IFERROR(INDEX(Registre!$B$2:$B$2001,MATCH(V$1&amp;"|"&amp;(ROW()-1),Registre!$AA$2:$AA$2001,0)),"")</f>
        <v/>
      </c>
    </row>
    <row r="417">
      <c r="O417">
        <f>IFERROR(INDEX(Registre!$B$2:$B$2001,MATCH(O$1&amp;"|"&amp;(ROW()-1),Registre!$AA$2:$AA$2001,0)),"")</f>
        <v/>
      </c>
      <c r="P417">
        <f>IFERROR(INDEX(Registre!$B$2:$B$2001,MATCH(P$1&amp;"|"&amp;(ROW()-1),Registre!$AA$2:$AA$2001,0)),"")</f>
        <v/>
      </c>
      <c r="Q417">
        <f>IFERROR(INDEX(Registre!$B$2:$B$2001,MATCH(Q$1&amp;"|"&amp;(ROW()-1),Registre!$AA$2:$AA$2001,0)),"")</f>
        <v/>
      </c>
      <c r="R417">
        <f>IFERROR(INDEX(Registre!$B$2:$B$2001,MATCH(R$1&amp;"|"&amp;(ROW()-1),Registre!$AA$2:$AA$2001,0)),"")</f>
        <v/>
      </c>
      <c r="S417">
        <f>IFERROR(INDEX(Registre!$B$2:$B$2001,MATCH(S$1&amp;"|"&amp;(ROW()-1),Registre!$AA$2:$AA$2001,0)),"")</f>
        <v/>
      </c>
      <c r="T417">
        <f>IFERROR(INDEX(Registre!$B$2:$B$2001,MATCH(T$1&amp;"|"&amp;(ROW()-1),Registre!$AA$2:$AA$2001,0)),"")</f>
        <v/>
      </c>
      <c r="U417">
        <f>IFERROR(INDEX(Registre!$B$2:$B$2001,MATCH(U$1&amp;"|"&amp;(ROW()-1),Registre!$AA$2:$AA$2001,0)),"")</f>
        <v/>
      </c>
      <c r="V417">
        <f>IFERROR(INDEX(Registre!$B$2:$B$2001,MATCH(V$1&amp;"|"&amp;(ROW()-1),Registre!$AA$2:$AA$2001,0)),"")</f>
        <v/>
      </c>
    </row>
    <row r="418">
      <c r="O418">
        <f>IFERROR(INDEX(Registre!$B$2:$B$2001,MATCH(O$1&amp;"|"&amp;(ROW()-1),Registre!$AA$2:$AA$2001,0)),"")</f>
        <v/>
      </c>
      <c r="P418">
        <f>IFERROR(INDEX(Registre!$B$2:$B$2001,MATCH(P$1&amp;"|"&amp;(ROW()-1),Registre!$AA$2:$AA$2001,0)),"")</f>
        <v/>
      </c>
      <c r="Q418">
        <f>IFERROR(INDEX(Registre!$B$2:$B$2001,MATCH(Q$1&amp;"|"&amp;(ROW()-1),Registre!$AA$2:$AA$2001,0)),"")</f>
        <v/>
      </c>
      <c r="R418">
        <f>IFERROR(INDEX(Registre!$B$2:$B$2001,MATCH(R$1&amp;"|"&amp;(ROW()-1),Registre!$AA$2:$AA$2001,0)),"")</f>
        <v/>
      </c>
      <c r="S418">
        <f>IFERROR(INDEX(Registre!$B$2:$B$2001,MATCH(S$1&amp;"|"&amp;(ROW()-1),Registre!$AA$2:$AA$2001,0)),"")</f>
        <v/>
      </c>
      <c r="T418">
        <f>IFERROR(INDEX(Registre!$B$2:$B$2001,MATCH(T$1&amp;"|"&amp;(ROW()-1),Registre!$AA$2:$AA$2001,0)),"")</f>
        <v/>
      </c>
      <c r="U418">
        <f>IFERROR(INDEX(Registre!$B$2:$B$2001,MATCH(U$1&amp;"|"&amp;(ROW()-1),Registre!$AA$2:$AA$2001,0)),"")</f>
        <v/>
      </c>
      <c r="V418">
        <f>IFERROR(INDEX(Registre!$B$2:$B$2001,MATCH(V$1&amp;"|"&amp;(ROW()-1),Registre!$AA$2:$AA$2001,0)),"")</f>
        <v/>
      </c>
    </row>
    <row r="419">
      <c r="O419">
        <f>IFERROR(INDEX(Registre!$B$2:$B$2001,MATCH(O$1&amp;"|"&amp;(ROW()-1),Registre!$AA$2:$AA$2001,0)),"")</f>
        <v/>
      </c>
      <c r="P419">
        <f>IFERROR(INDEX(Registre!$B$2:$B$2001,MATCH(P$1&amp;"|"&amp;(ROW()-1),Registre!$AA$2:$AA$2001,0)),"")</f>
        <v/>
      </c>
      <c r="Q419">
        <f>IFERROR(INDEX(Registre!$B$2:$B$2001,MATCH(Q$1&amp;"|"&amp;(ROW()-1),Registre!$AA$2:$AA$2001,0)),"")</f>
        <v/>
      </c>
      <c r="R419">
        <f>IFERROR(INDEX(Registre!$B$2:$B$2001,MATCH(R$1&amp;"|"&amp;(ROW()-1),Registre!$AA$2:$AA$2001,0)),"")</f>
        <v/>
      </c>
      <c r="S419">
        <f>IFERROR(INDEX(Registre!$B$2:$B$2001,MATCH(S$1&amp;"|"&amp;(ROW()-1),Registre!$AA$2:$AA$2001,0)),"")</f>
        <v/>
      </c>
      <c r="T419">
        <f>IFERROR(INDEX(Registre!$B$2:$B$2001,MATCH(T$1&amp;"|"&amp;(ROW()-1),Registre!$AA$2:$AA$2001,0)),"")</f>
        <v/>
      </c>
      <c r="U419">
        <f>IFERROR(INDEX(Registre!$B$2:$B$2001,MATCH(U$1&amp;"|"&amp;(ROW()-1),Registre!$AA$2:$AA$2001,0)),"")</f>
        <v/>
      </c>
      <c r="V419">
        <f>IFERROR(INDEX(Registre!$B$2:$B$2001,MATCH(V$1&amp;"|"&amp;(ROW()-1),Registre!$AA$2:$AA$2001,0)),"")</f>
        <v/>
      </c>
    </row>
    <row r="420">
      <c r="O420">
        <f>IFERROR(INDEX(Registre!$B$2:$B$2001,MATCH(O$1&amp;"|"&amp;(ROW()-1),Registre!$AA$2:$AA$2001,0)),"")</f>
        <v/>
      </c>
      <c r="P420">
        <f>IFERROR(INDEX(Registre!$B$2:$B$2001,MATCH(P$1&amp;"|"&amp;(ROW()-1),Registre!$AA$2:$AA$2001,0)),"")</f>
        <v/>
      </c>
      <c r="Q420">
        <f>IFERROR(INDEX(Registre!$B$2:$B$2001,MATCH(Q$1&amp;"|"&amp;(ROW()-1),Registre!$AA$2:$AA$2001,0)),"")</f>
        <v/>
      </c>
      <c r="R420">
        <f>IFERROR(INDEX(Registre!$B$2:$B$2001,MATCH(R$1&amp;"|"&amp;(ROW()-1),Registre!$AA$2:$AA$2001,0)),"")</f>
        <v/>
      </c>
      <c r="S420">
        <f>IFERROR(INDEX(Registre!$B$2:$B$2001,MATCH(S$1&amp;"|"&amp;(ROW()-1),Registre!$AA$2:$AA$2001,0)),"")</f>
        <v/>
      </c>
      <c r="T420">
        <f>IFERROR(INDEX(Registre!$B$2:$B$2001,MATCH(T$1&amp;"|"&amp;(ROW()-1),Registre!$AA$2:$AA$2001,0)),"")</f>
        <v/>
      </c>
      <c r="U420">
        <f>IFERROR(INDEX(Registre!$B$2:$B$2001,MATCH(U$1&amp;"|"&amp;(ROW()-1),Registre!$AA$2:$AA$2001,0)),"")</f>
        <v/>
      </c>
      <c r="V420">
        <f>IFERROR(INDEX(Registre!$B$2:$B$2001,MATCH(V$1&amp;"|"&amp;(ROW()-1),Registre!$AA$2:$AA$2001,0)),"")</f>
        <v/>
      </c>
    </row>
    <row r="421">
      <c r="O421">
        <f>IFERROR(INDEX(Registre!$B$2:$B$2001,MATCH(O$1&amp;"|"&amp;(ROW()-1),Registre!$AA$2:$AA$2001,0)),"")</f>
        <v/>
      </c>
      <c r="P421">
        <f>IFERROR(INDEX(Registre!$B$2:$B$2001,MATCH(P$1&amp;"|"&amp;(ROW()-1),Registre!$AA$2:$AA$2001,0)),"")</f>
        <v/>
      </c>
      <c r="Q421">
        <f>IFERROR(INDEX(Registre!$B$2:$B$2001,MATCH(Q$1&amp;"|"&amp;(ROW()-1),Registre!$AA$2:$AA$2001,0)),"")</f>
        <v/>
      </c>
      <c r="R421">
        <f>IFERROR(INDEX(Registre!$B$2:$B$2001,MATCH(R$1&amp;"|"&amp;(ROW()-1),Registre!$AA$2:$AA$2001,0)),"")</f>
        <v/>
      </c>
      <c r="S421">
        <f>IFERROR(INDEX(Registre!$B$2:$B$2001,MATCH(S$1&amp;"|"&amp;(ROW()-1),Registre!$AA$2:$AA$2001,0)),"")</f>
        <v/>
      </c>
      <c r="T421">
        <f>IFERROR(INDEX(Registre!$B$2:$B$2001,MATCH(T$1&amp;"|"&amp;(ROW()-1),Registre!$AA$2:$AA$2001,0)),"")</f>
        <v/>
      </c>
      <c r="U421">
        <f>IFERROR(INDEX(Registre!$B$2:$B$2001,MATCH(U$1&amp;"|"&amp;(ROW()-1),Registre!$AA$2:$AA$2001,0)),"")</f>
        <v/>
      </c>
      <c r="V421">
        <f>IFERROR(INDEX(Registre!$B$2:$B$2001,MATCH(V$1&amp;"|"&amp;(ROW()-1),Registre!$AA$2:$AA$2001,0)),"")</f>
        <v/>
      </c>
    </row>
    <row r="422">
      <c r="O422">
        <f>IFERROR(INDEX(Registre!$B$2:$B$2001,MATCH(O$1&amp;"|"&amp;(ROW()-1),Registre!$AA$2:$AA$2001,0)),"")</f>
        <v/>
      </c>
      <c r="P422">
        <f>IFERROR(INDEX(Registre!$B$2:$B$2001,MATCH(P$1&amp;"|"&amp;(ROW()-1),Registre!$AA$2:$AA$2001,0)),"")</f>
        <v/>
      </c>
      <c r="Q422">
        <f>IFERROR(INDEX(Registre!$B$2:$B$2001,MATCH(Q$1&amp;"|"&amp;(ROW()-1),Registre!$AA$2:$AA$2001,0)),"")</f>
        <v/>
      </c>
      <c r="R422">
        <f>IFERROR(INDEX(Registre!$B$2:$B$2001,MATCH(R$1&amp;"|"&amp;(ROW()-1),Registre!$AA$2:$AA$2001,0)),"")</f>
        <v/>
      </c>
      <c r="S422">
        <f>IFERROR(INDEX(Registre!$B$2:$B$2001,MATCH(S$1&amp;"|"&amp;(ROW()-1),Registre!$AA$2:$AA$2001,0)),"")</f>
        <v/>
      </c>
      <c r="T422">
        <f>IFERROR(INDEX(Registre!$B$2:$B$2001,MATCH(T$1&amp;"|"&amp;(ROW()-1),Registre!$AA$2:$AA$2001,0)),"")</f>
        <v/>
      </c>
      <c r="U422">
        <f>IFERROR(INDEX(Registre!$B$2:$B$2001,MATCH(U$1&amp;"|"&amp;(ROW()-1),Registre!$AA$2:$AA$2001,0)),"")</f>
        <v/>
      </c>
      <c r="V422">
        <f>IFERROR(INDEX(Registre!$B$2:$B$2001,MATCH(V$1&amp;"|"&amp;(ROW()-1),Registre!$AA$2:$AA$2001,0)),"")</f>
        <v/>
      </c>
    </row>
    <row r="423">
      <c r="O423">
        <f>IFERROR(INDEX(Registre!$B$2:$B$2001,MATCH(O$1&amp;"|"&amp;(ROW()-1),Registre!$AA$2:$AA$2001,0)),"")</f>
        <v/>
      </c>
      <c r="P423">
        <f>IFERROR(INDEX(Registre!$B$2:$B$2001,MATCH(P$1&amp;"|"&amp;(ROW()-1),Registre!$AA$2:$AA$2001,0)),"")</f>
        <v/>
      </c>
      <c r="Q423">
        <f>IFERROR(INDEX(Registre!$B$2:$B$2001,MATCH(Q$1&amp;"|"&amp;(ROW()-1),Registre!$AA$2:$AA$2001,0)),"")</f>
        <v/>
      </c>
      <c r="R423">
        <f>IFERROR(INDEX(Registre!$B$2:$B$2001,MATCH(R$1&amp;"|"&amp;(ROW()-1),Registre!$AA$2:$AA$2001,0)),"")</f>
        <v/>
      </c>
      <c r="S423">
        <f>IFERROR(INDEX(Registre!$B$2:$B$2001,MATCH(S$1&amp;"|"&amp;(ROW()-1),Registre!$AA$2:$AA$2001,0)),"")</f>
        <v/>
      </c>
      <c r="T423">
        <f>IFERROR(INDEX(Registre!$B$2:$B$2001,MATCH(T$1&amp;"|"&amp;(ROW()-1),Registre!$AA$2:$AA$2001,0)),"")</f>
        <v/>
      </c>
      <c r="U423">
        <f>IFERROR(INDEX(Registre!$B$2:$B$2001,MATCH(U$1&amp;"|"&amp;(ROW()-1),Registre!$AA$2:$AA$2001,0)),"")</f>
        <v/>
      </c>
      <c r="V423">
        <f>IFERROR(INDEX(Registre!$B$2:$B$2001,MATCH(V$1&amp;"|"&amp;(ROW()-1),Registre!$AA$2:$AA$2001,0)),"")</f>
        <v/>
      </c>
    </row>
    <row r="424">
      <c r="O424">
        <f>IFERROR(INDEX(Registre!$B$2:$B$2001,MATCH(O$1&amp;"|"&amp;(ROW()-1),Registre!$AA$2:$AA$2001,0)),"")</f>
        <v/>
      </c>
      <c r="P424">
        <f>IFERROR(INDEX(Registre!$B$2:$B$2001,MATCH(P$1&amp;"|"&amp;(ROW()-1),Registre!$AA$2:$AA$2001,0)),"")</f>
        <v/>
      </c>
      <c r="Q424">
        <f>IFERROR(INDEX(Registre!$B$2:$B$2001,MATCH(Q$1&amp;"|"&amp;(ROW()-1),Registre!$AA$2:$AA$2001,0)),"")</f>
        <v/>
      </c>
      <c r="R424">
        <f>IFERROR(INDEX(Registre!$B$2:$B$2001,MATCH(R$1&amp;"|"&amp;(ROW()-1),Registre!$AA$2:$AA$2001,0)),"")</f>
        <v/>
      </c>
      <c r="S424">
        <f>IFERROR(INDEX(Registre!$B$2:$B$2001,MATCH(S$1&amp;"|"&amp;(ROW()-1),Registre!$AA$2:$AA$2001,0)),"")</f>
        <v/>
      </c>
      <c r="T424">
        <f>IFERROR(INDEX(Registre!$B$2:$B$2001,MATCH(T$1&amp;"|"&amp;(ROW()-1),Registre!$AA$2:$AA$2001,0)),"")</f>
        <v/>
      </c>
      <c r="U424">
        <f>IFERROR(INDEX(Registre!$B$2:$B$2001,MATCH(U$1&amp;"|"&amp;(ROW()-1),Registre!$AA$2:$AA$2001,0)),"")</f>
        <v/>
      </c>
      <c r="V424">
        <f>IFERROR(INDEX(Registre!$B$2:$B$2001,MATCH(V$1&amp;"|"&amp;(ROW()-1),Registre!$AA$2:$AA$2001,0)),"")</f>
        <v/>
      </c>
    </row>
    <row r="425">
      <c r="O425">
        <f>IFERROR(INDEX(Registre!$B$2:$B$2001,MATCH(O$1&amp;"|"&amp;(ROW()-1),Registre!$AA$2:$AA$2001,0)),"")</f>
        <v/>
      </c>
      <c r="P425">
        <f>IFERROR(INDEX(Registre!$B$2:$B$2001,MATCH(P$1&amp;"|"&amp;(ROW()-1),Registre!$AA$2:$AA$2001,0)),"")</f>
        <v/>
      </c>
      <c r="Q425">
        <f>IFERROR(INDEX(Registre!$B$2:$B$2001,MATCH(Q$1&amp;"|"&amp;(ROW()-1),Registre!$AA$2:$AA$2001,0)),"")</f>
        <v/>
      </c>
      <c r="R425">
        <f>IFERROR(INDEX(Registre!$B$2:$B$2001,MATCH(R$1&amp;"|"&amp;(ROW()-1),Registre!$AA$2:$AA$2001,0)),"")</f>
        <v/>
      </c>
      <c r="S425">
        <f>IFERROR(INDEX(Registre!$B$2:$B$2001,MATCH(S$1&amp;"|"&amp;(ROW()-1),Registre!$AA$2:$AA$2001,0)),"")</f>
        <v/>
      </c>
      <c r="T425">
        <f>IFERROR(INDEX(Registre!$B$2:$B$2001,MATCH(T$1&amp;"|"&amp;(ROW()-1),Registre!$AA$2:$AA$2001,0)),"")</f>
        <v/>
      </c>
      <c r="U425">
        <f>IFERROR(INDEX(Registre!$B$2:$B$2001,MATCH(U$1&amp;"|"&amp;(ROW()-1),Registre!$AA$2:$AA$2001,0)),"")</f>
        <v/>
      </c>
      <c r="V425">
        <f>IFERROR(INDEX(Registre!$B$2:$B$2001,MATCH(V$1&amp;"|"&amp;(ROW()-1),Registre!$AA$2:$AA$2001,0)),"")</f>
        <v/>
      </c>
    </row>
    <row r="426">
      <c r="O426">
        <f>IFERROR(INDEX(Registre!$B$2:$B$2001,MATCH(O$1&amp;"|"&amp;(ROW()-1),Registre!$AA$2:$AA$2001,0)),"")</f>
        <v/>
      </c>
      <c r="P426">
        <f>IFERROR(INDEX(Registre!$B$2:$B$2001,MATCH(P$1&amp;"|"&amp;(ROW()-1),Registre!$AA$2:$AA$2001,0)),"")</f>
        <v/>
      </c>
      <c r="Q426">
        <f>IFERROR(INDEX(Registre!$B$2:$B$2001,MATCH(Q$1&amp;"|"&amp;(ROW()-1),Registre!$AA$2:$AA$2001,0)),"")</f>
        <v/>
      </c>
      <c r="R426">
        <f>IFERROR(INDEX(Registre!$B$2:$B$2001,MATCH(R$1&amp;"|"&amp;(ROW()-1),Registre!$AA$2:$AA$2001,0)),"")</f>
        <v/>
      </c>
      <c r="S426">
        <f>IFERROR(INDEX(Registre!$B$2:$B$2001,MATCH(S$1&amp;"|"&amp;(ROW()-1),Registre!$AA$2:$AA$2001,0)),"")</f>
        <v/>
      </c>
      <c r="T426">
        <f>IFERROR(INDEX(Registre!$B$2:$B$2001,MATCH(T$1&amp;"|"&amp;(ROW()-1),Registre!$AA$2:$AA$2001,0)),"")</f>
        <v/>
      </c>
      <c r="U426">
        <f>IFERROR(INDEX(Registre!$B$2:$B$2001,MATCH(U$1&amp;"|"&amp;(ROW()-1),Registre!$AA$2:$AA$2001,0)),"")</f>
        <v/>
      </c>
      <c r="V426">
        <f>IFERROR(INDEX(Registre!$B$2:$B$2001,MATCH(V$1&amp;"|"&amp;(ROW()-1),Registre!$AA$2:$AA$2001,0)),"")</f>
        <v/>
      </c>
    </row>
    <row r="427">
      <c r="O427">
        <f>IFERROR(INDEX(Registre!$B$2:$B$2001,MATCH(O$1&amp;"|"&amp;(ROW()-1),Registre!$AA$2:$AA$2001,0)),"")</f>
        <v/>
      </c>
      <c r="P427">
        <f>IFERROR(INDEX(Registre!$B$2:$B$2001,MATCH(P$1&amp;"|"&amp;(ROW()-1),Registre!$AA$2:$AA$2001,0)),"")</f>
        <v/>
      </c>
      <c r="Q427">
        <f>IFERROR(INDEX(Registre!$B$2:$B$2001,MATCH(Q$1&amp;"|"&amp;(ROW()-1),Registre!$AA$2:$AA$2001,0)),"")</f>
        <v/>
      </c>
      <c r="R427">
        <f>IFERROR(INDEX(Registre!$B$2:$B$2001,MATCH(R$1&amp;"|"&amp;(ROW()-1),Registre!$AA$2:$AA$2001,0)),"")</f>
        <v/>
      </c>
      <c r="S427">
        <f>IFERROR(INDEX(Registre!$B$2:$B$2001,MATCH(S$1&amp;"|"&amp;(ROW()-1),Registre!$AA$2:$AA$2001,0)),"")</f>
        <v/>
      </c>
      <c r="T427">
        <f>IFERROR(INDEX(Registre!$B$2:$B$2001,MATCH(T$1&amp;"|"&amp;(ROW()-1),Registre!$AA$2:$AA$2001,0)),"")</f>
        <v/>
      </c>
      <c r="U427">
        <f>IFERROR(INDEX(Registre!$B$2:$B$2001,MATCH(U$1&amp;"|"&amp;(ROW()-1),Registre!$AA$2:$AA$2001,0)),"")</f>
        <v/>
      </c>
      <c r="V427">
        <f>IFERROR(INDEX(Registre!$B$2:$B$2001,MATCH(V$1&amp;"|"&amp;(ROW()-1),Registre!$AA$2:$AA$2001,0)),"")</f>
        <v/>
      </c>
    </row>
    <row r="428">
      <c r="O428">
        <f>IFERROR(INDEX(Registre!$B$2:$B$2001,MATCH(O$1&amp;"|"&amp;(ROW()-1),Registre!$AA$2:$AA$2001,0)),"")</f>
        <v/>
      </c>
      <c r="P428">
        <f>IFERROR(INDEX(Registre!$B$2:$B$2001,MATCH(P$1&amp;"|"&amp;(ROW()-1),Registre!$AA$2:$AA$2001,0)),"")</f>
        <v/>
      </c>
      <c r="Q428">
        <f>IFERROR(INDEX(Registre!$B$2:$B$2001,MATCH(Q$1&amp;"|"&amp;(ROW()-1),Registre!$AA$2:$AA$2001,0)),"")</f>
        <v/>
      </c>
      <c r="R428">
        <f>IFERROR(INDEX(Registre!$B$2:$B$2001,MATCH(R$1&amp;"|"&amp;(ROW()-1),Registre!$AA$2:$AA$2001,0)),"")</f>
        <v/>
      </c>
      <c r="S428">
        <f>IFERROR(INDEX(Registre!$B$2:$B$2001,MATCH(S$1&amp;"|"&amp;(ROW()-1),Registre!$AA$2:$AA$2001,0)),"")</f>
        <v/>
      </c>
      <c r="T428">
        <f>IFERROR(INDEX(Registre!$B$2:$B$2001,MATCH(T$1&amp;"|"&amp;(ROW()-1),Registre!$AA$2:$AA$2001,0)),"")</f>
        <v/>
      </c>
      <c r="U428">
        <f>IFERROR(INDEX(Registre!$B$2:$B$2001,MATCH(U$1&amp;"|"&amp;(ROW()-1),Registre!$AA$2:$AA$2001,0)),"")</f>
        <v/>
      </c>
      <c r="V428">
        <f>IFERROR(INDEX(Registre!$B$2:$B$2001,MATCH(V$1&amp;"|"&amp;(ROW()-1),Registre!$AA$2:$AA$2001,0)),"")</f>
        <v/>
      </c>
    </row>
    <row r="429">
      <c r="O429">
        <f>IFERROR(INDEX(Registre!$B$2:$B$2001,MATCH(O$1&amp;"|"&amp;(ROW()-1),Registre!$AA$2:$AA$2001,0)),"")</f>
        <v/>
      </c>
      <c r="P429">
        <f>IFERROR(INDEX(Registre!$B$2:$B$2001,MATCH(P$1&amp;"|"&amp;(ROW()-1),Registre!$AA$2:$AA$2001,0)),"")</f>
        <v/>
      </c>
      <c r="Q429">
        <f>IFERROR(INDEX(Registre!$B$2:$B$2001,MATCH(Q$1&amp;"|"&amp;(ROW()-1),Registre!$AA$2:$AA$2001,0)),"")</f>
        <v/>
      </c>
      <c r="R429">
        <f>IFERROR(INDEX(Registre!$B$2:$B$2001,MATCH(R$1&amp;"|"&amp;(ROW()-1),Registre!$AA$2:$AA$2001,0)),"")</f>
        <v/>
      </c>
      <c r="S429">
        <f>IFERROR(INDEX(Registre!$B$2:$B$2001,MATCH(S$1&amp;"|"&amp;(ROW()-1),Registre!$AA$2:$AA$2001,0)),"")</f>
        <v/>
      </c>
      <c r="T429">
        <f>IFERROR(INDEX(Registre!$B$2:$B$2001,MATCH(T$1&amp;"|"&amp;(ROW()-1),Registre!$AA$2:$AA$2001,0)),"")</f>
        <v/>
      </c>
      <c r="U429">
        <f>IFERROR(INDEX(Registre!$B$2:$B$2001,MATCH(U$1&amp;"|"&amp;(ROW()-1),Registre!$AA$2:$AA$2001,0)),"")</f>
        <v/>
      </c>
      <c r="V429">
        <f>IFERROR(INDEX(Registre!$B$2:$B$2001,MATCH(V$1&amp;"|"&amp;(ROW()-1),Registre!$AA$2:$AA$2001,0)),"")</f>
        <v/>
      </c>
    </row>
    <row r="430">
      <c r="O430">
        <f>IFERROR(INDEX(Registre!$B$2:$B$2001,MATCH(O$1&amp;"|"&amp;(ROW()-1),Registre!$AA$2:$AA$2001,0)),"")</f>
        <v/>
      </c>
      <c r="P430">
        <f>IFERROR(INDEX(Registre!$B$2:$B$2001,MATCH(P$1&amp;"|"&amp;(ROW()-1),Registre!$AA$2:$AA$2001,0)),"")</f>
        <v/>
      </c>
      <c r="Q430">
        <f>IFERROR(INDEX(Registre!$B$2:$B$2001,MATCH(Q$1&amp;"|"&amp;(ROW()-1),Registre!$AA$2:$AA$2001,0)),"")</f>
        <v/>
      </c>
      <c r="R430">
        <f>IFERROR(INDEX(Registre!$B$2:$B$2001,MATCH(R$1&amp;"|"&amp;(ROW()-1),Registre!$AA$2:$AA$2001,0)),"")</f>
        <v/>
      </c>
      <c r="S430">
        <f>IFERROR(INDEX(Registre!$B$2:$B$2001,MATCH(S$1&amp;"|"&amp;(ROW()-1),Registre!$AA$2:$AA$2001,0)),"")</f>
        <v/>
      </c>
      <c r="T430">
        <f>IFERROR(INDEX(Registre!$B$2:$B$2001,MATCH(T$1&amp;"|"&amp;(ROW()-1),Registre!$AA$2:$AA$2001,0)),"")</f>
        <v/>
      </c>
      <c r="U430">
        <f>IFERROR(INDEX(Registre!$B$2:$B$2001,MATCH(U$1&amp;"|"&amp;(ROW()-1),Registre!$AA$2:$AA$2001,0)),"")</f>
        <v/>
      </c>
      <c r="V430">
        <f>IFERROR(INDEX(Registre!$B$2:$B$2001,MATCH(V$1&amp;"|"&amp;(ROW()-1),Registre!$AA$2:$AA$2001,0)),"")</f>
        <v/>
      </c>
    </row>
    <row r="431">
      <c r="O431">
        <f>IFERROR(INDEX(Registre!$B$2:$B$2001,MATCH(O$1&amp;"|"&amp;(ROW()-1),Registre!$AA$2:$AA$2001,0)),"")</f>
        <v/>
      </c>
      <c r="P431">
        <f>IFERROR(INDEX(Registre!$B$2:$B$2001,MATCH(P$1&amp;"|"&amp;(ROW()-1),Registre!$AA$2:$AA$2001,0)),"")</f>
        <v/>
      </c>
      <c r="Q431">
        <f>IFERROR(INDEX(Registre!$B$2:$B$2001,MATCH(Q$1&amp;"|"&amp;(ROW()-1),Registre!$AA$2:$AA$2001,0)),"")</f>
        <v/>
      </c>
      <c r="R431">
        <f>IFERROR(INDEX(Registre!$B$2:$B$2001,MATCH(R$1&amp;"|"&amp;(ROW()-1),Registre!$AA$2:$AA$2001,0)),"")</f>
        <v/>
      </c>
      <c r="S431">
        <f>IFERROR(INDEX(Registre!$B$2:$B$2001,MATCH(S$1&amp;"|"&amp;(ROW()-1),Registre!$AA$2:$AA$2001,0)),"")</f>
        <v/>
      </c>
      <c r="T431">
        <f>IFERROR(INDEX(Registre!$B$2:$B$2001,MATCH(T$1&amp;"|"&amp;(ROW()-1),Registre!$AA$2:$AA$2001,0)),"")</f>
        <v/>
      </c>
      <c r="U431">
        <f>IFERROR(INDEX(Registre!$B$2:$B$2001,MATCH(U$1&amp;"|"&amp;(ROW()-1),Registre!$AA$2:$AA$2001,0)),"")</f>
        <v/>
      </c>
      <c r="V431">
        <f>IFERROR(INDEX(Registre!$B$2:$B$2001,MATCH(V$1&amp;"|"&amp;(ROW()-1),Registre!$AA$2:$AA$2001,0)),"")</f>
        <v/>
      </c>
    </row>
    <row r="432">
      <c r="O432">
        <f>IFERROR(INDEX(Registre!$B$2:$B$2001,MATCH(O$1&amp;"|"&amp;(ROW()-1),Registre!$AA$2:$AA$2001,0)),"")</f>
        <v/>
      </c>
      <c r="P432">
        <f>IFERROR(INDEX(Registre!$B$2:$B$2001,MATCH(P$1&amp;"|"&amp;(ROW()-1),Registre!$AA$2:$AA$2001,0)),"")</f>
        <v/>
      </c>
      <c r="Q432">
        <f>IFERROR(INDEX(Registre!$B$2:$B$2001,MATCH(Q$1&amp;"|"&amp;(ROW()-1),Registre!$AA$2:$AA$2001,0)),"")</f>
        <v/>
      </c>
      <c r="R432">
        <f>IFERROR(INDEX(Registre!$B$2:$B$2001,MATCH(R$1&amp;"|"&amp;(ROW()-1),Registre!$AA$2:$AA$2001,0)),"")</f>
        <v/>
      </c>
      <c r="S432">
        <f>IFERROR(INDEX(Registre!$B$2:$B$2001,MATCH(S$1&amp;"|"&amp;(ROW()-1),Registre!$AA$2:$AA$2001,0)),"")</f>
        <v/>
      </c>
      <c r="T432">
        <f>IFERROR(INDEX(Registre!$B$2:$B$2001,MATCH(T$1&amp;"|"&amp;(ROW()-1),Registre!$AA$2:$AA$2001,0)),"")</f>
        <v/>
      </c>
      <c r="U432">
        <f>IFERROR(INDEX(Registre!$B$2:$B$2001,MATCH(U$1&amp;"|"&amp;(ROW()-1),Registre!$AA$2:$AA$2001,0)),"")</f>
        <v/>
      </c>
      <c r="V432">
        <f>IFERROR(INDEX(Registre!$B$2:$B$2001,MATCH(V$1&amp;"|"&amp;(ROW()-1),Registre!$AA$2:$AA$2001,0)),"")</f>
        <v/>
      </c>
    </row>
    <row r="433">
      <c r="O433">
        <f>IFERROR(INDEX(Registre!$B$2:$B$2001,MATCH(O$1&amp;"|"&amp;(ROW()-1),Registre!$AA$2:$AA$2001,0)),"")</f>
        <v/>
      </c>
      <c r="P433">
        <f>IFERROR(INDEX(Registre!$B$2:$B$2001,MATCH(P$1&amp;"|"&amp;(ROW()-1),Registre!$AA$2:$AA$2001,0)),"")</f>
        <v/>
      </c>
      <c r="Q433">
        <f>IFERROR(INDEX(Registre!$B$2:$B$2001,MATCH(Q$1&amp;"|"&amp;(ROW()-1),Registre!$AA$2:$AA$2001,0)),"")</f>
        <v/>
      </c>
      <c r="R433">
        <f>IFERROR(INDEX(Registre!$B$2:$B$2001,MATCH(R$1&amp;"|"&amp;(ROW()-1),Registre!$AA$2:$AA$2001,0)),"")</f>
        <v/>
      </c>
      <c r="S433">
        <f>IFERROR(INDEX(Registre!$B$2:$B$2001,MATCH(S$1&amp;"|"&amp;(ROW()-1),Registre!$AA$2:$AA$2001,0)),"")</f>
        <v/>
      </c>
      <c r="T433">
        <f>IFERROR(INDEX(Registre!$B$2:$B$2001,MATCH(T$1&amp;"|"&amp;(ROW()-1),Registre!$AA$2:$AA$2001,0)),"")</f>
        <v/>
      </c>
      <c r="U433">
        <f>IFERROR(INDEX(Registre!$B$2:$B$2001,MATCH(U$1&amp;"|"&amp;(ROW()-1),Registre!$AA$2:$AA$2001,0)),"")</f>
        <v/>
      </c>
      <c r="V433">
        <f>IFERROR(INDEX(Registre!$B$2:$B$2001,MATCH(V$1&amp;"|"&amp;(ROW()-1),Registre!$AA$2:$AA$2001,0)),"")</f>
        <v/>
      </c>
    </row>
    <row r="434">
      <c r="O434">
        <f>IFERROR(INDEX(Registre!$B$2:$B$2001,MATCH(O$1&amp;"|"&amp;(ROW()-1),Registre!$AA$2:$AA$2001,0)),"")</f>
        <v/>
      </c>
      <c r="P434">
        <f>IFERROR(INDEX(Registre!$B$2:$B$2001,MATCH(P$1&amp;"|"&amp;(ROW()-1),Registre!$AA$2:$AA$2001,0)),"")</f>
        <v/>
      </c>
      <c r="Q434">
        <f>IFERROR(INDEX(Registre!$B$2:$B$2001,MATCH(Q$1&amp;"|"&amp;(ROW()-1),Registre!$AA$2:$AA$2001,0)),"")</f>
        <v/>
      </c>
      <c r="R434">
        <f>IFERROR(INDEX(Registre!$B$2:$B$2001,MATCH(R$1&amp;"|"&amp;(ROW()-1),Registre!$AA$2:$AA$2001,0)),"")</f>
        <v/>
      </c>
      <c r="S434">
        <f>IFERROR(INDEX(Registre!$B$2:$B$2001,MATCH(S$1&amp;"|"&amp;(ROW()-1),Registre!$AA$2:$AA$2001,0)),"")</f>
        <v/>
      </c>
      <c r="T434">
        <f>IFERROR(INDEX(Registre!$B$2:$B$2001,MATCH(T$1&amp;"|"&amp;(ROW()-1),Registre!$AA$2:$AA$2001,0)),"")</f>
        <v/>
      </c>
      <c r="U434">
        <f>IFERROR(INDEX(Registre!$B$2:$B$2001,MATCH(U$1&amp;"|"&amp;(ROW()-1),Registre!$AA$2:$AA$2001,0)),"")</f>
        <v/>
      </c>
      <c r="V434">
        <f>IFERROR(INDEX(Registre!$B$2:$B$2001,MATCH(V$1&amp;"|"&amp;(ROW()-1),Registre!$AA$2:$AA$2001,0)),"")</f>
        <v/>
      </c>
    </row>
    <row r="435">
      <c r="O435">
        <f>IFERROR(INDEX(Registre!$B$2:$B$2001,MATCH(O$1&amp;"|"&amp;(ROW()-1),Registre!$AA$2:$AA$2001,0)),"")</f>
        <v/>
      </c>
      <c r="P435">
        <f>IFERROR(INDEX(Registre!$B$2:$B$2001,MATCH(P$1&amp;"|"&amp;(ROW()-1),Registre!$AA$2:$AA$2001,0)),"")</f>
        <v/>
      </c>
      <c r="Q435">
        <f>IFERROR(INDEX(Registre!$B$2:$B$2001,MATCH(Q$1&amp;"|"&amp;(ROW()-1),Registre!$AA$2:$AA$2001,0)),"")</f>
        <v/>
      </c>
      <c r="R435">
        <f>IFERROR(INDEX(Registre!$B$2:$B$2001,MATCH(R$1&amp;"|"&amp;(ROW()-1),Registre!$AA$2:$AA$2001,0)),"")</f>
        <v/>
      </c>
      <c r="S435">
        <f>IFERROR(INDEX(Registre!$B$2:$B$2001,MATCH(S$1&amp;"|"&amp;(ROW()-1),Registre!$AA$2:$AA$2001,0)),"")</f>
        <v/>
      </c>
      <c r="T435">
        <f>IFERROR(INDEX(Registre!$B$2:$B$2001,MATCH(T$1&amp;"|"&amp;(ROW()-1),Registre!$AA$2:$AA$2001,0)),"")</f>
        <v/>
      </c>
      <c r="U435">
        <f>IFERROR(INDEX(Registre!$B$2:$B$2001,MATCH(U$1&amp;"|"&amp;(ROW()-1),Registre!$AA$2:$AA$2001,0)),"")</f>
        <v/>
      </c>
      <c r="V435">
        <f>IFERROR(INDEX(Registre!$B$2:$B$2001,MATCH(V$1&amp;"|"&amp;(ROW()-1),Registre!$AA$2:$AA$2001,0)),"")</f>
        <v/>
      </c>
    </row>
    <row r="436">
      <c r="O436">
        <f>IFERROR(INDEX(Registre!$B$2:$B$2001,MATCH(O$1&amp;"|"&amp;(ROW()-1),Registre!$AA$2:$AA$2001,0)),"")</f>
        <v/>
      </c>
      <c r="P436">
        <f>IFERROR(INDEX(Registre!$B$2:$B$2001,MATCH(P$1&amp;"|"&amp;(ROW()-1),Registre!$AA$2:$AA$2001,0)),"")</f>
        <v/>
      </c>
      <c r="Q436">
        <f>IFERROR(INDEX(Registre!$B$2:$B$2001,MATCH(Q$1&amp;"|"&amp;(ROW()-1),Registre!$AA$2:$AA$2001,0)),"")</f>
        <v/>
      </c>
      <c r="R436">
        <f>IFERROR(INDEX(Registre!$B$2:$B$2001,MATCH(R$1&amp;"|"&amp;(ROW()-1),Registre!$AA$2:$AA$2001,0)),"")</f>
        <v/>
      </c>
      <c r="S436">
        <f>IFERROR(INDEX(Registre!$B$2:$B$2001,MATCH(S$1&amp;"|"&amp;(ROW()-1),Registre!$AA$2:$AA$2001,0)),"")</f>
        <v/>
      </c>
      <c r="T436">
        <f>IFERROR(INDEX(Registre!$B$2:$B$2001,MATCH(T$1&amp;"|"&amp;(ROW()-1),Registre!$AA$2:$AA$2001,0)),"")</f>
        <v/>
      </c>
      <c r="U436">
        <f>IFERROR(INDEX(Registre!$B$2:$B$2001,MATCH(U$1&amp;"|"&amp;(ROW()-1),Registre!$AA$2:$AA$2001,0)),"")</f>
        <v/>
      </c>
      <c r="V436">
        <f>IFERROR(INDEX(Registre!$B$2:$B$2001,MATCH(V$1&amp;"|"&amp;(ROW()-1),Registre!$AA$2:$AA$2001,0)),"")</f>
        <v/>
      </c>
    </row>
    <row r="437">
      <c r="O437">
        <f>IFERROR(INDEX(Registre!$B$2:$B$2001,MATCH(O$1&amp;"|"&amp;(ROW()-1),Registre!$AA$2:$AA$2001,0)),"")</f>
        <v/>
      </c>
      <c r="P437">
        <f>IFERROR(INDEX(Registre!$B$2:$B$2001,MATCH(P$1&amp;"|"&amp;(ROW()-1),Registre!$AA$2:$AA$2001,0)),"")</f>
        <v/>
      </c>
      <c r="Q437">
        <f>IFERROR(INDEX(Registre!$B$2:$B$2001,MATCH(Q$1&amp;"|"&amp;(ROW()-1),Registre!$AA$2:$AA$2001,0)),"")</f>
        <v/>
      </c>
      <c r="R437">
        <f>IFERROR(INDEX(Registre!$B$2:$B$2001,MATCH(R$1&amp;"|"&amp;(ROW()-1),Registre!$AA$2:$AA$2001,0)),"")</f>
        <v/>
      </c>
      <c r="S437">
        <f>IFERROR(INDEX(Registre!$B$2:$B$2001,MATCH(S$1&amp;"|"&amp;(ROW()-1),Registre!$AA$2:$AA$2001,0)),"")</f>
        <v/>
      </c>
      <c r="T437">
        <f>IFERROR(INDEX(Registre!$B$2:$B$2001,MATCH(T$1&amp;"|"&amp;(ROW()-1),Registre!$AA$2:$AA$2001,0)),"")</f>
        <v/>
      </c>
      <c r="U437">
        <f>IFERROR(INDEX(Registre!$B$2:$B$2001,MATCH(U$1&amp;"|"&amp;(ROW()-1),Registre!$AA$2:$AA$2001,0)),"")</f>
        <v/>
      </c>
      <c r="V437">
        <f>IFERROR(INDEX(Registre!$B$2:$B$2001,MATCH(V$1&amp;"|"&amp;(ROW()-1),Registre!$AA$2:$AA$2001,0)),"")</f>
        <v/>
      </c>
    </row>
    <row r="438">
      <c r="O438">
        <f>IFERROR(INDEX(Registre!$B$2:$B$2001,MATCH(O$1&amp;"|"&amp;(ROW()-1),Registre!$AA$2:$AA$2001,0)),"")</f>
        <v/>
      </c>
      <c r="P438">
        <f>IFERROR(INDEX(Registre!$B$2:$B$2001,MATCH(P$1&amp;"|"&amp;(ROW()-1),Registre!$AA$2:$AA$2001,0)),"")</f>
        <v/>
      </c>
      <c r="Q438">
        <f>IFERROR(INDEX(Registre!$B$2:$B$2001,MATCH(Q$1&amp;"|"&amp;(ROW()-1),Registre!$AA$2:$AA$2001,0)),"")</f>
        <v/>
      </c>
      <c r="R438">
        <f>IFERROR(INDEX(Registre!$B$2:$B$2001,MATCH(R$1&amp;"|"&amp;(ROW()-1),Registre!$AA$2:$AA$2001,0)),"")</f>
        <v/>
      </c>
      <c r="S438">
        <f>IFERROR(INDEX(Registre!$B$2:$B$2001,MATCH(S$1&amp;"|"&amp;(ROW()-1),Registre!$AA$2:$AA$2001,0)),"")</f>
        <v/>
      </c>
      <c r="T438">
        <f>IFERROR(INDEX(Registre!$B$2:$B$2001,MATCH(T$1&amp;"|"&amp;(ROW()-1),Registre!$AA$2:$AA$2001,0)),"")</f>
        <v/>
      </c>
      <c r="U438">
        <f>IFERROR(INDEX(Registre!$B$2:$B$2001,MATCH(U$1&amp;"|"&amp;(ROW()-1),Registre!$AA$2:$AA$2001,0)),"")</f>
        <v/>
      </c>
      <c r="V438">
        <f>IFERROR(INDEX(Registre!$B$2:$B$2001,MATCH(V$1&amp;"|"&amp;(ROW()-1),Registre!$AA$2:$AA$2001,0)),"")</f>
        <v/>
      </c>
    </row>
    <row r="439">
      <c r="O439">
        <f>IFERROR(INDEX(Registre!$B$2:$B$2001,MATCH(O$1&amp;"|"&amp;(ROW()-1),Registre!$AA$2:$AA$2001,0)),"")</f>
        <v/>
      </c>
      <c r="P439">
        <f>IFERROR(INDEX(Registre!$B$2:$B$2001,MATCH(P$1&amp;"|"&amp;(ROW()-1),Registre!$AA$2:$AA$2001,0)),"")</f>
        <v/>
      </c>
      <c r="Q439">
        <f>IFERROR(INDEX(Registre!$B$2:$B$2001,MATCH(Q$1&amp;"|"&amp;(ROW()-1),Registre!$AA$2:$AA$2001,0)),"")</f>
        <v/>
      </c>
      <c r="R439">
        <f>IFERROR(INDEX(Registre!$B$2:$B$2001,MATCH(R$1&amp;"|"&amp;(ROW()-1),Registre!$AA$2:$AA$2001,0)),"")</f>
        <v/>
      </c>
      <c r="S439">
        <f>IFERROR(INDEX(Registre!$B$2:$B$2001,MATCH(S$1&amp;"|"&amp;(ROW()-1),Registre!$AA$2:$AA$2001,0)),"")</f>
        <v/>
      </c>
      <c r="T439">
        <f>IFERROR(INDEX(Registre!$B$2:$B$2001,MATCH(T$1&amp;"|"&amp;(ROW()-1),Registre!$AA$2:$AA$2001,0)),"")</f>
        <v/>
      </c>
      <c r="U439">
        <f>IFERROR(INDEX(Registre!$B$2:$B$2001,MATCH(U$1&amp;"|"&amp;(ROW()-1),Registre!$AA$2:$AA$2001,0)),"")</f>
        <v/>
      </c>
      <c r="V439">
        <f>IFERROR(INDEX(Registre!$B$2:$B$2001,MATCH(V$1&amp;"|"&amp;(ROW()-1),Registre!$AA$2:$AA$2001,0)),"")</f>
        <v/>
      </c>
    </row>
    <row r="440">
      <c r="O440">
        <f>IFERROR(INDEX(Registre!$B$2:$B$2001,MATCH(O$1&amp;"|"&amp;(ROW()-1),Registre!$AA$2:$AA$2001,0)),"")</f>
        <v/>
      </c>
      <c r="P440">
        <f>IFERROR(INDEX(Registre!$B$2:$B$2001,MATCH(P$1&amp;"|"&amp;(ROW()-1),Registre!$AA$2:$AA$2001,0)),"")</f>
        <v/>
      </c>
      <c r="Q440">
        <f>IFERROR(INDEX(Registre!$B$2:$B$2001,MATCH(Q$1&amp;"|"&amp;(ROW()-1),Registre!$AA$2:$AA$2001,0)),"")</f>
        <v/>
      </c>
      <c r="R440">
        <f>IFERROR(INDEX(Registre!$B$2:$B$2001,MATCH(R$1&amp;"|"&amp;(ROW()-1),Registre!$AA$2:$AA$2001,0)),"")</f>
        <v/>
      </c>
      <c r="S440">
        <f>IFERROR(INDEX(Registre!$B$2:$B$2001,MATCH(S$1&amp;"|"&amp;(ROW()-1),Registre!$AA$2:$AA$2001,0)),"")</f>
        <v/>
      </c>
      <c r="T440">
        <f>IFERROR(INDEX(Registre!$B$2:$B$2001,MATCH(T$1&amp;"|"&amp;(ROW()-1),Registre!$AA$2:$AA$2001,0)),"")</f>
        <v/>
      </c>
      <c r="U440">
        <f>IFERROR(INDEX(Registre!$B$2:$B$2001,MATCH(U$1&amp;"|"&amp;(ROW()-1),Registre!$AA$2:$AA$2001,0)),"")</f>
        <v/>
      </c>
      <c r="V440">
        <f>IFERROR(INDEX(Registre!$B$2:$B$2001,MATCH(V$1&amp;"|"&amp;(ROW()-1),Registre!$AA$2:$AA$2001,0)),"")</f>
        <v/>
      </c>
    </row>
    <row r="441">
      <c r="O441">
        <f>IFERROR(INDEX(Registre!$B$2:$B$2001,MATCH(O$1&amp;"|"&amp;(ROW()-1),Registre!$AA$2:$AA$2001,0)),"")</f>
        <v/>
      </c>
      <c r="P441">
        <f>IFERROR(INDEX(Registre!$B$2:$B$2001,MATCH(P$1&amp;"|"&amp;(ROW()-1),Registre!$AA$2:$AA$2001,0)),"")</f>
        <v/>
      </c>
      <c r="Q441">
        <f>IFERROR(INDEX(Registre!$B$2:$B$2001,MATCH(Q$1&amp;"|"&amp;(ROW()-1),Registre!$AA$2:$AA$2001,0)),"")</f>
        <v/>
      </c>
      <c r="R441">
        <f>IFERROR(INDEX(Registre!$B$2:$B$2001,MATCH(R$1&amp;"|"&amp;(ROW()-1),Registre!$AA$2:$AA$2001,0)),"")</f>
        <v/>
      </c>
      <c r="S441">
        <f>IFERROR(INDEX(Registre!$B$2:$B$2001,MATCH(S$1&amp;"|"&amp;(ROW()-1),Registre!$AA$2:$AA$2001,0)),"")</f>
        <v/>
      </c>
      <c r="T441">
        <f>IFERROR(INDEX(Registre!$B$2:$B$2001,MATCH(T$1&amp;"|"&amp;(ROW()-1),Registre!$AA$2:$AA$2001,0)),"")</f>
        <v/>
      </c>
      <c r="U441">
        <f>IFERROR(INDEX(Registre!$B$2:$B$2001,MATCH(U$1&amp;"|"&amp;(ROW()-1),Registre!$AA$2:$AA$2001,0)),"")</f>
        <v/>
      </c>
      <c r="V441">
        <f>IFERROR(INDEX(Registre!$B$2:$B$2001,MATCH(V$1&amp;"|"&amp;(ROW()-1),Registre!$AA$2:$AA$2001,0)),"")</f>
        <v/>
      </c>
    </row>
    <row r="442">
      <c r="O442">
        <f>IFERROR(INDEX(Registre!$B$2:$B$2001,MATCH(O$1&amp;"|"&amp;(ROW()-1),Registre!$AA$2:$AA$2001,0)),"")</f>
        <v/>
      </c>
      <c r="P442">
        <f>IFERROR(INDEX(Registre!$B$2:$B$2001,MATCH(P$1&amp;"|"&amp;(ROW()-1),Registre!$AA$2:$AA$2001,0)),"")</f>
        <v/>
      </c>
      <c r="Q442">
        <f>IFERROR(INDEX(Registre!$B$2:$B$2001,MATCH(Q$1&amp;"|"&amp;(ROW()-1),Registre!$AA$2:$AA$2001,0)),"")</f>
        <v/>
      </c>
      <c r="R442">
        <f>IFERROR(INDEX(Registre!$B$2:$B$2001,MATCH(R$1&amp;"|"&amp;(ROW()-1),Registre!$AA$2:$AA$2001,0)),"")</f>
        <v/>
      </c>
      <c r="S442">
        <f>IFERROR(INDEX(Registre!$B$2:$B$2001,MATCH(S$1&amp;"|"&amp;(ROW()-1),Registre!$AA$2:$AA$2001,0)),"")</f>
        <v/>
      </c>
      <c r="T442">
        <f>IFERROR(INDEX(Registre!$B$2:$B$2001,MATCH(T$1&amp;"|"&amp;(ROW()-1),Registre!$AA$2:$AA$2001,0)),"")</f>
        <v/>
      </c>
      <c r="U442">
        <f>IFERROR(INDEX(Registre!$B$2:$B$2001,MATCH(U$1&amp;"|"&amp;(ROW()-1),Registre!$AA$2:$AA$2001,0)),"")</f>
        <v/>
      </c>
      <c r="V442">
        <f>IFERROR(INDEX(Registre!$B$2:$B$2001,MATCH(V$1&amp;"|"&amp;(ROW()-1),Registre!$AA$2:$AA$2001,0)),"")</f>
        <v/>
      </c>
    </row>
    <row r="443">
      <c r="O443">
        <f>IFERROR(INDEX(Registre!$B$2:$B$2001,MATCH(O$1&amp;"|"&amp;(ROW()-1),Registre!$AA$2:$AA$2001,0)),"")</f>
        <v/>
      </c>
      <c r="P443">
        <f>IFERROR(INDEX(Registre!$B$2:$B$2001,MATCH(P$1&amp;"|"&amp;(ROW()-1),Registre!$AA$2:$AA$2001,0)),"")</f>
        <v/>
      </c>
      <c r="Q443">
        <f>IFERROR(INDEX(Registre!$B$2:$B$2001,MATCH(Q$1&amp;"|"&amp;(ROW()-1),Registre!$AA$2:$AA$2001,0)),"")</f>
        <v/>
      </c>
      <c r="R443">
        <f>IFERROR(INDEX(Registre!$B$2:$B$2001,MATCH(R$1&amp;"|"&amp;(ROW()-1),Registre!$AA$2:$AA$2001,0)),"")</f>
        <v/>
      </c>
      <c r="S443">
        <f>IFERROR(INDEX(Registre!$B$2:$B$2001,MATCH(S$1&amp;"|"&amp;(ROW()-1),Registre!$AA$2:$AA$2001,0)),"")</f>
        <v/>
      </c>
      <c r="T443">
        <f>IFERROR(INDEX(Registre!$B$2:$B$2001,MATCH(T$1&amp;"|"&amp;(ROW()-1),Registre!$AA$2:$AA$2001,0)),"")</f>
        <v/>
      </c>
      <c r="U443">
        <f>IFERROR(INDEX(Registre!$B$2:$B$2001,MATCH(U$1&amp;"|"&amp;(ROW()-1),Registre!$AA$2:$AA$2001,0)),"")</f>
        <v/>
      </c>
      <c r="V443">
        <f>IFERROR(INDEX(Registre!$B$2:$B$2001,MATCH(V$1&amp;"|"&amp;(ROW()-1),Registre!$AA$2:$AA$2001,0)),"")</f>
        <v/>
      </c>
    </row>
    <row r="444">
      <c r="O444">
        <f>IFERROR(INDEX(Registre!$B$2:$B$2001,MATCH(O$1&amp;"|"&amp;(ROW()-1),Registre!$AA$2:$AA$2001,0)),"")</f>
        <v/>
      </c>
      <c r="P444">
        <f>IFERROR(INDEX(Registre!$B$2:$B$2001,MATCH(P$1&amp;"|"&amp;(ROW()-1),Registre!$AA$2:$AA$2001,0)),"")</f>
        <v/>
      </c>
      <c r="Q444">
        <f>IFERROR(INDEX(Registre!$B$2:$B$2001,MATCH(Q$1&amp;"|"&amp;(ROW()-1),Registre!$AA$2:$AA$2001,0)),"")</f>
        <v/>
      </c>
      <c r="R444">
        <f>IFERROR(INDEX(Registre!$B$2:$B$2001,MATCH(R$1&amp;"|"&amp;(ROW()-1),Registre!$AA$2:$AA$2001,0)),"")</f>
        <v/>
      </c>
      <c r="S444">
        <f>IFERROR(INDEX(Registre!$B$2:$B$2001,MATCH(S$1&amp;"|"&amp;(ROW()-1),Registre!$AA$2:$AA$2001,0)),"")</f>
        <v/>
      </c>
      <c r="T444">
        <f>IFERROR(INDEX(Registre!$B$2:$B$2001,MATCH(T$1&amp;"|"&amp;(ROW()-1),Registre!$AA$2:$AA$2001,0)),"")</f>
        <v/>
      </c>
      <c r="U444">
        <f>IFERROR(INDEX(Registre!$B$2:$B$2001,MATCH(U$1&amp;"|"&amp;(ROW()-1),Registre!$AA$2:$AA$2001,0)),"")</f>
        <v/>
      </c>
      <c r="V444">
        <f>IFERROR(INDEX(Registre!$B$2:$B$2001,MATCH(V$1&amp;"|"&amp;(ROW()-1),Registre!$AA$2:$AA$2001,0)),"")</f>
        <v/>
      </c>
    </row>
    <row r="445">
      <c r="O445">
        <f>IFERROR(INDEX(Registre!$B$2:$B$2001,MATCH(O$1&amp;"|"&amp;(ROW()-1),Registre!$AA$2:$AA$2001,0)),"")</f>
        <v/>
      </c>
      <c r="P445">
        <f>IFERROR(INDEX(Registre!$B$2:$B$2001,MATCH(P$1&amp;"|"&amp;(ROW()-1),Registre!$AA$2:$AA$2001,0)),"")</f>
        <v/>
      </c>
      <c r="Q445">
        <f>IFERROR(INDEX(Registre!$B$2:$B$2001,MATCH(Q$1&amp;"|"&amp;(ROW()-1),Registre!$AA$2:$AA$2001,0)),"")</f>
        <v/>
      </c>
      <c r="R445">
        <f>IFERROR(INDEX(Registre!$B$2:$B$2001,MATCH(R$1&amp;"|"&amp;(ROW()-1),Registre!$AA$2:$AA$2001,0)),"")</f>
        <v/>
      </c>
      <c r="S445">
        <f>IFERROR(INDEX(Registre!$B$2:$B$2001,MATCH(S$1&amp;"|"&amp;(ROW()-1),Registre!$AA$2:$AA$2001,0)),"")</f>
        <v/>
      </c>
      <c r="T445">
        <f>IFERROR(INDEX(Registre!$B$2:$B$2001,MATCH(T$1&amp;"|"&amp;(ROW()-1),Registre!$AA$2:$AA$2001,0)),"")</f>
        <v/>
      </c>
      <c r="U445">
        <f>IFERROR(INDEX(Registre!$B$2:$B$2001,MATCH(U$1&amp;"|"&amp;(ROW()-1),Registre!$AA$2:$AA$2001,0)),"")</f>
        <v/>
      </c>
      <c r="V445">
        <f>IFERROR(INDEX(Registre!$B$2:$B$2001,MATCH(V$1&amp;"|"&amp;(ROW()-1),Registre!$AA$2:$AA$2001,0)),"")</f>
        <v/>
      </c>
    </row>
    <row r="446">
      <c r="O446">
        <f>IFERROR(INDEX(Registre!$B$2:$B$2001,MATCH(O$1&amp;"|"&amp;(ROW()-1),Registre!$AA$2:$AA$2001,0)),"")</f>
        <v/>
      </c>
      <c r="P446">
        <f>IFERROR(INDEX(Registre!$B$2:$B$2001,MATCH(P$1&amp;"|"&amp;(ROW()-1),Registre!$AA$2:$AA$2001,0)),"")</f>
        <v/>
      </c>
      <c r="Q446">
        <f>IFERROR(INDEX(Registre!$B$2:$B$2001,MATCH(Q$1&amp;"|"&amp;(ROW()-1),Registre!$AA$2:$AA$2001,0)),"")</f>
        <v/>
      </c>
      <c r="R446">
        <f>IFERROR(INDEX(Registre!$B$2:$B$2001,MATCH(R$1&amp;"|"&amp;(ROW()-1),Registre!$AA$2:$AA$2001,0)),"")</f>
        <v/>
      </c>
      <c r="S446">
        <f>IFERROR(INDEX(Registre!$B$2:$B$2001,MATCH(S$1&amp;"|"&amp;(ROW()-1),Registre!$AA$2:$AA$2001,0)),"")</f>
        <v/>
      </c>
      <c r="T446">
        <f>IFERROR(INDEX(Registre!$B$2:$B$2001,MATCH(T$1&amp;"|"&amp;(ROW()-1),Registre!$AA$2:$AA$2001,0)),"")</f>
        <v/>
      </c>
      <c r="U446">
        <f>IFERROR(INDEX(Registre!$B$2:$B$2001,MATCH(U$1&amp;"|"&amp;(ROW()-1),Registre!$AA$2:$AA$2001,0)),"")</f>
        <v/>
      </c>
      <c r="V446">
        <f>IFERROR(INDEX(Registre!$B$2:$B$2001,MATCH(V$1&amp;"|"&amp;(ROW()-1),Registre!$AA$2:$AA$2001,0)),"")</f>
        <v/>
      </c>
    </row>
    <row r="447">
      <c r="O447">
        <f>IFERROR(INDEX(Registre!$B$2:$B$2001,MATCH(O$1&amp;"|"&amp;(ROW()-1),Registre!$AA$2:$AA$2001,0)),"")</f>
        <v/>
      </c>
      <c r="P447">
        <f>IFERROR(INDEX(Registre!$B$2:$B$2001,MATCH(P$1&amp;"|"&amp;(ROW()-1),Registre!$AA$2:$AA$2001,0)),"")</f>
        <v/>
      </c>
      <c r="Q447">
        <f>IFERROR(INDEX(Registre!$B$2:$B$2001,MATCH(Q$1&amp;"|"&amp;(ROW()-1),Registre!$AA$2:$AA$2001,0)),"")</f>
        <v/>
      </c>
      <c r="R447">
        <f>IFERROR(INDEX(Registre!$B$2:$B$2001,MATCH(R$1&amp;"|"&amp;(ROW()-1),Registre!$AA$2:$AA$2001,0)),"")</f>
        <v/>
      </c>
      <c r="S447">
        <f>IFERROR(INDEX(Registre!$B$2:$B$2001,MATCH(S$1&amp;"|"&amp;(ROW()-1),Registre!$AA$2:$AA$2001,0)),"")</f>
        <v/>
      </c>
      <c r="T447">
        <f>IFERROR(INDEX(Registre!$B$2:$B$2001,MATCH(T$1&amp;"|"&amp;(ROW()-1),Registre!$AA$2:$AA$2001,0)),"")</f>
        <v/>
      </c>
      <c r="U447">
        <f>IFERROR(INDEX(Registre!$B$2:$B$2001,MATCH(U$1&amp;"|"&amp;(ROW()-1),Registre!$AA$2:$AA$2001,0)),"")</f>
        <v/>
      </c>
      <c r="V447">
        <f>IFERROR(INDEX(Registre!$B$2:$B$2001,MATCH(V$1&amp;"|"&amp;(ROW()-1),Registre!$AA$2:$AA$2001,0)),"")</f>
        <v/>
      </c>
    </row>
    <row r="448">
      <c r="O448">
        <f>IFERROR(INDEX(Registre!$B$2:$B$2001,MATCH(O$1&amp;"|"&amp;(ROW()-1),Registre!$AA$2:$AA$2001,0)),"")</f>
        <v/>
      </c>
      <c r="P448">
        <f>IFERROR(INDEX(Registre!$B$2:$B$2001,MATCH(P$1&amp;"|"&amp;(ROW()-1),Registre!$AA$2:$AA$2001,0)),"")</f>
        <v/>
      </c>
      <c r="Q448">
        <f>IFERROR(INDEX(Registre!$B$2:$B$2001,MATCH(Q$1&amp;"|"&amp;(ROW()-1),Registre!$AA$2:$AA$2001,0)),"")</f>
        <v/>
      </c>
      <c r="R448">
        <f>IFERROR(INDEX(Registre!$B$2:$B$2001,MATCH(R$1&amp;"|"&amp;(ROW()-1),Registre!$AA$2:$AA$2001,0)),"")</f>
        <v/>
      </c>
      <c r="S448">
        <f>IFERROR(INDEX(Registre!$B$2:$B$2001,MATCH(S$1&amp;"|"&amp;(ROW()-1),Registre!$AA$2:$AA$2001,0)),"")</f>
        <v/>
      </c>
      <c r="T448">
        <f>IFERROR(INDEX(Registre!$B$2:$B$2001,MATCH(T$1&amp;"|"&amp;(ROW()-1),Registre!$AA$2:$AA$2001,0)),"")</f>
        <v/>
      </c>
      <c r="U448">
        <f>IFERROR(INDEX(Registre!$B$2:$B$2001,MATCH(U$1&amp;"|"&amp;(ROW()-1),Registre!$AA$2:$AA$2001,0)),"")</f>
        <v/>
      </c>
      <c r="V448">
        <f>IFERROR(INDEX(Registre!$B$2:$B$2001,MATCH(V$1&amp;"|"&amp;(ROW()-1),Registre!$AA$2:$AA$2001,0)),"")</f>
        <v/>
      </c>
    </row>
    <row r="449">
      <c r="O449">
        <f>IFERROR(INDEX(Registre!$B$2:$B$2001,MATCH(O$1&amp;"|"&amp;(ROW()-1),Registre!$AA$2:$AA$2001,0)),"")</f>
        <v/>
      </c>
      <c r="P449">
        <f>IFERROR(INDEX(Registre!$B$2:$B$2001,MATCH(P$1&amp;"|"&amp;(ROW()-1),Registre!$AA$2:$AA$2001,0)),"")</f>
        <v/>
      </c>
      <c r="Q449">
        <f>IFERROR(INDEX(Registre!$B$2:$B$2001,MATCH(Q$1&amp;"|"&amp;(ROW()-1),Registre!$AA$2:$AA$2001,0)),"")</f>
        <v/>
      </c>
      <c r="R449">
        <f>IFERROR(INDEX(Registre!$B$2:$B$2001,MATCH(R$1&amp;"|"&amp;(ROW()-1),Registre!$AA$2:$AA$2001,0)),"")</f>
        <v/>
      </c>
      <c r="S449">
        <f>IFERROR(INDEX(Registre!$B$2:$B$2001,MATCH(S$1&amp;"|"&amp;(ROW()-1),Registre!$AA$2:$AA$2001,0)),"")</f>
        <v/>
      </c>
      <c r="T449">
        <f>IFERROR(INDEX(Registre!$B$2:$B$2001,MATCH(T$1&amp;"|"&amp;(ROW()-1),Registre!$AA$2:$AA$2001,0)),"")</f>
        <v/>
      </c>
      <c r="U449">
        <f>IFERROR(INDEX(Registre!$B$2:$B$2001,MATCH(U$1&amp;"|"&amp;(ROW()-1),Registre!$AA$2:$AA$2001,0)),"")</f>
        <v/>
      </c>
      <c r="V449">
        <f>IFERROR(INDEX(Registre!$B$2:$B$2001,MATCH(V$1&amp;"|"&amp;(ROW()-1),Registre!$AA$2:$AA$2001,0)),"")</f>
        <v/>
      </c>
    </row>
    <row r="450">
      <c r="O450">
        <f>IFERROR(INDEX(Registre!$B$2:$B$2001,MATCH(O$1&amp;"|"&amp;(ROW()-1),Registre!$AA$2:$AA$2001,0)),"")</f>
        <v/>
      </c>
      <c r="P450">
        <f>IFERROR(INDEX(Registre!$B$2:$B$2001,MATCH(P$1&amp;"|"&amp;(ROW()-1),Registre!$AA$2:$AA$2001,0)),"")</f>
        <v/>
      </c>
      <c r="Q450">
        <f>IFERROR(INDEX(Registre!$B$2:$B$2001,MATCH(Q$1&amp;"|"&amp;(ROW()-1),Registre!$AA$2:$AA$2001,0)),"")</f>
        <v/>
      </c>
      <c r="R450">
        <f>IFERROR(INDEX(Registre!$B$2:$B$2001,MATCH(R$1&amp;"|"&amp;(ROW()-1),Registre!$AA$2:$AA$2001,0)),"")</f>
        <v/>
      </c>
      <c r="S450">
        <f>IFERROR(INDEX(Registre!$B$2:$B$2001,MATCH(S$1&amp;"|"&amp;(ROW()-1),Registre!$AA$2:$AA$2001,0)),"")</f>
        <v/>
      </c>
      <c r="T450">
        <f>IFERROR(INDEX(Registre!$B$2:$B$2001,MATCH(T$1&amp;"|"&amp;(ROW()-1),Registre!$AA$2:$AA$2001,0)),"")</f>
        <v/>
      </c>
      <c r="U450">
        <f>IFERROR(INDEX(Registre!$B$2:$B$2001,MATCH(U$1&amp;"|"&amp;(ROW()-1),Registre!$AA$2:$AA$2001,0)),"")</f>
        <v/>
      </c>
      <c r="V450">
        <f>IFERROR(INDEX(Registre!$B$2:$B$2001,MATCH(V$1&amp;"|"&amp;(ROW()-1),Registre!$AA$2:$AA$2001,0)),"")</f>
        <v/>
      </c>
    </row>
    <row r="451">
      <c r="O451">
        <f>IFERROR(INDEX(Registre!$B$2:$B$2001,MATCH(O$1&amp;"|"&amp;(ROW()-1),Registre!$AA$2:$AA$2001,0)),"")</f>
        <v/>
      </c>
      <c r="P451">
        <f>IFERROR(INDEX(Registre!$B$2:$B$2001,MATCH(P$1&amp;"|"&amp;(ROW()-1),Registre!$AA$2:$AA$2001,0)),"")</f>
        <v/>
      </c>
      <c r="Q451">
        <f>IFERROR(INDEX(Registre!$B$2:$B$2001,MATCH(Q$1&amp;"|"&amp;(ROW()-1),Registre!$AA$2:$AA$2001,0)),"")</f>
        <v/>
      </c>
      <c r="R451">
        <f>IFERROR(INDEX(Registre!$B$2:$B$2001,MATCH(R$1&amp;"|"&amp;(ROW()-1),Registre!$AA$2:$AA$2001,0)),"")</f>
        <v/>
      </c>
      <c r="S451">
        <f>IFERROR(INDEX(Registre!$B$2:$B$2001,MATCH(S$1&amp;"|"&amp;(ROW()-1),Registre!$AA$2:$AA$2001,0)),"")</f>
        <v/>
      </c>
      <c r="T451">
        <f>IFERROR(INDEX(Registre!$B$2:$B$2001,MATCH(T$1&amp;"|"&amp;(ROW()-1),Registre!$AA$2:$AA$2001,0)),"")</f>
        <v/>
      </c>
      <c r="U451">
        <f>IFERROR(INDEX(Registre!$B$2:$B$2001,MATCH(U$1&amp;"|"&amp;(ROW()-1),Registre!$AA$2:$AA$2001,0)),"")</f>
        <v/>
      </c>
      <c r="V451">
        <f>IFERROR(INDEX(Registre!$B$2:$B$2001,MATCH(V$1&amp;"|"&amp;(ROW()-1),Registre!$AA$2:$AA$2001,0)),"")</f>
        <v/>
      </c>
    </row>
    <row r="452">
      <c r="O452">
        <f>IFERROR(INDEX(Registre!$B$2:$B$2001,MATCH(O$1&amp;"|"&amp;(ROW()-1),Registre!$AA$2:$AA$2001,0)),"")</f>
        <v/>
      </c>
      <c r="P452">
        <f>IFERROR(INDEX(Registre!$B$2:$B$2001,MATCH(P$1&amp;"|"&amp;(ROW()-1),Registre!$AA$2:$AA$2001,0)),"")</f>
        <v/>
      </c>
      <c r="Q452">
        <f>IFERROR(INDEX(Registre!$B$2:$B$2001,MATCH(Q$1&amp;"|"&amp;(ROW()-1),Registre!$AA$2:$AA$2001,0)),"")</f>
        <v/>
      </c>
      <c r="R452">
        <f>IFERROR(INDEX(Registre!$B$2:$B$2001,MATCH(R$1&amp;"|"&amp;(ROW()-1),Registre!$AA$2:$AA$2001,0)),"")</f>
        <v/>
      </c>
      <c r="S452">
        <f>IFERROR(INDEX(Registre!$B$2:$B$2001,MATCH(S$1&amp;"|"&amp;(ROW()-1),Registre!$AA$2:$AA$2001,0)),"")</f>
        <v/>
      </c>
      <c r="T452">
        <f>IFERROR(INDEX(Registre!$B$2:$B$2001,MATCH(T$1&amp;"|"&amp;(ROW()-1),Registre!$AA$2:$AA$2001,0)),"")</f>
        <v/>
      </c>
      <c r="U452">
        <f>IFERROR(INDEX(Registre!$B$2:$B$2001,MATCH(U$1&amp;"|"&amp;(ROW()-1),Registre!$AA$2:$AA$2001,0)),"")</f>
        <v/>
      </c>
      <c r="V452">
        <f>IFERROR(INDEX(Registre!$B$2:$B$2001,MATCH(V$1&amp;"|"&amp;(ROW()-1),Registre!$AA$2:$AA$2001,0)),"")</f>
        <v/>
      </c>
    </row>
    <row r="453">
      <c r="O453">
        <f>IFERROR(INDEX(Registre!$B$2:$B$2001,MATCH(O$1&amp;"|"&amp;(ROW()-1),Registre!$AA$2:$AA$2001,0)),"")</f>
        <v/>
      </c>
      <c r="P453">
        <f>IFERROR(INDEX(Registre!$B$2:$B$2001,MATCH(P$1&amp;"|"&amp;(ROW()-1),Registre!$AA$2:$AA$2001,0)),"")</f>
        <v/>
      </c>
      <c r="Q453">
        <f>IFERROR(INDEX(Registre!$B$2:$B$2001,MATCH(Q$1&amp;"|"&amp;(ROW()-1),Registre!$AA$2:$AA$2001,0)),"")</f>
        <v/>
      </c>
      <c r="R453">
        <f>IFERROR(INDEX(Registre!$B$2:$B$2001,MATCH(R$1&amp;"|"&amp;(ROW()-1),Registre!$AA$2:$AA$2001,0)),"")</f>
        <v/>
      </c>
      <c r="S453">
        <f>IFERROR(INDEX(Registre!$B$2:$B$2001,MATCH(S$1&amp;"|"&amp;(ROW()-1),Registre!$AA$2:$AA$2001,0)),"")</f>
        <v/>
      </c>
      <c r="T453">
        <f>IFERROR(INDEX(Registre!$B$2:$B$2001,MATCH(T$1&amp;"|"&amp;(ROW()-1),Registre!$AA$2:$AA$2001,0)),"")</f>
        <v/>
      </c>
      <c r="U453">
        <f>IFERROR(INDEX(Registre!$B$2:$B$2001,MATCH(U$1&amp;"|"&amp;(ROW()-1),Registre!$AA$2:$AA$2001,0)),"")</f>
        <v/>
      </c>
      <c r="V453">
        <f>IFERROR(INDEX(Registre!$B$2:$B$2001,MATCH(V$1&amp;"|"&amp;(ROW()-1),Registre!$AA$2:$AA$2001,0)),"")</f>
        <v/>
      </c>
    </row>
    <row r="454">
      <c r="O454">
        <f>IFERROR(INDEX(Registre!$B$2:$B$2001,MATCH(O$1&amp;"|"&amp;(ROW()-1),Registre!$AA$2:$AA$2001,0)),"")</f>
        <v/>
      </c>
      <c r="P454">
        <f>IFERROR(INDEX(Registre!$B$2:$B$2001,MATCH(P$1&amp;"|"&amp;(ROW()-1),Registre!$AA$2:$AA$2001,0)),"")</f>
        <v/>
      </c>
      <c r="Q454">
        <f>IFERROR(INDEX(Registre!$B$2:$B$2001,MATCH(Q$1&amp;"|"&amp;(ROW()-1),Registre!$AA$2:$AA$2001,0)),"")</f>
        <v/>
      </c>
      <c r="R454">
        <f>IFERROR(INDEX(Registre!$B$2:$B$2001,MATCH(R$1&amp;"|"&amp;(ROW()-1),Registre!$AA$2:$AA$2001,0)),"")</f>
        <v/>
      </c>
      <c r="S454">
        <f>IFERROR(INDEX(Registre!$B$2:$B$2001,MATCH(S$1&amp;"|"&amp;(ROW()-1),Registre!$AA$2:$AA$2001,0)),"")</f>
        <v/>
      </c>
      <c r="T454">
        <f>IFERROR(INDEX(Registre!$B$2:$B$2001,MATCH(T$1&amp;"|"&amp;(ROW()-1),Registre!$AA$2:$AA$2001,0)),"")</f>
        <v/>
      </c>
      <c r="U454">
        <f>IFERROR(INDEX(Registre!$B$2:$B$2001,MATCH(U$1&amp;"|"&amp;(ROW()-1),Registre!$AA$2:$AA$2001,0)),"")</f>
        <v/>
      </c>
      <c r="V454">
        <f>IFERROR(INDEX(Registre!$B$2:$B$2001,MATCH(V$1&amp;"|"&amp;(ROW()-1),Registre!$AA$2:$AA$2001,0)),"")</f>
        <v/>
      </c>
    </row>
    <row r="455">
      <c r="O455">
        <f>IFERROR(INDEX(Registre!$B$2:$B$2001,MATCH(O$1&amp;"|"&amp;(ROW()-1),Registre!$AA$2:$AA$2001,0)),"")</f>
        <v/>
      </c>
      <c r="P455">
        <f>IFERROR(INDEX(Registre!$B$2:$B$2001,MATCH(P$1&amp;"|"&amp;(ROW()-1),Registre!$AA$2:$AA$2001,0)),"")</f>
        <v/>
      </c>
      <c r="Q455">
        <f>IFERROR(INDEX(Registre!$B$2:$B$2001,MATCH(Q$1&amp;"|"&amp;(ROW()-1),Registre!$AA$2:$AA$2001,0)),"")</f>
        <v/>
      </c>
      <c r="R455">
        <f>IFERROR(INDEX(Registre!$B$2:$B$2001,MATCH(R$1&amp;"|"&amp;(ROW()-1),Registre!$AA$2:$AA$2001,0)),"")</f>
        <v/>
      </c>
      <c r="S455">
        <f>IFERROR(INDEX(Registre!$B$2:$B$2001,MATCH(S$1&amp;"|"&amp;(ROW()-1),Registre!$AA$2:$AA$2001,0)),"")</f>
        <v/>
      </c>
      <c r="T455">
        <f>IFERROR(INDEX(Registre!$B$2:$B$2001,MATCH(T$1&amp;"|"&amp;(ROW()-1),Registre!$AA$2:$AA$2001,0)),"")</f>
        <v/>
      </c>
      <c r="U455">
        <f>IFERROR(INDEX(Registre!$B$2:$B$2001,MATCH(U$1&amp;"|"&amp;(ROW()-1),Registre!$AA$2:$AA$2001,0)),"")</f>
        <v/>
      </c>
      <c r="V455">
        <f>IFERROR(INDEX(Registre!$B$2:$B$2001,MATCH(V$1&amp;"|"&amp;(ROW()-1),Registre!$AA$2:$AA$2001,0)),"")</f>
        <v/>
      </c>
    </row>
    <row r="456">
      <c r="O456">
        <f>IFERROR(INDEX(Registre!$B$2:$B$2001,MATCH(O$1&amp;"|"&amp;(ROW()-1),Registre!$AA$2:$AA$2001,0)),"")</f>
        <v/>
      </c>
      <c r="P456">
        <f>IFERROR(INDEX(Registre!$B$2:$B$2001,MATCH(P$1&amp;"|"&amp;(ROW()-1),Registre!$AA$2:$AA$2001,0)),"")</f>
        <v/>
      </c>
      <c r="Q456">
        <f>IFERROR(INDEX(Registre!$B$2:$B$2001,MATCH(Q$1&amp;"|"&amp;(ROW()-1),Registre!$AA$2:$AA$2001,0)),"")</f>
        <v/>
      </c>
      <c r="R456">
        <f>IFERROR(INDEX(Registre!$B$2:$B$2001,MATCH(R$1&amp;"|"&amp;(ROW()-1),Registre!$AA$2:$AA$2001,0)),"")</f>
        <v/>
      </c>
      <c r="S456">
        <f>IFERROR(INDEX(Registre!$B$2:$B$2001,MATCH(S$1&amp;"|"&amp;(ROW()-1),Registre!$AA$2:$AA$2001,0)),"")</f>
        <v/>
      </c>
      <c r="T456">
        <f>IFERROR(INDEX(Registre!$B$2:$B$2001,MATCH(T$1&amp;"|"&amp;(ROW()-1),Registre!$AA$2:$AA$2001,0)),"")</f>
        <v/>
      </c>
      <c r="U456">
        <f>IFERROR(INDEX(Registre!$B$2:$B$2001,MATCH(U$1&amp;"|"&amp;(ROW()-1),Registre!$AA$2:$AA$2001,0)),"")</f>
        <v/>
      </c>
      <c r="V456">
        <f>IFERROR(INDEX(Registre!$B$2:$B$2001,MATCH(V$1&amp;"|"&amp;(ROW()-1),Registre!$AA$2:$AA$2001,0)),"")</f>
        <v/>
      </c>
    </row>
    <row r="457">
      <c r="O457">
        <f>IFERROR(INDEX(Registre!$B$2:$B$2001,MATCH(O$1&amp;"|"&amp;(ROW()-1),Registre!$AA$2:$AA$2001,0)),"")</f>
        <v/>
      </c>
      <c r="P457">
        <f>IFERROR(INDEX(Registre!$B$2:$B$2001,MATCH(P$1&amp;"|"&amp;(ROW()-1),Registre!$AA$2:$AA$2001,0)),"")</f>
        <v/>
      </c>
      <c r="Q457">
        <f>IFERROR(INDEX(Registre!$B$2:$B$2001,MATCH(Q$1&amp;"|"&amp;(ROW()-1),Registre!$AA$2:$AA$2001,0)),"")</f>
        <v/>
      </c>
      <c r="R457">
        <f>IFERROR(INDEX(Registre!$B$2:$B$2001,MATCH(R$1&amp;"|"&amp;(ROW()-1),Registre!$AA$2:$AA$2001,0)),"")</f>
        <v/>
      </c>
      <c r="S457">
        <f>IFERROR(INDEX(Registre!$B$2:$B$2001,MATCH(S$1&amp;"|"&amp;(ROW()-1),Registre!$AA$2:$AA$2001,0)),"")</f>
        <v/>
      </c>
      <c r="T457">
        <f>IFERROR(INDEX(Registre!$B$2:$B$2001,MATCH(T$1&amp;"|"&amp;(ROW()-1),Registre!$AA$2:$AA$2001,0)),"")</f>
        <v/>
      </c>
      <c r="U457">
        <f>IFERROR(INDEX(Registre!$B$2:$B$2001,MATCH(U$1&amp;"|"&amp;(ROW()-1),Registre!$AA$2:$AA$2001,0)),"")</f>
        <v/>
      </c>
      <c r="V457">
        <f>IFERROR(INDEX(Registre!$B$2:$B$2001,MATCH(V$1&amp;"|"&amp;(ROW()-1),Registre!$AA$2:$AA$2001,0)),"")</f>
        <v/>
      </c>
    </row>
    <row r="458">
      <c r="O458">
        <f>IFERROR(INDEX(Registre!$B$2:$B$2001,MATCH(O$1&amp;"|"&amp;(ROW()-1),Registre!$AA$2:$AA$2001,0)),"")</f>
        <v/>
      </c>
      <c r="P458">
        <f>IFERROR(INDEX(Registre!$B$2:$B$2001,MATCH(P$1&amp;"|"&amp;(ROW()-1),Registre!$AA$2:$AA$2001,0)),"")</f>
        <v/>
      </c>
      <c r="Q458">
        <f>IFERROR(INDEX(Registre!$B$2:$B$2001,MATCH(Q$1&amp;"|"&amp;(ROW()-1),Registre!$AA$2:$AA$2001,0)),"")</f>
        <v/>
      </c>
      <c r="R458">
        <f>IFERROR(INDEX(Registre!$B$2:$B$2001,MATCH(R$1&amp;"|"&amp;(ROW()-1),Registre!$AA$2:$AA$2001,0)),"")</f>
        <v/>
      </c>
      <c r="S458">
        <f>IFERROR(INDEX(Registre!$B$2:$B$2001,MATCH(S$1&amp;"|"&amp;(ROW()-1),Registre!$AA$2:$AA$2001,0)),"")</f>
        <v/>
      </c>
      <c r="T458">
        <f>IFERROR(INDEX(Registre!$B$2:$B$2001,MATCH(T$1&amp;"|"&amp;(ROW()-1),Registre!$AA$2:$AA$2001,0)),"")</f>
        <v/>
      </c>
      <c r="U458">
        <f>IFERROR(INDEX(Registre!$B$2:$B$2001,MATCH(U$1&amp;"|"&amp;(ROW()-1),Registre!$AA$2:$AA$2001,0)),"")</f>
        <v/>
      </c>
      <c r="V458">
        <f>IFERROR(INDEX(Registre!$B$2:$B$2001,MATCH(V$1&amp;"|"&amp;(ROW()-1),Registre!$AA$2:$AA$2001,0)),"")</f>
        <v/>
      </c>
    </row>
    <row r="459">
      <c r="O459">
        <f>IFERROR(INDEX(Registre!$B$2:$B$2001,MATCH(O$1&amp;"|"&amp;(ROW()-1),Registre!$AA$2:$AA$2001,0)),"")</f>
        <v/>
      </c>
      <c r="P459">
        <f>IFERROR(INDEX(Registre!$B$2:$B$2001,MATCH(P$1&amp;"|"&amp;(ROW()-1),Registre!$AA$2:$AA$2001,0)),"")</f>
        <v/>
      </c>
      <c r="Q459">
        <f>IFERROR(INDEX(Registre!$B$2:$B$2001,MATCH(Q$1&amp;"|"&amp;(ROW()-1),Registre!$AA$2:$AA$2001,0)),"")</f>
        <v/>
      </c>
      <c r="R459">
        <f>IFERROR(INDEX(Registre!$B$2:$B$2001,MATCH(R$1&amp;"|"&amp;(ROW()-1),Registre!$AA$2:$AA$2001,0)),"")</f>
        <v/>
      </c>
      <c r="S459">
        <f>IFERROR(INDEX(Registre!$B$2:$B$2001,MATCH(S$1&amp;"|"&amp;(ROW()-1),Registre!$AA$2:$AA$2001,0)),"")</f>
        <v/>
      </c>
      <c r="T459">
        <f>IFERROR(INDEX(Registre!$B$2:$B$2001,MATCH(T$1&amp;"|"&amp;(ROW()-1),Registre!$AA$2:$AA$2001,0)),"")</f>
        <v/>
      </c>
      <c r="U459">
        <f>IFERROR(INDEX(Registre!$B$2:$B$2001,MATCH(U$1&amp;"|"&amp;(ROW()-1),Registre!$AA$2:$AA$2001,0)),"")</f>
        <v/>
      </c>
      <c r="V459">
        <f>IFERROR(INDEX(Registre!$B$2:$B$2001,MATCH(V$1&amp;"|"&amp;(ROW()-1),Registre!$AA$2:$AA$2001,0)),"")</f>
        <v/>
      </c>
    </row>
    <row r="460">
      <c r="O460">
        <f>IFERROR(INDEX(Registre!$B$2:$B$2001,MATCH(O$1&amp;"|"&amp;(ROW()-1),Registre!$AA$2:$AA$2001,0)),"")</f>
        <v/>
      </c>
      <c r="P460">
        <f>IFERROR(INDEX(Registre!$B$2:$B$2001,MATCH(P$1&amp;"|"&amp;(ROW()-1),Registre!$AA$2:$AA$2001,0)),"")</f>
        <v/>
      </c>
      <c r="Q460">
        <f>IFERROR(INDEX(Registre!$B$2:$B$2001,MATCH(Q$1&amp;"|"&amp;(ROW()-1),Registre!$AA$2:$AA$2001,0)),"")</f>
        <v/>
      </c>
      <c r="R460">
        <f>IFERROR(INDEX(Registre!$B$2:$B$2001,MATCH(R$1&amp;"|"&amp;(ROW()-1),Registre!$AA$2:$AA$2001,0)),"")</f>
        <v/>
      </c>
      <c r="S460">
        <f>IFERROR(INDEX(Registre!$B$2:$B$2001,MATCH(S$1&amp;"|"&amp;(ROW()-1),Registre!$AA$2:$AA$2001,0)),"")</f>
        <v/>
      </c>
      <c r="T460">
        <f>IFERROR(INDEX(Registre!$B$2:$B$2001,MATCH(T$1&amp;"|"&amp;(ROW()-1),Registre!$AA$2:$AA$2001,0)),"")</f>
        <v/>
      </c>
      <c r="U460">
        <f>IFERROR(INDEX(Registre!$B$2:$B$2001,MATCH(U$1&amp;"|"&amp;(ROW()-1),Registre!$AA$2:$AA$2001,0)),"")</f>
        <v/>
      </c>
      <c r="V460">
        <f>IFERROR(INDEX(Registre!$B$2:$B$2001,MATCH(V$1&amp;"|"&amp;(ROW()-1),Registre!$AA$2:$AA$2001,0)),"")</f>
        <v/>
      </c>
    </row>
    <row r="461">
      <c r="O461">
        <f>IFERROR(INDEX(Registre!$B$2:$B$2001,MATCH(O$1&amp;"|"&amp;(ROW()-1),Registre!$AA$2:$AA$2001,0)),"")</f>
        <v/>
      </c>
      <c r="P461">
        <f>IFERROR(INDEX(Registre!$B$2:$B$2001,MATCH(P$1&amp;"|"&amp;(ROW()-1),Registre!$AA$2:$AA$2001,0)),"")</f>
        <v/>
      </c>
      <c r="Q461">
        <f>IFERROR(INDEX(Registre!$B$2:$B$2001,MATCH(Q$1&amp;"|"&amp;(ROW()-1),Registre!$AA$2:$AA$2001,0)),"")</f>
        <v/>
      </c>
      <c r="R461">
        <f>IFERROR(INDEX(Registre!$B$2:$B$2001,MATCH(R$1&amp;"|"&amp;(ROW()-1),Registre!$AA$2:$AA$2001,0)),"")</f>
        <v/>
      </c>
      <c r="S461">
        <f>IFERROR(INDEX(Registre!$B$2:$B$2001,MATCH(S$1&amp;"|"&amp;(ROW()-1),Registre!$AA$2:$AA$2001,0)),"")</f>
        <v/>
      </c>
      <c r="T461">
        <f>IFERROR(INDEX(Registre!$B$2:$B$2001,MATCH(T$1&amp;"|"&amp;(ROW()-1),Registre!$AA$2:$AA$2001,0)),"")</f>
        <v/>
      </c>
      <c r="U461">
        <f>IFERROR(INDEX(Registre!$B$2:$B$2001,MATCH(U$1&amp;"|"&amp;(ROW()-1),Registre!$AA$2:$AA$2001,0)),"")</f>
        <v/>
      </c>
      <c r="V461">
        <f>IFERROR(INDEX(Registre!$B$2:$B$2001,MATCH(V$1&amp;"|"&amp;(ROW()-1),Registre!$AA$2:$AA$2001,0)),"")</f>
        <v/>
      </c>
    </row>
    <row r="462">
      <c r="O462">
        <f>IFERROR(INDEX(Registre!$B$2:$B$2001,MATCH(O$1&amp;"|"&amp;(ROW()-1),Registre!$AA$2:$AA$2001,0)),"")</f>
        <v/>
      </c>
      <c r="P462">
        <f>IFERROR(INDEX(Registre!$B$2:$B$2001,MATCH(P$1&amp;"|"&amp;(ROW()-1),Registre!$AA$2:$AA$2001,0)),"")</f>
        <v/>
      </c>
      <c r="Q462">
        <f>IFERROR(INDEX(Registre!$B$2:$B$2001,MATCH(Q$1&amp;"|"&amp;(ROW()-1),Registre!$AA$2:$AA$2001,0)),"")</f>
        <v/>
      </c>
      <c r="R462">
        <f>IFERROR(INDEX(Registre!$B$2:$B$2001,MATCH(R$1&amp;"|"&amp;(ROW()-1),Registre!$AA$2:$AA$2001,0)),"")</f>
        <v/>
      </c>
      <c r="S462">
        <f>IFERROR(INDEX(Registre!$B$2:$B$2001,MATCH(S$1&amp;"|"&amp;(ROW()-1),Registre!$AA$2:$AA$2001,0)),"")</f>
        <v/>
      </c>
      <c r="T462">
        <f>IFERROR(INDEX(Registre!$B$2:$B$2001,MATCH(T$1&amp;"|"&amp;(ROW()-1),Registre!$AA$2:$AA$2001,0)),"")</f>
        <v/>
      </c>
      <c r="U462">
        <f>IFERROR(INDEX(Registre!$B$2:$B$2001,MATCH(U$1&amp;"|"&amp;(ROW()-1),Registre!$AA$2:$AA$2001,0)),"")</f>
        <v/>
      </c>
      <c r="V462">
        <f>IFERROR(INDEX(Registre!$B$2:$B$2001,MATCH(V$1&amp;"|"&amp;(ROW()-1),Registre!$AA$2:$AA$2001,0)),"")</f>
        <v/>
      </c>
    </row>
    <row r="463">
      <c r="O463">
        <f>IFERROR(INDEX(Registre!$B$2:$B$2001,MATCH(O$1&amp;"|"&amp;(ROW()-1),Registre!$AA$2:$AA$2001,0)),"")</f>
        <v/>
      </c>
      <c r="P463">
        <f>IFERROR(INDEX(Registre!$B$2:$B$2001,MATCH(P$1&amp;"|"&amp;(ROW()-1),Registre!$AA$2:$AA$2001,0)),"")</f>
        <v/>
      </c>
      <c r="Q463">
        <f>IFERROR(INDEX(Registre!$B$2:$B$2001,MATCH(Q$1&amp;"|"&amp;(ROW()-1),Registre!$AA$2:$AA$2001,0)),"")</f>
        <v/>
      </c>
      <c r="R463">
        <f>IFERROR(INDEX(Registre!$B$2:$B$2001,MATCH(R$1&amp;"|"&amp;(ROW()-1),Registre!$AA$2:$AA$2001,0)),"")</f>
        <v/>
      </c>
      <c r="S463">
        <f>IFERROR(INDEX(Registre!$B$2:$B$2001,MATCH(S$1&amp;"|"&amp;(ROW()-1),Registre!$AA$2:$AA$2001,0)),"")</f>
        <v/>
      </c>
      <c r="T463">
        <f>IFERROR(INDEX(Registre!$B$2:$B$2001,MATCH(T$1&amp;"|"&amp;(ROW()-1),Registre!$AA$2:$AA$2001,0)),"")</f>
        <v/>
      </c>
      <c r="U463">
        <f>IFERROR(INDEX(Registre!$B$2:$B$2001,MATCH(U$1&amp;"|"&amp;(ROW()-1),Registre!$AA$2:$AA$2001,0)),"")</f>
        <v/>
      </c>
      <c r="V463">
        <f>IFERROR(INDEX(Registre!$B$2:$B$2001,MATCH(V$1&amp;"|"&amp;(ROW()-1),Registre!$AA$2:$AA$2001,0)),"")</f>
        <v/>
      </c>
    </row>
    <row r="464">
      <c r="O464">
        <f>IFERROR(INDEX(Registre!$B$2:$B$2001,MATCH(O$1&amp;"|"&amp;(ROW()-1),Registre!$AA$2:$AA$2001,0)),"")</f>
        <v/>
      </c>
      <c r="P464">
        <f>IFERROR(INDEX(Registre!$B$2:$B$2001,MATCH(P$1&amp;"|"&amp;(ROW()-1),Registre!$AA$2:$AA$2001,0)),"")</f>
        <v/>
      </c>
      <c r="Q464">
        <f>IFERROR(INDEX(Registre!$B$2:$B$2001,MATCH(Q$1&amp;"|"&amp;(ROW()-1),Registre!$AA$2:$AA$2001,0)),"")</f>
        <v/>
      </c>
      <c r="R464">
        <f>IFERROR(INDEX(Registre!$B$2:$B$2001,MATCH(R$1&amp;"|"&amp;(ROW()-1),Registre!$AA$2:$AA$2001,0)),"")</f>
        <v/>
      </c>
      <c r="S464">
        <f>IFERROR(INDEX(Registre!$B$2:$B$2001,MATCH(S$1&amp;"|"&amp;(ROW()-1),Registre!$AA$2:$AA$2001,0)),"")</f>
        <v/>
      </c>
      <c r="T464">
        <f>IFERROR(INDEX(Registre!$B$2:$B$2001,MATCH(T$1&amp;"|"&amp;(ROW()-1),Registre!$AA$2:$AA$2001,0)),"")</f>
        <v/>
      </c>
      <c r="U464">
        <f>IFERROR(INDEX(Registre!$B$2:$B$2001,MATCH(U$1&amp;"|"&amp;(ROW()-1),Registre!$AA$2:$AA$2001,0)),"")</f>
        <v/>
      </c>
      <c r="V464">
        <f>IFERROR(INDEX(Registre!$B$2:$B$2001,MATCH(V$1&amp;"|"&amp;(ROW()-1),Registre!$AA$2:$AA$2001,0)),"")</f>
        <v/>
      </c>
    </row>
    <row r="465">
      <c r="O465">
        <f>IFERROR(INDEX(Registre!$B$2:$B$2001,MATCH(O$1&amp;"|"&amp;(ROW()-1),Registre!$AA$2:$AA$2001,0)),"")</f>
        <v/>
      </c>
      <c r="P465">
        <f>IFERROR(INDEX(Registre!$B$2:$B$2001,MATCH(P$1&amp;"|"&amp;(ROW()-1),Registre!$AA$2:$AA$2001,0)),"")</f>
        <v/>
      </c>
      <c r="Q465">
        <f>IFERROR(INDEX(Registre!$B$2:$B$2001,MATCH(Q$1&amp;"|"&amp;(ROW()-1),Registre!$AA$2:$AA$2001,0)),"")</f>
        <v/>
      </c>
      <c r="R465">
        <f>IFERROR(INDEX(Registre!$B$2:$B$2001,MATCH(R$1&amp;"|"&amp;(ROW()-1),Registre!$AA$2:$AA$2001,0)),"")</f>
        <v/>
      </c>
      <c r="S465">
        <f>IFERROR(INDEX(Registre!$B$2:$B$2001,MATCH(S$1&amp;"|"&amp;(ROW()-1),Registre!$AA$2:$AA$2001,0)),"")</f>
        <v/>
      </c>
      <c r="T465">
        <f>IFERROR(INDEX(Registre!$B$2:$B$2001,MATCH(T$1&amp;"|"&amp;(ROW()-1),Registre!$AA$2:$AA$2001,0)),"")</f>
        <v/>
      </c>
      <c r="U465">
        <f>IFERROR(INDEX(Registre!$B$2:$B$2001,MATCH(U$1&amp;"|"&amp;(ROW()-1),Registre!$AA$2:$AA$2001,0)),"")</f>
        <v/>
      </c>
      <c r="V465">
        <f>IFERROR(INDEX(Registre!$B$2:$B$2001,MATCH(V$1&amp;"|"&amp;(ROW()-1),Registre!$AA$2:$AA$2001,0)),"")</f>
        <v/>
      </c>
    </row>
    <row r="466">
      <c r="O466">
        <f>IFERROR(INDEX(Registre!$B$2:$B$2001,MATCH(O$1&amp;"|"&amp;(ROW()-1),Registre!$AA$2:$AA$2001,0)),"")</f>
        <v/>
      </c>
      <c r="P466">
        <f>IFERROR(INDEX(Registre!$B$2:$B$2001,MATCH(P$1&amp;"|"&amp;(ROW()-1),Registre!$AA$2:$AA$2001,0)),"")</f>
        <v/>
      </c>
      <c r="Q466">
        <f>IFERROR(INDEX(Registre!$B$2:$B$2001,MATCH(Q$1&amp;"|"&amp;(ROW()-1),Registre!$AA$2:$AA$2001,0)),"")</f>
        <v/>
      </c>
      <c r="R466">
        <f>IFERROR(INDEX(Registre!$B$2:$B$2001,MATCH(R$1&amp;"|"&amp;(ROW()-1),Registre!$AA$2:$AA$2001,0)),"")</f>
        <v/>
      </c>
      <c r="S466">
        <f>IFERROR(INDEX(Registre!$B$2:$B$2001,MATCH(S$1&amp;"|"&amp;(ROW()-1),Registre!$AA$2:$AA$2001,0)),"")</f>
        <v/>
      </c>
      <c r="T466">
        <f>IFERROR(INDEX(Registre!$B$2:$B$2001,MATCH(T$1&amp;"|"&amp;(ROW()-1),Registre!$AA$2:$AA$2001,0)),"")</f>
        <v/>
      </c>
      <c r="U466">
        <f>IFERROR(INDEX(Registre!$B$2:$B$2001,MATCH(U$1&amp;"|"&amp;(ROW()-1),Registre!$AA$2:$AA$2001,0)),"")</f>
        <v/>
      </c>
      <c r="V466">
        <f>IFERROR(INDEX(Registre!$B$2:$B$2001,MATCH(V$1&amp;"|"&amp;(ROW()-1),Registre!$AA$2:$AA$2001,0)),"")</f>
        <v/>
      </c>
    </row>
    <row r="467">
      <c r="O467">
        <f>IFERROR(INDEX(Registre!$B$2:$B$2001,MATCH(O$1&amp;"|"&amp;(ROW()-1),Registre!$AA$2:$AA$2001,0)),"")</f>
        <v/>
      </c>
      <c r="P467">
        <f>IFERROR(INDEX(Registre!$B$2:$B$2001,MATCH(P$1&amp;"|"&amp;(ROW()-1),Registre!$AA$2:$AA$2001,0)),"")</f>
        <v/>
      </c>
      <c r="Q467">
        <f>IFERROR(INDEX(Registre!$B$2:$B$2001,MATCH(Q$1&amp;"|"&amp;(ROW()-1),Registre!$AA$2:$AA$2001,0)),"")</f>
        <v/>
      </c>
      <c r="R467">
        <f>IFERROR(INDEX(Registre!$B$2:$B$2001,MATCH(R$1&amp;"|"&amp;(ROW()-1),Registre!$AA$2:$AA$2001,0)),"")</f>
        <v/>
      </c>
      <c r="S467">
        <f>IFERROR(INDEX(Registre!$B$2:$B$2001,MATCH(S$1&amp;"|"&amp;(ROW()-1),Registre!$AA$2:$AA$2001,0)),"")</f>
        <v/>
      </c>
      <c r="T467">
        <f>IFERROR(INDEX(Registre!$B$2:$B$2001,MATCH(T$1&amp;"|"&amp;(ROW()-1),Registre!$AA$2:$AA$2001,0)),"")</f>
        <v/>
      </c>
      <c r="U467">
        <f>IFERROR(INDEX(Registre!$B$2:$B$2001,MATCH(U$1&amp;"|"&amp;(ROW()-1),Registre!$AA$2:$AA$2001,0)),"")</f>
        <v/>
      </c>
      <c r="V467">
        <f>IFERROR(INDEX(Registre!$B$2:$B$2001,MATCH(V$1&amp;"|"&amp;(ROW()-1),Registre!$AA$2:$AA$2001,0)),"")</f>
        <v/>
      </c>
    </row>
    <row r="468">
      <c r="O468">
        <f>IFERROR(INDEX(Registre!$B$2:$B$2001,MATCH(O$1&amp;"|"&amp;(ROW()-1),Registre!$AA$2:$AA$2001,0)),"")</f>
        <v/>
      </c>
      <c r="P468">
        <f>IFERROR(INDEX(Registre!$B$2:$B$2001,MATCH(P$1&amp;"|"&amp;(ROW()-1),Registre!$AA$2:$AA$2001,0)),"")</f>
        <v/>
      </c>
      <c r="Q468">
        <f>IFERROR(INDEX(Registre!$B$2:$B$2001,MATCH(Q$1&amp;"|"&amp;(ROW()-1),Registre!$AA$2:$AA$2001,0)),"")</f>
        <v/>
      </c>
      <c r="R468">
        <f>IFERROR(INDEX(Registre!$B$2:$B$2001,MATCH(R$1&amp;"|"&amp;(ROW()-1),Registre!$AA$2:$AA$2001,0)),"")</f>
        <v/>
      </c>
      <c r="S468">
        <f>IFERROR(INDEX(Registre!$B$2:$B$2001,MATCH(S$1&amp;"|"&amp;(ROW()-1),Registre!$AA$2:$AA$2001,0)),"")</f>
        <v/>
      </c>
      <c r="T468">
        <f>IFERROR(INDEX(Registre!$B$2:$B$2001,MATCH(T$1&amp;"|"&amp;(ROW()-1),Registre!$AA$2:$AA$2001,0)),"")</f>
        <v/>
      </c>
      <c r="U468">
        <f>IFERROR(INDEX(Registre!$B$2:$B$2001,MATCH(U$1&amp;"|"&amp;(ROW()-1),Registre!$AA$2:$AA$2001,0)),"")</f>
        <v/>
      </c>
      <c r="V468">
        <f>IFERROR(INDEX(Registre!$B$2:$B$2001,MATCH(V$1&amp;"|"&amp;(ROW()-1),Registre!$AA$2:$AA$2001,0)),"")</f>
        <v/>
      </c>
    </row>
    <row r="469">
      <c r="O469">
        <f>IFERROR(INDEX(Registre!$B$2:$B$2001,MATCH(O$1&amp;"|"&amp;(ROW()-1),Registre!$AA$2:$AA$2001,0)),"")</f>
        <v/>
      </c>
      <c r="P469">
        <f>IFERROR(INDEX(Registre!$B$2:$B$2001,MATCH(P$1&amp;"|"&amp;(ROW()-1),Registre!$AA$2:$AA$2001,0)),"")</f>
        <v/>
      </c>
      <c r="Q469">
        <f>IFERROR(INDEX(Registre!$B$2:$B$2001,MATCH(Q$1&amp;"|"&amp;(ROW()-1),Registre!$AA$2:$AA$2001,0)),"")</f>
        <v/>
      </c>
      <c r="R469">
        <f>IFERROR(INDEX(Registre!$B$2:$B$2001,MATCH(R$1&amp;"|"&amp;(ROW()-1),Registre!$AA$2:$AA$2001,0)),"")</f>
        <v/>
      </c>
      <c r="S469">
        <f>IFERROR(INDEX(Registre!$B$2:$B$2001,MATCH(S$1&amp;"|"&amp;(ROW()-1),Registre!$AA$2:$AA$2001,0)),"")</f>
        <v/>
      </c>
      <c r="T469">
        <f>IFERROR(INDEX(Registre!$B$2:$B$2001,MATCH(T$1&amp;"|"&amp;(ROW()-1),Registre!$AA$2:$AA$2001,0)),"")</f>
        <v/>
      </c>
      <c r="U469">
        <f>IFERROR(INDEX(Registre!$B$2:$B$2001,MATCH(U$1&amp;"|"&amp;(ROW()-1),Registre!$AA$2:$AA$2001,0)),"")</f>
        <v/>
      </c>
      <c r="V469">
        <f>IFERROR(INDEX(Registre!$B$2:$B$2001,MATCH(V$1&amp;"|"&amp;(ROW()-1),Registre!$AA$2:$AA$2001,0)),"")</f>
        <v/>
      </c>
    </row>
    <row r="470">
      <c r="O470">
        <f>IFERROR(INDEX(Registre!$B$2:$B$2001,MATCH(O$1&amp;"|"&amp;(ROW()-1),Registre!$AA$2:$AA$2001,0)),"")</f>
        <v/>
      </c>
      <c r="P470">
        <f>IFERROR(INDEX(Registre!$B$2:$B$2001,MATCH(P$1&amp;"|"&amp;(ROW()-1),Registre!$AA$2:$AA$2001,0)),"")</f>
        <v/>
      </c>
      <c r="Q470">
        <f>IFERROR(INDEX(Registre!$B$2:$B$2001,MATCH(Q$1&amp;"|"&amp;(ROW()-1),Registre!$AA$2:$AA$2001,0)),"")</f>
        <v/>
      </c>
      <c r="R470">
        <f>IFERROR(INDEX(Registre!$B$2:$B$2001,MATCH(R$1&amp;"|"&amp;(ROW()-1),Registre!$AA$2:$AA$2001,0)),"")</f>
        <v/>
      </c>
      <c r="S470">
        <f>IFERROR(INDEX(Registre!$B$2:$B$2001,MATCH(S$1&amp;"|"&amp;(ROW()-1),Registre!$AA$2:$AA$2001,0)),"")</f>
        <v/>
      </c>
      <c r="T470">
        <f>IFERROR(INDEX(Registre!$B$2:$B$2001,MATCH(T$1&amp;"|"&amp;(ROW()-1),Registre!$AA$2:$AA$2001,0)),"")</f>
        <v/>
      </c>
      <c r="U470">
        <f>IFERROR(INDEX(Registre!$B$2:$B$2001,MATCH(U$1&amp;"|"&amp;(ROW()-1),Registre!$AA$2:$AA$2001,0)),"")</f>
        <v/>
      </c>
      <c r="V470">
        <f>IFERROR(INDEX(Registre!$B$2:$B$2001,MATCH(V$1&amp;"|"&amp;(ROW()-1),Registre!$AA$2:$AA$2001,0)),"")</f>
        <v/>
      </c>
    </row>
    <row r="471">
      <c r="O471">
        <f>IFERROR(INDEX(Registre!$B$2:$B$2001,MATCH(O$1&amp;"|"&amp;(ROW()-1),Registre!$AA$2:$AA$2001,0)),"")</f>
        <v/>
      </c>
      <c r="P471">
        <f>IFERROR(INDEX(Registre!$B$2:$B$2001,MATCH(P$1&amp;"|"&amp;(ROW()-1),Registre!$AA$2:$AA$2001,0)),"")</f>
        <v/>
      </c>
      <c r="Q471">
        <f>IFERROR(INDEX(Registre!$B$2:$B$2001,MATCH(Q$1&amp;"|"&amp;(ROW()-1),Registre!$AA$2:$AA$2001,0)),"")</f>
        <v/>
      </c>
      <c r="R471">
        <f>IFERROR(INDEX(Registre!$B$2:$B$2001,MATCH(R$1&amp;"|"&amp;(ROW()-1),Registre!$AA$2:$AA$2001,0)),"")</f>
        <v/>
      </c>
      <c r="S471">
        <f>IFERROR(INDEX(Registre!$B$2:$B$2001,MATCH(S$1&amp;"|"&amp;(ROW()-1),Registre!$AA$2:$AA$2001,0)),"")</f>
        <v/>
      </c>
      <c r="T471">
        <f>IFERROR(INDEX(Registre!$B$2:$B$2001,MATCH(T$1&amp;"|"&amp;(ROW()-1),Registre!$AA$2:$AA$2001,0)),"")</f>
        <v/>
      </c>
      <c r="U471">
        <f>IFERROR(INDEX(Registre!$B$2:$B$2001,MATCH(U$1&amp;"|"&amp;(ROW()-1),Registre!$AA$2:$AA$2001,0)),"")</f>
        <v/>
      </c>
      <c r="V471">
        <f>IFERROR(INDEX(Registre!$B$2:$B$2001,MATCH(V$1&amp;"|"&amp;(ROW()-1),Registre!$AA$2:$AA$2001,0)),"")</f>
        <v/>
      </c>
    </row>
    <row r="472">
      <c r="O472">
        <f>IFERROR(INDEX(Registre!$B$2:$B$2001,MATCH(O$1&amp;"|"&amp;(ROW()-1),Registre!$AA$2:$AA$2001,0)),"")</f>
        <v/>
      </c>
      <c r="P472">
        <f>IFERROR(INDEX(Registre!$B$2:$B$2001,MATCH(P$1&amp;"|"&amp;(ROW()-1),Registre!$AA$2:$AA$2001,0)),"")</f>
        <v/>
      </c>
      <c r="Q472">
        <f>IFERROR(INDEX(Registre!$B$2:$B$2001,MATCH(Q$1&amp;"|"&amp;(ROW()-1),Registre!$AA$2:$AA$2001,0)),"")</f>
        <v/>
      </c>
      <c r="R472">
        <f>IFERROR(INDEX(Registre!$B$2:$B$2001,MATCH(R$1&amp;"|"&amp;(ROW()-1),Registre!$AA$2:$AA$2001,0)),"")</f>
        <v/>
      </c>
      <c r="S472">
        <f>IFERROR(INDEX(Registre!$B$2:$B$2001,MATCH(S$1&amp;"|"&amp;(ROW()-1),Registre!$AA$2:$AA$2001,0)),"")</f>
        <v/>
      </c>
      <c r="T472">
        <f>IFERROR(INDEX(Registre!$B$2:$B$2001,MATCH(T$1&amp;"|"&amp;(ROW()-1),Registre!$AA$2:$AA$2001,0)),"")</f>
        <v/>
      </c>
      <c r="U472">
        <f>IFERROR(INDEX(Registre!$B$2:$B$2001,MATCH(U$1&amp;"|"&amp;(ROW()-1),Registre!$AA$2:$AA$2001,0)),"")</f>
        <v/>
      </c>
      <c r="V472">
        <f>IFERROR(INDEX(Registre!$B$2:$B$2001,MATCH(V$1&amp;"|"&amp;(ROW()-1),Registre!$AA$2:$AA$2001,0)),"")</f>
        <v/>
      </c>
    </row>
    <row r="473">
      <c r="O473">
        <f>IFERROR(INDEX(Registre!$B$2:$B$2001,MATCH(O$1&amp;"|"&amp;(ROW()-1),Registre!$AA$2:$AA$2001,0)),"")</f>
        <v/>
      </c>
      <c r="P473">
        <f>IFERROR(INDEX(Registre!$B$2:$B$2001,MATCH(P$1&amp;"|"&amp;(ROW()-1),Registre!$AA$2:$AA$2001,0)),"")</f>
        <v/>
      </c>
      <c r="Q473">
        <f>IFERROR(INDEX(Registre!$B$2:$B$2001,MATCH(Q$1&amp;"|"&amp;(ROW()-1),Registre!$AA$2:$AA$2001,0)),"")</f>
        <v/>
      </c>
      <c r="R473">
        <f>IFERROR(INDEX(Registre!$B$2:$B$2001,MATCH(R$1&amp;"|"&amp;(ROW()-1),Registre!$AA$2:$AA$2001,0)),"")</f>
        <v/>
      </c>
      <c r="S473">
        <f>IFERROR(INDEX(Registre!$B$2:$B$2001,MATCH(S$1&amp;"|"&amp;(ROW()-1),Registre!$AA$2:$AA$2001,0)),"")</f>
        <v/>
      </c>
      <c r="T473">
        <f>IFERROR(INDEX(Registre!$B$2:$B$2001,MATCH(T$1&amp;"|"&amp;(ROW()-1),Registre!$AA$2:$AA$2001,0)),"")</f>
        <v/>
      </c>
      <c r="U473">
        <f>IFERROR(INDEX(Registre!$B$2:$B$2001,MATCH(U$1&amp;"|"&amp;(ROW()-1),Registre!$AA$2:$AA$2001,0)),"")</f>
        <v/>
      </c>
      <c r="V473">
        <f>IFERROR(INDEX(Registre!$B$2:$B$2001,MATCH(V$1&amp;"|"&amp;(ROW()-1),Registre!$AA$2:$AA$2001,0)),"")</f>
        <v/>
      </c>
    </row>
    <row r="474">
      <c r="O474">
        <f>IFERROR(INDEX(Registre!$B$2:$B$2001,MATCH(O$1&amp;"|"&amp;(ROW()-1),Registre!$AA$2:$AA$2001,0)),"")</f>
        <v/>
      </c>
      <c r="P474">
        <f>IFERROR(INDEX(Registre!$B$2:$B$2001,MATCH(P$1&amp;"|"&amp;(ROW()-1),Registre!$AA$2:$AA$2001,0)),"")</f>
        <v/>
      </c>
      <c r="Q474">
        <f>IFERROR(INDEX(Registre!$B$2:$B$2001,MATCH(Q$1&amp;"|"&amp;(ROW()-1),Registre!$AA$2:$AA$2001,0)),"")</f>
        <v/>
      </c>
      <c r="R474">
        <f>IFERROR(INDEX(Registre!$B$2:$B$2001,MATCH(R$1&amp;"|"&amp;(ROW()-1),Registre!$AA$2:$AA$2001,0)),"")</f>
        <v/>
      </c>
      <c r="S474">
        <f>IFERROR(INDEX(Registre!$B$2:$B$2001,MATCH(S$1&amp;"|"&amp;(ROW()-1),Registre!$AA$2:$AA$2001,0)),"")</f>
        <v/>
      </c>
      <c r="T474">
        <f>IFERROR(INDEX(Registre!$B$2:$B$2001,MATCH(T$1&amp;"|"&amp;(ROW()-1),Registre!$AA$2:$AA$2001,0)),"")</f>
        <v/>
      </c>
      <c r="U474">
        <f>IFERROR(INDEX(Registre!$B$2:$B$2001,MATCH(U$1&amp;"|"&amp;(ROW()-1),Registre!$AA$2:$AA$2001,0)),"")</f>
        <v/>
      </c>
      <c r="V474">
        <f>IFERROR(INDEX(Registre!$B$2:$B$2001,MATCH(V$1&amp;"|"&amp;(ROW()-1),Registre!$AA$2:$AA$2001,0)),"")</f>
        <v/>
      </c>
    </row>
    <row r="475">
      <c r="O475">
        <f>IFERROR(INDEX(Registre!$B$2:$B$2001,MATCH(O$1&amp;"|"&amp;(ROW()-1),Registre!$AA$2:$AA$2001,0)),"")</f>
        <v/>
      </c>
      <c r="P475">
        <f>IFERROR(INDEX(Registre!$B$2:$B$2001,MATCH(P$1&amp;"|"&amp;(ROW()-1),Registre!$AA$2:$AA$2001,0)),"")</f>
        <v/>
      </c>
      <c r="Q475">
        <f>IFERROR(INDEX(Registre!$B$2:$B$2001,MATCH(Q$1&amp;"|"&amp;(ROW()-1),Registre!$AA$2:$AA$2001,0)),"")</f>
        <v/>
      </c>
      <c r="R475">
        <f>IFERROR(INDEX(Registre!$B$2:$B$2001,MATCH(R$1&amp;"|"&amp;(ROW()-1),Registre!$AA$2:$AA$2001,0)),"")</f>
        <v/>
      </c>
      <c r="S475">
        <f>IFERROR(INDEX(Registre!$B$2:$B$2001,MATCH(S$1&amp;"|"&amp;(ROW()-1),Registre!$AA$2:$AA$2001,0)),"")</f>
        <v/>
      </c>
      <c r="T475">
        <f>IFERROR(INDEX(Registre!$B$2:$B$2001,MATCH(T$1&amp;"|"&amp;(ROW()-1),Registre!$AA$2:$AA$2001,0)),"")</f>
        <v/>
      </c>
      <c r="U475">
        <f>IFERROR(INDEX(Registre!$B$2:$B$2001,MATCH(U$1&amp;"|"&amp;(ROW()-1),Registre!$AA$2:$AA$2001,0)),"")</f>
        <v/>
      </c>
      <c r="V475">
        <f>IFERROR(INDEX(Registre!$B$2:$B$2001,MATCH(V$1&amp;"|"&amp;(ROW()-1),Registre!$AA$2:$AA$2001,0)),"")</f>
        <v/>
      </c>
    </row>
    <row r="476">
      <c r="O476">
        <f>IFERROR(INDEX(Registre!$B$2:$B$2001,MATCH(O$1&amp;"|"&amp;(ROW()-1),Registre!$AA$2:$AA$2001,0)),"")</f>
        <v/>
      </c>
      <c r="P476">
        <f>IFERROR(INDEX(Registre!$B$2:$B$2001,MATCH(P$1&amp;"|"&amp;(ROW()-1),Registre!$AA$2:$AA$2001,0)),"")</f>
        <v/>
      </c>
      <c r="Q476">
        <f>IFERROR(INDEX(Registre!$B$2:$B$2001,MATCH(Q$1&amp;"|"&amp;(ROW()-1),Registre!$AA$2:$AA$2001,0)),"")</f>
        <v/>
      </c>
      <c r="R476">
        <f>IFERROR(INDEX(Registre!$B$2:$B$2001,MATCH(R$1&amp;"|"&amp;(ROW()-1),Registre!$AA$2:$AA$2001,0)),"")</f>
        <v/>
      </c>
      <c r="S476">
        <f>IFERROR(INDEX(Registre!$B$2:$B$2001,MATCH(S$1&amp;"|"&amp;(ROW()-1),Registre!$AA$2:$AA$2001,0)),"")</f>
        <v/>
      </c>
      <c r="T476">
        <f>IFERROR(INDEX(Registre!$B$2:$B$2001,MATCH(T$1&amp;"|"&amp;(ROW()-1),Registre!$AA$2:$AA$2001,0)),"")</f>
        <v/>
      </c>
      <c r="U476">
        <f>IFERROR(INDEX(Registre!$B$2:$B$2001,MATCH(U$1&amp;"|"&amp;(ROW()-1),Registre!$AA$2:$AA$2001,0)),"")</f>
        <v/>
      </c>
      <c r="V476">
        <f>IFERROR(INDEX(Registre!$B$2:$B$2001,MATCH(V$1&amp;"|"&amp;(ROW()-1),Registre!$AA$2:$AA$2001,0)),"")</f>
        <v/>
      </c>
    </row>
    <row r="477">
      <c r="O477">
        <f>IFERROR(INDEX(Registre!$B$2:$B$2001,MATCH(O$1&amp;"|"&amp;(ROW()-1),Registre!$AA$2:$AA$2001,0)),"")</f>
        <v/>
      </c>
      <c r="P477">
        <f>IFERROR(INDEX(Registre!$B$2:$B$2001,MATCH(P$1&amp;"|"&amp;(ROW()-1),Registre!$AA$2:$AA$2001,0)),"")</f>
        <v/>
      </c>
      <c r="Q477">
        <f>IFERROR(INDEX(Registre!$B$2:$B$2001,MATCH(Q$1&amp;"|"&amp;(ROW()-1),Registre!$AA$2:$AA$2001,0)),"")</f>
        <v/>
      </c>
      <c r="R477">
        <f>IFERROR(INDEX(Registre!$B$2:$B$2001,MATCH(R$1&amp;"|"&amp;(ROW()-1),Registre!$AA$2:$AA$2001,0)),"")</f>
        <v/>
      </c>
      <c r="S477">
        <f>IFERROR(INDEX(Registre!$B$2:$B$2001,MATCH(S$1&amp;"|"&amp;(ROW()-1),Registre!$AA$2:$AA$2001,0)),"")</f>
        <v/>
      </c>
      <c r="T477">
        <f>IFERROR(INDEX(Registre!$B$2:$B$2001,MATCH(T$1&amp;"|"&amp;(ROW()-1),Registre!$AA$2:$AA$2001,0)),"")</f>
        <v/>
      </c>
      <c r="U477">
        <f>IFERROR(INDEX(Registre!$B$2:$B$2001,MATCH(U$1&amp;"|"&amp;(ROW()-1),Registre!$AA$2:$AA$2001,0)),"")</f>
        <v/>
      </c>
      <c r="V477">
        <f>IFERROR(INDEX(Registre!$B$2:$B$2001,MATCH(V$1&amp;"|"&amp;(ROW()-1),Registre!$AA$2:$AA$2001,0)),"")</f>
        <v/>
      </c>
    </row>
    <row r="478">
      <c r="O478">
        <f>IFERROR(INDEX(Registre!$B$2:$B$2001,MATCH(O$1&amp;"|"&amp;(ROW()-1),Registre!$AA$2:$AA$2001,0)),"")</f>
        <v/>
      </c>
      <c r="P478">
        <f>IFERROR(INDEX(Registre!$B$2:$B$2001,MATCH(P$1&amp;"|"&amp;(ROW()-1),Registre!$AA$2:$AA$2001,0)),"")</f>
        <v/>
      </c>
      <c r="Q478">
        <f>IFERROR(INDEX(Registre!$B$2:$B$2001,MATCH(Q$1&amp;"|"&amp;(ROW()-1),Registre!$AA$2:$AA$2001,0)),"")</f>
        <v/>
      </c>
      <c r="R478">
        <f>IFERROR(INDEX(Registre!$B$2:$B$2001,MATCH(R$1&amp;"|"&amp;(ROW()-1),Registre!$AA$2:$AA$2001,0)),"")</f>
        <v/>
      </c>
      <c r="S478">
        <f>IFERROR(INDEX(Registre!$B$2:$B$2001,MATCH(S$1&amp;"|"&amp;(ROW()-1),Registre!$AA$2:$AA$2001,0)),"")</f>
        <v/>
      </c>
      <c r="T478">
        <f>IFERROR(INDEX(Registre!$B$2:$B$2001,MATCH(T$1&amp;"|"&amp;(ROW()-1),Registre!$AA$2:$AA$2001,0)),"")</f>
        <v/>
      </c>
      <c r="U478">
        <f>IFERROR(INDEX(Registre!$B$2:$B$2001,MATCH(U$1&amp;"|"&amp;(ROW()-1),Registre!$AA$2:$AA$2001,0)),"")</f>
        <v/>
      </c>
      <c r="V478">
        <f>IFERROR(INDEX(Registre!$B$2:$B$2001,MATCH(V$1&amp;"|"&amp;(ROW()-1),Registre!$AA$2:$AA$2001,0)),"")</f>
        <v/>
      </c>
    </row>
    <row r="479">
      <c r="O479">
        <f>IFERROR(INDEX(Registre!$B$2:$B$2001,MATCH(O$1&amp;"|"&amp;(ROW()-1),Registre!$AA$2:$AA$2001,0)),"")</f>
        <v/>
      </c>
      <c r="P479">
        <f>IFERROR(INDEX(Registre!$B$2:$B$2001,MATCH(P$1&amp;"|"&amp;(ROW()-1),Registre!$AA$2:$AA$2001,0)),"")</f>
        <v/>
      </c>
      <c r="Q479">
        <f>IFERROR(INDEX(Registre!$B$2:$B$2001,MATCH(Q$1&amp;"|"&amp;(ROW()-1),Registre!$AA$2:$AA$2001,0)),"")</f>
        <v/>
      </c>
      <c r="R479">
        <f>IFERROR(INDEX(Registre!$B$2:$B$2001,MATCH(R$1&amp;"|"&amp;(ROW()-1),Registre!$AA$2:$AA$2001,0)),"")</f>
        <v/>
      </c>
      <c r="S479">
        <f>IFERROR(INDEX(Registre!$B$2:$B$2001,MATCH(S$1&amp;"|"&amp;(ROW()-1),Registre!$AA$2:$AA$2001,0)),"")</f>
        <v/>
      </c>
      <c r="T479">
        <f>IFERROR(INDEX(Registre!$B$2:$B$2001,MATCH(T$1&amp;"|"&amp;(ROW()-1),Registre!$AA$2:$AA$2001,0)),"")</f>
        <v/>
      </c>
      <c r="U479">
        <f>IFERROR(INDEX(Registre!$B$2:$B$2001,MATCH(U$1&amp;"|"&amp;(ROW()-1),Registre!$AA$2:$AA$2001,0)),"")</f>
        <v/>
      </c>
      <c r="V479">
        <f>IFERROR(INDEX(Registre!$B$2:$B$2001,MATCH(V$1&amp;"|"&amp;(ROW()-1),Registre!$AA$2:$AA$2001,0)),"")</f>
        <v/>
      </c>
    </row>
    <row r="480">
      <c r="O480">
        <f>IFERROR(INDEX(Registre!$B$2:$B$2001,MATCH(O$1&amp;"|"&amp;(ROW()-1),Registre!$AA$2:$AA$2001,0)),"")</f>
        <v/>
      </c>
      <c r="P480">
        <f>IFERROR(INDEX(Registre!$B$2:$B$2001,MATCH(P$1&amp;"|"&amp;(ROW()-1),Registre!$AA$2:$AA$2001,0)),"")</f>
        <v/>
      </c>
      <c r="Q480">
        <f>IFERROR(INDEX(Registre!$B$2:$B$2001,MATCH(Q$1&amp;"|"&amp;(ROW()-1),Registre!$AA$2:$AA$2001,0)),"")</f>
        <v/>
      </c>
      <c r="R480">
        <f>IFERROR(INDEX(Registre!$B$2:$B$2001,MATCH(R$1&amp;"|"&amp;(ROW()-1),Registre!$AA$2:$AA$2001,0)),"")</f>
        <v/>
      </c>
      <c r="S480">
        <f>IFERROR(INDEX(Registre!$B$2:$B$2001,MATCH(S$1&amp;"|"&amp;(ROW()-1),Registre!$AA$2:$AA$2001,0)),"")</f>
        <v/>
      </c>
      <c r="T480">
        <f>IFERROR(INDEX(Registre!$B$2:$B$2001,MATCH(T$1&amp;"|"&amp;(ROW()-1),Registre!$AA$2:$AA$2001,0)),"")</f>
        <v/>
      </c>
      <c r="U480">
        <f>IFERROR(INDEX(Registre!$B$2:$B$2001,MATCH(U$1&amp;"|"&amp;(ROW()-1),Registre!$AA$2:$AA$2001,0)),"")</f>
        <v/>
      </c>
      <c r="V480">
        <f>IFERROR(INDEX(Registre!$B$2:$B$2001,MATCH(V$1&amp;"|"&amp;(ROW()-1),Registre!$AA$2:$AA$2001,0)),"")</f>
        <v/>
      </c>
    </row>
    <row r="481">
      <c r="O481">
        <f>IFERROR(INDEX(Registre!$B$2:$B$2001,MATCH(O$1&amp;"|"&amp;(ROW()-1),Registre!$AA$2:$AA$2001,0)),"")</f>
        <v/>
      </c>
      <c r="P481">
        <f>IFERROR(INDEX(Registre!$B$2:$B$2001,MATCH(P$1&amp;"|"&amp;(ROW()-1),Registre!$AA$2:$AA$2001,0)),"")</f>
        <v/>
      </c>
      <c r="Q481">
        <f>IFERROR(INDEX(Registre!$B$2:$B$2001,MATCH(Q$1&amp;"|"&amp;(ROW()-1),Registre!$AA$2:$AA$2001,0)),"")</f>
        <v/>
      </c>
      <c r="R481">
        <f>IFERROR(INDEX(Registre!$B$2:$B$2001,MATCH(R$1&amp;"|"&amp;(ROW()-1),Registre!$AA$2:$AA$2001,0)),"")</f>
        <v/>
      </c>
      <c r="S481">
        <f>IFERROR(INDEX(Registre!$B$2:$B$2001,MATCH(S$1&amp;"|"&amp;(ROW()-1),Registre!$AA$2:$AA$2001,0)),"")</f>
        <v/>
      </c>
      <c r="T481">
        <f>IFERROR(INDEX(Registre!$B$2:$B$2001,MATCH(T$1&amp;"|"&amp;(ROW()-1),Registre!$AA$2:$AA$2001,0)),"")</f>
        <v/>
      </c>
      <c r="U481">
        <f>IFERROR(INDEX(Registre!$B$2:$B$2001,MATCH(U$1&amp;"|"&amp;(ROW()-1),Registre!$AA$2:$AA$2001,0)),"")</f>
        <v/>
      </c>
      <c r="V481">
        <f>IFERROR(INDEX(Registre!$B$2:$B$2001,MATCH(V$1&amp;"|"&amp;(ROW()-1),Registre!$AA$2:$AA$2001,0)),"")</f>
        <v/>
      </c>
    </row>
    <row r="482">
      <c r="O482">
        <f>IFERROR(INDEX(Registre!$B$2:$B$2001,MATCH(O$1&amp;"|"&amp;(ROW()-1),Registre!$AA$2:$AA$2001,0)),"")</f>
        <v/>
      </c>
      <c r="P482">
        <f>IFERROR(INDEX(Registre!$B$2:$B$2001,MATCH(P$1&amp;"|"&amp;(ROW()-1),Registre!$AA$2:$AA$2001,0)),"")</f>
        <v/>
      </c>
      <c r="Q482">
        <f>IFERROR(INDEX(Registre!$B$2:$B$2001,MATCH(Q$1&amp;"|"&amp;(ROW()-1),Registre!$AA$2:$AA$2001,0)),"")</f>
        <v/>
      </c>
      <c r="R482">
        <f>IFERROR(INDEX(Registre!$B$2:$B$2001,MATCH(R$1&amp;"|"&amp;(ROW()-1),Registre!$AA$2:$AA$2001,0)),"")</f>
        <v/>
      </c>
      <c r="S482">
        <f>IFERROR(INDEX(Registre!$B$2:$B$2001,MATCH(S$1&amp;"|"&amp;(ROW()-1),Registre!$AA$2:$AA$2001,0)),"")</f>
        <v/>
      </c>
      <c r="T482">
        <f>IFERROR(INDEX(Registre!$B$2:$B$2001,MATCH(T$1&amp;"|"&amp;(ROW()-1),Registre!$AA$2:$AA$2001,0)),"")</f>
        <v/>
      </c>
      <c r="U482">
        <f>IFERROR(INDEX(Registre!$B$2:$B$2001,MATCH(U$1&amp;"|"&amp;(ROW()-1),Registre!$AA$2:$AA$2001,0)),"")</f>
        <v/>
      </c>
      <c r="V482">
        <f>IFERROR(INDEX(Registre!$B$2:$B$2001,MATCH(V$1&amp;"|"&amp;(ROW()-1),Registre!$AA$2:$AA$2001,0)),"")</f>
        <v/>
      </c>
    </row>
    <row r="483">
      <c r="O483">
        <f>IFERROR(INDEX(Registre!$B$2:$B$2001,MATCH(O$1&amp;"|"&amp;(ROW()-1),Registre!$AA$2:$AA$2001,0)),"")</f>
        <v/>
      </c>
      <c r="P483">
        <f>IFERROR(INDEX(Registre!$B$2:$B$2001,MATCH(P$1&amp;"|"&amp;(ROW()-1),Registre!$AA$2:$AA$2001,0)),"")</f>
        <v/>
      </c>
      <c r="Q483">
        <f>IFERROR(INDEX(Registre!$B$2:$B$2001,MATCH(Q$1&amp;"|"&amp;(ROW()-1),Registre!$AA$2:$AA$2001,0)),"")</f>
        <v/>
      </c>
      <c r="R483">
        <f>IFERROR(INDEX(Registre!$B$2:$B$2001,MATCH(R$1&amp;"|"&amp;(ROW()-1),Registre!$AA$2:$AA$2001,0)),"")</f>
        <v/>
      </c>
      <c r="S483">
        <f>IFERROR(INDEX(Registre!$B$2:$B$2001,MATCH(S$1&amp;"|"&amp;(ROW()-1),Registre!$AA$2:$AA$2001,0)),"")</f>
        <v/>
      </c>
      <c r="T483">
        <f>IFERROR(INDEX(Registre!$B$2:$B$2001,MATCH(T$1&amp;"|"&amp;(ROW()-1),Registre!$AA$2:$AA$2001,0)),"")</f>
        <v/>
      </c>
      <c r="U483">
        <f>IFERROR(INDEX(Registre!$B$2:$B$2001,MATCH(U$1&amp;"|"&amp;(ROW()-1),Registre!$AA$2:$AA$2001,0)),"")</f>
        <v/>
      </c>
      <c r="V483">
        <f>IFERROR(INDEX(Registre!$B$2:$B$2001,MATCH(V$1&amp;"|"&amp;(ROW()-1),Registre!$AA$2:$AA$2001,0)),"")</f>
        <v/>
      </c>
    </row>
    <row r="484">
      <c r="O484">
        <f>IFERROR(INDEX(Registre!$B$2:$B$2001,MATCH(O$1&amp;"|"&amp;(ROW()-1),Registre!$AA$2:$AA$2001,0)),"")</f>
        <v/>
      </c>
      <c r="P484">
        <f>IFERROR(INDEX(Registre!$B$2:$B$2001,MATCH(P$1&amp;"|"&amp;(ROW()-1),Registre!$AA$2:$AA$2001,0)),"")</f>
        <v/>
      </c>
      <c r="Q484">
        <f>IFERROR(INDEX(Registre!$B$2:$B$2001,MATCH(Q$1&amp;"|"&amp;(ROW()-1),Registre!$AA$2:$AA$2001,0)),"")</f>
        <v/>
      </c>
      <c r="R484">
        <f>IFERROR(INDEX(Registre!$B$2:$B$2001,MATCH(R$1&amp;"|"&amp;(ROW()-1),Registre!$AA$2:$AA$2001,0)),"")</f>
        <v/>
      </c>
      <c r="S484">
        <f>IFERROR(INDEX(Registre!$B$2:$B$2001,MATCH(S$1&amp;"|"&amp;(ROW()-1),Registre!$AA$2:$AA$2001,0)),"")</f>
        <v/>
      </c>
      <c r="T484">
        <f>IFERROR(INDEX(Registre!$B$2:$B$2001,MATCH(T$1&amp;"|"&amp;(ROW()-1),Registre!$AA$2:$AA$2001,0)),"")</f>
        <v/>
      </c>
      <c r="U484">
        <f>IFERROR(INDEX(Registre!$B$2:$B$2001,MATCH(U$1&amp;"|"&amp;(ROW()-1),Registre!$AA$2:$AA$2001,0)),"")</f>
        <v/>
      </c>
      <c r="V484">
        <f>IFERROR(INDEX(Registre!$B$2:$B$2001,MATCH(V$1&amp;"|"&amp;(ROW()-1),Registre!$AA$2:$AA$2001,0)),"")</f>
        <v/>
      </c>
    </row>
    <row r="485">
      <c r="O485">
        <f>IFERROR(INDEX(Registre!$B$2:$B$2001,MATCH(O$1&amp;"|"&amp;(ROW()-1),Registre!$AA$2:$AA$2001,0)),"")</f>
        <v/>
      </c>
      <c r="P485">
        <f>IFERROR(INDEX(Registre!$B$2:$B$2001,MATCH(P$1&amp;"|"&amp;(ROW()-1),Registre!$AA$2:$AA$2001,0)),"")</f>
        <v/>
      </c>
      <c r="Q485">
        <f>IFERROR(INDEX(Registre!$B$2:$B$2001,MATCH(Q$1&amp;"|"&amp;(ROW()-1),Registre!$AA$2:$AA$2001,0)),"")</f>
        <v/>
      </c>
      <c r="R485">
        <f>IFERROR(INDEX(Registre!$B$2:$B$2001,MATCH(R$1&amp;"|"&amp;(ROW()-1),Registre!$AA$2:$AA$2001,0)),"")</f>
        <v/>
      </c>
      <c r="S485">
        <f>IFERROR(INDEX(Registre!$B$2:$B$2001,MATCH(S$1&amp;"|"&amp;(ROW()-1),Registre!$AA$2:$AA$2001,0)),"")</f>
        <v/>
      </c>
      <c r="T485">
        <f>IFERROR(INDEX(Registre!$B$2:$B$2001,MATCH(T$1&amp;"|"&amp;(ROW()-1),Registre!$AA$2:$AA$2001,0)),"")</f>
        <v/>
      </c>
      <c r="U485">
        <f>IFERROR(INDEX(Registre!$B$2:$B$2001,MATCH(U$1&amp;"|"&amp;(ROW()-1),Registre!$AA$2:$AA$2001,0)),"")</f>
        <v/>
      </c>
      <c r="V485">
        <f>IFERROR(INDEX(Registre!$B$2:$B$2001,MATCH(V$1&amp;"|"&amp;(ROW()-1),Registre!$AA$2:$AA$2001,0)),"")</f>
        <v/>
      </c>
    </row>
    <row r="486">
      <c r="O486">
        <f>IFERROR(INDEX(Registre!$B$2:$B$2001,MATCH(O$1&amp;"|"&amp;(ROW()-1),Registre!$AA$2:$AA$2001,0)),"")</f>
        <v/>
      </c>
      <c r="P486">
        <f>IFERROR(INDEX(Registre!$B$2:$B$2001,MATCH(P$1&amp;"|"&amp;(ROW()-1),Registre!$AA$2:$AA$2001,0)),"")</f>
        <v/>
      </c>
      <c r="Q486">
        <f>IFERROR(INDEX(Registre!$B$2:$B$2001,MATCH(Q$1&amp;"|"&amp;(ROW()-1),Registre!$AA$2:$AA$2001,0)),"")</f>
        <v/>
      </c>
      <c r="R486">
        <f>IFERROR(INDEX(Registre!$B$2:$B$2001,MATCH(R$1&amp;"|"&amp;(ROW()-1),Registre!$AA$2:$AA$2001,0)),"")</f>
        <v/>
      </c>
      <c r="S486">
        <f>IFERROR(INDEX(Registre!$B$2:$B$2001,MATCH(S$1&amp;"|"&amp;(ROW()-1),Registre!$AA$2:$AA$2001,0)),"")</f>
        <v/>
      </c>
      <c r="T486">
        <f>IFERROR(INDEX(Registre!$B$2:$B$2001,MATCH(T$1&amp;"|"&amp;(ROW()-1),Registre!$AA$2:$AA$2001,0)),"")</f>
        <v/>
      </c>
      <c r="U486">
        <f>IFERROR(INDEX(Registre!$B$2:$B$2001,MATCH(U$1&amp;"|"&amp;(ROW()-1),Registre!$AA$2:$AA$2001,0)),"")</f>
        <v/>
      </c>
      <c r="V486">
        <f>IFERROR(INDEX(Registre!$B$2:$B$2001,MATCH(V$1&amp;"|"&amp;(ROW()-1),Registre!$AA$2:$AA$2001,0)),"")</f>
        <v/>
      </c>
    </row>
    <row r="487">
      <c r="O487">
        <f>IFERROR(INDEX(Registre!$B$2:$B$2001,MATCH(O$1&amp;"|"&amp;(ROW()-1),Registre!$AA$2:$AA$2001,0)),"")</f>
        <v/>
      </c>
      <c r="P487">
        <f>IFERROR(INDEX(Registre!$B$2:$B$2001,MATCH(P$1&amp;"|"&amp;(ROW()-1),Registre!$AA$2:$AA$2001,0)),"")</f>
        <v/>
      </c>
      <c r="Q487">
        <f>IFERROR(INDEX(Registre!$B$2:$B$2001,MATCH(Q$1&amp;"|"&amp;(ROW()-1),Registre!$AA$2:$AA$2001,0)),"")</f>
        <v/>
      </c>
      <c r="R487">
        <f>IFERROR(INDEX(Registre!$B$2:$B$2001,MATCH(R$1&amp;"|"&amp;(ROW()-1),Registre!$AA$2:$AA$2001,0)),"")</f>
        <v/>
      </c>
      <c r="S487">
        <f>IFERROR(INDEX(Registre!$B$2:$B$2001,MATCH(S$1&amp;"|"&amp;(ROW()-1),Registre!$AA$2:$AA$2001,0)),"")</f>
        <v/>
      </c>
      <c r="T487">
        <f>IFERROR(INDEX(Registre!$B$2:$B$2001,MATCH(T$1&amp;"|"&amp;(ROW()-1),Registre!$AA$2:$AA$2001,0)),"")</f>
        <v/>
      </c>
      <c r="U487">
        <f>IFERROR(INDEX(Registre!$B$2:$B$2001,MATCH(U$1&amp;"|"&amp;(ROW()-1),Registre!$AA$2:$AA$2001,0)),"")</f>
        <v/>
      </c>
      <c r="V487">
        <f>IFERROR(INDEX(Registre!$B$2:$B$2001,MATCH(V$1&amp;"|"&amp;(ROW()-1),Registre!$AA$2:$AA$2001,0)),"")</f>
        <v/>
      </c>
    </row>
    <row r="488">
      <c r="O488">
        <f>IFERROR(INDEX(Registre!$B$2:$B$2001,MATCH(O$1&amp;"|"&amp;(ROW()-1),Registre!$AA$2:$AA$2001,0)),"")</f>
        <v/>
      </c>
      <c r="P488">
        <f>IFERROR(INDEX(Registre!$B$2:$B$2001,MATCH(P$1&amp;"|"&amp;(ROW()-1),Registre!$AA$2:$AA$2001,0)),"")</f>
        <v/>
      </c>
      <c r="Q488">
        <f>IFERROR(INDEX(Registre!$B$2:$B$2001,MATCH(Q$1&amp;"|"&amp;(ROW()-1),Registre!$AA$2:$AA$2001,0)),"")</f>
        <v/>
      </c>
      <c r="R488">
        <f>IFERROR(INDEX(Registre!$B$2:$B$2001,MATCH(R$1&amp;"|"&amp;(ROW()-1),Registre!$AA$2:$AA$2001,0)),"")</f>
        <v/>
      </c>
      <c r="S488">
        <f>IFERROR(INDEX(Registre!$B$2:$B$2001,MATCH(S$1&amp;"|"&amp;(ROW()-1),Registre!$AA$2:$AA$2001,0)),"")</f>
        <v/>
      </c>
      <c r="T488">
        <f>IFERROR(INDEX(Registre!$B$2:$B$2001,MATCH(T$1&amp;"|"&amp;(ROW()-1),Registre!$AA$2:$AA$2001,0)),"")</f>
        <v/>
      </c>
      <c r="U488">
        <f>IFERROR(INDEX(Registre!$B$2:$B$2001,MATCH(U$1&amp;"|"&amp;(ROW()-1),Registre!$AA$2:$AA$2001,0)),"")</f>
        <v/>
      </c>
      <c r="V488">
        <f>IFERROR(INDEX(Registre!$B$2:$B$2001,MATCH(V$1&amp;"|"&amp;(ROW()-1),Registre!$AA$2:$AA$2001,0)),"")</f>
        <v/>
      </c>
    </row>
    <row r="489">
      <c r="O489">
        <f>IFERROR(INDEX(Registre!$B$2:$B$2001,MATCH(O$1&amp;"|"&amp;(ROW()-1),Registre!$AA$2:$AA$2001,0)),"")</f>
        <v/>
      </c>
      <c r="P489">
        <f>IFERROR(INDEX(Registre!$B$2:$B$2001,MATCH(P$1&amp;"|"&amp;(ROW()-1),Registre!$AA$2:$AA$2001,0)),"")</f>
        <v/>
      </c>
      <c r="Q489">
        <f>IFERROR(INDEX(Registre!$B$2:$B$2001,MATCH(Q$1&amp;"|"&amp;(ROW()-1),Registre!$AA$2:$AA$2001,0)),"")</f>
        <v/>
      </c>
      <c r="R489">
        <f>IFERROR(INDEX(Registre!$B$2:$B$2001,MATCH(R$1&amp;"|"&amp;(ROW()-1),Registre!$AA$2:$AA$2001,0)),"")</f>
        <v/>
      </c>
      <c r="S489">
        <f>IFERROR(INDEX(Registre!$B$2:$B$2001,MATCH(S$1&amp;"|"&amp;(ROW()-1),Registre!$AA$2:$AA$2001,0)),"")</f>
        <v/>
      </c>
      <c r="T489">
        <f>IFERROR(INDEX(Registre!$B$2:$B$2001,MATCH(T$1&amp;"|"&amp;(ROW()-1),Registre!$AA$2:$AA$2001,0)),"")</f>
        <v/>
      </c>
      <c r="U489">
        <f>IFERROR(INDEX(Registre!$B$2:$B$2001,MATCH(U$1&amp;"|"&amp;(ROW()-1),Registre!$AA$2:$AA$2001,0)),"")</f>
        <v/>
      </c>
      <c r="V489">
        <f>IFERROR(INDEX(Registre!$B$2:$B$2001,MATCH(V$1&amp;"|"&amp;(ROW()-1),Registre!$AA$2:$AA$2001,0)),"")</f>
        <v/>
      </c>
    </row>
    <row r="490">
      <c r="O490">
        <f>IFERROR(INDEX(Registre!$B$2:$B$2001,MATCH(O$1&amp;"|"&amp;(ROW()-1),Registre!$AA$2:$AA$2001,0)),"")</f>
        <v/>
      </c>
      <c r="P490">
        <f>IFERROR(INDEX(Registre!$B$2:$B$2001,MATCH(P$1&amp;"|"&amp;(ROW()-1),Registre!$AA$2:$AA$2001,0)),"")</f>
        <v/>
      </c>
      <c r="Q490">
        <f>IFERROR(INDEX(Registre!$B$2:$B$2001,MATCH(Q$1&amp;"|"&amp;(ROW()-1),Registre!$AA$2:$AA$2001,0)),"")</f>
        <v/>
      </c>
      <c r="R490">
        <f>IFERROR(INDEX(Registre!$B$2:$B$2001,MATCH(R$1&amp;"|"&amp;(ROW()-1),Registre!$AA$2:$AA$2001,0)),"")</f>
        <v/>
      </c>
      <c r="S490">
        <f>IFERROR(INDEX(Registre!$B$2:$B$2001,MATCH(S$1&amp;"|"&amp;(ROW()-1),Registre!$AA$2:$AA$2001,0)),"")</f>
        <v/>
      </c>
      <c r="T490">
        <f>IFERROR(INDEX(Registre!$B$2:$B$2001,MATCH(T$1&amp;"|"&amp;(ROW()-1),Registre!$AA$2:$AA$2001,0)),"")</f>
        <v/>
      </c>
      <c r="U490">
        <f>IFERROR(INDEX(Registre!$B$2:$B$2001,MATCH(U$1&amp;"|"&amp;(ROW()-1),Registre!$AA$2:$AA$2001,0)),"")</f>
        <v/>
      </c>
      <c r="V490">
        <f>IFERROR(INDEX(Registre!$B$2:$B$2001,MATCH(V$1&amp;"|"&amp;(ROW()-1),Registre!$AA$2:$AA$2001,0)),"")</f>
        <v/>
      </c>
    </row>
    <row r="491">
      <c r="O491">
        <f>IFERROR(INDEX(Registre!$B$2:$B$2001,MATCH(O$1&amp;"|"&amp;(ROW()-1),Registre!$AA$2:$AA$2001,0)),"")</f>
        <v/>
      </c>
      <c r="P491">
        <f>IFERROR(INDEX(Registre!$B$2:$B$2001,MATCH(P$1&amp;"|"&amp;(ROW()-1),Registre!$AA$2:$AA$2001,0)),"")</f>
        <v/>
      </c>
      <c r="Q491">
        <f>IFERROR(INDEX(Registre!$B$2:$B$2001,MATCH(Q$1&amp;"|"&amp;(ROW()-1),Registre!$AA$2:$AA$2001,0)),"")</f>
        <v/>
      </c>
      <c r="R491">
        <f>IFERROR(INDEX(Registre!$B$2:$B$2001,MATCH(R$1&amp;"|"&amp;(ROW()-1),Registre!$AA$2:$AA$2001,0)),"")</f>
        <v/>
      </c>
      <c r="S491">
        <f>IFERROR(INDEX(Registre!$B$2:$B$2001,MATCH(S$1&amp;"|"&amp;(ROW()-1),Registre!$AA$2:$AA$2001,0)),"")</f>
        <v/>
      </c>
      <c r="T491">
        <f>IFERROR(INDEX(Registre!$B$2:$B$2001,MATCH(T$1&amp;"|"&amp;(ROW()-1),Registre!$AA$2:$AA$2001,0)),"")</f>
        <v/>
      </c>
      <c r="U491">
        <f>IFERROR(INDEX(Registre!$B$2:$B$2001,MATCH(U$1&amp;"|"&amp;(ROW()-1),Registre!$AA$2:$AA$2001,0)),"")</f>
        <v/>
      </c>
      <c r="V491">
        <f>IFERROR(INDEX(Registre!$B$2:$B$2001,MATCH(V$1&amp;"|"&amp;(ROW()-1),Registre!$AA$2:$AA$2001,0)),"")</f>
        <v/>
      </c>
    </row>
    <row r="492">
      <c r="O492">
        <f>IFERROR(INDEX(Registre!$B$2:$B$2001,MATCH(O$1&amp;"|"&amp;(ROW()-1),Registre!$AA$2:$AA$2001,0)),"")</f>
        <v/>
      </c>
      <c r="P492">
        <f>IFERROR(INDEX(Registre!$B$2:$B$2001,MATCH(P$1&amp;"|"&amp;(ROW()-1),Registre!$AA$2:$AA$2001,0)),"")</f>
        <v/>
      </c>
      <c r="Q492">
        <f>IFERROR(INDEX(Registre!$B$2:$B$2001,MATCH(Q$1&amp;"|"&amp;(ROW()-1),Registre!$AA$2:$AA$2001,0)),"")</f>
        <v/>
      </c>
      <c r="R492">
        <f>IFERROR(INDEX(Registre!$B$2:$B$2001,MATCH(R$1&amp;"|"&amp;(ROW()-1),Registre!$AA$2:$AA$2001,0)),"")</f>
        <v/>
      </c>
      <c r="S492">
        <f>IFERROR(INDEX(Registre!$B$2:$B$2001,MATCH(S$1&amp;"|"&amp;(ROW()-1),Registre!$AA$2:$AA$2001,0)),"")</f>
        <v/>
      </c>
      <c r="T492">
        <f>IFERROR(INDEX(Registre!$B$2:$B$2001,MATCH(T$1&amp;"|"&amp;(ROW()-1),Registre!$AA$2:$AA$2001,0)),"")</f>
        <v/>
      </c>
      <c r="U492">
        <f>IFERROR(INDEX(Registre!$B$2:$B$2001,MATCH(U$1&amp;"|"&amp;(ROW()-1),Registre!$AA$2:$AA$2001,0)),"")</f>
        <v/>
      </c>
      <c r="V492">
        <f>IFERROR(INDEX(Registre!$B$2:$B$2001,MATCH(V$1&amp;"|"&amp;(ROW()-1),Registre!$AA$2:$AA$2001,0)),"")</f>
        <v/>
      </c>
    </row>
    <row r="493">
      <c r="O493">
        <f>IFERROR(INDEX(Registre!$B$2:$B$2001,MATCH(O$1&amp;"|"&amp;(ROW()-1),Registre!$AA$2:$AA$2001,0)),"")</f>
        <v/>
      </c>
      <c r="P493">
        <f>IFERROR(INDEX(Registre!$B$2:$B$2001,MATCH(P$1&amp;"|"&amp;(ROW()-1),Registre!$AA$2:$AA$2001,0)),"")</f>
        <v/>
      </c>
      <c r="Q493">
        <f>IFERROR(INDEX(Registre!$B$2:$B$2001,MATCH(Q$1&amp;"|"&amp;(ROW()-1),Registre!$AA$2:$AA$2001,0)),"")</f>
        <v/>
      </c>
      <c r="R493">
        <f>IFERROR(INDEX(Registre!$B$2:$B$2001,MATCH(R$1&amp;"|"&amp;(ROW()-1),Registre!$AA$2:$AA$2001,0)),"")</f>
        <v/>
      </c>
      <c r="S493">
        <f>IFERROR(INDEX(Registre!$B$2:$B$2001,MATCH(S$1&amp;"|"&amp;(ROW()-1),Registre!$AA$2:$AA$2001,0)),"")</f>
        <v/>
      </c>
      <c r="T493">
        <f>IFERROR(INDEX(Registre!$B$2:$B$2001,MATCH(T$1&amp;"|"&amp;(ROW()-1),Registre!$AA$2:$AA$2001,0)),"")</f>
        <v/>
      </c>
      <c r="U493">
        <f>IFERROR(INDEX(Registre!$B$2:$B$2001,MATCH(U$1&amp;"|"&amp;(ROW()-1),Registre!$AA$2:$AA$2001,0)),"")</f>
        <v/>
      </c>
      <c r="V493">
        <f>IFERROR(INDEX(Registre!$B$2:$B$2001,MATCH(V$1&amp;"|"&amp;(ROW()-1),Registre!$AA$2:$AA$2001,0)),"")</f>
        <v/>
      </c>
    </row>
    <row r="494">
      <c r="O494">
        <f>IFERROR(INDEX(Registre!$B$2:$B$2001,MATCH(O$1&amp;"|"&amp;(ROW()-1),Registre!$AA$2:$AA$2001,0)),"")</f>
        <v/>
      </c>
      <c r="P494">
        <f>IFERROR(INDEX(Registre!$B$2:$B$2001,MATCH(P$1&amp;"|"&amp;(ROW()-1),Registre!$AA$2:$AA$2001,0)),"")</f>
        <v/>
      </c>
      <c r="Q494">
        <f>IFERROR(INDEX(Registre!$B$2:$B$2001,MATCH(Q$1&amp;"|"&amp;(ROW()-1),Registre!$AA$2:$AA$2001,0)),"")</f>
        <v/>
      </c>
      <c r="R494">
        <f>IFERROR(INDEX(Registre!$B$2:$B$2001,MATCH(R$1&amp;"|"&amp;(ROW()-1),Registre!$AA$2:$AA$2001,0)),"")</f>
        <v/>
      </c>
      <c r="S494">
        <f>IFERROR(INDEX(Registre!$B$2:$B$2001,MATCH(S$1&amp;"|"&amp;(ROW()-1),Registre!$AA$2:$AA$2001,0)),"")</f>
        <v/>
      </c>
      <c r="T494">
        <f>IFERROR(INDEX(Registre!$B$2:$B$2001,MATCH(T$1&amp;"|"&amp;(ROW()-1),Registre!$AA$2:$AA$2001,0)),"")</f>
        <v/>
      </c>
      <c r="U494">
        <f>IFERROR(INDEX(Registre!$B$2:$B$2001,MATCH(U$1&amp;"|"&amp;(ROW()-1),Registre!$AA$2:$AA$2001,0)),"")</f>
        <v/>
      </c>
      <c r="V494">
        <f>IFERROR(INDEX(Registre!$B$2:$B$2001,MATCH(V$1&amp;"|"&amp;(ROW()-1),Registre!$AA$2:$AA$2001,0)),"")</f>
        <v/>
      </c>
    </row>
    <row r="495">
      <c r="O495">
        <f>IFERROR(INDEX(Registre!$B$2:$B$2001,MATCH(O$1&amp;"|"&amp;(ROW()-1),Registre!$AA$2:$AA$2001,0)),"")</f>
        <v/>
      </c>
      <c r="P495">
        <f>IFERROR(INDEX(Registre!$B$2:$B$2001,MATCH(P$1&amp;"|"&amp;(ROW()-1),Registre!$AA$2:$AA$2001,0)),"")</f>
        <v/>
      </c>
      <c r="Q495">
        <f>IFERROR(INDEX(Registre!$B$2:$B$2001,MATCH(Q$1&amp;"|"&amp;(ROW()-1),Registre!$AA$2:$AA$2001,0)),"")</f>
        <v/>
      </c>
      <c r="R495">
        <f>IFERROR(INDEX(Registre!$B$2:$B$2001,MATCH(R$1&amp;"|"&amp;(ROW()-1),Registre!$AA$2:$AA$2001,0)),"")</f>
        <v/>
      </c>
      <c r="S495">
        <f>IFERROR(INDEX(Registre!$B$2:$B$2001,MATCH(S$1&amp;"|"&amp;(ROW()-1),Registre!$AA$2:$AA$2001,0)),"")</f>
        <v/>
      </c>
      <c r="T495">
        <f>IFERROR(INDEX(Registre!$B$2:$B$2001,MATCH(T$1&amp;"|"&amp;(ROW()-1),Registre!$AA$2:$AA$2001,0)),"")</f>
        <v/>
      </c>
      <c r="U495">
        <f>IFERROR(INDEX(Registre!$B$2:$B$2001,MATCH(U$1&amp;"|"&amp;(ROW()-1),Registre!$AA$2:$AA$2001,0)),"")</f>
        <v/>
      </c>
      <c r="V495">
        <f>IFERROR(INDEX(Registre!$B$2:$B$2001,MATCH(V$1&amp;"|"&amp;(ROW()-1),Registre!$AA$2:$AA$2001,0)),"")</f>
        <v/>
      </c>
    </row>
    <row r="496">
      <c r="O496">
        <f>IFERROR(INDEX(Registre!$B$2:$B$2001,MATCH(O$1&amp;"|"&amp;(ROW()-1),Registre!$AA$2:$AA$2001,0)),"")</f>
        <v/>
      </c>
      <c r="P496">
        <f>IFERROR(INDEX(Registre!$B$2:$B$2001,MATCH(P$1&amp;"|"&amp;(ROW()-1),Registre!$AA$2:$AA$2001,0)),"")</f>
        <v/>
      </c>
      <c r="Q496">
        <f>IFERROR(INDEX(Registre!$B$2:$B$2001,MATCH(Q$1&amp;"|"&amp;(ROW()-1),Registre!$AA$2:$AA$2001,0)),"")</f>
        <v/>
      </c>
      <c r="R496">
        <f>IFERROR(INDEX(Registre!$B$2:$B$2001,MATCH(R$1&amp;"|"&amp;(ROW()-1),Registre!$AA$2:$AA$2001,0)),"")</f>
        <v/>
      </c>
      <c r="S496">
        <f>IFERROR(INDEX(Registre!$B$2:$B$2001,MATCH(S$1&amp;"|"&amp;(ROW()-1),Registre!$AA$2:$AA$2001,0)),"")</f>
        <v/>
      </c>
      <c r="T496">
        <f>IFERROR(INDEX(Registre!$B$2:$B$2001,MATCH(T$1&amp;"|"&amp;(ROW()-1),Registre!$AA$2:$AA$2001,0)),"")</f>
        <v/>
      </c>
      <c r="U496">
        <f>IFERROR(INDEX(Registre!$B$2:$B$2001,MATCH(U$1&amp;"|"&amp;(ROW()-1),Registre!$AA$2:$AA$2001,0)),"")</f>
        <v/>
      </c>
      <c r="V496">
        <f>IFERROR(INDEX(Registre!$B$2:$B$2001,MATCH(V$1&amp;"|"&amp;(ROW()-1),Registre!$AA$2:$AA$2001,0)),"")</f>
        <v/>
      </c>
    </row>
    <row r="497">
      <c r="O497">
        <f>IFERROR(INDEX(Registre!$B$2:$B$2001,MATCH(O$1&amp;"|"&amp;(ROW()-1),Registre!$AA$2:$AA$2001,0)),"")</f>
        <v/>
      </c>
      <c r="P497">
        <f>IFERROR(INDEX(Registre!$B$2:$B$2001,MATCH(P$1&amp;"|"&amp;(ROW()-1),Registre!$AA$2:$AA$2001,0)),"")</f>
        <v/>
      </c>
      <c r="Q497">
        <f>IFERROR(INDEX(Registre!$B$2:$B$2001,MATCH(Q$1&amp;"|"&amp;(ROW()-1),Registre!$AA$2:$AA$2001,0)),"")</f>
        <v/>
      </c>
      <c r="R497">
        <f>IFERROR(INDEX(Registre!$B$2:$B$2001,MATCH(R$1&amp;"|"&amp;(ROW()-1),Registre!$AA$2:$AA$2001,0)),"")</f>
        <v/>
      </c>
      <c r="S497">
        <f>IFERROR(INDEX(Registre!$B$2:$B$2001,MATCH(S$1&amp;"|"&amp;(ROW()-1),Registre!$AA$2:$AA$2001,0)),"")</f>
        <v/>
      </c>
      <c r="T497">
        <f>IFERROR(INDEX(Registre!$B$2:$B$2001,MATCH(T$1&amp;"|"&amp;(ROW()-1),Registre!$AA$2:$AA$2001,0)),"")</f>
        <v/>
      </c>
      <c r="U497">
        <f>IFERROR(INDEX(Registre!$B$2:$B$2001,MATCH(U$1&amp;"|"&amp;(ROW()-1),Registre!$AA$2:$AA$2001,0)),"")</f>
        <v/>
      </c>
      <c r="V497">
        <f>IFERROR(INDEX(Registre!$B$2:$B$2001,MATCH(V$1&amp;"|"&amp;(ROW()-1),Registre!$AA$2:$AA$2001,0)),"")</f>
        <v/>
      </c>
    </row>
    <row r="498">
      <c r="O498">
        <f>IFERROR(INDEX(Registre!$B$2:$B$2001,MATCH(O$1&amp;"|"&amp;(ROW()-1),Registre!$AA$2:$AA$2001,0)),"")</f>
        <v/>
      </c>
      <c r="P498">
        <f>IFERROR(INDEX(Registre!$B$2:$B$2001,MATCH(P$1&amp;"|"&amp;(ROW()-1),Registre!$AA$2:$AA$2001,0)),"")</f>
        <v/>
      </c>
      <c r="Q498">
        <f>IFERROR(INDEX(Registre!$B$2:$B$2001,MATCH(Q$1&amp;"|"&amp;(ROW()-1),Registre!$AA$2:$AA$2001,0)),"")</f>
        <v/>
      </c>
      <c r="R498">
        <f>IFERROR(INDEX(Registre!$B$2:$B$2001,MATCH(R$1&amp;"|"&amp;(ROW()-1),Registre!$AA$2:$AA$2001,0)),"")</f>
        <v/>
      </c>
      <c r="S498">
        <f>IFERROR(INDEX(Registre!$B$2:$B$2001,MATCH(S$1&amp;"|"&amp;(ROW()-1),Registre!$AA$2:$AA$2001,0)),"")</f>
        <v/>
      </c>
      <c r="T498">
        <f>IFERROR(INDEX(Registre!$B$2:$B$2001,MATCH(T$1&amp;"|"&amp;(ROW()-1),Registre!$AA$2:$AA$2001,0)),"")</f>
        <v/>
      </c>
      <c r="U498">
        <f>IFERROR(INDEX(Registre!$B$2:$B$2001,MATCH(U$1&amp;"|"&amp;(ROW()-1),Registre!$AA$2:$AA$2001,0)),"")</f>
        <v/>
      </c>
      <c r="V498">
        <f>IFERROR(INDEX(Registre!$B$2:$B$2001,MATCH(V$1&amp;"|"&amp;(ROW()-1),Registre!$AA$2:$AA$2001,0)),"")</f>
        <v/>
      </c>
    </row>
    <row r="499">
      <c r="O499">
        <f>IFERROR(INDEX(Registre!$B$2:$B$2001,MATCH(O$1&amp;"|"&amp;(ROW()-1),Registre!$AA$2:$AA$2001,0)),"")</f>
        <v/>
      </c>
      <c r="P499">
        <f>IFERROR(INDEX(Registre!$B$2:$B$2001,MATCH(P$1&amp;"|"&amp;(ROW()-1),Registre!$AA$2:$AA$2001,0)),"")</f>
        <v/>
      </c>
      <c r="Q499">
        <f>IFERROR(INDEX(Registre!$B$2:$B$2001,MATCH(Q$1&amp;"|"&amp;(ROW()-1),Registre!$AA$2:$AA$2001,0)),"")</f>
        <v/>
      </c>
      <c r="R499">
        <f>IFERROR(INDEX(Registre!$B$2:$B$2001,MATCH(R$1&amp;"|"&amp;(ROW()-1),Registre!$AA$2:$AA$2001,0)),"")</f>
        <v/>
      </c>
      <c r="S499">
        <f>IFERROR(INDEX(Registre!$B$2:$B$2001,MATCH(S$1&amp;"|"&amp;(ROW()-1),Registre!$AA$2:$AA$2001,0)),"")</f>
        <v/>
      </c>
      <c r="T499">
        <f>IFERROR(INDEX(Registre!$B$2:$B$2001,MATCH(T$1&amp;"|"&amp;(ROW()-1),Registre!$AA$2:$AA$2001,0)),"")</f>
        <v/>
      </c>
      <c r="U499">
        <f>IFERROR(INDEX(Registre!$B$2:$B$2001,MATCH(U$1&amp;"|"&amp;(ROW()-1),Registre!$AA$2:$AA$2001,0)),"")</f>
        <v/>
      </c>
      <c r="V499">
        <f>IFERROR(INDEX(Registre!$B$2:$B$2001,MATCH(V$1&amp;"|"&amp;(ROW()-1),Registre!$AA$2:$AA$2001,0)),"")</f>
        <v/>
      </c>
    </row>
    <row r="500">
      <c r="O500">
        <f>IFERROR(INDEX(Registre!$B$2:$B$2001,MATCH(O$1&amp;"|"&amp;(ROW()-1),Registre!$AA$2:$AA$2001,0)),"")</f>
        <v/>
      </c>
      <c r="P500">
        <f>IFERROR(INDEX(Registre!$B$2:$B$2001,MATCH(P$1&amp;"|"&amp;(ROW()-1),Registre!$AA$2:$AA$2001,0)),"")</f>
        <v/>
      </c>
      <c r="Q500">
        <f>IFERROR(INDEX(Registre!$B$2:$B$2001,MATCH(Q$1&amp;"|"&amp;(ROW()-1),Registre!$AA$2:$AA$2001,0)),"")</f>
        <v/>
      </c>
      <c r="R500">
        <f>IFERROR(INDEX(Registre!$B$2:$B$2001,MATCH(R$1&amp;"|"&amp;(ROW()-1),Registre!$AA$2:$AA$2001,0)),"")</f>
        <v/>
      </c>
      <c r="S500">
        <f>IFERROR(INDEX(Registre!$B$2:$B$2001,MATCH(S$1&amp;"|"&amp;(ROW()-1),Registre!$AA$2:$AA$2001,0)),"")</f>
        <v/>
      </c>
      <c r="T500">
        <f>IFERROR(INDEX(Registre!$B$2:$B$2001,MATCH(T$1&amp;"|"&amp;(ROW()-1),Registre!$AA$2:$AA$2001,0)),"")</f>
        <v/>
      </c>
      <c r="U500">
        <f>IFERROR(INDEX(Registre!$B$2:$B$2001,MATCH(U$1&amp;"|"&amp;(ROW()-1),Registre!$AA$2:$AA$2001,0)),"")</f>
        <v/>
      </c>
      <c r="V500">
        <f>IFERROR(INDEX(Registre!$B$2:$B$2001,MATCH(V$1&amp;"|"&amp;(ROW()-1),Registre!$AA$2:$AA$2001,0)),"")</f>
        <v/>
      </c>
    </row>
    <row r="501">
      <c r="O501">
        <f>IFERROR(INDEX(Registre!$B$2:$B$2001,MATCH(O$1&amp;"|"&amp;(ROW()-1),Registre!$AA$2:$AA$2001,0)),"")</f>
        <v/>
      </c>
      <c r="P501">
        <f>IFERROR(INDEX(Registre!$B$2:$B$2001,MATCH(P$1&amp;"|"&amp;(ROW()-1),Registre!$AA$2:$AA$2001,0)),"")</f>
        <v/>
      </c>
      <c r="Q501">
        <f>IFERROR(INDEX(Registre!$B$2:$B$2001,MATCH(Q$1&amp;"|"&amp;(ROW()-1),Registre!$AA$2:$AA$2001,0)),"")</f>
        <v/>
      </c>
      <c r="R501">
        <f>IFERROR(INDEX(Registre!$B$2:$B$2001,MATCH(R$1&amp;"|"&amp;(ROW()-1),Registre!$AA$2:$AA$2001,0)),"")</f>
        <v/>
      </c>
      <c r="S501">
        <f>IFERROR(INDEX(Registre!$B$2:$B$2001,MATCH(S$1&amp;"|"&amp;(ROW()-1),Registre!$AA$2:$AA$2001,0)),"")</f>
        <v/>
      </c>
      <c r="T501">
        <f>IFERROR(INDEX(Registre!$B$2:$B$2001,MATCH(T$1&amp;"|"&amp;(ROW()-1),Registre!$AA$2:$AA$2001,0)),"")</f>
        <v/>
      </c>
      <c r="U501">
        <f>IFERROR(INDEX(Registre!$B$2:$B$2001,MATCH(U$1&amp;"|"&amp;(ROW()-1),Registre!$AA$2:$AA$2001,0)),"")</f>
        <v/>
      </c>
      <c r="V501">
        <f>IFERROR(INDEX(Registre!$B$2:$B$2001,MATCH(V$1&amp;"|"&amp;(ROW()-1),Registre!$AA$2:$AA$2001,0)),"")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2026-10-10T17:09:55Z</dcterms:created>
  <dcterms:modified xmlns:dcterms="http://purl.org/dc/terms/" xmlns:xsi="http://www.w3.org/2001/XMLSchema-instance" xsi:type="dcterms:W3CDTF">2026-10-10T17:09:56Z</dcterms:modified>
</cp:coreProperties>
</file>