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PARAMÈTRES" sheetId="3" state="visible" r:id="rId5"/>
    <sheet name="SOUDEURS" sheetId="4" state="visible" r:id="rId6"/>
    <sheet name="PROGRAMME RT" sheetId="5" state="visible" r:id="rId7"/>
    <sheet name="RÉPARATIONS" sheetId="6" state="visible" r:id="rId8"/>
    <sheet name="دليل الاستخدام" sheetId="7" state="visible" r:id="rId9"/>
  </sheets>
  <definedNames>
    <definedName function="false" hidden="false" localSheetId="1" name="_xlnm.Print_Titles" vbProcedure="false">'CARNET DE SOUDURE'!$5:$6</definedName>
    <definedName function="false" hidden="false" localSheetId="4" name="_xlnm.Print_Titles" vbProcedure="false">'PROGRAMME RT'!$11:$11</definedName>
    <definedName function="false" hidden="false" localSheetId="5" name="_xlnm.Print_Titles" vbProcedure="false">RÉPARATIONS!$11:$11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V6" authorId="0">
      <text>
        <r>
          <rPr>
            <sz val="10"/>
            <rFont val="Arial"/>
            <family val="2"/>
          </rPr>
          <t xml:space="preserve">A = Accepté · R = À réparer · NX = Film à refaire · CO = Coupe</t>
        </r>
      </text>
    </comment>
    <comment ref="AK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L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6" authorId="0">
      <text>
        <r>
          <rPr>
            <sz val="10"/>
            <rFont val="Arial"/>
            <family val="2"/>
          </rPr>
          <t xml:space="preserve">Hypothèse : NX = film à refaire. Modifiez la signification si votre code diffère.</t>
        </r>
      </text>
    </commen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sharedStrings.xml><?xml version="1.0" encoding="utf-8"?>
<sst xmlns="http://schemas.openxmlformats.org/spreadsheetml/2006/main" count="3668" uniqueCount="695">
  <si>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</si>
  <si>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</si>
  <si>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</si>
  <si>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</si>
  <si>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</t>
  </si>
  <si>
    <t xml:space="preserve">AVANCEMENT SOUDAGE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</si>
  <si>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</si>
  <si>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</si>
  <si>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</si>
  <si>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</si>
  <si>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</si>
  <si>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</si>
  <si>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</si>
  <si>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</si>
  <si>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</si>
  <si>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</si>
  <si>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</t>
  </si>
  <si>
    <t xml:space="preserve">Ligne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</si>
  <si>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</si>
  <si>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</si>
  <si>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</si>
  <si>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</si>
  <si>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</si>
  <si>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</si>
  <si>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</si>
  <si>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</si>
  <si>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</si>
  <si>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</si>
  <si>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</si>
  <si>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</si>
  <si>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</si>
  <si>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</si>
  <si>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</si>
  <si>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</si>
  <si>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</si>
  <si>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</si>
  <si>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</si>
  <si>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</si>
  <si>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</si>
  <si>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</si>
  <si>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</si>
  <si>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</si>
  <si>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</t>
  </si>
  <si>
    <t xml:space="preserve">Nom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</si>
  <si>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</si>
  <si>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</si>
  <si>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</si>
  <si>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</si>
  <si>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</si>
  <si>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</si>
  <si>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</si>
  <si>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</si>
  <si>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</si>
  <si>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</si>
  <si>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</si>
  <si>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</si>
  <si>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</si>
  <si>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</si>
  <si>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</si>
  <si>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</si>
  <si>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Tronçon</t>
  </si>
  <si>
    <t xml:space="preserve">PK</t>
  </si>
  <si>
    <t xml:space="preserve">N° Joint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</si>
  <si>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</si>
  <si>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</si>
  <si>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</si>
  <si>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</si>
  <si>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</si>
  <si>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</si>
  <si>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Tube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</si>
  <si>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</si>
  <si>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</si>
  <si>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</si>
  <si>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</si>
  <si>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Date</t>
  </si>
  <si>
    <t xml:space="preserve">VT PV N°</t>
  </si>
  <si>
    <t xml:space="preserve">VT Rés.</t>
  </si>
  <si>
    <t xml:space="preserve">RT1 Date</t>
  </si>
  <si>
    <t xml:space="preserve">RT1 PV N°</t>
  </si>
  <si>
    <t xml:space="preserve">RT1 Rés.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</si>
  <si>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</si>
  <si>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</si>
  <si>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</si>
  <si>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</si>
  <si>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</si>
  <si>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</si>
  <si>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</si>
  <si>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</si>
  <si>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</si>
  <si>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</si>
  <si>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</si>
  <si>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</si>
  <si>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</si>
  <si>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</si>
  <si>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</si>
  <si>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</si>
  <si>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</si>
  <si>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</si>
  <si>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</si>
  <si>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</si>
  <si>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TFT 716 → TL7-MMFW2</t>
  </si>
  <si>
    <t xml:space="preserve">0.00</t>
  </si>
  <si>
    <t xml:space="preserve">JN°001</t>
  </si>
  <si>
    <t xml:space="preserve">A</t>
  </si>
  <si>
    <t xml:space="preserve">6"</t>
  </si>
  <si>
    <t xml:space="preserve">JN°002</t>
  </si>
  <si>
    <t xml:space="preserve">JN°003</t>
  </si>
  <si>
    <t xml:space="preserve">JN°004</t>
  </si>
  <si>
    <t xml:space="preserve">JN°005</t>
  </si>
  <si>
    <t xml:space="preserve">Z70235</t>
  </si>
  <si>
    <t xml:space="preserve">08</t>
  </si>
  <si>
    <t xml:space="preserve">JN°006</t>
  </si>
  <si>
    <t xml:space="preserve">API 5L_X60</t>
  </si>
  <si>
    <t xml:space="preserve">TFT-PPL-06</t>
  </si>
  <si>
    <t xml:space="preserve">Z69902</t>
  </si>
  <si>
    <t xml:space="preserve">WR-09</t>
  </si>
  <si>
    <t xml:space="preserve">VT-027</t>
  </si>
  <si>
    <t xml:space="preserve">L-RT-17</t>
  </si>
  <si>
    <t xml:space="preserve">JN°007</t>
  </si>
  <si>
    <t xml:space="preserve">Z71206</t>
  </si>
  <si>
    <t xml:space="preserve">VT-026</t>
  </si>
  <si>
    <t xml:space="preserve">JN°008</t>
  </si>
  <si>
    <t xml:space="preserve">Z71179</t>
  </si>
  <si>
    <t xml:space="preserve">WR-02</t>
  </si>
  <si>
    <t xml:space="preserve">JN°009</t>
  </si>
  <si>
    <t xml:space="preserve">Z68652</t>
  </si>
  <si>
    <t xml:space="preserve">VT-021</t>
  </si>
  <si>
    <t xml:space="preserve">L-RT-16</t>
  </si>
  <si>
    <t xml:space="preserve">01</t>
  </si>
  <si>
    <t xml:space="preserve">JN°010</t>
  </si>
  <si>
    <t xml:space="preserve">TFT-PPL-05</t>
  </si>
  <si>
    <t xml:space="preserve">Z68654</t>
  </si>
  <si>
    <t xml:space="preserve">WR-06</t>
  </si>
  <si>
    <t xml:space="preserve">VT-016</t>
  </si>
  <si>
    <t xml:space="preserve">L-RT-08</t>
  </si>
  <si>
    <t xml:space="preserve">JN°011</t>
  </si>
  <si>
    <t xml:space="preserve">Z73371</t>
  </si>
  <si>
    <t xml:space="preserve">JN°012</t>
  </si>
  <si>
    <t xml:space="preserve">Z70844</t>
  </si>
  <si>
    <t xml:space="preserve">WR-05</t>
  </si>
  <si>
    <t xml:space="preserve">JN°013</t>
  </si>
  <si>
    <t xml:space="preserve">Z73375</t>
  </si>
  <si>
    <t xml:space="preserve">JN°014</t>
  </si>
  <si>
    <t xml:space="preserve">Z68653</t>
  </si>
  <si>
    <t xml:space="preserve">VT-001</t>
  </si>
  <si>
    <t xml:space="preserve">L-RT-02</t>
  </si>
  <si>
    <t xml:space="preserve">JN°015</t>
  </si>
  <si>
    <t xml:space="preserve">Z73592</t>
  </si>
  <si>
    <t xml:space="preserve">JN°016</t>
  </si>
  <si>
    <t xml:space="preserve">D</t>
  </si>
  <si>
    <t xml:space="preserve">Z73593</t>
  </si>
  <si>
    <t xml:space="preserve">JN°017</t>
  </si>
  <si>
    <t xml:space="preserve">09</t>
  </si>
  <si>
    <t xml:space="preserve">JN°018Racc</t>
  </si>
  <si>
    <t xml:space="preserve">Z70050</t>
  </si>
  <si>
    <t xml:space="preserve">JN°019</t>
  </si>
  <si>
    <t xml:space="preserve">Z71183</t>
  </si>
  <si>
    <t xml:space="preserve">JN°019A</t>
  </si>
  <si>
    <t xml:space="preserve">Z70007</t>
  </si>
  <si>
    <t xml:space="preserve">VT-020</t>
  </si>
  <si>
    <t xml:space="preserve">02</t>
  </si>
  <si>
    <t xml:space="preserve">JN°020</t>
  </si>
  <si>
    <t xml:space="preserve">Z68671</t>
  </si>
  <si>
    <t xml:space="preserve">10</t>
  </si>
  <si>
    <t xml:space="preserve">JN°021Racc</t>
  </si>
  <si>
    <t xml:space="preserve">Z72734</t>
  </si>
  <si>
    <t xml:space="preserve">VT-019</t>
  </si>
  <si>
    <t xml:space="preserve">JN°022</t>
  </si>
  <si>
    <t xml:space="preserve">Z73590</t>
  </si>
  <si>
    <t xml:space="preserve">03</t>
  </si>
  <si>
    <t xml:space="preserve">JN°023</t>
  </si>
  <si>
    <t xml:space="preserve">Z68672</t>
  </si>
  <si>
    <t xml:space="preserve">JN°024</t>
  </si>
  <si>
    <t xml:space="preserve">Z72647</t>
  </si>
  <si>
    <t xml:space="preserve">JN°025</t>
  </si>
  <si>
    <t xml:space="preserve">Z70008</t>
  </si>
  <si>
    <t xml:space="preserve">JN°026</t>
  </si>
  <si>
    <t xml:space="preserve">Z72649</t>
  </si>
  <si>
    <t xml:space="preserve">JN°027</t>
  </si>
  <si>
    <t xml:space="preserve">Z73374</t>
  </si>
  <si>
    <t xml:space="preserve">JN°028</t>
  </si>
  <si>
    <t xml:space="preserve">Z70006</t>
  </si>
  <si>
    <t xml:space="preserve">VT-002</t>
  </si>
  <si>
    <t xml:space="preserve">L-RT-03</t>
  </si>
  <si>
    <t xml:space="preserve">JN°029</t>
  </si>
  <si>
    <t xml:space="preserve">Z73591</t>
  </si>
  <si>
    <t xml:space="preserve">JN°030</t>
  </si>
  <si>
    <t xml:space="preserve">Z71182</t>
  </si>
  <si>
    <t xml:space="preserve">JN°031</t>
  </si>
  <si>
    <t xml:space="preserve">Z73589</t>
  </si>
  <si>
    <t xml:space="preserve">JN°032</t>
  </si>
  <si>
    <t xml:space="preserve">Z68655</t>
  </si>
  <si>
    <t xml:space="preserve">VT-003</t>
  </si>
  <si>
    <t xml:space="preserve">JN°033</t>
  </si>
  <si>
    <t xml:space="preserve">Z70843</t>
  </si>
  <si>
    <t xml:space="preserve">JN°034</t>
  </si>
  <si>
    <t xml:space="preserve">Z71181</t>
  </si>
  <si>
    <t xml:space="preserve">JN°035</t>
  </si>
  <si>
    <t xml:space="preserve">Z70004</t>
  </si>
  <si>
    <t xml:space="preserve">VT-017</t>
  </si>
  <si>
    <t xml:space="preserve">JN°036</t>
  </si>
  <si>
    <t xml:space="preserve">Z68669</t>
  </si>
  <si>
    <t xml:space="preserve">WR-10</t>
  </si>
  <si>
    <t xml:space="preserve">JN°037</t>
  </si>
  <si>
    <t xml:space="preserve">Z73373</t>
  </si>
  <si>
    <t xml:space="preserve">Z71180</t>
  </si>
  <si>
    <t xml:space="preserve">JN°038</t>
  </si>
  <si>
    <t xml:space="preserve">Z73372</t>
  </si>
  <si>
    <t xml:space="preserve">JN°039</t>
  </si>
  <si>
    <t xml:space="preserve">Z70841</t>
  </si>
  <si>
    <t xml:space="preserve">JN°040</t>
  </si>
  <si>
    <t xml:space="preserve">JN°041</t>
  </si>
  <si>
    <t xml:space="preserve">Z68651</t>
  </si>
  <si>
    <t xml:space="preserve">JN°042</t>
  </si>
  <si>
    <t xml:space="preserve">Z70842</t>
  </si>
  <si>
    <t xml:space="preserve">JN°043</t>
  </si>
  <si>
    <t xml:space="preserve">Z71080</t>
  </si>
  <si>
    <t xml:space="preserve">JN°044</t>
  </si>
  <si>
    <t xml:space="preserve">Z70792</t>
  </si>
  <si>
    <t xml:space="preserve">JN°045Racc</t>
  </si>
  <si>
    <t xml:space="preserve">Z69291</t>
  </si>
  <si>
    <t xml:space="preserve">VT-022</t>
  </si>
  <si>
    <t xml:space="preserve">JN°046</t>
  </si>
  <si>
    <t xml:space="preserve">Z71208</t>
  </si>
  <si>
    <t xml:space="preserve">JN°047</t>
  </si>
  <si>
    <t xml:space="preserve">Z70794</t>
  </si>
  <si>
    <t xml:space="preserve">0.000</t>
  </si>
  <si>
    <t xml:space="preserve">JN°048</t>
  </si>
  <si>
    <t xml:space="preserve">ANNULEE</t>
  </si>
  <si>
    <t xml:space="preserve">04</t>
  </si>
  <si>
    <t xml:space="preserve">JN°049</t>
  </si>
  <si>
    <t xml:space="preserve">Z72199</t>
  </si>
  <si>
    <t xml:space="preserve">JN°050</t>
  </si>
  <si>
    <t xml:space="preserve">Z72197</t>
  </si>
  <si>
    <t xml:space="preserve">JN°051</t>
  </si>
  <si>
    <t xml:space="preserve">Z70552</t>
  </si>
  <si>
    <t xml:space="preserve">JN°052</t>
  </si>
  <si>
    <t xml:space="preserve">Z71134</t>
  </si>
  <si>
    <t xml:space="preserve">JN°053</t>
  </si>
  <si>
    <t xml:space="preserve">Z72646</t>
  </si>
  <si>
    <t xml:space="preserve">VT-004</t>
  </si>
  <si>
    <t xml:space="preserve">JN°054</t>
  </si>
  <si>
    <t xml:space="preserve">Z70793</t>
  </si>
  <si>
    <t xml:space="preserve">JN°055</t>
  </si>
  <si>
    <t xml:space="preserve">Z70554</t>
  </si>
  <si>
    <t xml:space="preserve">JN°056</t>
  </si>
  <si>
    <t xml:space="preserve">Z71082</t>
  </si>
  <si>
    <t xml:space="preserve">L-RT-04</t>
  </si>
  <si>
    <t xml:space="preserve">JN°057</t>
  </si>
  <si>
    <t xml:space="preserve">Z70553</t>
  </si>
  <si>
    <t xml:space="preserve">JN°058</t>
  </si>
  <si>
    <t xml:space="preserve">Z71205</t>
  </si>
  <si>
    <t xml:space="preserve">JN°059</t>
  </si>
  <si>
    <t xml:space="preserve">Z70790</t>
  </si>
  <si>
    <t xml:space="preserve">JN°060</t>
  </si>
  <si>
    <t xml:space="preserve">Z70833</t>
  </si>
  <si>
    <t xml:space="preserve">L-RT-01</t>
  </si>
  <si>
    <t xml:space="preserve">JN°061</t>
  </si>
  <si>
    <t xml:space="preserve">Z72198</t>
  </si>
  <si>
    <t xml:space="preserve">JN°062</t>
  </si>
  <si>
    <t xml:space="preserve">Z70835</t>
  </si>
  <si>
    <t xml:space="preserve">JN°063/R</t>
  </si>
  <si>
    <t xml:space="preserve">Z71046</t>
  </si>
  <si>
    <t xml:space="preserve">R</t>
  </si>
  <si>
    <t xml:space="preserve">JN°064</t>
  </si>
  <si>
    <t xml:space="preserve">Z71081</t>
  </si>
  <si>
    <t xml:space="preserve">VT-005</t>
  </si>
  <si>
    <t xml:space="preserve">JN°065</t>
  </si>
  <si>
    <t xml:space="preserve">Z70555</t>
  </si>
  <si>
    <t xml:space="preserve">JN°066</t>
  </si>
  <si>
    <t xml:space="preserve">Z71047</t>
  </si>
  <si>
    <t xml:space="preserve">JN°067</t>
  </si>
  <si>
    <t xml:space="preserve">Z68670</t>
  </si>
  <si>
    <t xml:space="preserve">JN°068</t>
  </si>
  <si>
    <t xml:space="preserve">Z71048</t>
  </si>
  <si>
    <t xml:space="preserve">JN°069</t>
  </si>
  <si>
    <t xml:space="preserve">Z71084</t>
  </si>
  <si>
    <t xml:space="preserve">JN°070</t>
  </si>
  <si>
    <t xml:space="preserve">b00347</t>
  </si>
  <si>
    <t xml:space="preserve">JN°071</t>
  </si>
  <si>
    <t xml:space="preserve">Z71135</t>
  </si>
  <si>
    <t xml:space="preserve">JN°072</t>
  </si>
  <si>
    <t xml:space="preserve">Z71137</t>
  </si>
  <si>
    <t xml:space="preserve">JN°073</t>
  </si>
  <si>
    <t xml:space="preserve">Z71045</t>
  </si>
  <si>
    <t xml:space="preserve">JN°074</t>
  </si>
  <si>
    <t xml:space="preserve">b00341</t>
  </si>
  <si>
    <t xml:space="preserve">L-RT-05</t>
  </si>
  <si>
    <t xml:space="preserve">JN°075</t>
  </si>
  <si>
    <t xml:space="preserve">Z72196</t>
  </si>
  <si>
    <t xml:space="preserve">VT-006</t>
  </si>
  <si>
    <t xml:space="preserve">JN°076</t>
  </si>
  <si>
    <t xml:space="preserve">Z70791</t>
  </si>
  <si>
    <t xml:space="preserve">JN°077</t>
  </si>
  <si>
    <t xml:space="preserve">Z70556</t>
  </si>
  <si>
    <t xml:space="preserve">JN°078</t>
  </si>
  <si>
    <t xml:space="preserve">b00344</t>
  </si>
  <si>
    <t xml:space="preserve">JN°079</t>
  </si>
  <si>
    <t xml:space="preserve">Z71049</t>
  </si>
  <si>
    <t xml:space="preserve">JN°080</t>
  </si>
  <si>
    <t xml:space="preserve">Z72810</t>
  </si>
  <si>
    <t xml:space="preserve">JN°081</t>
  </si>
  <si>
    <t xml:space="preserve">Z73313</t>
  </si>
  <si>
    <t xml:space="preserve">JN°082</t>
  </si>
  <si>
    <t xml:space="preserve">Z71172</t>
  </si>
  <si>
    <t xml:space="preserve">JN°083</t>
  </si>
  <si>
    <t xml:space="preserve">Z71169</t>
  </si>
  <si>
    <t xml:space="preserve">JN°084</t>
  </si>
  <si>
    <t xml:space="preserve">Z71173</t>
  </si>
  <si>
    <t xml:space="preserve">JN°085</t>
  </si>
  <si>
    <t xml:space="preserve">Z73314</t>
  </si>
  <si>
    <t xml:space="preserve">JN°086</t>
  </si>
  <si>
    <t xml:space="preserve">Z69903</t>
  </si>
  <si>
    <t xml:space="preserve">VT-007</t>
  </si>
  <si>
    <t xml:space="preserve">JN°087</t>
  </si>
  <si>
    <t xml:space="preserve">Z70977</t>
  </si>
  <si>
    <t xml:space="preserve">1.00</t>
  </si>
  <si>
    <t xml:space="preserve">JN°088</t>
  </si>
  <si>
    <t xml:space="preserve">Z69905</t>
  </si>
  <si>
    <t xml:space="preserve">L-RT-06</t>
  </si>
  <si>
    <t xml:space="preserve">JN°089</t>
  </si>
  <si>
    <t xml:space="preserve">Z70979</t>
  </si>
  <si>
    <t xml:space="preserve">JN°090</t>
  </si>
  <si>
    <t xml:space="preserve">b01107</t>
  </si>
  <si>
    <t xml:space="preserve">JN°091</t>
  </si>
  <si>
    <t xml:space="preserve">Z70978</t>
  </si>
  <si>
    <t xml:space="preserve">JN°092</t>
  </si>
  <si>
    <t xml:space="preserve">Z69906</t>
  </si>
  <si>
    <t xml:space="preserve">JN°093</t>
  </si>
  <si>
    <t xml:space="preserve">Z70981</t>
  </si>
  <si>
    <t xml:space="preserve">JN°094</t>
  </si>
  <si>
    <t xml:space="preserve">Z70980</t>
  </si>
  <si>
    <t xml:space="preserve">JN°095</t>
  </si>
  <si>
    <t xml:space="preserve">Z71136</t>
  </si>
  <si>
    <t xml:space="preserve">JN°096</t>
  </si>
  <si>
    <t xml:space="preserve">Z73316</t>
  </si>
  <si>
    <t xml:space="preserve">JN°097</t>
  </si>
  <si>
    <t xml:space="preserve">Z72400</t>
  </si>
  <si>
    <t xml:space="preserve">VT-008</t>
  </si>
  <si>
    <t xml:space="preserve">JN°098</t>
  </si>
  <si>
    <t xml:space="preserve">Z73315</t>
  </si>
  <si>
    <t xml:space="preserve">JN°099</t>
  </si>
  <si>
    <t xml:space="preserve">Z73312</t>
  </si>
  <si>
    <t xml:space="preserve">JN°100</t>
  </si>
  <si>
    <t xml:space="preserve">b01105</t>
  </si>
  <si>
    <t xml:space="preserve">L-RT-07</t>
  </si>
  <si>
    <t xml:space="preserve">JN°101</t>
  </si>
  <si>
    <t xml:space="preserve">Z71171</t>
  </si>
  <si>
    <t xml:space="preserve">JN°102</t>
  </si>
  <si>
    <t xml:space="preserve">Z71040</t>
  </si>
  <si>
    <t xml:space="preserve">JN°103</t>
  </si>
  <si>
    <t xml:space="preserve">Z69904</t>
  </si>
  <si>
    <t xml:space="preserve">JN°104 NX</t>
  </si>
  <si>
    <t xml:space="preserve">Z71133</t>
  </si>
  <si>
    <t xml:space="preserve">NX</t>
  </si>
  <si>
    <t xml:space="preserve">JN°105</t>
  </si>
  <si>
    <t xml:space="preserve">b01104</t>
  </si>
  <si>
    <t xml:space="preserve">JN°106</t>
  </si>
  <si>
    <t xml:space="preserve">Z73433</t>
  </si>
  <si>
    <t xml:space="preserve">JN°107</t>
  </si>
  <si>
    <t xml:space="preserve">Z72399</t>
  </si>
  <si>
    <t xml:space="preserve">JN°108</t>
  </si>
  <si>
    <t xml:space="preserve">Z73428</t>
  </si>
  <si>
    <t xml:space="preserve">JN°109</t>
  </si>
  <si>
    <t xml:space="preserve">b01106</t>
  </si>
  <si>
    <t xml:space="preserve">JN°110</t>
  </si>
  <si>
    <t xml:space="preserve">Z72398</t>
  </si>
  <si>
    <t xml:space="preserve">JN°111</t>
  </si>
  <si>
    <t xml:space="preserve">Z72396</t>
  </si>
  <si>
    <t xml:space="preserve">VT-009</t>
  </si>
  <si>
    <t xml:space="preserve">JN°112</t>
  </si>
  <si>
    <t xml:space="preserve">Z72237</t>
  </si>
  <si>
    <t xml:space="preserve">JN°113</t>
  </si>
  <si>
    <t xml:space="preserve">b01103</t>
  </si>
  <si>
    <t xml:space="preserve">JN°114</t>
  </si>
  <si>
    <t xml:space="preserve">Z72808</t>
  </si>
  <si>
    <t xml:space="preserve">L-RT-09</t>
  </si>
  <si>
    <t xml:space="preserve">JN°115</t>
  </si>
  <si>
    <t xml:space="preserve">b01057</t>
  </si>
  <si>
    <t xml:space="preserve">JN°116</t>
  </si>
  <si>
    <t xml:space="preserve">Z69201</t>
  </si>
  <si>
    <t xml:space="preserve">JN°117</t>
  </si>
  <si>
    <t xml:space="preserve">b01053</t>
  </si>
  <si>
    <t xml:space="preserve">JN°118</t>
  </si>
  <si>
    <t xml:space="preserve">Z71596</t>
  </si>
  <si>
    <t xml:space="preserve">JN°119</t>
  </si>
  <si>
    <t xml:space="preserve">b01056</t>
  </si>
  <si>
    <t xml:space="preserve">VT-010</t>
  </si>
  <si>
    <t xml:space="preserve">JN°120</t>
  </si>
  <si>
    <t xml:space="preserve">Z71600</t>
  </si>
  <si>
    <t xml:space="preserve">JN°121</t>
  </si>
  <si>
    <t xml:space="preserve">Z70236</t>
  </si>
  <si>
    <t xml:space="preserve">JN°122R</t>
  </si>
  <si>
    <t xml:space="preserve">b00511</t>
  </si>
  <si>
    <t xml:space="preserve">L-RT-14</t>
  </si>
  <si>
    <t xml:space="preserve">JN°123</t>
  </si>
  <si>
    <t xml:space="preserve">b01055</t>
  </si>
  <si>
    <t xml:space="preserve">L-RT-10</t>
  </si>
  <si>
    <t xml:space="preserve">JN°124</t>
  </si>
  <si>
    <t xml:space="preserve">Z27807</t>
  </si>
  <si>
    <t xml:space="preserve">JN°125</t>
  </si>
  <si>
    <t xml:space="preserve">b00512</t>
  </si>
  <si>
    <t xml:space="preserve">JN°126</t>
  </si>
  <si>
    <t xml:space="preserve">Z73432</t>
  </si>
  <si>
    <t xml:space="preserve">JN°127</t>
  </si>
  <si>
    <t xml:space="preserve">Z70873</t>
  </si>
  <si>
    <t xml:space="preserve">JN°128</t>
  </si>
  <si>
    <t xml:space="preserve">Z68662</t>
  </si>
  <si>
    <t xml:space="preserve">JN°129</t>
  </si>
  <si>
    <t xml:space="preserve">Z71598</t>
  </si>
  <si>
    <t xml:space="preserve">JN°130</t>
  </si>
  <si>
    <t xml:space="preserve">Z70234</t>
  </si>
  <si>
    <t xml:space="preserve">JN°131</t>
  </si>
  <si>
    <t xml:space="preserve">Z68659</t>
  </si>
  <si>
    <t xml:space="preserve">JN°132</t>
  </si>
  <si>
    <t xml:space="preserve">Z68658</t>
  </si>
  <si>
    <t xml:space="preserve">JN°133</t>
  </si>
  <si>
    <t xml:space="preserve">Z70232</t>
  </si>
  <si>
    <t xml:space="preserve">VT-011</t>
  </si>
  <si>
    <t xml:space="preserve">JN°134</t>
  </si>
  <si>
    <t xml:space="preserve">Z68661</t>
  </si>
  <si>
    <t xml:space="preserve">JN°135</t>
  </si>
  <si>
    <t xml:space="preserve">Z71599</t>
  </si>
  <si>
    <t xml:space="preserve">JN°136Racc</t>
  </si>
  <si>
    <t xml:space="preserve">Z69207</t>
  </si>
  <si>
    <t xml:space="preserve">VT-023</t>
  </si>
  <si>
    <t xml:space="preserve">05</t>
  </si>
  <si>
    <t xml:space="preserve">JN°137</t>
  </si>
  <si>
    <t xml:space="preserve">Z69172</t>
  </si>
  <si>
    <t xml:space="preserve">VT-015</t>
  </si>
  <si>
    <t xml:space="preserve">L-RT-11</t>
  </si>
  <si>
    <t xml:space="preserve">JN°138</t>
  </si>
  <si>
    <t xml:space="preserve">Z69205</t>
  </si>
  <si>
    <t xml:space="preserve">JN°139</t>
  </si>
  <si>
    <t xml:space="preserve">b00510</t>
  </si>
  <si>
    <t xml:space="preserve">JN°140Racc</t>
  </si>
  <si>
    <t xml:space="preserve">b01054</t>
  </si>
  <si>
    <t xml:space="preserve">VT-024</t>
  </si>
  <si>
    <t xml:space="preserve">06</t>
  </si>
  <si>
    <t xml:space="preserve">JN°141</t>
  </si>
  <si>
    <t xml:space="preserve">Z70233</t>
  </si>
  <si>
    <t xml:space="preserve">JN°142</t>
  </si>
  <si>
    <t xml:space="preserve">b00509</t>
  </si>
  <si>
    <t xml:space="preserve">JN°142 A</t>
  </si>
  <si>
    <t xml:space="preserve">Z69288</t>
  </si>
  <si>
    <t xml:space="preserve">VT-025</t>
  </si>
  <si>
    <t xml:space="preserve">JN°142 B</t>
  </si>
  <si>
    <t xml:space="preserve">Z69173</t>
  </si>
  <si>
    <t xml:space="preserve">JN°143Racc</t>
  </si>
  <si>
    <t xml:space="preserve">07</t>
  </si>
  <si>
    <t xml:space="preserve">JN°144</t>
  </si>
  <si>
    <t xml:space="preserve">Z69714</t>
  </si>
  <si>
    <t xml:space="preserve">JN°145</t>
  </si>
  <si>
    <t xml:space="preserve">Z69171</t>
  </si>
  <si>
    <t xml:space="preserve">JN°146</t>
  </si>
  <si>
    <t xml:space="preserve">JN°147</t>
  </si>
  <si>
    <t xml:space="preserve">Z69175</t>
  </si>
  <si>
    <t xml:space="preserve">JN°148</t>
  </si>
  <si>
    <t xml:space="preserve">Z69204</t>
  </si>
  <si>
    <t xml:space="preserve">JN°149</t>
  </si>
  <si>
    <t xml:space="preserve">Z72758</t>
  </si>
  <si>
    <t xml:space="preserve">JN°150</t>
  </si>
  <si>
    <t xml:space="preserve">Z73583</t>
  </si>
  <si>
    <t xml:space="preserve">JN°151</t>
  </si>
  <si>
    <t xml:space="preserve">Z73580</t>
  </si>
  <si>
    <t xml:space="preserve">JN°152</t>
  </si>
  <si>
    <t xml:space="preserve">Z72759</t>
  </si>
  <si>
    <t xml:space="preserve">L-RT-12</t>
  </si>
  <si>
    <t xml:space="preserve">JN°153</t>
  </si>
  <si>
    <t xml:space="preserve">Z72730</t>
  </si>
  <si>
    <t xml:space="preserve">JN°154</t>
  </si>
  <si>
    <t xml:space="preserve">Z69715</t>
  </si>
  <si>
    <t xml:space="preserve">VT-012</t>
  </si>
  <si>
    <t xml:space="preserve">JN°155</t>
  </si>
  <si>
    <t xml:space="preserve">Z72731</t>
  </si>
  <si>
    <t xml:space="preserve">JN°156</t>
  </si>
  <si>
    <t xml:space="preserve">Z71094</t>
  </si>
  <si>
    <t xml:space="preserve">JN°157</t>
  </si>
  <si>
    <t xml:space="preserve">Z71091</t>
  </si>
  <si>
    <t xml:space="preserve">JN°158</t>
  </si>
  <si>
    <t xml:space="preserve">Z69287</t>
  </si>
  <si>
    <t xml:space="preserve">JN°159</t>
  </si>
  <si>
    <t xml:space="preserve">Z69712</t>
  </si>
  <si>
    <t xml:space="preserve">JN°160</t>
  </si>
  <si>
    <t xml:space="preserve">Z70253</t>
  </si>
  <si>
    <t xml:space="preserve">JN°161</t>
  </si>
  <si>
    <t xml:space="preserve">Z69716</t>
  </si>
  <si>
    <t xml:space="preserve">JN°162</t>
  </si>
  <si>
    <t xml:space="preserve">JN°163</t>
  </si>
  <si>
    <t xml:space="preserve">Z73425</t>
  </si>
  <si>
    <t xml:space="preserve">JN°164</t>
  </si>
  <si>
    <t xml:space="preserve">Z71090</t>
  </si>
  <si>
    <t xml:space="preserve">JN°165</t>
  </si>
  <si>
    <t xml:space="preserve">Z72756</t>
  </si>
  <si>
    <t xml:space="preserve">JN°166</t>
  </si>
  <si>
    <t xml:space="preserve">Z72755</t>
  </si>
  <si>
    <t xml:space="preserve">JN°167</t>
  </si>
  <si>
    <t xml:space="preserve">Z70256</t>
  </si>
  <si>
    <t xml:space="preserve">L-RT-13</t>
  </si>
  <si>
    <t xml:space="preserve">2.00</t>
  </si>
  <si>
    <t xml:space="preserve">JN°168</t>
  </si>
  <si>
    <t xml:space="preserve">Z73579</t>
  </si>
  <si>
    <t xml:space="preserve">VT-013</t>
  </si>
  <si>
    <t xml:space="preserve">JN°169</t>
  </si>
  <si>
    <t xml:space="preserve">Z69289</t>
  </si>
  <si>
    <t xml:space="preserve">JN°170</t>
  </si>
  <si>
    <t xml:space="preserve">Z71207</t>
  </si>
  <si>
    <t xml:space="preserve">JN°171</t>
  </si>
  <si>
    <t xml:space="preserve">Z72757</t>
  </si>
  <si>
    <t xml:space="preserve">JN°172</t>
  </si>
  <si>
    <t xml:space="preserve">Z71092</t>
  </si>
  <si>
    <t xml:space="preserve">JN°173</t>
  </si>
  <si>
    <t xml:space="preserve">Z73581</t>
  </si>
  <si>
    <t xml:space="preserve">JN°174</t>
  </si>
  <si>
    <t xml:space="preserve">Z72732</t>
  </si>
  <si>
    <t xml:space="preserve">JN°175</t>
  </si>
  <si>
    <t xml:space="preserve">Z71093</t>
  </si>
  <si>
    <t xml:space="preserve">JN°176</t>
  </si>
  <si>
    <t xml:space="preserve">Z73444</t>
  </si>
  <si>
    <t xml:space="preserve">JN°177</t>
  </si>
  <si>
    <t xml:space="preserve">b00533</t>
  </si>
  <si>
    <t xml:space="preserve">JN°178</t>
  </si>
  <si>
    <t xml:space="preserve">b00350</t>
  </si>
  <si>
    <t xml:space="preserve">JN°179</t>
  </si>
  <si>
    <t xml:space="preserve">Z70834</t>
  </si>
  <si>
    <t xml:space="preserve">JN°180</t>
  </si>
  <si>
    <t xml:space="preserve">b00352</t>
  </si>
  <si>
    <t xml:space="preserve">JN°181</t>
  </si>
  <si>
    <t xml:space="preserve">b00354</t>
  </si>
  <si>
    <t xml:space="preserve">JN°182</t>
  </si>
  <si>
    <t xml:space="preserve">Z72674</t>
  </si>
  <si>
    <t xml:space="preserve">VT-014</t>
  </si>
  <si>
    <t xml:space="preserve">JN°183</t>
  </si>
  <si>
    <t xml:space="preserve">Z72195</t>
  </si>
  <si>
    <t xml:space="preserve">JN°184</t>
  </si>
  <si>
    <t xml:space="preserve">Z72672</t>
  </si>
  <si>
    <t xml:space="preserve">JN°185</t>
  </si>
  <si>
    <t xml:space="preserve">Z73442</t>
  </si>
  <si>
    <t xml:space="preserve">JN°186</t>
  </si>
  <si>
    <t xml:space="preserve">Z68668</t>
  </si>
  <si>
    <t xml:space="preserve">JN°187</t>
  </si>
  <si>
    <t xml:space="preserve">b00351</t>
  </si>
  <si>
    <t xml:space="preserve">JN°188</t>
  </si>
  <si>
    <t xml:space="preserve">Z72670</t>
  </si>
  <si>
    <t xml:space="preserve">JN°189</t>
  </si>
  <si>
    <t xml:space="preserve">Z73443</t>
  </si>
  <si>
    <t xml:space="preserve">L-RT-15</t>
  </si>
  <si>
    <t xml:space="preserve">JN°190</t>
  </si>
  <si>
    <t xml:space="preserve">Z73441</t>
  </si>
  <si>
    <t xml:space="preserve">JN°191</t>
  </si>
  <si>
    <t xml:space="preserve">Z70051</t>
  </si>
  <si>
    <t xml:space="preserve">JN°192</t>
  </si>
  <si>
    <t xml:space="preserve">Z72239</t>
  </si>
  <si>
    <t xml:space="preserve">JN°193</t>
  </si>
  <si>
    <t xml:space="preserve">Z73427</t>
  </si>
  <si>
    <t xml:space="preserve">JN°194</t>
  </si>
  <si>
    <t xml:space="preserve">Z70254</t>
  </si>
  <si>
    <t xml:space="preserve">JN°195</t>
  </si>
  <si>
    <t xml:space="preserve">Z70049</t>
  </si>
  <si>
    <t xml:space="preserve">JN°196</t>
  </si>
  <si>
    <t xml:space="preserve">Z73445</t>
  </si>
  <si>
    <t xml:space="preserve">JN°197</t>
  </si>
  <si>
    <t xml:space="preserve">Z72673</t>
  </si>
  <si>
    <t xml:space="preserve">JN°198</t>
  </si>
  <si>
    <t xml:space="preserve">Z73426</t>
  </si>
  <si>
    <t xml:space="preserve">JN°199</t>
  </si>
  <si>
    <t xml:space="preserve">Z71053</t>
  </si>
  <si>
    <t xml:space="preserve">2.000</t>
  </si>
  <si>
    <t xml:space="preserve">JN°200</t>
  </si>
  <si>
    <t xml:space="preserve">Z71204</t>
  </si>
  <si>
    <t xml:space="preserve">JN°201</t>
  </si>
  <si>
    <t xml:space="preserve">Z69290</t>
  </si>
  <si>
    <t xml:space="preserve">JN°202</t>
  </si>
  <si>
    <t xml:space="preserve">PARAMÈTRES DU PROJET</t>
  </si>
  <si>
    <t xml:space="preserve">Projet</t>
  </si>
  <si>
    <t xml:space="preserve">Extension du réseau de collecte de GTFT (11 nouveaux puits)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</si>
  <si>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</si>
  <si>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</si>
  <si>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</si>
  <si>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</si>
  <si>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</si>
  <si>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</si>
  <si>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</si>
  <si>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</si>
  <si>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</si>
  <si>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</si>
  <si>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ISB-302</t>
  </si>
  <si>
    <t xml:space="preserve">Puits ISB-302 → réseau de collecte</t>
  </si>
  <si>
    <t xml:space="preserve">ISB-303</t>
  </si>
  <si>
    <t xml:space="preserve">Puits ISB-303 → réseau de collecte</t>
  </si>
  <si>
    <t xml:space="preserve">ISB-304</t>
  </si>
  <si>
    <t xml:space="preserve">Puits ISB-304 → réseau de collecte</t>
  </si>
  <si>
    <t xml:space="preserve">Ligne TFT 716 vers TL7-MMFW2 (données importées)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</si>
  <si>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</si>
  <si>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</si>
  <si>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</si>
  <si>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</si>
  <si>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</si>
  <si>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</si>
  <si>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</si>
  <si>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</si>
  <si>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</si>
  <si>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</si>
  <si>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</si>
  <si>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Film non exploitable / non interprétable</t>
  </si>
  <si>
    <t xml:space="preserve">Refaire la radiographie (sans réparation)</t>
  </si>
  <si>
    <t xml:space="preserve">CO</t>
  </si>
  <si>
    <t xml:space="preserve">Coupe (défaut non réparable)</t>
  </si>
  <si>
    <t xml:space="preserve">Couper le joint, resouder → VT → RT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</si>
  <si>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</si>
  <si>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</si>
  <si>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</si>
  <si>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</si>
  <si>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SOUDEURS — QUALIFICATION &amp; PERFORMANCE</t>
  </si>
  <si>
    <t xml:space="preserve">Taux de réparation = joints rejetés (R ou CO) au RT-01 ÷ joints radiographiés (hors NX). Un soudeur est compté s'il a réalisé au moins une passe du joint.</t>
  </si>
  <si>
    <t xml:space="preserve">Nom &amp; Prénom</t>
  </si>
  <si>
    <t xml:space="preserve">Qualifications (WQT)</t>
  </si>
  <si>
    <t xml:space="preserve">Radiographiés RT-01</t>
  </si>
  <si>
    <t xml:space="preserve">Rejetés (R/CO)</t>
  </si>
  <si>
    <t xml:space="preserve">Réparations effectuées</t>
  </si>
  <si>
    <t xml:space="preserve">WR-01</t>
  </si>
  <si>
    <t xml:space="preserve">BRAHIMI Boumediene</t>
  </si>
  <si>
    <t xml:space="preserve">WQT-001 / WQT-002</t>
  </si>
  <si>
    <t xml:space="preserve">Qualifié</t>
  </si>
  <si>
    <t xml:space="preserve">MEHANGUEF Med Amine</t>
  </si>
  <si>
    <t xml:space="preserve">WQT-003 / 004 / 006 / 014</t>
  </si>
  <si>
    <t xml:space="preserve">WR-03</t>
  </si>
  <si>
    <t xml:space="preserve">BEN KREDDA Mohammed Amine</t>
  </si>
  <si>
    <t xml:space="preserve">WQT-005</t>
  </si>
  <si>
    <t xml:space="preserve">WR-04</t>
  </si>
  <si>
    <t xml:space="preserve">DEHKEL Ammar</t>
  </si>
  <si>
    <t xml:space="preserve">—</t>
  </si>
  <si>
    <t xml:space="preserve">Non qualifié</t>
  </si>
  <si>
    <t xml:space="preserve">KHOCHNI Sofiane</t>
  </si>
  <si>
    <t xml:space="preserve">WQT-007 / WQT-015</t>
  </si>
  <si>
    <t xml:space="preserve">ACHOUR Walid</t>
  </si>
  <si>
    <t xml:space="preserve">WQT-008 / WQT-016</t>
  </si>
  <si>
    <t xml:space="preserve">WR-07</t>
  </si>
  <si>
    <t xml:space="preserve">WR-08</t>
  </si>
  <si>
    <t xml:space="preserve">LALA Lazhar</t>
  </si>
  <si>
    <t xml:space="preserve">WQT-011 / WQT-012</t>
  </si>
  <si>
    <t xml:space="preserve">BOUTAIBA Nour Eddine</t>
  </si>
  <si>
    <t xml:space="preserve">WQT-009 / 010 / 013</t>
  </si>
  <si>
    <t xml:space="preserve">WR-11</t>
  </si>
  <si>
    <t xml:space="preserve">HAMOUCHE Zahir</t>
  </si>
  <si>
    <t xml:space="preserve">WR-12</t>
  </si>
  <si>
    <t xml:space="preserve">WR-13</t>
  </si>
  <si>
    <t xml:space="preserve">WR-14</t>
  </si>
  <si>
    <t xml:space="preserve">WR-15</t>
  </si>
  <si>
    <t xml:space="preserve">PROGRAMME RADIOGRAPHIE (RT) DU JOUR</t>
  </si>
  <si>
    <t xml:space="preserve">Date :</t>
  </si>
  <si>
    <t xml:space="preserve">Nombre de joints :</t>
  </si>
  <si>
    <t xml:space="preserve">Ligne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</si>
  <si>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</si>
  <si>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</si>
  <si>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</si>
  <si>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</si>
  <si>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à réparer (R/CO)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</si>
  <si>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</si>
  <si>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</si>
  <si>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</si>
  <si>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</si>
  <si>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</si>
  <si>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</si>
  <si>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SUIVI DES RÉPARATIONS</t>
  </si>
  <si>
    <t xml:space="preserve">Joints rejetés au RT (R), à couper (CO) ou rejetés au VT : réparer puis refaire VT + RT.</t>
  </si>
  <si>
    <t xml:space="preserve">Date dernier RT</t>
  </si>
  <si>
    <t xml:space="preserve">PV</t>
  </si>
  <si>
    <t xml:space="preserve">Soudeur réparation</t>
  </si>
  <si>
    <t xml:space="preserve">Observations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</si>
  <si>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</si>
  <si>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</si>
  <si>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</si>
  <si>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</si>
  <si>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</si>
  <si>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</si>
  <si>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</si>
  <si>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</si>
  <si>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</si>
  <si>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</si>
  <si>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الفيلم غير صالح للقراءة: تُعاد الصورة الإشعاعية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</si>
  <si>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</si>
  <si>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</si>
  <si>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</si>
  <si>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</si>
  <si>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RÉPARATIONS</t>
  </si>
  <si>
    <t xml:space="preserve">قائمة تلقائية بكل الوصلات المرفوضة التي تنتظر الإصلاح، مع عدد أيام الانتظار (أحمر إذا تجاوز 3 أيام).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</si>
  <si>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</si>
  <si>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</si>
  <si>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</si>
  <si>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فيلم غير صالح، تُعاد الأشعة   •  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</si>
  <si>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</si>
  <si>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</si>
  <si>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</si>
  <si>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بيانات الخط TFT 716 منقولة من ملفك الأصلي (205 وصلات). في الملف الأصلي كان الرمز NR يعني «للإصلاح»، فاستُبدل بالرمز R. خطوط ISB جاهزة لإدخال بياناتها.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</si>
</sst>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D9D9D9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F2F2F2"/>
        <bgColor rgb="FFEDEDED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9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3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4672A8"/>
      <rgbColor rgb="FFD9D9D9"/>
      <rgbColor rgb="FF000080"/>
      <rgbColor rgb="FFFF00FF"/>
      <rgbColor rgb="FFF7F9FC"/>
      <rgbColor rgb="FF00FFFF"/>
      <rgbColor rgb="FF800080"/>
      <rgbColor rgb="FFC00000"/>
      <rgbColor rgb="FF4F81BD"/>
      <rgbColor rgb="FF0000FF"/>
      <rgbColor rgb="FF548235"/>
      <rgbColor rgb="FFF2F2F2"/>
      <rgbColor rgb="FFC6EFCE"/>
      <rgbColor rgb="FFFFEB9C"/>
      <rgbColor rgb="FFB8CD97"/>
      <rgbColor rgb="FFD09493"/>
      <rgbColor rgb="FFE4DFEC"/>
      <rgbColor rgb="FFFFC7CE"/>
      <rgbColor rgb="FF2E75B6"/>
      <rgbColor rgb="FF7F7F7F"/>
      <rgbColor rgb="FF8AA64F"/>
      <rgbColor rgb="FFFFCC00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1F4E7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ligne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BORD'!C17</c:f>
              <c:strCache>
                <c:ptCount val="1"/>
                <c:pt idx="0">
                  <c:v>Joints estimés</c:v>
                </c:pt>
              </c:strCache>
            </c:strRef>
          </c:tx>
          <c:spPr>
            <a:solidFill>
              <a:srgbClr val="bfbfbf"/>
            </a:solidFill>
            <a:ln w="0">
              <a:solidFill>
                <a:srgbClr val="bfbf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BORD'!$C$18:$C$25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204</c:v>
                </c:pt>
              </c:numCache>
            </c:numRef>
          </c:val>
        </c:ser>
        <c:ser>
          <c:idx val="1"/>
          <c:order val="1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BORD'!$D$18:$D$25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197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BORD'!$I$18:$I$25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188</c:v>
                </c:pt>
              </c:numCache>
            </c:numRef>
          </c:val>
        </c:ser>
        <c:gapWidth val="60"/>
        <c:overlap val="0"/>
        <c:axId val="79758190"/>
        <c:axId val="23599620"/>
      </c:barChart>
      <c:catAx>
        <c:axId val="797581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99620"/>
        <c:crosses val="autoZero"/>
        <c:auto val="1"/>
        <c:lblAlgn val="ctr"/>
        <c:lblOffset val="100"/>
        <c:noMultiLvlLbl val="0"/>
      </c:catAx>
      <c:valAx>
        <c:axId val="235996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581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BORD'!L28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BORD'!$J$29:$J$37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BORD'!$L$29:$L$37</c:f>
              <c:numCache>
                <c:formatCode>#,##0</c:formatCode>
                <c:ptCount val="9"/>
                <c:pt idx="0">
                  <c:v>188</c:v>
                </c:pt>
                <c:pt idx="1">
                  <c:v>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Joints soudés par soudeur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BORD'!E56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BORD'!$B$57:$B$71</c:f>
              <c:strCache>
                <c:ptCount val="15"/>
                <c:pt idx="0">
                  <c:v>WR-01</c:v>
                </c:pt>
                <c:pt idx="1">
                  <c:v>WR-02</c:v>
                </c:pt>
                <c:pt idx="2">
                  <c:v>WR-03</c:v>
                </c:pt>
                <c:pt idx="3">
                  <c:v>WR-04</c:v>
                </c:pt>
                <c:pt idx="4">
                  <c:v>WR-05</c:v>
                </c:pt>
                <c:pt idx="5">
                  <c:v>WR-06</c:v>
                </c:pt>
                <c:pt idx="6">
                  <c:v>WR-07</c:v>
                </c:pt>
                <c:pt idx="7">
                  <c:v>WR-08</c:v>
                </c:pt>
                <c:pt idx="8">
                  <c:v>WR-09</c:v>
                </c:pt>
                <c:pt idx="9">
                  <c:v>WR-10</c:v>
                </c:pt>
                <c:pt idx="10">
                  <c:v>WR-11</c:v>
                </c:pt>
                <c:pt idx="11">
                  <c:v>WR-12</c:v>
                </c:pt>
                <c:pt idx="12">
                  <c:v>WR-13</c:v>
                </c:pt>
                <c:pt idx="13">
                  <c:v>WR-14</c:v>
                </c:pt>
                <c:pt idx="14">
                  <c:v>WR-15</c:v>
                </c:pt>
              </c:strCache>
            </c:strRef>
          </c:cat>
          <c:val>
            <c:numRef>
              <c:f>'TABLEAU DE BORD'!$E$57:$E$71</c:f>
              <c:numCache>
                <c:formatCode>#,##0</c:formatCode>
                <c:ptCount val="15"/>
                <c:pt idx="0">
                  <c:v>0</c:v>
                </c:pt>
                <c:pt idx="1">
                  <c:v>86</c:v>
                </c:pt>
                <c:pt idx="2">
                  <c:v>0</c:v>
                </c:pt>
                <c:pt idx="3">
                  <c:v>0</c:v>
                </c:pt>
                <c:pt idx="4">
                  <c:v>169</c:v>
                </c:pt>
                <c:pt idx="5">
                  <c:v>62</c:v>
                </c:pt>
                <c:pt idx="6">
                  <c:v>0</c:v>
                </c:pt>
                <c:pt idx="7">
                  <c:v>0</c:v>
                </c:pt>
                <c:pt idx="8">
                  <c:v>14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9876356"/>
        <c:axId val="75502938"/>
      </c:barChart>
      <c:catAx>
        <c:axId val="698763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02938"/>
        <c:crosses val="autoZero"/>
        <c:auto val="1"/>
        <c:lblAlgn val="ctr"/>
        <c:lblOffset val="100"/>
        <c:noMultiLvlLbl val="0"/>
      </c:catAx>
      <c:valAx>
        <c:axId val="7550293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76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5</xdr:col>
      <xdr:colOff>23400</xdr:colOff>
      <xdr:row>42</xdr:row>
      <xdr:rowOff>22320</xdr:rowOff>
    </xdr:to>
    <xdr:graphicFrame>
      <xdr:nvGraphicFramePr>
        <xdr:cNvPr id="0" name="Chart 1"/>
        <xdr:cNvGraphicFramePr/>
      </xdr:nvGraphicFramePr>
      <xdr:xfrm>
        <a:off x="177840" y="6210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12</xdr:col>
      <xdr:colOff>899280</xdr:colOff>
      <xdr:row>50</xdr:row>
      <xdr:rowOff>53640</xdr:rowOff>
    </xdr:to>
    <xdr:graphicFrame>
      <xdr:nvGraphicFramePr>
        <xdr:cNvPr id="1" name="Chart 2"/>
        <xdr:cNvGraphicFramePr/>
      </xdr:nvGraphicFramePr>
      <xdr:xfrm>
        <a:off x="10534680" y="8305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55</xdr:row>
      <xdr:rowOff>0</xdr:rowOff>
    </xdr:from>
    <xdr:to>
      <xdr:col>11</xdr:col>
      <xdr:colOff>1019520</xdr:colOff>
      <xdr:row>72</xdr:row>
      <xdr:rowOff>1080</xdr:rowOff>
    </xdr:to>
    <xdr:graphicFrame>
      <xdr:nvGraphicFramePr>
        <xdr:cNvPr id="2" name="Chart 3"/>
        <xdr:cNvGraphicFramePr/>
      </xdr:nvGraphicFramePr>
      <xdr:xfrm>
        <a:off x="10534680" y="11658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rnet" displayName="Carnet" ref="A6:AP1506" headerRowCount="1" totalsRowCount="0" totalsRowShown="0">
  <autoFilter ref="A6:AP1506"/>
  <tableColumns count="42">
    <tableColumn id="1" name="N°"/>
    <tableColumn id="2" name="Ligne"/>
    <tableColumn id="3" name="Tronçon"/>
    <tableColumn id="4" name="PK"/>
    <tableColumn id="5" name="N° Joint"/>
    <tableColumn id="6" name="Zone"/>
    <tableColumn id="7" name="Ø"/>
    <tableColumn id="8" name="Ép. (mm)"/>
    <tableColumn id="9" name="Nuance"/>
    <tableColumn id="10" name="WPS"/>
    <tableColumn id="11" name="Tube 1"/>
    <tableColumn id="12" name="Tube 2"/>
    <tableColumn id="13" name="WR 1ère passe"/>
    <tableColumn id="14" name="WR 2ème passe"/>
    <tableColumn id="15" name="WR B+F"/>
    <tableColumn id="16" name="Date soudage"/>
    <tableColumn id="17" name="VT Date"/>
    <tableColumn id="18" name="VT PV N°"/>
    <tableColumn id="19" name="VT Rés."/>
    <tableColumn id="20" name="RT1 Date"/>
    <tableColumn id="21" name="RT1 PV N°"/>
    <tableColumn id="22" name="RT1 Rés."/>
    <tableColumn id="23" name="R1 WR"/>
    <tableColumn id="24" name="R1 VT Rés."/>
    <tableColumn id="25" name="R1 RT Date"/>
    <tableColumn id="26" name="R1 RT PV N°"/>
    <tableColumn id="27" name="R1 RT Rés."/>
    <tableColumn id="28" name="R2 WR"/>
    <tableColumn id="29" name="R2 VT Rés."/>
    <tableColumn id="30" name="R2 RT Date"/>
    <tableColumn id="31" name="R2 RT PV N°"/>
    <tableColumn id="32" name="R2 RT Rés."/>
    <tableColumn id="33" name="RT programmé le"/>
    <tableColumn id="34" name="Remarques"/>
    <tableColumn id="35" name="Nb RT"/>
    <tableColumn id="36" name="Dernier RT"/>
    <tableColumn id="37" name="STATUT"/>
    <tableColumn id="38" name="Attente (j)"/>
    <tableColumn id="39" name="hRT"/>
    <tableColumn id="40" name="hRTn"/>
    <tableColumn id="41" name="hREP"/>
    <tableColumn id="42" name="hREP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O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3.5"/>
    <col collapsed="false" customWidth="true" hidden="true" outlineLevel="0" max="15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Extension du réseau de collecte de GTFT (11 nouveaux puits)   •   Affaire N° 8546   •   Mis à jour le 26/09/2026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SOUDURE'!$B$7:$B$1506,$O$5,'CARNET DE SOUDURE'!$P$7:$P$1506,"&lt;&gt;")</f>
        <v>197</v>
      </c>
      <c r="C8" s="12"/>
      <c r="D8" s="13" t="n">
        <f aca="false">IFERROR(COUNTIFS('CARNET DE SOUDURE'!$B$7:$B$1506,$O$5,'CARNET DE SOUDURE'!$P$7:$P$1506,"&lt;&gt;")/IF($C$5="TOUTES",SUM(PARAMÈTRES!$E$12:$E$19),SUMIF(PARAMÈTRES!$B$12:$B$19,$C$5,PARAMÈTRES!$E$12:$E$19)),0)</f>
        <v>0.965686274509804</v>
      </c>
      <c r="E8" s="13"/>
      <c r="F8" s="14" t="n">
        <f aca="false">COUNTIFS('CARNET DE SOUDURE'!$B$7:$B$1506,$O$5,'CARNET DE SOUDURE'!$V$7:$V$1506,"&lt;&gt;")</f>
        <v>188</v>
      </c>
      <c r="G8" s="14"/>
      <c r="H8" s="15" t="n">
        <f aca="false">COUNTIFS('CARNET DE SOUDURE'!$B$7:$B$1506,$O$5,'CARNET DE SOUDURE'!$AK$7:$AK$1506,"ACCEPTÉ")</f>
        <v>188</v>
      </c>
      <c r="I8" s="15"/>
      <c r="J8" s="16" t="n">
        <f aca="false">COUNTIFS('CARNET DE SOUDURE'!$B$7:$B$1506,$O$5,'CARNET DE SOUDURE'!$AK$7:$AK$1506,"À RADIOGRAPHIER")+COUNTIFS('CARNET DE SOUDURE'!$B$7:$B$1506,$O$5,'CARNET DE SOUDURE'!$AK$7:$AK$1506,"RÉPARÉ – À RADIOGRAPHIER")+COUNTIFS('CARNET DE SOUDURE'!$B$7:$B$1506,$O$5,'CARNET DE SOUDURE'!$AK$7:$AK$1506,"NX – RT À REFAIRE")</f>
        <v>9</v>
      </c>
      <c r="K8" s="16"/>
      <c r="L8" s="17" t="n">
        <f aca="false">IFERROR((COUNTIFS('CARNET DE SOUDURE'!$B$7:$B$1506,$O$5,'CARNET DE SOUDURE'!$V$7:$V$1506,"R")+COUNTIFS('CARNET DE SOUDURE'!$B$7:$B$1506,$O$5,'CARNET DE SOUDURE'!$V$7:$V$1506,"CO"))/(COUNTIFS('CARNET DE SOUDURE'!$B$7:$B$1506,$O$5,'CARNET DE SOUDURE'!$V$7:$V$1506,"A")+(COUNTIFS('CARNET DE SOUDURE'!$B$7:$B$1506,$O$5,'CARNET DE SOUDURE'!$V$7:$V$1506,"R")+COUNTIFS('CARNET DE SOUDURE'!$B$7:$B$1506,$O$5,'CARNET DE SOUDURE'!$V$7:$V$1506,"CO"))),0)</f>
        <v>0.0106951871657754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"sur "&amp;TEXT(IF($C$5="TOUTES",SUM(PARAMÈTRES!$E$12:$E$19),SUMIF(PARAMÈTRES!$B$12:$B$19,$C$5,PARAMÈTRES!$E$12:$E$19)),"#,##0")&amp;" estimés"</f>
        <v>sur 204 estimés</v>
      </c>
      <c r="C10" s="18"/>
      <c r="D10" s="19" t="str">
        <f aca="false">"Reste : "&amp;TEXT(MAX(0,IF($C$5="TOUTES",SUM(PARAMÈTRES!$E$12:$E$19),SUMIF(PARAMÈTRES!$B$12:$B$19,$C$5,PARAMÈTRES!$E$12:$E$19))-COUNTIFS('CARNET DE SOUDURE'!$B$7:$B$1506,$O$5,'CARNET DE SOUDURE'!$P$7:$P$1506,"&lt;&gt;")),"#,##0")&amp;" joints"</f>
        <v>Reste : 7 joints</v>
      </c>
      <c r="E10" s="19"/>
      <c r="F10" s="20" t="str">
        <f aca="false">TEXT(IFERROR(COUNTIFS('CARNET DE SOUDURE'!$B$7:$B$1506,$O$5,'CARNET DE SOUDURE'!$V$7:$V$1506,"&lt;&gt;")/COUNTIFS('CARNET DE SOUDURE'!$B$7:$B$1506,$O$5,'CARNET DE SOUDURE'!$P$7:$P$1506,"&lt;&gt;"),0),"0.0%")&amp;" des joints soudés"</f>
        <v>95.4% des joints soudés</v>
      </c>
      <c r="G10" s="20"/>
      <c r="H10" s="21" t="str">
        <f aca="false">TEXT(IFERROR(COUNTIFS('CARNET DE SOUDURE'!$B$7:$B$1506,$O$5,'CARNET DE SOUDURE'!$AK$7:$AK$1506,"ACCEPTÉ")/COUNTIFS('CARNET DE SOUDURE'!$B$7:$B$1506,$O$5,'CARNET DE SOUDURE'!$P$7:$P$1506,"&lt;&gt;"),0),"0.0%")&amp;" des joints soudés"</f>
        <v>95.4%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SOUDURE'!$B$7:$B$1506,$O$5,'CARNET DE SOUDURE'!$V$7:$V$1506,"R")+COUNTIFS('CARNET DE SOUDURE'!$B$7:$B$1506,$O$5,'CARNET DE SOUDURE'!$V$7:$V$1506,"CO")),"0")&amp;" rejet(s) au RT-01"</f>
        <v>2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SOUDURE'!$B$7:$B$1506,$O$5,'CARNET DE SOUDURE'!$AK$7:$AK$1506,"À RÉPARER")</f>
        <v>0</v>
      </c>
      <c r="C13" s="30"/>
      <c r="D13" s="31" t="n">
        <f aca="false">COUNTIFS('CARNET DE SOUDURE'!$B$7:$B$1506,$O$5,'CARNET DE SOUDURE'!$AK$7:$AK$1506,"COUPE – À RESOUDER")</f>
        <v>0</v>
      </c>
      <c r="E13" s="31"/>
      <c r="F13" s="32" t="n">
        <f aca="false">COUNTIFS('CARNET DE SOUDURE'!$B$7:$B$1506,$O$5,'CARNET DE SOUDURE'!$AK$7:$AK$1506,"NX – RT À REFAIRE")</f>
        <v>0</v>
      </c>
      <c r="G13" s="32"/>
      <c r="H13" s="33" t="n">
        <f aca="false">COUNTIFS('CARNET DE SOUDURE'!$B$7:$B$1506,$O$5,'CARNET DE SOUDURE'!$AK$7:$AK$1506,"RÉPARÉ – À RADIOGRAPHIER")</f>
        <v>0</v>
      </c>
      <c r="I13" s="33"/>
      <c r="J13" s="34" t="n">
        <f aca="false">COUNTIFS('CARNET DE SOUDURE'!$B$7:$B$1506,$O$5,'CARNET DE SOUDURE'!$AK$7:$AK$1506,"VT EN ATTENTE")+COUNTIFS('CARNET DE SOUDURE'!$B$7:$B$1506,$O$5,'CARNET DE SOUDURE'!$AK$7:$AK$1506,"VT REJETÉ – À REPRENDRE")</f>
        <v>0</v>
      </c>
      <c r="K13" s="34"/>
      <c r="L13" s="35" t="n">
        <f aca="false">COUNTIFS('CARNET DE SOUDURE'!$B$7:$B$1506,$O$5,'CARNET DE SOUDURE'!$AK$7:$AK$1506,"À SOUDER")</f>
        <v>8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IF(PARAMÈTRES!$B$12="","",PARAMÈTRES!$B$12)</f>
        <v>ISB-302</v>
      </c>
      <c r="C18" s="39" t="n">
        <f aca="false">IF($B18="","",N(PARAMÈTRES!$E$12))</f>
        <v>0</v>
      </c>
      <c r="D18" s="39" t="n">
        <f aca="false">IF($B18="","",COUNTIFS('CARNET DE SOUDURE'!$B$7:$B$1506,$B18,'CARNET DE SOUDURE'!$P$7:$P$1506,"&lt;&gt;"))</f>
        <v>0</v>
      </c>
      <c r="E18" s="39" t="n">
        <f aca="false">IF($B18="","",MAX(0,C18-D18))</f>
        <v>0</v>
      </c>
      <c r="F18" s="40" t="n">
        <f aca="false">IF($B18="","",IFERROR(D18/C18,0))</f>
        <v>0</v>
      </c>
      <c r="G18" s="39" t="n">
        <f aca="false">IF($B18="","",COUNTIFS('CARNET DE SOUDURE'!$B$7:$B$1506,$B18,'CARNET DE SOUDURE'!$V$7:$V$1506,"&lt;&gt;"))</f>
        <v>0</v>
      </c>
      <c r="H18" s="40" t="n">
        <f aca="false">IF($B18="","",IFERROR(G18/D18,0))</f>
        <v>0</v>
      </c>
      <c r="I18" s="39" t="n">
        <f aca="false">IF($B18="","",COUNTIFS('CARNET DE SOUDURE'!$B$7:$B$1506,$B18,'CARNET DE SOUDURE'!$AK$7:$AK$1506,"ACCEPTÉ"))</f>
        <v>0</v>
      </c>
      <c r="J18" s="40" t="n">
        <f aca="false">IF($B18="","",IFERROR(I18/D18,0))</f>
        <v>0</v>
      </c>
      <c r="K18" s="39" t="n">
        <f aca="false">IF($B18="","",COUNTIFS('CARNET DE SOUDURE'!$B$7:$B$1506,$B18,'CARNET DE SOUDURE'!$AK$7:$AK$1506,"À RÉPARER")+COUNTIFS('CARNET DE SOUDURE'!$B$7:$B$1506,$B18,'CARNET DE SOUDURE'!$AK$7:$AK$1506,"COUPE – À RESOUDER")+COUNTIFS('CARNET DE SOUDURE'!$B$7:$B$1506,$B18,'CARNET DE SOUDURE'!$AK$7:$AK$1506,"VT REJETÉ – À REPRENDRE"))</f>
        <v>0</v>
      </c>
      <c r="L18" s="40" t="n">
        <f aca="false">IF($B18="","",IFERROR((COUNTIFS('CARNET DE SOUDURE'!$B$7:$B$1506,$B18,'CARNET DE SOUDURE'!$V$7:$V$1506,"R")+COUNTIFS('CARNET DE SOUDURE'!$B$7:$B$1506,$B18,'CARNET DE SOUDURE'!$V$7:$V$1506,"CO"))/(COUNTIFS('CARNET DE SOUDURE'!$B$7:$B$1506,$B18,'CARNET DE SOUDURE'!$V$7:$V$1506,"A")+(COUNTIFS('CARNET DE SOUDURE'!$B$7:$B$1506,$B18,'CARNET DE SOUDURE'!$V$7:$V$1506,"R")+COUNTIFS('CARNET DE SOUDURE'!$B$7:$B$1506,$B18,'CARNET DE SOUDURE'!$V$7:$V$1506,"CO"))),0))</f>
        <v>0</v>
      </c>
      <c r="M18" s="39" t="n">
        <f aca="false">IF($B18="","",COUNTIFS('CARNET DE SOUDURE'!$B$7:$B$1506,$B18,'CARNET DE SOUDURE'!$AK$7:$AK$1506,"À RADIOGRAPHIER")+COUNTIFS('CARNET DE SOUDURE'!$B$7:$B$1506,$B18,'CARNET DE SOUDURE'!$AK$7:$AK$1506,"RÉPARÉ – À RADIOGRAPHIER")+COUNTIFS('CARNET DE SOUDURE'!$B$7:$B$1506,$B18,'CARNET DE SOUDURE'!$AK$7:$AK$1506,"NX – RT À REFAIRE"))</f>
        <v>0</v>
      </c>
    </row>
    <row r="19" customFormat="false" ht="15" hidden="false" customHeight="false" outlineLevel="0" collapsed="false">
      <c r="B19" s="41" t="str">
        <f aca="false">IF(PARAMÈTRES!$B$13="","",PARAMÈTRES!$B$13)</f>
        <v>ISB-303</v>
      </c>
      <c r="C19" s="42" t="n">
        <f aca="false">IF($B19="","",N(PARAMÈTRES!$E$13))</f>
        <v>0</v>
      </c>
      <c r="D19" s="42" t="n">
        <f aca="false">IF($B19="","",COUNTIFS('CARNET DE SOUDURE'!$B$7:$B$1506,$B19,'CARNET DE SOUDURE'!$P$7:$P$1506,"&lt;&gt;"))</f>
        <v>0</v>
      </c>
      <c r="E19" s="42" t="n">
        <f aca="false">IF($B19="","",MAX(0,C19-D19))</f>
        <v>0</v>
      </c>
      <c r="F19" s="43" t="n">
        <f aca="false">IF($B19="","",IFERROR(D19/C19,0))</f>
        <v>0</v>
      </c>
      <c r="G19" s="42" t="n">
        <f aca="false">IF($B19="","",COUNTIFS('CARNET DE SOUDURE'!$B$7:$B$1506,$B19,'CARNET DE SOUDURE'!$V$7:$V$1506,"&lt;&gt;"))</f>
        <v>0</v>
      </c>
      <c r="H19" s="43" t="n">
        <f aca="false">IF($B19="","",IFERROR(G19/D19,0))</f>
        <v>0</v>
      </c>
      <c r="I19" s="42" t="n">
        <f aca="false">IF($B19="","",COUNTIFS('CARNET DE SOUDURE'!$B$7:$B$1506,$B19,'CARNET DE SOUDURE'!$AK$7:$AK$1506,"ACCEPTÉ"))</f>
        <v>0</v>
      </c>
      <c r="J19" s="43" t="n">
        <f aca="false">IF($B19="","",IFERROR(I19/D19,0))</f>
        <v>0</v>
      </c>
      <c r="K19" s="42" t="n">
        <f aca="false">IF($B19="","",COUNTIFS('CARNET DE SOUDURE'!$B$7:$B$1506,$B19,'CARNET DE SOUDURE'!$AK$7:$AK$1506,"À RÉPARER")+COUNTIFS('CARNET DE SOUDURE'!$B$7:$B$1506,$B19,'CARNET DE SOUDURE'!$AK$7:$AK$1506,"COUPE – À RESOUDER")+COUNTIFS('CARNET DE SOUDURE'!$B$7:$B$1506,$B19,'CARNET DE SOUDURE'!$AK$7:$AK$1506,"VT REJETÉ – À REPRENDRE"))</f>
        <v>0</v>
      </c>
      <c r="L19" s="43" t="n">
        <f aca="false">IF($B19="","",IFERROR((COUNTIFS('CARNET DE SOUDURE'!$B$7:$B$1506,$B19,'CARNET DE SOUDURE'!$V$7:$V$1506,"R")+COUNTIFS('CARNET DE SOUDURE'!$B$7:$B$1506,$B19,'CARNET DE SOUDURE'!$V$7:$V$1506,"CO"))/(COUNTIFS('CARNET DE SOUDURE'!$B$7:$B$1506,$B19,'CARNET DE SOUDURE'!$V$7:$V$1506,"A")+(COUNTIFS('CARNET DE SOUDURE'!$B$7:$B$1506,$B19,'CARNET DE SOUDURE'!$V$7:$V$1506,"R")+COUNTIFS('CARNET DE SOUDURE'!$B$7:$B$1506,$B19,'CARNET DE SOUDURE'!$V$7:$V$1506,"CO"))),0))</f>
        <v>0</v>
      </c>
      <c r="M19" s="42" t="n">
        <f aca="false">IF($B19="","",COUNTIFS('CARNET DE SOUDURE'!$B$7:$B$1506,$B19,'CARNET DE SOUDURE'!$AK$7:$AK$1506,"À RADIOGRAPHIER")+COUNTIFS('CARNET DE SOUDURE'!$B$7:$B$1506,$B19,'CARNET DE SOUDURE'!$AK$7:$AK$1506,"RÉPARÉ – À RADIOGRAPHIER")+COUNTIFS('CARNET DE SOUDURE'!$B$7:$B$1506,$B19,'CARNET DE SOUDURE'!$AK$7:$AK$1506,"NX – RT À REFAIRE"))</f>
        <v>0</v>
      </c>
    </row>
    <row r="20" customFormat="false" ht="15" hidden="false" customHeight="false" outlineLevel="0" collapsed="false">
      <c r="B20" s="38" t="str">
        <f aca="false">IF(PARAMÈTRES!$B$14="","",PARAMÈTRES!$B$14)</f>
        <v>ISB-304</v>
      </c>
      <c r="C20" s="39" t="n">
        <f aca="false">IF($B20="","",N(PARAMÈTRES!$E$14))</f>
        <v>0</v>
      </c>
      <c r="D20" s="39" t="n">
        <f aca="false">IF($B20="","",COUNTIFS('CARNET DE SOUDURE'!$B$7:$B$1506,$B20,'CARNET DE SOUDURE'!$P$7:$P$1506,"&lt;&gt;"))</f>
        <v>0</v>
      </c>
      <c r="E20" s="39" t="n">
        <f aca="false">IF($B20="","",MAX(0,C20-D20))</f>
        <v>0</v>
      </c>
      <c r="F20" s="40" t="n">
        <f aca="false">IF($B20="","",IFERROR(D20/C20,0))</f>
        <v>0</v>
      </c>
      <c r="G20" s="39" t="n">
        <f aca="false">IF($B20="","",COUNTIFS('CARNET DE SOUDURE'!$B$7:$B$1506,$B20,'CARNET DE SOUDURE'!$V$7:$V$1506,"&lt;&gt;"))</f>
        <v>0</v>
      </c>
      <c r="H20" s="40" t="n">
        <f aca="false">IF($B20="","",IFERROR(G20/D20,0))</f>
        <v>0</v>
      </c>
      <c r="I20" s="39" t="n">
        <f aca="false">IF($B20="","",COUNTIFS('CARNET DE SOUDURE'!$B$7:$B$1506,$B20,'CARNET DE SOUDURE'!$AK$7:$AK$1506,"ACCEPTÉ"))</f>
        <v>0</v>
      </c>
      <c r="J20" s="40" t="n">
        <f aca="false">IF($B20="","",IFERROR(I20/D20,0))</f>
        <v>0</v>
      </c>
      <c r="K20" s="39" t="n">
        <f aca="false">IF($B20="","",COUNTIFS('CARNET DE SOUDURE'!$B$7:$B$1506,$B20,'CARNET DE SOUDURE'!$AK$7:$AK$1506,"À RÉPARER")+COUNTIFS('CARNET DE SOUDURE'!$B$7:$B$1506,$B20,'CARNET DE SOUDURE'!$AK$7:$AK$1506,"COUPE – À RESOUDER")+COUNTIFS('CARNET DE SOUDURE'!$B$7:$B$1506,$B20,'CARNET DE SOUDURE'!$AK$7:$AK$1506,"VT REJETÉ – À REPRENDRE"))</f>
        <v>0</v>
      </c>
      <c r="L20" s="40" t="n">
        <f aca="false">IF($B20="","",IFERROR((COUNTIFS('CARNET DE SOUDURE'!$B$7:$B$1506,$B20,'CARNET DE SOUDURE'!$V$7:$V$1506,"R")+COUNTIFS('CARNET DE SOUDURE'!$B$7:$B$1506,$B20,'CARNET DE SOUDURE'!$V$7:$V$1506,"CO"))/(COUNTIFS('CARNET DE SOUDURE'!$B$7:$B$1506,$B20,'CARNET DE SOUDURE'!$V$7:$V$1506,"A")+(COUNTIFS('CARNET DE SOUDURE'!$B$7:$B$1506,$B20,'CARNET DE SOUDURE'!$V$7:$V$1506,"R")+COUNTIFS('CARNET DE SOUDURE'!$B$7:$B$1506,$B20,'CARNET DE SOUDURE'!$V$7:$V$1506,"CO"))),0))</f>
        <v>0</v>
      </c>
      <c r="M20" s="39" t="n">
        <f aca="false">IF($B20="","",COUNTIFS('CARNET DE SOUDURE'!$B$7:$B$1506,$B20,'CARNET DE SOUDURE'!$AK$7:$AK$1506,"À RADIOGRAPHIER")+COUNTIFS('CARNET DE SOUDURE'!$B$7:$B$1506,$B20,'CARNET DE SOUDURE'!$AK$7:$AK$1506,"RÉPARÉ – À RADIOGRAPHIER")+COUNTIFS('CARNET DE SOUDURE'!$B$7:$B$1506,$B20,'CARNET DE SOUDURE'!$AK$7:$AK$1506,"NX – RT À REFAIRE"))</f>
        <v>0</v>
      </c>
    </row>
    <row r="21" customFormat="false" ht="15" hidden="false" customHeight="false" outlineLevel="0" collapsed="false">
      <c r="B21" s="41" t="str">
        <f aca="false">IF(PARAMÈTRES!$B$15="","",PARAMÈTRES!$B$15)</f>
        <v>TFT 716 → TL7-MMFW2</v>
      </c>
      <c r="C21" s="42" t="n">
        <f aca="false">IF($B21="","",N(PARAMÈTRES!$E$15))</f>
        <v>204</v>
      </c>
      <c r="D21" s="42" t="n">
        <f aca="false">IF($B21="","",COUNTIFS('CARNET DE SOUDURE'!$B$7:$B$1506,$B21,'CARNET DE SOUDURE'!$P$7:$P$1506,"&lt;&gt;"))</f>
        <v>197</v>
      </c>
      <c r="E21" s="42" t="n">
        <f aca="false">IF($B21="","",MAX(0,C21-D21))</f>
        <v>7</v>
      </c>
      <c r="F21" s="43" t="n">
        <f aca="false">IF($B21="","",IFERROR(D21/C21,0))</f>
        <v>0.965686274509804</v>
      </c>
      <c r="G21" s="42" t="n">
        <f aca="false">IF($B21="","",COUNTIFS('CARNET DE SOUDURE'!$B$7:$B$1506,$B21,'CARNET DE SOUDURE'!$V$7:$V$1506,"&lt;&gt;"))</f>
        <v>188</v>
      </c>
      <c r="H21" s="43" t="n">
        <f aca="false">IF($B21="","",IFERROR(G21/D21,0))</f>
        <v>0.954314720812183</v>
      </c>
      <c r="I21" s="42" t="n">
        <f aca="false">IF($B21="","",COUNTIFS('CARNET DE SOUDURE'!$B$7:$B$1506,$B21,'CARNET DE SOUDURE'!$AK$7:$AK$1506,"ACCEPTÉ"))</f>
        <v>188</v>
      </c>
      <c r="J21" s="43" t="n">
        <f aca="false">IF($B21="","",IFERROR(I21/D21,0))</f>
        <v>0.954314720812183</v>
      </c>
      <c r="K21" s="42" t="n">
        <f aca="false">IF($B21="","",COUNTIFS('CARNET DE SOUDURE'!$B$7:$B$1506,$B21,'CARNET DE SOUDURE'!$AK$7:$AK$1506,"À RÉPARER")+COUNTIFS('CARNET DE SOUDURE'!$B$7:$B$1506,$B21,'CARNET DE SOUDURE'!$AK$7:$AK$1506,"COUPE – À RESOUDER")+COUNTIFS('CARNET DE SOUDURE'!$B$7:$B$1506,$B21,'CARNET DE SOUDURE'!$AK$7:$AK$1506,"VT REJETÉ – À REPRENDRE"))</f>
        <v>0</v>
      </c>
      <c r="L21" s="43" t="n">
        <f aca="false">IF($B21="","",IFERROR((COUNTIFS('CARNET DE SOUDURE'!$B$7:$B$1506,$B21,'CARNET DE SOUDURE'!$V$7:$V$1506,"R")+COUNTIFS('CARNET DE SOUDURE'!$B$7:$B$1506,$B21,'CARNET DE SOUDURE'!$V$7:$V$1506,"CO"))/(COUNTIFS('CARNET DE SOUDURE'!$B$7:$B$1506,$B21,'CARNET DE SOUDURE'!$V$7:$V$1506,"A")+(COUNTIFS('CARNET DE SOUDURE'!$B$7:$B$1506,$B21,'CARNET DE SOUDURE'!$V$7:$V$1506,"R")+COUNTIFS('CARNET DE SOUDURE'!$B$7:$B$1506,$B21,'CARNET DE SOUDURE'!$V$7:$V$1506,"CO"))),0))</f>
        <v>0.0106951871657754</v>
      </c>
      <c r="M21" s="42" t="n">
        <f aca="false">IF($B21="","",COUNTIFS('CARNET DE SOUDURE'!$B$7:$B$1506,$B21,'CARNET DE SOUDURE'!$AK$7:$AK$1506,"À RADIOGRAPHIER")+COUNTIFS('CARNET DE SOUDURE'!$B$7:$B$1506,$B21,'CARNET DE SOUDURE'!$AK$7:$AK$1506,"RÉPARÉ – À RADIOGRAPHIER")+COUNTIFS('CARNET DE SOUDURE'!$B$7:$B$1506,$B21,'CARNET DE SOUDURE'!$AK$7:$AK$1506,"NX – RT À REFAIRE"))</f>
        <v>9</v>
      </c>
    </row>
    <row r="22" customFormat="false" ht="15" hidden="false" customHeight="false" outlineLevel="0" collapsed="false">
      <c r="B22" s="38" t="str">
        <f aca="false">IF(PARAMÈTRES!$B$16="","",PARAMÈTRES!$B$16)</f>
        <v/>
      </c>
      <c r="C22" s="39" t="str">
        <f aca="false">IF($B22="","",N(PARAMÈTRES!$E$16))</f>
        <v/>
      </c>
      <c r="D22" s="39" t="str">
        <f aca="false">IF($B22="","",COUNTIFS('CARNET DE SOUDURE'!$B$7:$B$1506,$B22,'CARNET DE SOUDURE'!$P$7:$P$1506,"&lt;&gt;"))</f>
        <v/>
      </c>
      <c r="E22" s="39" t="str">
        <f aca="false">IF($B22="","",MAX(0,C22-D22))</f>
        <v/>
      </c>
      <c r="F22" s="40" t="str">
        <f aca="false">IF($B22="","",IFERROR(D22/C22,0))</f>
        <v/>
      </c>
      <c r="G22" s="39" t="str">
        <f aca="false">IF($B22="","",COUNTIFS('CARNET DE SOUDURE'!$B$7:$B$1506,$B22,'CARNET DE SOUDURE'!$V$7:$V$1506,"&lt;&gt;"))</f>
        <v/>
      </c>
      <c r="H22" s="40" t="str">
        <f aca="false">IF($B22="","",IFERROR(G22/D22,0))</f>
        <v/>
      </c>
      <c r="I22" s="39" t="str">
        <f aca="false">IF($B22="","",COUNTIFS('CARNET DE SOUDURE'!$B$7:$B$1506,$B22,'CARNET DE SOUDURE'!$AK$7:$AK$1506,"ACCEPTÉ"))</f>
        <v/>
      </c>
      <c r="J22" s="40" t="str">
        <f aca="false">IF($B22="","",IFERROR(I22/D22,0))</f>
        <v/>
      </c>
      <c r="K22" s="39" t="str">
        <f aca="false">IF($B22="","",COUNTIFS('CARNET DE SOUDURE'!$B$7:$B$1506,$B22,'CARNET DE SOUDURE'!$AK$7:$AK$1506,"À RÉPARER")+COUNTIFS('CARNET DE SOUDURE'!$B$7:$B$1506,$B22,'CARNET DE SOUDURE'!$AK$7:$AK$1506,"COUPE – À RESOUDER")+COUNTIFS('CARNET DE SOUDURE'!$B$7:$B$1506,$B22,'CARNET DE SOUDURE'!$AK$7:$AK$1506,"VT REJETÉ – À REPRENDRE"))</f>
        <v/>
      </c>
      <c r="L22" s="40" t="str">
        <f aca="false">IF($B22="","",IFERROR((COUNTIFS('CARNET DE SOUDURE'!$B$7:$B$1506,$B22,'CARNET DE SOUDURE'!$V$7:$V$1506,"R")+COUNTIFS('CARNET DE SOUDURE'!$B$7:$B$1506,$B22,'CARNET DE SOUDURE'!$V$7:$V$1506,"CO"))/(COUNTIFS('CARNET DE SOUDURE'!$B$7:$B$1506,$B22,'CARNET DE SOUDURE'!$V$7:$V$1506,"A")+(COUNTIFS('CARNET DE SOUDURE'!$B$7:$B$1506,$B22,'CARNET DE SOUDURE'!$V$7:$V$1506,"R")+COUNTIFS('CARNET DE SOUDURE'!$B$7:$B$1506,$B22,'CARNET DE SOUDURE'!$V$7:$V$1506,"CO"))),0))</f>
        <v/>
      </c>
      <c r="M22" s="39" t="str">
        <f aca="false">IF($B22="","",COUNTIFS('CARNET DE SOUDURE'!$B$7:$B$1506,$B22,'CARNET DE SOUDURE'!$AK$7:$AK$1506,"À RADIOGRAPHIER")+COUNTIFS('CARNET DE SOUDURE'!$B$7:$B$1506,$B22,'CARNET DE SOUDURE'!$AK$7:$AK$1506,"RÉPARÉ – À RADIOGRAPHIER")+COUNTIFS('CARNET DE SOUDURE'!$B$7:$B$1506,$B22,'CARNET DE SOUDURE'!$AK$7:$AK$1506,"NX – RT À REFAIRE"))</f>
        <v/>
      </c>
    </row>
    <row r="23" customFormat="false" ht="15" hidden="false" customHeight="false" outlineLevel="0" collapsed="false">
      <c r="B23" s="41" t="str">
        <f aca="false">IF(PARAMÈTRES!$B$17="","",PARAMÈTRES!$B$17)</f>
        <v/>
      </c>
      <c r="C23" s="42" t="str">
        <f aca="false">IF($B23="","",N(PARAMÈTRES!$E$17))</f>
        <v/>
      </c>
      <c r="D23" s="42" t="str">
        <f aca="false">IF($B23="","",COUNTIFS('CARNET DE SOUDURE'!$B$7:$B$1506,$B23,'CARNET DE SOUDURE'!$P$7:$P$1506,"&lt;&gt;"))</f>
        <v/>
      </c>
      <c r="E23" s="42" t="str">
        <f aca="false">IF($B23="","",MAX(0,C23-D23))</f>
        <v/>
      </c>
      <c r="F23" s="43" t="str">
        <f aca="false">IF($B23="","",IFERROR(D23/C23,0))</f>
        <v/>
      </c>
      <c r="G23" s="42" t="str">
        <f aca="false">IF($B23="","",COUNTIFS('CARNET DE SOUDURE'!$B$7:$B$1506,$B23,'CARNET DE SOUDURE'!$V$7:$V$1506,"&lt;&gt;"))</f>
        <v/>
      </c>
      <c r="H23" s="43" t="str">
        <f aca="false">IF($B23="","",IFERROR(G23/D23,0))</f>
        <v/>
      </c>
      <c r="I23" s="42" t="str">
        <f aca="false">IF($B23="","",COUNTIFS('CARNET DE SOUDURE'!$B$7:$B$1506,$B23,'CARNET DE SOUDURE'!$AK$7:$AK$1506,"ACCEPTÉ"))</f>
        <v/>
      </c>
      <c r="J23" s="43" t="str">
        <f aca="false">IF($B23="","",IFERROR(I23/D23,0))</f>
        <v/>
      </c>
      <c r="K23" s="42" t="str">
        <f aca="false">IF($B23="","",COUNTIFS('CARNET DE SOUDURE'!$B$7:$B$1506,$B23,'CARNET DE SOUDURE'!$AK$7:$AK$1506,"À RÉPARER")+COUNTIFS('CARNET DE SOUDURE'!$B$7:$B$1506,$B23,'CARNET DE SOUDURE'!$AK$7:$AK$1506,"COUPE – À RESOUDER")+COUNTIFS('CARNET DE SOUDURE'!$B$7:$B$1506,$B23,'CARNET DE SOUDURE'!$AK$7:$AK$1506,"VT REJETÉ – À REPRENDRE"))</f>
        <v/>
      </c>
      <c r="L23" s="43" t="str">
        <f aca="false">IF($B23="","",IFERROR((COUNTIFS('CARNET DE SOUDURE'!$B$7:$B$1506,$B23,'CARNET DE SOUDURE'!$V$7:$V$1506,"R")+COUNTIFS('CARNET DE SOUDURE'!$B$7:$B$1506,$B23,'CARNET DE SOUDURE'!$V$7:$V$1506,"CO"))/(COUNTIFS('CARNET DE SOUDURE'!$B$7:$B$1506,$B23,'CARNET DE SOUDURE'!$V$7:$V$1506,"A")+(COUNTIFS('CARNET DE SOUDURE'!$B$7:$B$1506,$B23,'CARNET DE SOUDURE'!$V$7:$V$1506,"R")+COUNTIFS('CARNET DE SOUDURE'!$B$7:$B$1506,$B23,'CARNET DE SOUDURE'!$V$7:$V$1506,"CO"))),0))</f>
        <v/>
      </c>
      <c r="M23" s="42" t="str">
        <f aca="false">IF($B23="","",COUNTIFS('CARNET DE SOUDURE'!$B$7:$B$1506,$B23,'CARNET DE SOUDURE'!$AK$7:$AK$1506,"À RADIOGRAPHIER")+COUNTIFS('CARNET DE SOUDURE'!$B$7:$B$1506,$B23,'CARNET DE SOUDURE'!$AK$7:$AK$1506,"RÉPARÉ – À RADIOGRAPHIER")+COUNTIFS('CARNET DE SOUDURE'!$B$7:$B$1506,$B23,'CARNET DE SOUDURE'!$AK$7:$AK$1506,"NX – RT À REFAIRE"))</f>
        <v/>
      </c>
    </row>
    <row r="24" customFormat="false" ht="15" hidden="false" customHeight="false" outlineLevel="0" collapsed="false">
      <c r="B24" s="38" t="str">
        <f aca="false">IF(PARAMÈTRES!$B$18="","",PARAMÈTRES!$B$18)</f>
        <v/>
      </c>
      <c r="C24" s="39" t="str">
        <f aca="false">IF($B24="","",N(PARAMÈTRES!$E$18))</f>
        <v/>
      </c>
      <c r="D24" s="39" t="str">
        <f aca="false">IF($B24="","",COUNTIFS('CARNET DE SOUDURE'!$B$7:$B$1506,$B24,'CARNET DE SOUDURE'!$P$7:$P$1506,"&lt;&gt;"))</f>
        <v/>
      </c>
      <c r="E24" s="39" t="str">
        <f aca="false">IF($B24="","",MAX(0,C24-D24))</f>
        <v/>
      </c>
      <c r="F24" s="40" t="str">
        <f aca="false">IF($B24="","",IFERROR(D24/C24,0))</f>
        <v/>
      </c>
      <c r="G24" s="39" t="str">
        <f aca="false">IF($B24="","",COUNTIFS('CARNET DE SOUDURE'!$B$7:$B$1506,$B24,'CARNET DE SOUDURE'!$V$7:$V$1506,"&lt;&gt;"))</f>
        <v/>
      </c>
      <c r="H24" s="40" t="str">
        <f aca="false">IF($B24="","",IFERROR(G24/D24,0))</f>
        <v/>
      </c>
      <c r="I24" s="39" t="str">
        <f aca="false">IF($B24="","",COUNTIFS('CARNET DE SOUDURE'!$B$7:$B$1506,$B24,'CARNET DE SOUDURE'!$AK$7:$AK$1506,"ACCEPTÉ"))</f>
        <v/>
      </c>
      <c r="J24" s="40" t="str">
        <f aca="false">IF($B24="","",IFERROR(I24/D24,0))</f>
        <v/>
      </c>
      <c r="K24" s="39" t="str">
        <f aca="false">IF($B24="","",COUNTIFS('CARNET DE SOUDURE'!$B$7:$B$1506,$B24,'CARNET DE SOUDURE'!$AK$7:$AK$1506,"À RÉPARER")+COUNTIFS('CARNET DE SOUDURE'!$B$7:$B$1506,$B24,'CARNET DE SOUDURE'!$AK$7:$AK$1506,"COUPE – À RESOUDER")+COUNTIFS('CARNET DE SOUDURE'!$B$7:$B$1506,$B24,'CARNET DE SOUDURE'!$AK$7:$AK$1506,"VT REJETÉ – À REPRENDRE"))</f>
        <v/>
      </c>
      <c r="L24" s="40" t="str">
        <f aca="false">IF($B24="","",IFERROR((COUNTIFS('CARNET DE SOUDURE'!$B$7:$B$1506,$B24,'CARNET DE SOUDURE'!$V$7:$V$1506,"R")+COUNTIFS('CARNET DE SOUDURE'!$B$7:$B$1506,$B24,'CARNET DE SOUDURE'!$V$7:$V$1506,"CO"))/(COUNTIFS('CARNET DE SOUDURE'!$B$7:$B$1506,$B24,'CARNET DE SOUDURE'!$V$7:$V$1506,"A")+(COUNTIFS('CARNET DE SOUDURE'!$B$7:$B$1506,$B24,'CARNET DE SOUDURE'!$V$7:$V$1506,"R")+COUNTIFS('CARNET DE SOUDURE'!$B$7:$B$1506,$B24,'CARNET DE SOUDURE'!$V$7:$V$1506,"CO"))),0))</f>
        <v/>
      </c>
      <c r="M24" s="39" t="str">
        <f aca="false">IF($B24="","",COUNTIFS('CARNET DE SOUDURE'!$B$7:$B$1506,$B24,'CARNET DE SOUDURE'!$AK$7:$AK$1506,"À RADIOGRAPHIER")+COUNTIFS('CARNET DE SOUDURE'!$B$7:$B$1506,$B24,'CARNET DE SOUDURE'!$AK$7:$AK$1506,"RÉPARÉ – À RADIOGRAPHIER")+COUNTIFS('CARNET DE SOUDURE'!$B$7:$B$1506,$B24,'CARNET DE SOUDURE'!$AK$7:$AK$1506,"NX – RT À REFAIRE"))</f>
        <v/>
      </c>
    </row>
    <row r="25" customFormat="false" ht="15" hidden="false" customHeight="false" outlineLevel="0" collapsed="false">
      <c r="B25" s="41" t="str">
        <f aca="false">IF(PARAMÈTRES!$B$19="","",PARAMÈTRES!$B$19)</f>
        <v/>
      </c>
      <c r="C25" s="42" t="str">
        <f aca="false">IF($B25="","",N(PARAMÈTRES!$E$19))</f>
        <v/>
      </c>
      <c r="D25" s="42" t="str">
        <f aca="false">IF($B25="","",COUNTIFS('CARNET DE SOUDURE'!$B$7:$B$1506,$B25,'CARNET DE SOUDURE'!$P$7:$P$1506,"&lt;&gt;"))</f>
        <v/>
      </c>
      <c r="E25" s="42" t="str">
        <f aca="false">IF($B25="","",MAX(0,C25-D25))</f>
        <v/>
      </c>
      <c r="F25" s="43" t="str">
        <f aca="false">IF($B25="","",IFERROR(D25/C25,0))</f>
        <v/>
      </c>
      <c r="G25" s="42" t="str">
        <f aca="false">IF($B25="","",COUNTIFS('CARNET DE SOUDURE'!$B$7:$B$1506,$B25,'CARNET DE SOUDURE'!$V$7:$V$1506,"&lt;&gt;"))</f>
        <v/>
      </c>
      <c r="H25" s="43" t="str">
        <f aca="false">IF($B25="","",IFERROR(G25/D25,0))</f>
        <v/>
      </c>
      <c r="I25" s="42" t="str">
        <f aca="false">IF($B25="","",COUNTIFS('CARNET DE SOUDURE'!$B$7:$B$1506,$B25,'CARNET DE SOUDURE'!$AK$7:$AK$1506,"ACCEPTÉ"))</f>
        <v/>
      </c>
      <c r="J25" s="43" t="str">
        <f aca="false">IF($B25="","",IFERROR(I25/D25,0))</f>
        <v/>
      </c>
      <c r="K25" s="42" t="str">
        <f aca="false">IF($B25="","",COUNTIFS('CARNET DE SOUDURE'!$B$7:$B$1506,$B25,'CARNET DE SOUDURE'!$AK$7:$AK$1506,"À RÉPARER")+COUNTIFS('CARNET DE SOUDURE'!$B$7:$B$1506,$B25,'CARNET DE SOUDURE'!$AK$7:$AK$1506,"COUPE – À RESOUDER")+COUNTIFS('CARNET DE SOUDURE'!$B$7:$B$1506,$B25,'CARNET DE SOUDURE'!$AK$7:$AK$1506,"VT REJETÉ – À REPRENDRE"))</f>
        <v/>
      </c>
      <c r="L25" s="43" t="str">
        <f aca="false">IF($B25="","",IFERROR((COUNTIFS('CARNET DE SOUDURE'!$B$7:$B$1506,$B25,'CARNET DE SOUDURE'!$V$7:$V$1506,"R")+COUNTIFS('CARNET DE SOUDURE'!$B$7:$B$1506,$B25,'CARNET DE SOUDURE'!$V$7:$V$1506,"CO"))/(COUNTIFS('CARNET DE SOUDURE'!$B$7:$B$1506,$B25,'CARNET DE SOUDURE'!$V$7:$V$1506,"A")+(COUNTIFS('CARNET DE SOUDURE'!$B$7:$B$1506,$B25,'CARNET DE SOUDURE'!$V$7:$V$1506,"R")+COUNTIFS('CARNET DE SOUDURE'!$B$7:$B$1506,$B25,'CARNET DE SOUDURE'!$V$7:$V$1506,"CO"))),0))</f>
        <v/>
      </c>
      <c r="M25" s="42" t="str">
        <f aca="false">IF($B25="","",COUNTIFS('CARNET DE SOUDURE'!$B$7:$B$1506,$B25,'CARNET DE SOUDURE'!$AK$7:$AK$1506,"À RADIOGRAPHIER")+COUNTIFS('CARNET DE SOUDURE'!$B$7:$B$1506,$B25,'CARNET DE SOUDURE'!$AK$7:$AK$1506,"RÉPARÉ – À RADIOGRAPHIER")+COUNTIFS('CARNET DE SOUDURE'!$B$7:$B$1506,$B25,'CARNET DE SOUDURE'!$AK$7:$AK$1506,"NX – RT À REFAIRE"))</f>
        <v/>
      </c>
    </row>
    <row r="26" customFormat="false" ht="15" hidden="false" customHeight="false" outlineLevel="0" collapsed="false">
      <c r="B26" s="44" t="s">
        <v>29</v>
      </c>
      <c r="C26" s="45" t="n">
        <f aca="false">SUM(C18:C25)</f>
        <v>204</v>
      </c>
      <c r="D26" s="45" t="n">
        <f aca="false">SUM(D18:D25)</f>
        <v>197</v>
      </c>
      <c r="E26" s="45" t="n">
        <f aca="false">SUM(E18:E25)</f>
        <v>7</v>
      </c>
      <c r="F26" s="46" t="n">
        <f aca="false">IFERROR(D26/C26,0)</f>
        <v>0.965686274509804</v>
      </c>
      <c r="G26" s="45" t="n">
        <f aca="false">SUM(G18:G25)</f>
        <v>188</v>
      </c>
      <c r="H26" s="46" t="n">
        <f aca="false">IFERROR(G26/D26,0)</f>
        <v>0.954314720812183</v>
      </c>
      <c r="I26" s="45" t="n">
        <f aca="false">SUM(I18:I25)</f>
        <v>188</v>
      </c>
      <c r="J26" s="46" t="n">
        <f aca="false">IFERROR(I26/D26,0)</f>
        <v>0.954314720812183</v>
      </c>
      <c r="K26" s="45" t="n">
        <f aca="false">SUM(K18:K25)</f>
        <v>0</v>
      </c>
      <c r="L26" s="46" t="n">
        <f aca="false">IFERROR((COUNTIF('CARNET DE SOUDURE'!$V$7:$V$1506,"R")+COUNTIF('CARNET DE SOUDURE'!$V$7:$V$1506,"CO"))/(COUNTIF('CARNET DE SOUDURE'!$V$7:$V$1506,"A")+COUNTIF('CARNET DE SOUDURE'!$V$7:$V$1506,"R")+COUNTIF('CARNET DE SOUDURE'!$V$7:$V$1506,"CO")),0)</f>
        <v>0.0106951871657754</v>
      </c>
      <c r="M26" s="45" t="n">
        <f aca="false">SUM(M18:M25)</f>
        <v>9</v>
      </c>
    </row>
    <row r="28" customFormat="false" ht="15" hidden="false" customHeight="true" outlineLevel="0" collapsed="false">
      <c r="J28" s="37" t="s">
        <v>30</v>
      </c>
      <c r="K28" s="37"/>
      <c r="L28" s="37" t="s">
        <v>31</v>
      </c>
      <c r="M28" s="37" t="s">
        <v>32</v>
      </c>
    </row>
    <row r="29" customFormat="false" ht="15" hidden="false" customHeight="true" outlineLevel="0" collapsed="false">
      <c r="J29" s="47" t="s">
        <v>33</v>
      </c>
      <c r="K29" s="47"/>
      <c r="L29" s="39" t="n">
        <f aca="false">COUNTIFS('CARNET DE SOUDURE'!$B$7:$B$1506,$O$5,'CARNET DE SOUDURE'!$AK$7:$AK$1506,"ACCEPTÉ")</f>
        <v>188</v>
      </c>
      <c r="M29" s="40" t="n">
        <f aca="false">IFERROR(L29/SUM($L$29:$L$37),0)</f>
        <v>0.917073170731707</v>
      </c>
    </row>
    <row r="30" customFormat="false" ht="15" hidden="false" customHeight="true" outlineLevel="0" collapsed="false">
      <c r="J30" s="48" t="s">
        <v>34</v>
      </c>
      <c r="K30" s="48"/>
      <c r="L30" s="39" t="n">
        <f aca="false">COUNTIFS('CARNET DE SOUDURE'!$B$7:$B$1506,$O$5,'CARNET DE SOUDURE'!$AK$7:$AK$1506,"À RADIOGRAPHIER")</f>
        <v>9</v>
      </c>
      <c r="M30" s="40" t="n">
        <f aca="false">IFERROR(L30/SUM($L$29:$L$37),0)</f>
        <v>0.0439024390243902</v>
      </c>
    </row>
    <row r="31" customFormat="false" ht="15" hidden="false" customHeight="true" outlineLevel="0" collapsed="false">
      <c r="J31" s="48" t="s">
        <v>35</v>
      </c>
      <c r="K31" s="48"/>
      <c r="L31" s="39" t="n">
        <f aca="false">COUNTIFS('CARNET DE SOUDURE'!$B$7:$B$1506,$O$5,'CARNET DE SOUDURE'!$AK$7:$AK$1506,"RÉPARÉ – À RADIOGRAPHIER")</f>
        <v>0</v>
      </c>
      <c r="M31" s="40" t="n">
        <f aca="false">IFERROR(L31/SUM($L$29:$L$37),0)</f>
        <v>0</v>
      </c>
    </row>
    <row r="32" customFormat="false" ht="15" hidden="false" customHeight="true" outlineLevel="0" collapsed="false">
      <c r="J32" s="49" t="s">
        <v>12</v>
      </c>
      <c r="K32" s="49"/>
      <c r="L32" s="39" t="n">
        <f aca="false">COUNTIFS('CARNET DE SOUDURE'!$B$7:$B$1506,$O$5,'CARNET DE SOUDURE'!$AK$7:$AK$1506,"NX – RT À REFAIRE")</f>
        <v>0</v>
      </c>
      <c r="M32" s="40" t="n">
        <f aca="false">IFERROR(L32/SUM($L$29:$L$37),0)</f>
        <v>0</v>
      </c>
    </row>
    <row r="33" customFormat="false" ht="15" hidden="false" customHeight="true" outlineLevel="0" collapsed="false">
      <c r="J33" s="50" t="s">
        <v>36</v>
      </c>
      <c r="K33" s="50"/>
      <c r="L33" s="39" t="n">
        <f aca="false">COUNTIFS('CARNET DE SOUDURE'!$B$7:$B$1506,$O$5,'CARNET DE SOUDURE'!$AK$7:$AK$1506,"À RÉPARER")</f>
        <v>0</v>
      </c>
      <c r="M33" s="40" t="n">
        <f aca="false">IFERROR(L33/SUM($L$29:$L$37),0)</f>
        <v>0</v>
      </c>
    </row>
    <row r="34" customFormat="false" ht="15" hidden="false" customHeight="true" outlineLevel="0" collapsed="false">
      <c r="J34" s="51" t="s">
        <v>37</v>
      </c>
      <c r="K34" s="51"/>
      <c r="L34" s="39" t="n">
        <f aca="false">COUNTIFS('CARNET DE SOUDURE'!$B$7:$B$1506,$O$5,'CARNET DE SOUDURE'!$AK$7:$AK$1506,"COUPE – À RESOUDER")</f>
        <v>0</v>
      </c>
      <c r="M34" s="40" t="n">
        <f aca="false">IFERROR(L34/SUM($L$29:$L$37),0)</f>
        <v>0</v>
      </c>
    </row>
    <row r="35" customFormat="false" ht="15" hidden="false" customHeight="true" outlineLevel="0" collapsed="false">
      <c r="J35" s="50" t="s">
        <v>38</v>
      </c>
      <c r="K35" s="50"/>
      <c r="L35" s="39" t="n">
        <f aca="false">COUNTIFS('CARNET DE SOUDURE'!$B$7:$B$1506,$O$5,'CARNET DE SOUDURE'!$AK$7:$AK$1506,"VT REJETÉ – À REPRENDRE")</f>
        <v>0</v>
      </c>
      <c r="M35" s="40" t="n">
        <f aca="false">IFERROR(L35/SUM($L$29:$L$37),0)</f>
        <v>0</v>
      </c>
    </row>
    <row r="36" customFormat="false" ht="15" hidden="false" customHeight="true" outlineLevel="0" collapsed="false">
      <c r="J36" s="52" t="s">
        <v>39</v>
      </c>
      <c r="K36" s="52"/>
      <c r="L36" s="39" t="n">
        <f aca="false">COUNTIFS('CARNET DE SOUDURE'!$B$7:$B$1506,$O$5,'CARNET DE SOUDURE'!$AK$7:$AK$1506,"VT EN ATTENTE")</f>
        <v>0</v>
      </c>
      <c r="M36" s="40" t="n">
        <f aca="false">IFERROR(L36/SUM($L$29:$L$37),0)</f>
        <v>0</v>
      </c>
    </row>
    <row r="37" customFormat="false" ht="15" hidden="false" customHeight="true" outlineLevel="0" collapsed="false">
      <c r="J37" s="53" t="s">
        <v>40</v>
      </c>
      <c r="K37" s="53"/>
      <c r="L37" s="39" t="n">
        <f aca="false">COUNTIFS('CARNET DE SOUDURE'!$B$7:$B$1506,$O$5,'CARNET DE SOUDURE'!$AK$7:$AK$1506,"À SOUDER")</f>
        <v>8</v>
      </c>
      <c r="M37" s="40" t="n">
        <f aca="false">IFERROR(L37/SUM($L$29:$L$37),0)</f>
        <v>0.0390243902439024</v>
      </c>
    </row>
    <row r="55" customFormat="false" ht="24" hidden="false" customHeight="true" outlineLevel="0" collapsed="false">
      <c r="B55" s="36" t="s">
        <v>41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customFormat="false" ht="15" hidden="false" customHeight="true" outlineLevel="0" collapsed="false">
      <c r="B56" s="54" t="s">
        <v>42</v>
      </c>
      <c r="C56" s="54" t="s">
        <v>43</v>
      </c>
      <c r="D56" s="54"/>
      <c r="E56" s="54" t="s">
        <v>19</v>
      </c>
      <c r="F56" s="54" t="s">
        <v>22</v>
      </c>
      <c r="G56" s="54" t="s">
        <v>44</v>
      </c>
      <c r="H56" s="54" t="s">
        <v>27</v>
      </c>
      <c r="I56" s="54" t="s">
        <v>45</v>
      </c>
    </row>
    <row r="57" customFormat="false" ht="15" hidden="false" customHeight="false" outlineLevel="0" collapsed="false">
      <c r="B57" s="55" t="str">
        <f aca="false">SOUDEURS!B6</f>
        <v>WR-01</v>
      </c>
      <c r="C57" s="56" t="str">
        <f aca="false">IF(SOUDEURS!C6="","",SOUDEURS!C6)</f>
        <v>BRAHIMI Boumediene</v>
      </c>
      <c r="D57" s="56"/>
      <c r="E57" s="57" t="n">
        <f aca="false">SOUDEURS!F6</f>
        <v>0</v>
      </c>
      <c r="F57" s="57" t="n">
        <f aca="false">SOUDEURS!G6</f>
        <v>0</v>
      </c>
      <c r="G57" s="57" t="n">
        <f aca="false">SOUDEURS!H6</f>
        <v>0</v>
      </c>
      <c r="H57" s="58" t="n">
        <f aca="false">SOUDEURS!I6</f>
        <v>0</v>
      </c>
      <c r="I57" s="59" t="str">
        <f aca="false">SOUDEURS!K6</f>
        <v>—</v>
      </c>
    </row>
    <row r="58" customFormat="false" ht="15" hidden="false" customHeight="false" outlineLevel="0" collapsed="false">
      <c r="B58" s="55" t="str">
        <f aca="false">SOUDEURS!B7</f>
        <v>WR-02</v>
      </c>
      <c r="C58" s="56" t="str">
        <f aca="false">IF(SOUDEURS!C7="","",SOUDEURS!C7)</f>
        <v>MEHANGUEF Med Amine</v>
      </c>
      <c r="D58" s="56"/>
      <c r="E58" s="57" t="n">
        <f aca="false">SOUDEURS!F7</f>
        <v>86</v>
      </c>
      <c r="F58" s="57" t="n">
        <f aca="false">SOUDEURS!G7</f>
        <v>80</v>
      </c>
      <c r="G58" s="57" t="n">
        <f aca="false">SOUDEURS!H7</f>
        <v>1</v>
      </c>
      <c r="H58" s="58" t="n">
        <f aca="false">SOUDEURS!I7</f>
        <v>0.0125</v>
      </c>
      <c r="I58" s="59" t="str">
        <f aca="false">SOUDEURS!K7</f>
        <v>Excellent</v>
      </c>
    </row>
    <row r="59" customFormat="false" ht="15" hidden="false" customHeight="false" outlineLevel="0" collapsed="false">
      <c r="B59" s="55" t="str">
        <f aca="false">SOUDEURS!B8</f>
        <v>WR-03</v>
      </c>
      <c r="C59" s="56" t="str">
        <f aca="false">IF(SOUDEURS!C8="","",SOUDEURS!C8)</f>
        <v>BEN KREDDA Mohammed Amine</v>
      </c>
      <c r="D59" s="56"/>
      <c r="E59" s="57" t="n">
        <f aca="false">SOUDEURS!F8</f>
        <v>0</v>
      </c>
      <c r="F59" s="57" t="n">
        <f aca="false">SOUDEURS!G8</f>
        <v>0</v>
      </c>
      <c r="G59" s="57" t="n">
        <f aca="false">SOUDEURS!H8</f>
        <v>0</v>
      </c>
      <c r="H59" s="58" t="n">
        <f aca="false">SOUDEURS!I8</f>
        <v>0</v>
      </c>
      <c r="I59" s="59" t="str">
        <f aca="false">SOUDEURS!K8</f>
        <v>—</v>
      </c>
    </row>
    <row r="60" customFormat="false" ht="15" hidden="false" customHeight="false" outlineLevel="0" collapsed="false">
      <c r="B60" s="55" t="str">
        <f aca="false">SOUDEURS!B9</f>
        <v>WR-04</v>
      </c>
      <c r="C60" s="56" t="str">
        <f aca="false">IF(SOUDEURS!C9="","",SOUDEURS!C9)</f>
        <v>DEHKEL Ammar</v>
      </c>
      <c r="D60" s="56"/>
      <c r="E60" s="57" t="n">
        <f aca="false">SOUDEURS!F9</f>
        <v>0</v>
      </c>
      <c r="F60" s="57" t="n">
        <f aca="false">SOUDEURS!G9</f>
        <v>0</v>
      </c>
      <c r="G60" s="57" t="n">
        <f aca="false">SOUDEURS!H9</f>
        <v>0</v>
      </c>
      <c r="H60" s="58" t="n">
        <f aca="false">SOUDEURS!I9</f>
        <v>0</v>
      </c>
      <c r="I60" s="59" t="str">
        <f aca="false">SOUDEURS!K9</f>
        <v>—</v>
      </c>
    </row>
    <row r="61" customFormat="false" ht="15" hidden="false" customHeight="false" outlineLevel="0" collapsed="false">
      <c r="B61" s="55" t="str">
        <f aca="false">SOUDEURS!B10</f>
        <v>WR-05</v>
      </c>
      <c r="C61" s="56" t="str">
        <f aca="false">IF(SOUDEURS!C10="","",SOUDEURS!C10)</f>
        <v>KHOCHNI Sofiane</v>
      </c>
      <c r="D61" s="56"/>
      <c r="E61" s="57" t="n">
        <f aca="false">SOUDEURS!F10</f>
        <v>169</v>
      </c>
      <c r="F61" s="57" t="n">
        <f aca="false">SOUDEURS!G10</f>
        <v>168</v>
      </c>
      <c r="G61" s="57" t="n">
        <f aca="false">SOUDEURS!H10</f>
        <v>2</v>
      </c>
      <c r="H61" s="58" t="n">
        <f aca="false">SOUDEURS!I10</f>
        <v>0.0119047619047619</v>
      </c>
      <c r="I61" s="59" t="str">
        <f aca="false">SOUDEURS!K10</f>
        <v>Excellent</v>
      </c>
    </row>
    <row r="62" customFormat="false" ht="15" hidden="false" customHeight="false" outlineLevel="0" collapsed="false">
      <c r="B62" s="55" t="str">
        <f aca="false">SOUDEURS!B11</f>
        <v>WR-06</v>
      </c>
      <c r="C62" s="56" t="str">
        <f aca="false">IF(SOUDEURS!C11="","",SOUDEURS!C11)</f>
        <v>ACHOUR Walid</v>
      </c>
      <c r="D62" s="56"/>
      <c r="E62" s="57" t="n">
        <f aca="false">SOUDEURS!F11</f>
        <v>62</v>
      </c>
      <c r="F62" s="57" t="n">
        <f aca="false">SOUDEURS!G11</f>
        <v>61</v>
      </c>
      <c r="G62" s="57" t="n">
        <f aca="false">SOUDEURS!H11</f>
        <v>1</v>
      </c>
      <c r="H62" s="58" t="n">
        <f aca="false">SOUDEURS!I11</f>
        <v>0.0163934426229508</v>
      </c>
      <c r="I62" s="59" t="str">
        <f aca="false">SOUDEURS!K11</f>
        <v>Excellent</v>
      </c>
    </row>
    <row r="63" customFormat="false" ht="15" hidden="false" customHeight="false" outlineLevel="0" collapsed="false">
      <c r="B63" s="55" t="str">
        <f aca="false">SOUDEURS!B12</f>
        <v>WR-07</v>
      </c>
      <c r="C63" s="56" t="str">
        <f aca="false">IF(SOUDEURS!C12="","",SOUDEURS!C12)</f>
        <v/>
      </c>
      <c r="D63" s="56"/>
      <c r="E63" s="57" t="n">
        <f aca="false">SOUDEURS!F12</f>
        <v>0</v>
      </c>
      <c r="F63" s="57" t="n">
        <f aca="false">SOUDEURS!G12</f>
        <v>0</v>
      </c>
      <c r="G63" s="57" t="n">
        <f aca="false">SOUDEURS!H12</f>
        <v>0</v>
      </c>
      <c r="H63" s="58" t="n">
        <f aca="false">SOUDEURS!I12</f>
        <v>0</v>
      </c>
      <c r="I63" s="59" t="str">
        <f aca="false">SOUDEURS!K12</f>
        <v>—</v>
      </c>
    </row>
    <row r="64" customFormat="false" ht="15" hidden="false" customHeight="false" outlineLevel="0" collapsed="false">
      <c r="B64" s="55" t="str">
        <f aca="false">SOUDEURS!B13</f>
        <v>WR-08</v>
      </c>
      <c r="C64" s="56" t="str">
        <f aca="false">IF(SOUDEURS!C13="","",SOUDEURS!C13)</f>
        <v/>
      </c>
      <c r="D64" s="56"/>
      <c r="E64" s="57" t="n">
        <f aca="false">SOUDEURS!F13</f>
        <v>0</v>
      </c>
      <c r="F64" s="57" t="n">
        <f aca="false">SOUDEURS!G13</f>
        <v>0</v>
      </c>
      <c r="G64" s="57" t="n">
        <f aca="false">SOUDEURS!H13</f>
        <v>0</v>
      </c>
      <c r="H64" s="58" t="n">
        <f aca="false">SOUDEURS!I13</f>
        <v>0</v>
      </c>
      <c r="I64" s="59" t="str">
        <f aca="false">SOUDEURS!K13</f>
        <v>—</v>
      </c>
    </row>
    <row r="65" customFormat="false" ht="15" hidden="false" customHeight="false" outlineLevel="0" collapsed="false">
      <c r="B65" s="55" t="str">
        <f aca="false">SOUDEURS!B14</f>
        <v>WR-09</v>
      </c>
      <c r="C65" s="56" t="str">
        <f aca="false">IF(SOUDEURS!C14="","",SOUDEURS!C14)</f>
        <v>LALA Lazhar</v>
      </c>
      <c r="D65" s="56"/>
      <c r="E65" s="57" t="n">
        <f aca="false">SOUDEURS!F14</f>
        <v>14</v>
      </c>
      <c r="F65" s="57" t="n">
        <f aca="false">SOUDEURS!G14</f>
        <v>10</v>
      </c>
      <c r="G65" s="57" t="n">
        <f aca="false">SOUDEURS!H14</f>
        <v>0</v>
      </c>
      <c r="H65" s="58" t="n">
        <f aca="false">SOUDEURS!I14</f>
        <v>0</v>
      </c>
      <c r="I65" s="59" t="str">
        <f aca="false">SOUDEURS!K14</f>
        <v>Excellent</v>
      </c>
    </row>
    <row r="66" customFormat="false" ht="15" hidden="false" customHeight="false" outlineLevel="0" collapsed="false">
      <c r="B66" s="55" t="str">
        <f aca="false">SOUDEURS!B15</f>
        <v>WR-10</v>
      </c>
      <c r="C66" s="56" t="str">
        <f aca="false">IF(SOUDEURS!C15="","",SOUDEURS!C15)</f>
        <v>BOUTAIBA Nour Eddine</v>
      </c>
      <c r="D66" s="56"/>
      <c r="E66" s="57" t="n">
        <f aca="false">SOUDEURS!F15</f>
        <v>39</v>
      </c>
      <c r="F66" s="57" t="n">
        <f aca="false">SOUDEURS!G15</f>
        <v>39</v>
      </c>
      <c r="G66" s="57" t="n">
        <f aca="false">SOUDEURS!H15</f>
        <v>0</v>
      </c>
      <c r="H66" s="58" t="n">
        <f aca="false">SOUDEURS!I15</f>
        <v>0</v>
      </c>
      <c r="I66" s="59" t="str">
        <f aca="false">SOUDEURS!K15</f>
        <v>Excellent</v>
      </c>
    </row>
    <row r="67" customFormat="false" ht="15" hidden="false" customHeight="false" outlineLevel="0" collapsed="false">
      <c r="B67" s="55" t="str">
        <f aca="false">SOUDEURS!B16</f>
        <v>WR-11</v>
      </c>
      <c r="C67" s="56" t="str">
        <f aca="false">IF(SOUDEURS!C16="","",SOUDEURS!C16)</f>
        <v>HAMOUCHE Zahir</v>
      </c>
      <c r="D67" s="56"/>
      <c r="E67" s="57" t="n">
        <f aca="false">SOUDEURS!F16</f>
        <v>0</v>
      </c>
      <c r="F67" s="57" t="n">
        <f aca="false">SOUDEURS!G16</f>
        <v>0</v>
      </c>
      <c r="G67" s="57" t="n">
        <f aca="false">SOUDEURS!H16</f>
        <v>0</v>
      </c>
      <c r="H67" s="58" t="n">
        <f aca="false">SOUDEURS!I16</f>
        <v>0</v>
      </c>
      <c r="I67" s="59" t="str">
        <f aca="false">SOUDEURS!K16</f>
        <v>—</v>
      </c>
    </row>
    <row r="68" customFormat="false" ht="15" hidden="false" customHeight="false" outlineLevel="0" collapsed="false">
      <c r="B68" s="55" t="str">
        <f aca="false">SOUDEURS!B17</f>
        <v>WR-12</v>
      </c>
      <c r="C68" s="56" t="str">
        <f aca="false">IF(SOUDEURS!C17="","",SOUDEURS!C17)</f>
        <v/>
      </c>
      <c r="D68" s="56"/>
      <c r="E68" s="57" t="n">
        <f aca="false">SOUDEURS!F17</f>
        <v>0</v>
      </c>
      <c r="F68" s="57" t="n">
        <f aca="false">SOUDEURS!G17</f>
        <v>0</v>
      </c>
      <c r="G68" s="57" t="n">
        <f aca="false">SOUDEURS!H17</f>
        <v>0</v>
      </c>
      <c r="H68" s="58" t="n">
        <f aca="false">SOUDEURS!I17</f>
        <v>0</v>
      </c>
      <c r="I68" s="59" t="str">
        <f aca="false">SOUDEURS!K17</f>
        <v>—</v>
      </c>
    </row>
    <row r="69" customFormat="false" ht="15" hidden="false" customHeight="false" outlineLevel="0" collapsed="false">
      <c r="B69" s="55" t="str">
        <f aca="false">SOUDEURS!B18</f>
        <v>WR-13</v>
      </c>
      <c r="C69" s="56" t="str">
        <f aca="false">IF(SOUDEURS!C18="","",SOUDEURS!C18)</f>
        <v/>
      </c>
      <c r="D69" s="56"/>
      <c r="E69" s="57" t="n">
        <f aca="false">SOUDEURS!F18</f>
        <v>0</v>
      </c>
      <c r="F69" s="57" t="n">
        <f aca="false">SOUDEURS!G18</f>
        <v>0</v>
      </c>
      <c r="G69" s="57" t="n">
        <f aca="false">SOUDEURS!H18</f>
        <v>0</v>
      </c>
      <c r="H69" s="58" t="n">
        <f aca="false">SOUDEURS!I18</f>
        <v>0</v>
      </c>
      <c r="I69" s="59" t="str">
        <f aca="false">SOUDEURS!K18</f>
        <v>—</v>
      </c>
    </row>
    <row r="70" customFormat="false" ht="15" hidden="false" customHeight="false" outlineLevel="0" collapsed="false">
      <c r="B70" s="55" t="str">
        <f aca="false">SOUDEURS!B19</f>
        <v>WR-14</v>
      </c>
      <c r="C70" s="56" t="str">
        <f aca="false">IF(SOUDEURS!C19="","",SOUDEURS!C19)</f>
        <v/>
      </c>
      <c r="D70" s="56"/>
      <c r="E70" s="57" t="n">
        <f aca="false">SOUDEURS!F19</f>
        <v>0</v>
      </c>
      <c r="F70" s="57" t="n">
        <f aca="false">SOUDEURS!G19</f>
        <v>0</v>
      </c>
      <c r="G70" s="57" t="n">
        <f aca="false">SOUDEURS!H19</f>
        <v>0</v>
      </c>
      <c r="H70" s="58" t="n">
        <f aca="false">SOUDEURS!I19</f>
        <v>0</v>
      </c>
      <c r="I70" s="59" t="str">
        <f aca="false">SOUDEURS!K19</f>
        <v>—</v>
      </c>
    </row>
    <row r="71" customFormat="false" ht="15" hidden="false" customHeight="false" outlineLevel="0" collapsed="false">
      <c r="B71" s="55" t="str">
        <f aca="false">SOUDEURS!B20</f>
        <v>WR-15</v>
      </c>
      <c r="C71" s="56" t="str">
        <f aca="false">IF(SOUDEURS!C20="","",SOUDEURS!C20)</f>
        <v/>
      </c>
      <c r="D71" s="56"/>
      <c r="E71" s="57" t="n">
        <f aca="false">SOUDEURS!F20</f>
        <v>0</v>
      </c>
      <c r="F71" s="57" t="n">
        <f aca="false">SOUDEURS!G20</f>
        <v>0</v>
      </c>
      <c r="G71" s="57" t="n">
        <f aca="false">SOUDEURS!H20</f>
        <v>0</v>
      </c>
      <c r="H71" s="58" t="n">
        <f aca="false">SOUDEURS!I20</f>
        <v>0</v>
      </c>
      <c r="I71" s="59" t="str">
        <f aca="false">SOUDEURS!K20</f>
        <v>—</v>
      </c>
    </row>
  </sheetData>
  <mergeCells count="62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B55:M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</mergeCells>
  <conditionalFormatting sqref="F18:F25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{7BD03D7D-104E-4888-A4C9-C0A79F189E6B}</x14:id>
        </ext>
      </extLst>
    </cfRule>
  </conditionalFormatting>
  <conditionalFormatting sqref="H18:H25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{3F7FB8F2-C6D0-4994-8D13-B06D389FAC5B}</x14:id>
        </ext>
      </extLst>
    </cfRule>
  </conditionalFormatting>
  <conditionalFormatting sqref="J18:J25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{5470203A-C5C0-49D6-A7DF-A83CBEE267D7}</x14:id>
        </ext>
      </extLst>
    </cfRule>
  </conditionalFormatting>
  <conditionalFormatting sqref="L18:L25">
    <cfRule type="cellIs" priority="5" operator="greaterThan" aboveAverage="0" equalAverage="0" bottom="0" percent="0" rank="0" text="" dxfId="0">
      <formula>0.05</formula>
    </cfRule>
  </conditionalFormatting>
  <conditionalFormatting sqref="K18:K25">
    <cfRule type="cellIs" priority="6" operator="greaterThan" aboveAverage="0" equalAverage="0" bottom="0" percent="0" rank="0" text="" dxfId="0">
      <formula>0</formula>
    </cfRule>
  </conditionalFormatting>
  <conditionalFormatting sqref="H57:H71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{F8B0D0FF-2F8D-4083-A9A3-CC88994020F6}</x14:id>
        </ext>
      </extLst>
    </cfRule>
  </conditionalFormatting>
  <conditionalFormatting sqref="I57:I71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03D7D-104E-4888-A4C9-C0A79F189E6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F18:F25</xm:sqref>
        </x14:conditionalFormatting>
        <x14:conditionalFormatting xmlns:xm="http://schemas.microsoft.com/office/excel/2006/main">
          <x14:cfRule type="dataBar" id="{3F7FB8F2-C6D0-4994-8D13-B06D389FAC5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H18:H25</xm:sqref>
        </x14:conditionalFormatting>
        <x14:conditionalFormatting xmlns:xm="http://schemas.microsoft.com/office/excel/2006/main">
          <x14:cfRule type="dataBar" id="{5470203A-C5C0-49D6-A7DF-A83CBEE267D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J18:J25</xm:sqref>
        </x14:conditionalFormatting>
        <x14:conditionalFormatting xmlns:xm="http://schemas.microsoft.com/office/excel/2006/main">
          <x14:cfRule type="dataBar" id="{F8B0D0FF-2F8D-4083-A9A3-CC88994020F6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H57:H71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P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5" min="11" style="0" width="9"/>
    <col collapsed="false" customWidth="true" hidden="false" outlineLevel="0" max="17" min="16" style="0" width="11"/>
    <col collapsed="false" customWidth="true" hidden="false" outlineLevel="0" max="18" min="18" style="0" width="9"/>
    <col collapsed="false" customWidth="true" hidden="false" outlineLevel="0" max="19" min="19" style="0" width="6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2" min="22" style="0" width="6"/>
    <col collapsed="false" customWidth="true" hidden="false" outlineLevel="0" max="23" min="23" style="0" width="8"/>
    <col collapsed="false" customWidth="true" hidden="false" outlineLevel="0" max="24" min="24" style="0" width="7"/>
    <col collapsed="false" customWidth="true" hidden="false" outlineLevel="0" max="25" min="25" style="0" width="11"/>
    <col collapsed="false" customWidth="true" hidden="false" outlineLevel="0" max="26" min="26" style="0" width="10"/>
    <col collapsed="false" customWidth="true" hidden="false" outlineLevel="0" max="27" min="27" style="0" width="7"/>
    <col collapsed="false" customWidth="true" hidden="false" outlineLevel="0" max="28" min="28" style="0" width="8"/>
    <col collapsed="false" customWidth="true" hidden="false" outlineLevel="0" max="29" min="29" style="0" width="7"/>
    <col collapsed="false" customWidth="true" hidden="false" outlineLevel="0" max="30" min="30" style="0" width="11"/>
    <col collapsed="false" customWidth="true" hidden="false" outlineLevel="0" max="31" min="31" style="0" width="10"/>
    <col collapsed="false" customWidth="true" hidden="false" outlineLevel="0" max="32" min="32" style="0" width="7"/>
    <col collapsed="false" customWidth="true" hidden="false" outlineLevel="0" max="33" min="33" style="0" width="11"/>
    <col collapsed="false" customWidth="true" hidden="false" outlineLevel="0" max="34" min="34" style="0" width="22"/>
    <col collapsed="false" customWidth="true" hidden="false" outlineLevel="0" max="35" min="35" style="0" width="6"/>
    <col collapsed="false" customWidth="true" hidden="false" outlineLevel="0" max="36" min="36" style="0" width="8"/>
    <col collapsed="false" customWidth="true" hidden="false" outlineLevel="0" max="37" min="37" style="0" width="24"/>
    <col collapsed="false" customWidth="true" hidden="false" outlineLevel="0" max="38" min="38" style="0" width="8"/>
    <col collapsed="false" customWidth="true" hidden="true" outlineLevel="0" max="42" min="39" style="0" width="4"/>
  </cols>
  <sheetData>
    <row r="1" customFormat="false" ht="33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60" t="str">
        <f aca="false">PARAMÈTRES!$C$4&amp;"   •   Affaire N° "&amp;PARAMÈTRES!$C$5&amp;"   •   Saisir uniquement les colonnes en bleu — les colonnes N°, Nb RT, Dernier RT, STATUT et Attente sont automatiques"</f>
        <v>Extension du réseau de collecte de GTFT (11 nouveaux puits)   •   Affaire N° 8546   •   Saisir uniquement les colonnes en bleu — les colonnes N°, Nb RT, Dernier RT, STATUT et Attente sont automatiques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</row>
    <row r="3" customFormat="false" ht="21.75" hidden="false" customHeight="true" outlineLevel="0" collapsed="false">
      <c r="B3" s="61" t="s">
        <v>47</v>
      </c>
      <c r="C3" s="62" t="n">
        <f aca="false">COUNTA(E7:E1506)</f>
        <v>205</v>
      </c>
      <c r="E3" s="61" t="s">
        <v>48</v>
      </c>
      <c r="F3" s="62" t="n">
        <f aca="false">COUNT(P7:P1506)</f>
        <v>197</v>
      </c>
      <c r="I3" s="61" t="s">
        <v>49</v>
      </c>
      <c r="J3" s="62" t="n">
        <f aca="false">COUNTIF(AK7:AK1506,"ACCEPTÉ")</f>
        <v>188</v>
      </c>
      <c r="M3" s="63" t="s">
        <v>50</v>
      </c>
      <c r="N3" s="63"/>
      <c r="O3" s="63"/>
      <c r="P3" s="62" t="n">
        <f aca="false">SUMPRODUCT((AK7:AK1506="À RADIOGRAPHIER")+(AK7:AK1506="RÉPARÉ – À RADIOGRAPHIER")+(AK7:AK1506="NX – RT À REFAIRE"))</f>
        <v>9</v>
      </c>
      <c r="S3" s="63" t="s">
        <v>51</v>
      </c>
      <c r="T3" s="63"/>
      <c r="U3" s="63"/>
      <c r="V3" s="62" t="n">
        <f aca="false">SUMPRODUCT((AK7:AK1506="À RÉPARER")+(AK7:AK1506="COUPE – À RESOUDER")+(AK7:AK1506="VT REJETÉ – À REPRENDRE"))</f>
        <v>0</v>
      </c>
    </row>
    <row r="5" customFormat="false" ht="21.75" hidden="false" customHeight="true" outlineLevel="0" collapsed="false">
      <c r="A5" s="37" t="s">
        <v>52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54" t="s">
        <v>53</v>
      </c>
      <c r="N5" s="54"/>
      <c r="O5" s="54"/>
      <c r="P5" s="54"/>
      <c r="Q5" s="64" t="s">
        <v>54</v>
      </c>
      <c r="R5" s="64"/>
      <c r="S5" s="64"/>
      <c r="T5" s="65" t="s">
        <v>55</v>
      </c>
      <c r="U5" s="65"/>
      <c r="V5" s="65"/>
      <c r="W5" s="66" t="s">
        <v>56</v>
      </c>
      <c r="X5" s="66"/>
      <c r="Y5" s="66"/>
      <c r="Z5" s="66"/>
      <c r="AA5" s="66"/>
      <c r="AB5" s="67" t="s">
        <v>57</v>
      </c>
      <c r="AC5" s="67"/>
      <c r="AD5" s="67"/>
      <c r="AE5" s="67"/>
      <c r="AF5" s="67"/>
      <c r="AG5" s="68" t="s">
        <v>58</v>
      </c>
      <c r="AH5" s="68"/>
      <c r="AI5" s="68"/>
      <c r="AJ5" s="68"/>
      <c r="AK5" s="68"/>
      <c r="AL5" s="68"/>
      <c r="AM5" s="69"/>
      <c r="AN5" s="69"/>
      <c r="AO5" s="69"/>
      <c r="AP5" s="69"/>
    </row>
    <row r="6" customFormat="false" ht="36" hidden="false" customHeight="true" outlineLevel="0" collapsed="false">
      <c r="A6" s="70" t="s">
        <v>59</v>
      </c>
      <c r="B6" s="70" t="s">
        <v>17</v>
      </c>
      <c r="C6" s="70" t="s">
        <v>60</v>
      </c>
      <c r="D6" s="70" t="s">
        <v>61</v>
      </c>
      <c r="E6" s="70" t="s">
        <v>62</v>
      </c>
      <c r="F6" s="70" t="s">
        <v>63</v>
      </c>
      <c r="G6" s="70" t="s">
        <v>64</v>
      </c>
      <c r="H6" s="70" t="s">
        <v>65</v>
      </c>
      <c r="I6" s="70" t="s">
        <v>66</v>
      </c>
      <c r="J6" s="70" t="s">
        <v>67</v>
      </c>
      <c r="K6" s="70" t="s">
        <v>68</v>
      </c>
      <c r="L6" s="70" t="s">
        <v>69</v>
      </c>
      <c r="M6" s="71" t="s">
        <v>70</v>
      </c>
      <c r="N6" s="71" t="s">
        <v>71</v>
      </c>
      <c r="O6" s="71" t="s">
        <v>72</v>
      </c>
      <c r="P6" s="71" t="s">
        <v>73</v>
      </c>
      <c r="Q6" s="72" t="s">
        <v>74</v>
      </c>
      <c r="R6" s="72" t="s">
        <v>75</v>
      </c>
      <c r="S6" s="72" t="s">
        <v>76</v>
      </c>
      <c r="T6" s="73" t="s">
        <v>77</v>
      </c>
      <c r="U6" s="73" t="s">
        <v>78</v>
      </c>
      <c r="V6" s="73" t="s">
        <v>79</v>
      </c>
      <c r="W6" s="74" t="s">
        <v>80</v>
      </c>
      <c r="X6" s="74" t="s">
        <v>81</v>
      </c>
      <c r="Y6" s="74" t="s">
        <v>82</v>
      </c>
      <c r="Z6" s="74" t="s">
        <v>83</v>
      </c>
      <c r="AA6" s="74" t="s">
        <v>84</v>
      </c>
      <c r="AB6" s="75" t="s">
        <v>85</v>
      </c>
      <c r="AC6" s="75" t="s">
        <v>86</v>
      </c>
      <c r="AD6" s="75" t="s">
        <v>87</v>
      </c>
      <c r="AE6" s="75" t="s">
        <v>88</v>
      </c>
      <c r="AF6" s="75" t="s">
        <v>89</v>
      </c>
      <c r="AG6" s="76" t="s">
        <v>90</v>
      </c>
      <c r="AH6" s="76" t="s">
        <v>91</v>
      </c>
      <c r="AI6" s="76" t="s">
        <v>92</v>
      </c>
      <c r="AJ6" s="76" t="s">
        <v>93</v>
      </c>
      <c r="AK6" s="76" t="s">
        <v>94</v>
      </c>
      <c r="AL6" s="76" t="s">
        <v>95</v>
      </c>
      <c r="AM6" s="77" t="s">
        <v>96</v>
      </c>
      <c r="AN6" s="77" t="s">
        <v>97</v>
      </c>
      <c r="AO6" s="77" t="s">
        <v>98</v>
      </c>
      <c r="AP6" s="77" t="s">
        <v>99</v>
      </c>
    </row>
    <row r="7" customFormat="false" ht="15" hidden="false" customHeight="false" outlineLevel="0" collapsed="false">
      <c r="A7" s="78" t="n">
        <f aca="false">IF(E7="","",ROW()-6)</f>
        <v>1</v>
      </c>
      <c r="B7" s="79" t="s">
        <v>100</v>
      </c>
      <c r="C7" s="80"/>
      <c r="D7" s="80" t="s">
        <v>101</v>
      </c>
      <c r="E7" s="80" t="s">
        <v>102</v>
      </c>
      <c r="F7" s="80" t="s">
        <v>103</v>
      </c>
      <c r="G7" s="80" t="s">
        <v>104</v>
      </c>
      <c r="H7" s="80" t="n">
        <v>11</v>
      </c>
      <c r="I7" s="80"/>
      <c r="J7" s="80"/>
      <c r="K7" s="80"/>
      <c r="L7" s="80"/>
      <c r="M7" s="80"/>
      <c r="N7" s="80"/>
      <c r="O7" s="80"/>
      <c r="P7" s="81"/>
      <c r="Q7" s="81"/>
      <c r="R7" s="80"/>
      <c r="S7" s="80"/>
      <c r="T7" s="81"/>
      <c r="U7" s="80"/>
      <c r="V7" s="80"/>
      <c r="W7" s="80"/>
      <c r="X7" s="80"/>
      <c r="Y7" s="81"/>
      <c r="Z7" s="80"/>
      <c r="AA7" s="80"/>
      <c r="AB7" s="80"/>
      <c r="AC7" s="80"/>
      <c r="AD7" s="81"/>
      <c r="AE7" s="80"/>
      <c r="AF7" s="80"/>
      <c r="AG7" s="81"/>
      <c r="AH7" s="79"/>
      <c r="AI7" s="78" t="n">
        <f aca="false">IF(E7="","",(V7&lt;&gt;"")+(AA7&lt;&gt;"")+(AF7&lt;&gt;""))</f>
        <v>0</v>
      </c>
      <c r="AJ7" s="82" t="str">
        <f aca="false">IF(AF7&lt;&gt;"",AF7,IF(AA7&lt;&gt;"",AA7,IF(V7&lt;&gt;"",V7,"")))</f>
        <v/>
      </c>
      <c r="AK7" s="83" t="str">
        <f aca="false">IF(E7="","",IF(P7="","À SOUDER",IF(S7="","VT EN ATTENTE",IF(S7="R","VT REJETÉ – À REPRENDRE",IF(AJ7="","À RADIOGRAPHIER",IF(AJ7="A","ACCEPTÉ",IF(AJ7="NX","NX – RT À REFAIRE",IF(IF(AI7=1,X7,IF(AI7=2,AC7,""))="A","RÉPARÉ – À RADIOGRAPHIER",IF(IF(AI7=1,X7,IF(AI7=2,AC7,""))="R","VT REJETÉ – À REPRENDRE",IF(AJ7="CO","COUPE – À RESOUDER","À RÉPARER"))))))))))</f>
        <v>À SOUDER</v>
      </c>
      <c r="AL7" s="82" t="str">
        <f aca="false">IF(AND(ISNUMBER(P7),OR(AK7="À RADIOGRAPHIER",AK7="RÉPARÉ – À RADIOGRAPHIER",AK7="NX – RT À REFAIRE",AK7="À RÉPARER",AK7="COUPE – À RESOUDER",AK7="VT REJETÉ – À REPRENDRE")),MAX(0,'PROGRAMME RT'!$C$4-P7),"")</f>
        <v/>
      </c>
      <c r="AM7" s="78" t="n">
        <f aca="false">IF(AND(OR(AK7="À RADIOGRAPHIER",AK7="RÉPARÉ – À RADIOGRAPHIER",AK7="NX – RT À REFAIRE"),OR('PROGRAMME RT'!$D$5="TOUTES",B7='PROGRAMME RT'!$D$5)),1,0)</f>
        <v>0</v>
      </c>
      <c r="AN7" s="78" t="str">
        <f aca="false">IF(AM7=1,SUM(AM$7:AM7),"")</f>
        <v/>
      </c>
      <c r="AO7" s="78" t="n">
        <f aca="false">IF(AND(OR(AK7="À RÉPARER",AK7="COUPE – À RESOUDER",AK7="VT REJETÉ – À REPRENDRE"),OR(RÉPARATIONS!$D$5="TOUTES",B7=RÉPARATIONS!$D$5)),1,0)</f>
        <v>0</v>
      </c>
      <c r="AP7" s="78" t="str">
        <f aca="false">IF(AO7=1,SUM(AO$7:AO7),"")</f>
        <v/>
      </c>
    </row>
    <row r="8" customFormat="false" ht="15" hidden="false" customHeight="false" outlineLevel="0" collapsed="false">
      <c r="A8" s="78" t="n">
        <f aca="false">IF(E8="","",ROW()-6)</f>
        <v>2</v>
      </c>
      <c r="B8" s="79" t="s">
        <v>100</v>
      </c>
      <c r="C8" s="80"/>
      <c r="D8" s="80" t="s">
        <v>101</v>
      </c>
      <c r="E8" s="80" t="s">
        <v>105</v>
      </c>
      <c r="F8" s="80" t="s">
        <v>103</v>
      </c>
      <c r="G8" s="80" t="s">
        <v>104</v>
      </c>
      <c r="H8" s="80" t="n">
        <v>11</v>
      </c>
      <c r="I8" s="80"/>
      <c r="J8" s="80"/>
      <c r="K8" s="80"/>
      <c r="L8" s="80"/>
      <c r="M8" s="80"/>
      <c r="N8" s="80"/>
      <c r="O8" s="80"/>
      <c r="P8" s="81"/>
      <c r="Q8" s="81"/>
      <c r="R8" s="80"/>
      <c r="S8" s="80"/>
      <c r="T8" s="81"/>
      <c r="U8" s="80"/>
      <c r="V8" s="80"/>
      <c r="W8" s="80"/>
      <c r="X8" s="80"/>
      <c r="Y8" s="81"/>
      <c r="Z8" s="80"/>
      <c r="AA8" s="80"/>
      <c r="AB8" s="80"/>
      <c r="AC8" s="80"/>
      <c r="AD8" s="81"/>
      <c r="AE8" s="80"/>
      <c r="AF8" s="80"/>
      <c r="AG8" s="81"/>
      <c r="AH8" s="79"/>
      <c r="AI8" s="78" t="n">
        <f aca="false">IF(E8="","",(V8&lt;&gt;"")+(AA8&lt;&gt;"")+(AF8&lt;&gt;""))</f>
        <v>0</v>
      </c>
      <c r="AJ8" s="82" t="str">
        <f aca="false">IF(AF8&lt;&gt;"",AF8,IF(AA8&lt;&gt;"",AA8,IF(V8&lt;&gt;"",V8,"")))</f>
        <v/>
      </c>
      <c r="AK8" s="83" t="str">
        <f aca="false">IF(E8="","",IF(P8="","À SOUDER",IF(S8="","VT EN ATTENTE",IF(S8="R","VT REJETÉ – À REPRENDRE",IF(AJ8="","À RADIOGRAPHIER",IF(AJ8="A","ACCEPTÉ",IF(AJ8="NX","NX – RT À REFAIRE",IF(IF(AI8=1,X8,IF(AI8=2,AC8,""))="A","RÉPARÉ – À RADIOGRAPHIER",IF(IF(AI8=1,X8,IF(AI8=2,AC8,""))="R","VT REJETÉ – À REPRENDRE",IF(AJ8="CO","COUPE – À RESOUDER","À RÉPARER"))))))))))</f>
        <v>À SOUDER</v>
      </c>
      <c r="AL8" s="82" t="str">
        <f aca="false">IF(AND(ISNUMBER(P8),OR(AK8="À RADIOGRAPHIER",AK8="RÉPARÉ – À RADIOGRAPHIER",AK8="NX – RT À REFAIRE",AK8="À RÉPARER",AK8="COUPE – À RESOUDER",AK8="VT REJETÉ – À REPRENDRE")),MAX(0,'PROGRAMME RT'!$C$4-P8),"")</f>
        <v/>
      </c>
      <c r="AM8" s="78" t="n">
        <f aca="false">IF(AND(OR(AK8="À RADIOGRAPHIER",AK8="RÉPARÉ – À RADIOGRAPHIER",AK8="NX – RT À REFAIRE"),OR('PROGRAMME RT'!$D$5="TOUTES",B8='PROGRAMME RT'!$D$5)),1,0)</f>
        <v>0</v>
      </c>
      <c r="AN8" s="78" t="str">
        <f aca="false">IF(AM8=1,SUM(AM$7:AM8),"")</f>
        <v/>
      </c>
      <c r="AO8" s="78" t="n">
        <f aca="false">IF(AND(OR(AK8="À RÉPARER",AK8="COUPE – À RESOUDER",AK8="VT REJETÉ – À REPRENDRE"),OR(RÉPARATIONS!$D$5="TOUTES",B8=RÉPARATIONS!$D$5)),1,0)</f>
        <v>0</v>
      </c>
      <c r="AP8" s="78" t="str">
        <f aca="false">IF(AO8=1,SUM(AO$7:AO8),"")</f>
        <v/>
      </c>
    </row>
    <row r="9" customFormat="false" ht="15" hidden="false" customHeight="false" outlineLevel="0" collapsed="false">
      <c r="A9" s="78" t="n">
        <f aca="false">IF(E9="","",ROW()-6)</f>
        <v>3</v>
      </c>
      <c r="B9" s="79" t="s">
        <v>100</v>
      </c>
      <c r="C9" s="80"/>
      <c r="D9" s="80" t="s">
        <v>101</v>
      </c>
      <c r="E9" s="80" t="s">
        <v>106</v>
      </c>
      <c r="F9" s="80" t="s">
        <v>103</v>
      </c>
      <c r="G9" s="80" t="s">
        <v>104</v>
      </c>
      <c r="H9" s="80" t="n">
        <v>11</v>
      </c>
      <c r="I9" s="80"/>
      <c r="J9" s="80"/>
      <c r="K9" s="80"/>
      <c r="L9" s="80"/>
      <c r="M9" s="80"/>
      <c r="N9" s="80"/>
      <c r="O9" s="80"/>
      <c r="P9" s="81"/>
      <c r="Q9" s="81"/>
      <c r="R9" s="80"/>
      <c r="S9" s="80"/>
      <c r="T9" s="81"/>
      <c r="U9" s="80"/>
      <c r="V9" s="80"/>
      <c r="W9" s="80"/>
      <c r="X9" s="80"/>
      <c r="Y9" s="81"/>
      <c r="Z9" s="80"/>
      <c r="AA9" s="80"/>
      <c r="AB9" s="80"/>
      <c r="AC9" s="80"/>
      <c r="AD9" s="81"/>
      <c r="AE9" s="80"/>
      <c r="AF9" s="80"/>
      <c r="AG9" s="81"/>
      <c r="AH9" s="79"/>
      <c r="AI9" s="78" t="n">
        <f aca="false">IF(E9="","",(V9&lt;&gt;"")+(AA9&lt;&gt;"")+(AF9&lt;&gt;""))</f>
        <v>0</v>
      </c>
      <c r="AJ9" s="82" t="str">
        <f aca="false">IF(AF9&lt;&gt;"",AF9,IF(AA9&lt;&gt;"",AA9,IF(V9&lt;&gt;"",V9,"")))</f>
        <v/>
      </c>
      <c r="AK9" s="83" t="str">
        <f aca="false">IF(E9="","",IF(P9="","À SOUDER",IF(S9="","VT EN ATTENTE",IF(S9="R","VT REJETÉ – À REPRENDRE",IF(AJ9="","À RADIOGRAPHIER",IF(AJ9="A","ACCEPTÉ",IF(AJ9="NX","NX – RT À REFAIRE",IF(IF(AI9=1,X9,IF(AI9=2,AC9,""))="A","RÉPARÉ – À RADIOGRAPHIER",IF(IF(AI9=1,X9,IF(AI9=2,AC9,""))="R","VT REJETÉ – À REPRENDRE",IF(AJ9="CO","COUPE – À RESOUDER","À RÉPARER"))))))))))</f>
        <v>À SOUDER</v>
      </c>
      <c r="AL9" s="82" t="str">
        <f aca="false">IF(AND(ISNUMBER(P9),OR(AK9="À RADIOGRAPHIER",AK9="RÉPARÉ – À RADIOGRAPHIER",AK9="NX – RT À REFAIRE",AK9="À RÉPARER",AK9="COUPE – À RESOUDER",AK9="VT REJETÉ – À REPRENDRE")),MAX(0,'PROGRAMME RT'!$C$4-P9),"")</f>
        <v/>
      </c>
      <c r="AM9" s="78" t="n">
        <f aca="false">IF(AND(OR(AK9="À RADIOGRAPHIER",AK9="RÉPARÉ – À RADIOGRAPHIER",AK9="NX – RT À REFAIRE"),OR('PROGRAMME RT'!$D$5="TOUTES",B9='PROGRAMME RT'!$D$5)),1,0)</f>
        <v>0</v>
      </c>
      <c r="AN9" s="78" t="str">
        <f aca="false">IF(AM9=1,SUM(AM$7:AM9),"")</f>
        <v/>
      </c>
      <c r="AO9" s="78" t="n">
        <f aca="false">IF(AND(OR(AK9="À RÉPARER",AK9="COUPE – À RESOUDER",AK9="VT REJETÉ – À REPRENDRE"),OR(RÉPARATIONS!$D$5="TOUTES",B9=RÉPARATIONS!$D$5)),1,0)</f>
        <v>0</v>
      </c>
      <c r="AP9" s="78" t="str">
        <f aca="false">IF(AO9=1,SUM(AO$7:AO9),"")</f>
        <v/>
      </c>
    </row>
    <row r="10" customFormat="false" ht="15" hidden="false" customHeight="false" outlineLevel="0" collapsed="false">
      <c r="A10" s="78" t="n">
        <f aca="false">IF(E10="","",ROW()-6)</f>
        <v>4</v>
      </c>
      <c r="B10" s="79" t="s">
        <v>100</v>
      </c>
      <c r="C10" s="80"/>
      <c r="D10" s="80" t="s">
        <v>101</v>
      </c>
      <c r="E10" s="80" t="s">
        <v>107</v>
      </c>
      <c r="F10" s="80" t="s">
        <v>103</v>
      </c>
      <c r="G10" s="80" t="s">
        <v>104</v>
      </c>
      <c r="H10" s="80" t="n">
        <v>11</v>
      </c>
      <c r="I10" s="80"/>
      <c r="J10" s="80"/>
      <c r="K10" s="80"/>
      <c r="L10" s="80"/>
      <c r="M10" s="80"/>
      <c r="N10" s="80"/>
      <c r="O10" s="80"/>
      <c r="P10" s="81"/>
      <c r="Q10" s="81"/>
      <c r="R10" s="80"/>
      <c r="S10" s="80"/>
      <c r="T10" s="81"/>
      <c r="U10" s="80"/>
      <c r="V10" s="80"/>
      <c r="W10" s="80"/>
      <c r="X10" s="80"/>
      <c r="Y10" s="81"/>
      <c r="Z10" s="80"/>
      <c r="AA10" s="80"/>
      <c r="AB10" s="80"/>
      <c r="AC10" s="80"/>
      <c r="AD10" s="81"/>
      <c r="AE10" s="80"/>
      <c r="AF10" s="80"/>
      <c r="AG10" s="81"/>
      <c r="AH10" s="79"/>
      <c r="AI10" s="78" t="n">
        <f aca="false">IF(E10="","",(V10&lt;&gt;"")+(AA10&lt;&gt;"")+(AF10&lt;&gt;""))</f>
        <v>0</v>
      </c>
      <c r="AJ10" s="82" t="str">
        <f aca="false">IF(AF10&lt;&gt;"",AF10,IF(AA10&lt;&gt;"",AA10,IF(V10&lt;&gt;"",V10,"")))</f>
        <v/>
      </c>
      <c r="AK10" s="83" t="str">
        <f aca="false">IF(E10="","",IF(P10="","À SOUDER",IF(S10="","VT EN ATTENTE",IF(S10="R","VT REJETÉ – À REPRENDRE",IF(AJ10="","À RADIOGRAPHIER",IF(AJ10="A","ACCEPTÉ",IF(AJ10="NX","NX – RT À REFAIRE",IF(IF(AI10=1,X10,IF(AI10=2,AC10,""))="A","RÉPARÉ – À RADIOGRAPHIER",IF(IF(AI10=1,X10,IF(AI10=2,AC10,""))="R","VT REJETÉ – À REPRENDRE",IF(AJ10="CO","COUPE – À RESOUDER","À RÉPARER"))))))))))</f>
        <v>À SOUDER</v>
      </c>
      <c r="AL10" s="82" t="str">
        <f aca="false">IF(AND(ISNUMBER(P10),OR(AK10="À RADIOGRAPHIER",AK10="RÉPARÉ – À RADIOGRAPHIER",AK10="NX – RT À REFAIRE",AK10="À RÉPARER",AK10="COUPE – À RESOUDER",AK10="VT REJETÉ – À REPRENDRE")),MAX(0,'PROGRAMME RT'!$C$4-P10),"")</f>
        <v/>
      </c>
      <c r="AM10" s="78" t="n">
        <f aca="false">IF(AND(OR(AK10="À RADIOGRAPHIER",AK10="RÉPARÉ – À RADIOGRAPHIER",AK10="NX – RT À REFAIRE"),OR('PROGRAMME RT'!$D$5="TOUTES",B10='PROGRAMME RT'!$D$5)),1,0)</f>
        <v>0</v>
      </c>
      <c r="AN10" s="78" t="str">
        <f aca="false">IF(AM10=1,SUM(AM$7:AM10),"")</f>
        <v/>
      </c>
      <c r="AO10" s="78" t="n">
        <f aca="false">IF(AND(OR(AK10="À RÉPARER",AK10="COUPE – À RESOUDER",AK10="VT REJETÉ – À REPRENDRE"),OR(RÉPARATIONS!$D$5="TOUTES",B10=RÉPARATIONS!$D$5)),1,0)</f>
        <v>0</v>
      </c>
      <c r="AP10" s="78" t="str">
        <f aca="false">IF(AO10=1,SUM(AO$7:AO10),"")</f>
        <v/>
      </c>
    </row>
    <row r="11" customFormat="false" ht="15" hidden="false" customHeight="false" outlineLevel="0" collapsed="false">
      <c r="A11" s="78" t="n">
        <f aca="false">IF(E11="","",ROW()-6)</f>
        <v>5</v>
      </c>
      <c r="B11" s="79" t="s">
        <v>100</v>
      </c>
      <c r="C11" s="80"/>
      <c r="D11" s="80" t="s">
        <v>101</v>
      </c>
      <c r="E11" s="80" t="s">
        <v>108</v>
      </c>
      <c r="F11" s="80" t="s">
        <v>103</v>
      </c>
      <c r="G11" s="80" t="s">
        <v>104</v>
      </c>
      <c r="H11" s="80" t="n">
        <v>11</v>
      </c>
      <c r="I11" s="80"/>
      <c r="J11" s="80"/>
      <c r="K11" s="80"/>
      <c r="L11" s="80" t="s">
        <v>109</v>
      </c>
      <c r="M11" s="80"/>
      <c r="N11" s="80"/>
      <c r="O11" s="80"/>
      <c r="P11" s="81"/>
      <c r="Q11" s="81"/>
      <c r="R11" s="80"/>
      <c r="S11" s="80"/>
      <c r="T11" s="81"/>
      <c r="U11" s="80"/>
      <c r="V11" s="80"/>
      <c r="W11" s="80"/>
      <c r="X11" s="80"/>
      <c r="Y11" s="81"/>
      <c r="Z11" s="80"/>
      <c r="AA11" s="80"/>
      <c r="AB11" s="80"/>
      <c r="AC11" s="80"/>
      <c r="AD11" s="81"/>
      <c r="AE11" s="80"/>
      <c r="AF11" s="80"/>
      <c r="AG11" s="81"/>
      <c r="AH11" s="79"/>
      <c r="AI11" s="78" t="n">
        <f aca="false">IF(E11="","",(V11&lt;&gt;"")+(AA11&lt;&gt;"")+(AF11&lt;&gt;""))</f>
        <v>0</v>
      </c>
      <c r="AJ11" s="82" t="str">
        <f aca="false">IF(AF11&lt;&gt;"",AF11,IF(AA11&lt;&gt;"",AA11,IF(V11&lt;&gt;"",V11,"")))</f>
        <v/>
      </c>
      <c r="AK11" s="83" t="str">
        <f aca="false">IF(E11="","",IF(P11="","À SOUDER",IF(S11="","VT EN ATTENTE",IF(S11="R","VT REJETÉ – À REPRENDRE",IF(AJ11="","À RADIOGRAPHIER",IF(AJ11="A","ACCEPTÉ",IF(AJ11="NX","NX – RT À REFAIRE",IF(IF(AI11=1,X11,IF(AI11=2,AC11,""))="A","RÉPARÉ – À RADIOGRAPHIER",IF(IF(AI11=1,X11,IF(AI11=2,AC11,""))="R","VT REJETÉ – À REPRENDRE",IF(AJ11="CO","COUPE – À RESOUDER","À RÉPARER"))))))))))</f>
        <v>À SOUDER</v>
      </c>
      <c r="AL11" s="82" t="str">
        <f aca="false">IF(AND(ISNUMBER(P11),OR(AK11="À RADIOGRAPHIER",AK11="RÉPARÉ – À RADIOGRAPHIER",AK11="NX – RT À REFAIRE",AK11="À RÉPARER",AK11="COUPE – À RESOUDER",AK11="VT REJETÉ – À REPRENDRE")),MAX(0,'PROGRAMME RT'!$C$4-P11),"")</f>
        <v/>
      </c>
      <c r="AM11" s="78" t="n">
        <f aca="false">IF(AND(OR(AK11="À RADIOGRAPHIER",AK11="RÉPARÉ – À RADIOGRAPHIER",AK11="NX – RT À REFAIRE"),OR('PROGRAMME RT'!$D$5="TOUTES",B11='PROGRAMME RT'!$D$5)),1,0)</f>
        <v>0</v>
      </c>
      <c r="AN11" s="78" t="str">
        <f aca="false">IF(AM11=1,SUM(AM$7:AM11),"")</f>
        <v/>
      </c>
      <c r="AO11" s="78" t="n">
        <f aca="false">IF(AND(OR(AK11="À RÉPARER",AK11="COUPE – À RESOUDER",AK11="VT REJETÉ – À REPRENDRE"),OR(RÉPARATIONS!$D$5="TOUTES",B11=RÉPARATIONS!$D$5)),1,0)</f>
        <v>0</v>
      </c>
      <c r="AP11" s="78" t="str">
        <f aca="false">IF(AO11=1,SUM(AO$7:AO11),"")</f>
        <v/>
      </c>
    </row>
    <row r="12" customFormat="false" ht="15" hidden="false" customHeight="false" outlineLevel="0" collapsed="false">
      <c r="A12" s="78" t="n">
        <f aca="false">IF(E12="","",ROW()-6)</f>
        <v>6</v>
      </c>
      <c r="B12" s="79" t="s">
        <v>100</v>
      </c>
      <c r="C12" s="80" t="s">
        <v>110</v>
      </c>
      <c r="D12" s="80" t="s">
        <v>101</v>
      </c>
      <c r="E12" s="80" t="s">
        <v>111</v>
      </c>
      <c r="F12" s="80" t="s">
        <v>103</v>
      </c>
      <c r="G12" s="80" t="s">
        <v>104</v>
      </c>
      <c r="H12" s="80" t="n">
        <v>11</v>
      </c>
      <c r="I12" s="80" t="s">
        <v>112</v>
      </c>
      <c r="J12" s="80" t="s">
        <v>113</v>
      </c>
      <c r="K12" s="80" t="s">
        <v>109</v>
      </c>
      <c r="L12" s="80" t="s">
        <v>114</v>
      </c>
      <c r="M12" s="80" t="s">
        <v>115</v>
      </c>
      <c r="N12" s="80" t="s">
        <v>115</v>
      </c>
      <c r="O12" s="80" t="s">
        <v>115</v>
      </c>
      <c r="P12" s="81" t="n">
        <v>45915</v>
      </c>
      <c r="Q12" s="81" t="n">
        <v>45915</v>
      </c>
      <c r="R12" s="80" t="s">
        <v>116</v>
      </c>
      <c r="S12" s="80" t="s">
        <v>103</v>
      </c>
      <c r="T12" s="81" t="n">
        <v>45917</v>
      </c>
      <c r="U12" s="80" t="s">
        <v>117</v>
      </c>
      <c r="V12" s="80" t="s">
        <v>103</v>
      </c>
      <c r="W12" s="80"/>
      <c r="X12" s="80"/>
      <c r="Y12" s="81"/>
      <c r="Z12" s="80"/>
      <c r="AA12" s="80"/>
      <c r="AB12" s="80"/>
      <c r="AC12" s="80"/>
      <c r="AD12" s="81"/>
      <c r="AE12" s="80"/>
      <c r="AF12" s="80"/>
      <c r="AG12" s="81"/>
      <c r="AH12" s="79"/>
      <c r="AI12" s="78" t="n">
        <f aca="false">IF(E12="","",(V12&lt;&gt;"")+(AA12&lt;&gt;"")+(AF12&lt;&gt;""))</f>
        <v>1</v>
      </c>
      <c r="AJ12" s="82" t="str">
        <f aca="false">IF(AF12&lt;&gt;"",AF12,IF(AA12&lt;&gt;"",AA12,IF(V12&lt;&gt;"",V12,"")))</f>
        <v>A</v>
      </c>
      <c r="AK12" s="83" t="str">
        <f aca="false">IF(E12="","",IF(P12="","À SOUDER",IF(S12="","VT EN ATTENTE",IF(S12="R","VT REJETÉ – À REPRENDRE",IF(AJ12="","À RADIOGRAPHIER",IF(AJ12="A","ACCEPTÉ",IF(AJ12="NX","NX – RT À REFAIRE",IF(IF(AI12=1,X12,IF(AI12=2,AC12,""))="A","RÉPARÉ – À RADIOGRAPHIER",IF(IF(AI12=1,X12,IF(AI12=2,AC12,""))="R","VT REJETÉ – À REPRENDRE",IF(AJ12="CO","COUPE – À RESOUDER","À RÉPARER"))))))))))</f>
        <v>ACCEPTÉ</v>
      </c>
      <c r="AL12" s="82" t="str">
        <f aca="false">IF(AND(ISNUMBER(P12),OR(AK12="À RADIOGRAPHIER",AK12="RÉPARÉ – À RADIOGRAPHIER",AK12="NX – RT À REFAIRE",AK12="À RÉPARER",AK12="COUPE – À RESOUDER",AK12="VT REJETÉ – À REPRENDRE")),MAX(0,'PROGRAMME RT'!$C$4-P12),"")</f>
        <v/>
      </c>
      <c r="AM12" s="78" t="n">
        <f aca="false">IF(AND(OR(AK12="À RADIOGRAPHIER",AK12="RÉPARÉ – À RADIOGRAPHIER",AK12="NX – RT À REFAIRE"),OR('PROGRAMME RT'!$D$5="TOUTES",B12='PROGRAMME RT'!$D$5)),1,0)</f>
        <v>0</v>
      </c>
      <c r="AN12" s="78" t="str">
        <f aca="false">IF(AM12=1,SUM(AM$7:AM12),"")</f>
        <v/>
      </c>
      <c r="AO12" s="78" t="n">
        <f aca="false">IF(AND(OR(AK12="À RÉPARER",AK12="COUPE – À RESOUDER",AK12="VT REJETÉ – À REPRENDRE"),OR(RÉPARATIONS!$D$5="TOUTES",B12=RÉPARATIONS!$D$5)),1,0)</f>
        <v>0</v>
      </c>
      <c r="AP12" s="78" t="str">
        <f aca="false">IF(AO12=1,SUM(AO$7:AO12),"")</f>
        <v/>
      </c>
    </row>
    <row r="13" customFormat="false" ht="15" hidden="false" customHeight="false" outlineLevel="0" collapsed="false">
      <c r="A13" s="78" t="n">
        <f aca="false">IF(E13="","",ROW()-6)</f>
        <v>7</v>
      </c>
      <c r="B13" s="79" t="s">
        <v>100</v>
      </c>
      <c r="C13" s="80" t="s">
        <v>110</v>
      </c>
      <c r="D13" s="80" t="s">
        <v>101</v>
      </c>
      <c r="E13" s="80" t="s">
        <v>118</v>
      </c>
      <c r="F13" s="80" t="s">
        <v>103</v>
      </c>
      <c r="G13" s="80" t="s">
        <v>104</v>
      </c>
      <c r="H13" s="80" t="n">
        <v>11</v>
      </c>
      <c r="I13" s="80" t="s">
        <v>112</v>
      </c>
      <c r="J13" s="80" t="s">
        <v>113</v>
      </c>
      <c r="K13" s="80" t="s">
        <v>114</v>
      </c>
      <c r="L13" s="80" t="s">
        <v>119</v>
      </c>
      <c r="M13" s="80" t="s">
        <v>115</v>
      </c>
      <c r="N13" s="80" t="s">
        <v>115</v>
      </c>
      <c r="O13" s="80" t="s">
        <v>115</v>
      </c>
      <c r="P13" s="81" t="n">
        <v>45914</v>
      </c>
      <c r="Q13" s="81" t="n">
        <v>45914</v>
      </c>
      <c r="R13" s="80" t="s">
        <v>120</v>
      </c>
      <c r="S13" s="80" t="s">
        <v>103</v>
      </c>
      <c r="T13" s="81" t="n">
        <v>45917</v>
      </c>
      <c r="U13" s="80" t="s">
        <v>117</v>
      </c>
      <c r="V13" s="80" t="s">
        <v>103</v>
      </c>
      <c r="W13" s="80"/>
      <c r="X13" s="80"/>
      <c r="Y13" s="81"/>
      <c r="Z13" s="80"/>
      <c r="AA13" s="80"/>
      <c r="AB13" s="80"/>
      <c r="AC13" s="80"/>
      <c r="AD13" s="81"/>
      <c r="AE13" s="80"/>
      <c r="AF13" s="80"/>
      <c r="AG13" s="81"/>
      <c r="AH13" s="79"/>
      <c r="AI13" s="78" t="n">
        <f aca="false">IF(E13="","",(V13&lt;&gt;"")+(AA13&lt;&gt;"")+(AF13&lt;&gt;""))</f>
        <v>1</v>
      </c>
      <c r="AJ13" s="82" t="str">
        <f aca="false">IF(AF13&lt;&gt;"",AF13,IF(AA13&lt;&gt;"",AA13,IF(V13&lt;&gt;"",V13,"")))</f>
        <v>A</v>
      </c>
      <c r="AK13" s="83" t="str">
        <f aca="false">IF(E13="","",IF(P13="","À SOUDER",IF(S13="","VT EN ATTENTE",IF(S13="R","VT REJETÉ – À REPRENDRE",IF(AJ13="","À RADIOGRAPHIER",IF(AJ13="A","ACCEPTÉ",IF(AJ13="NX","NX – RT À REFAIRE",IF(IF(AI13=1,X13,IF(AI13=2,AC13,""))="A","RÉPARÉ – À RADIOGRAPHIER",IF(IF(AI13=1,X13,IF(AI13=2,AC13,""))="R","VT REJETÉ – À REPRENDRE",IF(AJ13="CO","COUPE – À RESOUDER","À RÉPARER"))))))))))</f>
        <v>ACCEPTÉ</v>
      </c>
      <c r="AL13" s="82" t="str">
        <f aca="false">IF(AND(ISNUMBER(P13),OR(AK13="À RADIOGRAPHIER",AK13="RÉPARÉ – À RADIOGRAPHIER",AK13="NX – RT À REFAIRE",AK13="À RÉPARER",AK13="COUPE – À RESOUDER",AK13="VT REJETÉ – À REPRENDRE")),MAX(0,'PROGRAMME RT'!$C$4-P13),"")</f>
        <v/>
      </c>
      <c r="AM13" s="78" t="n">
        <f aca="false">IF(AND(OR(AK13="À RADIOGRAPHIER",AK13="RÉPARÉ – À RADIOGRAPHIER",AK13="NX – RT À REFAIRE"),OR('PROGRAMME RT'!$D$5="TOUTES",B13='PROGRAMME RT'!$D$5)),1,0)</f>
        <v>0</v>
      </c>
      <c r="AN13" s="78" t="str">
        <f aca="false">IF(AM13=1,SUM(AM$7:AM13),"")</f>
        <v/>
      </c>
      <c r="AO13" s="78" t="n">
        <f aca="false">IF(AND(OR(AK13="À RÉPARER",AK13="COUPE – À RESOUDER",AK13="VT REJETÉ – À REPRENDRE"),OR(RÉPARATIONS!$D$5="TOUTES",B13=RÉPARATIONS!$D$5)),1,0)</f>
        <v>0</v>
      </c>
      <c r="AP13" s="78" t="str">
        <f aca="false">IF(AO13=1,SUM(AO$7:AO13),"")</f>
        <v/>
      </c>
    </row>
    <row r="14" customFormat="false" ht="15" hidden="false" customHeight="false" outlineLevel="0" collapsed="false">
      <c r="A14" s="78" t="n">
        <f aca="false">IF(E14="","",ROW()-6)</f>
        <v>8</v>
      </c>
      <c r="B14" s="79" t="s">
        <v>100</v>
      </c>
      <c r="C14" s="80" t="s">
        <v>110</v>
      </c>
      <c r="D14" s="80" t="s">
        <v>101</v>
      </c>
      <c r="E14" s="80" t="s">
        <v>121</v>
      </c>
      <c r="F14" s="80" t="s">
        <v>103</v>
      </c>
      <c r="G14" s="80" t="s">
        <v>104</v>
      </c>
      <c r="H14" s="80" t="n">
        <v>11</v>
      </c>
      <c r="I14" s="80" t="s">
        <v>112</v>
      </c>
      <c r="J14" s="80" t="s">
        <v>113</v>
      </c>
      <c r="K14" s="80" t="s">
        <v>119</v>
      </c>
      <c r="L14" s="80" t="s">
        <v>122</v>
      </c>
      <c r="M14" s="80" t="s">
        <v>123</v>
      </c>
      <c r="N14" s="80" t="s">
        <v>123</v>
      </c>
      <c r="O14" s="80" t="s">
        <v>123</v>
      </c>
      <c r="P14" s="81" t="n">
        <v>45914</v>
      </c>
      <c r="Q14" s="81" t="n">
        <v>45914</v>
      </c>
      <c r="R14" s="80" t="s">
        <v>120</v>
      </c>
      <c r="S14" s="80" t="s">
        <v>103</v>
      </c>
      <c r="T14" s="81" t="n">
        <v>45917</v>
      </c>
      <c r="U14" s="80" t="s">
        <v>117</v>
      </c>
      <c r="V14" s="80" t="s">
        <v>103</v>
      </c>
      <c r="W14" s="80"/>
      <c r="X14" s="80"/>
      <c r="Y14" s="81"/>
      <c r="Z14" s="80"/>
      <c r="AA14" s="80"/>
      <c r="AB14" s="80"/>
      <c r="AC14" s="80"/>
      <c r="AD14" s="81"/>
      <c r="AE14" s="80"/>
      <c r="AF14" s="80"/>
      <c r="AG14" s="81"/>
      <c r="AH14" s="79"/>
      <c r="AI14" s="78" t="n">
        <f aca="false">IF(E14="","",(V14&lt;&gt;"")+(AA14&lt;&gt;"")+(AF14&lt;&gt;""))</f>
        <v>1</v>
      </c>
      <c r="AJ14" s="82" t="str">
        <f aca="false">IF(AF14&lt;&gt;"",AF14,IF(AA14&lt;&gt;"",AA14,IF(V14&lt;&gt;"",V14,"")))</f>
        <v>A</v>
      </c>
      <c r="AK14" s="83" t="str">
        <f aca="false">IF(E14="","",IF(P14="","À SOUDER",IF(S14="","VT EN ATTENTE",IF(S14="R","VT REJETÉ – À REPRENDRE",IF(AJ14="","À RADIOGRAPHIER",IF(AJ14="A","ACCEPTÉ",IF(AJ14="NX","NX – RT À REFAIRE",IF(IF(AI14=1,X14,IF(AI14=2,AC14,""))="A","RÉPARÉ – À RADIOGRAPHIER",IF(IF(AI14=1,X14,IF(AI14=2,AC14,""))="R","VT REJETÉ – À REPRENDRE",IF(AJ14="CO","COUPE – À RESOUDER","À RÉPARER"))))))))))</f>
        <v>ACCEPTÉ</v>
      </c>
      <c r="AL14" s="82" t="str">
        <f aca="false">IF(AND(ISNUMBER(P14),OR(AK14="À RADIOGRAPHIER",AK14="RÉPARÉ – À RADIOGRAPHIER",AK14="NX – RT À REFAIRE",AK14="À RÉPARER",AK14="COUPE – À RESOUDER",AK14="VT REJETÉ – À REPRENDRE")),MAX(0,'PROGRAMME RT'!$C$4-P14),"")</f>
        <v/>
      </c>
      <c r="AM14" s="78" t="n">
        <f aca="false">IF(AND(OR(AK14="À RADIOGRAPHIER",AK14="RÉPARÉ – À RADIOGRAPHIER",AK14="NX – RT À REFAIRE"),OR('PROGRAMME RT'!$D$5="TOUTES",B14='PROGRAMME RT'!$D$5)),1,0)</f>
        <v>0</v>
      </c>
      <c r="AN14" s="78" t="str">
        <f aca="false">IF(AM14=1,SUM(AM$7:AM14),"")</f>
        <v/>
      </c>
      <c r="AO14" s="78" t="n">
        <f aca="false">IF(AND(OR(AK14="À RÉPARER",AK14="COUPE – À RESOUDER",AK14="VT REJETÉ – À REPRENDRE"),OR(RÉPARATIONS!$D$5="TOUTES",B14=RÉPARATIONS!$D$5)),1,0)</f>
        <v>0</v>
      </c>
      <c r="AP14" s="78" t="str">
        <f aca="false">IF(AO14=1,SUM(AO$7:AO14),"")</f>
        <v/>
      </c>
    </row>
    <row r="15" customFormat="false" ht="15" hidden="false" customHeight="false" outlineLevel="0" collapsed="false">
      <c r="A15" s="78" t="n">
        <f aca="false">IF(E15="","",ROW()-6)</f>
        <v>9</v>
      </c>
      <c r="B15" s="79" t="s">
        <v>100</v>
      </c>
      <c r="C15" s="80" t="s">
        <v>110</v>
      </c>
      <c r="D15" s="80" t="s">
        <v>101</v>
      </c>
      <c r="E15" s="80" t="s">
        <v>124</v>
      </c>
      <c r="F15" s="80" t="s">
        <v>103</v>
      </c>
      <c r="G15" s="80" t="s">
        <v>104</v>
      </c>
      <c r="H15" s="80" t="n">
        <v>11</v>
      </c>
      <c r="I15" s="80" t="s">
        <v>112</v>
      </c>
      <c r="J15" s="80" t="s">
        <v>113</v>
      </c>
      <c r="K15" s="80" t="s">
        <v>122</v>
      </c>
      <c r="L15" s="80" t="s">
        <v>125</v>
      </c>
      <c r="M15" s="80" t="s">
        <v>115</v>
      </c>
      <c r="N15" s="80" t="s">
        <v>115</v>
      </c>
      <c r="O15" s="80" t="s">
        <v>115</v>
      </c>
      <c r="P15" s="81" t="n">
        <v>45908</v>
      </c>
      <c r="Q15" s="81" t="n">
        <v>45908</v>
      </c>
      <c r="R15" s="80" t="s">
        <v>126</v>
      </c>
      <c r="S15" s="80" t="s">
        <v>103</v>
      </c>
      <c r="T15" s="81" t="n">
        <v>45915</v>
      </c>
      <c r="U15" s="80" t="s">
        <v>127</v>
      </c>
      <c r="V15" s="80" t="s">
        <v>103</v>
      </c>
      <c r="W15" s="80"/>
      <c r="X15" s="80"/>
      <c r="Y15" s="81"/>
      <c r="Z15" s="80"/>
      <c r="AA15" s="80"/>
      <c r="AB15" s="80"/>
      <c r="AC15" s="80"/>
      <c r="AD15" s="81"/>
      <c r="AE15" s="80"/>
      <c r="AF15" s="80"/>
      <c r="AG15" s="81"/>
      <c r="AH15" s="79"/>
      <c r="AI15" s="78" t="n">
        <f aca="false">IF(E15="","",(V15&lt;&gt;"")+(AA15&lt;&gt;"")+(AF15&lt;&gt;""))</f>
        <v>1</v>
      </c>
      <c r="AJ15" s="82" t="str">
        <f aca="false">IF(AF15&lt;&gt;"",AF15,IF(AA15&lt;&gt;"",AA15,IF(V15&lt;&gt;"",V15,"")))</f>
        <v>A</v>
      </c>
      <c r="AK15" s="83" t="str">
        <f aca="false">IF(E15="","",IF(P15="","À SOUDER",IF(S15="","VT EN ATTENTE",IF(S15="R","VT REJETÉ – À REPRENDRE",IF(AJ15="","À RADIOGRAPHIER",IF(AJ15="A","ACCEPTÉ",IF(AJ15="NX","NX – RT À REFAIRE",IF(IF(AI15=1,X15,IF(AI15=2,AC15,""))="A","RÉPARÉ – À RADIOGRAPHIER",IF(IF(AI15=1,X15,IF(AI15=2,AC15,""))="R","VT REJETÉ – À REPRENDRE",IF(AJ15="CO","COUPE – À RESOUDER","À RÉPARER"))))))))))</f>
        <v>ACCEPTÉ</v>
      </c>
      <c r="AL15" s="82" t="str">
        <f aca="false">IF(AND(ISNUMBER(P15),OR(AK15="À RADIOGRAPHIER",AK15="RÉPARÉ – À RADIOGRAPHIER",AK15="NX – RT À REFAIRE",AK15="À RÉPARER",AK15="COUPE – À RESOUDER",AK15="VT REJETÉ – À REPRENDRE")),MAX(0,'PROGRAMME RT'!$C$4-P15),"")</f>
        <v/>
      </c>
      <c r="AM15" s="78" t="n">
        <f aca="false">IF(AND(OR(AK15="À RADIOGRAPHIER",AK15="RÉPARÉ – À RADIOGRAPHIER",AK15="NX – RT À REFAIRE"),OR('PROGRAMME RT'!$D$5="TOUTES",B15='PROGRAMME RT'!$D$5)),1,0)</f>
        <v>0</v>
      </c>
      <c r="AN15" s="78" t="str">
        <f aca="false">IF(AM15=1,SUM(AM$7:AM15),"")</f>
        <v/>
      </c>
      <c r="AO15" s="78" t="n">
        <f aca="false">IF(AND(OR(AK15="À RÉPARER",AK15="COUPE – À RESOUDER",AK15="VT REJETÉ – À REPRENDRE"),OR(RÉPARATIONS!$D$5="TOUTES",B15=RÉPARATIONS!$D$5)),1,0)</f>
        <v>0</v>
      </c>
      <c r="AP15" s="78" t="str">
        <f aca="false">IF(AO15=1,SUM(AO$7:AO15),"")</f>
        <v/>
      </c>
    </row>
    <row r="16" customFormat="false" ht="15" hidden="false" customHeight="false" outlineLevel="0" collapsed="false">
      <c r="A16" s="78" t="n">
        <f aca="false">IF(E16="","",ROW()-6)</f>
        <v>10</v>
      </c>
      <c r="B16" s="79" t="s">
        <v>100</v>
      </c>
      <c r="C16" s="80" t="s">
        <v>128</v>
      </c>
      <c r="D16" s="80" t="s">
        <v>101</v>
      </c>
      <c r="E16" s="80" t="s">
        <v>129</v>
      </c>
      <c r="F16" s="80" t="s">
        <v>103</v>
      </c>
      <c r="G16" s="80" t="s">
        <v>104</v>
      </c>
      <c r="H16" s="80" t="n">
        <v>11</v>
      </c>
      <c r="I16" s="80" t="s">
        <v>112</v>
      </c>
      <c r="J16" s="80" t="s">
        <v>130</v>
      </c>
      <c r="K16" s="80" t="s">
        <v>125</v>
      </c>
      <c r="L16" s="80" t="s">
        <v>131</v>
      </c>
      <c r="M16" s="80" t="s">
        <v>123</v>
      </c>
      <c r="N16" s="80" t="s">
        <v>123</v>
      </c>
      <c r="O16" s="80" t="s">
        <v>132</v>
      </c>
      <c r="P16" s="81" t="n">
        <v>45891</v>
      </c>
      <c r="Q16" s="81" t="n">
        <v>45891</v>
      </c>
      <c r="R16" s="80" t="s">
        <v>133</v>
      </c>
      <c r="S16" s="80" t="s">
        <v>103</v>
      </c>
      <c r="T16" s="81" t="n">
        <v>45893</v>
      </c>
      <c r="U16" s="80" t="s">
        <v>134</v>
      </c>
      <c r="V16" s="80" t="s">
        <v>103</v>
      </c>
      <c r="W16" s="80"/>
      <c r="X16" s="80"/>
      <c r="Y16" s="81"/>
      <c r="Z16" s="80"/>
      <c r="AA16" s="80"/>
      <c r="AB16" s="80"/>
      <c r="AC16" s="80"/>
      <c r="AD16" s="81"/>
      <c r="AE16" s="80"/>
      <c r="AF16" s="80"/>
      <c r="AG16" s="81"/>
      <c r="AH16" s="79"/>
      <c r="AI16" s="78" t="n">
        <f aca="false">IF(E16="","",(V16&lt;&gt;"")+(AA16&lt;&gt;"")+(AF16&lt;&gt;""))</f>
        <v>1</v>
      </c>
      <c r="AJ16" s="82" t="str">
        <f aca="false">IF(AF16&lt;&gt;"",AF16,IF(AA16&lt;&gt;"",AA16,IF(V16&lt;&gt;"",V16,"")))</f>
        <v>A</v>
      </c>
      <c r="AK16" s="83" t="str">
        <f aca="false">IF(E16="","",IF(P16="","À SOUDER",IF(S16="","VT EN ATTENTE",IF(S16="R","VT REJETÉ – À REPRENDRE",IF(AJ16="","À RADIOGRAPHIER",IF(AJ16="A","ACCEPTÉ",IF(AJ16="NX","NX – RT À REFAIRE",IF(IF(AI16=1,X16,IF(AI16=2,AC16,""))="A","RÉPARÉ – À RADIOGRAPHIER",IF(IF(AI16=1,X16,IF(AI16=2,AC16,""))="R","VT REJETÉ – À REPRENDRE",IF(AJ16="CO","COUPE – À RESOUDER","À RÉPARER"))))))))))</f>
        <v>ACCEPTÉ</v>
      </c>
      <c r="AL16" s="82" t="str">
        <f aca="false">IF(AND(ISNUMBER(P16),OR(AK16="À RADIOGRAPHIER",AK16="RÉPARÉ – À RADIOGRAPHIER",AK16="NX – RT À REFAIRE",AK16="À RÉPARER",AK16="COUPE – À RESOUDER",AK16="VT REJETÉ – À REPRENDRE")),MAX(0,'PROGRAMME RT'!$C$4-P16),"")</f>
        <v/>
      </c>
      <c r="AM16" s="78" t="n">
        <f aca="false">IF(AND(OR(AK16="À RADIOGRAPHIER",AK16="RÉPARÉ – À RADIOGRAPHIER",AK16="NX – RT À REFAIRE"),OR('PROGRAMME RT'!$D$5="TOUTES",B16='PROGRAMME RT'!$D$5)),1,0)</f>
        <v>0</v>
      </c>
      <c r="AN16" s="78" t="str">
        <f aca="false">IF(AM16=1,SUM(AM$7:AM16),"")</f>
        <v/>
      </c>
      <c r="AO16" s="78" t="n">
        <f aca="false">IF(AND(OR(AK16="À RÉPARER",AK16="COUPE – À RESOUDER",AK16="VT REJETÉ – À REPRENDRE"),OR(RÉPARATIONS!$D$5="TOUTES",B16=RÉPARATIONS!$D$5)),1,0)</f>
        <v>0</v>
      </c>
      <c r="AP16" s="78" t="str">
        <f aca="false">IF(AO16=1,SUM(AO$7:AO16),"")</f>
        <v/>
      </c>
    </row>
    <row r="17" customFormat="false" ht="15" hidden="false" customHeight="false" outlineLevel="0" collapsed="false">
      <c r="A17" s="78" t="n">
        <f aca="false">IF(E17="","",ROW()-6)</f>
        <v>11</v>
      </c>
      <c r="B17" s="79" t="s">
        <v>100</v>
      </c>
      <c r="C17" s="80" t="s">
        <v>128</v>
      </c>
      <c r="D17" s="80" t="s">
        <v>101</v>
      </c>
      <c r="E17" s="80" t="s">
        <v>135</v>
      </c>
      <c r="F17" s="80" t="s">
        <v>103</v>
      </c>
      <c r="G17" s="80" t="s">
        <v>104</v>
      </c>
      <c r="H17" s="80" t="n">
        <v>11</v>
      </c>
      <c r="I17" s="80" t="s">
        <v>112</v>
      </c>
      <c r="J17" s="80" t="s">
        <v>130</v>
      </c>
      <c r="K17" s="80" t="s">
        <v>131</v>
      </c>
      <c r="L17" s="80" t="s">
        <v>136</v>
      </c>
      <c r="M17" s="80" t="s">
        <v>123</v>
      </c>
      <c r="N17" s="80" t="s">
        <v>123</v>
      </c>
      <c r="O17" s="80" t="s">
        <v>132</v>
      </c>
      <c r="P17" s="81" t="n">
        <v>45891</v>
      </c>
      <c r="Q17" s="81" t="n">
        <v>45891</v>
      </c>
      <c r="R17" s="80" t="s">
        <v>133</v>
      </c>
      <c r="S17" s="80" t="s">
        <v>103</v>
      </c>
      <c r="T17" s="81" t="n">
        <v>45893</v>
      </c>
      <c r="U17" s="80" t="s">
        <v>134</v>
      </c>
      <c r="V17" s="80" t="s">
        <v>103</v>
      </c>
      <c r="W17" s="80"/>
      <c r="X17" s="80"/>
      <c r="Y17" s="81"/>
      <c r="Z17" s="80"/>
      <c r="AA17" s="80"/>
      <c r="AB17" s="80"/>
      <c r="AC17" s="80"/>
      <c r="AD17" s="81"/>
      <c r="AE17" s="80"/>
      <c r="AF17" s="80"/>
      <c r="AG17" s="81"/>
      <c r="AH17" s="79"/>
      <c r="AI17" s="78" t="n">
        <f aca="false">IF(E17="","",(V17&lt;&gt;"")+(AA17&lt;&gt;"")+(AF17&lt;&gt;""))</f>
        <v>1</v>
      </c>
      <c r="AJ17" s="82" t="str">
        <f aca="false">IF(AF17&lt;&gt;"",AF17,IF(AA17&lt;&gt;"",AA17,IF(V17&lt;&gt;"",V17,"")))</f>
        <v>A</v>
      </c>
      <c r="AK17" s="83" t="str">
        <f aca="false">IF(E17="","",IF(P17="","À SOUDER",IF(S17="","VT EN ATTENTE",IF(S17="R","VT REJETÉ – À REPRENDRE",IF(AJ17="","À RADIOGRAPHIER",IF(AJ17="A","ACCEPTÉ",IF(AJ17="NX","NX – RT À REFAIRE",IF(IF(AI17=1,X17,IF(AI17=2,AC17,""))="A","RÉPARÉ – À RADIOGRAPHIER",IF(IF(AI17=1,X17,IF(AI17=2,AC17,""))="R","VT REJETÉ – À REPRENDRE",IF(AJ17="CO","COUPE – À RESOUDER","À RÉPARER"))))))))))</f>
        <v>ACCEPTÉ</v>
      </c>
      <c r="AL17" s="82" t="str">
        <f aca="false">IF(AND(ISNUMBER(P17),OR(AK17="À RADIOGRAPHIER",AK17="RÉPARÉ – À RADIOGRAPHIER",AK17="NX – RT À REFAIRE",AK17="À RÉPARER",AK17="COUPE – À RESOUDER",AK17="VT REJETÉ – À REPRENDRE")),MAX(0,'PROGRAMME RT'!$C$4-P17),"")</f>
        <v/>
      </c>
      <c r="AM17" s="78" t="n">
        <f aca="false">IF(AND(OR(AK17="À RADIOGRAPHIER",AK17="RÉPARÉ – À RADIOGRAPHIER",AK17="NX – RT À REFAIRE"),OR('PROGRAMME RT'!$D$5="TOUTES",B17='PROGRAMME RT'!$D$5)),1,0)</f>
        <v>0</v>
      </c>
      <c r="AN17" s="78" t="str">
        <f aca="false">IF(AM17=1,SUM(AM$7:AM17),"")</f>
        <v/>
      </c>
      <c r="AO17" s="78" t="n">
        <f aca="false">IF(AND(OR(AK17="À RÉPARER",AK17="COUPE – À RESOUDER",AK17="VT REJETÉ – À REPRENDRE"),OR(RÉPARATIONS!$D$5="TOUTES",B17=RÉPARATIONS!$D$5)),1,0)</f>
        <v>0</v>
      </c>
      <c r="AP17" s="78" t="str">
        <f aca="false">IF(AO17=1,SUM(AO$7:AO17),"")</f>
        <v/>
      </c>
    </row>
    <row r="18" customFormat="false" ht="15" hidden="false" customHeight="false" outlineLevel="0" collapsed="false">
      <c r="A18" s="78" t="n">
        <f aca="false">IF(E18="","",ROW()-6)</f>
        <v>12</v>
      </c>
      <c r="B18" s="79" t="s">
        <v>100</v>
      </c>
      <c r="C18" s="80" t="s">
        <v>128</v>
      </c>
      <c r="D18" s="80" t="s">
        <v>101</v>
      </c>
      <c r="E18" s="80" t="s">
        <v>137</v>
      </c>
      <c r="F18" s="80" t="s">
        <v>103</v>
      </c>
      <c r="G18" s="80" t="s">
        <v>104</v>
      </c>
      <c r="H18" s="80" t="n">
        <v>11</v>
      </c>
      <c r="I18" s="80" t="s">
        <v>112</v>
      </c>
      <c r="J18" s="80" t="s">
        <v>130</v>
      </c>
      <c r="K18" s="80" t="s">
        <v>136</v>
      </c>
      <c r="L18" s="80" t="s">
        <v>138</v>
      </c>
      <c r="M18" s="80" t="s">
        <v>139</v>
      </c>
      <c r="N18" s="80" t="s">
        <v>139</v>
      </c>
      <c r="O18" s="80" t="s">
        <v>132</v>
      </c>
      <c r="P18" s="81" t="n">
        <v>45891</v>
      </c>
      <c r="Q18" s="81" t="n">
        <v>45891</v>
      </c>
      <c r="R18" s="80" t="s">
        <v>133</v>
      </c>
      <c r="S18" s="80" t="s">
        <v>103</v>
      </c>
      <c r="T18" s="81" t="n">
        <v>45893</v>
      </c>
      <c r="U18" s="80" t="s">
        <v>134</v>
      </c>
      <c r="V18" s="80" t="s">
        <v>103</v>
      </c>
      <c r="W18" s="80"/>
      <c r="X18" s="80"/>
      <c r="Y18" s="81"/>
      <c r="Z18" s="80"/>
      <c r="AA18" s="80"/>
      <c r="AB18" s="80"/>
      <c r="AC18" s="80"/>
      <c r="AD18" s="81"/>
      <c r="AE18" s="80"/>
      <c r="AF18" s="80"/>
      <c r="AG18" s="81"/>
      <c r="AH18" s="79"/>
      <c r="AI18" s="78" t="n">
        <f aca="false">IF(E18="","",(V18&lt;&gt;"")+(AA18&lt;&gt;"")+(AF18&lt;&gt;""))</f>
        <v>1</v>
      </c>
      <c r="AJ18" s="82" t="str">
        <f aca="false">IF(AF18&lt;&gt;"",AF18,IF(AA18&lt;&gt;"",AA18,IF(V18&lt;&gt;"",V18,"")))</f>
        <v>A</v>
      </c>
      <c r="AK18" s="83" t="str">
        <f aca="false">IF(E18="","",IF(P18="","À SOUDER",IF(S18="","VT EN ATTENTE",IF(S18="R","VT REJETÉ – À REPRENDRE",IF(AJ18="","À RADIOGRAPHIER",IF(AJ18="A","ACCEPTÉ",IF(AJ18="NX","NX – RT À REFAIRE",IF(IF(AI18=1,X18,IF(AI18=2,AC18,""))="A","RÉPARÉ – À RADIOGRAPHIER",IF(IF(AI18=1,X18,IF(AI18=2,AC18,""))="R","VT REJETÉ – À REPRENDRE",IF(AJ18="CO","COUPE – À RESOUDER","À RÉPARER"))))))))))</f>
        <v>ACCEPTÉ</v>
      </c>
      <c r="AL18" s="82" t="str">
        <f aca="false">IF(AND(ISNUMBER(P18),OR(AK18="À RADIOGRAPHIER",AK18="RÉPARÉ – À RADIOGRAPHIER",AK18="NX – RT À REFAIRE",AK18="À RÉPARER",AK18="COUPE – À RESOUDER",AK18="VT REJETÉ – À REPRENDRE")),MAX(0,'PROGRAMME RT'!$C$4-P18),"")</f>
        <v/>
      </c>
      <c r="AM18" s="78" t="n">
        <f aca="false">IF(AND(OR(AK18="À RADIOGRAPHIER",AK18="RÉPARÉ – À RADIOGRAPHIER",AK18="NX – RT À REFAIRE"),OR('PROGRAMME RT'!$D$5="TOUTES",B18='PROGRAMME RT'!$D$5)),1,0)</f>
        <v>0</v>
      </c>
      <c r="AN18" s="78" t="str">
        <f aca="false">IF(AM18=1,SUM(AM$7:AM18),"")</f>
        <v/>
      </c>
      <c r="AO18" s="78" t="n">
        <f aca="false">IF(AND(OR(AK18="À RÉPARER",AK18="COUPE – À RESOUDER",AK18="VT REJETÉ – À REPRENDRE"),OR(RÉPARATIONS!$D$5="TOUTES",B18=RÉPARATIONS!$D$5)),1,0)</f>
        <v>0</v>
      </c>
      <c r="AP18" s="78" t="str">
        <f aca="false">IF(AO18=1,SUM(AO$7:AO18),"")</f>
        <v/>
      </c>
    </row>
    <row r="19" customFormat="false" ht="15" hidden="false" customHeight="false" outlineLevel="0" collapsed="false">
      <c r="A19" s="78" t="n">
        <f aca="false">IF(E19="","",ROW()-6)</f>
        <v>13</v>
      </c>
      <c r="B19" s="79" t="s">
        <v>100</v>
      </c>
      <c r="C19" s="80" t="s">
        <v>128</v>
      </c>
      <c r="D19" s="80" t="s">
        <v>101</v>
      </c>
      <c r="E19" s="80" t="s">
        <v>140</v>
      </c>
      <c r="F19" s="80" t="s">
        <v>103</v>
      </c>
      <c r="G19" s="80" t="s">
        <v>104</v>
      </c>
      <c r="H19" s="80" t="n">
        <v>11</v>
      </c>
      <c r="I19" s="80" t="s">
        <v>112</v>
      </c>
      <c r="J19" s="80" t="s">
        <v>130</v>
      </c>
      <c r="K19" s="80" t="s">
        <v>138</v>
      </c>
      <c r="L19" s="80" t="s">
        <v>141</v>
      </c>
      <c r="M19" s="80" t="s">
        <v>139</v>
      </c>
      <c r="N19" s="80" t="s">
        <v>139</v>
      </c>
      <c r="O19" s="80" t="s">
        <v>123</v>
      </c>
      <c r="P19" s="81" t="n">
        <v>45891</v>
      </c>
      <c r="Q19" s="81" t="n">
        <v>45891</v>
      </c>
      <c r="R19" s="80" t="s">
        <v>133</v>
      </c>
      <c r="S19" s="80" t="s">
        <v>103</v>
      </c>
      <c r="T19" s="81" t="n">
        <v>45893</v>
      </c>
      <c r="U19" s="80" t="s">
        <v>134</v>
      </c>
      <c r="V19" s="80" t="s">
        <v>103</v>
      </c>
      <c r="W19" s="80"/>
      <c r="X19" s="80"/>
      <c r="Y19" s="81"/>
      <c r="Z19" s="80"/>
      <c r="AA19" s="80"/>
      <c r="AB19" s="80"/>
      <c r="AC19" s="80"/>
      <c r="AD19" s="81"/>
      <c r="AE19" s="80"/>
      <c r="AF19" s="80"/>
      <c r="AG19" s="81"/>
      <c r="AH19" s="79"/>
      <c r="AI19" s="78" t="n">
        <f aca="false">IF(E19="","",(V19&lt;&gt;"")+(AA19&lt;&gt;"")+(AF19&lt;&gt;""))</f>
        <v>1</v>
      </c>
      <c r="AJ19" s="82" t="str">
        <f aca="false">IF(AF19&lt;&gt;"",AF19,IF(AA19&lt;&gt;"",AA19,IF(V19&lt;&gt;"",V19,"")))</f>
        <v>A</v>
      </c>
      <c r="AK19" s="83" t="str">
        <f aca="false">IF(E19="","",IF(P19="","À SOUDER",IF(S19="","VT EN ATTENTE",IF(S19="R","VT REJETÉ – À REPRENDRE",IF(AJ19="","À RADIOGRAPHIER",IF(AJ19="A","ACCEPTÉ",IF(AJ19="NX","NX – RT À REFAIRE",IF(IF(AI19=1,X19,IF(AI19=2,AC19,""))="A","RÉPARÉ – À RADIOGRAPHIER",IF(IF(AI19=1,X19,IF(AI19=2,AC19,""))="R","VT REJETÉ – À REPRENDRE",IF(AJ19="CO","COUPE – À RESOUDER","À RÉPARER"))))))))))</f>
        <v>ACCEPTÉ</v>
      </c>
      <c r="AL19" s="82" t="str">
        <f aca="false">IF(AND(ISNUMBER(P19),OR(AK19="À RADIOGRAPHIER",AK19="RÉPARÉ – À RADIOGRAPHIER",AK19="NX – RT À REFAIRE",AK19="À RÉPARER",AK19="COUPE – À RESOUDER",AK19="VT REJETÉ – À REPRENDRE")),MAX(0,'PROGRAMME RT'!$C$4-P19),"")</f>
        <v/>
      </c>
      <c r="AM19" s="78" t="n">
        <f aca="false">IF(AND(OR(AK19="À RADIOGRAPHIER",AK19="RÉPARÉ – À RADIOGRAPHIER",AK19="NX – RT À REFAIRE"),OR('PROGRAMME RT'!$D$5="TOUTES",B19='PROGRAMME RT'!$D$5)),1,0)</f>
        <v>0</v>
      </c>
      <c r="AN19" s="78" t="str">
        <f aca="false">IF(AM19=1,SUM(AM$7:AM19),"")</f>
        <v/>
      </c>
      <c r="AO19" s="78" t="n">
        <f aca="false">IF(AND(OR(AK19="À RÉPARER",AK19="COUPE – À RESOUDER",AK19="VT REJETÉ – À REPRENDRE"),OR(RÉPARATIONS!$D$5="TOUTES",B19=RÉPARATIONS!$D$5)),1,0)</f>
        <v>0</v>
      </c>
      <c r="AP19" s="78" t="str">
        <f aca="false">IF(AO19=1,SUM(AO$7:AO19),"")</f>
        <v/>
      </c>
    </row>
    <row r="20" customFormat="false" ht="15" hidden="false" customHeight="false" outlineLevel="0" collapsed="false">
      <c r="A20" s="78" t="n">
        <f aca="false">IF(E20="","",ROW()-6)</f>
        <v>14</v>
      </c>
      <c r="B20" s="79" t="s">
        <v>100</v>
      </c>
      <c r="C20" s="80" t="s">
        <v>128</v>
      </c>
      <c r="D20" s="80" t="s">
        <v>101</v>
      </c>
      <c r="E20" s="80" t="s">
        <v>142</v>
      </c>
      <c r="F20" s="80" t="s">
        <v>103</v>
      </c>
      <c r="G20" s="80" t="s">
        <v>104</v>
      </c>
      <c r="H20" s="80" t="n">
        <v>11</v>
      </c>
      <c r="I20" s="80" t="s">
        <v>112</v>
      </c>
      <c r="J20" s="80" t="s">
        <v>130</v>
      </c>
      <c r="K20" s="80" t="s">
        <v>141</v>
      </c>
      <c r="L20" s="80" t="s">
        <v>143</v>
      </c>
      <c r="M20" s="80" t="s">
        <v>139</v>
      </c>
      <c r="N20" s="80" t="s">
        <v>139</v>
      </c>
      <c r="O20" s="80" t="s">
        <v>123</v>
      </c>
      <c r="P20" s="81" t="n">
        <v>45876</v>
      </c>
      <c r="Q20" s="81" t="n">
        <v>45876</v>
      </c>
      <c r="R20" s="80" t="s">
        <v>144</v>
      </c>
      <c r="S20" s="80" t="s">
        <v>103</v>
      </c>
      <c r="T20" s="81" t="n">
        <v>45888</v>
      </c>
      <c r="U20" s="80" t="s">
        <v>145</v>
      </c>
      <c r="V20" s="80" t="s">
        <v>103</v>
      </c>
      <c r="W20" s="80"/>
      <c r="X20" s="80"/>
      <c r="Y20" s="81"/>
      <c r="Z20" s="80"/>
      <c r="AA20" s="80"/>
      <c r="AB20" s="80"/>
      <c r="AC20" s="80"/>
      <c r="AD20" s="81"/>
      <c r="AE20" s="80"/>
      <c r="AF20" s="80"/>
      <c r="AG20" s="81"/>
      <c r="AH20" s="79"/>
      <c r="AI20" s="78" t="n">
        <f aca="false">IF(E20="","",(V20&lt;&gt;"")+(AA20&lt;&gt;"")+(AF20&lt;&gt;""))</f>
        <v>1</v>
      </c>
      <c r="AJ20" s="82" t="str">
        <f aca="false">IF(AF20&lt;&gt;"",AF20,IF(AA20&lt;&gt;"",AA20,IF(V20&lt;&gt;"",V20,"")))</f>
        <v>A</v>
      </c>
      <c r="AK20" s="83" t="str">
        <f aca="false">IF(E20="","",IF(P20="","À SOUDER",IF(S20="","VT EN ATTENTE",IF(S20="R","VT REJETÉ – À REPRENDRE",IF(AJ20="","À RADIOGRAPHIER",IF(AJ20="A","ACCEPTÉ",IF(AJ20="NX","NX – RT À REFAIRE",IF(IF(AI20=1,X20,IF(AI20=2,AC20,""))="A","RÉPARÉ – À RADIOGRAPHIER",IF(IF(AI20=1,X20,IF(AI20=2,AC20,""))="R","VT REJETÉ – À REPRENDRE",IF(AJ20="CO","COUPE – À RESOUDER","À RÉPARER"))))))))))</f>
        <v>ACCEPTÉ</v>
      </c>
      <c r="AL20" s="82" t="str">
        <f aca="false">IF(AND(ISNUMBER(P20),OR(AK20="À RADIOGRAPHIER",AK20="RÉPARÉ – À RADIOGRAPHIER",AK20="NX – RT À REFAIRE",AK20="À RÉPARER",AK20="COUPE – À RESOUDER",AK20="VT REJETÉ – À REPRENDRE")),MAX(0,'PROGRAMME RT'!$C$4-P20),"")</f>
        <v/>
      </c>
      <c r="AM20" s="78" t="n">
        <f aca="false">IF(AND(OR(AK20="À RADIOGRAPHIER",AK20="RÉPARÉ – À RADIOGRAPHIER",AK20="NX – RT À REFAIRE"),OR('PROGRAMME RT'!$D$5="TOUTES",B20='PROGRAMME RT'!$D$5)),1,0)</f>
        <v>0</v>
      </c>
      <c r="AN20" s="78" t="str">
        <f aca="false">IF(AM20=1,SUM(AM$7:AM20),"")</f>
        <v/>
      </c>
      <c r="AO20" s="78" t="n">
        <f aca="false">IF(AND(OR(AK20="À RÉPARER",AK20="COUPE – À RESOUDER",AK20="VT REJETÉ – À REPRENDRE"),OR(RÉPARATIONS!$D$5="TOUTES",B20=RÉPARATIONS!$D$5)),1,0)</f>
        <v>0</v>
      </c>
      <c r="AP20" s="78" t="str">
        <f aca="false">IF(AO20=1,SUM(AO$7:AO20),"")</f>
        <v/>
      </c>
    </row>
    <row r="21" customFormat="false" ht="15" hidden="false" customHeight="false" outlineLevel="0" collapsed="false">
      <c r="A21" s="78" t="n">
        <f aca="false">IF(E21="","",ROW()-6)</f>
        <v>15</v>
      </c>
      <c r="B21" s="79" t="s">
        <v>100</v>
      </c>
      <c r="C21" s="80" t="s">
        <v>128</v>
      </c>
      <c r="D21" s="80" t="s">
        <v>101</v>
      </c>
      <c r="E21" s="80" t="s">
        <v>146</v>
      </c>
      <c r="F21" s="80" t="s">
        <v>103</v>
      </c>
      <c r="G21" s="80" t="s">
        <v>104</v>
      </c>
      <c r="H21" s="80" t="n">
        <v>11</v>
      </c>
      <c r="I21" s="80" t="s">
        <v>112</v>
      </c>
      <c r="J21" s="80" t="s">
        <v>130</v>
      </c>
      <c r="K21" s="80" t="s">
        <v>143</v>
      </c>
      <c r="L21" s="80" t="s">
        <v>147</v>
      </c>
      <c r="M21" s="80" t="s">
        <v>139</v>
      </c>
      <c r="N21" s="80" t="s">
        <v>139</v>
      </c>
      <c r="O21" s="80" t="s">
        <v>123</v>
      </c>
      <c r="P21" s="81" t="n">
        <v>45876</v>
      </c>
      <c r="Q21" s="81" t="n">
        <v>45876</v>
      </c>
      <c r="R21" s="80" t="s">
        <v>144</v>
      </c>
      <c r="S21" s="80" t="s">
        <v>103</v>
      </c>
      <c r="T21" s="81" t="n">
        <v>45888</v>
      </c>
      <c r="U21" s="80" t="s">
        <v>145</v>
      </c>
      <c r="V21" s="80" t="s">
        <v>103</v>
      </c>
      <c r="W21" s="80"/>
      <c r="X21" s="80"/>
      <c r="Y21" s="81"/>
      <c r="Z21" s="80"/>
      <c r="AA21" s="80"/>
      <c r="AB21" s="80"/>
      <c r="AC21" s="80"/>
      <c r="AD21" s="81"/>
      <c r="AE21" s="80"/>
      <c r="AF21" s="80"/>
      <c r="AG21" s="81"/>
      <c r="AH21" s="79"/>
      <c r="AI21" s="78" t="n">
        <f aca="false">IF(E21="","",(V21&lt;&gt;"")+(AA21&lt;&gt;"")+(AF21&lt;&gt;""))</f>
        <v>1</v>
      </c>
      <c r="AJ21" s="82" t="str">
        <f aca="false">IF(AF21&lt;&gt;"",AF21,IF(AA21&lt;&gt;"",AA21,IF(V21&lt;&gt;"",V21,"")))</f>
        <v>A</v>
      </c>
      <c r="AK21" s="83" t="str">
        <f aca="false">IF(E21="","",IF(P21="","À SOUDER",IF(S21="","VT EN ATTENTE",IF(S21="R","VT REJETÉ – À REPRENDRE",IF(AJ21="","À RADIOGRAPHIER",IF(AJ21="A","ACCEPTÉ",IF(AJ21="NX","NX – RT À REFAIRE",IF(IF(AI21=1,X21,IF(AI21=2,AC21,""))="A","RÉPARÉ – À RADIOGRAPHIER",IF(IF(AI21=1,X21,IF(AI21=2,AC21,""))="R","VT REJETÉ – À REPRENDRE",IF(AJ21="CO","COUPE – À RESOUDER","À RÉPARER"))))))))))</f>
        <v>ACCEPTÉ</v>
      </c>
      <c r="AL21" s="82" t="str">
        <f aca="false">IF(AND(ISNUMBER(P21),OR(AK21="À RADIOGRAPHIER",AK21="RÉPARÉ – À RADIOGRAPHIER",AK21="NX – RT À REFAIRE",AK21="À RÉPARER",AK21="COUPE – À RESOUDER",AK21="VT REJETÉ – À REPRENDRE")),MAX(0,'PROGRAMME RT'!$C$4-P21),"")</f>
        <v/>
      </c>
      <c r="AM21" s="78" t="n">
        <f aca="false">IF(AND(OR(AK21="À RADIOGRAPHIER",AK21="RÉPARÉ – À RADIOGRAPHIER",AK21="NX – RT À REFAIRE"),OR('PROGRAMME RT'!$D$5="TOUTES",B21='PROGRAMME RT'!$D$5)),1,0)</f>
        <v>0</v>
      </c>
      <c r="AN21" s="78" t="str">
        <f aca="false">IF(AM21=1,SUM(AM$7:AM21),"")</f>
        <v/>
      </c>
      <c r="AO21" s="78" t="n">
        <f aca="false">IF(AND(OR(AK21="À RÉPARER",AK21="COUPE – À RESOUDER",AK21="VT REJETÉ – À REPRENDRE"),OR(RÉPARATIONS!$D$5="TOUTES",B21=RÉPARATIONS!$D$5)),1,0)</f>
        <v>0</v>
      </c>
      <c r="AP21" s="78" t="str">
        <f aca="false">IF(AO21=1,SUM(AO$7:AO21),"")</f>
        <v/>
      </c>
    </row>
    <row r="22" customFormat="false" ht="15" hidden="false" customHeight="false" outlineLevel="0" collapsed="false">
      <c r="A22" s="78" t="n">
        <f aca="false">IF(E22="","",ROW()-6)</f>
        <v>16</v>
      </c>
      <c r="B22" s="79" t="s">
        <v>100</v>
      </c>
      <c r="C22" s="80" t="s">
        <v>128</v>
      </c>
      <c r="D22" s="80" t="s">
        <v>101</v>
      </c>
      <c r="E22" s="80" t="s">
        <v>148</v>
      </c>
      <c r="F22" s="80" t="s">
        <v>149</v>
      </c>
      <c r="G22" s="80" t="s">
        <v>104</v>
      </c>
      <c r="H22" s="80" t="n">
        <v>11</v>
      </c>
      <c r="I22" s="80" t="s">
        <v>112</v>
      </c>
      <c r="J22" s="80" t="s">
        <v>130</v>
      </c>
      <c r="K22" s="80" t="s">
        <v>147</v>
      </c>
      <c r="L22" s="80" t="s">
        <v>150</v>
      </c>
      <c r="M22" s="80" t="s">
        <v>139</v>
      </c>
      <c r="N22" s="80" t="s">
        <v>139</v>
      </c>
      <c r="O22" s="80" t="s">
        <v>123</v>
      </c>
      <c r="P22" s="81" t="n">
        <v>45876</v>
      </c>
      <c r="Q22" s="81" t="n">
        <v>45876</v>
      </c>
      <c r="R22" s="80" t="s">
        <v>144</v>
      </c>
      <c r="S22" s="80" t="s">
        <v>103</v>
      </c>
      <c r="T22" s="81" t="n">
        <v>45888</v>
      </c>
      <c r="U22" s="80" t="s">
        <v>145</v>
      </c>
      <c r="V22" s="80" t="s">
        <v>103</v>
      </c>
      <c r="W22" s="80"/>
      <c r="X22" s="80"/>
      <c r="Y22" s="81"/>
      <c r="Z22" s="80"/>
      <c r="AA22" s="80"/>
      <c r="AB22" s="80"/>
      <c r="AC22" s="80"/>
      <c r="AD22" s="81"/>
      <c r="AE22" s="80"/>
      <c r="AF22" s="80"/>
      <c r="AG22" s="81"/>
      <c r="AH22" s="79"/>
      <c r="AI22" s="78" t="n">
        <f aca="false">IF(E22="","",(V22&lt;&gt;"")+(AA22&lt;&gt;"")+(AF22&lt;&gt;""))</f>
        <v>1</v>
      </c>
      <c r="AJ22" s="82" t="str">
        <f aca="false">IF(AF22&lt;&gt;"",AF22,IF(AA22&lt;&gt;"",AA22,IF(V22&lt;&gt;"",V22,"")))</f>
        <v>A</v>
      </c>
      <c r="AK22" s="83" t="str">
        <f aca="false">IF(E22="","",IF(P22="","À SOUDER",IF(S22="","VT EN ATTENTE",IF(S22="R","VT REJETÉ – À REPRENDRE",IF(AJ22="","À RADIOGRAPHIER",IF(AJ22="A","ACCEPTÉ",IF(AJ22="NX","NX – RT À REFAIRE",IF(IF(AI22=1,X22,IF(AI22=2,AC22,""))="A","RÉPARÉ – À RADIOGRAPHIER",IF(IF(AI22=1,X22,IF(AI22=2,AC22,""))="R","VT REJETÉ – À REPRENDRE",IF(AJ22="CO","COUPE – À RESOUDER","À RÉPARER"))))))))))</f>
        <v>ACCEPTÉ</v>
      </c>
      <c r="AL22" s="82" t="str">
        <f aca="false">IF(AND(ISNUMBER(P22),OR(AK22="À RADIOGRAPHIER",AK22="RÉPARÉ – À RADIOGRAPHIER",AK22="NX – RT À REFAIRE",AK22="À RÉPARER",AK22="COUPE – À RESOUDER",AK22="VT REJETÉ – À REPRENDRE")),MAX(0,'PROGRAMME RT'!$C$4-P22),"")</f>
        <v/>
      </c>
      <c r="AM22" s="78" t="n">
        <f aca="false">IF(AND(OR(AK22="À RADIOGRAPHIER",AK22="RÉPARÉ – À RADIOGRAPHIER",AK22="NX – RT À REFAIRE"),OR('PROGRAMME RT'!$D$5="TOUTES",B22='PROGRAMME RT'!$D$5)),1,0)</f>
        <v>0</v>
      </c>
      <c r="AN22" s="78" t="str">
        <f aca="false">IF(AM22=1,SUM(AM$7:AM22),"")</f>
        <v/>
      </c>
      <c r="AO22" s="78" t="n">
        <f aca="false">IF(AND(OR(AK22="À RÉPARER",AK22="COUPE – À RESOUDER",AK22="VT REJETÉ – À REPRENDRE"),OR(RÉPARATIONS!$D$5="TOUTES",B22=RÉPARATIONS!$D$5)),1,0)</f>
        <v>0</v>
      </c>
      <c r="AP22" s="78" t="str">
        <f aca="false">IF(AO22=1,SUM(AO$7:AO22),"")</f>
        <v/>
      </c>
    </row>
    <row r="23" customFormat="false" ht="15" hidden="false" customHeight="false" outlineLevel="0" collapsed="false">
      <c r="A23" s="78" t="n">
        <f aca="false">IF(E23="","",ROW()-6)</f>
        <v>17</v>
      </c>
      <c r="B23" s="79" t="s">
        <v>100</v>
      </c>
      <c r="C23" s="80" t="s">
        <v>128</v>
      </c>
      <c r="D23" s="80" t="s">
        <v>101</v>
      </c>
      <c r="E23" s="80" t="s">
        <v>151</v>
      </c>
      <c r="F23" s="80" t="s">
        <v>149</v>
      </c>
      <c r="G23" s="80" t="s">
        <v>104</v>
      </c>
      <c r="H23" s="80" t="n">
        <v>11</v>
      </c>
      <c r="I23" s="80" t="s">
        <v>112</v>
      </c>
      <c r="J23" s="80" t="s">
        <v>130</v>
      </c>
      <c r="K23" s="80" t="s">
        <v>150</v>
      </c>
      <c r="L23" s="80" t="s">
        <v>122</v>
      </c>
      <c r="M23" s="80" t="s">
        <v>139</v>
      </c>
      <c r="N23" s="80" t="s">
        <v>139</v>
      </c>
      <c r="O23" s="80" t="s">
        <v>123</v>
      </c>
      <c r="P23" s="81" t="n">
        <v>45876</v>
      </c>
      <c r="Q23" s="81" t="n">
        <v>45876</v>
      </c>
      <c r="R23" s="80" t="s">
        <v>144</v>
      </c>
      <c r="S23" s="80" t="s">
        <v>103</v>
      </c>
      <c r="T23" s="81" t="n">
        <v>45888</v>
      </c>
      <c r="U23" s="80" t="s">
        <v>145</v>
      </c>
      <c r="V23" s="80" t="s">
        <v>103</v>
      </c>
      <c r="W23" s="80"/>
      <c r="X23" s="80"/>
      <c r="Y23" s="81"/>
      <c r="Z23" s="80"/>
      <c r="AA23" s="80"/>
      <c r="AB23" s="80"/>
      <c r="AC23" s="80"/>
      <c r="AD23" s="81"/>
      <c r="AE23" s="80"/>
      <c r="AF23" s="80"/>
      <c r="AG23" s="81"/>
      <c r="AH23" s="79"/>
      <c r="AI23" s="78" t="n">
        <f aca="false">IF(E23="","",(V23&lt;&gt;"")+(AA23&lt;&gt;"")+(AF23&lt;&gt;""))</f>
        <v>1</v>
      </c>
      <c r="AJ23" s="82" t="str">
        <f aca="false">IF(AF23&lt;&gt;"",AF23,IF(AA23&lt;&gt;"",AA23,IF(V23&lt;&gt;"",V23,"")))</f>
        <v>A</v>
      </c>
      <c r="AK23" s="83" t="str">
        <f aca="false">IF(E23="","",IF(P23="","À SOUDER",IF(S23="","VT EN ATTENTE",IF(S23="R","VT REJETÉ – À REPRENDRE",IF(AJ23="","À RADIOGRAPHIER",IF(AJ23="A","ACCEPTÉ",IF(AJ23="NX","NX – RT À REFAIRE",IF(IF(AI23=1,X23,IF(AI23=2,AC23,""))="A","RÉPARÉ – À RADIOGRAPHIER",IF(IF(AI23=1,X23,IF(AI23=2,AC23,""))="R","VT REJETÉ – À REPRENDRE",IF(AJ23="CO","COUPE – À RESOUDER","À RÉPARER"))))))))))</f>
        <v>ACCEPTÉ</v>
      </c>
      <c r="AL23" s="82" t="str">
        <f aca="false">IF(AND(ISNUMBER(P23),OR(AK23="À RADIOGRAPHIER",AK23="RÉPARÉ – À RADIOGRAPHIER",AK23="NX – RT À REFAIRE",AK23="À RÉPARER",AK23="COUPE – À RESOUDER",AK23="VT REJETÉ – À REPRENDRE")),MAX(0,'PROGRAMME RT'!$C$4-P23),"")</f>
        <v/>
      </c>
      <c r="AM23" s="78" t="n">
        <f aca="false">IF(AND(OR(AK23="À RADIOGRAPHIER",AK23="RÉPARÉ – À RADIOGRAPHIER",AK23="NX – RT À REFAIRE"),OR('PROGRAMME RT'!$D$5="TOUTES",B23='PROGRAMME RT'!$D$5)),1,0)</f>
        <v>0</v>
      </c>
      <c r="AN23" s="78" t="str">
        <f aca="false">IF(AM23=1,SUM(AM$7:AM23),"")</f>
        <v/>
      </c>
      <c r="AO23" s="78" t="n">
        <f aca="false">IF(AND(OR(AK23="À RÉPARER",AK23="COUPE – À RESOUDER",AK23="VT REJETÉ – À REPRENDRE"),OR(RÉPARATIONS!$D$5="TOUTES",B23=RÉPARATIONS!$D$5)),1,0)</f>
        <v>0</v>
      </c>
      <c r="AP23" s="78" t="str">
        <f aca="false">IF(AO23=1,SUM(AO$7:AO23),"")</f>
        <v/>
      </c>
    </row>
    <row r="24" customFormat="false" ht="15" hidden="false" customHeight="false" outlineLevel="0" collapsed="false">
      <c r="A24" s="78" t="n">
        <f aca="false">IF(E24="","",ROW()-6)</f>
        <v>18</v>
      </c>
      <c r="B24" s="79" t="s">
        <v>100</v>
      </c>
      <c r="C24" s="80" t="s">
        <v>152</v>
      </c>
      <c r="D24" s="80" t="s">
        <v>101</v>
      </c>
      <c r="E24" s="80" t="s">
        <v>153</v>
      </c>
      <c r="F24" s="80" t="s">
        <v>149</v>
      </c>
      <c r="G24" s="80" t="s">
        <v>104</v>
      </c>
      <c r="H24" s="80" t="n">
        <v>11</v>
      </c>
      <c r="I24" s="80" t="s">
        <v>112</v>
      </c>
      <c r="J24" s="80" t="s">
        <v>113</v>
      </c>
      <c r="K24" s="80" t="s">
        <v>122</v>
      </c>
      <c r="L24" s="80" t="s">
        <v>154</v>
      </c>
      <c r="M24" s="80" t="s">
        <v>123</v>
      </c>
      <c r="N24" s="80" t="s">
        <v>123</v>
      </c>
      <c r="O24" s="80" t="s">
        <v>123</v>
      </c>
      <c r="P24" s="81" t="n">
        <v>45908</v>
      </c>
      <c r="Q24" s="81" t="n">
        <v>45908</v>
      </c>
      <c r="R24" s="80" t="s">
        <v>126</v>
      </c>
      <c r="S24" s="80" t="s">
        <v>103</v>
      </c>
      <c r="T24" s="81" t="n">
        <v>45917</v>
      </c>
      <c r="U24" s="80" t="s">
        <v>117</v>
      </c>
      <c r="V24" s="80" t="s">
        <v>103</v>
      </c>
      <c r="W24" s="80"/>
      <c r="X24" s="80"/>
      <c r="Y24" s="81"/>
      <c r="Z24" s="80"/>
      <c r="AA24" s="80"/>
      <c r="AB24" s="80"/>
      <c r="AC24" s="80"/>
      <c r="AD24" s="81"/>
      <c r="AE24" s="80"/>
      <c r="AF24" s="80"/>
      <c r="AG24" s="81"/>
      <c r="AH24" s="79"/>
      <c r="AI24" s="78" t="n">
        <f aca="false">IF(E24="","",(V24&lt;&gt;"")+(AA24&lt;&gt;"")+(AF24&lt;&gt;""))</f>
        <v>1</v>
      </c>
      <c r="AJ24" s="82" t="str">
        <f aca="false">IF(AF24&lt;&gt;"",AF24,IF(AA24&lt;&gt;"",AA24,IF(V24&lt;&gt;"",V24,"")))</f>
        <v>A</v>
      </c>
      <c r="AK24" s="83" t="str">
        <f aca="false">IF(E24="","",IF(P24="","À SOUDER",IF(S24="","VT EN ATTENTE",IF(S24="R","VT REJETÉ – À REPRENDRE",IF(AJ24="","À RADIOGRAPHIER",IF(AJ24="A","ACCEPTÉ",IF(AJ24="NX","NX – RT À REFAIRE",IF(IF(AI24=1,X24,IF(AI24=2,AC24,""))="A","RÉPARÉ – À RADIOGRAPHIER",IF(IF(AI24=1,X24,IF(AI24=2,AC24,""))="R","VT REJETÉ – À REPRENDRE",IF(AJ24="CO","COUPE – À RESOUDER","À RÉPARER"))))))))))</f>
        <v>ACCEPTÉ</v>
      </c>
      <c r="AL24" s="82" t="str">
        <f aca="false">IF(AND(ISNUMBER(P24),OR(AK24="À RADIOGRAPHIER",AK24="RÉPARÉ – À RADIOGRAPHIER",AK24="NX – RT À REFAIRE",AK24="À RÉPARER",AK24="COUPE – À RESOUDER",AK24="VT REJETÉ – À REPRENDRE")),MAX(0,'PROGRAMME RT'!$C$4-P24),"")</f>
        <v/>
      </c>
      <c r="AM24" s="78" t="n">
        <f aca="false">IF(AND(OR(AK24="À RADIOGRAPHIER",AK24="RÉPARÉ – À RADIOGRAPHIER",AK24="NX – RT À REFAIRE"),OR('PROGRAMME RT'!$D$5="TOUTES",B24='PROGRAMME RT'!$D$5)),1,0)</f>
        <v>0</v>
      </c>
      <c r="AN24" s="78" t="str">
        <f aca="false">IF(AM24=1,SUM(AM$7:AM24),"")</f>
        <v/>
      </c>
      <c r="AO24" s="78" t="n">
        <f aca="false">IF(AND(OR(AK24="À RÉPARER",AK24="COUPE – À RESOUDER",AK24="VT REJETÉ – À REPRENDRE"),OR(RÉPARATIONS!$D$5="TOUTES",B24=RÉPARATIONS!$D$5)),1,0)</f>
        <v>0</v>
      </c>
      <c r="AP24" s="78" t="str">
        <f aca="false">IF(AO24=1,SUM(AO$7:AO24),"")</f>
        <v/>
      </c>
    </row>
    <row r="25" customFormat="false" ht="15" hidden="false" customHeight="false" outlineLevel="0" collapsed="false">
      <c r="A25" s="78" t="n">
        <f aca="false">IF(E25="","",ROW()-6)</f>
        <v>19</v>
      </c>
      <c r="B25" s="79" t="s">
        <v>100</v>
      </c>
      <c r="C25" s="80" t="s">
        <v>152</v>
      </c>
      <c r="D25" s="80" t="s">
        <v>101</v>
      </c>
      <c r="E25" s="80" t="s">
        <v>155</v>
      </c>
      <c r="F25" s="80" t="s">
        <v>149</v>
      </c>
      <c r="G25" s="80" t="s">
        <v>104</v>
      </c>
      <c r="H25" s="80" t="n">
        <v>11</v>
      </c>
      <c r="I25" s="80" t="s">
        <v>112</v>
      </c>
      <c r="J25" s="80" t="s">
        <v>113</v>
      </c>
      <c r="K25" s="80" t="s">
        <v>154</v>
      </c>
      <c r="L25" s="80" t="s">
        <v>156</v>
      </c>
      <c r="M25" s="80" t="s">
        <v>139</v>
      </c>
      <c r="N25" s="80" t="s">
        <v>139</v>
      </c>
      <c r="O25" s="80" t="s">
        <v>139</v>
      </c>
      <c r="P25" s="81" t="n">
        <v>45908</v>
      </c>
      <c r="Q25" s="81" t="n">
        <v>45908</v>
      </c>
      <c r="R25" s="80" t="s">
        <v>126</v>
      </c>
      <c r="S25" s="80" t="s">
        <v>103</v>
      </c>
      <c r="T25" s="81" t="n">
        <v>45915</v>
      </c>
      <c r="U25" s="80" t="s">
        <v>127</v>
      </c>
      <c r="V25" s="80" t="s">
        <v>103</v>
      </c>
      <c r="W25" s="80"/>
      <c r="X25" s="80"/>
      <c r="Y25" s="81"/>
      <c r="Z25" s="80"/>
      <c r="AA25" s="80"/>
      <c r="AB25" s="80"/>
      <c r="AC25" s="80"/>
      <c r="AD25" s="81"/>
      <c r="AE25" s="80"/>
      <c r="AF25" s="80"/>
      <c r="AG25" s="81"/>
      <c r="AH25" s="79"/>
      <c r="AI25" s="78" t="n">
        <f aca="false">IF(E25="","",(V25&lt;&gt;"")+(AA25&lt;&gt;"")+(AF25&lt;&gt;""))</f>
        <v>1</v>
      </c>
      <c r="AJ25" s="82" t="str">
        <f aca="false">IF(AF25&lt;&gt;"",AF25,IF(AA25&lt;&gt;"",AA25,IF(V25&lt;&gt;"",V25,"")))</f>
        <v>A</v>
      </c>
      <c r="AK25" s="83" t="str">
        <f aca="false">IF(E25="","",IF(P25="","À SOUDER",IF(S25="","VT EN ATTENTE",IF(S25="R","VT REJETÉ – À REPRENDRE",IF(AJ25="","À RADIOGRAPHIER",IF(AJ25="A","ACCEPTÉ",IF(AJ25="NX","NX – RT À REFAIRE",IF(IF(AI25=1,X25,IF(AI25=2,AC25,""))="A","RÉPARÉ – À RADIOGRAPHIER",IF(IF(AI25=1,X25,IF(AI25=2,AC25,""))="R","VT REJETÉ – À REPRENDRE",IF(AJ25="CO","COUPE – À RESOUDER","À RÉPARER"))))))))))</f>
        <v>ACCEPTÉ</v>
      </c>
      <c r="AL25" s="82" t="str">
        <f aca="false">IF(AND(ISNUMBER(P25),OR(AK25="À RADIOGRAPHIER",AK25="RÉPARÉ – À RADIOGRAPHIER",AK25="NX – RT À REFAIRE",AK25="À RÉPARER",AK25="COUPE – À RESOUDER",AK25="VT REJETÉ – À REPRENDRE")),MAX(0,'PROGRAMME RT'!$C$4-P25),"")</f>
        <v/>
      </c>
      <c r="AM25" s="78" t="n">
        <f aca="false">IF(AND(OR(AK25="À RADIOGRAPHIER",AK25="RÉPARÉ – À RADIOGRAPHIER",AK25="NX – RT À REFAIRE"),OR('PROGRAMME RT'!$D$5="TOUTES",B25='PROGRAMME RT'!$D$5)),1,0)</f>
        <v>0</v>
      </c>
      <c r="AN25" s="78" t="str">
        <f aca="false">IF(AM25=1,SUM(AM$7:AM25),"")</f>
        <v/>
      </c>
      <c r="AO25" s="78" t="n">
        <f aca="false">IF(AND(OR(AK25="À RÉPARER",AK25="COUPE – À RESOUDER",AK25="VT REJETÉ – À REPRENDRE"),OR(RÉPARATIONS!$D$5="TOUTES",B25=RÉPARATIONS!$D$5)),1,0)</f>
        <v>0</v>
      </c>
      <c r="AP25" s="78" t="str">
        <f aca="false">IF(AO25=1,SUM(AO$7:AO25),"")</f>
        <v/>
      </c>
    </row>
    <row r="26" customFormat="false" ht="15" hidden="false" customHeight="false" outlineLevel="0" collapsed="false">
      <c r="A26" s="78" t="n">
        <f aca="false">IF(E26="","",ROW()-6)</f>
        <v>20</v>
      </c>
      <c r="B26" s="79" t="s">
        <v>100</v>
      </c>
      <c r="C26" s="80" t="s">
        <v>152</v>
      </c>
      <c r="D26" s="80" t="s">
        <v>101</v>
      </c>
      <c r="E26" s="80" t="s">
        <v>157</v>
      </c>
      <c r="F26" s="80" t="s">
        <v>149</v>
      </c>
      <c r="G26" s="80" t="s">
        <v>104</v>
      </c>
      <c r="H26" s="80" t="n">
        <v>11</v>
      </c>
      <c r="I26" s="80" t="s">
        <v>112</v>
      </c>
      <c r="J26" s="80" t="s">
        <v>113</v>
      </c>
      <c r="K26" s="80" t="s">
        <v>156</v>
      </c>
      <c r="L26" s="80" t="s">
        <v>158</v>
      </c>
      <c r="M26" s="80" t="s">
        <v>123</v>
      </c>
      <c r="N26" s="80" t="s">
        <v>123</v>
      </c>
      <c r="O26" s="80" t="s">
        <v>123</v>
      </c>
      <c r="P26" s="81" t="n">
        <v>45907</v>
      </c>
      <c r="Q26" s="81" t="n">
        <v>45907</v>
      </c>
      <c r="R26" s="80" t="s">
        <v>159</v>
      </c>
      <c r="S26" s="80" t="s">
        <v>103</v>
      </c>
      <c r="T26" s="81" t="n">
        <v>45915</v>
      </c>
      <c r="U26" s="80" t="s">
        <v>127</v>
      </c>
      <c r="V26" s="80" t="s">
        <v>103</v>
      </c>
      <c r="W26" s="80"/>
      <c r="X26" s="80"/>
      <c r="Y26" s="81"/>
      <c r="Z26" s="80"/>
      <c r="AA26" s="80"/>
      <c r="AB26" s="80"/>
      <c r="AC26" s="80"/>
      <c r="AD26" s="81"/>
      <c r="AE26" s="80"/>
      <c r="AF26" s="80"/>
      <c r="AG26" s="81"/>
      <c r="AH26" s="79"/>
      <c r="AI26" s="78" t="n">
        <f aca="false">IF(E26="","",(V26&lt;&gt;"")+(AA26&lt;&gt;"")+(AF26&lt;&gt;""))</f>
        <v>1</v>
      </c>
      <c r="AJ26" s="82" t="str">
        <f aca="false">IF(AF26&lt;&gt;"",AF26,IF(AA26&lt;&gt;"",AA26,IF(V26&lt;&gt;"",V26,"")))</f>
        <v>A</v>
      </c>
      <c r="AK26" s="83" t="str">
        <f aca="false">IF(E26="","",IF(P26="","À SOUDER",IF(S26="","VT EN ATTENTE",IF(S26="R","VT REJETÉ – À REPRENDRE",IF(AJ26="","À RADIOGRAPHIER",IF(AJ26="A","ACCEPTÉ",IF(AJ26="NX","NX – RT À REFAIRE",IF(IF(AI26=1,X26,IF(AI26=2,AC26,""))="A","RÉPARÉ – À RADIOGRAPHIER",IF(IF(AI26=1,X26,IF(AI26=2,AC26,""))="R","VT REJETÉ – À REPRENDRE",IF(AJ26="CO","COUPE – À RESOUDER","À RÉPARER"))))))))))</f>
        <v>ACCEPTÉ</v>
      </c>
      <c r="AL26" s="82" t="str">
        <f aca="false">IF(AND(ISNUMBER(P26),OR(AK26="À RADIOGRAPHIER",AK26="RÉPARÉ – À RADIOGRAPHIER",AK26="NX – RT À REFAIRE",AK26="À RÉPARER",AK26="COUPE – À RESOUDER",AK26="VT REJETÉ – À REPRENDRE")),MAX(0,'PROGRAMME RT'!$C$4-P26),"")</f>
        <v/>
      </c>
      <c r="AM26" s="78" t="n">
        <f aca="false">IF(AND(OR(AK26="À RADIOGRAPHIER",AK26="RÉPARÉ – À RADIOGRAPHIER",AK26="NX – RT À REFAIRE"),OR('PROGRAMME RT'!$D$5="TOUTES",B26='PROGRAMME RT'!$D$5)),1,0)</f>
        <v>0</v>
      </c>
      <c r="AN26" s="78" t="str">
        <f aca="false">IF(AM26=1,SUM(AM$7:AM26),"")</f>
        <v/>
      </c>
      <c r="AO26" s="78" t="n">
        <f aca="false">IF(AND(OR(AK26="À RÉPARER",AK26="COUPE – À RESOUDER",AK26="VT REJETÉ – À REPRENDRE"),OR(RÉPARATIONS!$D$5="TOUTES",B26=RÉPARATIONS!$D$5)),1,0)</f>
        <v>0</v>
      </c>
      <c r="AP26" s="78" t="str">
        <f aca="false">IF(AO26=1,SUM(AO$7:AO26),"")</f>
        <v/>
      </c>
    </row>
    <row r="27" customFormat="false" ht="15" hidden="false" customHeight="false" outlineLevel="0" collapsed="false">
      <c r="A27" s="78" t="n">
        <f aca="false">IF(E27="","",ROW()-6)</f>
        <v>21</v>
      </c>
      <c r="B27" s="79" t="s">
        <v>100</v>
      </c>
      <c r="C27" s="80" t="s">
        <v>160</v>
      </c>
      <c r="D27" s="80" t="s">
        <v>101</v>
      </c>
      <c r="E27" s="80" t="s">
        <v>161</v>
      </c>
      <c r="F27" s="80" t="s">
        <v>149</v>
      </c>
      <c r="G27" s="80" t="s">
        <v>104</v>
      </c>
      <c r="H27" s="80" t="n">
        <v>11</v>
      </c>
      <c r="I27" s="80" t="s">
        <v>112</v>
      </c>
      <c r="J27" s="80" t="s">
        <v>130</v>
      </c>
      <c r="K27" s="80" t="s">
        <v>158</v>
      </c>
      <c r="L27" s="80" t="s">
        <v>162</v>
      </c>
      <c r="M27" s="80" t="s">
        <v>139</v>
      </c>
      <c r="N27" s="80" t="s">
        <v>139</v>
      </c>
      <c r="O27" s="80" t="s">
        <v>123</v>
      </c>
      <c r="P27" s="81" t="n">
        <v>45876</v>
      </c>
      <c r="Q27" s="81" t="n">
        <v>45876</v>
      </c>
      <c r="R27" s="80" t="s">
        <v>144</v>
      </c>
      <c r="S27" s="80" t="s">
        <v>103</v>
      </c>
      <c r="T27" s="81" t="n">
        <v>45888</v>
      </c>
      <c r="U27" s="80" t="s">
        <v>145</v>
      </c>
      <c r="V27" s="80" t="s">
        <v>103</v>
      </c>
      <c r="W27" s="80"/>
      <c r="X27" s="80"/>
      <c r="Y27" s="81"/>
      <c r="Z27" s="80"/>
      <c r="AA27" s="80"/>
      <c r="AB27" s="80"/>
      <c r="AC27" s="80"/>
      <c r="AD27" s="81"/>
      <c r="AE27" s="80"/>
      <c r="AF27" s="80"/>
      <c r="AG27" s="81"/>
      <c r="AH27" s="79"/>
      <c r="AI27" s="78" t="n">
        <f aca="false">IF(E27="","",(V27&lt;&gt;"")+(AA27&lt;&gt;"")+(AF27&lt;&gt;""))</f>
        <v>1</v>
      </c>
      <c r="AJ27" s="82" t="str">
        <f aca="false">IF(AF27&lt;&gt;"",AF27,IF(AA27&lt;&gt;"",AA27,IF(V27&lt;&gt;"",V27,"")))</f>
        <v>A</v>
      </c>
      <c r="AK27" s="83" t="str">
        <f aca="false">IF(E27="","",IF(P27="","À SOUDER",IF(S27="","VT EN ATTENTE",IF(S27="R","VT REJETÉ – À REPRENDRE",IF(AJ27="","À RADIOGRAPHIER",IF(AJ27="A","ACCEPTÉ",IF(AJ27="NX","NX – RT À REFAIRE",IF(IF(AI27=1,X27,IF(AI27=2,AC27,""))="A","RÉPARÉ – À RADIOGRAPHIER",IF(IF(AI27=1,X27,IF(AI27=2,AC27,""))="R","VT REJETÉ – À REPRENDRE",IF(AJ27="CO","COUPE – À RESOUDER","À RÉPARER"))))))))))</f>
        <v>ACCEPTÉ</v>
      </c>
      <c r="AL27" s="82" t="str">
        <f aca="false">IF(AND(ISNUMBER(P27),OR(AK27="À RADIOGRAPHIER",AK27="RÉPARÉ – À RADIOGRAPHIER",AK27="NX – RT À REFAIRE",AK27="À RÉPARER",AK27="COUPE – À RESOUDER",AK27="VT REJETÉ – À REPRENDRE")),MAX(0,'PROGRAMME RT'!$C$4-P27),"")</f>
        <v/>
      </c>
      <c r="AM27" s="78" t="n">
        <f aca="false">IF(AND(OR(AK27="À RADIOGRAPHIER",AK27="RÉPARÉ – À RADIOGRAPHIER",AK27="NX – RT À REFAIRE"),OR('PROGRAMME RT'!$D$5="TOUTES",B27='PROGRAMME RT'!$D$5)),1,0)</f>
        <v>0</v>
      </c>
      <c r="AN27" s="78" t="str">
        <f aca="false">IF(AM27=1,SUM(AM$7:AM27),"")</f>
        <v/>
      </c>
      <c r="AO27" s="78" t="n">
        <f aca="false">IF(AND(OR(AK27="À RÉPARER",AK27="COUPE – À RESOUDER",AK27="VT REJETÉ – À REPRENDRE"),OR(RÉPARATIONS!$D$5="TOUTES",B27=RÉPARATIONS!$D$5)),1,0)</f>
        <v>0</v>
      </c>
      <c r="AP27" s="78" t="str">
        <f aca="false">IF(AO27=1,SUM(AO$7:AO27),"")</f>
        <v/>
      </c>
    </row>
    <row r="28" customFormat="false" ht="15" hidden="false" customHeight="false" outlineLevel="0" collapsed="false">
      <c r="A28" s="78" t="n">
        <f aca="false">IF(E28="","",ROW()-6)</f>
        <v>22</v>
      </c>
      <c r="B28" s="79" t="s">
        <v>100</v>
      </c>
      <c r="C28" s="80" t="s">
        <v>163</v>
      </c>
      <c r="D28" s="80" t="s">
        <v>101</v>
      </c>
      <c r="E28" s="80" t="s">
        <v>164</v>
      </c>
      <c r="F28" s="80" t="s">
        <v>149</v>
      </c>
      <c r="G28" s="80" t="s">
        <v>104</v>
      </c>
      <c r="H28" s="80" t="n">
        <v>11</v>
      </c>
      <c r="I28" s="80" t="s">
        <v>112</v>
      </c>
      <c r="J28" s="80" t="s">
        <v>113</v>
      </c>
      <c r="K28" s="80" t="s">
        <v>162</v>
      </c>
      <c r="L28" s="80" t="s">
        <v>165</v>
      </c>
      <c r="M28" s="80" t="s">
        <v>139</v>
      </c>
      <c r="N28" s="80" t="s">
        <v>139</v>
      </c>
      <c r="O28" s="80" t="s">
        <v>139</v>
      </c>
      <c r="P28" s="81" t="n">
        <v>45906</v>
      </c>
      <c r="Q28" s="81" t="n">
        <v>45906</v>
      </c>
      <c r="R28" s="80" t="s">
        <v>166</v>
      </c>
      <c r="S28" s="80" t="s">
        <v>103</v>
      </c>
      <c r="T28" s="81" t="n">
        <v>45917</v>
      </c>
      <c r="U28" s="80" t="s">
        <v>117</v>
      </c>
      <c r="V28" s="80" t="s">
        <v>103</v>
      </c>
      <c r="W28" s="80"/>
      <c r="X28" s="80"/>
      <c r="Y28" s="81"/>
      <c r="Z28" s="80"/>
      <c r="AA28" s="80"/>
      <c r="AB28" s="80"/>
      <c r="AC28" s="80"/>
      <c r="AD28" s="81"/>
      <c r="AE28" s="80"/>
      <c r="AF28" s="80"/>
      <c r="AG28" s="81"/>
      <c r="AH28" s="79"/>
      <c r="AI28" s="78" t="n">
        <f aca="false">IF(E28="","",(V28&lt;&gt;"")+(AA28&lt;&gt;"")+(AF28&lt;&gt;""))</f>
        <v>1</v>
      </c>
      <c r="AJ28" s="82" t="str">
        <f aca="false">IF(AF28&lt;&gt;"",AF28,IF(AA28&lt;&gt;"",AA28,IF(V28&lt;&gt;"",V28,"")))</f>
        <v>A</v>
      </c>
      <c r="AK28" s="83" t="str">
        <f aca="false">IF(E28="","",IF(P28="","À SOUDER",IF(S28="","VT EN ATTENTE",IF(S28="R","VT REJETÉ – À REPRENDRE",IF(AJ28="","À RADIOGRAPHIER",IF(AJ28="A","ACCEPTÉ",IF(AJ28="NX","NX – RT À REFAIRE",IF(IF(AI28=1,X28,IF(AI28=2,AC28,""))="A","RÉPARÉ – À RADIOGRAPHIER",IF(IF(AI28=1,X28,IF(AI28=2,AC28,""))="R","VT REJETÉ – À REPRENDRE",IF(AJ28="CO","COUPE – À RESOUDER","À RÉPARER"))))))))))</f>
        <v>ACCEPTÉ</v>
      </c>
      <c r="AL28" s="82" t="str">
        <f aca="false">IF(AND(ISNUMBER(P28),OR(AK28="À RADIOGRAPHIER",AK28="RÉPARÉ – À RADIOGRAPHIER",AK28="NX – RT À REFAIRE",AK28="À RÉPARER",AK28="COUPE – À RESOUDER",AK28="VT REJETÉ – À REPRENDRE")),MAX(0,'PROGRAMME RT'!$C$4-P28),"")</f>
        <v/>
      </c>
      <c r="AM28" s="78" t="n">
        <f aca="false">IF(AND(OR(AK28="À RADIOGRAPHIER",AK28="RÉPARÉ – À RADIOGRAPHIER",AK28="NX – RT À REFAIRE"),OR('PROGRAMME RT'!$D$5="TOUTES",B28='PROGRAMME RT'!$D$5)),1,0)</f>
        <v>0</v>
      </c>
      <c r="AN28" s="78" t="str">
        <f aca="false">IF(AM28=1,SUM(AM$7:AM28),"")</f>
        <v/>
      </c>
      <c r="AO28" s="78" t="n">
        <f aca="false">IF(AND(OR(AK28="À RÉPARER",AK28="COUPE – À RESOUDER",AK28="VT REJETÉ – À REPRENDRE"),OR(RÉPARATIONS!$D$5="TOUTES",B28=RÉPARATIONS!$D$5)),1,0)</f>
        <v>0</v>
      </c>
      <c r="AP28" s="78" t="str">
        <f aca="false">IF(AO28=1,SUM(AO$7:AO28),"")</f>
        <v/>
      </c>
    </row>
    <row r="29" customFormat="false" ht="15" hidden="false" customHeight="false" outlineLevel="0" collapsed="false">
      <c r="A29" s="78" t="n">
        <f aca="false">IF(E29="","",ROW()-6)</f>
        <v>23</v>
      </c>
      <c r="B29" s="79" t="s">
        <v>100</v>
      </c>
      <c r="C29" s="80" t="s">
        <v>163</v>
      </c>
      <c r="D29" s="80" t="s">
        <v>101</v>
      </c>
      <c r="E29" s="80" t="s">
        <v>167</v>
      </c>
      <c r="F29" s="80" t="s">
        <v>149</v>
      </c>
      <c r="G29" s="80" t="s">
        <v>104</v>
      </c>
      <c r="H29" s="80" t="n">
        <v>11</v>
      </c>
      <c r="I29" s="80" t="s">
        <v>112</v>
      </c>
      <c r="J29" s="80" t="s">
        <v>130</v>
      </c>
      <c r="K29" s="80" t="s">
        <v>165</v>
      </c>
      <c r="L29" s="80" t="s">
        <v>168</v>
      </c>
      <c r="M29" s="80" t="s">
        <v>123</v>
      </c>
      <c r="N29" s="80" t="s">
        <v>123</v>
      </c>
      <c r="O29" s="80" t="s">
        <v>123</v>
      </c>
      <c r="P29" s="81" t="n">
        <v>45906</v>
      </c>
      <c r="Q29" s="81" t="n">
        <v>45906</v>
      </c>
      <c r="R29" s="80" t="s">
        <v>166</v>
      </c>
      <c r="S29" s="80" t="s">
        <v>103</v>
      </c>
      <c r="T29" s="81" t="n">
        <v>45915</v>
      </c>
      <c r="U29" s="80" t="s">
        <v>127</v>
      </c>
      <c r="V29" s="80" t="s">
        <v>103</v>
      </c>
      <c r="W29" s="80"/>
      <c r="X29" s="80"/>
      <c r="Y29" s="81"/>
      <c r="Z29" s="80"/>
      <c r="AA29" s="80"/>
      <c r="AB29" s="80"/>
      <c r="AC29" s="80"/>
      <c r="AD29" s="81"/>
      <c r="AE29" s="80"/>
      <c r="AF29" s="80"/>
      <c r="AG29" s="81"/>
      <c r="AH29" s="79"/>
      <c r="AI29" s="78" t="n">
        <f aca="false">IF(E29="","",(V29&lt;&gt;"")+(AA29&lt;&gt;"")+(AF29&lt;&gt;""))</f>
        <v>1</v>
      </c>
      <c r="AJ29" s="82" t="str">
        <f aca="false">IF(AF29&lt;&gt;"",AF29,IF(AA29&lt;&gt;"",AA29,IF(V29&lt;&gt;"",V29,"")))</f>
        <v>A</v>
      </c>
      <c r="AK29" s="83" t="str">
        <f aca="false">IF(E29="","",IF(P29="","À SOUDER",IF(S29="","VT EN ATTENTE",IF(S29="R","VT REJETÉ – À REPRENDRE",IF(AJ29="","À RADIOGRAPHIER",IF(AJ29="A","ACCEPTÉ",IF(AJ29="NX","NX – RT À REFAIRE",IF(IF(AI29=1,X29,IF(AI29=2,AC29,""))="A","RÉPARÉ – À RADIOGRAPHIER",IF(IF(AI29=1,X29,IF(AI29=2,AC29,""))="R","VT REJETÉ – À REPRENDRE",IF(AJ29="CO","COUPE – À RESOUDER","À RÉPARER"))))))))))</f>
        <v>ACCEPTÉ</v>
      </c>
      <c r="AL29" s="82" t="str">
        <f aca="false">IF(AND(ISNUMBER(P29),OR(AK29="À RADIOGRAPHIER",AK29="RÉPARÉ – À RADIOGRAPHIER",AK29="NX – RT À REFAIRE",AK29="À RÉPARER",AK29="COUPE – À RESOUDER",AK29="VT REJETÉ – À REPRENDRE")),MAX(0,'PROGRAMME RT'!$C$4-P29),"")</f>
        <v/>
      </c>
      <c r="AM29" s="78" t="n">
        <f aca="false">IF(AND(OR(AK29="À RADIOGRAPHIER",AK29="RÉPARÉ – À RADIOGRAPHIER",AK29="NX – RT À REFAIRE"),OR('PROGRAMME RT'!$D$5="TOUTES",B29='PROGRAMME RT'!$D$5)),1,0)</f>
        <v>0</v>
      </c>
      <c r="AN29" s="78" t="str">
        <f aca="false">IF(AM29=1,SUM(AM$7:AM29),"")</f>
        <v/>
      </c>
      <c r="AO29" s="78" t="n">
        <f aca="false">IF(AND(OR(AK29="À RÉPARER",AK29="COUPE – À RESOUDER",AK29="VT REJETÉ – À REPRENDRE"),OR(RÉPARATIONS!$D$5="TOUTES",B29=RÉPARATIONS!$D$5)),1,0)</f>
        <v>0</v>
      </c>
      <c r="AP29" s="78" t="str">
        <f aca="false">IF(AO29=1,SUM(AO$7:AO29),"")</f>
        <v/>
      </c>
    </row>
    <row r="30" customFormat="false" ht="15" hidden="false" customHeight="false" outlineLevel="0" collapsed="false">
      <c r="A30" s="78" t="n">
        <f aca="false">IF(E30="","",ROW()-6)</f>
        <v>24</v>
      </c>
      <c r="B30" s="79" t="s">
        <v>100</v>
      </c>
      <c r="C30" s="80" t="s">
        <v>169</v>
      </c>
      <c r="D30" s="80" t="s">
        <v>101</v>
      </c>
      <c r="E30" s="80" t="s">
        <v>170</v>
      </c>
      <c r="F30" s="80" t="s">
        <v>149</v>
      </c>
      <c r="G30" s="80" t="s">
        <v>104</v>
      </c>
      <c r="H30" s="80" t="n">
        <v>11</v>
      </c>
      <c r="I30" s="80" t="s">
        <v>112</v>
      </c>
      <c r="J30" s="80" t="s">
        <v>130</v>
      </c>
      <c r="K30" s="80" t="s">
        <v>168</v>
      </c>
      <c r="L30" s="80" t="s">
        <v>171</v>
      </c>
      <c r="M30" s="80" t="s">
        <v>139</v>
      </c>
      <c r="N30" s="80" t="s">
        <v>139</v>
      </c>
      <c r="O30" s="80" t="s">
        <v>123</v>
      </c>
      <c r="P30" s="81" t="n">
        <v>45876</v>
      </c>
      <c r="Q30" s="81" t="n">
        <v>45876</v>
      </c>
      <c r="R30" s="80" t="s">
        <v>144</v>
      </c>
      <c r="S30" s="80" t="s">
        <v>103</v>
      </c>
      <c r="T30" s="81" t="n">
        <v>45888</v>
      </c>
      <c r="U30" s="80" t="s">
        <v>145</v>
      </c>
      <c r="V30" s="80" t="s">
        <v>103</v>
      </c>
      <c r="W30" s="80"/>
      <c r="X30" s="80"/>
      <c r="Y30" s="81"/>
      <c r="Z30" s="80"/>
      <c r="AA30" s="80"/>
      <c r="AB30" s="80"/>
      <c r="AC30" s="80"/>
      <c r="AD30" s="81"/>
      <c r="AE30" s="80"/>
      <c r="AF30" s="80"/>
      <c r="AG30" s="81"/>
      <c r="AH30" s="79"/>
      <c r="AI30" s="78" t="n">
        <f aca="false">IF(E30="","",(V30&lt;&gt;"")+(AA30&lt;&gt;"")+(AF30&lt;&gt;""))</f>
        <v>1</v>
      </c>
      <c r="AJ30" s="82" t="str">
        <f aca="false">IF(AF30&lt;&gt;"",AF30,IF(AA30&lt;&gt;"",AA30,IF(V30&lt;&gt;"",V30,"")))</f>
        <v>A</v>
      </c>
      <c r="AK30" s="83" t="str">
        <f aca="false">IF(E30="","",IF(P30="","À SOUDER",IF(S30="","VT EN ATTENTE",IF(S30="R","VT REJETÉ – À REPRENDRE",IF(AJ30="","À RADIOGRAPHIER",IF(AJ30="A","ACCEPTÉ",IF(AJ30="NX","NX – RT À REFAIRE",IF(IF(AI30=1,X30,IF(AI30=2,AC30,""))="A","RÉPARÉ – À RADIOGRAPHIER",IF(IF(AI30=1,X30,IF(AI30=2,AC30,""))="R","VT REJETÉ – À REPRENDRE",IF(AJ30="CO","COUPE – À RESOUDER","À RÉPARER"))))))))))</f>
        <v>ACCEPTÉ</v>
      </c>
      <c r="AL30" s="82" t="str">
        <f aca="false">IF(AND(ISNUMBER(P30),OR(AK30="À RADIOGRAPHIER",AK30="RÉPARÉ – À RADIOGRAPHIER",AK30="NX – RT À REFAIRE",AK30="À RÉPARER",AK30="COUPE – À RESOUDER",AK30="VT REJETÉ – À REPRENDRE")),MAX(0,'PROGRAMME RT'!$C$4-P30),"")</f>
        <v/>
      </c>
      <c r="AM30" s="78" t="n">
        <f aca="false">IF(AND(OR(AK30="À RADIOGRAPHIER",AK30="RÉPARÉ – À RADIOGRAPHIER",AK30="NX – RT À REFAIRE"),OR('PROGRAMME RT'!$D$5="TOUTES",B30='PROGRAMME RT'!$D$5)),1,0)</f>
        <v>0</v>
      </c>
      <c r="AN30" s="78" t="str">
        <f aca="false">IF(AM30=1,SUM(AM$7:AM30),"")</f>
        <v/>
      </c>
      <c r="AO30" s="78" t="n">
        <f aca="false">IF(AND(OR(AK30="À RÉPARER",AK30="COUPE – À RESOUDER",AK30="VT REJETÉ – À REPRENDRE"),OR(RÉPARATIONS!$D$5="TOUTES",B30=RÉPARATIONS!$D$5)),1,0)</f>
        <v>0</v>
      </c>
      <c r="AP30" s="78" t="str">
        <f aca="false">IF(AO30=1,SUM(AO$7:AO30),"")</f>
        <v/>
      </c>
    </row>
    <row r="31" customFormat="false" ht="15" hidden="false" customHeight="false" outlineLevel="0" collapsed="false">
      <c r="A31" s="78" t="n">
        <f aca="false">IF(E31="","",ROW()-6)</f>
        <v>25</v>
      </c>
      <c r="B31" s="79" t="s">
        <v>100</v>
      </c>
      <c r="C31" s="80" t="s">
        <v>169</v>
      </c>
      <c r="D31" s="80" t="s">
        <v>101</v>
      </c>
      <c r="E31" s="80" t="s">
        <v>172</v>
      </c>
      <c r="F31" s="80" t="s">
        <v>149</v>
      </c>
      <c r="G31" s="80" t="s">
        <v>104</v>
      </c>
      <c r="H31" s="80" t="n">
        <v>11</v>
      </c>
      <c r="I31" s="80" t="s">
        <v>112</v>
      </c>
      <c r="J31" s="80" t="s">
        <v>130</v>
      </c>
      <c r="K31" s="80" t="s">
        <v>171</v>
      </c>
      <c r="L31" s="80" t="s">
        <v>173</v>
      </c>
      <c r="M31" s="80" t="s">
        <v>139</v>
      </c>
      <c r="N31" s="80" t="s">
        <v>139</v>
      </c>
      <c r="O31" s="80" t="s">
        <v>123</v>
      </c>
      <c r="P31" s="81" t="n">
        <v>45876</v>
      </c>
      <c r="Q31" s="81" t="n">
        <v>45876</v>
      </c>
      <c r="R31" s="80" t="s">
        <v>144</v>
      </c>
      <c r="S31" s="80" t="s">
        <v>103</v>
      </c>
      <c r="T31" s="81" t="n">
        <v>45888</v>
      </c>
      <c r="U31" s="80" t="s">
        <v>145</v>
      </c>
      <c r="V31" s="80" t="s">
        <v>103</v>
      </c>
      <c r="W31" s="80"/>
      <c r="X31" s="80"/>
      <c r="Y31" s="81"/>
      <c r="Z31" s="80"/>
      <c r="AA31" s="80"/>
      <c r="AB31" s="80"/>
      <c r="AC31" s="80"/>
      <c r="AD31" s="81"/>
      <c r="AE31" s="80"/>
      <c r="AF31" s="80"/>
      <c r="AG31" s="81"/>
      <c r="AH31" s="79"/>
      <c r="AI31" s="78" t="n">
        <f aca="false">IF(E31="","",(V31&lt;&gt;"")+(AA31&lt;&gt;"")+(AF31&lt;&gt;""))</f>
        <v>1</v>
      </c>
      <c r="AJ31" s="82" t="str">
        <f aca="false">IF(AF31&lt;&gt;"",AF31,IF(AA31&lt;&gt;"",AA31,IF(V31&lt;&gt;"",V31,"")))</f>
        <v>A</v>
      </c>
      <c r="AK31" s="83" t="str">
        <f aca="false">IF(E31="","",IF(P31="","À SOUDER",IF(S31="","VT EN ATTENTE",IF(S31="R","VT REJETÉ – À REPRENDRE",IF(AJ31="","À RADIOGRAPHIER",IF(AJ31="A","ACCEPTÉ",IF(AJ31="NX","NX – RT À REFAIRE",IF(IF(AI31=1,X31,IF(AI31=2,AC31,""))="A","RÉPARÉ – À RADIOGRAPHIER",IF(IF(AI31=1,X31,IF(AI31=2,AC31,""))="R","VT REJETÉ – À REPRENDRE",IF(AJ31="CO","COUPE – À RESOUDER","À RÉPARER"))))))))))</f>
        <v>ACCEPTÉ</v>
      </c>
      <c r="AL31" s="82" t="str">
        <f aca="false">IF(AND(ISNUMBER(P31),OR(AK31="À RADIOGRAPHIER",AK31="RÉPARÉ – À RADIOGRAPHIER",AK31="NX – RT À REFAIRE",AK31="À RÉPARER",AK31="COUPE – À RESOUDER",AK31="VT REJETÉ – À REPRENDRE")),MAX(0,'PROGRAMME RT'!$C$4-P31),"")</f>
        <v/>
      </c>
      <c r="AM31" s="78" t="n">
        <f aca="false">IF(AND(OR(AK31="À RADIOGRAPHIER",AK31="RÉPARÉ – À RADIOGRAPHIER",AK31="NX – RT À REFAIRE"),OR('PROGRAMME RT'!$D$5="TOUTES",B31='PROGRAMME RT'!$D$5)),1,0)</f>
        <v>0</v>
      </c>
      <c r="AN31" s="78" t="str">
        <f aca="false">IF(AM31=1,SUM(AM$7:AM31),"")</f>
        <v/>
      </c>
      <c r="AO31" s="78" t="n">
        <f aca="false">IF(AND(OR(AK31="À RÉPARER",AK31="COUPE – À RESOUDER",AK31="VT REJETÉ – À REPRENDRE"),OR(RÉPARATIONS!$D$5="TOUTES",B31=RÉPARATIONS!$D$5)),1,0)</f>
        <v>0</v>
      </c>
      <c r="AP31" s="78" t="str">
        <f aca="false">IF(AO31=1,SUM(AO$7:AO31),"")</f>
        <v/>
      </c>
    </row>
    <row r="32" customFormat="false" ht="15" hidden="false" customHeight="false" outlineLevel="0" collapsed="false">
      <c r="A32" s="78" t="n">
        <f aca="false">IF(E32="","",ROW()-6)</f>
        <v>26</v>
      </c>
      <c r="B32" s="79" t="s">
        <v>100</v>
      </c>
      <c r="C32" s="80" t="s">
        <v>169</v>
      </c>
      <c r="D32" s="80" t="s">
        <v>101</v>
      </c>
      <c r="E32" s="80" t="s">
        <v>174</v>
      </c>
      <c r="F32" s="80" t="s">
        <v>149</v>
      </c>
      <c r="G32" s="80" t="s">
        <v>104</v>
      </c>
      <c r="H32" s="80" t="n">
        <v>11</v>
      </c>
      <c r="I32" s="80" t="s">
        <v>112</v>
      </c>
      <c r="J32" s="80" t="s">
        <v>130</v>
      </c>
      <c r="K32" s="80" t="s">
        <v>173</v>
      </c>
      <c r="L32" s="80" t="s">
        <v>175</v>
      </c>
      <c r="M32" s="80" t="s">
        <v>139</v>
      </c>
      <c r="N32" s="80" t="s">
        <v>139</v>
      </c>
      <c r="O32" s="80" t="s">
        <v>123</v>
      </c>
      <c r="P32" s="81" t="n">
        <v>45876</v>
      </c>
      <c r="Q32" s="81" t="n">
        <v>45876</v>
      </c>
      <c r="R32" s="80" t="s">
        <v>144</v>
      </c>
      <c r="S32" s="80" t="s">
        <v>103</v>
      </c>
      <c r="T32" s="81" t="n">
        <v>45888</v>
      </c>
      <c r="U32" s="80" t="s">
        <v>145</v>
      </c>
      <c r="V32" s="80" t="s">
        <v>103</v>
      </c>
      <c r="W32" s="80"/>
      <c r="X32" s="80"/>
      <c r="Y32" s="81"/>
      <c r="Z32" s="80"/>
      <c r="AA32" s="80"/>
      <c r="AB32" s="80"/>
      <c r="AC32" s="80"/>
      <c r="AD32" s="81"/>
      <c r="AE32" s="80"/>
      <c r="AF32" s="80"/>
      <c r="AG32" s="81"/>
      <c r="AH32" s="79"/>
      <c r="AI32" s="78" t="n">
        <f aca="false">IF(E32="","",(V32&lt;&gt;"")+(AA32&lt;&gt;"")+(AF32&lt;&gt;""))</f>
        <v>1</v>
      </c>
      <c r="AJ32" s="82" t="str">
        <f aca="false">IF(AF32&lt;&gt;"",AF32,IF(AA32&lt;&gt;"",AA32,IF(V32&lt;&gt;"",V32,"")))</f>
        <v>A</v>
      </c>
      <c r="AK32" s="83" t="str">
        <f aca="false">IF(E32="","",IF(P32="","À SOUDER",IF(S32="","VT EN ATTENTE",IF(S32="R","VT REJETÉ – À REPRENDRE",IF(AJ32="","À RADIOGRAPHIER",IF(AJ32="A","ACCEPTÉ",IF(AJ32="NX","NX – RT À REFAIRE",IF(IF(AI32=1,X32,IF(AI32=2,AC32,""))="A","RÉPARÉ – À RADIOGRAPHIER",IF(IF(AI32=1,X32,IF(AI32=2,AC32,""))="R","VT REJETÉ – À REPRENDRE",IF(AJ32="CO","COUPE – À RESOUDER","À RÉPARER"))))))))))</f>
        <v>ACCEPTÉ</v>
      </c>
      <c r="AL32" s="82" t="str">
        <f aca="false">IF(AND(ISNUMBER(P32),OR(AK32="À RADIOGRAPHIER",AK32="RÉPARÉ – À RADIOGRAPHIER",AK32="NX – RT À REFAIRE",AK32="À RÉPARER",AK32="COUPE – À RESOUDER",AK32="VT REJETÉ – À REPRENDRE")),MAX(0,'PROGRAMME RT'!$C$4-P32),"")</f>
        <v/>
      </c>
      <c r="AM32" s="78" t="n">
        <f aca="false">IF(AND(OR(AK32="À RADIOGRAPHIER",AK32="RÉPARÉ – À RADIOGRAPHIER",AK32="NX – RT À REFAIRE"),OR('PROGRAMME RT'!$D$5="TOUTES",B32='PROGRAMME RT'!$D$5)),1,0)</f>
        <v>0</v>
      </c>
      <c r="AN32" s="78" t="str">
        <f aca="false">IF(AM32=1,SUM(AM$7:AM32),"")</f>
        <v/>
      </c>
      <c r="AO32" s="78" t="n">
        <f aca="false">IF(AND(OR(AK32="À RÉPARER",AK32="COUPE – À RESOUDER",AK32="VT REJETÉ – À REPRENDRE"),OR(RÉPARATIONS!$D$5="TOUTES",B32=RÉPARATIONS!$D$5)),1,0)</f>
        <v>0</v>
      </c>
      <c r="AP32" s="78" t="str">
        <f aca="false">IF(AO32=1,SUM(AO$7:AO32),"")</f>
        <v/>
      </c>
    </row>
    <row r="33" customFormat="false" ht="15" hidden="false" customHeight="false" outlineLevel="0" collapsed="false">
      <c r="A33" s="78" t="n">
        <f aca="false">IF(E33="","",ROW()-6)</f>
        <v>27</v>
      </c>
      <c r="B33" s="79" t="s">
        <v>100</v>
      </c>
      <c r="C33" s="80" t="s">
        <v>169</v>
      </c>
      <c r="D33" s="80" t="s">
        <v>101</v>
      </c>
      <c r="E33" s="80" t="s">
        <v>176</v>
      </c>
      <c r="F33" s="80" t="s">
        <v>149</v>
      </c>
      <c r="G33" s="80" t="s">
        <v>104</v>
      </c>
      <c r="H33" s="80" t="n">
        <v>11</v>
      </c>
      <c r="I33" s="80" t="s">
        <v>112</v>
      </c>
      <c r="J33" s="80" t="s">
        <v>130</v>
      </c>
      <c r="K33" s="80" t="s">
        <v>175</v>
      </c>
      <c r="L33" s="80" t="s">
        <v>177</v>
      </c>
      <c r="M33" s="80" t="s">
        <v>139</v>
      </c>
      <c r="N33" s="80" t="s">
        <v>139</v>
      </c>
      <c r="O33" s="80" t="s">
        <v>123</v>
      </c>
      <c r="P33" s="81" t="n">
        <v>45876</v>
      </c>
      <c r="Q33" s="81" t="n">
        <v>45876</v>
      </c>
      <c r="R33" s="80" t="s">
        <v>144</v>
      </c>
      <c r="S33" s="80" t="s">
        <v>103</v>
      </c>
      <c r="T33" s="81" t="n">
        <v>45888</v>
      </c>
      <c r="U33" s="80" t="s">
        <v>145</v>
      </c>
      <c r="V33" s="80" t="s">
        <v>103</v>
      </c>
      <c r="W33" s="80"/>
      <c r="X33" s="80"/>
      <c r="Y33" s="81"/>
      <c r="Z33" s="80"/>
      <c r="AA33" s="80"/>
      <c r="AB33" s="80"/>
      <c r="AC33" s="80"/>
      <c r="AD33" s="81"/>
      <c r="AE33" s="80"/>
      <c r="AF33" s="80"/>
      <c r="AG33" s="81"/>
      <c r="AH33" s="79"/>
      <c r="AI33" s="78" t="n">
        <f aca="false">IF(E33="","",(V33&lt;&gt;"")+(AA33&lt;&gt;"")+(AF33&lt;&gt;""))</f>
        <v>1</v>
      </c>
      <c r="AJ33" s="82" t="str">
        <f aca="false">IF(AF33&lt;&gt;"",AF33,IF(AA33&lt;&gt;"",AA33,IF(V33&lt;&gt;"",V33,"")))</f>
        <v>A</v>
      </c>
      <c r="AK33" s="83" t="str">
        <f aca="false">IF(E33="","",IF(P33="","À SOUDER",IF(S33="","VT EN ATTENTE",IF(S33="R","VT REJETÉ – À REPRENDRE",IF(AJ33="","À RADIOGRAPHIER",IF(AJ33="A","ACCEPTÉ",IF(AJ33="NX","NX – RT À REFAIRE",IF(IF(AI33=1,X33,IF(AI33=2,AC33,""))="A","RÉPARÉ – À RADIOGRAPHIER",IF(IF(AI33=1,X33,IF(AI33=2,AC33,""))="R","VT REJETÉ – À REPRENDRE",IF(AJ33="CO","COUPE – À RESOUDER","À RÉPARER"))))))))))</f>
        <v>ACCEPTÉ</v>
      </c>
      <c r="AL33" s="82" t="str">
        <f aca="false">IF(AND(ISNUMBER(P33),OR(AK33="À RADIOGRAPHIER",AK33="RÉPARÉ – À RADIOGRAPHIER",AK33="NX – RT À REFAIRE",AK33="À RÉPARER",AK33="COUPE – À RESOUDER",AK33="VT REJETÉ – À REPRENDRE")),MAX(0,'PROGRAMME RT'!$C$4-P33),"")</f>
        <v/>
      </c>
      <c r="AM33" s="78" t="n">
        <f aca="false">IF(AND(OR(AK33="À RADIOGRAPHIER",AK33="RÉPARÉ – À RADIOGRAPHIER",AK33="NX – RT À REFAIRE"),OR('PROGRAMME RT'!$D$5="TOUTES",B33='PROGRAMME RT'!$D$5)),1,0)</f>
        <v>0</v>
      </c>
      <c r="AN33" s="78" t="str">
        <f aca="false">IF(AM33=1,SUM(AM$7:AM33),"")</f>
        <v/>
      </c>
      <c r="AO33" s="78" t="n">
        <f aca="false">IF(AND(OR(AK33="À RÉPARER",AK33="COUPE – À RESOUDER",AK33="VT REJETÉ – À REPRENDRE"),OR(RÉPARATIONS!$D$5="TOUTES",B33=RÉPARATIONS!$D$5)),1,0)</f>
        <v>0</v>
      </c>
      <c r="AP33" s="78" t="str">
        <f aca="false">IF(AO33=1,SUM(AO$7:AO33),"")</f>
        <v/>
      </c>
    </row>
    <row r="34" customFormat="false" ht="15" hidden="false" customHeight="false" outlineLevel="0" collapsed="false">
      <c r="A34" s="78" t="n">
        <f aca="false">IF(E34="","",ROW()-6)</f>
        <v>28</v>
      </c>
      <c r="B34" s="79" t="s">
        <v>100</v>
      </c>
      <c r="C34" s="80" t="s">
        <v>169</v>
      </c>
      <c r="D34" s="80" t="s">
        <v>101</v>
      </c>
      <c r="E34" s="80" t="s">
        <v>178</v>
      </c>
      <c r="F34" s="80" t="s">
        <v>149</v>
      </c>
      <c r="G34" s="80" t="s">
        <v>104</v>
      </c>
      <c r="H34" s="80" t="n">
        <v>11</v>
      </c>
      <c r="I34" s="80" t="s">
        <v>112</v>
      </c>
      <c r="J34" s="80" t="s">
        <v>130</v>
      </c>
      <c r="K34" s="80" t="s">
        <v>177</v>
      </c>
      <c r="L34" s="80" t="s">
        <v>179</v>
      </c>
      <c r="M34" s="80" t="s">
        <v>139</v>
      </c>
      <c r="N34" s="80" t="s">
        <v>139</v>
      </c>
      <c r="O34" s="80" t="s">
        <v>123</v>
      </c>
      <c r="P34" s="81" t="n">
        <v>45876</v>
      </c>
      <c r="Q34" s="81" t="n">
        <v>45876</v>
      </c>
      <c r="R34" s="80" t="s">
        <v>144</v>
      </c>
      <c r="S34" s="80" t="s">
        <v>103</v>
      </c>
      <c r="T34" s="81" t="n">
        <v>45888</v>
      </c>
      <c r="U34" s="80" t="s">
        <v>145</v>
      </c>
      <c r="V34" s="80" t="s">
        <v>103</v>
      </c>
      <c r="W34" s="80"/>
      <c r="X34" s="80"/>
      <c r="Y34" s="81"/>
      <c r="Z34" s="80"/>
      <c r="AA34" s="80"/>
      <c r="AB34" s="80"/>
      <c r="AC34" s="80"/>
      <c r="AD34" s="81"/>
      <c r="AE34" s="80"/>
      <c r="AF34" s="80"/>
      <c r="AG34" s="81"/>
      <c r="AH34" s="79"/>
      <c r="AI34" s="78" t="n">
        <f aca="false">IF(E34="","",(V34&lt;&gt;"")+(AA34&lt;&gt;"")+(AF34&lt;&gt;""))</f>
        <v>1</v>
      </c>
      <c r="AJ34" s="82" t="str">
        <f aca="false">IF(AF34&lt;&gt;"",AF34,IF(AA34&lt;&gt;"",AA34,IF(V34&lt;&gt;"",V34,"")))</f>
        <v>A</v>
      </c>
      <c r="AK34" s="83" t="str">
        <f aca="false">IF(E34="","",IF(P34="","À SOUDER",IF(S34="","VT EN ATTENTE",IF(S34="R","VT REJETÉ – À REPRENDRE",IF(AJ34="","À RADIOGRAPHIER",IF(AJ34="A","ACCEPTÉ",IF(AJ34="NX","NX – RT À REFAIRE",IF(IF(AI34=1,X34,IF(AI34=2,AC34,""))="A","RÉPARÉ – À RADIOGRAPHIER",IF(IF(AI34=1,X34,IF(AI34=2,AC34,""))="R","VT REJETÉ – À REPRENDRE",IF(AJ34="CO","COUPE – À RESOUDER","À RÉPARER"))))))))))</f>
        <v>ACCEPTÉ</v>
      </c>
      <c r="AL34" s="82" t="str">
        <f aca="false">IF(AND(ISNUMBER(P34),OR(AK34="À RADIOGRAPHIER",AK34="RÉPARÉ – À RADIOGRAPHIER",AK34="NX – RT À REFAIRE",AK34="À RÉPARER",AK34="COUPE – À RESOUDER",AK34="VT REJETÉ – À REPRENDRE")),MAX(0,'PROGRAMME RT'!$C$4-P34),"")</f>
        <v/>
      </c>
      <c r="AM34" s="78" t="n">
        <f aca="false">IF(AND(OR(AK34="À RADIOGRAPHIER",AK34="RÉPARÉ – À RADIOGRAPHIER",AK34="NX – RT À REFAIRE"),OR('PROGRAMME RT'!$D$5="TOUTES",B34='PROGRAMME RT'!$D$5)),1,0)</f>
        <v>0</v>
      </c>
      <c r="AN34" s="78" t="str">
        <f aca="false">IF(AM34=1,SUM(AM$7:AM34),"")</f>
        <v/>
      </c>
      <c r="AO34" s="78" t="n">
        <f aca="false">IF(AND(OR(AK34="À RÉPARER",AK34="COUPE – À RESOUDER",AK34="VT REJETÉ – À REPRENDRE"),OR(RÉPARATIONS!$D$5="TOUTES",B34=RÉPARATIONS!$D$5)),1,0)</f>
        <v>0</v>
      </c>
      <c r="AP34" s="78" t="str">
        <f aca="false">IF(AO34=1,SUM(AO$7:AO34),"")</f>
        <v/>
      </c>
    </row>
    <row r="35" customFormat="false" ht="15" hidden="false" customHeight="false" outlineLevel="0" collapsed="false">
      <c r="A35" s="78" t="n">
        <f aca="false">IF(E35="","",ROW()-6)</f>
        <v>29</v>
      </c>
      <c r="B35" s="79" t="s">
        <v>100</v>
      </c>
      <c r="C35" s="80" t="s">
        <v>169</v>
      </c>
      <c r="D35" s="80" t="s">
        <v>101</v>
      </c>
      <c r="E35" s="80" t="s">
        <v>180</v>
      </c>
      <c r="F35" s="80" t="s">
        <v>149</v>
      </c>
      <c r="G35" s="80" t="s">
        <v>104</v>
      </c>
      <c r="H35" s="80" t="n">
        <v>11</v>
      </c>
      <c r="I35" s="80" t="s">
        <v>112</v>
      </c>
      <c r="J35" s="80" t="s">
        <v>130</v>
      </c>
      <c r="K35" s="80" t="s">
        <v>179</v>
      </c>
      <c r="L35" s="80" t="s">
        <v>181</v>
      </c>
      <c r="M35" s="80" t="s">
        <v>139</v>
      </c>
      <c r="N35" s="80" t="s">
        <v>139</v>
      </c>
      <c r="O35" s="80" t="s">
        <v>123</v>
      </c>
      <c r="P35" s="81" t="n">
        <v>45877</v>
      </c>
      <c r="Q35" s="81" t="n">
        <v>45877</v>
      </c>
      <c r="R35" s="80" t="s">
        <v>182</v>
      </c>
      <c r="S35" s="80" t="s">
        <v>103</v>
      </c>
      <c r="T35" s="81" t="n">
        <v>45889</v>
      </c>
      <c r="U35" s="80" t="s">
        <v>183</v>
      </c>
      <c r="V35" s="80" t="s">
        <v>103</v>
      </c>
      <c r="W35" s="80"/>
      <c r="X35" s="80"/>
      <c r="Y35" s="81"/>
      <c r="Z35" s="80"/>
      <c r="AA35" s="80"/>
      <c r="AB35" s="80"/>
      <c r="AC35" s="80"/>
      <c r="AD35" s="81"/>
      <c r="AE35" s="80"/>
      <c r="AF35" s="80"/>
      <c r="AG35" s="81"/>
      <c r="AH35" s="79"/>
      <c r="AI35" s="78" t="n">
        <f aca="false">IF(E35="","",(V35&lt;&gt;"")+(AA35&lt;&gt;"")+(AF35&lt;&gt;""))</f>
        <v>1</v>
      </c>
      <c r="AJ35" s="82" t="str">
        <f aca="false">IF(AF35&lt;&gt;"",AF35,IF(AA35&lt;&gt;"",AA35,IF(V35&lt;&gt;"",V35,"")))</f>
        <v>A</v>
      </c>
      <c r="AK35" s="83" t="str">
        <f aca="false">IF(E35="","",IF(P35="","À SOUDER",IF(S35="","VT EN ATTENTE",IF(S35="R","VT REJETÉ – À REPRENDRE",IF(AJ35="","À RADIOGRAPHIER",IF(AJ35="A","ACCEPTÉ",IF(AJ35="NX","NX – RT À REFAIRE",IF(IF(AI35=1,X35,IF(AI35=2,AC35,""))="A","RÉPARÉ – À RADIOGRAPHIER",IF(IF(AI35=1,X35,IF(AI35=2,AC35,""))="R","VT REJETÉ – À REPRENDRE",IF(AJ35="CO","COUPE – À RESOUDER","À RÉPARER"))))))))))</f>
        <v>ACCEPTÉ</v>
      </c>
      <c r="AL35" s="82" t="str">
        <f aca="false">IF(AND(ISNUMBER(P35),OR(AK35="À RADIOGRAPHIER",AK35="RÉPARÉ – À RADIOGRAPHIER",AK35="NX – RT À REFAIRE",AK35="À RÉPARER",AK35="COUPE – À RESOUDER",AK35="VT REJETÉ – À REPRENDRE")),MAX(0,'PROGRAMME RT'!$C$4-P35),"")</f>
        <v/>
      </c>
      <c r="AM35" s="78" t="n">
        <f aca="false">IF(AND(OR(AK35="À RADIOGRAPHIER",AK35="RÉPARÉ – À RADIOGRAPHIER",AK35="NX – RT À REFAIRE"),OR('PROGRAMME RT'!$D$5="TOUTES",B35='PROGRAMME RT'!$D$5)),1,0)</f>
        <v>0</v>
      </c>
      <c r="AN35" s="78" t="str">
        <f aca="false">IF(AM35=1,SUM(AM$7:AM35),"")</f>
        <v/>
      </c>
      <c r="AO35" s="78" t="n">
        <f aca="false">IF(AND(OR(AK35="À RÉPARER",AK35="COUPE – À RESOUDER",AK35="VT REJETÉ – À REPRENDRE"),OR(RÉPARATIONS!$D$5="TOUTES",B35=RÉPARATIONS!$D$5)),1,0)</f>
        <v>0</v>
      </c>
      <c r="AP35" s="78" t="str">
        <f aca="false">IF(AO35=1,SUM(AO$7:AO35),"")</f>
        <v/>
      </c>
    </row>
    <row r="36" customFormat="false" ht="15" hidden="false" customHeight="false" outlineLevel="0" collapsed="false">
      <c r="A36" s="78" t="n">
        <f aca="false">IF(E36="","",ROW()-6)</f>
        <v>30</v>
      </c>
      <c r="B36" s="79" t="s">
        <v>100</v>
      </c>
      <c r="C36" s="80" t="s">
        <v>169</v>
      </c>
      <c r="D36" s="80" t="s">
        <v>101</v>
      </c>
      <c r="E36" s="80" t="s">
        <v>184</v>
      </c>
      <c r="F36" s="80" t="s">
        <v>149</v>
      </c>
      <c r="G36" s="80" t="s">
        <v>104</v>
      </c>
      <c r="H36" s="80" t="n">
        <v>11</v>
      </c>
      <c r="I36" s="80" t="s">
        <v>112</v>
      </c>
      <c r="J36" s="80" t="s">
        <v>130</v>
      </c>
      <c r="K36" s="80" t="s">
        <v>181</v>
      </c>
      <c r="L36" s="80" t="s">
        <v>185</v>
      </c>
      <c r="M36" s="80" t="s">
        <v>139</v>
      </c>
      <c r="N36" s="80" t="s">
        <v>139</v>
      </c>
      <c r="O36" s="80" t="s">
        <v>123</v>
      </c>
      <c r="P36" s="81" t="n">
        <v>45877</v>
      </c>
      <c r="Q36" s="81" t="n">
        <v>45877</v>
      </c>
      <c r="R36" s="80" t="s">
        <v>182</v>
      </c>
      <c r="S36" s="80" t="s">
        <v>103</v>
      </c>
      <c r="T36" s="81" t="n">
        <v>45888</v>
      </c>
      <c r="U36" s="80" t="s">
        <v>145</v>
      </c>
      <c r="V36" s="80" t="s">
        <v>103</v>
      </c>
      <c r="W36" s="80"/>
      <c r="X36" s="80"/>
      <c r="Y36" s="81"/>
      <c r="Z36" s="80"/>
      <c r="AA36" s="80"/>
      <c r="AB36" s="80"/>
      <c r="AC36" s="80"/>
      <c r="AD36" s="81"/>
      <c r="AE36" s="80"/>
      <c r="AF36" s="80"/>
      <c r="AG36" s="81"/>
      <c r="AH36" s="79"/>
      <c r="AI36" s="78" t="n">
        <f aca="false">IF(E36="","",(V36&lt;&gt;"")+(AA36&lt;&gt;"")+(AF36&lt;&gt;""))</f>
        <v>1</v>
      </c>
      <c r="AJ36" s="82" t="str">
        <f aca="false">IF(AF36&lt;&gt;"",AF36,IF(AA36&lt;&gt;"",AA36,IF(V36&lt;&gt;"",V36,"")))</f>
        <v>A</v>
      </c>
      <c r="AK36" s="83" t="str">
        <f aca="false">IF(E36="","",IF(P36="","À SOUDER",IF(S36="","VT EN ATTENTE",IF(S36="R","VT REJETÉ – À REPRENDRE",IF(AJ36="","À RADIOGRAPHIER",IF(AJ36="A","ACCEPTÉ",IF(AJ36="NX","NX – RT À REFAIRE",IF(IF(AI36=1,X36,IF(AI36=2,AC36,""))="A","RÉPARÉ – À RADIOGRAPHIER",IF(IF(AI36=1,X36,IF(AI36=2,AC36,""))="R","VT REJETÉ – À REPRENDRE",IF(AJ36="CO","COUPE – À RESOUDER","À RÉPARER"))))))))))</f>
        <v>ACCEPTÉ</v>
      </c>
      <c r="AL36" s="82" t="str">
        <f aca="false">IF(AND(ISNUMBER(P36),OR(AK36="À RADIOGRAPHIER",AK36="RÉPARÉ – À RADIOGRAPHIER",AK36="NX – RT À REFAIRE",AK36="À RÉPARER",AK36="COUPE – À RESOUDER",AK36="VT REJETÉ – À REPRENDRE")),MAX(0,'PROGRAMME RT'!$C$4-P36),"")</f>
        <v/>
      </c>
      <c r="AM36" s="78" t="n">
        <f aca="false">IF(AND(OR(AK36="À RADIOGRAPHIER",AK36="RÉPARÉ – À RADIOGRAPHIER",AK36="NX – RT À REFAIRE"),OR('PROGRAMME RT'!$D$5="TOUTES",B36='PROGRAMME RT'!$D$5)),1,0)</f>
        <v>0</v>
      </c>
      <c r="AN36" s="78" t="str">
        <f aca="false">IF(AM36=1,SUM(AM$7:AM36),"")</f>
        <v/>
      </c>
      <c r="AO36" s="78" t="n">
        <f aca="false">IF(AND(OR(AK36="À RÉPARER",AK36="COUPE – À RESOUDER",AK36="VT REJETÉ – À REPRENDRE"),OR(RÉPARATIONS!$D$5="TOUTES",B36=RÉPARATIONS!$D$5)),1,0)</f>
        <v>0</v>
      </c>
      <c r="AP36" s="78" t="str">
        <f aca="false">IF(AO36=1,SUM(AO$7:AO36),"")</f>
        <v/>
      </c>
    </row>
    <row r="37" customFormat="false" ht="15" hidden="false" customHeight="false" outlineLevel="0" collapsed="false">
      <c r="A37" s="78" t="n">
        <f aca="false">IF(E37="","",ROW()-6)</f>
        <v>31</v>
      </c>
      <c r="B37" s="79" t="s">
        <v>100</v>
      </c>
      <c r="C37" s="80" t="s">
        <v>169</v>
      </c>
      <c r="D37" s="80" t="s">
        <v>101</v>
      </c>
      <c r="E37" s="80" t="s">
        <v>186</v>
      </c>
      <c r="F37" s="80" t="s">
        <v>149</v>
      </c>
      <c r="G37" s="80" t="s">
        <v>104</v>
      </c>
      <c r="H37" s="80" t="n">
        <v>11</v>
      </c>
      <c r="I37" s="80" t="s">
        <v>112</v>
      </c>
      <c r="J37" s="80" t="s">
        <v>130</v>
      </c>
      <c r="K37" s="80" t="s">
        <v>185</v>
      </c>
      <c r="L37" s="80" t="s">
        <v>187</v>
      </c>
      <c r="M37" s="80" t="s">
        <v>139</v>
      </c>
      <c r="N37" s="80" t="s">
        <v>139</v>
      </c>
      <c r="O37" s="80" t="s">
        <v>123</v>
      </c>
      <c r="P37" s="81" t="n">
        <v>45877</v>
      </c>
      <c r="Q37" s="81" t="n">
        <v>45877</v>
      </c>
      <c r="R37" s="80" t="s">
        <v>182</v>
      </c>
      <c r="S37" s="80" t="s">
        <v>103</v>
      </c>
      <c r="T37" s="81" t="n">
        <v>45888</v>
      </c>
      <c r="U37" s="80" t="s">
        <v>145</v>
      </c>
      <c r="V37" s="80" t="s">
        <v>103</v>
      </c>
      <c r="W37" s="80"/>
      <c r="X37" s="80"/>
      <c r="Y37" s="81"/>
      <c r="Z37" s="80"/>
      <c r="AA37" s="80"/>
      <c r="AB37" s="80"/>
      <c r="AC37" s="80"/>
      <c r="AD37" s="81"/>
      <c r="AE37" s="80"/>
      <c r="AF37" s="80"/>
      <c r="AG37" s="81"/>
      <c r="AH37" s="79"/>
      <c r="AI37" s="78" t="n">
        <f aca="false">IF(E37="","",(V37&lt;&gt;"")+(AA37&lt;&gt;"")+(AF37&lt;&gt;""))</f>
        <v>1</v>
      </c>
      <c r="AJ37" s="82" t="str">
        <f aca="false">IF(AF37&lt;&gt;"",AF37,IF(AA37&lt;&gt;"",AA37,IF(V37&lt;&gt;"",V37,"")))</f>
        <v>A</v>
      </c>
      <c r="AK37" s="83" t="str">
        <f aca="false">IF(E37="","",IF(P37="","À SOUDER",IF(S37="","VT EN ATTENTE",IF(S37="R","VT REJETÉ – À REPRENDRE",IF(AJ37="","À RADIOGRAPHIER",IF(AJ37="A","ACCEPTÉ",IF(AJ37="NX","NX – RT À REFAIRE",IF(IF(AI37=1,X37,IF(AI37=2,AC37,""))="A","RÉPARÉ – À RADIOGRAPHIER",IF(IF(AI37=1,X37,IF(AI37=2,AC37,""))="R","VT REJETÉ – À REPRENDRE",IF(AJ37="CO","COUPE – À RESOUDER","À RÉPARER"))))))))))</f>
        <v>ACCEPTÉ</v>
      </c>
      <c r="AL37" s="82" t="str">
        <f aca="false">IF(AND(ISNUMBER(P37),OR(AK37="À RADIOGRAPHIER",AK37="RÉPARÉ – À RADIOGRAPHIER",AK37="NX – RT À REFAIRE",AK37="À RÉPARER",AK37="COUPE – À RESOUDER",AK37="VT REJETÉ – À REPRENDRE")),MAX(0,'PROGRAMME RT'!$C$4-P37),"")</f>
        <v/>
      </c>
      <c r="AM37" s="78" t="n">
        <f aca="false">IF(AND(OR(AK37="À RADIOGRAPHIER",AK37="RÉPARÉ – À RADIOGRAPHIER",AK37="NX – RT À REFAIRE"),OR('PROGRAMME RT'!$D$5="TOUTES",B37='PROGRAMME RT'!$D$5)),1,0)</f>
        <v>0</v>
      </c>
      <c r="AN37" s="78" t="str">
        <f aca="false">IF(AM37=1,SUM(AM$7:AM37),"")</f>
        <v/>
      </c>
      <c r="AO37" s="78" t="n">
        <f aca="false">IF(AND(OR(AK37="À RÉPARER",AK37="COUPE – À RESOUDER",AK37="VT REJETÉ – À REPRENDRE"),OR(RÉPARATIONS!$D$5="TOUTES",B37=RÉPARATIONS!$D$5)),1,0)</f>
        <v>0</v>
      </c>
      <c r="AP37" s="78" t="str">
        <f aca="false">IF(AO37=1,SUM(AO$7:AO37),"")</f>
        <v/>
      </c>
    </row>
    <row r="38" customFormat="false" ht="15" hidden="false" customHeight="false" outlineLevel="0" collapsed="false">
      <c r="A38" s="78" t="n">
        <f aca="false">IF(E38="","",ROW()-6)</f>
        <v>32</v>
      </c>
      <c r="B38" s="79" t="s">
        <v>100</v>
      </c>
      <c r="C38" s="80" t="s">
        <v>169</v>
      </c>
      <c r="D38" s="80" t="s">
        <v>101</v>
      </c>
      <c r="E38" s="80" t="s">
        <v>188</v>
      </c>
      <c r="F38" s="80" t="s">
        <v>149</v>
      </c>
      <c r="G38" s="80" t="s">
        <v>104</v>
      </c>
      <c r="H38" s="80" t="n">
        <v>11</v>
      </c>
      <c r="I38" s="80" t="s">
        <v>112</v>
      </c>
      <c r="J38" s="80" t="s">
        <v>130</v>
      </c>
      <c r="K38" s="80" t="s">
        <v>187</v>
      </c>
      <c r="L38" s="80" t="s">
        <v>189</v>
      </c>
      <c r="M38" s="80" t="s">
        <v>139</v>
      </c>
      <c r="N38" s="80" t="s">
        <v>139</v>
      </c>
      <c r="O38" s="80" t="s">
        <v>123</v>
      </c>
      <c r="P38" s="81" t="n">
        <v>45877</v>
      </c>
      <c r="Q38" s="81" t="n">
        <v>45877</v>
      </c>
      <c r="R38" s="80" t="s">
        <v>182</v>
      </c>
      <c r="S38" s="80" t="s">
        <v>103</v>
      </c>
      <c r="T38" s="81" t="n">
        <v>45888</v>
      </c>
      <c r="U38" s="80" t="s">
        <v>145</v>
      </c>
      <c r="V38" s="80" t="s">
        <v>103</v>
      </c>
      <c r="W38" s="80"/>
      <c r="X38" s="80"/>
      <c r="Y38" s="81"/>
      <c r="Z38" s="80"/>
      <c r="AA38" s="80"/>
      <c r="AB38" s="80"/>
      <c r="AC38" s="80"/>
      <c r="AD38" s="81"/>
      <c r="AE38" s="80"/>
      <c r="AF38" s="80"/>
      <c r="AG38" s="81"/>
      <c r="AH38" s="79"/>
      <c r="AI38" s="78" t="n">
        <f aca="false">IF(E38="","",(V38&lt;&gt;"")+(AA38&lt;&gt;"")+(AF38&lt;&gt;""))</f>
        <v>1</v>
      </c>
      <c r="AJ38" s="82" t="str">
        <f aca="false">IF(AF38&lt;&gt;"",AF38,IF(AA38&lt;&gt;"",AA38,IF(V38&lt;&gt;"",V38,"")))</f>
        <v>A</v>
      </c>
      <c r="AK38" s="83" t="str">
        <f aca="false">IF(E38="","",IF(P38="","À SOUDER",IF(S38="","VT EN ATTENTE",IF(S38="R","VT REJETÉ – À REPRENDRE",IF(AJ38="","À RADIOGRAPHIER",IF(AJ38="A","ACCEPTÉ",IF(AJ38="NX","NX – RT À REFAIRE",IF(IF(AI38=1,X38,IF(AI38=2,AC38,""))="A","RÉPARÉ – À RADIOGRAPHIER",IF(IF(AI38=1,X38,IF(AI38=2,AC38,""))="R","VT REJETÉ – À REPRENDRE",IF(AJ38="CO","COUPE – À RESOUDER","À RÉPARER"))))))))))</f>
        <v>ACCEPTÉ</v>
      </c>
      <c r="AL38" s="82" t="str">
        <f aca="false">IF(AND(ISNUMBER(P38),OR(AK38="À RADIOGRAPHIER",AK38="RÉPARÉ – À RADIOGRAPHIER",AK38="NX – RT À REFAIRE",AK38="À RÉPARER",AK38="COUPE – À RESOUDER",AK38="VT REJETÉ – À REPRENDRE")),MAX(0,'PROGRAMME RT'!$C$4-P38),"")</f>
        <v/>
      </c>
      <c r="AM38" s="78" t="n">
        <f aca="false">IF(AND(OR(AK38="À RADIOGRAPHIER",AK38="RÉPARÉ – À RADIOGRAPHIER",AK38="NX – RT À REFAIRE"),OR('PROGRAMME RT'!$D$5="TOUTES",B38='PROGRAMME RT'!$D$5)),1,0)</f>
        <v>0</v>
      </c>
      <c r="AN38" s="78" t="str">
        <f aca="false">IF(AM38=1,SUM(AM$7:AM38),"")</f>
        <v/>
      </c>
      <c r="AO38" s="78" t="n">
        <f aca="false">IF(AND(OR(AK38="À RÉPARER",AK38="COUPE – À RESOUDER",AK38="VT REJETÉ – À REPRENDRE"),OR(RÉPARATIONS!$D$5="TOUTES",B38=RÉPARATIONS!$D$5)),1,0)</f>
        <v>0</v>
      </c>
      <c r="AP38" s="78" t="str">
        <f aca="false">IF(AO38=1,SUM(AO$7:AO38),"")</f>
        <v/>
      </c>
    </row>
    <row r="39" customFormat="false" ht="15" hidden="false" customHeight="false" outlineLevel="0" collapsed="false">
      <c r="A39" s="78" t="n">
        <f aca="false">IF(E39="","",ROW()-6)</f>
        <v>33</v>
      </c>
      <c r="B39" s="79" t="s">
        <v>100</v>
      </c>
      <c r="C39" s="80" t="s">
        <v>169</v>
      </c>
      <c r="D39" s="80" t="s">
        <v>101</v>
      </c>
      <c r="E39" s="80" t="s">
        <v>190</v>
      </c>
      <c r="F39" s="80" t="s">
        <v>149</v>
      </c>
      <c r="G39" s="80" t="s">
        <v>104</v>
      </c>
      <c r="H39" s="80" t="n">
        <v>11</v>
      </c>
      <c r="I39" s="80" t="s">
        <v>112</v>
      </c>
      <c r="J39" s="80" t="s">
        <v>130</v>
      </c>
      <c r="K39" s="80" t="s">
        <v>189</v>
      </c>
      <c r="L39" s="80" t="s">
        <v>191</v>
      </c>
      <c r="M39" s="80" t="s">
        <v>139</v>
      </c>
      <c r="N39" s="80" t="s">
        <v>139</v>
      </c>
      <c r="O39" s="80" t="s">
        <v>123</v>
      </c>
      <c r="P39" s="81" t="n">
        <v>45878</v>
      </c>
      <c r="Q39" s="81" t="n">
        <v>45878</v>
      </c>
      <c r="R39" s="80" t="s">
        <v>192</v>
      </c>
      <c r="S39" s="80" t="s">
        <v>103</v>
      </c>
      <c r="T39" s="81" t="n">
        <v>45889</v>
      </c>
      <c r="U39" s="80" t="s">
        <v>183</v>
      </c>
      <c r="V39" s="80" t="s">
        <v>103</v>
      </c>
      <c r="W39" s="80"/>
      <c r="X39" s="80"/>
      <c r="Y39" s="81"/>
      <c r="Z39" s="80"/>
      <c r="AA39" s="80"/>
      <c r="AB39" s="80"/>
      <c r="AC39" s="80"/>
      <c r="AD39" s="81"/>
      <c r="AE39" s="80"/>
      <c r="AF39" s="80"/>
      <c r="AG39" s="81"/>
      <c r="AH39" s="79"/>
      <c r="AI39" s="78" t="n">
        <f aca="false">IF(E39="","",(V39&lt;&gt;"")+(AA39&lt;&gt;"")+(AF39&lt;&gt;""))</f>
        <v>1</v>
      </c>
      <c r="AJ39" s="82" t="str">
        <f aca="false">IF(AF39&lt;&gt;"",AF39,IF(AA39&lt;&gt;"",AA39,IF(V39&lt;&gt;"",V39,"")))</f>
        <v>A</v>
      </c>
      <c r="AK39" s="83" t="str">
        <f aca="false">IF(E39="","",IF(P39="","À SOUDER",IF(S39="","VT EN ATTENTE",IF(S39="R","VT REJETÉ – À REPRENDRE",IF(AJ39="","À RADIOGRAPHIER",IF(AJ39="A","ACCEPTÉ",IF(AJ39="NX","NX – RT À REFAIRE",IF(IF(AI39=1,X39,IF(AI39=2,AC39,""))="A","RÉPARÉ – À RADIOGRAPHIER",IF(IF(AI39=1,X39,IF(AI39=2,AC39,""))="R","VT REJETÉ – À REPRENDRE",IF(AJ39="CO","COUPE – À RESOUDER","À RÉPARER"))))))))))</f>
        <v>ACCEPTÉ</v>
      </c>
      <c r="AL39" s="82" t="str">
        <f aca="false">IF(AND(ISNUMBER(P39),OR(AK39="À RADIOGRAPHIER",AK39="RÉPARÉ – À RADIOGRAPHIER",AK39="NX – RT À REFAIRE",AK39="À RÉPARER",AK39="COUPE – À RESOUDER",AK39="VT REJETÉ – À REPRENDRE")),MAX(0,'PROGRAMME RT'!$C$4-P39),"")</f>
        <v/>
      </c>
      <c r="AM39" s="78" t="n">
        <f aca="false">IF(AND(OR(AK39="À RADIOGRAPHIER",AK39="RÉPARÉ – À RADIOGRAPHIER",AK39="NX – RT À REFAIRE"),OR('PROGRAMME RT'!$D$5="TOUTES",B39='PROGRAMME RT'!$D$5)),1,0)</f>
        <v>0</v>
      </c>
      <c r="AN39" s="78" t="str">
        <f aca="false">IF(AM39=1,SUM(AM$7:AM39),"")</f>
        <v/>
      </c>
      <c r="AO39" s="78" t="n">
        <f aca="false">IF(AND(OR(AK39="À RÉPARER",AK39="COUPE – À RESOUDER",AK39="VT REJETÉ – À REPRENDRE"),OR(RÉPARATIONS!$D$5="TOUTES",B39=RÉPARATIONS!$D$5)),1,0)</f>
        <v>0</v>
      </c>
      <c r="AP39" s="78" t="str">
        <f aca="false">IF(AO39=1,SUM(AO$7:AO39),"")</f>
        <v/>
      </c>
    </row>
    <row r="40" customFormat="false" ht="15" hidden="false" customHeight="false" outlineLevel="0" collapsed="false">
      <c r="A40" s="78" t="n">
        <f aca="false">IF(E40="","",ROW()-6)</f>
        <v>34</v>
      </c>
      <c r="B40" s="79" t="s">
        <v>100</v>
      </c>
      <c r="C40" s="80" t="s">
        <v>169</v>
      </c>
      <c r="D40" s="80" t="s">
        <v>101</v>
      </c>
      <c r="E40" s="80" t="s">
        <v>193</v>
      </c>
      <c r="F40" s="80" t="s">
        <v>149</v>
      </c>
      <c r="G40" s="80" t="s">
        <v>104</v>
      </c>
      <c r="H40" s="80" t="n">
        <v>11</v>
      </c>
      <c r="I40" s="80" t="s">
        <v>112</v>
      </c>
      <c r="J40" s="80" t="s">
        <v>130</v>
      </c>
      <c r="K40" s="80" t="s">
        <v>191</v>
      </c>
      <c r="L40" s="80" t="s">
        <v>194</v>
      </c>
      <c r="M40" s="80" t="s">
        <v>139</v>
      </c>
      <c r="N40" s="80" t="s">
        <v>139</v>
      </c>
      <c r="O40" s="80" t="s">
        <v>132</v>
      </c>
      <c r="P40" s="81" t="n">
        <v>45878</v>
      </c>
      <c r="Q40" s="81" t="n">
        <v>45878</v>
      </c>
      <c r="R40" s="80" t="s">
        <v>192</v>
      </c>
      <c r="S40" s="80" t="s">
        <v>103</v>
      </c>
      <c r="T40" s="81" t="n">
        <v>45889</v>
      </c>
      <c r="U40" s="80" t="s">
        <v>183</v>
      </c>
      <c r="V40" s="80" t="s">
        <v>103</v>
      </c>
      <c r="W40" s="80"/>
      <c r="X40" s="80"/>
      <c r="Y40" s="81"/>
      <c r="Z40" s="80"/>
      <c r="AA40" s="80"/>
      <c r="AB40" s="80"/>
      <c r="AC40" s="80"/>
      <c r="AD40" s="81"/>
      <c r="AE40" s="80"/>
      <c r="AF40" s="80"/>
      <c r="AG40" s="81"/>
      <c r="AH40" s="79"/>
      <c r="AI40" s="78" t="n">
        <f aca="false">IF(E40="","",(V40&lt;&gt;"")+(AA40&lt;&gt;"")+(AF40&lt;&gt;""))</f>
        <v>1</v>
      </c>
      <c r="AJ40" s="82" t="str">
        <f aca="false">IF(AF40&lt;&gt;"",AF40,IF(AA40&lt;&gt;"",AA40,IF(V40&lt;&gt;"",V40,"")))</f>
        <v>A</v>
      </c>
      <c r="AK40" s="83" t="str">
        <f aca="false">IF(E40="","",IF(P40="","À SOUDER",IF(S40="","VT EN ATTENTE",IF(S40="R","VT REJETÉ – À REPRENDRE",IF(AJ40="","À RADIOGRAPHIER",IF(AJ40="A","ACCEPTÉ",IF(AJ40="NX","NX – RT À REFAIRE",IF(IF(AI40=1,X40,IF(AI40=2,AC40,""))="A","RÉPARÉ – À RADIOGRAPHIER",IF(IF(AI40=1,X40,IF(AI40=2,AC40,""))="R","VT REJETÉ – À REPRENDRE",IF(AJ40="CO","COUPE – À RESOUDER","À RÉPARER"))))))))))</f>
        <v>ACCEPTÉ</v>
      </c>
      <c r="AL40" s="82" t="str">
        <f aca="false">IF(AND(ISNUMBER(P40),OR(AK40="À RADIOGRAPHIER",AK40="RÉPARÉ – À RADIOGRAPHIER",AK40="NX – RT À REFAIRE",AK40="À RÉPARER",AK40="COUPE – À RESOUDER",AK40="VT REJETÉ – À REPRENDRE")),MAX(0,'PROGRAMME RT'!$C$4-P40),"")</f>
        <v/>
      </c>
      <c r="AM40" s="78" t="n">
        <f aca="false">IF(AND(OR(AK40="À RADIOGRAPHIER",AK40="RÉPARÉ – À RADIOGRAPHIER",AK40="NX – RT À REFAIRE"),OR('PROGRAMME RT'!$D$5="TOUTES",B40='PROGRAMME RT'!$D$5)),1,0)</f>
        <v>0</v>
      </c>
      <c r="AN40" s="78" t="str">
        <f aca="false">IF(AM40=1,SUM(AM$7:AM40),"")</f>
        <v/>
      </c>
      <c r="AO40" s="78" t="n">
        <f aca="false">IF(AND(OR(AK40="À RÉPARER",AK40="COUPE – À RESOUDER",AK40="VT REJETÉ – À REPRENDRE"),OR(RÉPARATIONS!$D$5="TOUTES",B40=RÉPARATIONS!$D$5)),1,0)</f>
        <v>0</v>
      </c>
      <c r="AP40" s="78" t="str">
        <f aca="false">IF(AO40=1,SUM(AO$7:AO40),"")</f>
        <v/>
      </c>
    </row>
    <row r="41" customFormat="false" ht="15" hidden="false" customHeight="false" outlineLevel="0" collapsed="false">
      <c r="A41" s="78" t="n">
        <f aca="false">IF(E41="","",ROW()-6)</f>
        <v>35</v>
      </c>
      <c r="B41" s="79" t="s">
        <v>100</v>
      </c>
      <c r="C41" s="80" t="s">
        <v>169</v>
      </c>
      <c r="D41" s="80" t="s">
        <v>101</v>
      </c>
      <c r="E41" s="80" t="s">
        <v>195</v>
      </c>
      <c r="F41" s="80" t="s">
        <v>149</v>
      </c>
      <c r="G41" s="80" t="s">
        <v>104</v>
      </c>
      <c r="H41" s="80" t="n">
        <v>11</v>
      </c>
      <c r="I41" s="80" t="s">
        <v>112</v>
      </c>
      <c r="J41" s="80" t="s">
        <v>130</v>
      </c>
      <c r="K41" s="80" t="s">
        <v>194</v>
      </c>
      <c r="L41" s="80" t="s">
        <v>196</v>
      </c>
      <c r="M41" s="80" t="s">
        <v>139</v>
      </c>
      <c r="N41" s="80" t="s">
        <v>139</v>
      </c>
      <c r="O41" s="80" t="s">
        <v>132</v>
      </c>
      <c r="P41" s="81" t="n">
        <v>45878</v>
      </c>
      <c r="Q41" s="81" t="n">
        <v>45878</v>
      </c>
      <c r="R41" s="80" t="s">
        <v>192</v>
      </c>
      <c r="S41" s="80" t="s">
        <v>103</v>
      </c>
      <c r="T41" s="81" t="n">
        <v>45889</v>
      </c>
      <c r="U41" s="80" t="s">
        <v>183</v>
      </c>
      <c r="V41" s="80" t="s">
        <v>103</v>
      </c>
      <c r="W41" s="80"/>
      <c r="X41" s="80"/>
      <c r="Y41" s="81"/>
      <c r="Z41" s="80"/>
      <c r="AA41" s="80"/>
      <c r="AB41" s="80"/>
      <c r="AC41" s="80"/>
      <c r="AD41" s="81"/>
      <c r="AE41" s="80"/>
      <c r="AF41" s="80"/>
      <c r="AG41" s="81"/>
      <c r="AH41" s="79"/>
      <c r="AI41" s="78" t="n">
        <f aca="false">IF(E41="","",(V41&lt;&gt;"")+(AA41&lt;&gt;"")+(AF41&lt;&gt;""))</f>
        <v>1</v>
      </c>
      <c r="AJ41" s="82" t="str">
        <f aca="false">IF(AF41&lt;&gt;"",AF41,IF(AA41&lt;&gt;"",AA41,IF(V41&lt;&gt;"",V41,"")))</f>
        <v>A</v>
      </c>
      <c r="AK41" s="83" t="str">
        <f aca="false">IF(E41="","",IF(P41="","À SOUDER",IF(S41="","VT EN ATTENTE",IF(S41="R","VT REJETÉ – À REPRENDRE",IF(AJ41="","À RADIOGRAPHIER",IF(AJ41="A","ACCEPTÉ",IF(AJ41="NX","NX – RT À REFAIRE",IF(IF(AI41=1,X41,IF(AI41=2,AC41,""))="A","RÉPARÉ – À RADIOGRAPHIER",IF(IF(AI41=1,X41,IF(AI41=2,AC41,""))="R","VT REJETÉ – À REPRENDRE",IF(AJ41="CO","COUPE – À RESOUDER","À RÉPARER"))))))))))</f>
        <v>ACCEPTÉ</v>
      </c>
      <c r="AL41" s="82" t="str">
        <f aca="false">IF(AND(ISNUMBER(P41),OR(AK41="À RADIOGRAPHIER",AK41="RÉPARÉ – À RADIOGRAPHIER",AK41="NX – RT À REFAIRE",AK41="À RÉPARER",AK41="COUPE – À RESOUDER",AK41="VT REJETÉ – À REPRENDRE")),MAX(0,'PROGRAMME RT'!$C$4-P41),"")</f>
        <v/>
      </c>
      <c r="AM41" s="78" t="n">
        <f aca="false">IF(AND(OR(AK41="À RADIOGRAPHIER",AK41="RÉPARÉ – À RADIOGRAPHIER",AK41="NX – RT À REFAIRE"),OR('PROGRAMME RT'!$D$5="TOUTES",B41='PROGRAMME RT'!$D$5)),1,0)</f>
        <v>0</v>
      </c>
      <c r="AN41" s="78" t="str">
        <f aca="false">IF(AM41=1,SUM(AM$7:AM41),"")</f>
        <v/>
      </c>
      <c r="AO41" s="78" t="n">
        <f aca="false">IF(AND(OR(AK41="À RÉPARER",AK41="COUPE – À RESOUDER",AK41="VT REJETÉ – À REPRENDRE"),OR(RÉPARATIONS!$D$5="TOUTES",B41=RÉPARATIONS!$D$5)),1,0)</f>
        <v>0</v>
      </c>
      <c r="AP41" s="78" t="str">
        <f aca="false">IF(AO41=1,SUM(AO$7:AO41),"")</f>
        <v/>
      </c>
    </row>
    <row r="42" customFormat="false" ht="15" hidden="false" customHeight="false" outlineLevel="0" collapsed="false">
      <c r="A42" s="78" t="n">
        <f aca="false">IF(E42="","",ROW()-6)</f>
        <v>36</v>
      </c>
      <c r="B42" s="79" t="s">
        <v>100</v>
      </c>
      <c r="C42" s="80" t="s">
        <v>169</v>
      </c>
      <c r="D42" s="80" t="s">
        <v>101</v>
      </c>
      <c r="E42" s="80" t="s">
        <v>197</v>
      </c>
      <c r="F42" s="80" t="s">
        <v>103</v>
      </c>
      <c r="G42" s="80" t="s">
        <v>104</v>
      </c>
      <c r="H42" s="80" t="n">
        <v>11</v>
      </c>
      <c r="I42" s="80" t="s">
        <v>112</v>
      </c>
      <c r="J42" s="80" t="s">
        <v>113</v>
      </c>
      <c r="K42" s="80" t="s">
        <v>196</v>
      </c>
      <c r="L42" s="80" t="s">
        <v>198</v>
      </c>
      <c r="M42" s="80" t="s">
        <v>115</v>
      </c>
      <c r="N42" s="80" t="s">
        <v>115</v>
      </c>
      <c r="O42" s="80" t="s">
        <v>115</v>
      </c>
      <c r="P42" s="81" t="n">
        <v>45892</v>
      </c>
      <c r="Q42" s="81" t="n">
        <v>45892</v>
      </c>
      <c r="R42" s="80" t="s">
        <v>199</v>
      </c>
      <c r="S42" s="80" t="s">
        <v>103</v>
      </c>
      <c r="T42" s="81" t="n">
        <v>45893</v>
      </c>
      <c r="U42" s="80" t="s">
        <v>134</v>
      </c>
      <c r="V42" s="80" t="s">
        <v>103</v>
      </c>
      <c r="W42" s="80"/>
      <c r="X42" s="80"/>
      <c r="Y42" s="81"/>
      <c r="Z42" s="80"/>
      <c r="AA42" s="80"/>
      <c r="AB42" s="80"/>
      <c r="AC42" s="80"/>
      <c r="AD42" s="81"/>
      <c r="AE42" s="80"/>
      <c r="AF42" s="80"/>
      <c r="AG42" s="81"/>
      <c r="AH42" s="79"/>
      <c r="AI42" s="78" t="n">
        <f aca="false">IF(E42="","",(V42&lt;&gt;"")+(AA42&lt;&gt;"")+(AF42&lt;&gt;""))</f>
        <v>1</v>
      </c>
      <c r="AJ42" s="82" t="str">
        <f aca="false">IF(AF42&lt;&gt;"",AF42,IF(AA42&lt;&gt;"",AA42,IF(V42&lt;&gt;"",V42,"")))</f>
        <v>A</v>
      </c>
      <c r="AK42" s="83" t="str">
        <f aca="false">IF(E42="","",IF(P42="","À SOUDER",IF(S42="","VT EN ATTENTE",IF(S42="R","VT REJETÉ – À REPRENDRE",IF(AJ42="","À RADIOGRAPHIER",IF(AJ42="A","ACCEPTÉ",IF(AJ42="NX","NX – RT À REFAIRE",IF(IF(AI42=1,X42,IF(AI42=2,AC42,""))="A","RÉPARÉ – À RADIOGRAPHIER",IF(IF(AI42=1,X42,IF(AI42=2,AC42,""))="R","VT REJETÉ – À REPRENDRE",IF(AJ42="CO","COUPE – À RESOUDER","À RÉPARER"))))))))))</f>
        <v>ACCEPTÉ</v>
      </c>
      <c r="AL42" s="82" t="str">
        <f aca="false">IF(AND(ISNUMBER(P42),OR(AK42="À RADIOGRAPHIER",AK42="RÉPARÉ – À RADIOGRAPHIER",AK42="NX – RT À REFAIRE",AK42="À RÉPARER",AK42="COUPE – À RESOUDER",AK42="VT REJETÉ – À REPRENDRE")),MAX(0,'PROGRAMME RT'!$C$4-P42),"")</f>
        <v/>
      </c>
      <c r="AM42" s="78" t="n">
        <f aca="false">IF(AND(OR(AK42="À RADIOGRAPHIER",AK42="RÉPARÉ – À RADIOGRAPHIER",AK42="NX – RT À REFAIRE"),OR('PROGRAMME RT'!$D$5="TOUTES",B42='PROGRAMME RT'!$D$5)),1,0)</f>
        <v>0</v>
      </c>
      <c r="AN42" s="78" t="str">
        <f aca="false">IF(AM42=1,SUM(AM$7:AM42),"")</f>
        <v/>
      </c>
      <c r="AO42" s="78" t="n">
        <f aca="false">IF(AND(OR(AK42="À RÉPARER",AK42="COUPE – À RESOUDER",AK42="VT REJETÉ – À REPRENDRE"),OR(RÉPARATIONS!$D$5="TOUTES",B42=RÉPARATIONS!$D$5)),1,0)</f>
        <v>0</v>
      </c>
      <c r="AP42" s="78" t="str">
        <f aca="false">IF(AO42=1,SUM(AO$7:AO42),"")</f>
        <v/>
      </c>
    </row>
    <row r="43" customFormat="false" ht="15" hidden="false" customHeight="false" outlineLevel="0" collapsed="false">
      <c r="A43" s="78" t="n">
        <f aca="false">IF(E43="","",ROW()-6)</f>
        <v>37</v>
      </c>
      <c r="B43" s="79" t="s">
        <v>100</v>
      </c>
      <c r="C43" s="80" t="s">
        <v>169</v>
      </c>
      <c r="D43" s="80" t="s">
        <v>101</v>
      </c>
      <c r="E43" s="80" t="s">
        <v>200</v>
      </c>
      <c r="F43" s="80" t="s">
        <v>103</v>
      </c>
      <c r="G43" s="80" t="s">
        <v>104</v>
      </c>
      <c r="H43" s="80" t="n">
        <v>11</v>
      </c>
      <c r="I43" s="80" t="s">
        <v>112</v>
      </c>
      <c r="J43" s="80" t="s">
        <v>113</v>
      </c>
      <c r="K43" s="80" t="s">
        <v>198</v>
      </c>
      <c r="L43" s="80" t="s">
        <v>201</v>
      </c>
      <c r="M43" s="80" t="s">
        <v>202</v>
      </c>
      <c r="N43" s="80" t="s">
        <v>202</v>
      </c>
      <c r="O43" s="80" t="s">
        <v>115</v>
      </c>
      <c r="P43" s="81" t="n">
        <v>45892</v>
      </c>
      <c r="Q43" s="81" t="n">
        <v>45892</v>
      </c>
      <c r="R43" s="80" t="s">
        <v>199</v>
      </c>
      <c r="S43" s="80" t="s">
        <v>103</v>
      </c>
      <c r="T43" s="81" t="n">
        <v>45893</v>
      </c>
      <c r="U43" s="80" t="s">
        <v>134</v>
      </c>
      <c r="V43" s="80" t="s">
        <v>103</v>
      </c>
      <c r="W43" s="80"/>
      <c r="X43" s="80"/>
      <c r="Y43" s="81"/>
      <c r="Z43" s="80"/>
      <c r="AA43" s="80"/>
      <c r="AB43" s="80"/>
      <c r="AC43" s="80"/>
      <c r="AD43" s="81"/>
      <c r="AE43" s="80"/>
      <c r="AF43" s="80"/>
      <c r="AG43" s="81"/>
      <c r="AH43" s="79"/>
      <c r="AI43" s="78" t="n">
        <f aca="false">IF(E43="","",(V43&lt;&gt;"")+(AA43&lt;&gt;"")+(AF43&lt;&gt;""))</f>
        <v>1</v>
      </c>
      <c r="AJ43" s="82" t="str">
        <f aca="false">IF(AF43&lt;&gt;"",AF43,IF(AA43&lt;&gt;"",AA43,IF(V43&lt;&gt;"",V43,"")))</f>
        <v>A</v>
      </c>
      <c r="AK43" s="83" t="str">
        <f aca="false">IF(E43="","",IF(P43="","À SOUDER",IF(S43="","VT EN ATTENTE",IF(S43="R","VT REJETÉ – À REPRENDRE",IF(AJ43="","À RADIOGRAPHIER",IF(AJ43="A","ACCEPTÉ",IF(AJ43="NX","NX – RT À REFAIRE",IF(IF(AI43=1,X43,IF(AI43=2,AC43,""))="A","RÉPARÉ – À RADIOGRAPHIER",IF(IF(AI43=1,X43,IF(AI43=2,AC43,""))="R","VT REJETÉ – À REPRENDRE",IF(AJ43="CO","COUPE – À RESOUDER","À RÉPARER"))))))))))</f>
        <v>ACCEPTÉ</v>
      </c>
      <c r="AL43" s="82" t="str">
        <f aca="false">IF(AND(ISNUMBER(P43),OR(AK43="À RADIOGRAPHIER",AK43="RÉPARÉ – À RADIOGRAPHIER",AK43="NX – RT À REFAIRE",AK43="À RÉPARER",AK43="COUPE – À RESOUDER",AK43="VT REJETÉ – À REPRENDRE")),MAX(0,'PROGRAMME RT'!$C$4-P43),"")</f>
        <v/>
      </c>
      <c r="AM43" s="78" t="n">
        <f aca="false">IF(AND(OR(AK43="À RADIOGRAPHIER",AK43="RÉPARÉ – À RADIOGRAPHIER",AK43="NX – RT À REFAIRE"),OR('PROGRAMME RT'!$D$5="TOUTES",B43='PROGRAMME RT'!$D$5)),1,0)</f>
        <v>0</v>
      </c>
      <c r="AN43" s="78" t="str">
        <f aca="false">IF(AM43=1,SUM(AM$7:AM43),"")</f>
        <v/>
      </c>
      <c r="AO43" s="78" t="n">
        <f aca="false">IF(AND(OR(AK43="À RÉPARER",AK43="COUPE – À RESOUDER",AK43="VT REJETÉ – À REPRENDRE"),OR(RÉPARATIONS!$D$5="TOUTES",B43=RÉPARATIONS!$D$5)),1,0)</f>
        <v>0</v>
      </c>
      <c r="AP43" s="78" t="str">
        <f aca="false">IF(AO43=1,SUM(AO$7:AO43),"")</f>
        <v/>
      </c>
    </row>
    <row r="44" customFormat="false" ht="15" hidden="false" customHeight="false" outlineLevel="0" collapsed="false">
      <c r="A44" s="78" t="n">
        <f aca="false">IF(E44="","",ROW()-6)</f>
        <v>38</v>
      </c>
      <c r="B44" s="79" t="s">
        <v>100</v>
      </c>
      <c r="C44" s="80" t="s">
        <v>169</v>
      </c>
      <c r="D44" s="80" t="s">
        <v>101</v>
      </c>
      <c r="E44" s="80" t="s">
        <v>203</v>
      </c>
      <c r="F44" s="80" t="s">
        <v>103</v>
      </c>
      <c r="G44" s="80" t="s">
        <v>104</v>
      </c>
      <c r="H44" s="80" t="n">
        <v>11</v>
      </c>
      <c r="I44" s="80" t="s">
        <v>112</v>
      </c>
      <c r="J44" s="80" t="s">
        <v>113</v>
      </c>
      <c r="K44" s="80" t="s">
        <v>204</v>
      </c>
      <c r="L44" s="80" t="s">
        <v>205</v>
      </c>
      <c r="M44" s="80" t="s">
        <v>202</v>
      </c>
      <c r="N44" s="80" t="s">
        <v>202</v>
      </c>
      <c r="O44" s="80" t="s">
        <v>115</v>
      </c>
      <c r="P44" s="81" t="n">
        <v>45892</v>
      </c>
      <c r="Q44" s="81" t="n">
        <v>45892</v>
      </c>
      <c r="R44" s="80" t="s">
        <v>199</v>
      </c>
      <c r="S44" s="80" t="s">
        <v>103</v>
      </c>
      <c r="T44" s="81" t="n">
        <v>45893</v>
      </c>
      <c r="U44" s="80" t="s">
        <v>134</v>
      </c>
      <c r="V44" s="80" t="s">
        <v>103</v>
      </c>
      <c r="W44" s="80"/>
      <c r="X44" s="80"/>
      <c r="Y44" s="81"/>
      <c r="Z44" s="80"/>
      <c r="AA44" s="80"/>
      <c r="AB44" s="80"/>
      <c r="AC44" s="80"/>
      <c r="AD44" s="81"/>
      <c r="AE44" s="80"/>
      <c r="AF44" s="80"/>
      <c r="AG44" s="81"/>
      <c r="AH44" s="79"/>
      <c r="AI44" s="78" t="n">
        <f aca="false">IF(E44="","",(V44&lt;&gt;"")+(AA44&lt;&gt;"")+(AF44&lt;&gt;""))</f>
        <v>1</v>
      </c>
      <c r="AJ44" s="82" t="str">
        <f aca="false">IF(AF44&lt;&gt;"",AF44,IF(AA44&lt;&gt;"",AA44,IF(V44&lt;&gt;"",V44,"")))</f>
        <v>A</v>
      </c>
      <c r="AK44" s="83" t="str">
        <f aca="false">IF(E44="","",IF(P44="","À SOUDER",IF(S44="","VT EN ATTENTE",IF(S44="R","VT REJETÉ – À REPRENDRE",IF(AJ44="","À RADIOGRAPHIER",IF(AJ44="A","ACCEPTÉ",IF(AJ44="NX","NX – RT À REFAIRE",IF(IF(AI44=1,X44,IF(AI44=2,AC44,""))="A","RÉPARÉ – À RADIOGRAPHIER",IF(IF(AI44=1,X44,IF(AI44=2,AC44,""))="R","VT REJETÉ – À REPRENDRE",IF(AJ44="CO","COUPE – À RESOUDER","À RÉPARER"))))))))))</f>
        <v>ACCEPTÉ</v>
      </c>
      <c r="AL44" s="82" t="str">
        <f aca="false">IF(AND(ISNUMBER(P44),OR(AK44="À RADIOGRAPHIER",AK44="RÉPARÉ – À RADIOGRAPHIER",AK44="NX – RT À REFAIRE",AK44="À RÉPARER",AK44="COUPE – À RESOUDER",AK44="VT REJETÉ – À REPRENDRE")),MAX(0,'PROGRAMME RT'!$C$4-P44),"")</f>
        <v/>
      </c>
      <c r="AM44" s="78" t="n">
        <f aca="false">IF(AND(OR(AK44="À RADIOGRAPHIER",AK44="RÉPARÉ – À RADIOGRAPHIER",AK44="NX – RT À REFAIRE"),OR('PROGRAMME RT'!$D$5="TOUTES",B44='PROGRAMME RT'!$D$5)),1,0)</f>
        <v>0</v>
      </c>
      <c r="AN44" s="78" t="str">
        <f aca="false">IF(AM44=1,SUM(AM$7:AM44),"")</f>
        <v/>
      </c>
      <c r="AO44" s="78" t="n">
        <f aca="false">IF(AND(OR(AK44="À RÉPARER",AK44="COUPE – À RESOUDER",AK44="VT REJETÉ – À REPRENDRE"),OR(RÉPARATIONS!$D$5="TOUTES",B44=RÉPARATIONS!$D$5)),1,0)</f>
        <v>0</v>
      </c>
      <c r="AP44" s="78" t="str">
        <f aca="false">IF(AO44=1,SUM(AO$7:AO44),"")</f>
        <v/>
      </c>
    </row>
    <row r="45" customFormat="false" ht="15" hidden="false" customHeight="false" outlineLevel="0" collapsed="false">
      <c r="A45" s="78" t="n">
        <f aca="false">IF(E45="","",ROW()-6)</f>
        <v>39</v>
      </c>
      <c r="B45" s="79" t="s">
        <v>100</v>
      </c>
      <c r="C45" s="80" t="s">
        <v>169</v>
      </c>
      <c r="D45" s="80" t="s">
        <v>101</v>
      </c>
      <c r="E45" s="80" t="s">
        <v>206</v>
      </c>
      <c r="F45" s="80" t="s">
        <v>103</v>
      </c>
      <c r="G45" s="80" t="s">
        <v>104</v>
      </c>
      <c r="H45" s="80" t="n">
        <v>11</v>
      </c>
      <c r="I45" s="80" t="s">
        <v>112</v>
      </c>
      <c r="J45" s="80" t="s">
        <v>113</v>
      </c>
      <c r="K45" s="80" t="s">
        <v>205</v>
      </c>
      <c r="L45" s="80" t="s">
        <v>207</v>
      </c>
      <c r="M45" s="80" t="s">
        <v>202</v>
      </c>
      <c r="N45" s="80" t="s">
        <v>202</v>
      </c>
      <c r="O45" s="80" t="s">
        <v>115</v>
      </c>
      <c r="P45" s="81" t="n">
        <v>45892</v>
      </c>
      <c r="Q45" s="81" t="n">
        <v>45892</v>
      </c>
      <c r="R45" s="80" t="s">
        <v>199</v>
      </c>
      <c r="S45" s="80" t="s">
        <v>103</v>
      </c>
      <c r="T45" s="81" t="n">
        <v>45893</v>
      </c>
      <c r="U45" s="80" t="s">
        <v>134</v>
      </c>
      <c r="V45" s="80" t="s">
        <v>103</v>
      </c>
      <c r="W45" s="80"/>
      <c r="X45" s="80"/>
      <c r="Y45" s="81"/>
      <c r="Z45" s="80"/>
      <c r="AA45" s="80"/>
      <c r="AB45" s="80"/>
      <c r="AC45" s="80"/>
      <c r="AD45" s="81"/>
      <c r="AE45" s="80"/>
      <c r="AF45" s="80"/>
      <c r="AG45" s="81"/>
      <c r="AH45" s="79"/>
      <c r="AI45" s="78" t="n">
        <f aca="false">IF(E45="","",(V45&lt;&gt;"")+(AA45&lt;&gt;"")+(AF45&lt;&gt;""))</f>
        <v>1</v>
      </c>
      <c r="AJ45" s="82" t="str">
        <f aca="false">IF(AF45&lt;&gt;"",AF45,IF(AA45&lt;&gt;"",AA45,IF(V45&lt;&gt;"",V45,"")))</f>
        <v>A</v>
      </c>
      <c r="AK45" s="83" t="str">
        <f aca="false">IF(E45="","",IF(P45="","À SOUDER",IF(S45="","VT EN ATTENTE",IF(S45="R","VT REJETÉ – À REPRENDRE",IF(AJ45="","À RADIOGRAPHIER",IF(AJ45="A","ACCEPTÉ",IF(AJ45="NX","NX – RT À REFAIRE",IF(IF(AI45=1,X45,IF(AI45=2,AC45,""))="A","RÉPARÉ – À RADIOGRAPHIER",IF(IF(AI45=1,X45,IF(AI45=2,AC45,""))="R","VT REJETÉ – À REPRENDRE",IF(AJ45="CO","COUPE – À RESOUDER","À RÉPARER"))))))))))</f>
        <v>ACCEPTÉ</v>
      </c>
      <c r="AL45" s="82" t="str">
        <f aca="false">IF(AND(ISNUMBER(P45),OR(AK45="À RADIOGRAPHIER",AK45="RÉPARÉ – À RADIOGRAPHIER",AK45="NX – RT À REFAIRE",AK45="À RÉPARER",AK45="COUPE – À RESOUDER",AK45="VT REJETÉ – À REPRENDRE")),MAX(0,'PROGRAMME RT'!$C$4-P45),"")</f>
        <v/>
      </c>
      <c r="AM45" s="78" t="n">
        <f aca="false">IF(AND(OR(AK45="À RADIOGRAPHIER",AK45="RÉPARÉ – À RADIOGRAPHIER",AK45="NX – RT À REFAIRE"),OR('PROGRAMME RT'!$D$5="TOUTES",B45='PROGRAMME RT'!$D$5)),1,0)</f>
        <v>0</v>
      </c>
      <c r="AN45" s="78" t="str">
        <f aca="false">IF(AM45=1,SUM(AM$7:AM45),"")</f>
        <v/>
      </c>
      <c r="AO45" s="78" t="n">
        <f aca="false">IF(AND(OR(AK45="À RÉPARER",AK45="COUPE – À RESOUDER",AK45="VT REJETÉ – À REPRENDRE"),OR(RÉPARATIONS!$D$5="TOUTES",B45=RÉPARATIONS!$D$5)),1,0)</f>
        <v>0</v>
      </c>
      <c r="AP45" s="78" t="str">
        <f aca="false">IF(AO45=1,SUM(AO$7:AO45),"")</f>
        <v/>
      </c>
    </row>
    <row r="46" customFormat="false" ht="15" hidden="false" customHeight="false" outlineLevel="0" collapsed="false">
      <c r="A46" s="78" t="n">
        <f aca="false">IF(E46="","",ROW()-6)</f>
        <v>40</v>
      </c>
      <c r="B46" s="79" t="s">
        <v>100</v>
      </c>
      <c r="C46" s="80" t="s">
        <v>169</v>
      </c>
      <c r="D46" s="80" t="s">
        <v>101</v>
      </c>
      <c r="E46" s="80" t="s">
        <v>208</v>
      </c>
      <c r="F46" s="80" t="s">
        <v>103</v>
      </c>
      <c r="G46" s="80" t="s">
        <v>104</v>
      </c>
      <c r="H46" s="80" t="n">
        <v>11</v>
      </c>
      <c r="I46" s="80" t="s">
        <v>112</v>
      </c>
      <c r="J46" s="80" t="s">
        <v>113</v>
      </c>
      <c r="K46" s="80" t="s">
        <v>207</v>
      </c>
      <c r="L46" s="80" t="s">
        <v>209</v>
      </c>
      <c r="M46" s="80" t="s">
        <v>202</v>
      </c>
      <c r="N46" s="80" t="s">
        <v>202</v>
      </c>
      <c r="O46" s="80" t="s">
        <v>115</v>
      </c>
      <c r="P46" s="81" t="n">
        <v>45892</v>
      </c>
      <c r="Q46" s="81" t="n">
        <v>45892</v>
      </c>
      <c r="R46" s="80" t="s">
        <v>199</v>
      </c>
      <c r="S46" s="80" t="s">
        <v>103</v>
      </c>
      <c r="T46" s="81" t="n">
        <v>45893</v>
      </c>
      <c r="U46" s="80" t="s">
        <v>134</v>
      </c>
      <c r="V46" s="80" t="s">
        <v>103</v>
      </c>
      <c r="W46" s="80"/>
      <c r="X46" s="80"/>
      <c r="Y46" s="81"/>
      <c r="Z46" s="80"/>
      <c r="AA46" s="80"/>
      <c r="AB46" s="80"/>
      <c r="AC46" s="80"/>
      <c r="AD46" s="81"/>
      <c r="AE46" s="80"/>
      <c r="AF46" s="80"/>
      <c r="AG46" s="81"/>
      <c r="AH46" s="79"/>
      <c r="AI46" s="78" t="n">
        <f aca="false">IF(E46="","",(V46&lt;&gt;"")+(AA46&lt;&gt;"")+(AF46&lt;&gt;""))</f>
        <v>1</v>
      </c>
      <c r="AJ46" s="82" t="str">
        <f aca="false">IF(AF46&lt;&gt;"",AF46,IF(AA46&lt;&gt;"",AA46,IF(V46&lt;&gt;"",V46,"")))</f>
        <v>A</v>
      </c>
      <c r="AK46" s="83" t="str">
        <f aca="false">IF(E46="","",IF(P46="","À SOUDER",IF(S46="","VT EN ATTENTE",IF(S46="R","VT REJETÉ – À REPRENDRE",IF(AJ46="","À RADIOGRAPHIER",IF(AJ46="A","ACCEPTÉ",IF(AJ46="NX","NX – RT À REFAIRE",IF(IF(AI46=1,X46,IF(AI46=2,AC46,""))="A","RÉPARÉ – À RADIOGRAPHIER",IF(IF(AI46=1,X46,IF(AI46=2,AC46,""))="R","VT REJETÉ – À REPRENDRE",IF(AJ46="CO","COUPE – À RESOUDER","À RÉPARER"))))))))))</f>
        <v>ACCEPTÉ</v>
      </c>
      <c r="AL46" s="82" t="str">
        <f aca="false">IF(AND(ISNUMBER(P46),OR(AK46="À RADIOGRAPHIER",AK46="RÉPARÉ – À RADIOGRAPHIER",AK46="NX – RT À REFAIRE",AK46="À RÉPARER",AK46="COUPE – À RESOUDER",AK46="VT REJETÉ – À REPRENDRE")),MAX(0,'PROGRAMME RT'!$C$4-P46),"")</f>
        <v/>
      </c>
      <c r="AM46" s="78" t="n">
        <f aca="false">IF(AND(OR(AK46="À RADIOGRAPHIER",AK46="RÉPARÉ – À RADIOGRAPHIER",AK46="NX – RT À REFAIRE"),OR('PROGRAMME RT'!$D$5="TOUTES",B46='PROGRAMME RT'!$D$5)),1,0)</f>
        <v>0</v>
      </c>
      <c r="AN46" s="78" t="str">
        <f aca="false">IF(AM46=1,SUM(AM$7:AM46),"")</f>
        <v/>
      </c>
      <c r="AO46" s="78" t="n">
        <f aca="false">IF(AND(OR(AK46="À RÉPARER",AK46="COUPE – À RESOUDER",AK46="VT REJETÉ – À REPRENDRE"),OR(RÉPARATIONS!$D$5="TOUTES",B46=RÉPARATIONS!$D$5)),1,0)</f>
        <v>0</v>
      </c>
      <c r="AP46" s="78" t="str">
        <f aca="false">IF(AO46=1,SUM(AO$7:AO46),"")</f>
        <v/>
      </c>
    </row>
    <row r="47" customFormat="false" ht="15" hidden="false" customHeight="false" outlineLevel="0" collapsed="false">
      <c r="A47" s="78" t="n">
        <f aca="false">IF(E47="","",ROW()-6)</f>
        <v>41</v>
      </c>
      <c r="B47" s="79" t="s">
        <v>100</v>
      </c>
      <c r="C47" s="80" t="s">
        <v>169</v>
      </c>
      <c r="D47" s="80" t="s">
        <v>101</v>
      </c>
      <c r="E47" s="80" t="s">
        <v>210</v>
      </c>
      <c r="F47" s="80" t="s">
        <v>103</v>
      </c>
      <c r="G47" s="80" t="s">
        <v>104</v>
      </c>
      <c r="H47" s="80" t="n">
        <v>11</v>
      </c>
      <c r="I47" s="80" t="s">
        <v>112</v>
      </c>
      <c r="J47" s="80" t="s">
        <v>113</v>
      </c>
      <c r="K47" s="80" t="s">
        <v>209</v>
      </c>
      <c r="L47" s="80" t="s">
        <v>204</v>
      </c>
      <c r="M47" s="80" t="s">
        <v>202</v>
      </c>
      <c r="N47" s="80" t="s">
        <v>202</v>
      </c>
      <c r="O47" s="80" t="s">
        <v>202</v>
      </c>
      <c r="P47" s="81" t="n">
        <v>45892</v>
      </c>
      <c r="Q47" s="81" t="n">
        <v>45892</v>
      </c>
      <c r="R47" s="80" t="s">
        <v>199</v>
      </c>
      <c r="S47" s="80" t="s">
        <v>103</v>
      </c>
      <c r="T47" s="81" t="n">
        <v>45893</v>
      </c>
      <c r="U47" s="80" t="s">
        <v>134</v>
      </c>
      <c r="V47" s="80" t="s">
        <v>103</v>
      </c>
      <c r="W47" s="80"/>
      <c r="X47" s="80"/>
      <c r="Y47" s="81"/>
      <c r="Z47" s="80"/>
      <c r="AA47" s="80"/>
      <c r="AB47" s="80"/>
      <c r="AC47" s="80"/>
      <c r="AD47" s="81"/>
      <c r="AE47" s="80"/>
      <c r="AF47" s="80"/>
      <c r="AG47" s="81"/>
      <c r="AH47" s="79"/>
      <c r="AI47" s="78" t="n">
        <f aca="false">IF(E47="","",(V47&lt;&gt;"")+(AA47&lt;&gt;"")+(AF47&lt;&gt;""))</f>
        <v>1</v>
      </c>
      <c r="AJ47" s="82" t="str">
        <f aca="false">IF(AF47&lt;&gt;"",AF47,IF(AA47&lt;&gt;"",AA47,IF(V47&lt;&gt;"",V47,"")))</f>
        <v>A</v>
      </c>
      <c r="AK47" s="83" t="str">
        <f aca="false">IF(E47="","",IF(P47="","À SOUDER",IF(S47="","VT EN ATTENTE",IF(S47="R","VT REJETÉ – À REPRENDRE",IF(AJ47="","À RADIOGRAPHIER",IF(AJ47="A","ACCEPTÉ",IF(AJ47="NX","NX – RT À REFAIRE",IF(IF(AI47=1,X47,IF(AI47=2,AC47,""))="A","RÉPARÉ – À RADIOGRAPHIER",IF(IF(AI47=1,X47,IF(AI47=2,AC47,""))="R","VT REJETÉ – À REPRENDRE",IF(AJ47="CO","COUPE – À RESOUDER","À RÉPARER"))))))))))</f>
        <v>ACCEPTÉ</v>
      </c>
      <c r="AL47" s="82" t="str">
        <f aca="false">IF(AND(ISNUMBER(P47),OR(AK47="À RADIOGRAPHIER",AK47="RÉPARÉ – À RADIOGRAPHIER",AK47="NX – RT À REFAIRE",AK47="À RÉPARER",AK47="COUPE – À RESOUDER",AK47="VT REJETÉ – À REPRENDRE")),MAX(0,'PROGRAMME RT'!$C$4-P47),"")</f>
        <v/>
      </c>
      <c r="AM47" s="78" t="n">
        <f aca="false">IF(AND(OR(AK47="À RADIOGRAPHIER",AK47="RÉPARÉ – À RADIOGRAPHIER",AK47="NX – RT À REFAIRE"),OR('PROGRAMME RT'!$D$5="TOUTES",B47='PROGRAMME RT'!$D$5)),1,0)</f>
        <v>0</v>
      </c>
      <c r="AN47" s="78" t="str">
        <f aca="false">IF(AM47=1,SUM(AM$7:AM47),"")</f>
        <v/>
      </c>
      <c r="AO47" s="78" t="n">
        <f aca="false">IF(AND(OR(AK47="À RÉPARER",AK47="COUPE – À RESOUDER",AK47="VT REJETÉ – À REPRENDRE"),OR(RÉPARATIONS!$D$5="TOUTES",B47=RÉPARATIONS!$D$5)),1,0)</f>
        <v>0</v>
      </c>
      <c r="AP47" s="78" t="str">
        <f aca="false">IF(AO47=1,SUM(AO$7:AO47),"")</f>
        <v/>
      </c>
    </row>
    <row r="48" customFormat="false" ht="15" hidden="false" customHeight="false" outlineLevel="0" collapsed="false">
      <c r="A48" s="78" t="n">
        <f aca="false">IF(E48="","",ROW()-6)</f>
        <v>42</v>
      </c>
      <c r="B48" s="79" t="s">
        <v>100</v>
      </c>
      <c r="C48" s="80" t="s">
        <v>169</v>
      </c>
      <c r="D48" s="80" t="s">
        <v>101</v>
      </c>
      <c r="E48" s="80" t="s">
        <v>211</v>
      </c>
      <c r="F48" s="80" t="s">
        <v>149</v>
      </c>
      <c r="G48" s="80" t="s">
        <v>104</v>
      </c>
      <c r="H48" s="80" t="n">
        <v>11</v>
      </c>
      <c r="I48" s="80" t="s">
        <v>112</v>
      </c>
      <c r="J48" s="80" t="s">
        <v>130</v>
      </c>
      <c r="K48" s="80" t="s">
        <v>204</v>
      </c>
      <c r="L48" s="80" t="s">
        <v>212</v>
      </c>
      <c r="M48" s="80" t="s">
        <v>139</v>
      </c>
      <c r="N48" s="80" t="s">
        <v>139</v>
      </c>
      <c r="O48" s="80" t="s">
        <v>123</v>
      </c>
      <c r="P48" s="81" t="n">
        <v>45878</v>
      </c>
      <c r="Q48" s="81" t="n">
        <v>45878</v>
      </c>
      <c r="R48" s="80" t="s">
        <v>192</v>
      </c>
      <c r="S48" s="80" t="s">
        <v>103</v>
      </c>
      <c r="T48" s="81" t="n">
        <v>45889</v>
      </c>
      <c r="U48" s="80" t="s">
        <v>183</v>
      </c>
      <c r="V48" s="80" t="s">
        <v>103</v>
      </c>
      <c r="W48" s="80"/>
      <c r="X48" s="80"/>
      <c r="Y48" s="81"/>
      <c r="Z48" s="80"/>
      <c r="AA48" s="80"/>
      <c r="AB48" s="80"/>
      <c r="AC48" s="80"/>
      <c r="AD48" s="81"/>
      <c r="AE48" s="80"/>
      <c r="AF48" s="80"/>
      <c r="AG48" s="81"/>
      <c r="AH48" s="79"/>
      <c r="AI48" s="78" t="n">
        <f aca="false">IF(E48="","",(V48&lt;&gt;"")+(AA48&lt;&gt;"")+(AF48&lt;&gt;""))</f>
        <v>1</v>
      </c>
      <c r="AJ48" s="82" t="str">
        <f aca="false">IF(AF48&lt;&gt;"",AF48,IF(AA48&lt;&gt;"",AA48,IF(V48&lt;&gt;"",V48,"")))</f>
        <v>A</v>
      </c>
      <c r="AK48" s="83" t="str">
        <f aca="false">IF(E48="","",IF(P48="","À SOUDER",IF(S48="","VT EN ATTENTE",IF(S48="R","VT REJETÉ – À REPRENDRE",IF(AJ48="","À RADIOGRAPHIER",IF(AJ48="A","ACCEPTÉ",IF(AJ48="NX","NX – RT À REFAIRE",IF(IF(AI48=1,X48,IF(AI48=2,AC48,""))="A","RÉPARÉ – À RADIOGRAPHIER",IF(IF(AI48=1,X48,IF(AI48=2,AC48,""))="R","VT REJETÉ – À REPRENDRE",IF(AJ48="CO","COUPE – À RESOUDER","À RÉPARER"))))))))))</f>
        <v>ACCEPTÉ</v>
      </c>
      <c r="AL48" s="82" t="str">
        <f aca="false">IF(AND(ISNUMBER(P48),OR(AK48="À RADIOGRAPHIER",AK48="RÉPARÉ – À RADIOGRAPHIER",AK48="NX – RT À REFAIRE",AK48="À RÉPARER",AK48="COUPE – À RESOUDER",AK48="VT REJETÉ – À REPRENDRE")),MAX(0,'PROGRAMME RT'!$C$4-P48),"")</f>
        <v/>
      </c>
      <c r="AM48" s="78" t="n">
        <f aca="false">IF(AND(OR(AK48="À RADIOGRAPHIER",AK48="RÉPARÉ – À RADIOGRAPHIER",AK48="NX – RT À REFAIRE"),OR('PROGRAMME RT'!$D$5="TOUTES",B48='PROGRAMME RT'!$D$5)),1,0)</f>
        <v>0</v>
      </c>
      <c r="AN48" s="78" t="str">
        <f aca="false">IF(AM48=1,SUM(AM$7:AM48),"")</f>
        <v/>
      </c>
      <c r="AO48" s="78" t="n">
        <f aca="false">IF(AND(OR(AK48="À RÉPARER",AK48="COUPE – À RESOUDER",AK48="VT REJETÉ – À REPRENDRE"),OR(RÉPARATIONS!$D$5="TOUTES",B48=RÉPARATIONS!$D$5)),1,0)</f>
        <v>0</v>
      </c>
      <c r="AP48" s="78" t="str">
        <f aca="false">IF(AO48=1,SUM(AO$7:AO48),"")</f>
        <v/>
      </c>
    </row>
    <row r="49" customFormat="false" ht="15" hidden="false" customHeight="false" outlineLevel="0" collapsed="false">
      <c r="A49" s="78" t="n">
        <f aca="false">IF(E49="","",ROW()-6)</f>
        <v>43</v>
      </c>
      <c r="B49" s="79" t="s">
        <v>100</v>
      </c>
      <c r="C49" s="80" t="s">
        <v>169</v>
      </c>
      <c r="D49" s="80" t="s">
        <v>101</v>
      </c>
      <c r="E49" s="80" t="s">
        <v>213</v>
      </c>
      <c r="F49" s="80" t="s">
        <v>149</v>
      </c>
      <c r="G49" s="80" t="s">
        <v>104</v>
      </c>
      <c r="H49" s="80" t="n">
        <v>11</v>
      </c>
      <c r="I49" s="80" t="s">
        <v>112</v>
      </c>
      <c r="J49" s="80" t="s">
        <v>130</v>
      </c>
      <c r="K49" s="80" t="s">
        <v>212</v>
      </c>
      <c r="L49" s="80" t="s">
        <v>214</v>
      </c>
      <c r="M49" s="80" t="s">
        <v>139</v>
      </c>
      <c r="N49" s="80" t="s">
        <v>139</v>
      </c>
      <c r="O49" s="80" t="s">
        <v>123</v>
      </c>
      <c r="P49" s="81" t="n">
        <v>45878</v>
      </c>
      <c r="Q49" s="81" t="n">
        <v>45878</v>
      </c>
      <c r="R49" s="80" t="s">
        <v>192</v>
      </c>
      <c r="S49" s="80" t="s">
        <v>103</v>
      </c>
      <c r="T49" s="81" t="n">
        <v>45889</v>
      </c>
      <c r="U49" s="80" t="s">
        <v>183</v>
      </c>
      <c r="V49" s="80" t="s">
        <v>103</v>
      </c>
      <c r="W49" s="80"/>
      <c r="X49" s="80"/>
      <c r="Y49" s="81"/>
      <c r="Z49" s="80"/>
      <c r="AA49" s="80"/>
      <c r="AB49" s="80"/>
      <c r="AC49" s="80"/>
      <c r="AD49" s="81"/>
      <c r="AE49" s="80"/>
      <c r="AF49" s="80"/>
      <c r="AG49" s="81"/>
      <c r="AH49" s="79"/>
      <c r="AI49" s="78" t="n">
        <f aca="false">IF(E49="","",(V49&lt;&gt;"")+(AA49&lt;&gt;"")+(AF49&lt;&gt;""))</f>
        <v>1</v>
      </c>
      <c r="AJ49" s="82" t="str">
        <f aca="false">IF(AF49&lt;&gt;"",AF49,IF(AA49&lt;&gt;"",AA49,IF(V49&lt;&gt;"",V49,"")))</f>
        <v>A</v>
      </c>
      <c r="AK49" s="83" t="str">
        <f aca="false">IF(E49="","",IF(P49="","À SOUDER",IF(S49="","VT EN ATTENTE",IF(S49="R","VT REJETÉ – À REPRENDRE",IF(AJ49="","À RADIOGRAPHIER",IF(AJ49="A","ACCEPTÉ",IF(AJ49="NX","NX – RT À REFAIRE",IF(IF(AI49=1,X49,IF(AI49=2,AC49,""))="A","RÉPARÉ – À RADIOGRAPHIER",IF(IF(AI49=1,X49,IF(AI49=2,AC49,""))="R","VT REJETÉ – À REPRENDRE",IF(AJ49="CO","COUPE – À RESOUDER","À RÉPARER"))))))))))</f>
        <v>ACCEPTÉ</v>
      </c>
      <c r="AL49" s="82" t="str">
        <f aca="false">IF(AND(ISNUMBER(P49),OR(AK49="À RADIOGRAPHIER",AK49="RÉPARÉ – À RADIOGRAPHIER",AK49="NX – RT À REFAIRE",AK49="À RÉPARER",AK49="COUPE – À RESOUDER",AK49="VT REJETÉ – À REPRENDRE")),MAX(0,'PROGRAMME RT'!$C$4-P49),"")</f>
        <v/>
      </c>
      <c r="AM49" s="78" t="n">
        <f aca="false">IF(AND(OR(AK49="À RADIOGRAPHIER",AK49="RÉPARÉ – À RADIOGRAPHIER",AK49="NX – RT À REFAIRE"),OR('PROGRAMME RT'!$D$5="TOUTES",B49='PROGRAMME RT'!$D$5)),1,0)</f>
        <v>0</v>
      </c>
      <c r="AN49" s="78" t="str">
        <f aca="false">IF(AM49=1,SUM(AM$7:AM49),"")</f>
        <v/>
      </c>
      <c r="AO49" s="78" t="n">
        <f aca="false">IF(AND(OR(AK49="À RÉPARER",AK49="COUPE – À RESOUDER",AK49="VT REJETÉ – À REPRENDRE"),OR(RÉPARATIONS!$D$5="TOUTES",B49=RÉPARATIONS!$D$5)),1,0)</f>
        <v>0</v>
      </c>
      <c r="AP49" s="78" t="str">
        <f aca="false">IF(AO49=1,SUM(AO$7:AO49),"")</f>
        <v/>
      </c>
    </row>
    <row r="50" customFormat="false" ht="15" hidden="false" customHeight="false" outlineLevel="0" collapsed="false">
      <c r="A50" s="78" t="n">
        <f aca="false">IF(E50="","",ROW()-6)</f>
        <v>44</v>
      </c>
      <c r="B50" s="79" t="s">
        <v>100</v>
      </c>
      <c r="C50" s="80" t="s">
        <v>169</v>
      </c>
      <c r="D50" s="80" t="s">
        <v>101</v>
      </c>
      <c r="E50" s="80" t="s">
        <v>215</v>
      </c>
      <c r="F50" s="80" t="s">
        <v>149</v>
      </c>
      <c r="G50" s="80" t="s">
        <v>104</v>
      </c>
      <c r="H50" s="80" t="n">
        <v>11</v>
      </c>
      <c r="I50" s="80" t="s">
        <v>112</v>
      </c>
      <c r="J50" s="80" t="s">
        <v>130</v>
      </c>
      <c r="K50" s="80" t="s">
        <v>214</v>
      </c>
      <c r="L50" s="80" t="s">
        <v>216</v>
      </c>
      <c r="M50" s="80" t="s">
        <v>139</v>
      </c>
      <c r="N50" s="80" t="s">
        <v>139</v>
      </c>
      <c r="O50" s="80" t="s">
        <v>132</v>
      </c>
      <c r="P50" s="81" t="n">
        <v>45878</v>
      </c>
      <c r="Q50" s="81" t="n">
        <v>45878</v>
      </c>
      <c r="R50" s="80" t="s">
        <v>192</v>
      </c>
      <c r="S50" s="80" t="s">
        <v>103</v>
      </c>
      <c r="T50" s="81" t="n">
        <v>45889</v>
      </c>
      <c r="U50" s="80" t="s">
        <v>183</v>
      </c>
      <c r="V50" s="80" t="s">
        <v>103</v>
      </c>
      <c r="W50" s="80"/>
      <c r="X50" s="80"/>
      <c r="Y50" s="81"/>
      <c r="Z50" s="80"/>
      <c r="AA50" s="80"/>
      <c r="AB50" s="80"/>
      <c r="AC50" s="80"/>
      <c r="AD50" s="81"/>
      <c r="AE50" s="80"/>
      <c r="AF50" s="80"/>
      <c r="AG50" s="81"/>
      <c r="AH50" s="79"/>
      <c r="AI50" s="78" t="n">
        <f aca="false">IF(E50="","",(V50&lt;&gt;"")+(AA50&lt;&gt;"")+(AF50&lt;&gt;""))</f>
        <v>1</v>
      </c>
      <c r="AJ50" s="82" t="str">
        <f aca="false">IF(AF50&lt;&gt;"",AF50,IF(AA50&lt;&gt;"",AA50,IF(V50&lt;&gt;"",V50,"")))</f>
        <v>A</v>
      </c>
      <c r="AK50" s="83" t="str">
        <f aca="false">IF(E50="","",IF(P50="","À SOUDER",IF(S50="","VT EN ATTENTE",IF(S50="R","VT REJETÉ – À REPRENDRE",IF(AJ50="","À RADIOGRAPHIER",IF(AJ50="A","ACCEPTÉ",IF(AJ50="NX","NX – RT À REFAIRE",IF(IF(AI50=1,X50,IF(AI50=2,AC50,""))="A","RÉPARÉ – À RADIOGRAPHIER",IF(IF(AI50=1,X50,IF(AI50=2,AC50,""))="R","VT REJETÉ – À REPRENDRE",IF(AJ50="CO","COUPE – À RESOUDER","À RÉPARER"))))))))))</f>
        <v>ACCEPTÉ</v>
      </c>
      <c r="AL50" s="82" t="str">
        <f aca="false">IF(AND(ISNUMBER(P50),OR(AK50="À RADIOGRAPHIER",AK50="RÉPARÉ – À RADIOGRAPHIER",AK50="NX – RT À REFAIRE",AK50="À RÉPARER",AK50="COUPE – À RESOUDER",AK50="VT REJETÉ – À REPRENDRE")),MAX(0,'PROGRAMME RT'!$C$4-P50),"")</f>
        <v/>
      </c>
      <c r="AM50" s="78" t="n">
        <f aca="false">IF(AND(OR(AK50="À RADIOGRAPHIER",AK50="RÉPARÉ – À RADIOGRAPHIER",AK50="NX – RT À REFAIRE"),OR('PROGRAMME RT'!$D$5="TOUTES",B50='PROGRAMME RT'!$D$5)),1,0)</f>
        <v>0</v>
      </c>
      <c r="AN50" s="78" t="str">
        <f aca="false">IF(AM50=1,SUM(AM$7:AM50),"")</f>
        <v/>
      </c>
      <c r="AO50" s="78" t="n">
        <f aca="false">IF(AND(OR(AK50="À RÉPARER",AK50="COUPE – À RESOUDER",AK50="VT REJETÉ – À REPRENDRE"),OR(RÉPARATIONS!$D$5="TOUTES",B50=RÉPARATIONS!$D$5)),1,0)</f>
        <v>0</v>
      </c>
      <c r="AP50" s="78" t="str">
        <f aca="false">IF(AO50=1,SUM(AO$7:AO50),"")</f>
        <v/>
      </c>
    </row>
    <row r="51" customFormat="false" ht="15" hidden="false" customHeight="false" outlineLevel="0" collapsed="false">
      <c r="A51" s="78" t="n">
        <f aca="false">IF(E51="","",ROW()-6)</f>
        <v>45</v>
      </c>
      <c r="B51" s="79" t="s">
        <v>100</v>
      </c>
      <c r="C51" s="80" t="s">
        <v>169</v>
      </c>
      <c r="D51" s="80" t="s">
        <v>101</v>
      </c>
      <c r="E51" s="80" t="s">
        <v>217</v>
      </c>
      <c r="F51" s="80" t="s">
        <v>149</v>
      </c>
      <c r="G51" s="80" t="s">
        <v>104</v>
      </c>
      <c r="H51" s="80" t="n">
        <v>11</v>
      </c>
      <c r="I51" s="80" t="s">
        <v>112</v>
      </c>
      <c r="J51" s="80" t="s">
        <v>130</v>
      </c>
      <c r="K51" s="80" t="s">
        <v>216</v>
      </c>
      <c r="L51" s="80" t="s">
        <v>218</v>
      </c>
      <c r="M51" s="80" t="s">
        <v>139</v>
      </c>
      <c r="N51" s="80" t="s">
        <v>139</v>
      </c>
      <c r="O51" s="80" t="s">
        <v>132</v>
      </c>
      <c r="P51" s="81" t="n">
        <v>45878</v>
      </c>
      <c r="Q51" s="81" t="n">
        <v>45878</v>
      </c>
      <c r="R51" s="80" t="s">
        <v>192</v>
      </c>
      <c r="S51" s="80" t="s">
        <v>103</v>
      </c>
      <c r="T51" s="81" t="n">
        <v>45889</v>
      </c>
      <c r="U51" s="80" t="s">
        <v>183</v>
      </c>
      <c r="V51" s="80" t="s">
        <v>103</v>
      </c>
      <c r="W51" s="80"/>
      <c r="X51" s="80"/>
      <c r="Y51" s="81"/>
      <c r="Z51" s="80"/>
      <c r="AA51" s="80"/>
      <c r="AB51" s="80"/>
      <c r="AC51" s="80"/>
      <c r="AD51" s="81"/>
      <c r="AE51" s="80"/>
      <c r="AF51" s="80"/>
      <c r="AG51" s="81"/>
      <c r="AH51" s="79"/>
      <c r="AI51" s="78" t="n">
        <f aca="false">IF(E51="","",(V51&lt;&gt;"")+(AA51&lt;&gt;"")+(AF51&lt;&gt;""))</f>
        <v>1</v>
      </c>
      <c r="AJ51" s="82" t="str">
        <f aca="false">IF(AF51&lt;&gt;"",AF51,IF(AA51&lt;&gt;"",AA51,IF(V51&lt;&gt;"",V51,"")))</f>
        <v>A</v>
      </c>
      <c r="AK51" s="83" t="str">
        <f aca="false">IF(E51="","",IF(P51="","À SOUDER",IF(S51="","VT EN ATTENTE",IF(S51="R","VT REJETÉ – À REPRENDRE",IF(AJ51="","À RADIOGRAPHIER",IF(AJ51="A","ACCEPTÉ",IF(AJ51="NX","NX – RT À REFAIRE",IF(IF(AI51=1,X51,IF(AI51=2,AC51,""))="A","RÉPARÉ – À RADIOGRAPHIER",IF(IF(AI51=1,X51,IF(AI51=2,AC51,""))="R","VT REJETÉ – À REPRENDRE",IF(AJ51="CO","COUPE – À RESOUDER","À RÉPARER"))))))))))</f>
        <v>ACCEPTÉ</v>
      </c>
      <c r="AL51" s="82" t="str">
        <f aca="false">IF(AND(ISNUMBER(P51),OR(AK51="À RADIOGRAPHIER",AK51="RÉPARÉ – À RADIOGRAPHIER",AK51="NX – RT À REFAIRE",AK51="À RÉPARER",AK51="COUPE – À RESOUDER",AK51="VT REJETÉ – À REPRENDRE")),MAX(0,'PROGRAMME RT'!$C$4-P51),"")</f>
        <v/>
      </c>
      <c r="AM51" s="78" t="n">
        <f aca="false">IF(AND(OR(AK51="À RADIOGRAPHIER",AK51="RÉPARÉ – À RADIOGRAPHIER",AK51="NX – RT À REFAIRE"),OR('PROGRAMME RT'!$D$5="TOUTES",B51='PROGRAMME RT'!$D$5)),1,0)</f>
        <v>0</v>
      </c>
      <c r="AN51" s="78" t="str">
        <f aca="false">IF(AM51=1,SUM(AM$7:AM51),"")</f>
        <v/>
      </c>
      <c r="AO51" s="78" t="n">
        <f aca="false">IF(AND(OR(AK51="À RÉPARER",AK51="COUPE – À RESOUDER",AK51="VT REJETÉ – À REPRENDRE"),OR(RÉPARATIONS!$D$5="TOUTES",B51=RÉPARATIONS!$D$5)),1,0)</f>
        <v>0</v>
      </c>
      <c r="AP51" s="78" t="str">
        <f aca="false">IF(AO51=1,SUM(AO$7:AO51),"")</f>
        <v/>
      </c>
    </row>
    <row r="52" customFormat="false" ht="15" hidden="false" customHeight="false" outlineLevel="0" collapsed="false">
      <c r="A52" s="78" t="n">
        <f aca="false">IF(E52="","",ROW()-6)</f>
        <v>46</v>
      </c>
      <c r="B52" s="79" t="s">
        <v>100</v>
      </c>
      <c r="C52" s="80"/>
      <c r="D52" s="80" t="s">
        <v>101</v>
      </c>
      <c r="E52" s="80" t="s">
        <v>219</v>
      </c>
      <c r="F52" s="80" t="s">
        <v>149</v>
      </c>
      <c r="G52" s="80" t="s">
        <v>104</v>
      </c>
      <c r="H52" s="80" t="n">
        <v>11</v>
      </c>
      <c r="I52" s="80" t="s">
        <v>112</v>
      </c>
      <c r="J52" s="80" t="s">
        <v>113</v>
      </c>
      <c r="K52" s="80" t="s">
        <v>218</v>
      </c>
      <c r="L52" s="80" t="s">
        <v>220</v>
      </c>
      <c r="M52" s="80" t="s">
        <v>115</v>
      </c>
      <c r="N52" s="80" t="s">
        <v>115</v>
      </c>
      <c r="O52" s="80" t="s">
        <v>115</v>
      </c>
      <c r="P52" s="81" t="n">
        <v>45909</v>
      </c>
      <c r="Q52" s="81" t="n">
        <v>45909</v>
      </c>
      <c r="R52" s="80" t="s">
        <v>221</v>
      </c>
      <c r="S52" s="80" t="s">
        <v>103</v>
      </c>
      <c r="T52" s="81"/>
      <c r="U52" s="80"/>
      <c r="V52" s="80"/>
      <c r="W52" s="80"/>
      <c r="X52" s="80"/>
      <c r="Y52" s="81"/>
      <c r="Z52" s="80"/>
      <c r="AA52" s="80"/>
      <c r="AB52" s="80"/>
      <c r="AC52" s="80"/>
      <c r="AD52" s="81"/>
      <c r="AE52" s="80"/>
      <c r="AF52" s="80"/>
      <c r="AG52" s="81"/>
      <c r="AH52" s="79"/>
      <c r="AI52" s="78" t="n">
        <f aca="false">IF(E52="","",(V52&lt;&gt;"")+(AA52&lt;&gt;"")+(AF52&lt;&gt;""))</f>
        <v>0</v>
      </c>
      <c r="AJ52" s="82" t="str">
        <f aca="false">IF(AF52&lt;&gt;"",AF52,IF(AA52&lt;&gt;"",AA52,IF(V52&lt;&gt;"",V52,"")))</f>
        <v/>
      </c>
      <c r="AK52" s="83" t="str">
        <f aca="false">IF(E52="","",IF(P52="","À SOUDER",IF(S52="","VT EN ATTENTE",IF(S52="R","VT REJETÉ – À REPRENDRE",IF(AJ52="","À RADIOGRAPHIER",IF(AJ52="A","ACCEPTÉ",IF(AJ52="NX","NX – RT À REFAIRE",IF(IF(AI52=1,X52,IF(AI52=2,AC52,""))="A","RÉPARÉ – À RADIOGRAPHIER",IF(IF(AI52=1,X52,IF(AI52=2,AC52,""))="R","VT REJETÉ – À REPRENDRE",IF(AJ52="CO","COUPE – À RESOUDER","À RÉPARER"))))))))))</f>
        <v>À RADIOGRAPHIER</v>
      </c>
      <c r="AL52" s="82" t="n">
        <f aca="false">IF(AND(ISNUMBER(P52),OR(AK52="À RADIOGRAPHIER",AK52="RÉPARÉ – À RADIOGRAPHIER",AK52="NX – RT À REFAIRE",AK52="À RÉPARER",AK52="COUPE – À RESOUDER",AK52="VT REJETÉ – À REPRENDRE")),MAX(0,'PROGRAMME RT'!$C$4-P52),"")</f>
        <v>382</v>
      </c>
      <c r="AM52" s="78" t="n">
        <f aca="false">IF(AND(OR(AK52="À RADIOGRAPHIER",AK52="RÉPARÉ – À RADIOGRAPHIER",AK52="NX – RT À REFAIRE"),OR('PROGRAMME RT'!$D$5="TOUTES",B52='PROGRAMME RT'!$D$5)),1,0)</f>
        <v>1</v>
      </c>
      <c r="AN52" s="78" t="n">
        <f aca="false">IF(AM52=1,SUM(AM$7:AM52),"")</f>
        <v>1</v>
      </c>
      <c r="AO52" s="78" t="n">
        <f aca="false">IF(AND(OR(AK52="À RÉPARER",AK52="COUPE – À RESOUDER",AK52="VT REJETÉ – À REPRENDRE"),OR(RÉPARATIONS!$D$5="TOUTES",B52=RÉPARATIONS!$D$5)),1,0)</f>
        <v>0</v>
      </c>
      <c r="AP52" s="78" t="str">
        <f aca="false">IF(AO52=1,SUM(AO$7:AO52),"")</f>
        <v/>
      </c>
    </row>
    <row r="53" customFormat="false" ht="15" hidden="false" customHeight="false" outlineLevel="0" collapsed="false">
      <c r="A53" s="78" t="n">
        <f aca="false">IF(E53="","",ROW()-6)</f>
        <v>47</v>
      </c>
      <c r="B53" s="79" t="s">
        <v>100</v>
      </c>
      <c r="C53" s="80"/>
      <c r="D53" s="80" t="s">
        <v>101</v>
      </c>
      <c r="E53" s="80" t="s">
        <v>222</v>
      </c>
      <c r="F53" s="80" t="s">
        <v>149</v>
      </c>
      <c r="G53" s="80" t="s">
        <v>104</v>
      </c>
      <c r="H53" s="80" t="n">
        <v>11</v>
      </c>
      <c r="I53" s="80" t="s">
        <v>112</v>
      </c>
      <c r="J53" s="80" t="s">
        <v>113</v>
      </c>
      <c r="K53" s="80" t="s">
        <v>220</v>
      </c>
      <c r="L53" s="80" t="s">
        <v>223</v>
      </c>
      <c r="M53" s="80" t="s">
        <v>123</v>
      </c>
      <c r="N53" s="80" t="s">
        <v>123</v>
      </c>
      <c r="O53" s="80" t="s">
        <v>123</v>
      </c>
      <c r="P53" s="81" t="n">
        <v>45909</v>
      </c>
      <c r="Q53" s="81" t="n">
        <v>45909</v>
      </c>
      <c r="R53" s="80" t="s">
        <v>221</v>
      </c>
      <c r="S53" s="80" t="s">
        <v>103</v>
      </c>
      <c r="T53" s="81" t="n">
        <v>45915</v>
      </c>
      <c r="U53" s="80" t="s">
        <v>127</v>
      </c>
      <c r="V53" s="80" t="s">
        <v>103</v>
      </c>
      <c r="W53" s="80"/>
      <c r="X53" s="80"/>
      <c r="Y53" s="81"/>
      <c r="Z53" s="80"/>
      <c r="AA53" s="80"/>
      <c r="AB53" s="80"/>
      <c r="AC53" s="80"/>
      <c r="AD53" s="81"/>
      <c r="AE53" s="80"/>
      <c r="AF53" s="80"/>
      <c r="AG53" s="81"/>
      <c r="AH53" s="79"/>
      <c r="AI53" s="78" t="n">
        <f aca="false">IF(E53="","",(V53&lt;&gt;"")+(AA53&lt;&gt;"")+(AF53&lt;&gt;""))</f>
        <v>1</v>
      </c>
      <c r="AJ53" s="82" t="str">
        <f aca="false">IF(AF53&lt;&gt;"",AF53,IF(AA53&lt;&gt;"",AA53,IF(V53&lt;&gt;"",V53,"")))</f>
        <v>A</v>
      </c>
      <c r="AK53" s="83" t="str">
        <f aca="false">IF(E53="","",IF(P53="","À SOUDER",IF(S53="","VT EN ATTENTE",IF(S53="R","VT REJETÉ – À REPRENDRE",IF(AJ53="","À RADIOGRAPHIER",IF(AJ53="A","ACCEPTÉ",IF(AJ53="NX","NX – RT À REFAIRE",IF(IF(AI53=1,X53,IF(AI53=2,AC53,""))="A","RÉPARÉ – À RADIOGRAPHIER",IF(IF(AI53=1,X53,IF(AI53=2,AC53,""))="R","VT REJETÉ – À REPRENDRE",IF(AJ53="CO","COUPE – À RESOUDER","À RÉPARER"))))))))))</f>
        <v>ACCEPTÉ</v>
      </c>
      <c r="AL53" s="82" t="str">
        <f aca="false">IF(AND(ISNUMBER(P53),OR(AK53="À RADIOGRAPHIER",AK53="RÉPARÉ – À RADIOGRAPHIER",AK53="NX – RT À REFAIRE",AK53="À RÉPARER",AK53="COUPE – À RESOUDER",AK53="VT REJETÉ – À REPRENDRE")),MAX(0,'PROGRAMME RT'!$C$4-P53),"")</f>
        <v/>
      </c>
      <c r="AM53" s="78" t="n">
        <f aca="false">IF(AND(OR(AK53="À RADIOGRAPHIER",AK53="RÉPARÉ – À RADIOGRAPHIER",AK53="NX – RT À REFAIRE"),OR('PROGRAMME RT'!$D$5="TOUTES",B53='PROGRAMME RT'!$D$5)),1,0)</f>
        <v>0</v>
      </c>
      <c r="AN53" s="78" t="str">
        <f aca="false">IF(AM53=1,SUM(AM$7:AM53),"")</f>
        <v/>
      </c>
      <c r="AO53" s="78" t="n">
        <f aca="false">IF(AND(OR(AK53="À RÉPARER",AK53="COUPE – À RESOUDER",AK53="VT REJETÉ – À REPRENDRE"),OR(RÉPARATIONS!$D$5="TOUTES",B53=RÉPARATIONS!$D$5)),1,0)</f>
        <v>0</v>
      </c>
      <c r="AP53" s="78" t="str">
        <f aca="false">IF(AO53=1,SUM(AO$7:AO53),"")</f>
        <v/>
      </c>
    </row>
    <row r="54" customFormat="false" ht="15" hidden="false" customHeight="false" outlineLevel="0" collapsed="false">
      <c r="A54" s="78" t="n">
        <f aca="false">IF(E54="","",ROW()-6)</f>
        <v>48</v>
      </c>
      <c r="B54" s="79" t="s">
        <v>100</v>
      </c>
      <c r="C54" s="80"/>
      <c r="D54" s="80" t="s">
        <v>101</v>
      </c>
      <c r="E54" s="80" t="s">
        <v>224</v>
      </c>
      <c r="F54" s="80" t="s">
        <v>149</v>
      </c>
      <c r="G54" s="80" t="s">
        <v>104</v>
      </c>
      <c r="H54" s="80" t="n">
        <v>11</v>
      </c>
      <c r="I54" s="80" t="s">
        <v>112</v>
      </c>
      <c r="J54" s="80" t="s">
        <v>113</v>
      </c>
      <c r="K54" s="80" t="s">
        <v>223</v>
      </c>
      <c r="L54" s="80" t="s">
        <v>225</v>
      </c>
      <c r="M54" s="80" t="s">
        <v>139</v>
      </c>
      <c r="N54" s="80" t="s">
        <v>139</v>
      </c>
      <c r="O54" s="80" t="s">
        <v>139</v>
      </c>
      <c r="P54" s="81" t="n">
        <v>45909</v>
      </c>
      <c r="Q54" s="81" t="n">
        <v>45909</v>
      </c>
      <c r="R54" s="80" t="s">
        <v>221</v>
      </c>
      <c r="S54" s="80" t="s">
        <v>103</v>
      </c>
      <c r="T54" s="81" t="n">
        <v>45915</v>
      </c>
      <c r="U54" s="80" t="s">
        <v>127</v>
      </c>
      <c r="V54" s="80" t="s">
        <v>103</v>
      </c>
      <c r="W54" s="80"/>
      <c r="X54" s="80"/>
      <c r="Y54" s="81"/>
      <c r="Z54" s="80"/>
      <c r="AA54" s="80"/>
      <c r="AB54" s="80"/>
      <c r="AC54" s="80"/>
      <c r="AD54" s="81"/>
      <c r="AE54" s="80"/>
      <c r="AF54" s="80"/>
      <c r="AG54" s="81"/>
      <c r="AH54" s="79"/>
      <c r="AI54" s="78" t="n">
        <f aca="false">IF(E54="","",(V54&lt;&gt;"")+(AA54&lt;&gt;"")+(AF54&lt;&gt;""))</f>
        <v>1</v>
      </c>
      <c r="AJ54" s="82" t="str">
        <f aca="false">IF(AF54&lt;&gt;"",AF54,IF(AA54&lt;&gt;"",AA54,IF(V54&lt;&gt;"",V54,"")))</f>
        <v>A</v>
      </c>
      <c r="AK54" s="83" t="str">
        <f aca="false">IF(E54="","",IF(P54="","À SOUDER",IF(S54="","VT EN ATTENTE",IF(S54="R","VT REJETÉ – À REPRENDRE",IF(AJ54="","À RADIOGRAPHIER",IF(AJ54="A","ACCEPTÉ",IF(AJ54="NX","NX – RT À REFAIRE",IF(IF(AI54=1,X54,IF(AI54=2,AC54,""))="A","RÉPARÉ – À RADIOGRAPHIER",IF(IF(AI54=1,X54,IF(AI54=2,AC54,""))="R","VT REJETÉ – À REPRENDRE",IF(AJ54="CO","COUPE – À RESOUDER","À RÉPARER"))))))))))</f>
        <v>ACCEPTÉ</v>
      </c>
      <c r="AL54" s="82" t="str">
        <f aca="false">IF(AND(ISNUMBER(P54),OR(AK54="À RADIOGRAPHIER",AK54="RÉPARÉ – À RADIOGRAPHIER",AK54="NX – RT À REFAIRE",AK54="À RÉPARER",AK54="COUPE – À RESOUDER",AK54="VT REJETÉ – À REPRENDRE")),MAX(0,'PROGRAMME RT'!$C$4-P54),"")</f>
        <v/>
      </c>
      <c r="AM54" s="78" t="n">
        <f aca="false">IF(AND(OR(AK54="À RADIOGRAPHIER",AK54="RÉPARÉ – À RADIOGRAPHIER",AK54="NX – RT À REFAIRE"),OR('PROGRAMME RT'!$D$5="TOUTES",B54='PROGRAMME RT'!$D$5)),1,0)</f>
        <v>0</v>
      </c>
      <c r="AN54" s="78" t="str">
        <f aca="false">IF(AM54=1,SUM(AM$7:AM54),"")</f>
        <v/>
      </c>
      <c r="AO54" s="78" t="n">
        <f aca="false">IF(AND(OR(AK54="À RÉPARER",AK54="COUPE – À RESOUDER",AK54="VT REJETÉ – À REPRENDRE"),OR(RÉPARATIONS!$D$5="TOUTES",B54=RÉPARATIONS!$D$5)),1,0)</f>
        <v>0</v>
      </c>
      <c r="AP54" s="78" t="str">
        <f aca="false">IF(AO54=1,SUM(AO$7:AO54),"")</f>
        <v/>
      </c>
    </row>
    <row r="55" customFormat="false" ht="15" hidden="false" customHeight="false" outlineLevel="0" collapsed="false">
      <c r="A55" s="78" t="n">
        <f aca="false">IF(E55="","",ROW()-6)</f>
        <v>49</v>
      </c>
      <c r="B55" s="79" t="s">
        <v>100</v>
      </c>
      <c r="C55" s="80"/>
      <c r="D55" s="80" t="s">
        <v>226</v>
      </c>
      <c r="E55" s="80" t="s">
        <v>227</v>
      </c>
      <c r="F55" s="80"/>
      <c r="G55" s="80"/>
      <c r="H55" s="80"/>
      <c r="I55" s="80"/>
      <c r="J55" s="80"/>
      <c r="K55" s="80" t="s">
        <v>228</v>
      </c>
      <c r="L55" s="80"/>
      <c r="M55" s="80"/>
      <c r="N55" s="80"/>
      <c r="O55" s="80"/>
      <c r="P55" s="81"/>
      <c r="Q55" s="81" t="n">
        <v>45909</v>
      </c>
      <c r="R55" s="80" t="s">
        <v>221</v>
      </c>
      <c r="S55" s="80"/>
      <c r="T55" s="81"/>
      <c r="U55" s="80"/>
      <c r="V55" s="80"/>
      <c r="W55" s="80"/>
      <c r="X55" s="80"/>
      <c r="Y55" s="81"/>
      <c r="Z55" s="80"/>
      <c r="AA55" s="80"/>
      <c r="AB55" s="80"/>
      <c r="AC55" s="80"/>
      <c r="AD55" s="81"/>
      <c r="AE55" s="80"/>
      <c r="AF55" s="80"/>
      <c r="AG55" s="81"/>
      <c r="AH55" s="79"/>
      <c r="AI55" s="78" t="n">
        <f aca="false">IF(E55="","",(V55&lt;&gt;"")+(AA55&lt;&gt;"")+(AF55&lt;&gt;""))</f>
        <v>0</v>
      </c>
      <c r="AJ55" s="82" t="str">
        <f aca="false">IF(AF55&lt;&gt;"",AF55,IF(AA55&lt;&gt;"",AA55,IF(V55&lt;&gt;"",V55,"")))</f>
        <v/>
      </c>
      <c r="AK55" s="83" t="str">
        <f aca="false">IF(E55="","",IF(P55="","À SOUDER",IF(S55="","VT EN ATTENTE",IF(S55="R","VT REJETÉ – À REPRENDRE",IF(AJ55="","À RADIOGRAPHIER",IF(AJ55="A","ACCEPTÉ",IF(AJ55="NX","NX – RT À REFAIRE",IF(IF(AI55=1,X55,IF(AI55=2,AC55,""))="A","RÉPARÉ – À RADIOGRAPHIER",IF(IF(AI55=1,X55,IF(AI55=2,AC55,""))="R","VT REJETÉ – À REPRENDRE",IF(AJ55="CO","COUPE – À RESOUDER","À RÉPARER"))))))))))</f>
        <v>À SOUDER</v>
      </c>
      <c r="AL55" s="82" t="str">
        <f aca="false">IF(AND(ISNUMBER(P55),OR(AK55="À RADIOGRAPHIER",AK55="RÉPARÉ – À RADIOGRAPHIER",AK55="NX – RT À REFAIRE",AK55="À RÉPARER",AK55="COUPE – À RESOUDER",AK55="VT REJETÉ – À REPRENDRE")),MAX(0,'PROGRAMME RT'!$C$4-P55),"")</f>
        <v/>
      </c>
      <c r="AM55" s="78" t="n">
        <f aca="false">IF(AND(OR(AK55="À RADIOGRAPHIER",AK55="RÉPARÉ – À RADIOGRAPHIER",AK55="NX – RT À REFAIRE"),OR('PROGRAMME RT'!$D$5="TOUTES",B55='PROGRAMME RT'!$D$5)),1,0)</f>
        <v>0</v>
      </c>
      <c r="AN55" s="78" t="str">
        <f aca="false">IF(AM55=1,SUM(AM$7:AM55),"")</f>
        <v/>
      </c>
      <c r="AO55" s="78" t="n">
        <f aca="false">IF(AND(OR(AK55="À RÉPARER",AK55="COUPE – À RESOUDER",AK55="VT REJETÉ – À REPRENDRE"),OR(RÉPARATIONS!$D$5="TOUTES",B55=RÉPARATIONS!$D$5)),1,0)</f>
        <v>0</v>
      </c>
      <c r="AP55" s="78" t="str">
        <f aca="false">IF(AO55=1,SUM(AO$7:AO55),"")</f>
        <v/>
      </c>
    </row>
    <row r="56" customFormat="false" ht="15" hidden="false" customHeight="false" outlineLevel="0" collapsed="false">
      <c r="A56" s="78" t="n">
        <f aca="false">IF(E56="","",ROW()-6)</f>
        <v>50</v>
      </c>
      <c r="B56" s="79" t="s">
        <v>100</v>
      </c>
      <c r="C56" s="80" t="s">
        <v>229</v>
      </c>
      <c r="D56" s="80" t="s">
        <v>101</v>
      </c>
      <c r="E56" s="80" t="s">
        <v>230</v>
      </c>
      <c r="F56" s="80" t="s">
        <v>149</v>
      </c>
      <c r="G56" s="80" t="s">
        <v>104</v>
      </c>
      <c r="H56" s="80" t="n">
        <v>11</v>
      </c>
      <c r="I56" s="80" t="s">
        <v>112</v>
      </c>
      <c r="J56" s="80" t="s">
        <v>130</v>
      </c>
      <c r="K56" s="80" t="s">
        <v>225</v>
      </c>
      <c r="L56" s="80" t="s">
        <v>231</v>
      </c>
      <c r="M56" s="80" t="s">
        <v>139</v>
      </c>
      <c r="N56" s="80" t="s">
        <v>139</v>
      </c>
      <c r="O56" s="80" t="s">
        <v>132</v>
      </c>
      <c r="P56" s="81" t="n">
        <v>45878</v>
      </c>
      <c r="Q56" s="81" t="n">
        <v>45878</v>
      </c>
      <c r="R56" s="80" t="s">
        <v>192</v>
      </c>
      <c r="S56" s="80" t="s">
        <v>103</v>
      </c>
      <c r="T56" s="81" t="n">
        <v>45889</v>
      </c>
      <c r="U56" s="80" t="s">
        <v>183</v>
      </c>
      <c r="V56" s="80" t="s">
        <v>103</v>
      </c>
      <c r="W56" s="80"/>
      <c r="X56" s="80"/>
      <c r="Y56" s="81"/>
      <c r="Z56" s="80"/>
      <c r="AA56" s="80"/>
      <c r="AB56" s="80"/>
      <c r="AC56" s="80"/>
      <c r="AD56" s="81"/>
      <c r="AE56" s="80"/>
      <c r="AF56" s="80"/>
      <c r="AG56" s="81"/>
      <c r="AH56" s="79"/>
      <c r="AI56" s="78" t="n">
        <f aca="false">IF(E56="","",(V56&lt;&gt;"")+(AA56&lt;&gt;"")+(AF56&lt;&gt;""))</f>
        <v>1</v>
      </c>
      <c r="AJ56" s="82" t="str">
        <f aca="false">IF(AF56&lt;&gt;"",AF56,IF(AA56&lt;&gt;"",AA56,IF(V56&lt;&gt;"",V56,"")))</f>
        <v>A</v>
      </c>
      <c r="AK56" s="83" t="str">
        <f aca="false">IF(E56="","",IF(P56="","À SOUDER",IF(S56="","VT EN ATTENTE",IF(S56="R","VT REJETÉ – À REPRENDRE",IF(AJ56="","À RADIOGRAPHIER",IF(AJ56="A","ACCEPTÉ",IF(AJ56="NX","NX – RT À REFAIRE",IF(IF(AI56=1,X56,IF(AI56=2,AC56,""))="A","RÉPARÉ – À RADIOGRAPHIER",IF(IF(AI56=1,X56,IF(AI56=2,AC56,""))="R","VT REJETÉ – À REPRENDRE",IF(AJ56="CO","COUPE – À RESOUDER","À RÉPARER"))))))))))</f>
        <v>ACCEPTÉ</v>
      </c>
      <c r="AL56" s="82" t="str">
        <f aca="false">IF(AND(ISNUMBER(P56),OR(AK56="À RADIOGRAPHIER",AK56="RÉPARÉ – À RADIOGRAPHIER",AK56="NX – RT À REFAIRE",AK56="À RÉPARER",AK56="COUPE – À RESOUDER",AK56="VT REJETÉ – À REPRENDRE")),MAX(0,'PROGRAMME RT'!$C$4-P56),"")</f>
        <v/>
      </c>
      <c r="AM56" s="78" t="n">
        <f aca="false">IF(AND(OR(AK56="À RADIOGRAPHIER",AK56="RÉPARÉ – À RADIOGRAPHIER",AK56="NX – RT À REFAIRE"),OR('PROGRAMME RT'!$D$5="TOUTES",B56='PROGRAMME RT'!$D$5)),1,0)</f>
        <v>0</v>
      </c>
      <c r="AN56" s="78" t="str">
        <f aca="false">IF(AM56=1,SUM(AM$7:AM56),"")</f>
        <v/>
      </c>
      <c r="AO56" s="78" t="n">
        <f aca="false">IF(AND(OR(AK56="À RÉPARER",AK56="COUPE – À RESOUDER",AK56="VT REJETÉ – À REPRENDRE"),OR(RÉPARATIONS!$D$5="TOUTES",B56=RÉPARATIONS!$D$5)),1,0)</f>
        <v>0</v>
      </c>
      <c r="AP56" s="78" t="str">
        <f aca="false">IF(AO56=1,SUM(AO$7:AO56),"")</f>
        <v/>
      </c>
    </row>
    <row r="57" customFormat="false" ht="15" hidden="false" customHeight="false" outlineLevel="0" collapsed="false">
      <c r="A57" s="78" t="n">
        <f aca="false">IF(E57="","",ROW()-6)</f>
        <v>51</v>
      </c>
      <c r="B57" s="79" t="s">
        <v>100</v>
      </c>
      <c r="C57" s="80" t="s">
        <v>229</v>
      </c>
      <c r="D57" s="80" t="s">
        <v>101</v>
      </c>
      <c r="E57" s="80" t="s">
        <v>232</v>
      </c>
      <c r="F57" s="80" t="s">
        <v>149</v>
      </c>
      <c r="G57" s="80" t="s">
        <v>104</v>
      </c>
      <c r="H57" s="80" t="n">
        <v>11</v>
      </c>
      <c r="I57" s="80" t="s">
        <v>112</v>
      </c>
      <c r="J57" s="80" t="s">
        <v>130</v>
      </c>
      <c r="K57" s="80" t="s">
        <v>231</v>
      </c>
      <c r="L57" s="80" t="s">
        <v>233</v>
      </c>
      <c r="M57" s="80" t="s">
        <v>139</v>
      </c>
      <c r="N57" s="80" t="s">
        <v>139</v>
      </c>
      <c r="O57" s="80" t="s">
        <v>123</v>
      </c>
      <c r="P57" s="81" t="n">
        <v>45878</v>
      </c>
      <c r="Q57" s="81" t="n">
        <v>45878</v>
      </c>
      <c r="R57" s="80" t="s">
        <v>192</v>
      </c>
      <c r="S57" s="80" t="s">
        <v>103</v>
      </c>
      <c r="T57" s="81" t="n">
        <v>45889</v>
      </c>
      <c r="U57" s="80" t="s">
        <v>183</v>
      </c>
      <c r="V57" s="80" t="s">
        <v>103</v>
      </c>
      <c r="W57" s="80"/>
      <c r="X57" s="80"/>
      <c r="Y57" s="81"/>
      <c r="Z57" s="80"/>
      <c r="AA57" s="80"/>
      <c r="AB57" s="80"/>
      <c r="AC57" s="80"/>
      <c r="AD57" s="81"/>
      <c r="AE57" s="80"/>
      <c r="AF57" s="80"/>
      <c r="AG57" s="81"/>
      <c r="AH57" s="79"/>
      <c r="AI57" s="78" t="n">
        <f aca="false">IF(E57="","",(V57&lt;&gt;"")+(AA57&lt;&gt;"")+(AF57&lt;&gt;""))</f>
        <v>1</v>
      </c>
      <c r="AJ57" s="82" t="str">
        <f aca="false">IF(AF57&lt;&gt;"",AF57,IF(AA57&lt;&gt;"",AA57,IF(V57&lt;&gt;"",V57,"")))</f>
        <v>A</v>
      </c>
      <c r="AK57" s="83" t="str">
        <f aca="false">IF(E57="","",IF(P57="","À SOUDER",IF(S57="","VT EN ATTENTE",IF(S57="R","VT REJETÉ – À REPRENDRE",IF(AJ57="","À RADIOGRAPHIER",IF(AJ57="A","ACCEPTÉ",IF(AJ57="NX","NX – RT À REFAIRE",IF(IF(AI57=1,X57,IF(AI57=2,AC57,""))="A","RÉPARÉ – À RADIOGRAPHIER",IF(IF(AI57=1,X57,IF(AI57=2,AC57,""))="R","VT REJETÉ – À REPRENDRE",IF(AJ57="CO","COUPE – À RESOUDER","À RÉPARER"))))))))))</f>
        <v>ACCEPTÉ</v>
      </c>
      <c r="AL57" s="82" t="str">
        <f aca="false">IF(AND(ISNUMBER(P57),OR(AK57="À RADIOGRAPHIER",AK57="RÉPARÉ – À RADIOGRAPHIER",AK57="NX – RT À REFAIRE",AK57="À RÉPARER",AK57="COUPE – À RESOUDER",AK57="VT REJETÉ – À REPRENDRE")),MAX(0,'PROGRAMME RT'!$C$4-P57),"")</f>
        <v/>
      </c>
      <c r="AM57" s="78" t="n">
        <f aca="false">IF(AND(OR(AK57="À RADIOGRAPHIER",AK57="RÉPARÉ – À RADIOGRAPHIER",AK57="NX – RT À REFAIRE"),OR('PROGRAMME RT'!$D$5="TOUTES",B57='PROGRAMME RT'!$D$5)),1,0)</f>
        <v>0</v>
      </c>
      <c r="AN57" s="78" t="str">
        <f aca="false">IF(AM57=1,SUM(AM$7:AM57),"")</f>
        <v/>
      </c>
      <c r="AO57" s="78" t="n">
        <f aca="false">IF(AND(OR(AK57="À RÉPARER",AK57="COUPE – À RESOUDER",AK57="VT REJETÉ – À REPRENDRE"),OR(RÉPARATIONS!$D$5="TOUTES",B57=RÉPARATIONS!$D$5)),1,0)</f>
        <v>0</v>
      </c>
      <c r="AP57" s="78" t="str">
        <f aca="false">IF(AO57=1,SUM(AO$7:AO57),"")</f>
        <v/>
      </c>
    </row>
    <row r="58" customFormat="false" ht="15" hidden="false" customHeight="false" outlineLevel="0" collapsed="false">
      <c r="A58" s="78" t="n">
        <f aca="false">IF(E58="","",ROW()-6)</f>
        <v>52</v>
      </c>
      <c r="B58" s="79" t="s">
        <v>100</v>
      </c>
      <c r="C58" s="80" t="s">
        <v>229</v>
      </c>
      <c r="D58" s="80" t="s">
        <v>101</v>
      </c>
      <c r="E58" s="80" t="s">
        <v>234</v>
      </c>
      <c r="F58" s="80" t="s">
        <v>149</v>
      </c>
      <c r="G58" s="80" t="s">
        <v>104</v>
      </c>
      <c r="H58" s="80" t="n">
        <v>11</v>
      </c>
      <c r="I58" s="80" t="s">
        <v>112</v>
      </c>
      <c r="J58" s="80" t="s">
        <v>130</v>
      </c>
      <c r="K58" s="80" t="s">
        <v>233</v>
      </c>
      <c r="L58" s="80" t="s">
        <v>235</v>
      </c>
      <c r="M58" s="80" t="s">
        <v>139</v>
      </c>
      <c r="N58" s="80" t="s">
        <v>139</v>
      </c>
      <c r="O58" s="80" t="s">
        <v>123</v>
      </c>
      <c r="P58" s="81" t="n">
        <v>45878</v>
      </c>
      <c r="Q58" s="81" t="n">
        <v>45878</v>
      </c>
      <c r="R58" s="80" t="s">
        <v>192</v>
      </c>
      <c r="S58" s="80" t="s">
        <v>103</v>
      </c>
      <c r="T58" s="81" t="n">
        <v>45889</v>
      </c>
      <c r="U58" s="80" t="s">
        <v>183</v>
      </c>
      <c r="V58" s="80" t="s">
        <v>103</v>
      </c>
      <c r="W58" s="80"/>
      <c r="X58" s="80"/>
      <c r="Y58" s="81"/>
      <c r="Z58" s="80"/>
      <c r="AA58" s="80"/>
      <c r="AB58" s="80"/>
      <c r="AC58" s="80"/>
      <c r="AD58" s="81"/>
      <c r="AE58" s="80"/>
      <c r="AF58" s="80"/>
      <c r="AG58" s="81"/>
      <c r="AH58" s="79"/>
      <c r="AI58" s="78" t="n">
        <f aca="false">IF(E58="","",(V58&lt;&gt;"")+(AA58&lt;&gt;"")+(AF58&lt;&gt;""))</f>
        <v>1</v>
      </c>
      <c r="AJ58" s="82" t="str">
        <f aca="false">IF(AF58&lt;&gt;"",AF58,IF(AA58&lt;&gt;"",AA58,IF(V58&lt;&gt;"",V58,"")))</f>
        <v>A</v>
      </c>
      <c r="AK58" s="83" t="str">
        <f aca="false">IF(E58="","",IF(P58="","À SOUDER",IF(S58="","VT EN ATTENTE",IF(S58="R","VT REJETÉ – À REPRENDRE",IF(AJ58="","À RADIOGRAPHIER",IF(AJ58="A","ACCEPTÉ",IF(AJ58="NX","NX – RT À REFAIRE",IF(IF(AI58=1,X58,IF(AI58=2,AC58,""))="A","RÉPARÉ – À RADIOGRAPHIER",IF(IF(AI58=1,X58,IF(AI58=2,AC58,""))="R","VT REJETÉ – À REPRENDRE",IF(AJ58="CO","COUPE – À RESOUDER","À RÉPARER"))))))))))</f>
        <v>ACCEPTÉ</v>
      </c>
      <c r="AL58" s="82" t="str">
        <f aca="false">IF(AND(ISNUMBER(P58),OR(AK58="À RADIOGRAPHIER",AK58="RÉPARÉ – À RADIOGRAPHIER",AK58="NX – RT À REFAIRE",AK58="À RÉPARER",AK58="COUPE – À RESOUDER",AK58="VT REJETÉ – À REPRENDRE")),MAX(0,'PROGRAMME RT'!$C$4-P58),"")</f>
        <v/>
      </c>
      <c r="AM58" s="78" t="n">
        <f aca="false">IF(AND(OR(AK58="À RADIOGRAPHIER",AK58="RÉPARÉ – À RADIOGRAPHIER",AK58="NX – RT À REFAIRE"),OR('PROGRAMME RT'!$D$5="TOUTES",B58='PROGRAMME RT'!$D$5)),1,0)</f>
        <v>0</v>
      </c>
      <c r="AN58" s="78" t="str">
        <f aca="false">IF(AM58=1,SUM(AM$7:AM58),"")</f>
        <v/>
      </c>
      <c r="AO58" s="78" t="n">
        <f aca="false">IF(AND(OR(AK58="À RÉPARER",AK58="COUPE – À RESOUDER",AK58="VT REJETÉ – À REPRENDRE"),OR(RÉPARATIONS!$D$5="TOUTES",B58=RÉPARATIONS!$D$5)),1,0)</f>
        <v>0</v>
      </c>
      <c r="AP58" s="78" t="str">
        <f aca="false">IF(AO58=1,SUM(AO$7:AO58),"")</f>
        <v/>
      </c>
    </row>
    <row r="59" customFormat="false" ht="15" hidden="false" customHeight="false" outlineLevel="0" collapsed="false">
      <c r="A59" s="78" t="n">
        <f aca="false">IF(E59="","",ROW()-6)</f>
        <v>53</v>
      </c>
      <c r="B59" s="79" t="s">
        <v>100</v>
      </c>
      <c r="C59" s="80" t="s">
        <v>229</v>
      </c>
      <c r="D59" s="80" t="s">
        <v>101</v>
      </c>
      <c r="E59" s="80" t="s">
        <v>236</v>
      </c>
      <c r="F59" s="80" t="s">
        <v>149</v>
      </c>
      <c r="G59" s="80" t="s">
        <v>104</v>
      </c>
      <c r="H59" s="80" t="n">
        <v>11</v>
      </c>
      <c r="I59" s="80" t="s">
        <v>112</v>
      </c>
      <c r="J59" s="80" t="s">
        <v>130</v>
      </c>
      <c r="K59" s="80" t="s">
        <v>235</v>
      </c>
      <c r="L59" s="80" t="s">
        <v>237</v>
      </c>
      <c r="M59" s="80" t="s">
        <v>139</v>
      </c>
      <c r="N59" s="80" t="s">
        <v>139</v>
      </c>
      <c r="O59" s="80" t="s">
        <v>132</v>
      </c>
      <c r="P59" s="81" t="n">
        <v>45878</v>
      </c>
      <c r="Q59" s="81" t="n">
        <v>45878</v>
      </c>
      <c r="R59" s="80" t="s">
        <v>192</v>
      </c>
      <c r="S59" s="80" t="s">
        <v>103</v>
      </c>
      <c r="T59" s="81" t="n">
        <v>45889</v>
      </c>
      <c r="U59" s="80" t="s">
        <v>183</v>
      </c>
      <c r="V59" s="80" t="s">
        <v>103</v>
      </c>
      <c r="W59" s="80"/>
      <c r="X59" s="80"/>
      <c r="Y59" s="81"/>
      <c r="Z59" s="80"/>
      <c r="AA59" s="80"/>
      <c r="AB59" s="80"/>
      <c r="AC59" s="80"/>
      <c r="AD59" s="81"/>
      <c r="AE59" s="80"/>
      <c r="AF59" s="80"/>
      <c r="AG59" s="81"/>
      <c r="AH59" s="79"/>
      <c r="AI59" s="78" t="n">
        <f aca="false">IF(E59="","",(V59&lt;&gt;"")+(AA59&lt;&gt;"")+(AF59&lt;&gt;""))</f>
        <v>1</v>
      </c>
      <c r="AJ59" s="82" t="str">
        <f aca="false">IF(AF59&lt;&gt;"",AF59,IF(AA59&lt;&gt;"",AA59,IF(V59&lt;&gt;"",V59,"")))</f>
        <v>A</v>
      </c>
      <c r="AK59" s="83" t="str">
        <f aca="false">IF(E59="","",IF(P59="","À SOUDER",IF(S59="","VT EN ATTENTE",IF(S59="R","VT REJETÉ – À REPRENDRE",IF(AJ59="","À RADIOGRAPHIER",IF(AJ59="A","ACCEPTÉ",IF(AJ59="NX","NX – RT À REFAIRE",IF(IF(AI59=1,X59,IF(AI59=2,AC59,""))="A","RÉPARÉ – À RADIOGRAPHIER",IF(IF(AI59=1,X59,IF(AI59=2,AC59,""))="R","VT REJETÉ – À REPRENDRE",IF(AJ59="CO","COUPE – À RESOUDER","À RÉPARER"))))))))))</f>
        <v>ACCEPTÉ</v>
      </c>
      <c r="AL59" s="82" t="str">
        <f aca="false">IF(AND(ISNUMBER(P59),OR(AK59="À RADIOGRAPHIER",AK59="RÉPARÉ – À RADIOGRAPHIER",AK59="NX – RT À REFAIRE",AK59="À RÉPARER",AK59="COUPE – À RESOUDER",AK59="VT REJETÉ – À REPRENDRE")),MAX(0,'PROGRAMME RT'!$C$4-P59),"")</f>
        <v/>
      </c>
      <c r="AM59" s="78" t="n">
        <f aca="false">IF(AND(OR(AK59="À RADIOGRAPHIER",AK59="RÉPARÉ – À RADIOGRAPHIER",AK59="NX – RT À REFAIRE"),OR('PROGRAMME RT'!$D$5="TOUTES",B59='PROGRAMME RT'!$D$5)),1,0)</f>
        <v>0</v>
      </c>
      <c r="AN59" s="78" t="str">
        <f aca="false">IF(AM59=1,SUM(AM$7:AM59),"")</f>
        <v/>
      </c>
      <c r="AO59" s="78" t="n">
        <f aca="false">IF(AND(OR(AK59="À RÉPARER",AK59="COUPE – À RESOUDER",AK59="VT REJETÉ – À REPRENDRE"),OR(RÉPARATIONS!$D$5="TOUTES",B59=RÉPARATIONS!$D$5)),1,0)</f>
        <v>0</v>
      </c>
      <c r="AP59" s="78" t="str">
        <f aca="false">IF(AO59=1,SUM(AO$7:AO59),"")</f>
        <v/>
      </c>
    </row>
    <row r="60" customFormat="false" ht="15" hidden="false" customHeight="false" outlineLevel="0" collapsed="false">
      <c r="A60" s="78" t="n">
        <f aca="false">IF(E60="","",ROW()-6)</f>
        <v>54</v>
      </c>
      <c r="B60" s="79" t="s">
        <v>100</v>
      </c>
      <c r="C60" s="80" t="s">
        <v>229</v>
      </c>
      <c r="D60" s="80" t="s">
        <v>101</v>
      </c>
      <c r="E60" s="80" t="s">
        <v>238</v>
      </c>
      <c r="F60" s="80" t="s">
        <v>149</v>
      </c>
      <c r="G60" s="80" t="s">
        <v>104</v>
      </c>
      <c r="H60" s="80" t="n">
        <v>11</v>
      </c>
      <c r="I60" s="80" t="s">
        <v>112</v>
      </c>
      <c r="J60" s="80" t="s">
        <v>130</v>
      </c>
      <c r="K60" s="80" t="s">
        <v>237</v>
      </c>
      <c r="L60" s="80" t="s">
        <v>239</v>
      </c>
      <c r="M60" s="80" t="s">
        <v>139</v>
      </c>
      <c r="N60" s="80" t="s">
        <v>139</v>
      </c>
      <c r="O60" s="80" t="s">
        <v>123</v>
      </c>
      <c r="P60" s="81" t="n">
        <v>45879</v>
      </c>
      <c r="Q60" s="81" t="n">
        <v>45879</v>
      </c>
      <c r="R60" s="80" t="s">
        <v>240</v>
      </c>
      <c r="S60" s="80" t="s">
        <v>103</v>
      </c>
      <c r="T60" s="81" t="n">
        <v>45889</v>
      </c>
      <c r="U60" s="80" t="s">
        <v>183</v>
      </c>
      <c r="V60" s="80" t="s">
        <v>103</v>
      </c>
      <c r="W60" s="80"/>
      <c r="X60" s="80"/>
      <c r="Y60" s="81"/>
      <c r="Z60" s="80"/>
      <c r="AA60" s="80"/>
      <c r="AB60" s="80"/>
      <c r="AC60" s="80"/>
      <c r="AD60" s="81"/>
      <c r="AE60" s="80"/>
      <c r="AF60" s="80"/>
      <c r="AG60" s="81"/>
      <c r="AH60" s="79"/>
      <c r="AI60" s="78" t="n">
        <f aca="false">IF(E60="","",(V60&lt;&gt;"")+(AA60&lt;&gt;"")+(AF60&lt;&gt;""))</f>
        <v>1</v>
      </c>
      <c r="AJ60" s="82" t="str">
        <f aca="false">IF(AF60&lt;&gt;"",AF60,IF(AA60&lt;&gt;"",AA60,IF(V60&lt;&gt;"",V60,"")))</f>
        <v>A</v>
      </c>
      <c r="AK60" s="83" t="str">
        <f aca="false">IF(E60="","",IF(P60="","À SOUDER",IF(S60="","VT EN ATTENTE",IF(S60="R","VT REJETÉ – À REPRENDRE",IF(AJ60="","À RADIOGRAPHIER",IF(AJ60="A","ACCEPTÉ",IF(AJ60="NX","NX – RT À REFAIRE",IF(IF(AI60=1,X60,IF(AI60=2,AC60,""))="A","RÉPARÉ – À RADIOGRAPHIER",IF(IF(AI60=1,X60,IF(AI60=2,AC60,""))="R","VT REJETÉ – À REPRENDRE",IF(AJ60="CO","COUPE – À RESOUDER","À RÉPARER"))))))))))</f>
        <v>ACCEPTÉ</v>
      </c>
      <c r="AL60" s="82" t="str">
        <f aca="false">IF(AND(ISNUMBER(P60),OR(AK60="À RADIOGRAPHIER",AK60="RÉPARÉ – À RADIOGRAPHIER",AK60="NX – RT À REFAIRE",AK60="À RÉPARER",AK60="COUPE – À RESOUDER",AK60="VT REJETÉ – À REPRENDRE")),MAX(0,'PROGRAMME RT'!$C$4-P60),"")</f>
        <v/>
      </c>
      <c r="AM60" s="78" t="n">
        <f aca="false">IF(AND(OR(AK60="À RADIOGRAPHIER",AK60="RÉPARÉ – À RADIOGRAPHIER",AK60="NX – RT À REFAIRE"),OR('PROGRAMME RT'!$D$5="TOUTES",B60='PROGRAMME RT'!$D$5)),1,0)</f>
        <v>0</v>
      </c>
      <c r="AN60" s="78" t="str">
        <f aca="false">IF(AM60=1,SUM(AM$7:AM60),"")</f>
        <v/>
      </c>
      <c r="AO60" s="78" t="n">
        <f aca="false">IF(AND(OR(AK60="À RÉPARER",AK60="COUPE – À RESOUDER",AK60="VT REJETÉ – À REPRENDRE"),OR(RÉPARATIONS!$D$5="TOUTES",B60=RÉPARATIONS!$D$5)),1,0)</f>
        <v>0</v>
      </c>
      <c r="AP60" s="78" t="str">
        <f aca="false">IF(AO60=1,SUM(AO$7:AO60),"")</f>
        <v/>
      </c>
    </row>
    <row r="61" customFormat="false" ht="15" hidden="false" customHeight="false" outlineLevel="0" collapsed="false">
      <c r="A61" s="78" t="n">
        <f aca="false">IF(E61="","",ROW()-6)</f>
        <v>55</v>
      </c>
      <c r="B61" s="79" t="s">
        <v>100</v>
      </c>
      <c r="C61" s="80" t="s">
        <v>229</v>
      </c>
      <c r="D61" s="80" t="s">
        <v>101</v>
      </c>
      <c r="E61" s="80" t="s">
        <v>241</v>
      </c>
      <c r="F61" s="80" t="s">
        <v>149</v>
      </c>
      <c r="G61" s="80" t="s">
        <v>104</v>
      </c>
      <c r="H61" s="80" t="n">
        <v>11</v>
      </c>
      <c r="I61" s="80" t="s">
        <v>112</v>
      </c>
      <c r="J61" s="80" t="s">
        <v>130</v>
      </c>
      <c r="K61" s="80" t="s">
        <v>239</v>
      </c>
      <c r="L61" s="80" t="s">
        <v>242</v>
      </c>
      <c r="M61" s="80" t="s">
        <v>139</v>
      </c>
      <c r="N61" s="80" t="s">
        <v>139</v>
      </c>
      <c r="O61" s="80" t="s">
        <v>132</v>
      </c>
      <c r="P61" s="81" t="n">
        <v>45879</v>
      </c>
      <c r="Q61" s="81" t="n">
        <v>45879</v>
      </c>
      <c r="R61" s="80" t="s">
        <v>240</v>
      </c>
      <c r="S61" s="80" t="s">
        <v>103</v>
      </c>
      <c r="T61" s="81" t="n">
        <v>45889</v>
      </c>
      <c r="U61" s="80" t="s">
        <v>183</v>
      </c>
      <c r="V61" s="80" t="s">
        <v>103</v>
      </c>
      <c r="W61" s="80"/>
      <c r="X61" s="80"/>
      <c r="Y61" s="81"/>
      <c r="Z61" s="80"/>
      <c r="AA61" s="80"/>
      <c r="AB61" s="80"/>
      <c r="AC61" s="80"/>
      <c r="AD61" s="81"/>
      <c r="AE61" s="80"/>
      <c r="AF61" s="80"/>
      <c r="AG61" s="81"/>
      <c r="AH61" s="79"/>
      <c r="AI61" s="78" t="n">
        <f aca="false">IF(E61="","",(V61&lt;&gt;"")+(AA61&lt;&gt;"")+(AF61&lt;&gt;""))</f>
        <v>1</v>
      </c>
      <c r="AJ61" s="82" t="str">
        <f aca="false">IF(AF61&lt;&gt;"",AF61,IF(AA61&lt;&gt;"",AA61,IF(V61&lt;&gt;"",V61,"")))</f>
        <v>A</v>
      </c>
      <c r="AK61" s="83" t="str">
        <f aca="false">IF(E61="","",IF(P61="","À SOUDER",IF(S61="","VT EN ATTENTE",IF(S61="R","VT REJETÉ – À REPRENDRE",IF(AJ61="","À RADIOGRAPHIER",IF(AJ61="A","ACCEPTÉ",IF(AJ61="NX","NX – RT À REFAIRE",IF(IF(AI61=1,X61,IF(AI61=2,AC61,""))="A","RÉPARÉ – À RADIOGRAPHIER",IF(IF(AI61=1,X61,IF(AI61=2,AC61,""))="R","VT REJETÉ – À REPRENDRE",IF(AJ61="CO","COUPE – À RESOUDER","À RÉPARER"))))))))))</f>
        <v>ACCEPTÉ</v>
      </c>
      <c r="AL61" s="82" t="str">
        <f aca="false">IF(AND(ISNUMBER(P61),OR(AK61="À RADIOGRAPHIER",AK61="RÉPARÉ – À RADIOGRAPHIER",AK61="NX – RT À REFAIRE",AK61="À RÉPARER",AK61="COUPE – À RESOUDER",AK61="VT REJETÉ – À REPRENDRE")),MAX(0,'PROGRAMME RT'!$C$4-P61),"")</f>
        <v/>
      </c>
      <c r="AM61" s="78" t="n">
        <f aca="false">IF(AND(OR(AK61="À RADIOGRAPHIER",AK61="RÉPARÉ – À RADIOGRAPHIER",AK61="NX – RT À REFAIRE"),OR('PROGRAMME RT'!$D$5="TOUTES",B61='PROGRAMME RT'!$D$5)),1,0)</f>
        <v>0</v>
      </c>
      <c r="AN61" s="78" t="str">
        <f aca="false">IF(AM61=1,SUM(AM$7:AM61),"")</f>
        <v/>
      </c>
      <c r="AO61" s="78" t="n">
        <f aca="false">IF(AND(OR(AK61="À RÉPARER",AK61="COUPE – À RESOUDER",AK61="VT REJETÉ – À REPRENDRE"),OR(RÉPARATIONS!$D$5="TOUTES",B61=RÉPARATIONS!$D$5)),1,0)</f>
        <v>0</v>
      </c>
      <c r="AP61" s="78" t="str">
        <f aca="false">IF(AO61=1,SUM(AO$7:AO61),"")</f>
        <v/>
      </c>
    </row>
    <row r="62" customFormat="false" ht="15" hidden="false" customHeight="false" outlineLevel="0" collapsed="false">
      <c r="A62" s="78" t="n">
        <f aca="false">IF(E62="","",ROW()-6)</f>
        <v>56</v>
      </c>
      <c r="B62" s="79" t="s">
        <v>100</v>
      </c>
      <c r="C62" s="80" t="s">
        <v>229</v>
      </c>
      <c r="D62" s="80" t="s">
        <v>101</v>
      </c>
      <c r="E62" s="80" t="s">
        <v>243</v>
      </c>
      <c r="F62" s="80" t="s">
        <v>149</v>
      </c>
      <c r="G62" s="80" t="s">
        <v>104</v>
      </c>
      <c r="H62" s="80" t="n">
        <v>11</v>
      </c>
      <c r="I62" s="80" t="s">
        <v>112</v>
      </c>
      <c r="J62" s="80" t="s">
        <v>130</v>
      </c>
      <c r="K62" s="80" t="s">
        <v>242</v>
      </c>
      <c r="L62" s="80" t="s">
        <v>244</v>
      </c>
      <c r="M62" s="80" t="s">
        <v>139</v>
      </c>
      <c r="N62" s="80" t="s">
        <v>139</v>
      </c>
      <c r="O62" s="80" t="s">
        <v>123</v>
      </c>
      <c r="P62" s="81" t="n">
        <v>45879</v>
      </c>
      <c r="Q62" s="81" t="n">
        <v>45879</v>
      </c>
      <c r="R62" s="80" t="s">
        <v>240</v>
      </c>
      <c r="S62" s="80" t="s">
        <v>103</v>
      </c>
      <c r="T62" s="81" t="n">
        <v>45889</v>
      </c>
      <c r="U62" s="80" t="s">
        <v>183</v>
      </c>
      <c r="V62" s="80" t="s">
        <v>103</v>
      </c>
      <c r="W62" s="80"/>
      <c r="X62" s="80"/>
      <c r="Y62" s="81"/>
      <c r="Z62" s="80"/>
      <c r="AA62" s="80"/>
      <c r="AB62" s="80"/>
      <c r="AC62" s="80"/>
      <c r="AD62" s="81"/>
      <c r="AE62" s="80"/>
      <c r="AF62" s="80"/>
      <c r="AG62" s="81"/>
      <c r="AH62" s="79"/>
      <c r="AI62" s="78" t="n">
        <f aca="false">IF(E62="","",(V62&lt;&gt;"")+(AA62&lt;&gt;"")+(AF62&lt;&gt;""))</f>
        <v>1</v>
      </c>
      <c r="AJ62" s="82" t="str">
        <f aca="false">IF(AF62&lt;&gt;"",AF62,IF(AA62&lt;&gt;"",AA62,IF(V62&lt;&gt;"",V62,"")))</f>
        <v>A</v>
      </c>
      <c r="AK62" s="83" t="str">
        <f aca="false">IF(E62="","",IF(P62="","À SOUDER",IF(S62="","VT EN ATTENTE",IF(S62="R","VT REJETÉ – À REPRENDRE",IF(AJ62="","À RADIOGRAPHIER",IF(AJ62="A","ACCEPTÉ",IF(AJ62="NX","NX – RT À REFAIRE",IF(IF(AI62=1,X62,IF(AI62=2,AC62,""))="A","RÉPARÉ – À RADIOGRAPHIER",IF(IF(AI62=1,X62,IF(AI62=2,AC62,""))="R","VT REJETÉ – À REPRENDRE",IF(AJ62="CO","COUPE – À RESOUDER","À RÉPARER"))))))))))</f>
        <v>ACCEPTÉ</v>
      </c>
      <c r="AL62" s="82" t="str">
        <f aca="false">IF(AND(ISNUMBER(P62),OR(AK62="À RADIOGRAPHIER",AK62="RÉPARÉ – À RADIOGRAPHIER",AK62="NX – RT À REFAIRE",AK62="À RÉPARER",AK62="COUPE – À RESOUDER",AK62="VT REJETÉ – À REPRENDRE")),MAX(0,'PROGRAMME RT'!$C$4-P62),"")</f>
        <v/>
      </c>
      <c r="AM62" s="78" t="n">
        <f aca="false">IF(AND(OR(AK62="À RADIOGRAPHIER",AK62="RÉPARÉ – À RADIOGRAPHIER",AK62="NX – RT À REFAIRE"),OR('PROGRAMME RT'!$D$5="TOUTES",B62='PROGRAMME RT'!$D$5)),1,0)</f>
        <v>0</v>
      </c>
      <c r="AN62" s="78" t="str">
        <f aca="false">IF(AM62=1,SUM(AM$7:AM62),"")</f>
        <v/>
      </c>
      <c r="AO62" s="78" t="n">
        <f aca="false">IF(AND(OR(AK62="À RÉPARER",AK62="COUPE – À RESOUDER",AK62="VT REJETÉ – À REPRENDRE"),OR(RÉPARATIONS!$D$5="TOUTES",B62=RÉPARATIONS!$D$5)),1,0)</f>
        <v>0</v>
      </c>
      <c r="AP62" s="78" t="str">
        <f aca="false">IF(AO62=1,SUM(AO$7:AO62),"")</f>
        <v/>
      </c>
    </row>
    <row r="63" customFormat="false" ht="15" hidden="false" customHeight="false" outlineLevel="0" collapsed="false">
      <c r="A63" s="78" t="n">
        <f aca="false">IF(E63="","",ROW()-6)</f>
        <v>57</v>
      </c>
      <c r="B63" s="79" t="s">
        <v>100</v>
      </c>
      <c r="C63" s="80" t="s">
        <v>229</v>
      </c>
      <c r="D63" s="80" t="s">
        <v>101</v>
      </c>
      <c r="E63" s="80" t="s">
        <v>245</v>
      </c>
      <c r="F63" s="80" t="s">
        <v>149</v>
      </c>
      <c r="G63" s="80" t="s">
        <v>104</v>
      </c>
      <c r="H63" s="80" t="n">
        <v>11</v>
      </c>
      <c r="I63" s="80" t="s">
        <v>112</v>
      </c>
      <c r="J63" s="80" t="s">
        <v>130</v>
      </c>
      <c r="K63" s="80" t="s">
        <v>244</v>
      </c>
      <c r="L63" s="80" t="s">
        <v>246</v>
      </c>
      <c r="M63" s="80" t="s">
        <v>139</v>
      </c>
      <c r="N63" s="80" t="s">
        <v>139</v>
      </c>
      <c r="O63" s="80" t="s">
        <v>132</v>
      </c>
      <c r="P63" s="81" t="n">
        <v>45879</v>
      </c>
      <c r="Q63" s="81" t="n">
        <v>45879</v>
      </c>
      <c r="R63" s="80" t="s">
        <v>240</v>
      </c>
      <c r="S63" s="80" t="s">
        <v>103</v>
      </c>
      <c r="T63" s="81" t="n">
        <v>45890</v>
      </c>
      <c r="U63" s="80" t="s">
        <v>247</v>
      </c>
      <c r="V63" s="80" t="s">
        <v>103</v>
      </c>
      <c r="W63" s="80"/>
      <c r="X63" s="80"/>
      <c r="Y63" s="81"/>
      <c r="Z63" s="80"/>
      <c r="AA63" s="80"/>
      <c r="AB63" s="80"/>
      <c r="AC63" s="80"/>
      <c r="AD63" s="81"/>
      <c r="AE63" s="80"/>
      <c r="AF63" s="80"/>
      <c r="AG63" s="81"/>
      <c r="AH63" s="79"/>
      <c r="AI63" s="78" t="n">
        <f aca="false">IF(E63="","",(V63&lt;&gt;"")+(AA63&lt;&gt;"")+(AF63&lt;&gt;""))</f>
        <v>1</v>
      </c>
      <c r="AJ63" s="82" t="str">
        <f aca="false">IF(AF63&lt;&gt;"",AF63,IF(AA63&lt;&gt;"",AA63,IF(V63&lt;&gt;"",V63,"")))</f>
        <v>A</v>
      </c>
      <c r="AK63" s="83" t="str">
        <f aca="false">IF(E63="","",IF(P63="","À SOUDER",IF(S63="","VT EN ATTENTE",IF(S63="R","VT REJETÉ – À REPRENDRE",IF(AJ63="","À RADIOGRAPHIER",IF(AJ63="A","ACCEPTÉ",IF(AJ63="NX","NX – RT À REFAIRE",IF(IF(AI63=1,X63,IF(AI63=2,AC63,""))="A","RÉPARÉ – À RADIOGRAPHIER",IF(IF(AI63=1,X63,IF(AI63=2,AC63,""))="R","VT REJETÉ – À REPRENDRE",IF(AJ63="CO","COUPE – À RESOUDER","À RÉPARER"))))))))))</f>
        <v>ACCEPTÉ</v>
      </c>
      <c r="AL63" s="82" t="str">
        <f aca="false">IF(AND(ISNUMBER(P63),OR(AK63="À RADIOGRAPHIER",AK63="RÉPARÉ – À RADIOGRAPHIER",AK63="NX – RT À REFAIRE",AK63="À RÉPARER",AK63="COUPE – À RESOUDER",AK63="VT REJETÉ – À REPRENDRE")),MAX(0,'PROGRAMME RT'!$C$4-P63),"")</f>
        <v/>
      </c>
      <c r="AM63" s="78" t="n">
        <f aca="false">IF(AND(OR(AK63="À RADIOGRAPHIER",AK63="RÉPARÉ – À RADIOGRAPHIER",AK63="NX – RT À REFAIRE"),OR('PROGRAMME RT'!$D$5="TOUTES",B63='PROGRAMME RT'!$D$5)),1,0)</f>
        <v>0</v>
      </c>
      <c r="AN63" s="78" t="str">
        <f aca="false">IF(AM63=1,SUM(AM$7:AM63),"")</f>
        <v/>
      </c>
      <c r="AO63" s="78" t="n">
        <f aca="false">IF(AND(OR(AK63="À RÉPARER",AK63="COUPE – À RESOUDER",AK63="VT REJETÉ – À REPRENDRE"),OR(RÉPARATIONS!$D$5="TOUTES",B63=RÉPARATIONS!$D$5)),1,0)</f>
        <v>0</v>
      </c>
      <c r="AP63" s="78" t="str">
        <f aca="false">IF(AO63=1,SUM(AO$7:AO63),"")</f>
        <v/>
      </c>
    </row>
    <row r="64" customFormat="false" ht="15" hidden="false" customHeight="false" outlineLevel="0" collapsed="false">
      <c r="A64" s="78" t="n">
        <f aca="false">IF(E64="","",ROW()-6)</f>
        <v>58</v>
      </c>
      <c r="B64" s="79" t="s">
        <v>100</v>
      </c>
      <c r="C64" s="80" t="s">
        <v>229</v>
      </c>
      <c r="D64" s="80" t="s">
        <v>101</v>
      </c>
      <c r="E64" s="80" t="s">
        <v>248</v>
      </c>
      <c r="F64" s="80" t="s">
        <v>149</v>
      </c>
      <c r="G64" s="80" t="s">
        <v>104</v>
      </c>
      <c r="H64" s="80" t="n">
        <v>11</v>
      </c>
      <c r="I64" s="80" t="s">
        <v>112</v>
      </c>
      <c r="J64" s="80" t="s">
        <v>130</v>
      </c>
      <c r="K64" s="80" t="s">
        <v>246</v>
      </c>
      <c r="L64" s="80" t="s">
        <v>249</v>
      </c>
      <c r="M64" s="80" t="s">
        <v>139</v>
      </c>
      <c r="N64" s="80" t="s">
        <v>139</v>
      </c>
      <c r="O64" s="80" t="s">
        <v>123</v>
      </c>
      <c r="P64" s="81" t="n">
        <v>45879</v>
      </c>
      <c r="Q64" s="81" t="n">
        <v>45879</v>
      </c>
      <c r="R64" s="80" t="s">
        <v>240</v>
      </c>
      <c r="S64" s="80" t="s">
        <v>103</v>
      </c>
      <c r="T64" s="81" t="n">
        <v>45890</v>
      </c>
      <c r="U64" s="80" t="s">
        <v>247</v>
      </c>
      <c r="V64" s="80" t="s">
        <v>103</v>
      </c>
      <c r="W64" s="80"/>
      <c r="X64" s="80"/>
      <c r="Y64" s="81"/>
      <c r="Z64" s="80"/>
      <c r="AA64" s="80"/>
      <c r="AB64" s="80"/>
      <c r="AC64" s="80"/>
      <c r="AD64" s="81"/>
      <c r="AE64" s="80"/>
      <c r="AF64" s="80"/>
      <c r="AG64" s="81"/>
      <c r="AH64" s="79"/>
      <c r="AI64" s="78" t="n">
        <f aca="false">IF(E64="","",(V64&lt;&gt;"")+(AA64&lt;&gt;"")+(AF64&lt;&gt;""))</f>
        <v>1</v>
      </c>
      <c r="AJ64" s="82" t="str">
        <f aca="false">IF(AF64&lt;&gt;"",AF64,IF(AA64&lt;&gt;"",AA64,IF(V64&lt;&gt;"",V64,"")))</f>
        <v>A</v>
      </c>
      <c r="AK64" s="83" t="str">
        <f aca="false">IF(E64="","",IF(P64="","À SOUDER",IF(S64="","VT EN ATTENTE",IF(S64="R","VT REJETÉ – À REPRENDRE",IF(AJ64="","À RADIOGRAPHIER",IF(AJ64="A","ACCEPTÉ",IF(AJ64="NX","NX – RT À REFAIRE",IF(IF(AI64=1,X64,IF(AI64=2,AC64,""))="A","RÉPARÉ – À RADIOGRAPHIER",IF(IF(AI64=1,X64,IF(AI64=2,AC64,""))="R","VT REJETÉ – À REPRENDRE",IF(AJ64="CO","COUPE – À RESOUDER","À RÉPARER"))))))))))</f>
        <v>ACCEPTÉ</v>
      </c>
      <c r="AL64" s="82" t="str">
        <f aca="false">IF(AND(ISNUMBER(P64),OR(AK64="À RADIOGRAPHIER",AK64="RÉPARÉ – À RADIOGRAPHIER",AK64="NX – RT À REFAIRE",AK64="À RÉPARER",AK64="COUPE – À RESOUDER",AK64="VT REJETÉ – À REPRENDRE")),MAX(0,'PROGRAMME RT'!$C$4-P64),"")</f>
        <v/>
      </c>
      <c r="AM64" s="78" t="n">
        <f aca="false">IF(AND(OR(AK64="À RADIOGRAPHIER",AK64="RÉPARÉ – À RADIOGRAPHIER",AK64="NX – RT À REFAIRE"),OR('PROGRAMME RT'!$D$5="TOUTES",B64='PROGRAMME RT'!$D$5)),1,0)</f>
        <v>0</v>
      </c>
      <c r="AN64" s="78" t="str">
        <f aca="false">IF(AM64=1,SUM(AM$7:AM64),"")</f>
        <v/>
      </c>
      <c r="AO64" s="78" t="n">
        <f aca="false">IF(AND(OR(AK64="À RÉPARER",AK64="COUPE – À RESOUDER",AK64="VT REJETÉ – À REPRENDRE"),OR(RÉPARATIONS!$D$5="TOUTES",B64=RÉPARATIONS!$D$5)),1,0)</f>
        <v>0</v>
      </c>
      <c r="AP64" s="78" t="str">
        <f aca="false">IF(AO64=1,SUM(AO$7:AO64),"")</f>
        <v/>
      </c>
    </row>
    <row r="65" customFormat="false" ht="15" hidden="false" customHeight="false" outlineLevel="0" collapsed="false">
      <c r="A65" s="78" t="n">
        <f aca="false">IF(E65="","",ROW()-6)</f>
        <v>59</v>
      </c>
      <c r="B65" s="79" t="s">
        <v>100</v>
      </c>
      <c r="C65" s="80" t="s">
        <v>229</v>
      </c>
      <c r="D65" s="80" t="s">
        <v>101</v>
      </c>
      <c r="E65" s="80" t="s">
        <v>250</v>
      </c>
      <c r="F65" s="80" t="s">
        <v>149</v>
      </c>
      <c r="G65" s="80" t="s">
        <v>104</v>
      </c>
      <c r="H65" s="80" t="n">
        <v>11</v>
      </c>
      <c r="I65" s="80" t="s">
        <v>112</v>
      </c>
      <c r="J65" s="80" t="s">
        <v>130</v>
      </c>
      <c r="K65" s="80" t="s">
        <v>249</v>
      </c>
      <c r="L65" s="80" t="s">
        <v>251</v>
      </c>
      <c r="M65" s="80" t="s">
        <v>139</v>
      </c>
      <c r="N65" s="80" t="s">
        <v>139</v>
      </c>
      <c r="O65" s="80" t="s">
        <v>132</v>
      </c>
      <c r="P65" s="81" t="n">
        <v>45879</v>
      </c>
      <c r="Q65" s="81" t="n">
        <v>45879</v>
      </c>
      <c r="R65" s="80" t="s">
        <v>240</v>
      </c>
      <c r="S65" s="80" t="s">
        <v>103</v>
      </c>
      <c r="T65" s="81" t="n">
        <v>45890</v>
      </c>
      <c r="U65" s="80" t="s">
        <v>247</v>
      </c>
      <c r="V65" s="80" t="s">
        <v>103</v>
      </c>
      <c r="W65" s="80"/>
      <c r="X65" s="80"/>
      <c r="Y65" s="81"/>
      <c r="Z65" s="80"/>
      <c r="AA65" s="80"/>
      <c r="AB65" s="80"/>
      <c r="AC65" s="80"/>
      <c r="AD65" s="81"/>
      <c r="AE65" s="80"/>
      <c r="AF65" s="80"/>
      <c r="AG65" s="81"/>
      <c r="AH65" s="79"/>
      <c r="AI65" s="78" t="n">
        <f aca="false">IF(E65="","",(V65&lt;&gt;"")+(AA65&lt;&gt;"")+(AF65&lt;&gt;""))</f>
        <v>1</v>
      </c>
      <c r="AJ65" s="82" t="str">
        <f aca="false">IF(AF65&lt;&gt;"",AF65,IF(AA65&lt;&gt;"",AA65,IF(V65&lt;&gt;"",V65,"")))</f>
        <v>A</v>
      </c>
      <c r="AK65" s="83" t="str">
        <f aca="false">IF(E65="","",IF(P65="","À SOUDER",IF(S65="","VT EN ATTENTE",IF(S65="R","VT REJETÉ – À REPRENDRE",IF(AJ65="","À RADIOGRAPHIER",IF(AJ65="A","ACCEPTÉ",IF(AJ65="NX","NX – RT À REFAIRE",IF(IF(AI65=1,X65,IF(AI65=2,AC65,""))="A","RÉPARÉ – À RADIOGRAPHIER",IF(IF(AI65=1,X65,IF(AI65=2,AC65,""))="R","VT REJETÉ – À REPRENDRE",IF(AJ65="CO","COUPE – À RESOUDER","À RÉPARER"))))))))))</f>
        <v>ACCEPTÉ</v>
      </c>
      <c r="AL65" s="82" t="str">
        <f aca="false">IF(AND(ISNUMBER(P65),OR(AK65="À RADIOGRAPHIER",AK65="RÉPARÉ – À RADIOGRAPHIER",AK65="NX – RT À REFAIRE",AK65="À RÉPARER",AK65="COUPE – À RESOUDER",AK65="VT REJETÉ – À REPRENDRE")),MAX(0,'PROGRAMME RT'!$C$4-P65),"")</f>
        <v/>
      </c>
      <c r="AM65" s="78" t="n">
        <f aca="false">IF(AND(OR(AK65="À RADIOGRAPHIER",AK65="RÉPARÉ – À RADIOGRAPHIER",AK65="NX – RT À REFAIRE"),OR('PROGRAMME RT'!$D$5="TOUTES",B65='PROGRAMME RT'!$D$5)),1,0)</f>
        <v>0</v>
      </c>
      <c r="AN65" s="78" t="str">
        <f aca="false">IF(AM65=1,SUM(AM$7:AM65),"")</f>
        <v/>
      </c>
      <c r="AO65" s="78" t="n">
        <f aca="false">IF(AND(OR(AK65="À RÉPARER",AK65="COUPE – À RESOUDER",AK65="VT REJETÉ – À REPRENDRE"),OR(RÉPARATIONS!$D$5="TOUTES",B65=RÉPARATIONS!$D$5)),1,0)</f>
        <v>0</v>
      </c>
      <c r="AP65" s="78" t="str">
        <f aca="false">IF(AO65=1,SUM(AO$7:AO65),"")</f>
        <v/>
      </c>
    </row>
    <row r="66" customFormat="false" ht="15" hidden="false" customHeight="false" outlineLevel="0" collapsed="false">
      <c r="A66" s="78" t="n">
        <f aca="false">IF(E66="","",ROW()-6)</f>
        <v>60</v>
      </c>
      <c r="B66" s="79" t="s">
        <v>100</v>
      </c>
      <c r="C66" s="80" t="s">
        <v>229</v>
      </c>
      <c r="D66" s="80" t="s">
        <v>101</v>
      </c>
      <c r="E66" s="80" t="s">
        <v>252</v>
      </c>
      <c r="F66" s="80" t="s">
        <v>149</v>
      </c>
      <c r="G66" s="80" t="s">
        <v>104</v>
      </c>
      <c r="H66" s="80" t="n">
        <v>11</v>
      </c>
      <c r="I66" s="80" t="s">
        <v>112</v>
      </c>
      <c r="J66" s="80" t="s">
        <v>130</v>
      </c>
      <c r="K66" s="80" t="s">
        <v>251</v>
      </c>
      <c r="L66" s="80" t="s">
        <v>253</v>
      </c>
      <c r="M66" s="80" t="s">
        <v>139</v>
      </c>
      <c r="N66" s="80" t="s">
        <v>139</v>
      </c>
      <c r="O66" s="80" t="s">
        <v>123</v>
      </c>
      <c r="P66" s="81" t="n">
        <v>45879</v>
      </c>
      <c r="Q66" s="81" t="n">
        <v>45879</v>
      </c>
      <c r="R66" s="80" t="s">
        <v>240</v>
      </c>
      <c r="S66" s="80" t="s">
        <v>103</v>
      </c>
      <c r="T66" s="81" t="n">
        <v>45890</v>
      </c>
      <c r="U66" s="80" t="s">
        <v>247</v>
      </c>
      <c r="V66" s="80" t="s">
        <v>103</v>
      </c>
      <c r="W66" s="80"/>
      <c r="X66" s="80"/>
      <c r="Y66" s="81"/>
      <c r="Z66" s="80"/>
      <c r="AA66" s="80"/>
      <c r="AB66" s="80"/>
      <c r="AC66" s="80"/>
      <c r="AD66" s="81"/>
      <c r="AE66" s="80"/>
      <c r="AF66" s="80"/>
      <c r="AG66" s="81"/>
      <c r="AH66" s="79"/>
      <c r="AI66" s="78" t="n">
        <f aca="false">IF(E66="","",(V66&lt;&gt;"")+(AA66&lt;&gt;"")+(AF66&lt;&gt;""))</f>
        <v>1</v>
      </c>
      <c r="AJ66" s="82" t="str">
        <f aca="false">IF(AF66&lt;&gt;"",AF66,IF(AA66&lt;&gt;"",AA66,IF(V66&lt;&gt;"",V66,"")))</f>
        <v>A</v>
      </c>
      <c r="AK66" s="83" t="str">
        <f aca="false">IF(E66="","",IF(P66="","À SOUDER",IF(S66="","VT EN ATTENTE",IF(S66="R","VT REJETÉ – À REPRENDRE",IF(AJ66="","À RADIOGRAPHIER",IF(AJ66="A","ACCEPTÉ",IF(AJ66="NX","NX – RT À REFAIRE",IF(IF(AI66=1,X66,IF(AI66=2,AC66,""))="A","RÉPARÉ – À RADIOGRAPHIER",IF(IF(AI66=1,X66,IF(AI66=2,AC66,""))="R","VT REJETÉ – À REPRENDRE",IF(AJ66="CO","COUPE – À RESOUDER","À RÉPARER"))))))))))</f>
        <v>ACCEPTÉ</v>
      </c>
      <c r="AL66" s="82" t="str">
        <f aca="false">IF(AND(ISNUMBER(P66),OR(AK66="À RADIOGRAPHIER",AK66="RÉPARÉ – À RADIOGRAPHIER",AK66="NX – RT À REFAIRE",AK66="À RÉPARER",AK66="COUPE – À RESOUDER",AK66="VT REJETÉ – À REPRENDRE")),MAX(0,'PROGRAMME RT'!$C$4-P66),"")</f>
        <v/>
      </c>
      <c r="AM66" s="78" t="n">
        <f aca="false">IF(AND(OR(AK66="À RADIOGRAPHIER",AK66="RÉPARÉ – À RADIOGRAPHIER",AK66="NX – RT À REFAIRE"),OR('PROGRAMME RT'!$D$5="TOUTES",B66='PROGRAMME RT'!$D$5)),1,0)</f>
        <v>0</v>
      </c>
      <c r="AN66" s="78" t="str">
        <f aca="false">IF(AM66=1,SUM(AM$7:AM66),"")</f>
        <v/>
      </c>
      <c r="AO66" s="78" t="n">
        <f aca="false">IF(AND(OR(AK66="À RÉPARER",AK66="COUPE – À RESOUDER",AK66="VT REJETÉ – À REPRENDRE"),OR(RÉPARATIONS!$D$5="TOUTES",B66=RÉPARATIONS!$D$5)),1,0)</f>
        <v>0</v>
      </c>
      <c r="AP66" s="78" t="str">
        <f aca="false">IF(AO66=1,SUM(AO$7:AO66),"")</f>
        <v/>
      </c>
    </row>
    <row r="67" customFormat="false" ht="15" hidden="false" customHeight="false" outlineLevel="0" collapsed="false">
      <c r="A67" s="78" t="n">
        <f aca="false">IF(E67="","",ROW()-6)</f>
        <v>61</v>
      </c>
      <c r="B67" s="79" t="s">
        <v>100</v>
      </c>
      <c r="C67" s="80" t="s">
        <v>229</v>
      </c>
      <c r="D67" s="80" t="s">
        <v>101</v>
      </c>
      <c r="E67" s="80" t="s">
        <v>254</v>
      </c>
      <c r="F67" s="80" t="s">
        <v>149</v>
      </c>
      <c r="G67" s="80" t="s">
        <v>104</v>
      </c>
      <c r="H67" s="80" t="n">
        <v>11</v>
      </c>
      <c r="I67" s="80" t="s">
        <v>112</v>
      </c>
      <c r="J67" s="80" t="s">
        <v>130</v>
      </c>
      <c r="K67" s="80" t="s">
        <v>253</v>
      </c>
      <c r="L67" s="80" t="s">
        <v>255</v>
      </c>
      <c r="M67" s="80" t="s">
        <v>139</v>
      </c>
      <c r="N67" s="80" t="s">
        <v>139</v>
      </c>
      <c r="O67" s="80" t="s">
        <v>132</v>
      </c>
      <c r="P67" s="81" t="n">
        <v>45879</v>
      </c>
      <c r="Q67" s="81" t="n">
        <v>45879</v>
      </c>
      <c r="R67" s="80" t="s">
        <v>240</v>
      </c>
      <c r="S67" s="80" t="s">
        <v>103</v>
      </c>
      <c r="T67" s="81" t="n">
        <v>45880</v>
      </c>
      <c r="U67" s="80" t="s">
        <v>256</v>
      </c>
      <c r="V67" s="80" t="s">
        <v>103</v>
      </c>
      <c r="W67" s="80"/>
      <c r="X67" s="80"/>
      <c r="Y67" s="81"/>
      <c r="Z67" s="80"/>
      <c r="AA67" s="80"/>
      <c r="AB67" s="80"/>
      <c r="AC67" s="80"/>
      <c r="AD67" s="81"/>
      <c r="AE67" s="80"/>
      <c r="AF67" s="80"/>
      <c r="AG67" s="81"/>
      <c r="AH67" s="79"/>
      <c r="AI67" s="78" t="n">
        <f aca="false">IF(E67="","",(V67&lt;&gt;"")+(AA67&lt;&gt;"")+(AF67&lt;&gt;""))</f>
        <v>1</v>
      </c>
      <c r="AJ67" s="82" t="str">
        <f aca="false">IF(AF67&lt;&gt;"",AF67,IF(AA67&lt;&gt;"",AA67,IF(V67&lt;&gt;"",V67,"")))</f>
        <v>A</v>
      </c>
      <c r="AK67" s="83" t="str">
        <f aca="false">IF(E67="","",IF(P67="","À SOUDER",IF(S67="","VT EN ATTENTE",IF(S67="R","VT REJETÉ – À REPRENDRE",IF(AJ67="","À RADIOGRAPHIER",IF(AJ67="A","ACCEPTÉ",IF(AJ67="NX","NX – RT À REFAIRE",IF(IF(AI67=1,X67,IF(AI67=2,AC67,""))="A","RÉPARÉ – À RADIOGRAPHIER",IF(IF(AI67=1,X67,IF(AI67=2,AC67,""))="R","VT REJETÉ – À REPRENDRE",IF(AJ67="CO","COUPE – À RESOUDER","À RÉPARER"))))))))))</f>
        <v>ACCEPTÉ</v>
      </c>
      <c r="AL67" s="82" t="str">
        <f aca="false">IF(AND(ISNUMBER(P67),OR(AK67="À RADIOGRAPHIER",AK67="RÉPARÉ – À RADIOGRAPHIER",AK67="NX – RT À REFAIRE",AK67="À RÉPARER",AK67="COUPE – À RESOUDER",AK67="VT REJETÉ – À REPRENDRE")),MAX(0,'PROGRAMME RT'!$C$4-P67),"")</f>
        <v/>
      </c>
      <c r="AM67" s="78" t="n">
        <f aca="false">IF(AND(OR(AK67="À RADIOGRAPHIER",AK67="RÉPARÉ – À RADIOGRAPHIER",AK67="NX – RT À REFAIRE"),OR('PROGRAMME RT'!$D$5="TOUTES",B67='PROGRAMME RT'!$D$5)),1,0)</f>
        <v>0</v>
      </c>
      <c r="AN67" s="78" t="str">
        <f aca="false">IF(AM67=1,SUM(AM$7:AM67),"")</f>
        <v/>
      </c>
      <c r="AO67" s="78" t="n">
        <f aca="false">IF(AND(OR(AK67="À RÉPARER",AK67="COUPE – À RESOUDER",AK67="VT REJETÉ – À REPRENDRE"),OR(RÉPARATIONS!$D$5="TOUTES",B67=RÉPARATIONS!$D$5)),1,0)</f>
        <v>0</v>
      </c>
      <c r="AP67" s="78" t="str">
        <f aca="false">IF(AO67=1,SUM(AO$7:AO67),"")</f>
        <v/>
      </c>
    </row>
    <row r="68" customFormat="false" ht="15" hidden="false" customHeight="false" outlineLevel="0" collapsed="false">
      <c r="A68" s="78" t="n">
        <f aca="false">IF(E68="","",ROW()-6)</f>
        <v>62</v>
      </c>
      <c r="B68" s="79" t="s">
        <v>100</v>
      </c>
      <c r="C68" s="80" t="s">
        <v>229</v>
      </c>
      <c r="D68" s="80" t="s">
        <v>101</v>
      </c>
      <c r="E68" s="80" t="s">
        <v>257</v>
      </c>
      <c r="F68" s="80" t="s">
        <v>149</v>
      </c>
      <c r="G68" s="80" t="s">
        <v>104</v>
      </c>
      <c r="H68" s="80" t="n">
        <v>11</v>
      </c>
      <c r="I68" s="80" t="s">
        <v>112</v>
      </c>
      <c r="J68" s="80" t="s">
        <v>130</v>
      </c>
      <c r="K68" s="80" t="s">
        <v>255</v>
      </c>
      <c r="L68" s="80" t="s">
        <v>258</v>
      </c>
      <c r="M68" s="80" t="s">
        <v>139</v>
      </c>
      <c r="N68" s="80" t="s">
        <v>139</v>
      </c>
      <c r="O68" s="80" t="s">
        <v>123</v>
      </c>
      <c r="P68" s="81" t="n">
        <v>45879</v>
      </c>
      <c r="Q68" s="81" t="n">
        <v>45879</v>
      </c>
      <c r="R68" s="80" t="s">
        <v>240</v>
      </c>
      <c r="S68" s="80" t="s">
        <v>103</v>
      </c>
      <c r="T68" s="81" t="n">
        <v>45880</v>
      </c>
      <c r="U68" s="80" t="s">
        <v>256</v>
      </c>
      <c r="V68" s="80" t="s">
        <v>103</v>
      </c>
      <c r="W68" s="80"/>
      <c r="X68" s="80"/>
      <c r="Y68" s="81"/>
      <c r="Z68" s="80"/>
      <c r="AA68" s="80"/>
      <c r="AB68" s="80"/>
      <c r="AC68" s="80"/>
      <c r="AD68" s="81"/>
      <c r="AE68" s="80"/>
      <c r="AF68" s="80"/>
      <c r="AG68" s="81"/>
      <c r="AH68" s="79"/>
      <c r="AI68" s="78" t="n">
        <f aca="false">IF(E68="","",(V68&lt;&gt;"")+(AA68&lt;&gt;"")+(AF68&lt;&gt;""))</f>
        <v>1</v>
      </c>
      <c r="AJ68" s="82" t="str">
        <f aca="false">IF(AF68&lt;&gt;"",AF68,IF(AA68&lt;&gt;"",AA68,IF(V68&lt;&gt;"",V68,"")))</f>
        <v>A</v>
      </c>
      <c r="AK68" s="83" t="str">
        <f aca="false">IF(E68="","",IF(P68="","À SOUDER",IF(S68="","VT EN ATTENTE",IF(S68="R","VT REJETÉ – À REPRENDRE",IF(AJ68="","À RADIOGRAPHIER",IF(AJ68="A","ACCEPTÉ",IF(AJ68="NX","NX – RT À REFAIRE",IF(IF(AI68=1,X68,IF(AI68=2,AC68,""))="A","RÉPARÉ – À RADIOGRAPHIER",IF(IF(AI68=1,X68,IF(AI68=2,AC68,""))="R","VT REJETÉ – À REPRENDRE",IF(AJ68="CO","COUPE – À RESOUDER","À RÉPARER"))))))))))</f>
        <v>ACCEPTÉ</v>
      </c>
      <c r="AL68" s="82" t="str">
        <f aca="false">IF(AND(ISNUMBER(P68),OR(AK68="À RADIOGRAPHIER",AK68="RÉPARÉ – À RADIOGRAPHIER",AK68="NX – RT À REFAIRE",AK68="À RÉPARER",AK68="COUPE – À RESOUDER",AK68="VT REJETÉ – À REPRENDRE")),MAX(0,'PROGRAMME RT'!$C$4-P68),"")</f>
        <v/>
      </c>
      <c r="AM68" s="78" t="n">
        <f aca="false">IF(AND(OR(AK68="À RADIOGRAPHIER",AK68="RÉPARÉ – À RADIOGRAPHIER",AK68="NX – RT À REFAIRE"),OR('PROGRAMME RT'!$D$5="TOUTES",B68='PROGRAMME RT'!$D$5)),1,0)</f>
        <v>0</v>
      </c>
      <c r="AN68" s="78" t="str">
        <f aca="false">IF(AM68=1,SUM(AM$7:AM68),"")</f>
        <v/>
      </c>
      <c r="AO68" s="78" t="n">
        <f aca="false">IF(AND(OR(AK68="À RÉPARER",AK68="COUPE – À RESOUDER",AK68="VT REJETÉ – À REPRENDRE"),OR(RÉPARATIONS!$D$5="TOUTES",B68=RÉPARATIONS!$D$5)),1,0)</f>
        <v>0</v>
      </c>
      <c r="AP68" s="78" t="str">
        <f aca="false">IF(AO68=1,SUM(AO$7:AO68),"")</f>
        <v/>
      </c>
    </row>
    <row r="69" customFormat="false" ht="15" hidden="false" customHeight="false" outlineLevel="0" collapsed="false">
      <c r="A69" s="78" t="n">
        <f aca="false">IF(E69="","",ROW()-6)</f>
        <v>63</v>
      </c>
      <c r="B69" s="79" t="s">
        <v>100</v>
      </c>
      <c r="C69" s="80" t="s">
        <v>229</v>
      </c>
      <c r="D69" s="80" t="s">
        <v>101</v>
      </c>
      <c r="E69" s="80" t="s">
        <v>259</v>
      </c>
      <c r="F69" s="80" t="s">
        <v>149</v>
      </c>
      <c r="G69" s="80" t="s">
        <v>104</v>
      </c>
      <c r="H69" s="80" t="n">
        <v>11</v>
      </c>
      <c r="I69" s="80" t="s">
        <v>112</v>
      </c>
      <c r="J69" s="80" t="s">
        <v>130</v>
      </c>
      <c r="K69" s="80" t="s">
        <v>258</v>
      </c>
      <c r="L69" s="80" t="s">
        <v>260</v>
      </c>
      <c r="M69" s="80" t="s">
        <v>139</v>
      </c>
      <c r="N69" s="80" t="s">
        <v>139</v>
      </c>
      <c r="O69" s="80" t="s">
        <v>132</v>
      </c>
      <c r="P69" s="81" t="n">
        <v>45879</v>
      </c>
      <c r="Q69" s="81" t="n">
        <v>45879</v>
      </c>
      <c r="R69" s="80" t="s">
        <v>240</v>
      </c>
      <c r="S69" s="80" t="s">
        <v>103</v>
      </c>
      <c r="T69" s="81" t="n">
        <v>45880</v>
      </c>
      <c r="U69" s="80" t="s">
        <v>256</v>
      </c>
      <c r="V69" s="80" t="s">
        <v>103</v>
      </c>
      <c r="W69" s="80"/>
      <c r="X69" s="80"/>
      <c r="Y69" s="81"/>
      <c r="Z69" s="80"/>
      <c r="AA69" s="80"/>
      <c r="AB69" s="80"/>
      <c r="AC69" s="80"/>
      <c r="AD69" s="81"/>
      <c r="AE69" s="80"/>
      <c r="AF69" s="80"/>
      <c r="AG69" s="81"/>
      <c r="AH69" s="79"/>
      <c r="AI69" s="78" t="n">
        <f aca="false">IF(E69="","",(V69&lt;&gt;"")+(AA69&lt;&gt;"")+(AF69&lt;&gt;""))</f>
        <v>1</v>
      </c>
      <c r="AJ69" s="82" t="str">
        <f aca="false">IF(AF69&lt;&gt;"",AF69,IF(AA69&lt;&gt;"",AA69,IF(V69&lt;&gt;"",V69,"")))</f>
        <v>A</v>
      </c>
      <c r="AK69" s="83" t="str">
        <f aca="false">IF(E69="","",IF(P69="","À SOUDER",IF(S69="","VT EN ATTENTE",IF(S69="R","VT REJETÉ – À REPRENDRE",IF(AJ69="","À RADIOGRAPHIER",IF(AJ69="A","ACCEPTÉ",IF(AJ69="NX","NX – RT À REFAIRE",IF(IF(AI69=1,X69,IF(AI69=2,AC69,""))="A","RÉPARÉ – À RADIOGRAPHIER",IF(IF(AI69=1,X69,IF(AI69=2,AC69,""))="R","VT REJETÉ – À REPRENDRE",IF(AJ69="CO","COUPE – À RESOUDER","À RÉPARER"))))))))))</f>
        <v>ACCEPTÉ</v>
      </c>
      <c r="AL69" s="82" t="str">
        <f aca="false">IF(AND(ISNUMBER(P69),OR(AK69="À RADIOGRAPHIER",AK69="RÉPARÉ – À RADIOGRAPHIER",AK69="NX – RT À REFAIRE",AK69="À RÉPARER",AK69="COUPE – À RESOUDER",AK69="VT REJETÉ – À REPRENDRE")),MAX(0,'PROGRAMME RT'!$C$4-P69),"")</f>
        <v/>
      </c>
      <c r="AM69" s="78" t="n">
        <f aca="false">IF(AND(OR(AK69="À RADIOGRAPHIER",AK69="RÉPARÉ – À RADIOGRAPHIER",AK69="NX – RT À REFAIRE"),OR('PROGRAMME RT'!$D$5="TOUTES",B69='PROGRAMME RT'!$D$5)),1,0)</f>
        <v>0</v>
      </c>
      <c r="AN69" s="78" t="str">
        <f aca="false">IF(AM69=1,SUM(AM$7:AM69),"")</f>
        <v/>
      </c>
      <c r="AO69" s="78" t="n">
        <f aca="false">IF(AND(OR(AK69="À RÉPARER",AK69="COUPE – À RESOUDER",AK69="VT REJETÉ – À REPRENDRE"),OR(RÉPARATIONS!$D$5="TOUTES",B69=RÉPARATIONS!$D$5)),1,0)</f>
        <v>0</v>
      </c>
      <c r="AP69" s="78" t="str">
        <f aca="false">IF(AO69=1,SUM(AO$7:AO69),"")</f>
        <v/>
      </c>
    </row>
    <row r="70" customFormat="false" ht="15" hidden="false" customHeight="false" outlineLevel="0" collapsed="false">
      <c r="A70" s="78" t="n">
        <f aca="false">IF(E70="","",ROW()-6)</f>
        <v>64</v>
      </c>
      <c r="B70" s="79" t="s">
        <v>100</v>
      </c>
      <c r="C70" s="80" t="s">
        <v>229</v>
      </c>
      <c r="D70" s="80" t="s">
        <v>101</v>
      </c>
      <c r="E70" s="80" t="s">
        <v>261</v>
      </c>
      <c r="F70" s="80" t="s">
        <v>149</v>
      </c>
      <c r="G70" s="80" t="s">
        <v>104</v>
      </c>
      <c r="H70" s="80" t="n">
        <v>11</v>
      </c>
      <c r="I70" s="80" t="s">
        <v>112</v>
      </c>
      <c r="J70" s="80" t="s">
        <v>130</v>
      </c>
      <c r="K70" s="80" t="s">
        <v>260</v>
      </c>
      <c r="L70" s="80" t="s">
        <v>262</v>
      </c>
      <c r="M70" s="80" t="s">
        <v>139</v>
      </c>
      <c r="N70" s="80" t="s">
        <v>139</v>
      </c>
      <c r="O70" s="80" t="s">
        <v>123</v>
      </c>
      <c r="P70" s="81" t="n">
        <v>45879</v>
      </c>
      <c r="Q70" s="81" t="n">
        <v>45879</v>
      </c>
      <c r="R70" s="80" t="s">
        <v>240</v>
      </c>
      <c r="S70" s="80" t="s">
        <v>103</v>
      </c>
      <c r="T70" s="81" t="n">
        <v>45890</v>
      </c>
      <c r="U70" s="80" t="s">
        <v>247</v>
      </c>
      <c r="V70" s="80" t="s">
        <v>263</v>
      </c>
      <c r="W70" s="80" t="s">
        <v>202</v>
      </c>
      <c r="X70" s="80" t="s">
        <v>103</v>
      </c>
      <c r="Y70" s="81" t="n">
        <v>45893</v>
      </c>
      <c r="Z70" s="80" t="s">
        <v>134</v>
      </c>
      <c r="AA70" s="80" t="s">
        <v>103</v>
      </c>
      <c r="AB70" s="80"/>
      <c r="AC70" s="80"/>
      <c r="AD70" s="81"/>
      <c r="AE70" s="80"/>
      <c r="AF70" s="80"/>
      <c r="AG70" s="81"/>
      <c r="AH70" s="79"/>
      <c r="AI70" s="78" t="n">
        <f aca="false">IF(E70="","",(V70&lt;&gt;"")+(AA70&lt;&gt;"")+(AF70&lt;&gt;""))</f>
        <v>2</v>
      </c>
      <c r="AJ70" s="82" t="str">
        <f aca="false">IF(AF70&lt;&gt;"",AF70,IF(AA70&lt;&gt;"",AA70,IF(V70&lt;&gt;"",V70,"")))</f>
        <v>A</v>
      </c>
      <c r="AK70" s="83" t="str">
        <f aca="false">IF(E70="","",IF(P70="","À SOUDER",IF(S70="","VT EN ATTENTE",IF(S70="R","VT REJETÉ – À REPRENDRE",IF(AJ70="","À RADIOGRAPHIER",IF(AJ70="A","ACCEPTÉ",IF(AJ70="NX","NX – RT À REFAIRE",IF(IF(AI70=1,X70,IF(AI70=2,AC70,""))="A","RÉPARÉ – À RADIOGRAPHIER",IF(IF(AI70=1,X70,IF(AI70=2,AC70,""))="R","VT REJETÉ – À REPRENDRE",IF(AJ70="CO","COUPE – À RESOUDER","À RÉPARER"))))))))))</f>
        <v>ACCEPTÉ</v>
      </c>
      <c r="AL70" s="82" t="str">
        <f aca="false">IF(AND(ISNUMBER(P70),OR(AK70="À RADIOGRAPHIER",AK70="RÉPARÉ – À RADIOGRAPHIER",AK70="NX – RT À REFAIRE",AK70="À RÉPARER",AK70="COUPE – À RESOUDER",AK70="VT REJETÉ – À REPRENDRE")),MAX(0,'PROGRAMME RT'!$C$4-P70),"")</f>
        <v/>
      </c>
      <c r="AM70" s="78" t="n">
        <f aca="false">IF(AND(OR(AK70="À RADIOGRAPHIER",AK70="RÉPARÉ – À RADIOGRAPHIER",AK70="NX – RT À REFAIRE"),OR('PROGRAMME RT'!$D$5="TOUTES",B70='PROGRAMME RT'!$D$5)),1,0)</f>
        <v>0</v>
      </c>
      <c r="AN70" s="78" t="str">
        <f aca="false">IF(AM70=1,SUM(AM$7:AM70),"")</f>
        <v/>
      </c>
      <c r="AO70" s="78" t="n">
        <f aca="false">IF(AND(OR(AK70="À RÉPARER",AK70="COUPE – À RESOUDER",AK70="VT REJETÉ – À REPRENDRE"),OR(RÉPARATIONS!$D$5="TOUTES",B70=RÉPARATIONS!$D$5)),1,0)</f>
        <v>0</v>
      </c>
      <c r="AP70" s="78" t="str">
        <f aca="false">IF(AO70=1,SUM(AO$7:AO70),"")</f>
        <v/>
      </c>
    </row>
    <row r="71" customFormat="false" ht="15" hidden="false" customHeight="false" outlineLevel="0" collapsed="false">
      <c r="A71" s="78" t="n">
        <f aca="false">IF(E71="","",ROW()-6)</f>
        <v>65</v>
      </c>
      <c r="B71" s="79" t="s">
        <v>100</v>
      </c>
      <c r="C71" s="80" t="s">
        <v>229</v>
      </c>
      <c r="D71" s="80" t="s">
        <v>101</v>
      </c>
      <c r="E71" s="80" t="s">
        <v>264</v>
      </c>
      <c r="F71" s="80" t="s">
        <v>149</v>
      </c>
      <c r="G71" s="80" t="s">
        <v>104</v>
      </c>
      <c r="H71" s="80" t="n">
        <v>11</v>
      </c>
      <c r="I71" s="80" t="s">
        <v>112</v>
      </c>
      <c r="J71" s="80" t="s">
        <v>130</v>
      </c>
      <c r="K71" s="80" t="s">
        <v>262</v>
      </c>
      <c r="L71" s="80" t="s">
        <v>265</v>
      </c>
      <c r="M71" s="80" t="s">
        <v>139</v>
      </c>
      <c r="N71" s="80" t="s">
        <v>139</v>
      </c>
      <c r="O71" s="80" t="s">
        <v>132</v>
      </c>
      <c r="P71" s="81" t="n">
        <v>45880</v>
      </c>
      <c r="Q71" s="81" t="n">
        <v>45880</v>
      </c>
      <c r="R71" s="80" t="s">
        <v>266</v>
      </c>
      <c r="S71" s="80" t="s">
        <v>103</v>
      </c>
      <c r="T71" s="81" t="n">
        <v>45890</v>
      </c>
      <c r="U71" s="80" t="s">
        <v>247</v>
      </c>
      <c r="V71" s="80" t="s">
        <v>103</v>
      </c>
      <c r="W71" s="80"/>
      <c r="X71" s="80"/>
      <c r="Y71" s="81"/>
      <c r="Z71" s="80"/>
      <c r="AA71" s="80"/>
      <c r="AB71" s="80"/>
      <c r="AC71" s="80"/>
      <c r="AD71" s="81"/>
      <c r="AE71" s="80"/>
      <c r="AF71" s="80"/>
      <c r="AG71" s="81"/>
      <c r="AH71" s="79"/>
      <c r="AI71" s="78" t="n">
        <f aca="false">IF(E71="","",(V71&lt;&gt;"")+(AA71&lt;&gt;"")+(AF71&lt;&gt;""))</f>
        <v>1</v>
      </c>
      <c r="AJ71" s="82" t="str">
        <f aca="false">IF(AF71&lt;&gt;"",AF71,IF(AA71&lt;&gt;"",AA71,IF(V71&lt;&gt;"",V71,"")))</f>
        <v>A</v>
      </c>
      <c r="AK71" s="83" t="str">
        <f aca="false">IF(E71="","",IF(P71="","À SOUDER",IF(S71="","VT EN ATTENTE",IF(S71="R","VT REJETÉ – À REPRENDRE",IF(AJ71="","À RADIOGRAPHIER",IF(AJ71="A","ACCEPTÉ",IF(AJ71="NX","NX – RT À REFAIRE",IF(IF(AI71=1,X71,IF(AI71=2,AC71,""))="A","RÉPARÉ – À RADIOGRAPHIER",IF(IF(AI71=1,X71,IF(AI71=2,AC71,""))="R","VT REJETÉ – À REPRENDRE",IF(AJ71="CO","COUPE – À RESOUDER","À RÉPARER"))))))))))</f>
        <v>ACCEPTÉ</v>
      </c>
      <c r="AL71" s="82" t="str">
        <f aca="false">IF(AND(ISNUMBER(P71),OR(AK71="À RADIOGRAPHIER",AK71="RÉPARÉ – À RADIOGRAPHIER",AK71="NX – RT À REFAIRE",AK71="À RÉPARER",AK71="COUPE – À RESOUDER",AK71="VT REJETÉ – À REPRENDRE")),MAX(0,'PROGRAMME RT'!$C$4-P71),"")</f>
        <v/>
      </c>
      <c r="AM71" s="78" t="n">
        <f aca="false">IF(AND(OR(AK71="À RADIOGRAPHIER",AK71="RÉPARÉ – À RADIOGRAPHIER",AK71="NX – RT À REFAIRE"),OR('PROGRAMME RT'!$D$5="TOUTES",B71='PROGRAMME RT'!$D$5)),1,0)</f>
        <v>0</v>
      </c>
      <c r="AN71" s="78" t="str">
        <f aca="false">IF(AM71=1,SUM(AM$7:AM71),"")</f>
        <v/>
      </c>
      <c r="AO71" s="78" t="n">
        <f aca="false">IF(AND(OR(AK71="À RÉPARER",AK71="COUPE – À RESOUDER",AK71="VT REJETÉ – À REPRENDRE"),OR(RÉPARATIONS!$D$5="TOUTES",B71=RÉPARATIONS!$D$5)),1,0)</f>
        <v>0</v>
      </c>
      <c r="AP71" s="78" t="str">
        <f aca="false">IF(AO71=1,SUM(AO$7:AO71),"")</f>
        <v/>
      </c>
    </row>
    <row r="72" customFormat="false" ht="15" hidden="false" customHeight="false" outlineLevel="0" collapsed="false">
      <c r="A72" s="78" t="n">
        <f aca="false">IF(E72="","",ROW()-6)</f>
        <v>66</v>
      </c>
      <c r="B72" s="79" t="s">
        <v>100</v>
      </c>
      <c r="C72" s="80" t="s">
        <v>229</v>
      </c>
      <c r="D72" s="80" t="s">
        <v>101</v>
      </c>
      <c r="E72" s="80" t="s">
        <v>267</v>
      </c>
      <c r="F72" s="80" t="s">
        <v>149</v>
      </c>
      <c r="G72" s="80" t="s">
        <v>104</v>
      </c>
      <c r="H72" s="80" t="n">
        <v>11</v>
      </c>
      <c r="I72" s="80" t="s">
        <v>112</v>
      </c>
      <c r="J72" s="80" t="s">
        <v>130</v>
      </c>
      <c r="K72" s="80" t="s">
        <v>265</v>
      </c>
      <c r="L72" s="80" t="s">
        <v>268</v>
      </c>
      <c r="M72" s="80" t="s">
        <v>139</v>
      </c>
      <c r="N72" s="80" t="s">
        <v>139</v>
      </c>
      <c r="O72" s="80" t="s">
        <v>123</v>
      </c>
      <c r="P72" s="81" t="n">
        <v>45879</v>
      </c>
      <c r="Q72" s="81" t="n">
        <v>45880</v>
      </c>
      <c r="R72" s="80" t="s">
        <v>266</v>
      </c>
      <c r="S72" s="80" t="s">
        <v>103</v>
      </c>
      <c r="T72" s="81" t="n">
        <v>45890</v>
      </c>
      <c r="U72" s="80" t="s">
        <v>247</v>
      </c>
      <c r="V72" s="80" t="s">
        <v>103</v>
      </c>
      <c r="W72" s="80"/>
      <c r="X72" s="80"/>
      <c r="Y72" s="81"/>
      <c r="Z72" s="80"/>
      <c r="AA72" s="80"/>
      <c r="AB72" s="80"/>
      <c r="AC72" s="80"/>
      <c r="AD72" s="81"/>
      <c r="AE72" s="80"/>
      <c r="AF72" s="80"/>
      <c r="AG72" s="81"/>
      <c r="AH72" s="79"/>
      <c r="AI72" s="78" t="n">
        <f aca="false">IF(E72="","",(V72&lt;&gt;"")+(AA72&lt;&gt;"")+(AF72&lt;&gt;""))</f>
        <v>1</v>
      </c>
      <c r="AJ72" s="82" t="str">
        <f aca="false">IF(AF72&lt;&gt;"",AF72,IF(AA72&lt;&gt;"",AA72,IF(V72&lt;&gt;"",V72,"")))</f>
        <v>A</v>
      </c>
      <c r="AK72" s="83" t="str">
        <f aca="false">IF(E72="","",IF(P72="","À SOUDER",IF(S72="","VT EN ATTENTE",IF(S72="R","VT REJETÉ – À REPRENDRE",IF(AJ72="","À RADIOGRAPHIER",IF(AJ72="A","ACCEPTÉ",IF(AJ72="NX","NX – RT À REFAIRE",IF(IF(AI72=1,X72,IF(AI72=2,AC72,""))="A","RÉPARÉ – À RADIOGRAPHIER",IF(IF(AI72=1,X72,IF(AI72=2,AC72,""))="R","VT REJETÉ – À REPRENDRE",IF(AJ72="CO","COUPE – À RESOUDER","À RÉPARER"))))))))))</f>
        <v>ACCEPTÉ</v>
      </c>
      <c r="AL72" s="82" t="str">
        <f aca="false">IF(AND(ISNUMBER(P72),OR(AK72="À RADIOGRAPHIER",AK72="RÉPARÉ – À RADIOGRAPHIER",AK72="NX – RT À REFAIRE",AK72="À RÉPARER",AK72="COUPE – À RESOUDER",AK72="VT REJETÉ – À REPRENDRE")),MAX(0,'PROGRAMME RT'!$C$4-P72),"")</f>
        <v/>
      </c>
      <c r="AM72" s="78" t="n">
        <f aca="false">IF(AND(OR(AK72="À RADIOGRAPHIER",AK72="RÉPARÉ – À RADIOGRAPHIER",AK72="NX – RT À REFAIRE"),OR('PROGRAMME RT'!$D$5="TOUTES",B72='PROGRAMME RT'!$D$5)),1,0)</f>
        <v>0</v>
      </c>
      <c r="AN72" s="78" t="str">
        <f aca="false">IF(AM72=1,SUM(AM$7:AM72),"")</f>
        <v/>
      </c>
      <c r="AO72" s="78" t="n">
        <f aca="false">IF(AND(OR(AK72="À RÉPARER",AK72="COUPE – À RESOUDER",AK72="VT REJETÉ – À REPRENDRE"),OR(RÉPARATIONS!$D$5="TOUTES",B72=RÉPARATIONS!$D$5)),1,0)</f>
        <v>0</v>
      </c>
      <c r="AP72" s="78" t="str">
        <f aca="false">IF(AO72=1,SUM(AO$7:AO72),"")</f>
        <v/>
      </c>
    </row>
    <row r="73" customFormat="false" ht="15" hidden="false" customHeight="false" outlineLevel="0" collapsed="false">
      <c r="A73" s="78" t="n">
        <f aca="false">IF(E73="","",ROW()-6)</f>
        <v>67</v>
      </c>
      <c r="B73" s="79" t="s">
        <v>100</v>
      </c>
      <c r="C73" s="80" t="s">
        <v>229</v>
      </c>
      <c r="D73" s="80" t="s">
        <v>101</v>
      </c>
      <c r="E73" s="80" t="s">
        <v>269</v>
      </c>
      <c r="F73" s="80" t="s">
        <v>149</v>
      </c>
      <c r="G73" s="80" t="s">
        <v>104</v>
      </c>
      <c r="H73" s="80" t="n">
        <v>11</v>
      </c>
      <c r="I73" s="80" t="s">
        <v>112</v>
      </c>
      <c r="J73" s="80" t="s">
        <v>130</v>
      </c>
      <c r="K73" s="80" t="s">
        <v>268</v>
      </c>
      <c r="L73" s="80" t="s">
        <v>270</v>
      </c>
      <c r="M73" s="80" t="s">
        <v>139</v>
      </c>
      <c r="N73" s="80" t="s">
        <v>139</v>
      </c>
      <c r="O73" s="80" t="s">
        <v>132</v>
      </c>
      <c r="P73" s="81" t="n">
        <v>45880</v>
      </c>
      <c r="Q73" s="81" t="n">
        <v>45880</v>
      </c>
      <c r="R73" s="80" t="s">
        <v>266</v>
      </c>
      <c r="S73" s="80" t="s">
        <v>103</v>
      </c>
      <c r="T73" s="81" t="n">
        <v>45890</v>
      </c>
      <c r="U73" s="80" t="s">
        <v>247</v>
      </c>
      <c r="V73" s="80" t="s">
        <v>103</v>
      </c>
      <c r="W73" s="80"/>
      <c r="X73" s="80"/>
      <c r="Y73" s="81"/>
      <c r="Z73" s="80"/>
      <c r="AA73" s="80"/>
      <c r="AB73" s="80"/>
      <c r="AC73" s="80"/>
      <c r="AD73" s="81"/>
      <c r="AE73" s="80"/>
      <c r="AF73" s="80"/>
      <c r="AG73" s="81"/>
      <c r="AH73" s="79"/>
      <c r="AI73" s="78" t="n">
        <f aca="false">IF(E73="","",(V73&lt;&gt;"")+(AA73&lt;&gt;"")+(AF73&lt;&gt;""))</f>
        <v>1</v>
      </c>
      <c r="AJ73" s="82" t="str">
        <f aca="false">IF(AF73&lt;&gt;"",AF73,IF(AA73&lt;&gt;"",AA73,IF(V73&lt;&gt;"",V73,"")))</f>
        <v>A</v>
      </c>
      <c r="AK73" s="83" t="str">
        <f aca="false">IF(E73="","",IF(P73="","À SOUDER",IF(S73="","VT EN ATTENTE",IF(S73="R","VT REJETÉ – À REPRENDRE",IF(AJ73="","À RADIOGRAPHIER",IF(AJ73="A","ACCEPTÉ",IF(AJ73="NX","NX – RT À REFAIRE",IF(IF(AI73=1,X73,IF(AI73=2,AC73,""))="A","RÉPARÉ – À RADIOGRAPHIER",IF(IF(AI73=1,X73,IF(AI73=2,AC73,""))="R","VT REJETÉ – À REPRENDRE",IF(AJ73="CO","COUPE – À RESOUDER","À RÉPARER"))))))))))</f>
        <v>ACCEPTÉ</v>
      </c>
      <c r="AL73" s="82" t="str">
        <f aca="false">IF(AND(ISNUMBER(P73),OR(AK73="À RADIOGRAPHIER",AK73="RÉPARÉ – À RADIOGRAPHIER",AK73="NX – RT À REFAIRE",AK73="À RÉPARER",AK73="COUPE – À RESOUDER",AK73="VT REJETÉ – À REPRENDRE")),MAX(0,'PROGRAMME RT'!$C$4-P73),"")</f>
        <v/>
      </c>
      <c r="AM73" s="78" t="n">
        <f aca="false">IF(AND(OR(AK73="À RADIOGRAPHIER",AK73="RÉPARÉ – À RADIOGRAPHIER",AK73="NX – RT À REFAIRE"),OR('PROGRAMME RT'!$D$5="TOUTES",B73='PROGRAMME RT'!$D$5)),1,0)</f>
        <v>0</v>
      </c>
      <c r="AN73" s="78" t="str">
        <f aca="false">IF(AM73=1,SUM(AM$7:AM73),"")</f>
        <v/>
      </c>
      <c r="AO73" s="78" t="n">
        <f aca="false">IF(AND(OR(AK73="À RÉPARER",AK73="COUPE – À RESOUDER",AK73="VT REJETÉ – À REPRENDRE"),OR(RÉPARATIONS!$D$5="TOUTES",B73=RÉPARATIONS!$D$5)),1,0)</f>
        <v>0</v>
      </c>
      <c r="AP73" s="78" t="str">
        <f aca="false">IF(AO73=1,SUM(AO$7:AO73),"")</f>
        <v/>
      </c>
    </row>
    <row r="74" customFormat="false" ht="15" hidden="false" customHeight="false" outlineLevel="0" collapsed="false">
      <c r="A74" s="78" t="n">
        <f aca="false">IF(E74="","",ROW()-6)</f>
        <v>68</v>
      </c>
      <c r="B74" s="79" t="s">
        <v>100</v>
      </c>
      <c r="C74" s="80" t="s">
        <v>229</v>
      </c>
      <c r="D74" s="80" t="s">
        <v>101</v>
      </c>
      <c r="E74" s="80" t="s">
        <v>271</v>
      </c>
      <c r="F74" s="80" t="s">
        <v>149</v>
      </c>
      <c r="G74" s="80" t="s">
        <v>104</v>
      </c>
      <c r="H74" s="80" t="n">
        <v>11</v>
      </c>
      <c r="I74" s="80" t="s">
        <v>112</v>
      </c>
      <c r="J74" s="80" t="s">
        <v>130</v>
      </c>
      <c r="K74" s="80" t="s">
        <v>270</v>
      </c>
      <c r="L74" s="80" t="s">
        <v>272</v>
      </c>
      <c r="M74" s="80" t="s">
        <v>139</v>
      </c>
      <c r="N74" s="80" t="s">
        <v>139</v>
      </c>
      <c r="O74" s="80" t="s">
        <v>123</v>
      </c>
      <c r="P74" s="81" t="n">
        <v>45879</v>
      </c>
      <c r="Q74" s="81" t="n">
        <v>45880</v>
      </c>
      <c r="R74" s="80" t="s">
        <v>266</v>
      </c>
      <c r="S74" s="80" t="s">
        <v>103</v>
      </c>
      <c r="T74" s="81" t="n">
        <v>45890</v>
      </c>
      <c r="U74" s="80" t="s">
        <v>247</v>
      </c>
      <c r="V74" s="80" t="s">
        <v>103</v>
      </c>
      <c r="W74" s="80"/>
      <c r="X74" s="80"/>
      <c r="Y74" s="81"/>
      <c r="Z74" s="80"/>
      <c r="AA74" s="80"/>
      <c r="AB74" s="80"/>
      <c r="AC74" s="80"/>
      <c r="AD74" s="81"/>
      <c r="AE74" s="80"/>
      <c r="AF74" s="80"/>
      <c r="AG74" s="81"/>
      <c r="AH74" s="79"/>
      <c r="AI74" s="78" t="n">
        <f aca="false">IF(E74="","",(V74&lt;&gt;"")+(AA74&lt;&gt;"")+(AF74&lt;&gt;""))</f>
        <v>1</v>
      </c>
      <c r="AJ74" s="82" t="str">
        <f aca="false">IF(AF74&lt;&gt;"",AF74,IF(AA74&lt;&gt;"",AA74,IF(V74&lt;&gt;"",V74,"")))</f>
        <v>A</v>
      </c>
      <c r="AK74" s="83" t="str">
        <f aca="false">IF(E74="","",IF(P74="","À SOUDER",IF(S74="","VT EN ATTENTE",IF(S74="R","VT REJETÉ – À REPRENDRE",IF(AJ74="","À RADIOGRAPHIER",IF(AJ74="A","ACCEPTÉ",IF(AJ74="NX","NX – RT À REFAIRE",IF(IF(AI74=1,X74,IF(AI74=2,AC74,""))="A","RÉPARÉ – À RADIOGRAPHIER",IF(IF(AI74=1,X74,IF(AI74=2,AC74,""))="R","VT REJETÉ – À REPRENDRE",IF(AJ74="CO","COUPE – À RESOUDER","À RÉPARER"))))))))))</f>
        <v>ACCEPTÉ</v>
      </c>
      <c r="AL74" s="82" t="str">
        <f aca="false">IF(AND(ISNUMBER(P74),OR(AK74="À RADIOGRAPHIER",AK74="RÉPARÉ – À RADIOGRAPHIER",AK74="NX – RT À REFAIRE",AK74="À RÉPARER",AK74="COUPE – À RESOUDER",AK74="VT REJETÉ – À REPRENDRE")),MAX(0,'PROGRAMME RT'!$C$4-P74),"")</f>
        <v/>
      </c>
      <c r="AM74" s="78" t="n">
        <f aca="false">IF(AND(OR(AK74="À RADIOGRAPHIER",AK74="RÉPARÉ – À RADIOGRAPHIER",AK74="NX – RT À REFAIRE"),OR('PROGRAMME RT'!$D$5="TOUTES",B74='PROGRAMME RT'!$D$5)),1,0)</f>
        <v>0</v>
      </c>
      <c r="AN74" s="78" t="str">
        <f aca="false">IF(AM74=1,SUM(AM$7:AM74),"")</f>
        <v/>
      </c>
      <c r="AO74" s="78" t="n">
        <f aca="false">IF(AND(OR(AK74="À RÉPARER",AK74="COUPE – À RESOUDER",AK74="VT REJETÉ – À REPRENDRE"),OR(RÉPARATIONS!$D$5="TOUTES",B74=RÉPARATIONS!$D$5)),1,0)</f>
        <v>0</v>
      </c>
      <c r="AP74" s="78" t="str">
        <f aca="false">IF(AO74=1,SUM(AO$7:AO74),"")</f>
        <v/>
      </c>
    </row>
    <row r="75" customFormat="false" ht="15" hidden="false" customHeight="false" outlineLevel="0" collapsed="false">
      <c r="A75" s="78" t="n">
        <f aca="false">IF(E75="","",ROW()-6)</f>
        <v>69</v>
      </c>
      <c r="B75" s="79" t="s">
        <v>100</v>
      </c>
      <c r="C75" s="80" t="s">
        <v>229</v>
      </c>
      <c r="D75" s="80" t="s">
        <v>101</v>
      </c>
      <c r="E75" s="80" t="s">
        <v>273</v>
      </c>
      <c r="F75" s="80" t="s">
        <v>149</v>
      </c>
      <c r="G75" s="80" t="s">
        <v>104</v>
      </c>
      <c r="H75" s="80" t="n">
        <v>11</v>
      </c>
      <c r="I75" s="80" t="s">
        <v>112</v>
      </c>
      <c r="J75" s="80" t="s">
        <v>130</v>
      </c>
      <c r="K75" s="80" t="s">
        <v>272</v>
      </c>
      <c r="L75" s="80" t="s">
        <v>274</v>
      </c>
      <c r="M75" s="80" t="s">
        <v>139</v>
      </c>
      <c r="N75" s="80" t="s">
        <v>139</v>
      </c>
      <c r="O75" s="80" t="s">
        <v>132</v>
      </c>
      <c r="P75" s="81" t="n">
        <v>45880</v>
      </c>
      <c r="Q75" s="81" t="n">
        <v>45880</v>
      </c>
      <c r="R75" s="80" t="s">
        <v>266</v>
      </c>
      <c r="S75" s="80" t="s">
        <v>103</v>
      </c>
      <c r="T75" s="81" t="n">
        <v>45890</v>
      </c>
      <c r="U75" s="80" t="s">
        <v>247</v>
      </c>
      <c r="V75" s="80" t="s">
        <v>103</v>
      </c>
      <c r="W75" s="80"/>
      <c r="X75" s="80"/>
      <c r="Y75" s="81"/>
      <c r="Z75" s="80"/>
      <c r="AA75" s="80"/>
      <c r="AB75" s="80"/>
      <c r="AC75" s="80"/>
      <c r="AD75" s="81"/>
      <c r="AE75" s="80"/>
      <c r="AF75" s="80"/>
      <c r="AG75" s="81"/>
      <c r="AH75" s="79"/>
      <c r="AI75" s="78" t="n">
        <f aca="false">IF(E75="","",(V75&lt;&gt;"")+(AA75&lt;&gt;"")+(AF75&lt;&gt;""))</f>
        <v>1</v>
      </c>
      <c r="AJ75" s="82" t="str">
        <f aca="false">IF(AF75&lt;&gt;"",AF75,IF(AA75&lt;&gt;"",AA75,IF(V75&lt;&gt;"",V75,"")))</f>
        <v>A</v>
      </c>
      <c r="AK75" s="83" t="str">
        <f aca="false">IF(E75="","",IF(P75="","À SOUDER",IF(S75="","VT EN ATTENTE",IF(S75="R","VT REJETÉ – À REPRENDRE",IF(AJ75="","À RADIOGRAPHIER",IF(AJ75="A","ACCEPTÉ",IF(AJ75="NX","NX – RT À REFAIRE",IF(IF(AI75=1,X75,IF(AI75=2,AC75,""))="A","RÉPARÉ – À RADIOGRAPHIER",IF(IF(AI75=1,X75,IF(AI75=2,AC75,""))="R","VT REJETÉ – À REPRENDRE",IF(AJ75="CO","COUPE – À RESOUDER","À RÉPARER"))))))))))</f>
        <v>ACCEPTÉ</v>
      </c>
      <c r="AL75" s="82" t="str">
        <f aca="false">IF(AND(ISNUMBER(P75),OR(AK75="À RADIOGRAPHIER",AK75="RÉPARÉ – À RADIOGRAPHIER",AK75="NX – RT À REFAIRE",AK75="À RÉPARER",AK75="COUPE – À RESOUDER",AK75="VT REJETÉ – À REPRENDRE")),MAX(0,'PROGRAMME RT'!$C$4-P75),"")</f>
        <v/>
      </c>
      <c r="AM75" s="78" t="n">
        <f aca="false">IF(AND(OR(AK75="À RADIOGRAPHIER",AK75="RÉPARÉ – À RADIOGRAPHIER",AK75="NX – RT À REFAIRE"),OR('PROGRAMME RT'!$D$5="TOUTES",B75='PROGRAMME RT'!$D$5)),1,0)</f>
        <v>0</v>
      </c>
      <c r="AN75" s="78" t="str">
        <f aca="false">IF(AM75=1,SUM(AM$7:AM75),"")</f>
        <v/>
      </c>
      <c r="AO75" s="78" t="n">
        <f aca="false">IF(AND(OR(AK75="À RÉPARER",AK75="COUPE – À RESOUDER",AK75="VT REJETÉ – À REPRENDRE"),OR(RÉPARATIONS!$D$5="TOUTES",B75=RÉPARATIONS!$D$5)),1,0)</f>
        <v>0</v>
      </c>
      <c r="AP75" s="78" t="str">
        <f aca="false">IF(AO75=1,SUM(AO$7:AO75),"")</f>
        <v/>
      </c>
    </row>
    <row r="76" customFormat="false" ht="15" hidden="false" customHeight="false" outlineLevel="0" collapsed="false">
      <c r="A76" s="78" t="n">
        <f aca="false">IF(E76="","",ROW()-6)</f>
        <v>70</v>
      </c>
      <c r="B76" s="79" t="s">
        <v>100</v>
      </c>
      <c r="C76" s="80" t="s">
        <v>229</v>
      </c>
      <c r="D76" s="80" t="s">
        <v>101</v>
      </c>
      <c r="E76" s="80" t="s">
        <v>275</v>
      </c>
      <c r="F76" s="80" t="s">
        <v>149</v>
      </c>
      <c r="G76" s="80" t="s">
        <v>104</v>
      </c>
      <c r="H76" s="80" t="n">
        <v>11</v>
      </c>
      <c r="I76" s="80" t="s">
        <v>112</v>
      </c>
      <c r="J76" s="80" t="s">
        <v>130</v>
      </c>
      <c r="K76" s="80" t="s">
        <v>274</v>
      </c>
      <c r="L76" s="80" t="s">
        <v>276</v>
      </c>
      <c r="M76" s="80" t="s">
        <v>139</v>
      </c>
      <c r="N76" s="80" t="s">
        <v>139</v>
      </c>
      <c r="O76" s="80" t="s">
        <v>123</v>
      </c>
      <c r="P76" s="81" t="n">
        <v>45879</v>
      </c>
      <c r="Q76" s="81" t="n">
        <v>45880</v>
      </c>
      <c r="R76" s="80" t="s">
        <v>266</v>
      </c>
      <c r="S76" s="80" t="s">
        <v>103</v>
      </c>
      <c r="T76" s="81" t="n">
        <v>45890</v>
      </c>
      <c r="U76" s="80" t="s">
        <v>247</v>
      </c>
      <c r="V76" s="80" t="s">
        <v>103</v>
      </c>
      <c r="W76" s="80"/>
      <c r="X76" s="80"/>
      <c r="Y76" s="81"/>
      <c r="Z76" s="80"/>
      <c r="AA76" s="80"/>
      <c r="AB76" s="80"/>
      <c r="AC76" s="80"/>
      <c r="AD76" s="81"/>
      <c r="AE76" s="80"/>
      <c r="AF76" s="80"/>
      <c r="AG76" s="81"/>
      <c r="AH76" s="79"/>
      <c r="AI76" s="78" t="n">
        <f aca="false">IF(E76="","",(V76&lt;&gt;"")+(AA76&lt;&gt;"")+(AF76&lt;&gt;""))</f>
        <v>1</v>
      </c>
      <c r="AJ76" s="82" t="str">
        <f aca="false">IF(AF76&lt;&gt;"",AF76,IF(AA76&lt;&gt;"",AA76,IF(V76&lt;&gt;"",V76,"")))</f>
        <v>A</v>
      </c>
      <c r="AK76" s="83" t="str">
        <f aca="false">IF(E76="","",IF(P76="","À SOUDER",IF(S76="","VT EN ATTENTE",IF(S76="R","VT REJETÉ – À REPRENDRE",IF(AJ76="","À RADIOGRAPHIER",IF(AJ76="A","ACCEPTÉ",IF(AJ76="NX","NX – RT À REFAIRE",IF(IF(AI76=1,X76,IF(AI76=2,AC76,""))="A","RÉPARÉ – À RADIOGRAPHIER",IF(IF(AI76=1,X76,IF(AI76=2,AC76,""))="R","VT REJETÉ – À REPRENDRE",IF(AJ76="CO","COUPE – À RESOUDER","À RÉPARER"))))))))))</f>
        <v>ACCEPTÉ</v>
      </c>
      <c r="AL76" s="82" t="str">
        <f aca="false">IF(AND(ISNUMBER(P76),OR(AK76="À RADIOGRAPHIER",AK76="RÉPARÉ – À RADIOGRAPHIER",AK76="NX – RT À REFAIRE",AK76="À RÉPARER",AK76="COUPE – À RESOUDER",AK76="VT REJETÉ – À REPRENDRE")),MAX(0,'PROGRAMME RT'!$C$4-P76),"")</f>
        <v/>
      </c>
      <c r="AM76" s="78" t="n">
        <f aca="false">IF(AND(OR(AK76="À RADIOGRAPHIER",AK76="RÉPARÉ – À RADIOGRAPHIER",AK76="NX – RT À REFAIRE"),OR('PROGRAMME RT'!$D$5="TOUTES",B76='PROGRAMME RT'!$D$5)),1,0)</f>
        <v>0</v>
      </c>
      <c r="AN76" s="78" t="str">
        <f aca="false">IF(AM76=1,SUM(AM$7:AM76),"")</f>
        <v/>
      </c>
      <c r="AO76" s="78" t="n">
        <f aca="false">IF(AND(OR(AK76="À RÉPARER",AK76="COUPE – À RESOUDER",AK76="VT REJETÉ – À REPRENDRE"),OR(RÉPARATIONS!$D$5="TOUTES",B76=RÉPARATIONS!$D$5)),1,0)</f>
        <v>0</v>
      </c>
      <c r="AP76" s="78" t="str">
        <f aca="false">IF(AO76=1,SUM(AO$7:AO76),"")</f>
        <v/>
      </c>
    </row>
    <row r="77" customFormat="false" ht="15" hidden="false" customHeight="false" outlineLevel="0" collapsed="false">
      <c r="A77" s="78" t="n">
        <f aca="false">IF(E77="","",ROW()-6)</f>
        <v>71</v>
      </c>
      <c r="B77" s="79" t="s">
        <v>100</v>
      </c>
      <c r="C77" s="80" t="s">
        <v>229</v>
      </c>
      <c r="D77" s="80" t="s">
        <v>101</v>
      </c>
      <c r="E77" s="80" t="s">
        <v>277</v>
      </c>
      <c r="F77" s="80" t="s">
        <v>149</v>
      </c>
      <c r="G77" s="80" t="s">
        <v>104</v>
      </c>
      <c r="H77" s="80" t="n">
        <v>11</v>
      </c>
      <c r="I77" s="80" t="s">
        <v>112</v>
      </c>
      <c r="J77" s="80" t="s">
        <v>130</v>
      </c>
      <c r="K77" s="80" t="s">
        <v>276</v>
      </c>
      <c r="L77" s="80" t="s">
        <v>278</v>
      </c>
      <c r="M77" s="80" t="s">
        <v>139</v>
      </c>
      <c r="N77" s="80" t="s">
        <v>139</v>
      </c>
      <c r="O77" s="80" t="s">
        <v>132</v>
      </c>
      <c r="P77" s="81" t="n">
        <v>45880</v>
      </c>
      <c r="Q77" s="81" t="n">
        <v>45880</v>
      </c>
      <c r="R77" s="80" t="s">
        <v>266</v>
      </c>
      <c r="S77" s="80" t="s">
        <v>103</v>
      </c>
      <c r="T77" s="81" t="n">
        <v>45890</v>
      </c>
      <c r="U77" s="80" t="s">
        <v>247</v>
      </c>
      <c r="V77" s="80" t="s">
        <v>103</v>
      </c>
      <c r="W77" s="80"/>
      <c r="X77" s="80"/>
      <c r="Y77" s="81"/>
      <c r="Z77" s="80"/>
      <c r="AA77" s="80"/>
      <c r="AB77" s="80"/>
      <c r="AC77" s="80"/>
      <c r="AD77" s="81"/>
      <c r="AE77" s="80"/>
      <c r="AF77" s="80"/>
      <c r="AG77" s="81"/>
      <c r="AH77" s="79"/>
      <c r="AI77" s="78" t="n">
        <f aca="false">IF(E77="","",(V77&lt;&gt;"")+(AA77&lt;&gt;"")+(AF77&lt;&gt;""))</f>
        <v>1</v>
      </c>
      <c r="AJ77" s="82" t="str">
        <f aca="false">IF(AF77&lt;&gt;"",AF77,IF(AA77&lt;&gt;"",AA77,IF(V77&lt;&gt;"",V77,"")))</f>
        <v>A</v>
      </c>
      <c r="AK77" s="83" t="str">
        <f aca="false">IF(E77="","",IF(P77="","À SOUDER",IF(S77="","VT EN ATTENTE",IF(S77="R","VT REJETÉ – À REPRENDRE",IF(AJ77="","À RADIOGRAPHIER",IF(AJ77="A","ACCEPTÉ",IF(AJ77="NX","NX – RT À REFAIRE",IF(IF(AI77=1,X77,IF(AI77=2,AC77,""))="A","RÉPARÉ – À RADIOGRAPHIER",IF(IF(AI77=1,X77,IF(AI77=2,AC77,""))="R","VT REJETÉ – À REPRENDRE",IF(AJ77="CO","COUPE – À RESOUDER","À RÉPARER"))))))))))</f>
        <v>ACCEPTÉ</v>
      </c>
      <c r="AL77" s="82" t="str">
        <f aca="false">IF(AND(ISNUMBER(P77),OR(AK77="À RADIOGRAPHIER",AK77="RÉPARÉ – À RADIOGRAPHIER",AK77="NX – RT À REFAIRE",AK77="À RÉPARER",AK77="COUPE – À RESOUDER",AK77="VT REJETÉ – À REPRENDRE")),MAX(0,'PROGRAMME RT'!$C$4-P77),"")</f>
        <v/>
      </c>
      <c r="AM77" s="78" t="n">
        <f aca="false">IF(AND(OR(AK77="À RADIOGRAPHIER",AK77="RÉPARÉ – À RADIOGRAPHIER",AK77="NX – RT À REFAIRE"),OR('PROGRAMME RT'!$D$5="TOUTES",B77='PROGRAMME RT'!$D$5)),1,0)</f>
        <v>0</v>
      </c>
      <c r="AN77" s="78" t="str">
        <f aca="false">IF(AM77=1,SUM(AM$7:AM77),"")</f>
        <v/>
      </c>
      <c r="AO77" s="78" t="n">
        <f aca="false">IF(AND(OR(AK77="À RÉPARER",AK77="COUPE – À RESOUDER",AK77="VT REJETÉ – À REPRENDRE"),OR(RÉPARATIONS!$D$5="TOUTES",B77=RÉPARATIONS!$D$5)),1,0)</f>
        <v>0</v>
      </c>
      <c r="AP77" s="78" t="str">
        <f aca="false">IF(AO77=1,SUM(AO$7:AO77),"")</f>
        <v/>
      </c>
    </row>
    <row r="78" customFormat="false" ht="15" hidden="false" customHeight="false" outlineLevel="0" collapsed="false">
      <c r="A78" s="78" t="n">
        <f aca="false">IF(E78="","",ROW()-6)</f>
        <v>72</v>
      </c>
      <c r="B78" s="79" t="s">
        <v>100</v>
      </c>
      <c r="C78" s="80" t="s">
        <v>229</v>
      </c>
      <c r="D78" s="80" t="s">
        <v>101</v>
      </c>
      <c r="E78" s="80" t="s">
        <v>279</v>
      </c>
      <c r="F78" s="80" t="s">
        <v>149</v>
      </c>
      <c r="G78" s="80" t="s">
        <v>104</v>
      </c>
      <c r="H78" s="80" t="n">
        <v>11</v>
      </c>
      <c r="I78" s="80" t="s">
        <v>112</v>
      </c>
      <c r="J78" s="80" t="s">
        <v>130</v>
      </c>
      <c r="K78" s="80" t="s">
        <v>278</v>
      </c>
      <c r="L78" s="80" t="s">
        <v>280</v>
      </c>
      <c r="M78" s="80" t="s">
        <v>139</v>
      </c>
      <c r="N78" s="80" t="s">
        <v>139</v>
      </c>
      <c r="O78" s="80" t="s">
        <v>123</v>
      </c>
      <c r="P78" s="81" t="n">
        <v>45879</v>
      </c>
      <c r="Q78" s="81" t="n">
        <v>45880</v>
      </c>
      <c r="R78" s="80" t="s">
        <v>266</v>
      </c>
      <c r="S78" s="80" t="s">
        <v>103</v>
      </c>
      <c r="T78" s="81" t="n">
        <v>45890</v>
      </c>
      <c r="U78" s="80" t="s">
        <v>247</v>
      </c>
      <c r="V78" s="80" t="s">
        <v>103</v>
      </c>
      <c r="W78" s="80"/>
      <c r="X78" s="80"/>
      <c r="Y78" s="81"/>
      <c r="Z78" s="80"/>
      <c r="AA78" s="80"/>
      <c r="AB78" s="80"/>
      <c r="AC78" s="80"/>
      <c r="AD78" s="81"/>
      <c r="AE78" s="80"/>
      <c r="AF78" s="80"/>
      <c r="AG78" s="81"/>
      <c r="AH78" s="79"/>
      <c r="AI78" s="78" t="n">
        <f aca="false">IF(E78="","",(V78&lt;&gt;"")+(AA78&lt;&gt;"")+(AF78&lt;&gt;""))</f>
        <v>1</v>
      </c>
      <c r="AJ78" s="82" t="str">
        <f aca="false">IF(AF78&lt;&gt;"",AF78,IF(AA78&lt;&gt;"",AA78,IF(V78&lt;&gt;"",V78,"")))</f>
        <v>A</v>
      </c>
      <c r="AK78" s="83" t="str">
        <f aca="false">IF(E78="","",IF(P78="","À SOUDER",IF(S78="","VT EN ATTENTE",IF(S78="R","VT REJETÉ – À REPRENDRE",IF(AJ78="","À RADIOGRAPHIER",IF(AJ78="A","ACCEPTÉ",IF(AJ78="NX","NX – RT À REFAIRE",IF(IF(AI78=1,X78,IF(AI78=2,AC78,""))="A","RÉPARÉ – À RADIOGRAPHIER",IF(IF(AI78=1,X78,IF(AI78=2,AC78,""))="R","VT REJETÉ – À REPRENDRE",IF(AJ78="CO","COUPE – À RESOUDER","À RÉPARER"))))))))))</f>
        <v>ACCEPTÉ</v>
      </c>
      <c r="AL78" s="82" t="str">
        <f aca="false">IF(AND(ISNUMBER(P78),OR(AK78="À RADIOGRAPHIER",AK78="RÉPARÉ – À RADIOGRAPHIER",AK78="NX – RT À REFAIRE",AK78="À RÉPARER",AK78="COUPE – À RESOUDER",AK78="VT REJETÉ – À REPRENDRE")),MAX(0,'PROGRAMME RT'!$C$4-P78),"")</f>
        <v/>
      </c>
      <c r="AM78" s="78" t="n">
        <f aca="false">IF(AND(OR(AK78="À RADIOGRAPHIER",AK78="RÉPARÉ – À RADIOGRAPHIER",AK78="NX – RT À REFAIRE"),OR('PROGRAMME RT'!$D$5="TOUTES",B78='PROGRAMME RT'!$D$5)),1,0)</f>
        <v>0</v>
      </c>
      <c r="AN78" s="78" t="str">
        <f aca="false">IF(AM78=1,SUM(AM$7:AM78),"")</f>
        <v/>
      </c>
      <c r="AO78" s="78" t="n">
        <f aca="false">IF(AND(OR(AK78="À RÉPARER",AK78="COUPE – À RESOUDER",AK78="VT REJETÉ – À REPRENDRE"),OR(RÉPARATIONS!$D$5="TOUTES",B78=RÉPARATIONS!$D$5)),1,0)</f>
        <v>0</v>
      </c>
      <c r="AP78" s="78" t="str">
        <f aca="false">IF(AO78=1,SUM(AO$7:AO78),"")</f>
        <v/>
      </c>
    </row>
    <row r="79" customFormat="false" ht="15" hidden="false" customHeight="false" outlineLevel="0" collapsed="false">
      <c r="A79" s="78" t="n">
        <f aca="false">IF(E79="","",ROW()-6)</f>
        <v>73</v>
      </c>
      <c r="B79" s="79" t="s">
        <v>100</v>
      </c>
      <c r="C79" s="80" t="s">
        <v>229</v>
      </c>
      <c r="D79" s="80" t="s">
        <v>101</v>
      </c>
      <c r="E79" s="80" t="s">
        <v>281</v>
      </c>
      <c r="F79" s="80" t="s">
        <v>149</v>
      </c>
      <c r="G79" s="80" t="s">
        <v>104</v>
      </c>
      <c r="H79" s="80" t="n">
        <v>11</v>
      </c>
      <c r="I79" s="80" t="s">
        <v>112</v>
      </c>
      <c r="J79" s="80" t="s">
        <v>130</v>
      </c>
      <c r="K79" s="80" t="s">
        <v>280</v>
      </c>
      <c r="L79" s="80" t="s">
        <v>282</v>
      </c>
      <c r="M79" s="80" t="s">
        <v>139</v>
      </c>
      <c r="N79" s="80" t="s">
        <v>139</v>
      </c>
      <c r="O79" s="80" t="s">
        <v>132</v>
      </c>
      <c r="P79" s="81" t="n">
        <v>45880</v>
      </c>
      <c r="Q79" s="81" t="n">
        <v>45880</v>
      </c>
      <c r="R79" s="80" t="s">
        <v>266</v>
      </c>
      <c r="S79" s="80" t="s">
        <v>103</v>
      </c>
      <c r="T79" s="81" t="n">
        <v>45890</v>
      </c>
      <c r="U79" s="80" t="s">
        <v>247</v>
      </c>
      <c r="V79" s="80" t="s">
        <v>103</v>
      </c>
      <c r="W79" s="80"/>
      <c r="X79" s="80"/>
      <c r="Y79" s="81"/>
      <c r="Z79" s="80"/>
      <c r="AA79" s="80"/>
      <c r="AB79" s="80"/>
      <c r="AC79" s="80"/>
      <c r="AD79" s="81"/>
      <c r="AE79" s="80"/>
      <c r="AF79" s="80"/>
      <c r="AG79" s="81"/>
      <c r="AH79" s="79"/>
      <c r="AI79" s="78" t="n">
        <f aca="false">IF(E79="","",(V79&lt;&gt;"")+(AA79&lt;&gt;"")+(AF79&lt;&gt;""))</f>
        <v>1</v>
      </c>
      <c r="AJ79" s="82" t="str">
        <f aca="false">IF(AF79&lt;&gt;"",AF79,IF(AA79&lt;&gt;"",AA79,IF(V79&lt;&gt;"",V79,"")))</f>
        <v>A</v>
      </c>
      <c r="AK79" s="83" t="str">
        <f aca="false">IF(E79="","",IF(P79="","À SOUDER",IF(S79="","VT EN ATTENTE",IF(S79="R","VT REJETÉ – À REPRENDRE",IF(AJ79="","À RADIOGRAPHIER",IF(AJ79="A","ACCEPTÉ",IF(AJ79="NX","NX – RT À REFAIRE",IF(IF(AI79=1,X79,IF(AI79=2,AC79,""))="A","RÉPARÉ – À RADIOGRAPHIER",IF(IF(AI79=1,X79,IF(AI79=2,AC79,""))="R","VT REJETÉ – À REPRENDRE",IF(AJ79="CO","COUPE – À RESOUDER","À RÉPARER"))))))))))</f>
        <v>ACCEPTÉ</v>
      </c>
      <c r="AL79" s="82" t="str">
        <f aca="false">IF(AND(ISNUMBER(P79),OR(AK79="À RADIOGRAPHIER",AK79="RÉPARÉ – À RADIOGRAPHIER",AK79="NX – RT À REFAIRE",AK79="À RÉPARER",AK79="COUPE – À RESOUDER",AK79="VT REJETÉ – À REPRENDRE")),MAX(0,'PROGRAMME RT'!$C$4-P79),"")</f>
        <v/>
      </c>
      <c r="AM79" s="78" t="n">
        <f aca="false">IF(AND(OR(AK79="À RADIOGRAPHIER",AK79="RÉPARÉ – À RADIOGRAPHIER",AK79="NX – RT À REFAIRE"),OR('PROGRAMME RT'!$D$5="TOUTES",B79='PROGRAMME RT'!$D$5)),1,0)</f>
        <v>0</v>
      </c>
      <c r="AN79" s="78" t="str">
        <f aca="false">IF(AM79=1,SUM(AM$7:AM79),"")</f>
        <v/>
      </c>
      <c r="AO79" s="78" t="n">
        <f aca="false">IF(AND(OR(AK79="À RÉPARER",AK79="COUPE – À RESOUDER",AK79="VT REJETÉ – À REPRENDRE"),OR(RÉPARATIONS!$D$5="TOUTES",B79=RÉPARATIONS!$D$5)),1,0)</f>
        <v>0</v>
      </c>
      <c r="AP79" s="78" t="str">
        <f aca="false">IF(AO79=1,SUM(AO$7:AO79),"")</f>
        <v/>
      </c>
    </row>
    <row r="80" customFormat="false" ht="15" hidden="false" customHeight="false" outlineLevel="0" collapsed="false">
      <c r="A80" s="78" t="n">
        <f aca="false">IF(E80="","",ROW()-6)</f>
        <v>74</v>
      </c>
      <c r="B80" s="79" t="s">
        <v>100</v>
      </c>
      <c r="C80" s="80" t="s">
        <v>229</v>
      </c>
      <c r="D80" s="80" t="s">
        <v>101</v>
      </c>
      <c r="E80" s="80" t="s">
        <v>283</v>
      </c>
      <c r="F80" s="80" t="s">
        <v>149</v>
      </c>
      <c r="G80" s="80" t="s">
        <v>104</v>
      </c>
      <c r="H80" s="80" t="n">
        <v>11</v>
      </c>
      <c r="I80" s="80" t="s">
        <v>112</v>
      </c>
      <c r="J80" s="80" t="s">
        <v>130</v>
      </c>
      <c r="K80" s="80" t="s">
        <v>282</v>
      </c>
      <c r="L80" s="80" t="s">
        <v>284</v>
      </c>
      <c r="M80" s="80" t="s">
        <v>139</v>
      </c>
      <c r="N80" s="80" t="s">
        <v>139</v>
      </c>
      <c r="O80" s="80" t="s">
        <v>123</v>
      </c>
      <c r="P80" s="81" t="n">
        <v>45879</v>
      </c>
      <c r="Q80" s="81" t="n">
        <v>45880</v>
      </c>
      <c r="R80" s="80" t="s">
        <v>266</v>
      </c>
      <c r="S80" s="80" t="s">
        <v>103</v>
      </c>
      <c r="T80" s="81" t="n">
        <v>45890</v>
      </c>
      <c r="U80" s="80" t="s">
        <v>247</v>
      </c>
      <c r="V80" s="80" t="s">
        <v>103</v>
      </c>
      <c r="W80" s="80"/>
      <c r="X80" s="80"/>
      <c r="Y80" s="81"/>
      <c r="Z80" s="80"/>
      <c r="AA80" s="80"/>
      <c r="AB80" s="80"/>
      <c r="AC80" s="80"/>
      <c r="AD80" s="81"/>
      <c r="AE80" s="80"/>
      <c r="AF80" s="80"/>
      <c r="AG80" s="81"/>
      <c r="AH80" s="79"/>
      <c r="AI80" s="78" t="n">
        <f aca="false">IF(E80="","",(V80&lt;&gt;"")+(AA80&lt;&gt;"")+(AF80&lt;&gt;""))</f>
        <v>1</v>
      </c>
      <c r="AJ80" s="82" t="str">
        <f aca="false">IF(AF80&lt;&gt;"",AF80,IF(AA80&lt;&gt;"",AA80,IF(V80&lt;&gt;"",V80,"")))</f>
        <v>A</v>
      </c>
      <c r="AK80" s="83" t="str">
        <f aca="false">IF(E80="","",IF(P80="","À SOUDER",IF(S80="","VT EN ATTENTE",IF(S80="R","VT REJETÉ – À REPRENDRE",IF(AJ80="","À RADIOGRAPHIER",IF(AJ80="A","ACCEPTÉ",IF(AJ80="NX","NX – RT À REFAIRE",IF(IF(AI80=1,X80,IF(AI80=2,AC80,""))="A","RÉPARÉ – À RADIOGRAPHIER",IF(IF(AI80=1,X80,IF(AI80=2,AC80,""))="R","VT REJETÉ – À REPRENDRE",IF(AJ80="CO","COUPE – À RESOUDER","À RÉPARER"))))))))))</f>
        <v>ACCEPTÉ</v>
      </c>
      <c r="AL80" s="82" t="str">
        <f aca="false">IF(AND(ISNUMBER(P80),OR(AK80="À RADIOGRAPHIER",AK80="RÉPARÉ – À RADIOGRAPHIER",AK80="NX – RT À REFAIRE",AK80="À RÉPARER",AK80="COUPE – À RESOUDER",AK80="VT REJETÉ – À REPRENDRE")),MAX(0,'PROGRAMME RT'!$C$4-P80),"")</f>
        <v/>
      </c>
      <c r="AM80" s="78" t="n">
        <f aca="false">IF(AND(OR(AK80="À RADIOGRAPHIER",AK80="RÉPARÉ – À RADIOGRAPHIER",AK80="NX – RT À REFAIRE"),OR('PROGRAMME RT'!$D$5="TOUTES",B80='PROGRAMME RT'!$D$5)),1,0)</f>
        <v>0</v>
      </c>
      <c r="AN80" s="78" t="str">
        <f aca="false">IF(AM80=1,SUM(AM$7:AM80),"")</f>
        <v/>
      </c>
      <c r="AO80" s="78" t="n">
        <f aca="false">IF(AND(OR(AK80="À RÉPARER",AK80="COUPE – À RESOUDER",AK80="VT REJETÉ – À REPRENDRE"),OR(RÉPARATIONS!$D$5="TOUTES",B80=RÉPARATIONS!$D$5)),1,0)</f>
        <v>0</v>
      </c>
      <c r="AP80" s="78" t="str">
        <f aca="false">IF(AO80=1,SUM(AO$7:AO80),"")</f>
        <v/>
      </c>
    </row>
    <row r="81" customFormat="false" ht="15" hidden="false" customHeight="false" outlineLevel="0" collapsed="false">
      <c r="A81" s="78" t="n">
        <f aca="false">IF(E81="","",ROW()-6)</f>
        <v>75</v>
      </c>
      <c r="B81" s="79" t="s">
        <v>100</v>
      </c>
      <c r="C81" s="80" t="s">
        <v>229</v>
      </c>
      <c r="D81" s="80" t="s">
        <v>101</v>
      </c>
      <c r="E81" s="80" t="s">
        <v>285</v>
      </c>
      <c r="F81" s="80" t="s">
        <v>149</v>
      </c>
      <c r="G81" s="80" t="s">
        <v>104</v>
      </c>
      <c r="H81" s="80" t="n">
        <v>11</v>
      </c>
      <c r="I81" s="80" t="s">
        <v>112</v>
      </c>
      <c r="J81" s="80" t="s">
        <v>130</v>
      </c>
      <c r="K81" s="80" t="s">
        <v>284</v>
      </c>
      <c r="L81" s="80" t="s">
        <v>286</v>
      </c>
      <c r="M81" s="80" t="s">
        <v>139</v>
      </c>
      <c r="N81" s="80" t="s">
        <v>139</v>
      </c>
      <c r="O81" s="80" t="s">
        <v>132</v>
      </c>
      <c r="P81" s="81" t="n">
        <v>45880</v>
      </c>
      <c r="Q81" s="81" t="n">
        <v>45880</v>
      </c>
      <c r="R81" s="80" t="s">
        <v>266</v>
      </c>
      <c r="S81" s="80" t="s">
        <v>103</v>
      </c>
      <c r="T81" s="81" t="n">
        <v>45890</v>
      </c>
      <c r="U81" s="80" t="s">
        <v>287</v>
      </c>
      <c r="V81" s="80" t="s">
        <v>103</v>
      </c>
      <c r="W81" s="80"/>
      <c r="X81" s="80"/>
      <c r="Y81" s="81"/>
      <c r="Z81" s="80"/>
      <c r="AA81" s="80"/>
      <c r="AB81" s="80"/>
      <c r="AC81" s="80"/>
      <c r="AD81" s="81"/>
      <c r="AE81" s="80"/>
      <c r="AF81" s="80"/>
      <c r="AG81" s="81"/>
      <c r="AH81" s="79"/>
      <c r="AI81" s="78" t="n">
        <f aca="false">IF(E81="","",(V81&lt;&gt;"")+(AA81&lt;&gt;"")+(AF81&lt;&gt;""))</f>
        <v>1</v>
      </c>
      <c r="AJ81" s="82" t="str">
        <f aca="false">IF(AF81&lt;&gt;"",AF81,IF(AA81&lt;&gt;"",AA81,IF(V81&lt;&gt;"",V81,"")))</f>
        <v>A</v>
      </c>
      <c r="AK81" s="83" t="str">
        <f aca="false">IF(E81="","",IF(P81="","À SOUDER",IF(S81="","VT EN ATTENTE",IF(S81="R","VT REJETÉ – À REPRENDRE",IF(AJ81="","À RADIOGRAPHIER",IF(AJ81="A","ACCEPTÉ",IF(AJ81="NX","NX – RT À REFAIRE",IF(IF(AI81=1,X81,IF(AI81=2,AC81,""))="A","RÉPARÉ – À RADIOGRAPHIER",IF(IF(AI81=1,X81,IF(AI81=2,AC81,""))="R","VT REJETÉ – À REPRENDRE",IF(AJ81="CO","COUPE – À RESOUDER","À RÉPARER"))))))))))</f>
        <v>ACCEPTÉ</v>
      </c>
      <c r="AL81" s="82" t="str">
        <f aca="false">IF(AND(ISNUMBER(P81),OR(AK81="À RADIOGRAPHIER",AK81="RÉPARÉ – À RADIOGRAPHIER",AK81="NX – RT À REFAIRE",AK81="À RÉPARER",AK81="COUPE – À RESOUDER",AK81="VT REJETÉ – À REPRENDRE")),MAX(0,'PROGRAMME RT'!$C$4-P81),"")</f>
        <v/>
      </c>
      <c r="AM81" s="78" t="n">
        <f aca="false">IF(AND(OR(AK81="À RADIOGRAPHIER",AK81="RÉPARÉ – À RADIOGRAPHIER",AK81="NX – RT À REFAIRE"),OR('PROGRAMME RT'!$D$5="TOUTES",B81='PROGRAMME RT'!$D$5)),1,0)</f>
        <v>0</v>
      </c>
      <c r="AN81" s="78" t="str">
        <f aca="false">IF(AM81=1,SUM(AM$7:AM81),"")</f>
        <v/>
      </c>
      <c r="AO81" s="78" t="n">
        <f aca="false">IF(AND(OR(AK81="À RÉPARER",AK81="COUPE – À RESOUDER",AK81="VT REJETÉ – À REPRENDRE"),OR(RÉPARATIONS!$D$5="TOUTES",B81=RÉPARATIONS!$D$5)),1,0)</f>
        <v>0</v>
      </c>
      <c r="AP81" s="78" t="str">
        <f aca="false">IF(AO81=1,SUM(AO$7:AO81),"")</f>
        <v/>
      </c>
    </row>
    <row r="82" customFormat="false" ht="15" hidden="false" customHeight="false" outlineLevel="0" collapsed="false">
      <c r="A82" s="78" t="n">
        <f aca="false">IF(E82="","",ROW()-6)</f>
        <v>76</v>
      </c>
      <c r="B82" s="79" t="s">
        <v>100</v>
      </c>
      <c r="C82" s="80" t="s">
        <v>229</v>
      </c>
      <c r="D82" s="80" t="s">
        <v>101</v>
      </c>
      <c r="E82" s="80" t="s">
        <v>288</v>
      </c>
      <c r="F82" s="80" t="s">
        <v>149</v>
      </c>
      <c r="G82" s="80" t="s">
        <v>104</v>
      </c>
      <c r="H82" s="80" t="n">
        <v>11</v>
      </c>
      <c r="I82" s="80" t="s">
        <v>112</v>
      </c>
      <c r="J82" s="80" t="s">
        <v>130</v>
      </c>
      <c r="K82" s="80" t="s">
        <v>286</v>
      </c>
      <c r="L82" s="80" t="s">
        <v>289</v>
      </c>
      <c r="M82" s="80" t="s">
        <v>139</v>
      </c>
      <c r="N82" s="80" t="s">
        <v>139</v>
      </c>
      <c r="O82" s="80" t="s">
        <v>123</v>
      </c>
      <c r="P82" s="81" t="n">
        <v>45881</v>
      </c>
      <c r="Q82" s="81" t="n">
        <v>45881</v>
      </c>
      <c r="R82" s="80" t="s">
        <v>290</v>
      </c>
      <c r="S82" s="80" t="s">
        <v>103</v>
      </c>
      <c r="T82" s="81" t="n">
        <v>45890</v>
      </c>
      <c r="U82" s="80" t="s">
        <v>287</v>
      </c>
      <c r="V82" s="80" t="s">
        <v>103</v>
      </c>
      <c r="W82" s="80"/>
      <c r="X82" s="80"/>
      <c r="Y82" s="81"/>
      <c r="Z82" s="80"/>
      <c r="AA82" s="80"/>
      <c r="AB82" s="80"/>
      <c r="AC82" s="80"/>
      <c r="AD82" s="81"/>
      <c r="AE82" s="80"/>
      <c r="AF82" s="80"/>
      <c r="AG82" s="81"/>
      <c r="AH82" s="79"/>
      <c r="AI82" s="78" t="n">
        <f aca="false">IF(E82="","",(V82&lt;&gt;"")+(AA82&lt;&gt;"")+(AF82&lt;&gt;""))</f>
        <v>1</v>
      </c>
      <c r="AJ82" s="82" t="str">
        <f aca="false">IF(AF82&lt;&gt;"",AF82,IF(AA82&lt;&gt;"",AA82,IF(V82&lt;&gt;"",V82,"")))</f>
        <v>A</v>
      </c>
      <c r="AK82" s="83" t="str">
        <f aca="false">IF(E82="","",IF(P82="","À SOUDER",IF(S82="","VT EN ATTENTE",IF(S82="R","VT REJETÉ – À REPRENDRE",IF(AJ82="","À RADIOGRAPHIER",IF(AJ82="A","ACCEPTÉ",IF(AJ82="NX","NX – RT À REFAIRE",IF(IF(AI82=1,X82,IF(AI82=2,AC82,""))="A","RÉPARÉ – À RADIOGRAPHIER",IF(IF(AI82=1,X82,IF(AI82=2,AC82,""))="R","VT REJETÉ – À REPRENDRE",IF(AJ82="CO","COUPE – À RESOUDER","À RÉPARER"))))))))))</f>
        <v>ACCEPTÉ</v>
      </c>
      <c r="AL82" s="82" t="str">
        <f aca="false">IF(AND(ISNUMBER(P82),OR(AK82="À RADIOGRAPHIER",AK82="RÉPARÉ – À RADIOGRAPHIER",AK82="NX – RT À REFAIRE",AK82="À RÉPARER",AK82="COUPE – À RESOUDER",AK82="VT REJETÉ – À REPRENDRE")),MAX(0,'PROGRAMME RT'!$C$4-P82),"")</f>
        <v/>
      </c>
      <c r="AM82" s="78" t="n">
        <f aca="false">IF(AND(OR(AK82="À RADIOGRAPHIER",AK82="RÉPARÉ – À RADIOGRAPHIER",AK82="NX – RT À REFAIRE"),OR('PROGRAMME RT'!$D$5="TOUTES",B82='PROGRAMME RT'!$D$5)),1,0)</f>
        <v>0</v>
      </c>
      <c r="AN82" s="78" t="str">
        <f aca="false">IF(AM82=1,SUM(AM$7:AM82),"")</f>
        <v/>
      </c>
      <c r="AO82" s="78" t="n">
        <f aca="false">IF(AND(OR(AK82="À RÉPARER",AK82="COUPE – À RESOUDER",AK82="VT REJETÉ – À REPRENDRE"),OR(RÉPARATIONS!$D$5="TOUTES",B82=RÉPARATIONS!$D$5)),1,0)</f>
        <v>0</v>
      </c>
      <c r="AP82" s="78" t="str">
        <f aca="false">IF(AO82=1,SUM(AO$7:AO82),"")</f>
        <v/>
      </c>
    </row>
    <row r="83" customFormat="false" ht="15" hidden="false" customHeight="false" outlineLevel="0" collapsed="false">
      <c r="A83" s="78" t="n">
        <f aca="false">IF(E83="","",ROW()-6)</f>
        <v>77</v>
      </c>
      <c r="B83" s="79" t="s">
        <v>100</v>
      </c>
      <c r="C83" s="80" t="s">
        <v>229</v>
      </c>
      <c r="D83" s="80" t="s">
        <v>101</v>
      </c>
      <c r="E83" s="80" t="s">
        <v>291</v>
      </c>
      <c r="F83" s="80" t="s">
        <v>149</v>
      </c>
      <c r="G83" s="80" t="s">
        <v>104</v>
      </c>
      <c r="H83" s="80" t="n">
        <v>11</v>
      </c>
      <c r="I83" s="80" t="s">
        <v>112</v>
      </c>
      <c r="J83" s="80" t="s">
        <v>130</v>
      </c>
      <c r="K83" s="80" t="s">
        <v>289</v>
      </c>
      <c r="L83" s="80" t="s">
        <v>292</v>
      </c>
      <c r="M83" s="80" t="s">
        <v>139</v>
      </c>
      <c r="N83" s="80" t="s">
        <v>139</v>
      </c>
      <c r="O83" s="80" t="s">
        <v>132</v>
      </c>
      <c r="P83" s="81" t="n">
        <v>45881</v>
      </c>
      <c r="Q83" s="81" t="n">
        <v>45881</v>
      </c>
      <c r="R83" s="80" t="s">
        <v>290</v>
      </c>
      <c r="S83" s="80" t="s">
        <v>103</v>
      </c>
      <c r="T83" s="81" t="n">
        <v>45890</v>
      </c>
      <c r="U83" s="80" t="s">
        <v>287</v>
      </c>
      <c r="V83" s="80" t="s">
        <v>103</v>
      </c>
      <c r="W83" s="80"/>
      <c r="X83" s="80"/>
      <c r="Y83" s="81"/>
      <c r="Z83" s="80"/>
      <c r="AA83" s="80"/>
      <c r="AB83" s="80"/>
      <c r="AC83" s="80"/>
      <c r="AD83" s="81"/>
      <c r="AE83" s="80"/>
      <c r="AF83" s="80"/>
      <c r="AG83" s="81"/>
      <c r="AH83" s="79"/>
      <c r="AI83" s="78" t="n">
        <f aca="false">IF(E83="","",(V83&lt;&gt;"")+(AA83&lt;&gt;"")+(AF83&lt;&gt;""))</f>
        <v>1</v>
      </c>
      <c r="AJ83" s="82" t="str">
        <f aca="false">IF(AF83&lt;&gt;"",AF83,IF(AA83&lt;&gt;"",AA83,IF(V83&lt;&gt;"",V83,"")))</f>
        <v>A</v>
      </c>
      <c r="AK83" s="83" t="str">
        <f aca="false">IF(E83="","",IF(P83="","À SOUDER",IF(S83="","VT EN ATTENTE",IF(S83="R","VT REJETÉ – À REPRENDRE",IF(AJ83="","À RADIOGRAPHIER",IF(AJ83="A","ACCEPTÉ",IF(AJ83="NX","NX – RT À REFAIRE",IF(IF(AI83=1,X83,IF(AI83=2,AC83,""))="A","RÉPARÉ – À RADIOGRAPHIER",IF(IF(AI83=1,X83,IF(AI83=2,AC83,""))="R","VT REJETÉ – À REPRENDRE",IF(AJ83="CO","COUPE – À RESOUDER","À RÉPARER"))))))))))</f>
        <v>ACCEPTÉ</v>
      </c>
      <c r="AL83" s="82" t="str">
        <f aca="false">IF(AND(ISNUMBER(P83),OR(AK83="À RADIOGRAPHIER",AK83="RÉPARÉ – À RADIOGRAPHIER",AK83="NX – RT À REFAIRE",AK83="À RÉPARER",AK83="COUPE – À RESOUDER",AK83="VT REJETÉ – À REPRENDRE")),MAX(0,'PROGRAMME RT'!$C$4-P83),"")</f>
        <v/>
      </c>
      <c r="AM83" s="78" t="n">
        <f aca="false">IF(AND(OR(AK83="À RADIOGRAPHIER",AK83="RÉPARÉ – À RADIOGRAPHIER",AK83="NX – RT À REFAIRE"),OR('PROGRAMME RT'!$D$5="TOUTES",B83='PROGRAMME RT'!$D$5)),1,0)</f>
        <v>0</v>
      </c>
      <c r="AN83" s="78" t="str">
        <f aca="false">IF(AM83=1,SUM(AM$7:AM83),"")</f>
        <v/>
      </c>
      <c r="AO83" s="78" t="n">
        <f aca="false">IF(AND(OR(AK83="À RÉPARER",AK83="COUPE – À RESOUDER",AK83="VT REJETÉ – À REPRENDRE"),OR(RÉPARATIONS!$D$5="TOUTES",B83=RÉPARATIONS!$D$5)),1,0)</f>
        <v>0</v>
      </c>
      <c r="AP83" s="78" t="str">
        <f aca="false">IF(AO83=1,SUM(AO$7:AO83),"")</f>
        <v/>
      </c>
    </row>
    <row r="84" customFormat="false" ht="15" hidden="false" customHeight="false" outlineLevel="0" collapsed="false">
      <c r="A84" s="78" t="n">
        <f aca="false">IF(E84="","",ROW()-6)</f>
        <v>78</v>
      </c>
      <c r="B84" s="79" t="s">
        <v>100</v>
      </c>
      <c r="C84" s="80" t="s">
        <v>229</v>
      </c>
      <c r="D84" s="80" t="s">
        <v>101</v>
      </c>
      <c r="E84" s="80" t="s">
        <v>293</v>
      </c>
      <c r="F84" s="80" t="s">
        <v>149</v>
      </c>
      <c r="G84" s="80" t="s">
        <v>104</v>
      </c>
      <c r="H84" s="80" t="n">
        <v>11</v>
      </c>
      <c r="I84" s="80" t="s">
        <v>112</v>
      </c>
      <c r="J84" s="80" t="s">
        <v>130</v>
      </c>
      <c r="K84" s="80" t="s">
        <v>292</v>
      </c>
      <c r="L84" s="80" t="s">
        <v>294</v>
      </c>
      <c r="M84" s="80" t="s">
        <v>139</v>
      </c>
      <c r="N84" s="80" t="s">
        <v>139</v>
      </c>
      <c r="O84" s="80" t="s">
        <v>123</v>
      </c>
      <c r="P84" s="81" t="n">
        <v>45881</v>
      </c>
      <c r="Q84" s="81" t="n">
        <v>45881</v>
      </c>
      <c r="R84" s="80" t="s">
        <v>290</v>
      </c>
      <c r="S84" s="80" t="s">
        <v>103</v>
      </c>
      <c r="T84" s="81" t="n">
        <v>45890</v>
      </c>
      <c r="U84" s="80" t="s">
        <v>287</v>
      </c>
      <c r="V84" s="80" t="s">
        <v>103</v>
      </c>
      <c r="W84" s="80"/>
      <c r="X84" s="80"/>
      <c r="Y84" s="81"/>
      <c r="Z84" s="80"/>
      <c r="AA84" s="80"/>
      <c r="AB84" s="80"/>
      <c r="AC84" s="80"/>
      <c r="AD84" s="81"/>
      <c r="AE84" s="80"/>
      <c r="AF84" s="80"/>
      <c r="AG84" s="81"/>
      <c r="AH84" s="79"/>
      <c r="AI84" s="78" t="n">
        <f aca="false">IF(E84="","",(V84&lt;&gt;"")+(AA84&lt;&gt;"")+(AF84&lt;&gt;""))</f>
        <v>1</v>
      </c>
      <c r="AJ84" s="82" t="str">
        <f aca="false">IF(AF84&lt;&gt;"",AF84,IF(AA84&lt;&gt;"",AA84,IF(V84&lt;&gt;"",V84,"")))</f>
        <v>A</v>
      </c>
      <c r="AK84" s="83" t="str">
        <f aca="false">IF(E84="","",IF(P84="","À SOUDER",IF(S84="","VT EN ATTENTE",IF(S84="R","VT REJETÉ – À REPRENDRE",IF(AJ84="","À RADIOGRAPHIER",IF(AJ84="A","ACCEPTÉ",IF(AJ84="NX","NX – RT À REFAIRE",IF(IF(AI84=1,X84,IF(AI84=2,AC84,""))="A","RÉPARÉ – À RADIOGRAPHIER",IF(IF(AI84=1,X84,IF(AI84=2,AC84,""))="R","VT REJETÉ – À REPRENDRE",IF(AJ84="CO","COUPE – À RESOUDER","À RÉPARER"))))))))))</f>
        <v>ACCEPTÉ</v>
      </c>
      <c r="AL84" s="82" t="str">
        <f aca="false">IF(AND(ISNUMBER(P84),OR(AK84="À RADIOGRAPHIER",AK84="RÉPARÉ – À RADIOGRAPHIER",AK84="NX – RT À REFAIRE",AK84="À RÉPARER",AK84="COUPE – À RESOUDER",AK84="VT REJETÉ – À REPRENDRE")),MAX(0,'PROGRAMME RT'!$C$4-P84),"")</f>
        <v/>
      </c>
      <c r="AM84" s="78" t="n">
        <f aca="false">IF(AND(OR(AK84="À RADIOGRAPHIER",AK84="RÉPARÉ – À RADIOGRAPHIER",AK84="NX – RT À REFAIRE"),OR('PROGRAMME RT'!$D$5="TOUTES",B84='PROGRAMME RT'!$D$5)),1,0)</f>
        <v>0</v>
      </c>
      <c r="AN84" s="78" t="str">
        <f aca="false">IF(AM84=1,SUM(AM$7:AM84),"")</f>
        <v/>
      </c>
      <c r="AO84" s="78" t="n">
        <f aca="false">IF(AND(OR(AK84="À RÉPARER",AK84="COUPE – À RESOUDER",AK84="VT REJETÉ – À REPRENDRE"),OR(RÉPARATIONS!$D$5="TOUTES",B84=RÉPARATIONS!$D$5)),1,0)</f>
        <v>0</v>
      </c>
      <c r="AP84" s="78" t="str">
        <f aca="false">IF(AO84=1,SUM(AO$7:AO84),"")</f>
        <v/>
      </c>
    </row>
    <row r="85" customFormat="false" ht="15" hidden="false" customHeight="false" outlineLevel="0" collapsed="false">
      <c r="A85" s="78" t="n">
        <f aca="false">IF(E85="","",ROW()-6)</f>
        <v>79</v>
      </c>
      <c r="B85" s="79" t="s">
        <v>100</v>
      </c>
      <c r="C85" s="80" t="s">
        <v>229</v>
      </c>
      <c r="D85" s="80" t="s">
        <v>101</v>
      </c>
      <c r="E85" s="80" t="s">
        <v>295</v>
      </c>
      <c r="F85" s="80" t="s">
        <v>149</v>
      </c>
      <c r="G85" s="80" t="s">
        <v>104</v>
      </c>
      <c r="H85" s="80" t="n">
        <v>11</v>
      </c>
      <c r="I85" s="80" t="s">
        <v>112</v>
      </c>
      <c r="J85" s="80" t="s">
        <v>130</v>
      </c>
      <c r="K85" s="80" t="s">
        <v>294</v>
      </c>
      <c r="L85" s="80" t="s">
        <v>296</v>
      </c>
      <c r="M85" s="80" t="s">
        <v>139</v>
      </c>
      <c r="N85" s="80" t="s">
        <v>139</v>
      </c>
      <c r="O85" s="80" t="s">
        <v>132</v>
      </c>
      <c r="P85" s="81" t="n">
        <v>45881</v>
      </c>
      <c r="Q85" s="81" t="n">
        <v>45881</v>
      </c>
      <c r="R85" s="80" t="s">
        <v>290</v>
      </c>
      <c r="S85" s="80" t="s">
        <v>103</v>
      </c>
      <c r="T85" s="81" t="n">
        <v>45890</v>
      </c>
      <c r="U85" s="80" t="s">
        <v>287</v>
      </c>
      <c r="V85" s="80" t="s">
        <v>103</v>
      </c>
      <c r="W85" s="80"/>
      <c r="X85" s="80"/>
      <c r="Y85" s="81"/>
      <c r="Z85" s="80"/>
      <c r="AA85" s="80"/>
      <c r="AB85" s="80"/>
      <c r="AC85" s="80"/>
      <c r="AD85" s="81"/>
      <c r="AE85" s="80"/>
      <c r="AF85" s="80"/>
      <c r="AG85" s="81"/>
      <c r="AH85" s="79"/>
      <c r="AI85" s="78" t="n">
        <f aca="false">IF(E85="","",(V85&lt;&gt;"")+(AA85&lt;&gt;"")+(AF85&lt;&gt;""))</f>
        <v>1</v>
      </c>
      <c r="AJ85" s="82" t="str">
        <f aca="false">IF(AF85&lt;&gt;"",AF85,IF(AA85&lt;&gt;"",AA85,IF(V85&lt;&gt;"",V85,"")))</f>
        <v>A</v>
      </c>
      <c r="AK85" s="83" t="str">
        <f aca="false">IF(E85="","",IF(P85="","À SOUDER",IF(S85="","VT EN ATTENTE",IF(S85="R","VT REJETÉ – À REPRENDRE",IF(AJ85="","À RADIOGRAPHIER",IF(AJ85="A","ACCEPTÉ",IF(AJ85="NX","NX – RT À REFAIRE",IF(IF(AI85=1,X85,IF(AI85=2,AC85,""))="A","RÉPARÉ – À RADIOGRAPHIER",IF(IF(AI85=1,X85,IF(AI85=2,AC85,""))="R","VT REJETÉ – À REPRENDRE",IF(AJ85="CO","COUPE – À RESOUDER","À RÉPARER"))))))))))</f>
        <v>ACCEPTÉ</v>
      </c>
      <c r="AL85" s="82" t="str">
        <f aca="false">IF(AND(ISNUMBER(P85),OR(AK85="À RADIOGRAPHIER",AK85="RÉPARÉ – À RADIOGRAPHIER",AK85="NX – RT À REFAIRE",AK85="À RÉPARER",AK85="COUPE – À RESOUDER",AK85="VT REJETÉ – À REPRENDRE")),MAX(0,'PROGRAMME RT'!$C$4-P85),"")</f>
        <v/>
      </c>
      <c r="AM85" s="78" t="n">
        <f aca="false">IF(AND(OR(AK85="À RADIOGRAPHIER",AK85="RÉPARÉ – À RADIOGRAPHIER",AK85="NX – RT À REFAIRE"),OR('PROGRAMME RT'!$D$5="TOUTES",B85='PROGRAMME RT'!$D$5)),1,0)</f>
        <v>0</v>
      </c>
      <c r="AN85" s="78" t="str">
        <f aca="false">IF(AM85=1,SUM(AM$7:AM85),"")</f>
        <v/>
      </c>
      <c r="AO85" s="78" t="n">
        <f aca="false">IF(AND(OR(AK85="À RÉPARER",AK85="COUPE – À RESOUDER",AK85="VT REJETÉ – À REPRENDRE"),OR(RÉPARATIONS!$D$5="TOUTES",B85=RÉPARATIONS!$D$5)),1,0)</f>
        <v>0</v>
      </c>
      <c r="AP85" s="78" t="str">
        <f aca="false">IF(AO85=1,SUM(AO$7:AO85),"")</f>
        <v/>
      </c>
    </row>
    <row r="86" customFormat="false" ht="15" hidden="false" customHeight="false" outlineLevel="0" collapsed="false">
      <c r="A86" s="78" t="n">
        <f aca="false">IF(E86="","",ROW()-6)</f>
        <v>80</v>
      </c>
      <c r="B86" s="79" t="s">
        <v>100</v>
      </c>
      <c r="C86" s="80" t="s">
        <v>229</v>
      </c>
      <c r="D86" s="80" t="s">
        <v>101</v>
      </c>
      <c r="E86" s="80" t="s">
        <v>297</v>
      </c>
      <c r="F86" s="80" t="s">
        <v>149</v>
      </c>
      <c r="G86" s="80" t="s">
        <v>104</v>
      </c>
      <c r="H86" s="80" t="n">
        <v>11</v>
      </c>
      <c r="I86" s="80" t="s">
        <v>112</v>
      </c>
      <c r="J86" s="80" t="s">
        <v>130</v>
      </c>
      <c r="K86" s="80" t="s">
        <v>296</v>
      </c>
      <c r="L86" s="80" t="s">
        <v>298</v>
      </c>
      <c r="M86" s="80" t="s">
        <v>139</v>
      </c>
      <c r="N86" s="80" t="s">
        <v>139</v>
      </c>
      <c r="O86" s="80" t="s">
        <v>123</v>
      </c>
      <c r="P86" s="81" t="n">
        <v>45881</v>
      </c>
      <c r="Q86" s="81" t="n">
        <v>45881</v>
      </c>
      <c r="R86" s="80" t="s">
        <v>290</v>
      </c>
      <c r="S86" s="80" t="s">
        <v>103</v>
      </c>
      <c r="T86" s="81" t="n">
        <v>45890</v>
      </c>
      <c r="U86" s="80" t="s">
        <v>287</v>
      </c>
      <c r="V86" s="80" t="s">
        <v>103</v>
      </c>
      <c r="W86" s="80"/>
      <c r="X86" s="80"/>
      <c r="Y86" s="81"/>
      <c r="Z86" s="80"/>
      <c r="AA86" s="80"/>
      <c r="AB86" s="80"/>
      <c r="AC86" s="80"/>
      <c r="AD86" s="81"/>
      <c r="AE86" s="80"/>
      <c r="AF86" s="80"/>
      <c r="AG86" s="81"/>
      <c r="AH86" s="79"/>
      <c r="AI86" s="78" t="n">
        <f aca="false">IF(E86="","",(V86&lt;&gt;"")+(AA86&lt;&gt;"")+(AF86&lt;&gt;""))</f>
        <v>1</v>
      </c>
      <c r="AJ86" s="82" t="str">
        <f aca="false">IF(AF86&lt;&gt;"",AF86,IF(AA86&lt;&gt;"",AA86,IF(V86&lt;&gt;"",V86,"")))</f>
        <v>A</v>
      </c>
      <c r="AK86" s="83" t="str">
        <f aca="false">IF(E86="","",IF(P86="","À SOUDER",IF(S86="","VT EN ATTENTE",IF(S86="R","VT REJETÉ – À REPRENDRE",IF(AJ86="","À RADIOGRAPHIER",IF(AJ86="A","ACCEPTÉ",IF(AJ86="NX","NX – RT À REFAIRE",IF(IF(AI86=1,X86,IF(AI86=2,AC86,""))="A","RÉPARÉ – À RADIOGRAPHIER",IF(IF(AI86=1,X86,IF(AI86=2,AC86,""))="R","VT REJETÉ – À REPRENDRE",IF(AJ86="CO","COUPE – À RESOUDER","À RÉPARER"))))))))))</f>
        <v>ACCEPTÉ</v>
      </c>
      <c r="AL86" s="82" t="str">
        <f aca="false">IF(AND(ISNUMBER(P86),OR(AK86="À RADIOGRAPHIER",AK86="RÉPARÉ – À RADIOGRAPHIER",AK86="NX – RT À REFAIRE",AK86="À RÉPARER",AK86="COUPE – À RESOUDER",AK86="VT REJETÉ – À REPRENDRE")),MAX(0,'PROGRAMME RT'!$C$4-P86),"")</f>
        <v/>
      </c>
      <c r="AM86" s="78" t="n">
        <f aca="false">IF(AND(OR(AK86="À RADIOGRAPHIER",AK86="RÉPARÉ – À RADIOGRAPHIER",AK86="NX – RT À REFAIRE"),OR('PROGRAMME RT'!$D$5="TOUTES",B86='PROGRAMME RT'!$D$5)),1,0)</f>
        <v>0</v>
      </c>
      <c r="AN86" s="78" t="str">
        <f aca="false">IF(AM86=1,SUM(AM$7:AM86),"")</f>
        <v/>
      </c>
      <c r="AO86" s="78" t="n">
        <f aca="false">IF(AND(OR(AK86="À RÉPARER",AK86="COUPE – À RESOUDER",AK86="VT REJETÉ – À REPRENDRE"),OR(RÉPARATIONS!$D$5="TOUTES",B86=RÉPARATIONS!$D$5)),1,0)</f>
        <v>0</v>
      </c>
      <c r="AP86" s="78" t="str">
        <f aca="false">IF(AO86=1,SUM(AO$7:AO86),"")</f>
        <v/>
      </c>
    </row>
    <row r="87" customFormat="false" ht="15" hidden="false" customHeight="false" outlineLevel="0" collapsed="false">
      <c r="A87" s="78" t="n">
        <f aca="false">IF(E87="","",ROW()-6)</f>
        <v>81</v>
      </c>
      <c r="B87" s="79" t="s">
        <v>100</v>
      </c>
      <c r="C87" s="80" t="s">
        <v>229</v>
      </c>
      <c r="D87" s="80" t="s">
        <v>101</v>
      </c>
      <c r="E87" s="80" t="s">
        <v>299</v>
      </c>
      <c r="F87" s="80" t="s">
        <v>149</v>
      </c>
      <c r="G87" s="80" t="s">
        <v>104</v>
      </c>
      <c r="H87" s="80" t="n">
        <v>11</v>
      </c>
      <c r="I87" s="80" t="s">
        <v>112</v>
      </c>
      <c r="J87" s="80" t="s">
        <v>130</v>
      </c>
      <c r="K87" s="80" t="s">
        <v>298</v>
      </c>
      <c r="L87" s="80" t="s">
        <v>300</v>
      </c>
      <c r="M87" s="80" t="s">
        <v>139</v>
      </c>
      <c r="N87" s="80" t="s">
        <v>139</v>
      </c>
      <c r="O87" s="80" t="s">
        <v>132</v>
      </c>
      <c r="P87" s="81" t="n">
        <v>45881</v>
      </c>
      <c r="Q87" s="81" t="n">
        <v>45881</v>
      </c>
      <c r="R87" s="80" t="s">
        <v>290</v>
      </c>
      <c r="S87" s="80" t="s">
        <v>103</v>
      </c>
      <c r="T87" s="81" t="n">
        <v>45890</v>
      </c>
      <c r="U87" s="80" t="s">
        <v>287</v>
      </c>
      <c r="V87" s="80" t="s">
        <v>103</v>
      </c>
      <c r="W87" s="80"/>
      <c r="X87" s="80"/>
      <c r="Y87" s="81"/>
      <c r="Z87" s="80"/>
      <c r="AA87" s="80"/>
      <c r="AB87" s="80"/>
      <c r="AC87" s="80"/>
      <c r="AD87" s="81"/>
      <c r="AE87" s="80"/>
      <c r="AF87" s="80"/>
      <c r="AG87" s="81"/>
      <c r="AH87" s="79"/>
      <c r="AI87" s="78" t="n">
        <f aca="false">IF(E87="","",(V87&lt;&gt;"")+(AA87&lt;&gt;"")+(AF87&lt;&gt;""))</f>
        <v>1</v>
      </c>
      <c r="AJ87" s="82" t="str">
        <f aca="false">IF(AF87&lt;&gt;"",AF87,IF(AA87&lt;&gt;"",AA87,IF(V87&lt;&gt;"",V87,"")))</f>
        <v>A</v>
      </c>
      <c r="AK87" s="83" t="str">
        <f aca="false">IF(E87="","",IF(P87="","À SOUDER",IF(S87="","VT EN ATTENTE",IF(S87="R","VT REJETÉ – À REPRENDRE",IF(AJ87="","À RADIOGRAPHIER",IF(AJ87="A","ACCEPTÉ",IF(AJ87="NX","NX – RT À REFAIRE",IF(IF(AI87=1,X87,IF(AI87=2,AC87,""))="A","RÉPARÉ – À RADIOGRAPHIER",IF(IF(AI87=1,X87,IF(AI87=2,AC87,""))="R","VT REJETÉ – À REPRENDRE",IF(AJ87="CO","COUPE – À RESOUDER","À RÉPARER"))))))))))</f>
        <v>ACCEPTÉ</v>
      </c>
      <c r="AL87" s="82" t="str">
        <f aca="false">IF(AND(ISNUMBER(P87),OR(AK87="À RADIOGRAPHIER",AK87="RÉPARÉ – À RADIOGRAPHIER",AK87="NX – RT À REFAIRE",AK87="À RÉPARER",AK87="COUPE – À RESOUDER",AK87="VT REJETÉ – À REPRENDRE")),MAX(0,'PROGRAMME RT'!$C$4-P87),"")</f>
        <v/>
      </c>
      <c r="AM87" s="78" t="n">
        <f aca="false">IF(AND(OR(AK87="À RADIOGRAPHIER",AK87="RÉPARÉ – À RADIOGRAPHIER",AK87="NX – RT À REFAIRE"),OR('PROGRAMME RT'!$D$5="TOUTES",B87='PROGRAMME RT'!$D$5)),1,0)</f>
        <v>0</v>
      </c>
      <c r="AN87" s="78" t="str">
        <f aca="false">IF(AM87=1,SUM(AM$7:AM87),"")</f>
        <v/>
      </c>
      <c r="AO87" s="78" t="n">
        <f aca="false">IF(AND(OR(AK87="À RÉPARER",AK87="COUPE – À RESOUDER",AK87="VT REJETÉ – À REPRENDRE"),OR(RÉPARATIONS!$D$5="TOUTES",B87=RÉPARATIONS!$D$5)),1,0)</f>
        <v>0</v>
      </c>
      <c r="AP87" s="78" t="str">
        <f aca="false">IF(AO87=1,SUM(AO$7:AO87),"")</f>
        <v/>
      </c>
    </row>
    <row r="88" customFormat="false" ht="15" hidden="false" customHeight="false" outlineLevel="0" collapsed="false">
      <c r="A88" s="78" t="n">
        <f aca="false">IF(E88="","",ROW()-6)</f>
        <v>82</v>
      </c>
      <c r="B88" s="79" t="s">
        <v>100</v>
      </c>
      <c r="C88" s="80" t="s">
        <v>229</v>
      </c>
      <c r="D88" s="80" t="s">
        <v>101</v>
      </c>
      <c r="E88" s="80" t="s">
        <v>301</v>
      </c>
      <c r="F88" s="80" t="s">
        <v>149</v>
      </c>
      <c r="G88" s="80" t="s">
        <v>104</v>
      </c>
      <c r="H88" s="80" t="n">
        <v>11</v>
      </c>
      <c r="I88" s="80" t="s">
        <v>112</v>
      </c>
      <c r="J88" s="80" t="s">
        <v>130</v>
      </c>
      <c r="K88" s="80" t="s">
        <v>300</v>
      </c>
      <c r="L88" s="80" t="s">
        <v>302</v>
      </c>
      <c r="M88" s="80" t="s">
        <v>139</v>
      </c>
      <c r="N88" s="80" t="s">
        <v>139</v>
      </c>
      <c r="O88" s="80" t="s">
        <v>123</v>
      </c>
      <c r="P88" s="81" t="n">
        <v>45881</v>
      </c>
      <c r="Q88" s="81" t="n">
        <v>45881</v>
      </c>
      <c r="R88" s="80" t="s">
        <v>290</v>
      </c>
      <c r="S88" s="80" t="s">
        <v>103</v>
      </c>
      <c r="T88" s="81" t="n">
        <v>45890</v>
      </c>
      <c r="U88" s="80" t="s">
        <v>287</v>
      </c>
      <c r="V88" s="80" t="s">
        <v>103</v>
      </c>
      <c r="W88" s="80"/>
      <c r="X88" s="80"/>
      <c r="Y88" s="81"/>
      <c r="Z88" s="80"/>
      <c r="AA88" s="80"/>
      <c r="AB88" s="80"/>
      <c r="AC88" s="80"/>
      <c r="AD88" s="81"/>
      <c r="AE88" s="80"/>
      <c r="AF88" s="80"/>
      <c r="AG88" s="81"/>
      <c r="AH88" s="79"/>
      <c r="AI88" s="78" t="n">
        <f aca="false">IF(E88="","",(V88&lt;&gt;"")+(AA88&lt;&gt;"")+(AF88&lt;&gt;""))</f>
        <v>1</v>
      </c>
      <c r="AJ88" s="82" t="str">
        <f aca="false">IF(AF88&lt;&gt;"",AF88,IF(AA88&lt;&gt;"",AA88,IF(V88&lt;&gt;"",V88,"")))</f>
        <v>A</v>
      </c>
      <c r="AK88" s="83" t="str">
        <f aca="false">IF(E88="","",IF(P88="","À SOUDER",IF(S88="","VT EN ATTENTE",IF(S88="R","VT REJETÉ – À REPRENDRE",IF(AJ88="","À RADIOGRAPHIER",IF(AJ88="A","ACCEPTÉ",IF(AJ88="NX","NX – RT À REFAIRE",IF(IF(AI88=1,X88,IF(AI88=2,AC88,""))="A","RÉPARÉ – À RADIOGRAPHIER",IF(IF(AI88=1,X88,IF(AI88=2,AC88,""))="R","VT REJETÉ – À REPRENDRE",IF(AJ88="CO","COUPE – À RESOUDER","À RÉPARER"))))))))))</f>
        <v>ACCEPTÉ</v>
      </c>
      <c r="AL88" s="82" t="str">
        <f aca="false">IF(AND(ISNUMBER(P88),OR(AK88="À RADIOGRAPHIER",AK88="RÉPARÉ – À RADIOGRAPHIER",AK88="NX – RT À REFAIRE",AK88="À RÉPARER",AK88="COUPE – À RESOUDER",AK88="VT REJETÉ – À REPRENDRE")),MAX(0,'PROGRAMME RT'!$C$4-P88),"")</f>
        <v/>
      </c>
      <c r="AM88" s="78" t="n">
        <f aca="false">IF(AND(OR(AK88="À RADIOGRAPHIER",AK88="RÉPARÉ – À RADIOGRAPHIER",AK88="NX – RT À REFAIRE"),OR('PROGRAMME RT'!$D$5="TOUTES",B88='PROGRAMME RT'!$D$5)),1,0)</f>
        <v>0</v>
      </c>
      <c r="AN88" s="78" t="str">
        <f aca="false">IF(AM88=1,SUM(AM$7:AM88),"")</f>
        <v/>
      </c>
      <c r="AO88" s="78" t="n">
        <f aca="false">IF(AND(OR(AK88="À RÉPARER",AK88="COUPE – À RESOUDER",AK88="VT REJETÉ – À REPRENDRE"),OR(RÉPARATIONS!$D$5="TOUTES",B88=RÉPARATIONS!$D$5)),1,0)</f>
        <v>0</v>
      </c>
      <c r="AP88" s="78" t="str">
        <f aca="false">IF(AO88=1,SUM(AO$7:AO88),"")</f>
        <v/>
      </c>
    </row>
    <row r="89" customFormat="false" ht="15" hidden="false" customHeight="false" outlineLevel="0" collapsed="false">
      <c r="A89" s="78" t="n">
        <f aca="false">IF(E89="","",ROW()-6)</f>
        <v>83</v>
      </c>
      <c r="B89" s="79" t="s">
        <v>100</v>
      </c>
      <c r="C89" s="80" t="s">
        <v>229</v>
      </c>
      <c r="D89" s="80" t="s">
        <v>101</v>
      </c>
      <c r="E89" s="80" t="s">
        <v>303</v>
      </c>
      <c r="F89" s="80" t="s">
        <v>149</v>
      </c>
      <c r="G89" s="80" t="s">
        <v>104</v>
      </c>
      <c r="H89" s="80" t="n">
        <v>11</v>
      </c>
      <c r="I89" s="80" t="s">
        <v>112</v>
      </c>
      <c r="J89" s="80" t="s">
        <v>130</v>
      </c>
      <c r="K89" s="80" t="s">
        <v>302</v>
      </c>
      <c r="L89" s="80" t="s">
        <v>304</v>
      </c>
      <c r="M89" s="80" t="s">
        <v>139</v>
      </c>
      <c r="N89" s="80" t="s">
        <v>139</v>
      </c>
      <c r="O89" s="80" t="s">
        <v>132</v>
      </c>
      <c r="P89" s="81" t="n">
        <v>45881</v>
      </c>
      <c r="Q89" s="81" t="n">
        <v>45881</v>
      </c>
      <c r="R89" s="80" t="s">
        <v>290</v>
      </c>
      <c r="S89" s="80" t="s">
        <v>103</v>
      </c>
      <c r="T89" s="81" t="n">
        <v>45890</v>
      </c>
      <c r="U89" s="80" t="s">
        <v>287</v>
      </c>
      <c r="V89" s="80" t="s">
        <v>103</v>
      </c>
      <c r="W89" s="80"/>
      <c r="X89" s="80"/>
      <c r="Y89" s="81"/>
      <c r="Z89" s="80"/>
      <c r="AA89" s="80"/>
      <c r="AB89" s="80"/>
      <c r="AC89" s="80"/>
      <c r="AD89" s="81"/>
      <c r="AE89" s="80"/>
      <c r="AF89" s="80"/>
      <c r="AG89" s="81"/>
      <c r="AH89" s="79"/>
      <c r="AI89" s="78" t="n">
        <f aca="false">IF(E89="","",(V89&lt;&gt;"")+(AA89&lt;&gt;"")+(AF89&lt;&gt;""))</f>
        <v>1</v>
      </c>
      <c r="AJ89" s="82" t="str">
        <f aca="false">IF(AF89&lt;&gt;"",AF89,IF(AA89&lt;&gt;"",AA89,IF(V89&lt;&gt;"",V89,"")))</f>
        <v>A</v>
      </c>
      <c r="AK89" s="83" t="str">
        <f aca="false">IF(E89="","",IF(P89="","À SOUDER",IF(S89="","VT EN ATTENTE",IF(S89="R","VT REJETÉ – À REPRENDRE",IF(AJ89="","À RADIOGRAPHIER",IF(AJ89="A","ACCEPTÉ",IF(AJ89="NX","NX – RT À REFAIRE",IF(IF(AI89=1,X89,IF(AI89=2,AC89,""))="A","RÉPARÉ – À RADIOGRAPHIER",IF(IF(AI89=1,X89,IF(AI89=2,AC89,""))="R","VT REJETÉ – À REPRENDRE",IF(AJ89="CO","COUPE – À RESOUDER","À RÉPARER"))))))))))</f>
        <v>ACCEPTÉ</v>
      </c>
      <c r="AL89" s="82" t="str">
        <f aca="false">IF(AND(ISNUMBER(P89),OR(AK89="À RADIOGRAPHIER",AK89="RÉPARÉ – À RADIOGRAPHIER",AK89="NX – RT À REFAIRE",AK89="À RÉPARER",AK89="COUPE – À RESOUDER",AK89="VT REJETÉ – À REPRENDRE")),MAX(0,'PROGRAMME RT'!$C$4-P89),"")</f>
        <v/>
      </c>
      <c r="AM89" s="78" t="n">
        <f aca="false">IF(AND(OR(AK89="À RADIOGRAPHIER",AK89="RÉPARÉ – À RADIOGRAPHIER",AK89="NX – RT À REFAIRE"),OR('PROGRAMME RT'!$D$5="TOUTES",B89='PROGRAMME RT'!$D$5)),1,0)</f>
        <v>0</v>
      </c>
      <c r="AN89" s="78" t="str">
        <f aca="false">IF(AM89=1,SUM(AM$7:AM89),"")</f>
        <v/>
      </c>
      <c r="AO89" s="78" t="n">
        <f aca="false">IF(AND(OR(AK89="À RÉPARER",AK89="COUPE – À RESOUDER",AK89="VT REJETÉ – À REPRENDRE"),OR(RÉPARATIONS!$D$5="TOUTES",B89=RÉPARATIONS!$D$5)),1,0)</f>
        <v>0</v>
      </c>
      <c r="AP89" s="78" t="str">
        <f aca="false">IF(AO89=1,SUM(AO$7:AO89),"")</f>
        <v/>
      </c>
    </row>
    <row r="90" customFormat="false" ht="15" hidden="false" customHeight="false" outlineLevel="0" collapsed="false">
      <c r="A90" s="78" t="n">
        <f aca="false">IF(E90="","",ROW()-6)</f>
        <v>84</v>
      </c>
      <c r="B90" s="79" t="s">
        <v>100</v>
      </c>
      <c r="C90" s="80" t="s">
        <v>229</v>
      </c>
      <c r="D90" s="80" t="s">
        <v>101</v>
      </c>
      <c r="E90" s="80" t="s">
        <v>305</v>
      </c>
      <c r="F90" s="80" t="s">
        <v>149</v>
      </c>
      <c r="G90" s="80" t="s">
        <v>104</v>
      </c>
      <c r="H90" s="80" t="n">
        <v>11</v>
      </c>
      <c r="I90" s="80" t="s">
        <v>112</v>
      </c>
      <c r="J90" s="80" t="s">
        <v>130</v>
      </c>
      <c r="K90" s="80" t="s">
        <v>304</v>
      </c>
      <c r="L90" s="80" t="s">
        <v>306</v>
      </c>
      <c r="M90" s="80" t="s">
        <v>139</v>
      </c>
      <c r="N90" s="80" t="s">
        <v>139</v>
      </c>
      <c r="O90" s="80" t="s">
        <v>123</v>
      </c>
      <c r="P90" s="81" t="n">
        <v>45881</v>
      </c>
      <c r="Q90" s="81" t="n">
        <v>45881</v>
      </c>
      <c r="R90" s="80" t="s">
        <v>290</v>
      </c>
      <c r="S90" s="80" t="s">
        <v>103</v>
      </c>
      <c r="T90" s="81" t="n">
        <v>45890</v>
      </c>
      <c r="U90" s="80" t="s">
        <v>287</v>
      </c>
      <c r="V90" s="80" t="s">
        <v>103</v>
      </c>
      <c r="W90" s="80"/>
      <c r="X90" s="80"/>
      <c r="Y90" s="81"/>
      <c r="Z90" s="80"/>
      <c r="AA90" s="80"/>
      <c r="AB90" s="80"/>
      <c r="AC90" s="80"/>
      <c r="AD90" s="81"/>
      <c r="AE90" s="80"/>
      <c r="AF90" s="80"/>
      <c r="AG90" s="81"/>
      <c r="AH90" s="79"/>
      <c r="AI90" s="78" t="n">
        <f aca="false">IF(E90="","",(V90&lt;&gt;"")+(AA90&lt;&gt;"")+(AF90&lt;&gt;""))</f>
        <v>1</v>
      </c>
      <c r="AJ90" s="82" t="str">
        <f aca="false">IF(AF90&lt;&gt;"",AF90,IF(AA90&lt;&gt;"",AA90,IF(V90&lt;&gt;"",V90,"")))</f>
        <v>A</v>
      </c>
      <c r="AK90" s="83" t="str">
        <f aca="false">IF(E90="","",IF(P90="","À SOUDER",IF(S90="","VT EN ATTENTE",IF(S90="R","VT REJETÉ – À REPRENDRE",IF(AJ90="","À RADIOGRAPHIER",IF(AJ90="A","ACCEPTÉ",IF(AJ90="NX","NX – RT À REFAIRE",IF(IF(AI90=1,X90,IF(AI90=2,AC90,""))="A","RÉPARÉ – À RADIOGRAPHIER",IF(IF(AI90=1,X90,IF(AI90=2,AC90,""))="R","VT REJETÉ – À REPRENDRE",IF(AJ90="CO","COUPE – À RESOUDER","À RÉPARER"))))))))))</f>
        <v>ACCEPTÉ</v>
      </c>
      <c r="AL90" s="82" t="str">
        <f aca="false">IF(AND(ISNUMBER(P90),OR(AK90="À RADIOGRAPHIER",AK90="RÉPARÉ – À RADIOGRAPHIER",AK90="NX – RT À REFAIRE",AK90="À RÉPARER",AK90="COUPE – À RESOUDER",AK90="VT REJETÉ – À REPRENDRE")),MAX(0,'PROGRAMME RT'!$C$4-P90),"")</f>
        <v/>
      </c>
      <c r="AM90" s="78" t="n">
        <f aca="false">IF(AND(OR(AK90="À RADIOGRAPHIER",AK90="RÉPARÉ – À RADIOGRAPHIER",AK90="NX – RT À REFAIRE"),OR('PROGRAMME RT'!$D$5="TOUTES",B90='PROGRAMME RT'!$D$5)),1,0)</f>
        <v>0</v>
      </c>
      <c r="AN90" s="78" t="str">
        <f aca="false">IF(AM90=1,SUM(AM$7:AM90),"")</f>
        <v/>
      </c>
      <c r="AO90" s="78" t="n">
        <f aca="false">IF(AND(OR(AK90="À RÉPARER",AK90="COUPE – À RESOUDER",AK90="VT REJETÉ – À REPRENDRE"),OR(RÉPARATIONS!$D$5="TOUTES",B90=RÉPARATIONS!$D$5)),1,0)</f>
        <v>0</v>
      </c>
      <c r="AP90" s="78" t="str">
        <f aca="false">IF(AO90=1,SUM(AO$7:AO90),"")</f>
        <v/>
      </c>
    </row>
    <row r="91" customFormat="false" ht="15" hidden="false" customHeight="false" outlineLevel="0" collapsed="false">
      <c r="A91" s="78" t="n">
        <f aca="false">IF(E91="","",ROW()-6)</f>
        <v>85</v>
      </c>
      <c r="B91" s="79" t="s">
        <v>100</v>
      </c>
      <c r="C91" s="80" t="s">
        <v>229</v>
      </c>
      <c r="D91" s="80" t="s">
        <v>101</v>
      </c>
      <c r="E91" s="80" t="s">
        <v>307</v>
      </c>
      <c r="F91" s="80" t="s">
        <v>149</v>
      </c>
      <c r="G91" s="80" t="s">
        <v>104</v>
      </c>
      <c r="H91" s="80" t="n">
        <v>11</v>
      </c>
      <c r="I91" s="80" t="s">
        <v>112</v>
      </c>
      <c r="J91" s="80" t="s">
        <v>130</v>
      </c>
      <c r="K91" s="80" t="s">
        <v>306</v>
      </c>
      <c r="L91" s="80" t="s">
        <v>308</v>
      </c>
      <c r="M91" s="80" t="s">
        <v>139</v>
      </c>
      <c r="N91" s="80" t="s">
        <v>139</v>
      </c>
      <c r="O91" s="80" t="s">
        <v>132</v>
      </c>
      <c r="P91" s="81" t="n">
        <v>45881</v>
      </c>
      <c r="Q91" s="81" t="n">
        <v>45881</v>
      </c>
      <c r="R91" s="80" t="s">
        <v>290</v>
      </c>
      <c r="S91" s="80" t="s">
        <v>103</v>
      </c>
      <c r="T91" s="81" t="n">
        <v>45890</v>
      </c>
      <c r="U91" s="80" t="s">
        <v>287</v>
      </c>
      <c r="V91" s="80" t="s">
        <v>103</v>
      </c>
      <c r="W91" s="80"/>
      <c r="X91" s="80"/>
      <c r="Y91" s="81"/>
      <c r="Z91" s="80"/>
      <c r="AA91" s="80"/>
      <c r="AB91" s="80"/>
      <c r="AC91" s="80"/>
      <c r="AD91" s="81"/>
      <c r="AE91" s="80"/>
      <c r="AF91" s="80"/>
      <c r="AG91" s="81"/>
      <c r="AH91" s="79"/>
      <c r="AI91" s="78" t="n">
        <f aca="false">IF(E91="","",(V91&lt;&gt;"")+(AA91&lt;&gt;"")+(AF91&lt;&gt;""))</f>
        <v>1</v>
      </c>
      <c r="AJ91" s="82" t="str">
        <f aca="false">IF(AF91&lt;&gt;"",AF91,IF(AA91&lt;&gt;"",AA91,IF(V91&lt;&gt;"",V91,"")))</f>
        <v>A</v>
      </c>
      <c r="AK91" s="83" t="str">
        <f aca="false">IF(E91="","",IF(P91="","À SOUDER",IF(S91="","VT EN ATTENTE",IF(S91="R","VT REJETÉ – À REPRENDRE",IF(AJ91="","À RADIOGRAPHIER",IF(AJ91="A","ACCEPTÉ",IF(AJ91="NX","NX – RT À REFAIRE",IF(IF(AI91=1,X91,IF(AI91=2,AC91,""))="A","RÉPARÉ – À RADIOGRAPHIER",IF(IF(AI91=1,X91,IF(AI91=2,AC91,""))="R","VT REJETÉ – À REPRENDRE",IF(AJ91="CO","COUPE – À RESOUDER","À RÉPARER"))))))))))</f>
        <v>ACCEPTÉ</v>
      </c>
      <c r="AL91" s="82" t="str">
        <f aca="false">IF(AND(ISNUMBER(P91),OR(AK91="À RADIOGRAPHIER",AK91="RÉPARÉ – À RADIOGRAPHIER",AK91="NX – RT À REFAIRE",AK91="À RÉPARER",AK91="COUPE – À RESOUDER",AK91="VT REJETÉ – À REPRENDRE")),MAX(0,'PROGRAMME RT'!$C$4-P91),"")</f>
        <v/>
      </c>
      <c r="AM91" s="78" t="n">
        <f aca="false">IF(AND(OR(AK91="À RADIOGRAPHIER",AK91="RÉPARÉ – À RADIOGRAPHIER",AK91="NX – RT À REFAIRE"),OR('PROGRAMME RT'!$D$5="TOUTES",B91='PROGRAMME RT'!$D$5)),1,0)</f>
        <v>0</v>
      </c>
      <c r="AN91" s="78" t="str">
        <f aca="false">IF(AM91=1,SUM(AM$7:AM91),"")</f>
        <v/>
      </c>
      <c r="AO91" s="78" t="n">
        <f aca="false">IF(AND(OR(AK91="À RÉPARER",AK91="COUPE – À RESOUDER",AK91="VT REJETÉ – À REPRENDRE"),OR(RÉPARATIONS!$D$5="TOUTES",B91=RÉPARATIONS!$D$5)),1,0)</f>
        <v>0</v>
      </c>
      <c r="AP91" s="78" t="str">
        <f aca="false">IF(AO91=1,SUM(AO$7:AO91),"")</f>
        <v/>
      </c>
    </row>
    <row r="92" customFormat="false" ht="15" hidden="false" customHeight="false" outlineLevel="0" collapsed="false">
      <c r="A92" s="78" t="n">
        <f aca="false">IF(E92="","",ROW()-6)</f>
        <v>86</v>
      </c>
      <c r="B92" s="79" t="s">
        <v>100</v>
      </c>
      <c r="C92" s="80" t="s">
        <v>229</v>
      </c>
      <c r="D92" s="80" t="s">
        <v>101</v>
      </c>
      <c r="E92" s="80" t="s">
        <v>309</v>
      </c>
      <c r="F92" s="80" t="s">
        <v>149</v>
      </c>
      <c r="G92" s="80" t="s">
        <v>104</v>
      </c>
      <c r="H92" s="80" t="n">
        <v>11</v>
      </c>
      <c r="I92" s="80" t="s">
        <v>112</v>
      </c>
      <c r="J92" s="80" t="s">
        <v>130</v>
      </c>
      <c r="K92" s="80" t="s">
        <v>308</v>
      </c>
      <c r="L92" s="80" t="s">
        <v>310</v>
      </c>
      <c r="M92" s="80" t="s">
        <v>139</v>
      </c>
      <c r="N92" s="80" t="s">
        <v>139</v>
      </c>
      <c r="O92" s="80" t="s">
        <v>123</v>
      </c>
      <c r="P92" s="81" t="n">
        <v>45881</v>
      </c>
      <c r="Q92" s="81" t="n">
        <v>45881</v>
      </c>
      <c r="R92" s="80" t="s">
        <v>290</v>
      </c>
      <c r="S92" s="80" t="s">
        <v>103</v>
      </c>
      <c r="T92" s="81" t="n">
        <v>45890</v>
      </c>
      <c r="U92" s="80" t="s">
        <v>287</v>
      </c>
      <c r="V92" s="80" t="s">
        <v>103</v>
      </c>
      <c r="W92" s="80"/>
      <c r="X92" s="80"/>
      <c r="Y92" s="81"/>
      <c r="Z92" s="80"/>
      <c r="AA92" s="80"/>
      <c r="AB92" s="80"/>
      <c r="AC92" s="80"/>
      <c r="AD92" s="81"/>
      <c r="AE92" s="80"/>
      <c r="AF92" s="80"/>
      <c r="AG92" s="81"/>
      <c r="AH92" s="79"/>
      <c r="AI92" s="78" t="n">
        <f aca="false">IF(E92="","",(V92&lt;&gt;"")+(AA92&lt;&gt;"")+(AF92&lt;&gt;""))</f>
        <v>1</v>
      </c>
      <c r="AJ92" s="82" t="str">
        <f aca="false">IF(AF92&lt;&gt;"",AF92,IF(AA92&lt;&gt;"",AA92,IF(V92&lt;&gt;"",V92,"")))</f>
        <v>A</v>
      </c>
      <c r="AK92" s="83" t="str">
        <f aca="false">IF(E92="","",IF(P92="","À SOUDER",IF(S92="","VT EN ATTENTE",IF(S92="R","VT REJETÉ – À REPRENDRE",IF(AJ92="","À RADIOGRAPHIER",IF(AJ92="A","ACCEPTÉ",IF(AJ92="NX","NX – RT À REFAIRE",IF(IF(AI92=1,X92,IF(AI92=2,AC92,""))="A","RÉPARÉ – À RADIOGRAPHIER",IF(IF(AI92=1,X92,IF(AI92=2,AC92,""))="R","VT REJETÉ – À REPRENDRE",IF(AJ92="CO","COUPE – À RESOUDER","À RÉPARER"))))))))))</f>
        <v>ACCEPTÉ</v>
      </c>
      <c r="AL92" s="82" t="str">
        <f aca="false">IF(AND(ISNUMBER(P92),OR(AK92="À RADIOGRAPHIER",AK92="RÉPARÉ – À RADIOGRAPHIER",AK92="NX – RT À REFAIRE",AK92="À RÉPARER",AK92="COUPE – À RESOUDER",AK92="VT REJETÉ – À REPRENDRE")),MAX(0,'PROGRAMME RT'!$C$4-P92),"")</f>
        <v/>
      </c>
      <c r="AM92" s="78" t="n">
        <f aca="false">IF(AND(OR(AK92="À RADIOGRAPHIER",AK92="RÉPARÉ – À RADIOGRAPHIER",AK92="NX – RT À REFAIRE"),OR('PROGRAMME RT'!$D$5="TOUTES",B92='PROGRAMME RT'!$D$5)),1,0)</f>
        <v>0</v>
      </c>
      <c r="AN92" s="78" t="str">
        <f aca="false">IF(AM92=1,SUM(AM$7:AM92),"")</f>
        <v/>
      </c>
      <c r="AO92" s="78" t="n">
        <f aca="false">IF(AND(OR(AK92="À RÉPARER",AK92="COUPE – À RESOUDER",AK92="VT REJETÉ – À REPRENDRE"),OR(RÉPARATIONS!$D$5="TOUTES",B92=RÉPARATIONS!$D$5)),1,0)</f>
        <v>0</v>
      </c>
      <c r="AP92" s="78" t="str">
        <f aca="false">IF(AO92=1,SUM(AO$7:AO92),"")</f>
        <v/>
      </c>
    </row>
    <row r="93" customFormat="false" ht="15" hidden="false" customHeight="false" outlineLevel="0" collapsed="false">
      <c r="A93" s="78" t="n">
        <f aca="false">IF(E93="","",ROW()-6)</f>
        <v>87</v>
      </c>
      <c r="B93" s="79" t="s">
        <v>100</v>
      </c>
      <c r="C93" s="80" t="s">
        <v>229</v>
      </c>
      <c r="D93" s="80" t="s">
        <v>101</v>
      </c>
      <c r="E93" s="80" t="s">
        <v>311</v>
      </c>
      <c r="F93" s="80" t="s">
        <v>149</v>
      </c>
      <c r="G93" s="80" t="s">
        <v>104</v>
      </c>
      <c r="H93" s="80" t="n">
        <v>11</v>
      </c>
      <c r="I93" s="80" t="s">
        <v>112</v>
      </c>
      <c r="J93" s="80" t="s">
        <v>130</v>
      </c>
      <c r="K93" s="80" t="s">
        <v>310</v>
      </c>
      <c r="L93" s="80" t="s">
        <v>312</v>
      </c>
      <c r="M93" s="80" t="s">
        <v>139</v>
      </c>
      <c r="N93" s="80" t="s">
        <v>139</v>
      </c>
      <c r="O93" s="80" t="s">
        <v>132</v>
      </c>
      <c r="P93" s="81" t="n">
        <v>45882</v>
      </c>
      <c r="Q93" s="81" t="n">
        <v>45882</v>
      </c>
      <c r="R93" s="80" t="s">
        <v>313</v>
      </c>
      <c r="S93" s="80" t="s">
        <v>103</v>
      </c>
      <c r="T93" s="81" t="n">
        <v>45890</v>
      </c>
      <c r="U93" s="80" t="s">
        <v>287</v>
      </c>
      <c r="V93" s="80" t="s">
        <v>103</v>
      </c>
      <c r="W93" s="80"/>
      <c r="X93" s="80"/>
      <c r="Y93" s="81"/>
      <c r="Z93" s="80"/>
      <c r="AA93" s="80"/>
      <c r="AB93" s="80"/>
      <c r="AC93" s="80"/>
      <c r="AD93" s="81"/>
      <c r="AE93" s="80"/>
      <c r="AF93" s="80"/>
      <c r="AG93" s="81"/>
      <c r="AH93" s="79"/>
      <c r="AI93" s="78" t="n">
        <f aca="false">IF(E93="","",(V93&lt;&gt;"")+(AA93&lt;&gt;"")+(AF93&lt;&gt;""))</f>
        <v>1</v>
      </c>
      <c r="AJ93" s="82" t="str">
        <f aca="false">IF(AF93&lt;&gt;"",AF93,IF(AA93&lt;&gt;"",AA93,IF(V93&lt;&gt;"",V93,"")))</f>
        <v>A</v>
      </c>
      <c r="AK93" s="83" t="str">
        <f aca="false">IF(E93="","",IF(P93="","À SOUDER",IF(S93="","VT EN ATTENTE",IF(S93="R","VT REJETÉ – À REPRENDRE",IF(AJ93="","À RADIOGRAPHIER",IF(AJ93="A","ACCEPTÉ",IF(AJ93="NX","NX – RT À REFAIRE",IF(IF(AI93=1,X93,IF(AI93=2,AC93,""))="A","RÉPARÉ – À RADIOGRAPHIER",IF(IF(AI93=1,X93,IF(AI93=2,AC93,""))="R","VT REJETÉ – À REPRENDRE",IF(AJ93="CO","COUPE – À RESOUDER","À RÉPARER"))))))))))</f>
        <v>ACCEPTÉ</v>
      </c>
      <c r="AL93" s="82" t="str">
        <f aca="false">IF(AND(ISNUMBER(P93),OR(AK93="À RADIOGRAPHIER",AK93="RÉPARÉ – À RADIOGRAPHIER",AK93="NX – RT À REFAIRE",AK93="À RÉPARER",AK93="COUPE – À RESOUDER",AK93="VT REJETÉ – À REPRENDRE")),MAX(0,'PROGRAMME RT'!$C$4-P93),"")</f>
        <v/>
      </c>
      <c r="AM93" s="78" t="n">
        <f aca="false">IF(AND(OR(AK93="À RADIOGRAPHIER",AK93="RÉPARÉ – À RADIOGRAPHIER",AK93="NX – RT À REFAIRE"),OR('PROGRAMME RT'!$D$5="TOUTES",B93='PROGRAMME RT'!$D$5)),1,0)</f>
        <v>0</v>
      </c>
      <c r="AN93" s="78" t="str">
        <f aca="false">IF(AM93=1,SUM(AM$7:AM93),"")</f>
        <v/>
      </c>
      <c r="AO93" s="78" t="n">
        <f aca="false">IF(AND(OR(AK93="À RÉPARER",AK93="COUPE – À RESOUDER",AK93="VT REJETÉ – À REPRENDRE"),OR(RÉPARATIONS!$D$5="TOUTES",B93=RÉPARATIONS!$D$5)),1,0)</f>
        <v>0</v>
      </c>
      <c r="AP93" s="78" t="str">
        <f aca="false">IF(AO93=1,SUM(AO$7:AO93),"")</f>
        <v/>
      </c>
    </row>
    <row r="94" customFormat="false" ht="15" hidden="false" customHeight="false" outlineLevel="0" collapsed="false">
      <c r="A94" s="78" t="n">
        <f aca="false">IF(E94="","",ROW()-6)</f>
        <v>88</v>
      </c>
      <c r="B94" s="79" t="s">
        <v>100</v>
      </c>
      <c r="C94" s="80" t="s">
        <v>229</v>
      </c>
      <c r="D94" s="80" t="s">
        <v>101</v>
      </c>
      <c r="E94" s="80" t="s">
        <v>314</v>
      </c>
      <c r="F94" s="80" t="s">
        <v>149</v>
      </c>
      <c r="G94" s="80" t="s">
        <v>104</v>
      </c>
      <c r="H94" s="80" t="n">
        <v>11</v>
      </c>
      <c r="I94" s="80" t="s">
        <v>112</v>
      </c>
      <c r="J94" s="80" t="s">
        <v>130</v>
      </c>
      <c r="K94" s="80" t="s">
        <v>312</v>
      </c>
      <c r="L94" s="80" t="s">
        <v>315</v>
      </c>
      <c r="M94" s="80" t="s">
        <v>139</v>
      </c>
      <c r="N94" s="80" t="s">
        <v>139</v>
      </c>
      <c r="O94" s="80" t="s">
        <v>123</v>
      </c>
      <c r="P94" s="81" t="n">
        <v>45882</v>
      </c>
      <c r="Q94" s="81" t="n">
        <v>45882</v>
      </c>
      <c r="R94" s="80" t="s">
        <v>313</v>
      </c>
      <c r="S94" s="80" t="s">
        <v>103</v>
      </c>
      <c r="T94" s="81" t="n">
        <v>45890</v>
      </c>
      <c r="U94" s="80" t="s">
        <v>287</v>
      </c>
      <c r="V94" s="80" t="s">
        <v>103</v>
      </c>
      <c r="W94" s="80"/>
      <c r="X94" s="80"/>
      <c r="Y94" s="81"/>
      <c r="Z94" s="80"/>
      <c r="AA94" s="80"/>
      <c r="AB94" s="80"/>
      <c r="AC94" s="80"/>
      <c r="AD94" s="81"/>
      <c r="AE94" s="80"/>
      <c r="AF94" s="80"/>
      <c r="AG94" s="81"/>
      <c r="AH94" s="79"/>
      <c r="AI94" s="78" t="n">
        <f aca="false">IF(E94="","",(V94&lt;&gt;"")+(AA94&lt;&gt;"")+(AF94&lt;&gt;""))</f>
        <v>1</v>
      </c>
      <c r="AJ94" s="82" t="str">
        <f aca="false">IF(AF94&lt;&gt;"",AF94,IF(AA94&lt;&gt;"",AA94,IF(V94&lt;&gt;"",V94,"")))</f>
        <v>A</v>
      </c>
      <c r="AK94" s="83" t="str">
        <f aca="false">IF(E94="","",IF(P94="","À SOUDER",IF(S94="","VT EN ATTENTE",IF(S94="R","VT REJETÉ – À REPRENDRE",IF(AJ94="","À RADIOGRAPHIER",IF(AJ94="A","ACCEPTÉ",IF(AJ94="NX","NX – RT À REFAIRE",IF(IF(AI94=1,X94,IF(AI94=2,AC94,""))="A","RÉPARÉ – À RADIOGRAPHIER",IF(IF(AI94=1,X94,IF(AI94=2,AC94,""))="R","VT REJETÉ – À REPRENDRE",IF(AJ94="CO","COUPE – À RESOUDER","À RÉPARER"))))))))))</f>
        <v>ACCEPTÉ</v>
      </c>
      <c r="AL94" s="82" t="str">
        <f aca="false">IF(AND(ISNUMBER(P94),OR(AK94="À RADIOGRAPHIER",AK94="RÉPARÉ – À RADIOGRAPHIER",AK94="NX – RT À REFAIRE",AK94="À RÉPARER",AK94="COUPE – À RESOUDER",AK94="VT REJETÉ – À REPRENDRE")),MAX(0,'PROGRAMME RT'!$C$4-P94),"")</f>
        <v/>
      </c>
      <c r="AM94" s="78" t="n">
        <f aca="false">IF(AND(OR(AK94="À RADIOGRAPHIER",AK94="RÉPARÉ – À RADIOGRAPHIER",AK94="NX – RT À REFAIRE"),OR('PROGRAMME RT'!$D$5="TOUTES",B94='PROGRAMME RT'!$D$5)),1,0)</f>
        <v>0</v>
      </c>
      <c r="AN94" s="78" t="str">
        <f aca="false">IF(AM94=1,SUM(AM$7:AM94),"")</f>
        <v/>
      </c>
      <c r="AO94" s="78" t="n">
        <f aca="false">IF(AND(OR(AK94="À RÉPARER",AK94="COUPE – À RESOUDER",AK94="VT REJETÉ – À REPRENDRE"),OR(RÉPARATIONS!$D$5="TOUTES",B94=RÉPARATIONS!$D$5)),1,0)</f>
        <v>0</v>
      </c>
      <c r="AP94" s="78" t="str">
        <f aca="false">IF(AO94=1,SUM(AO$7:AO94),"")</f>
        <v/>
      </c>
    </row>
    <row r="95" customFormat="false" ht="15" hidden="false" customHeight="false" outlineLevel="0" collapsed="false">
      <c r="A95" s="78" t="n">
        <f aca="false">IF(E95="","",ROW()-6)</f>
        <v>89</v>
      </c>
      <c r="B95" s="79" t="s">
        <v>100</v>
      </c>
      <c r="C95" s="80" t="s">
        <v>229</v>
      </c>
      <c r="D95" s="80" t="s">
        <v>316</v>
      </c>
      <c r="E95" s="80" t="s">
        <v>317</v>
      </c>
      <c r="F95" s="80" t="s">
        <v>149</v>
      </c>
      <c r="G95" s="80" t="s">
        <v>104</v>
      </c>
      <c r="H95" s="80" t="n">
        <v>11</v>
      </c>
      <c r="I95" s="80" t="s">
        <v>112</v>
      </c>
      <c r="J95" s="80" t="s">
        <v>130</v>
      </c>
      <c r="K95" s="80" t="s">
        <v>315</v>
      </c>
      <c r="L95" s="80" t="s">
        <v>318</v>
      </c>
      <c r="M95" s="80" t="s">
        <v>139</v>
      </c>
      <c r="N95" s="80" t="s">
        <v>139</v>
      </c>
      <c r="O95" s="80" t="s">
        <v>132</v>
      </c>
      <c r="P95" s="81" t="n">
        <v>45882</v>
      </c>
      <c r="Q95" s="81" t="n">
        <v>45882</v>
      </c>
      <c r="R95" s="80" t="s">
        <v>313</v>
      </c>
      <c r="S95" s="80" t="s">
        <v>103</v>
      </c>
      <c r="T95" s="81" t="n">
        <v>45892</v>
      </c>
      <c r="U95" s="80" t="s">
        <v>319</v>
      </c>
      <c r="V95" s="80" t="s">
        <v>103</v>
      </c>
      <c r="W95" s="80"/>
      <c r="X95" s="80"/>
      <c r="Y95" s="81"/>
      <c r="Z95" s="80"/>
      <c r="AA95" s="80"/>
      <c r="AB95" s="80"/>
      <c r="AC95" s="80"/>
      <c r="AD95" s="81"/>
      <c r="AE95" s="80"/>
      <c r="AF95" s="80"/>
      <c r="AG95" s="81"/>
      <c r="AH95" s="79"/>
      <c r="AI95" s="78" t="n">
        <f aca="false">IF(E95="","",(V95&lt;&gt;"")+(AA95&lt;&gt;"")+(AF95&lt;&gt;""))</f>
        <v>1</v>
      </c>
      <c r="AJ95" s="82" t="str">
        <f aca="false">IF(AF95&lt;&gt;"",AF95,IF(AA95&lt;&gt;"",AA95,IF(V95&lt;&gt;"",V95,"")))</f>
        <v>A</v>
      </c>
      <c r="AK95" s="83" t="str">
        <f aca="false">IF(E95="","",IF(P95="","À SOUDER",IF(S95="","VT EN ATTENTE",IF(S95="R","VT REJETÉ – À REPRENDRE",IF(AJ95="","À RADIOGRAPHIER",IF(AJ95="A","ACCEPTÉ",IF(AJ95="NX","NX – RT À REFAIRE",IF(IF(AI95=1,X95,IF(AI95=2,AC95,""))="A","RÉPARÉ – À RADIOGRAPHIER",IF(IF(AI95=1,X95,IF(AI95=2,AC95,""))="R","VT REJETÉ – À REPRENDRE",IF(AJ95="CO","COUPE – À RESOUDER","À RÉPARER"))))))))))</f>
        <v>ACCEPTÉ</v>
      </c>
      <c r="AL95" s="82" t="str">
        <f aca="false">IF(AND(ISNUMBER(P95),OR(AK95="À RADIOGRAPHIER",AK95="RÉPARÉ – À RADIOGRAPHIER",AK95="NX – RT À REFAIRE",AK95="À RÉPARER",AK95="COUPE – À RESOUDER",AK95="VT REJETÉ – À REPRENDRE")),MAX(0,'PROGRAMME RT'!$C$4-P95),"")</f>
        <v/>
      </c>
      <c r="AM95" s="78" t="n">
        <f aca="false">IF(AND(OR(AK95="À RADIOGRAPHIER",AK95="RÉPARÉ – À RADIOGRAPHIER",AK95="NX – RT À REFAIRE"),OR('PROGRAMME RT'!$D$5="TOUTES",B95='PROGRAMME RT'!$D$5)),1,0)</f>
        <v>0</v>
      </c>
      <c r="AN95" s="78" t="str">
        <f aca="false">IF(AM95=1,SUM(AM$7:AM95),"")</f>
        <v/>
      </c>
      <c r="AO95" s="78" t="n">
        <f aca="false">IF(AND(OR(AK95="À RÉPARER",AK95="COUPE – À RESOUDER",AK95="VT REJETÉ – À REPRENDRE"),OR(RÉPARATIONS!$D$5="TOUTES",B95=RÉPARATIONS!$D$5)),1,0)</f>
        <v>0</v>
      </c>
      <c r="AP95" s="78" t="str">
        <f aca="false">IF(AO95=1,SUM(AO$7:AO95),"")</f>
        <v/>
      </c>
    </row>
    <row r="96" customFormat="false" ht="15" hidden="false" customHeight="false" outlineLevel="0" collapsed="false">
      <c r="A96" s="78" t="n">
        <f aca="false">IF(E96="","",ROW()-6)</f>
        <v>90</v>
      </c>
      <c r="B96" s="79" t="s">
        <v>100</v>
      </c>
      <c r="C96" s="80" t="s">
        <v>229</v>
      </c>
      <c r="D96" s="80" t="s">
        <v>316</v>
      </c>
      <c r="E96" s="80" t="s">
        <v>320</v>
      </c>
      <c r="F96" s="80" t="s">
        <v>149</v>
      </c>
      <c r="G96" s="80" t="s">
        <v>104</v>
      </c>
      <c r="H96" s="80" t="n">
        <v>11</v>
      </c>
      <c r="I96" s="80" t="s">
        <v>112</v>
      </c>
      <c r="J96" s="80" t="s">
        <v>130</v>
      </c>
      <c r="K96" s="80" t="s">
        <v>318</v>
      </c>
      <c r="L96" s="80" t="s">
        <v>321</v>
      </c>
      <c r="M96" s="80" t="s">
        <v>139</v>
      </c>
      <c r="N96" s="80" t="s">
        <v>139</v>
      </c>
      <c r="O96" s="80" t="s">
        <v>132</v>
      </c>
      <c r="P96" s="81" t="n">
        <v>45882</v>
      </c>
      <c r="Q96" s="81" t="n">
        <v>45882</v>
      </c>
      <c r="R96" s="80" t="s">
        <v>313</v>
      </c>
      <c r="S96" s="80" t="s">
        <v>103</v>
      </c>
      <c r="T96" s="81" t="n">
        <v>45892</v>
      </c>
      <c r="U96" s="80" t="s">
        <v>319</v>
      </c>
      <c r="V96" s="80" t="s">
        <v>103</v>
      </c>
      <c r="W96" s="80"/>
      <c r="X96" s="80"/>
      <c r="Y96" s="81"/>
      <c r="Z96" s="80"/>
      <c r="AA96" s="80"/>
      <c r="AB96" s="80"/>
      <c r="AC96" s="80"/>
      <c r="AD96" s="81"/>
      <c r="AE96" s="80"/>
      <c r="AF96" s="80"/>
      <c r="AG96" s="81"/>
      <c r="AH96" s="79"/>
      <c r="AI96" s="78" t="n">
        <f aca="false">IF(E96="","",(V96&lt;&gt;"")+(AA96&lt;&gt;"")+(AF96&lt;&gt;""))</f>
        <v>1</v>
      </c>
      <c r="AJ96" s="82" t="str">
        <f aca="false">IF(AF96&lt;&gt;"",AF96,IF(AA96&lt;&gt;"",AA96,IF(V96&lt;&gt;"",V96,"")))</f>
        <v>A</v>
      </c>
      <c r="AK96" s="83" t="str">
        <f aca="false">IF(E96="","",IF(P96="","À SOUDER",IF(S96="","VT EN ATTENTE",IF(S96="R","VT REJETÉ – À REPRENDRE",IF(AJ96="","À RADIOGRAPHIER",IF(AJ96="A","ACCEPTÉ",IF(AJ96="NX","NX – RT À REFAIRE",IF(IF(AI96=1,X96,IF(AI96=2,AC96,""))="A","RÉPARÉ – À RADIOGRAPHIER",IF(IF(AI96=1,X96,IF(AI96=2,AC96,""))="R","VT REJETÉ – À REPRENDRE",IF(AJ96="CO","COUPE – À RESOUDER","À RÉPARER"))))))))))</f>
        <v>ACCEPTÉ</v>
      </c>
      <c r="AL96" s="82" t="str">
        <f aca="false">IF(AND(ISNUMBER(P96),OR(AK96="À RADIOGRAPHIER",AK96="RÉPARÉ – À RADIOGRAPHIER",AK96="NX – RT À REFAIRE",AK96="À RÉPARER",AK96="COUPE – À RESOUDER",AK96="VT REJETÉ – À REPRENDRE")),MAX(0,'PROGRAMME RT'!$C$4-P96),"")</f>
        <v/>
      </c>
      <c r="AM96" s="78" t="n">
        <f aca="false">IF(AND(OR(AK96="À RADIOGRAPHIER",AK96="RÉPARÉ – À RADIOGRAPHIER",AK96="NX – RT À REFAIRE"),OR('PROGRAMME RT'!$D$5="TOUTES",B96='PROGRAMME RT'!$D$5)),1,0)</f>
        <v>0</v>
      </c>
      <c r="AN96" s="78" t="str">
        <f aca="false">IF(AM96=1,SUM(AM$7:AM96),"")</f>
        <v/>
      </c>
      <c r="AO96" s="78" t="n">
        <f aca="false">IF(AND(OR(AK96="À RÉPARER",AK96="COUPE – À RESOUDER",AK96="VT REJETÉ – À REPRENDRE"),OR(RÉPARATIONS!$D$5="TOUTES",B96=RÉPARATIONS!$D$5)),1,0)</f>
        <v>0</v>
      </c>
      <c r="AP96" s="78" t="str">
        <f aca="false">IF(AO96=1,SUM(AO$7:AO96),"")</f>
        <v/>
      </c>
    </row>
    <row r="97" customFormat="false" ht="15" hidden="false" customHeight="false" outlineLevel="0" collapsed="false">
      <c r="A97" s="78" t="n">
        <f aca="false">IF(E97="","",ROW()-6)</f>
        <v>91</v>
      </c>
      <c r="B97" s="79" t="s">
        <v>100</v>
      </c>
      <c r="C97" s="80" t="s">
        <v>229</v>
      </c>
      <c r="D97" s="80" t="s">
        <v>316</v>
      </c>
      <c r="E97" s="80" t="s">
        <v>322</v>
      </c>
      <c r="F97" s="80" t="s">
        <v>149</v>
      </c>
      <c r="G97" s="80" t="s">
        <v>104</v>
      </c>
      <c r="H97" s="80" t="n">
        <v>11</v>
      </c>
      <c r="I97" s="80" t="s">
        <v>112</v>
      </c>
      <c r="J97" s="80" t="s">
        <v>130</v>
      </c>
      <c r="K97" s="80" t="s">
        <v>321</v>
      </c>
      <c r="L97" s="80" t="s">
        <v>323</v>
      </c>
      <c r="M97" s="80" t="s">
        <v>139</v>
      </c>
      <c r="N97" s="80" t="s">
        <v>139</v>
      </c>
      <c r="O97" s="80" t="s">
        <v>123</v>
      </c>
      <c r="P97" s="81" t="n">
        <v>45882</v>
      </c>
      <c r="Q97" s="81" t="n">
        <v>45882</v>
      </c>
      <c r="R97" s="80" t="s">
        <v>313</v>
      </c>
      <c r="S97" s="80" t="s">
        <v>103</v>
      </c>
      <c r="T97" s="81" t="n">
        <v>45892</v>
      </c>
      <c r="U97" s="80" t="s">
        <v>319</v>
      </c>
      <c r="V97" s="80" t="s">
        <v>103</v>
      </c>
      <c r="W97" s="80"/>
      <c r="X97" s="80"/>
      <c r="Y97" s="81"/>
      <c r="Z97" s="80"/>
      <c r="AA97" s="80"/>
      <c r="AB97" s="80"/>
      <c r="AC97" s="80"/>
      <c r="AD97" s="81"/>
      <c r="AE97" s="80"/>
      <c r="AF97" s="80"/>
      <c r="AG97" s="81"/>
      <c r="AH97" s="79"/>
      <c r="AI97" s="78" t="n">
        <f aca="false">IF(E97="","",(V97&lt;&gt;"")+(AA97&lt;&gt;"")+(AF97&lt;&gt;""))</f>
        <v>1</v>
      </c>
      <c r="AJ97" s="82" t="str">
        <f aca="false">IF(AF97&lt;&gt;"",AF97,IF(AA97&lt;&gt;"",AA97,IF(V97&lt;&gt;"",V97,"")))</f>
        <v>A</v>
      </c>
      <c r="AK97" s="83" t="str">
        <f aca="false">IF(E97="","",IF(P97="","À SOUDER",IF(S97="","VT EN ATTENTE",IF(S97="R","VT REJETÉ – À REPRENDRE",IF(AJ97="","À RADIOGRAPHIER",IF(AJ97="A","ACCEPTÉ",IF(AJ97="NX","NX – RT À REFAIRE",IF(IF(AI97=1,X97,IF(AI97=2,AC97,""))="A","RÉPARÉ – À RADIOGRAPHIER",IF(IF(AI97=1,X97,IF(AI97=2,AC97,""))="R","VT REJETÉ – À REPRENDRE",IF(AJ97="CO","COUPE – À RESOUDER","À RÉPARER"))))))))))</f>
        <v>ACCEPTÉ</v>
      </c>
      <c r="AL97" s="82" t="str">
        <f aca="false">IF(AND(ISNUMBER(P97),OR(AK97="À RADIOGRAPHIER",AK97="RÉPARÉ – À RADIOGRAPHIER",AK97="NX – RT À REFAIRE",AK97="À RÉPARER",AK97="COUPE – À RESOUDER",AK97="VT REJETÉ – À REPRENDRE")),MAX(0,'PROGRAMME RT'!$C$4-P97),"")</f>
        <v/>
      </c>
      <c r="AM97" s="78" t="n">
        <f aca="false">IF(AND(OR(AK97="À RADIOGRAPHIER",AK97="RÉPARÉ – À RADIOGRAPHIER",AK97="NX – RT À REFAIRE"),OR('PROGRAMME RT'!$D$5="TOUTES",B97='PROGRAMME RT'!$D$5)),1,0)</f>
        <v>0</v>
      </c>
      <c r="AN97" s="78" t="str">
        <f aca="false">IF(AM97=1,SUM(AM$7:AM97),"")</f>
        <v/>
      </c>
      <c r="AO97" s="78" t="n">
        <f aca="false">IF(AND(OR(AK97="À RÉPARER",AK97="COUPE – À RESOUDER",AK97="VT REJETÉ – À REPRENDRE"),OR(RÉPARATIONS!$D$5="TOUTES",B97=RÉPARATIONS!$D$5)),1,0)</f>
        <v>0</v>
      </c>
      <c r="AP97" s="78" t="str">
        <f aca="false">IF(AO97=1,SUM(AO$7:AO97),"")</f>
        <v/>
      </c>
    </row>
    <row r="98" customFormat="false" ht="15" hidden="false" customHeight="false" outlineLevel="0" collapsed="false">
      <c r="A98" s="78" t="n">
        <f aca="false">IF(E98="","",ROW()-6)</f>
        <v>92</v>
      </c>
      <c r="B98" s="79" t="s">
        <v>100</v>
      </c>
      <c r="C98" s="80" t="s">
        <v>229</v>
      </c>
      <c r="D98" s="80" t="s">
        <v>316</v>
      </c>
      <c r="E98" s="80" t="s">
        <v>324</v>
      </c>
      <c r="F98" s="80" t="s">
        <v>149</v>
      </c>
      <c r="G98" s="80" t="s">
        <v>104</v>
      </c>
      <c r="H98" s="80" t="n">
        <v>11</v>
      </c>
      <c r="I98" s="80" t="s">
        <v>112</v>
      </c>
      <c r="J98" s="80" t="s">
        <v>130</v>
      </c>
      <c r="K98" s="80" t="s">
        <v>323</v>
      </c>
      <c r="L98" s="80" t="s">
        <v>325</v>
      </c>
      <c r="M98" s="80" t="s">
        <v>139</v>
      </c>
      <c r="N98" s="80" t="s">
        <v>139</v>
      </c>
      <c r="O98" s="80" t="s">
        <v>123</v>
      </c>
      <c r="P98" s="81" t="n">
        <v>45882</v>
      </c>
      <c r="Q98" s="81" t="n">
        <v>45882</v>
      </c>
      <c r="R98" s="80" t="s">
        <v>313</v>
      </c>
      <c r="S98" s="80" t="s">
        <v>103</v>
      </c>
      <c r="T98" s="81" t="n">
        <v>45892</v>
      </c>
      <c r="U98" s="80" t="s">
        <v>319</v>
      </c>
      <c r="V98" s="80" t="s">
        <v>103</v>
      </c>
      <c r="W98" s="80"/>
      <c r="X98" s="80"/>
      <c r="Y98" s="81"/>
      <c r="Z98" s="80"/>
      <c r="AA98" s="80"/>
      <c r="AB98" s="80"/>
      <c r="AC98" s="80"/>
      <c r="AD98" s="81"/>
      <c r="AE98" s="80"/>
      <c r="AF98" s="80"/>
      <c r="AG98" s="81"/>
      <c r="AH98" s="79"/>
      <c r="AI98" s="78" t="n">
        <f aca="false">IF(E98="","",(V98&lt;&gt;"")+(AA98&lt;&gt;"")+(AF98&lt;&gt;""))</f>
        <v>1</v>
      </c>
      <c r="AJ98" s="82" t="str">
        <f aca="false">IF(AF98&lt;&gt;"",AF98,IF(AA98&lt;&gt;"",AA98,IF(V98&lt;&gt;"",V98,"")))</f>
        <v>A</v>
      </c>
      <c r="AK98" s="83" t="str">
        <f aca="false">IF(E98="","",IF(P98="","À SOUDER",IF(S98="","VT EN ATTENTE",IF(S98="R","VT REJETÉ – À REPRENDRE",IF(AJ98="","À RADIOGRAPHIER",IF(AJ98="A","ACCEPTÉ",IF(AJ98="NX","NX – RT À REFAIRE",IF(IF(AI98=1,X98,IF(AI98=2,AC98,""))="A","RÉPARÉ – À RADIOGRAPHIER",IF(IF(AI98=1,X98,IF(AI98=2,AC98,""))="R","VT REJETÉ – À REPRENDRE",IF(AJ98="CO","COUPE – À RESOUDER","À RÉPARER"))))))))))</f>
        <v>ACCEPTÉ</v>
      </c>
      <c r="AL98" s="82" t="str">
        <f aca="false">IF(AND(ISNUMBER(P98),OR(AK98="À RADIOGRAPHIER",AK98="RÉPARÉ – À RADIOGRAPHIER",AK98="NX – RT À REFAIRE",AK98="À RÉPARER",AK98="COUPE – À RESOUDER",AK98="VT REJETÉ – À REPRENDRE")),MAX(0,'PROGRAMME RT'!$C$4-P98),"")</f>
        <v/>
      </c>
      <c r="AM98" s="78" t="n">
        <f aca="false">IF(AND(OR(AK98="À RADIOGRAPHIER",AK98="RÉPARÉ – À RADIOGRAPHIER",AK98="NX – RT À REFAIRE"),OR('PROGRAMME RT'!$D$5="TOUTES",B98='PROGRAMME RT'!$D$5)),1,0)</f>
        <v>0</v>
      </c>
      <c r="AN98" s="78" t="str">
        <f aca="false">IF(AM98=1,SUM(AM$7:AM98),"")</f>
        <v/>
      </c>
      <c r="AO98" s="78" t="n">
        <f aca="false">IF(AND(OR(AK98="À RÉPARER",AK98="COUPE – À RESOUDER",AK98="VT REJETÉ – À REPRENDRE"),OR(RÉPARATIONS!$D$5="TOUTES",B98=RÉPARATIONS!$D$5)),1,0)</f>
        <v>0</v>
      </c>
      <c r="AP98" s="78" t="str">
        <f aca="false">IF(AO98=1,SUM(AO$7:AO98),"")</f>
        <v/>
      </c>
    </row>
    <row r="99" customFormat="false" ht="15" hidden="false" customHeight="false" outlineLevel="0" collapsed="false">
      <c r="A99" s="78" t="n">
        <f aca="false">IF(E99="","",ROW()-6)</f>
        <v>93</v>
      </c>
      <c r="B99" s="79" t="s">
        <v>100</v>
      </c>
      <c r="C99" s="80" t="s">
        <v>229</v>
      </c>
      <c r="D99" s="80" t="s">
        <v>316</v>
      </c>
      <c r="E99" s="80" t="s">
        <v>326</v>
      </c>
      <c r="F99" s="80" t="s">
        <v>149</v>
      </c>
      <c r="G99" s="80" t="s">
        <v>104</v>
      </c>
      <c r="H99" s="80" t="n">
        <v>11</v>
      </c>
      <c r="I99" s="80" t="s">
        <v>112</v>
      </c>
      <c r="J99" s="80" t="s">
        <v>130</v>
      </c>
      <c r="K99" s="80" t="s">
        <v>325</v>
      </c>
      <c r="L99" s="80" t="s">
        <v>327</v>
      </c>
      <c r="M99" s="80" t="s">
        <v>139</v>
      </c>
      <c r="N99" s="80" t="s">
        <v>139</v>
      </c>
      <c r="O99" s="80" t="s">
        <v>132</v>
      </c>
      <c r="P99" s="81" t="n">
        <v>45882</v>
      </c>
      <c r="Q99" s="81" t="n">
        <v>45882</v>
      </c>
      <c r="R99" s="80" t="s">
        <v>313</v>
      </c>
      <c r="S99" s="80" t="s">
        <v>103</v>
      </c>
      <c r="T99" s="81" t="n">
        <v>45892</v>
      </c>
      <c r="U99" s="80" t="s">
        <v>319</v>
      </c>
      <c r="V99" s="80" t="s">
        <v>103</v>
      </c>
      <c r="W99" s="80"/>
      <c r="X99" s="80"/>
      <c r="Y99" s="81"/>
      <c r="Z99" s="80"/>
      <c r="AA99" s="80"/>
      <c r="AB99" s="80"/>
      <c r="AC99" s="80"/>
      <c r="AD99" s="81"/>
      <c r="AE99" s="80"/>
      <c r="AF99" s="80"/>
      <c r="AG99" s="81"/>
      <c r="AH99" s="79"/>
      <c r="AI99" s="78" t="n">
        <f aca="false">IF(E99="","",(V99&lt;&gt;"")+(AA99&lt;&gt;"")+(AF99&lt;&gt;""))</f>
        <v>1</v>
      </c>
      <c r="AJ99" s="82" t="str">
        <f aca="false">IF(AF99&lt;&gt;"",AF99,IF(AA99&lt;&gt;"",AA99,IF(V99&lt;&gt;"",V99,"")))</f>
        <v>A</v>
      </c>
      <c r="AK99" s="83" t="str">
        <f aca="false">IF(E99="","",IF(P99="","À SOUDER",IF(S99="","VT EN ATTENTE",IF(S99="R","VT REJETÉ – À REPRENDRE",IF(AJ99="","À RADIOGRAPHIER",IF(AJ99="A","ACCEPTÉ",IF(AJ99="NX","NX – RT À REFAIRE",IF(IF(AI99=1,X99,IF(AI99=2,AC99,""))="A","RÉPARÉ – À RADIOGRAPHIER",IF(IF(AI99=1,X99,IF(AI99=2,AC99,""))="R","VT REJETÉ – À REPRENDRE",IF(AJ99="CO","COUPE – À RESOUDER","À RÉPARER"))))))))))</f>
        <v>ACCEPTÉ</v>
      </c>
      <c r="AL99" s="82" t="str">
        <f aca="false">IF(AND(ISNUMBER(P99),OR(AK99="À RADIOGRAPHIER",AK99="RÉPARÉ – À RADIOGRAPHIER",AK99="NX – RT À REFAIRE",AK99="À RÉPARER",AK99="COUPE – À RESOUDER",AK99="VT REJETÉ – À REPRENDRE")),MAX(0,'PROGRAMME RT'!$C$4-P99),"")</f>
        <v/>
      </c>
      <c r="AM99" s="78" t="n">
        <f aca="false">IF(AND(OR(AK99="À RADIOGRAPHIER",AK99="RÉPARÉ – À RADIOGRAPHIER",AK99="NX – RT À REFAIRE"),OR('PROGRAMME RT'!$D$5="TOUTES",B99='PROGRAMME RT'!$D$5)),1,0)</f>
        <v>0</v>
      </c>
      <c r="AN99" s="78" t="str">
        <f aca="false">IF(AM99=1,SUM(AM$7:AM99),"")</f>
        <v/>
      </c>
      <c r="AO99" s="78" t="n">
        <f aca="false">IF(AND(OR(AK99="À RÉPARER",AK99="COUPE – À RESOUDER",AK99="VT REJETÉ – À REPRENDRE"),OR(RÉPARATIONS!$D$5="TOUTES",B99=RÉPARATIONS!$D$5)),1,0)</f>
        <v>0</v>
      </c>
      <c r="AP99" s="78" t="str">
        <f aca="false">IF(AO99=1,SUM(AO$7:AO99),"")</f>
        <v/>
      </c>
    </row>
    <row r="100" customFormat="false" ht="15" hidden="false" customHeight="false" outlineLevel="0" collapsed="false">
      <c r="A100" s="78" t="n">
        <f aca="false">IF(E100="","",ROW()-6)</f>
        <v>94</v>
      </c>
      <c r="B100" s="79" t="s">
        <v>100</v>
      </c>
      <c r="C100" s="80" t="s">
        <v>229</v>
      </c>
      <c r="D100" s="80" t="s">
        <v>316</v>
      </c>
      <c r="E100" s="80" t="s">
        <v>328</v>
      </c>
      <c r="F100" s="80" t="s">
        <v>149</v>
      </c>
      <c r="G100" s="80" t="s">
        <v>104</v>
      </c>
      <c r="H100" s="80" t="n">
        <v>11</v>
      </c>
      <c r="I100" s="80" t="s">
        <v>112</v>
      </c>
      <c r="J100" s="80" t="s">
        <v>130</v>
      </c>
      <c r="K100" s="80" t="s">
        <v>327</v>
      </c>
      <c r="L100" s="80" t="s">
        <v>329</v>
      </c>
      <c r="M100" s="80" t="s">
        <v>139</v>
      </c>
      <c r="N100" s="80" t="s">
        <v>139</v>
      </c>
      <c r="O100" s="80" t="s">
        <v>123</v>
      </c>
      <c r="P100" s="81" t="n">
        <v>45882</v>
      </c>
      <c r="Q100" s="81" t="n">
        <v>45882</v>
      </c>
      <c r="R100" s="80" t="s">
        <v>313</v>
      </c>
      <c r="S100" s="80" t="s">
        <v>103</v>
      </c>
      <c r="T100" s="81" t="n">
        <v>45892</v>
      </c>
      <c r="U100" s="80" t="s">
        <v>319</v>
      </c>
      <c r="V100" s="80" t="s">
        <v>103</v>
      </c>
      <c r="W100" s="80"/>
      <c r="X100" s="80"/>
      <c r="Y100" s="81"/>
      <c r="Z100" s="80"/>
      <c r="AA100" s="80"/>
      <c r="AB100" s="80"/>
      <c r="AC100" s="80"/>
      <c r="AD100" s="81"/>
      <c r="AE100" s="80"/>
      <c r="AF100" s="80"/>
      <c r="AG100" s="81"/>
      <c r="AH100" s="79"/>
      <c r="AI100" s="78" t="n">
        <f aca="false">IF(E100="","",(V100&lt;&gt;"")+(AA100&lt;&gt;"")+(AF100&lt;&gt;""))</f>
        <v>1</v>
      </c>
      <c r="AJ100" s="82" t="str">
        <f aca="false">IF(AF100&lt;&gt;"",AF100,IF(AA100&lt;&gt;"",AA100,IF(V100&lt;&gt;"",V100,"")))</f>
        <v>A</v>
      </c>
      <c r="AK100" s="83" t="str">
        <f aca="false">IF(E100="","",IF(P100="","À SOUDER",IF(S100="","VT EN ATTENTE",IF(S100="R","VT REJETÉ – À REPRENDRE",IF(AJ100="","À RADIOGRAPHIER",IF(AJ100="A","ACCEPTÉ",IF(AJ100="NX","NX – RT À REFAIRE",IF(IF(AI100=1,X100,IF(AI100=2,AC100,""))="A","RÉPARÉ – À RADIOGRAPHIER",IF(IF(AI100=1,X100,IF(AI100=2,AC100,""))="R","VT REJETÉ – À REPRENDRE",IF(AJ100="CO","COUPE – À RESOUDER","À RÉPARER"))))))))))</f>
        <v>ACCEPTÉ</v>
      </c>
      <c r="AL100" s="82" t="str">
        <f aca="false">IF(AND(ISNUMBER(P100),OR(AK100="À RADIOGRAPHIER",AK100="RÉPARÉ – À RADIOGRAPHIER",AK100="NX – RT À REFAIRE",AK100="À RÉPARER",AK100="COUPE – À RESOUDER",AK100="VT REJETÉ – À REPRENDRE")),MAX(0,'PROGRAMME RT'!$C$4-P100),"")</f>
        <v/>
      </c>
      <c r="AM100" s="78" t="n">
        <f aca="false">IF(AND(OR(AK100="À RADIOGRAPHIER",AK100="RÉPARÉ – À RADIOGRAPHIER",AK100="NX – RT À REFAIRE"),OR('PROGRAMME RT'!$D$5="TOUTES",B100='PROGRAMME RT'!$D$5)),1,0)</f>
        <v>0</v>
      </c>
      <c r="AN100" s="78" t="str">
        <f aca="false">IF(AM100=1,SUM(AM$7:AM100),"")</f>
        <v/>
      </c>
      <c r="AO100" s="78" t="n">
        <f aca="false">IF(AND(OR(AK100="À RÉPARER",AK100="COUPE – À RESOUDER",AK100="VT REJETÉ – À REPRENDRE"),OR(RÉPARATIONS!$D$5="TOUTES",B100=RÉPARATIONS!$D$5)),1,0)</f>
        <v>0</v>
      </c>
      <c r="AP100" s="78" t="str">
        <f aca="false">IF(AO100=1,SUM(AO$7:AO100),"")</f>
        <v/>
      </c>
    </row>
    <row r="101" customFormat="false" ht="15" hidden="false" customHeight="false" outlineLevel="0" collapsed="false">
      <c r="A101" s="78" t="n">
        <f aca="false">IF(E101="","",ROW()-6)</f>
        <v>95</v>
      </c>
      <c r="B101" s="79" t="s">
        <v>100</v>
      </c>
      <c r="C101" s="80" t="s">
        <v>229</v>
      </c>
      <c r="D101" s="80" t="s">
        <v>316</v>
      </c>
      <c r="E101" s="80" t="s">
        <v>330</v>
      </c>
      <c r="F101" s="80" t="s">
        <v>149</v>
      </c>
      <c r="G101" s="80" t="s">
        <v>104</v>
      </c>
      <c r="H101" s="80" t="n">
        <v>11</v>
      </c>
      <c r="I101" s="80" t="s">
        <v>112</v>
      </c>
      <c r="J101" s="80" t="s">
        <v>130</v>
      </c>
      <c r="K101" s="80" t="s">
        <v>329</v>
      </c>
      <c r="L101" s="80" t="s">
        <v>331</v>
      </c>
      <c r="M101" s="80" t="s">
        <v>139</v>
      </c>
      <c r="N101" s="80" t="s">
        <v>139</v>
      </c>
      <c r="O101" s="80" t="s">
        <v>132</v>
      </c>
      <c r="P101" s="81" t="n">
        <v>45882</v>
      </c>
      <c r="Q101" s="81" t="n">
        <v>45882</v>
      </c>
      <c r="R101" s="80" t="s">
        <v>313</v>
      </c>
      <c r="S101" s="80" t="s">
        <v>103</v>
      </c>
      <c r="T101" s="81" t="n">
        <v>45892</v>
      </c>
      <c r="U101" s="80" t="s">
        <v>319</v>
      </c>
      <c r="V101" s="80" t="s">
        <v>103</v>
      </c>
      <c r="W101" s="80"/>
      <c r="X101" s="80"/>
      <c r="Y101" s="81"/>
      <c r="Z101" s="80"/>
      <c r="AA101" s="80"/>
      <c r="AB101" s="80"/>
      <c r="AC101" s="80"/>
      <c r="AD101" s="81"/>
      <c r="AE101" s="80"/>
      <c r="AF101" s="80"/>
      <c r="AG101" s="81"/>
      <c r="AH101" s="79"/>
      <c r="AI101" s="78" t="n">
        <f aca="false">IF(E101="","",(V101&lt;&gt;"")+(AA101&lt;&gt;"")+(AF101&lt;&gt;""))</f>
        <v>1</v>
      </c>
      <c r="AJ101" s="82" t="str">
        <f aca="false">IF(AF101&lt;&gt;"",AF101,IF(AA101&lt;&gt;"",AA101,IF(V101&lt;&gt;"",V101,"")))</f>
        <v>A</v>
      </c>
      <c r="AK101" s="83" t="str">
        <f aca="false">IF(E101="","",IF(P101="","À SOUDER",IF(S101="","VT EN ATTENTE",IF(S101="R","VT REJETÉ – À REPRENDRE",IF(AJ101="","À RADIOGRAPHIER",IF(AJ101="A","ACCEPTÉ",IF(AJ101="NX","NX – RT À REFAIRE",IF(IF(AI101=1,X101,IF(AI101=2,AC101,""))="A","RÉPARÉ – À RADIOGRAPHIER",IF(IF(AI101=1,X101,IF(AI101=2,AC101,""))="R","VT REJETÉ – À REPRENDRE",IF(AJ101="CO","COUPE – À RESOUDER","À RÉPARER"))))))))))</f>
        <v>ACCEPTÉ</v>
      </c>
      <c r="AL101" s="82" t="str">
        <f aca="false">IF(AND(ISNUMBER(P101),OR(AK101="À RADIOGRAPHIER",AK101="RÉPARÉ – À RADIOGRAPHIER",AK101="NX – RT À REFAIRE",AK101="À RÉPARER",AK101="COUPE – À RESOUDER",AK101="VT REJETÉ – À REPRENDRE")),MAX(0,'PROGRAMME RT'!$C$4-P101),"")</f>
        <v/>
      </c>
      <c r="AM101" s="78" t="n">
        <f aca="false">IF(AND(OR(AK101="À RADIOGRAPHIER",AK101="RÉPARÉ – À RADIOGRAPHIER",AK101="NX – RT À REFAIRE"),OR('PROGRAMME RT'!$D$5="TOUTES",B101='PROGRAMME RT'!$D$5)),1,0)</f>
        <v>0</v>
      </c>
      <c r="AN101" s="78" t="str">
        <f aca="false">IF(AM101=1,SUM(AM$7:AM101),"")</f>
        <v/>
      </c>
      <c r="AO101" s="78" t="n">
        <f aca="false">IF(AND(OR(AK101="À RÉPARER",AK101="COUPE – À RESOUDER",AK101="VT REJETÉ – À REPRENDRE"),OR(RÉPARATIONS!$D$5="TOUTES",B101=RÉPARATIONS!$D$5)),1,0)</f>
        <v>0</v>
      </c>
      <c r="AP101" s="78" t="str">
        <f aca="false">IF(AO101=1,SUM(AO$7:AO101),"")</f>
        <v/>
      </c>
    </row>
    <row r="102" customFormat="false" ht="15" hidden="false" customHeight="false" outlineLevel="0" collapsed="false">
      <c r="A102" s="78" t="n">
        <f aca="false">IF(E102="","",ROW()-6)</f>
        <v>96</v>
      </c>
      <c r="B102" s="79" t="s">
        <v>100</v>
      </c>
      <c r="C102" s="80" t="s">
        <v>229</v>
      </c>
      <c r="D102" s="80" t="s">
        <v>316</v>
      </c>
      <c r="E102" s="80" t="s">
        <v>332</v>
      </c>
      <c r="F102" s="80" t="s">
        <v>149</v>
      </c>
      <c r="G102" s="80" t="s">
        <v>104</v>
      </c>
      <c r="H102" s="80" t="n">
        <v>11</v>
      </c>
      <c r="I102" s="80" t="s">
        <v>112</v>
      </c>
      <c r="J102" s="80" t="s">
        <v>130</v>
      </c>
      <c r="K102" s="80" t="s">
        <v>331</v>
      </c>
      <c r="L102" s="80" t="s">
        <v>333</v>
      </c>
      <c r="M102" s="80" t="s">
        <v>139</v>
      </c>
      <c r="N102" s="80" t="s">
        <v>139</v>
      </c>
      <c r="O102" s="80" t="s">
        <v>123</v>
      </c>
      <c r="P102" s="81" t="n">
        <v>45882</v>
      </c>
      <c r="Q102" s="81" t="n">
        <v>45882</v>
      </c>
      <c r="R102" s="80" t="s">
        <v>313</v>
      </c>
      <c r="S102" s="80" t="s">
        <v>103</v>
      </c>
      <c r="T102" s="81" t="n">
        <v>45892</v>
      </c>
      <c r="U102" s="80" t="s">
        <v>319</v>
      </c>
      <c r="V102" s="80" t="s">
        <v>103</v>
      </c>
      <c r="W102" s="80"/>
      <c r="X102" s="80"/>
      <c r="Y102" s="81"/>
      <c r="Z102" s="80"/>
      <c r="AA102" s="80"/>
      <c r="AB102" s="80"/>
      <c r="AC102" s="80"/>
      <c r="AD102" s="81"/>
      <c r="AE102" s="80"/>
      <c r="AF102" s="80"/>
      <c r="AG102" s="81"/>
      <c r="AH102" s="79"/>
      <c r="AI102" s="78" t="n">
        <f aca="false">IF(E102="","",(V102&lt;&gt;"")+(AA102&lt;&gt;"")+(AF102&lt;&gt;""))</f>
        <v>1</v>
      </c>
      <c r="AJ102" s="82" t="str">
        <f aca="false">IF(AF102&lt;&gt;"",AF102,IF(AA102&lt;&gt;"",AA102,IF(V102&lt;&gt;"",V102,"")))</f>
        <v>A</v>
      </c>
      <c r="AK102" s="83" t="str">
        <f aca="false">IF(E102="","",IF(P102="","À SOUDER",IF(S102="","VT EN ATTENTE",IF(S102="R","VT REJETÉ – À REPRENDRE",IF(AJ102="","À RADIOGRAPHIER",IF(AJ102="A","ACCEPTÉ",IF(AJ102="NX","NX – RT À REFAIRE",IF(IF(AI102=1,X102,IF(AI102=2,AC102,""))="A","RÉPARÉ – À RADIOGRAPHIER",IF(IF(AI102=1,X102,IF(AI102=2,AC102,""))="R","VT REJETÉ – À REPRENDRE",IF(AJ102="CO","COUPE – À RESOUDER","À RÉPARER"))))))))))</f>
        <v>ACCEPTÉ</v>
      </c>
      <c r="AL102" s="82" t="str">
        <f aca="false">IF(AND(ISNUMBER(P102),OR(AK102="À RADIOGRAPHIER",AK102="RÉPARÉ – À RADIOGRAPHIER",AK102="NX – RT À REFAIRE",AK102="À RÉPARER",AK102="COUPE – À RESOUDER",AK102="VT REJETÉ – À REPRENDRE")),MAX(0,'PROGRAMME RT'!$C$4-P102),"")</f>
        <v/>
      </c>
      <c r="AM102" s="78" t="n">
        <f aca="false">IF(AND(OR(AK102="À RADIOGRAPHIER",AK102="RÉPARÉ – À RADIOGRAPHIER",AK102="NX – RT À REFAIRE"),OR('PROGRAMME RT'!$D$5="TOUTES",B102='PROGRAMME RT'!$D$5)),1,0)</f>
        <v>0</v>
      </c>
      <c r="AN102" s="78" t="str">
        <f aca="false">IF(AM102=1,SUM(AM$7:AM102),"")</f>
        <v/>
      </c>
      <c r="AO102" s="78" t="n">
        <f aca="false">IF(AND(OR(AK102="À RÉPARER",AK102="COUPE – À RESOUDER",AK102="VT REJETÉ – À REPRENDRE"),OR(RÉPARATIONS!$D$5="TOUTES",B102=RÉPARATIONS!$D$5)),1,0)</f>
        <v>0</v>
      </c>
      <c r="AP102" s="78" t="str">
        <f aca="false">IF(AO102=1,SUM(AO$7:AO102),"")</f>
        <v/>
      </c>
    </row>
    <row r="103" customFormat="false" ht="15" hidden="false" customHeight="false" outlineLevel="0" collapsed="false">
      <c r="A103" s="78" t="n">
        <f aca="false">IF(E103="","",ROW()-6)</f>
        <v>97</v>
      </c>
      <c r="B103" s="79" t="s">
        <v>100</v>
      </c>
      <c r="C103" s="80" t="s">
        <v>229</v>
      </c>
      <c r="D103" s="80" t="s">
        <v>316</v>
      </c>
      <c r="E103" s="80" t="s">
        <v>334</v>
      </c>
      <c r="F103" s="80" t="s">
        <v>149</v>
      </c>
      <c r="G103" s="80" t="s">
        <v>104</v>
      </c>
      <c r="H103" s="80" t="n">
        <v>11</v>
      </c>
      <c r="I103" s="80" t="s">
        <v>112</v>
      </c>
      <c r="J103" s="80" t="s">
        <v>130</v>
      </c>
      <c r="K103" s="80" t="s">
        <v>333</v>
      </c>
      <c r="L103" s="80" t="s">
        <v>335</v>
      </c>
      <c r="M103" s="80" t="s">
        <v>139</v>
      </c>
      <c r="N103" s="80" t="s">
        <v>139</v>
      </c>
      <c r="O103" s="80" t="s">
        <v>132</v>
      </c>
      <c r="P103" s="81" t="n">
        <v>45882</v>
      </c>
      <c r="Q103" s="81" t="n">
        <v>45882</v>
      </c>
      <c r="R103" s="80" t="s">
        <v>313</v>
      </c>
      <c r="S103" s="80" t="s">
        <v>103</v>
      </c>
      <c r="T103" s="81" t="n">
        <v>45892</v>
      </c>
      <c r="U103" s="80" t="s">
        <v>319</v>
      </c>
      <c r="V103" s="80" t="s">
        <v>103</v>
      </c>
      <c r="W103" s="80"/>
      <c r="X103" s="80"/>
      <c r="Y103" s="81"/>
      <c r="Z103" s="80"/>
      <c r="AA103" s="80"/>
      <c r="AB103" s="80"/>
      <c r="AC103" s="80"/>
      <c r="AD103" s="81"/>
      <c r="AE103" s="80"/>
      <c r="AF103" s="80"/>
      <c r="AG103" s="81"/>
      <c r="AH103" s="79"/>
      <c r="AI103" s="78" t="n">
        <f aca="false">IF(E103="","",(V103&lt;&gt;"")+(AA103&lt;&gt;"")+(AF103&lt;&gt;""))</f>
        <v>1</v>
      </c>
      <c r="AJ103" s="82" t="str">
        <f aca="false">IF(AF103&lt;&gt;"",AF103,IF(AA103&lt;&gt;"",AA103,IF(V103&lt;&gt;"",V103,"")))</f>
        <v>A</v>
      </c>
      <c r="AK103" s="83" t="str">
        <f aca="false">IF(E103="","",IF(P103="","À SOUDER",IF(S103="","VT EN ATTENTE",IF(S103="R","VT REJETÉ – À REPRENDRE",IF(AJ103="","À RADIOGRAPHIER",IF(AJ103="A","ACCEPTÉ",IF(AJ103="NX","NX – RT À REFAIRE",IF(IF(AI103=1,X103,IF(AI103=2,AC103,""))="A","RÉPARÉ – À RADIOGRAPHIER",IF(IF(AI103=1,X103,IF(AI103=2,AC103,""))="R","VT REJETÉ – À REPRENDRE",IF(AJ103="CO","COUPE – À RESOUDER","À RÉPARER"))))))))))</f>
        <v>ACCEPTÉ</v>
      </c>
      <c r="AL103" s="82" t="str">
        <f aca="false">IF(AND(ISNUMBER(P103),OR(AK103="À RADIOGRAPHIER",AK103="RÉPARÉ – À RADIOGRAPHIER",AK103="NX – RT À REFAIRE",AK103="À RÉPARER",AK103="COUPE – À RESOUDER",AK103="VT REJETÉ – À REPRENDRE")),MAX(0,'PROGRAMME RT'!$C$4-P103),"")</f>
        <v/>
      </c>
      <c r="AM103" s="78" t="n">
        <f aca="false">IF(AND(OR(AK103="À RADIOGRAPHIER",AK103="RÉPARÉ – À RADIOGRAPHIER",AK103="NX – RT À REFAIRE"),OR('PROGRAMME RT'!$D$5="TOUTES",B103='PROGRAMME RT'!$D$5)),1,0)</f>
        <v>0</v>
      </c>
      <c r="AN103" s="78" t="str">
        <f aca="false">IF(AM103=1,SUM(AM$7:AM103),"")</f>
        <v/>
      </c>
      <c r="AO103" s="78" t="n">
        <f aca="false">IF(AND(OR(AK103="À RÉPARER",AK103="COUPE – À RESOUDER",AK103="VT REJETÉ – À REPRENDRE"),OR(RÉPARATIONS!$D$5="TOUTES",B103=RÉPARATIONS!$D$5)),1,0)</f>
        <v>0</v>
      </c>
      <c r="AP103" s="78" t="str">
        <f aca="false">IF(AO103=1,SUM(AO$7:AO103),"")</f>
        <v/>
      </c>
    </row>
    <row r="104" customFormat="false" ht="15" hidden="false" customHeight="false" outlineLevel="0" collapsed="false">
      <c r="A104" s="78" t="n">
        <f aca="false">IF(E104="","",ROW()-6)</f>
        <v>98</v>
      </c>
      <c r="B104" s="79" t="s">
        <v>100</v>
      </c>
      <c r="C104" s="80" t="s">
        <v>229</v>
      </c>
      <c r="D104" s="80" t="s">
        <v>316</v>
      </c>
      <c r="E104" s="80" t="s">
        <v>336</v>
      </c>
      <c r="F104" s="80" t="s">
        <v>149</v>
      </c>
      <c r="G104" s="80" t="s">
        <v>104</v>
      </c>
      <c r="H104" s="80" t="n">
        <v>11</v>
      </c>
      <c r="I104" s="80" t="s">
        <v>112</v>
      </c>
      <c r="J104" s="80" t="s">
        <v>130</v>
      </c>
      <c r="K104" s="80" t="s">
        <v>335</v>
      </c>
      <c r="L104" s="80" t="s">
        <v>337</v>
      </c>
      <c r="M104" s="80" t="s">
        <v>139</v>
      </c>
      <c r="N104" s="80" t="s">
        <v>139</v>
      </c>
      <c r="O104" s="80" t="s">
        <v>123</v>
      </c>
      <c r="P104" s="81" t="n">
        <v>45883</v>
      </c>
      <c r="Q104" s="81" t="n">
        <v>45883</v>
      </c>
      <c r="R104" s="80" t="s">
        <v>338</v>
      </c>
      <c r="S104" s="80" t="s">
        <v>103</v>
      </c>
      <c r="T104" s="81" t="n">
        <v>45892</v>
      </c>
      <c r="U104" s="80" t="s">
        <v>319</v>
      </c>
      <c r="V104" s="80" t="s">
        <v>103</v>
      </c>
      <c r="W104" s="80"/>
      <c r="X104" s="80"/>
      <c r="Y104" s="81"/>
      <c r="Z104" s="80"/>
      <c r="AA104" s="80"/>
      <c r="AB104" s="80"/>
      <c r="AC104" s="80"/>
      <c r="AD104" s="81"/>
      <c r="AE104" s="80"/>
      <c r="AF104" s="80"/>
      <c r="AG104" s="81"/>
      <c r="AH104" s="79"/>
      <c r="AI104" s="78" t="n">
        <f aca="false">IF(E104="","",(V104&lt;&gt;"")+(AA104&lt;&gt;"")+(AF104&lt;&gt;""))</f>
        <v>1</v>
      </c>
      <c r="AJ104" s="82" t="str">
        <f aca="false">IF(AF104&lt;&gt;"",AF104,IF(AA104&lt;&gt;"",AA104,IF(V104&lt;&gt;"",V104,"")))</f>
        <v>A</v>
      </c>
      <c r="AK104" s="83" t="str">
        <f aca="false">IF(E104="","",IF(P104="","À SOUDER",IF(S104="","VT EN ATTENTE",IF(S104="R","VT REJETÉ – À REPRENDRE",IF(AJ104="","À RADIOGRAPHIER",IF(AJ104="A","ACCEPTÉ",IF(AJ104="NX","NX – RT À REFAIRE",IF(IF(AI104=1,X104,IF(AI104=2,AC104,""))="A","RÉPARÉ – À RADIOGRAPHIER",IF(IF(AI104=1,X104,IF(AI104=2,AC104,""))="R","VT REJETÉ – À REPRENDRE",IF(AJ104="CO","COUPE – À RESOUDER","À RÉPARER"))))))))))</f>
        <v>ACCEPTÉ</v>
      </c>
      <c r="AL104" s="82" t="str">
        <f aca="false">IF(AND(ISNUMBER(P104),OR(AK104="À RADIOGRAPHIER",AK104="RÉPARÉ – À RADIOGRAPHIER",AK104="NX – RT À REFAIRE",AK104="À RÉPARER",AK104="COUPE – À RESOUDER",AK104="VT REJETÉ – À REPRENDRE")),MAX(0,'PROGRAMME RT'!$C$4-P104),"")</f>
        <v/>
      </c>
      <c r="AM104" s="78" t="n">
        <f aca="false">IF(AND(OR(AK104="À RADIOGRAPHIER",AK104="RÉPARÉ – À RADIOGRAPHIER",AK104="NX – RT À REFAIRE"),OR('PROGRAMME RT'!$D$5="TOUTES",B104='PROGRAMME RT'!$D$5)),1,0)</f>
        <v>0</v>
      </c>
      <c r="AN104" s="78" t="str">
        <f aca="false">IF(AM104=1,SUM(AM$7:AM104),"")</f>
        <v/>
      </c>
      <c r="AO104" s="78" t="n">
        <f aca="false">IF(AND(OR(AK104="À RÉPARER",AK104="COUPE – À RESOUDER",AK104="VT REJETÉ – À REPRENDRE"),OR(RÉPARATIONS!$D$5="TOUTES",B104=RÉPARATIONS!$D$5)),1,0)</f>
        <v>0</v>
      </c>
      <c r="AP104" s="78" t="str">
        <f aca="false">IF(AO104=1,SUM(AO$7:AO104),"")</f>
        <v/>
      </c>
    </row>
    <row r="105" customFormat="false" ht="15" hidden="false" customHeight="false" outlineLevel="0" collapsed="false">
      <c r="A105" s="78" t="n">
        <f aca="false">IF(E105="","",ROW()-6)</f>
        <v>99</v>
      </c>
      <c r="B105" s="79" t="s">
        <v>100</v>
      </c>
      <c r="C105" s="80" t="s">
        <v>229</v>
      </c>
      <c r="D105" s="80" t="s">
        <v>316</v>
      </c>
      <c r="E105" s="80" t="s">
        <v>339</v>
      </c>
      <c r="F105" s="80" t="s">
        <v>149</v>
      </c>
      <c r="G105" s="80" t="s">
        <v>104</v>
      </c>
      <c r="H105" s="80" t="n">
        <v>11</v>
      </c>
      <c r="I105" s="80" t="s">
        <v>112</v>
      </c>
      <c r="J105" s="80" t="s">
        <v>130</v>
      </c>
      <c r="K105" s="80" t="s">
        <v>337</v>
      </c>
      <c r="L105" s="80" t="s">
        <v>340</v>
      </c>
      <c r="M105" s="80" t="s">
        <v>139</v>
      </c>
      <c r="N105" s="80" t="s">
        <v>139</v>
      </c>
      <c r="O105" s="80" t="s">
        <v>132</v>
      </c>
      <c r="P105" s="81" t="n">
        <v>45883</v>
      </c>
      <c r="Q105" s="81" t="n">
        <v>45883</v>
      </c>
      <c r="R105" s="80" t="s">
        <v>338</v>
      </c>
      <c r="S105" s="80" t="s">
        <v>103</v>
      </c>
      <c r="T105" s="81" t="n">
        <v>45892</v>
      </c>
      <c r="U105" s="80" t="s">
        <v>319</v>
      </c>
      <c r="V105" s="80" t="s">
        <v>103</v>
      </c>
      <c r="W105" s="80"/>
      <c r="X105" s="80"/>
      <c r="Y105" s="81"/>
      <c r="Z105" s="80"/>
      <c r="AA105" s="80"/>
      <c r="AB105" s="80"/>
      <c r="AC105" s="80"/>
      <c r="AD105" s="81"/>
      <c r="AE105" s="80"/>
      <c r="AF105" s="80"/>
      <c r="AG105" s="81"/>
      <c r="AH105" s="79"/>
      <c r="AI105" s="78" t="n">
        <f aca="false">IF(E105="","",(V105&lt;&gt;"")+(AA105&lt;&gt;"")+(AF105&lt;&gt;""))</f>
        <v>1</v>
      </c>
      <c r="AJ105" s="82" t="str">
        <f aca="false">IF(AF105&lt;&gt;"",AF105,IF(AA105&lt;&gt;"",AA105,IF(V105&lt;&gt;"",V105,"")))</f>
        <v>A</v>
      </c>
      <c r="AK105" s="83" t="str">
        <f aca="false">IF(E105="","",IF(P105="","À SOUDER",IF(S105="","VT EN ATTENTE",IF(S105="R","VT REJETÉ – À REPRENDRE",IF(AJ105="","À RADIOGRAPHIER",IF(AJ105="A","ACCEPTÉ",IF(AJ105="NX","NX – RT À REFAIRE",IF(IF(AI105=1,X105,IF(AI105=2,AC105,""))="A","RÉPARÉ – À RADIOGRAPHIER",IF(IF(AI105=1,X105,IF(AI105=2,AC105,""))="R","VT REJETÉ – À REPRENDRE",IF(AJ105="CO","COUPE – À RESOUDER","À RÉPARER"))))))))))</f>
        <v>ACCEPTÉ</v>
      </c>
      <c r="AL105" s="82" t="str">
        <f aca="false">IF(AND(ISNUMBER(P105),OR(AK105="À RADIOGRAPHIER",AK105="RÉPARÉ – À RADIOGRAPHIER",AK105="NX – RT À REFAIRE",AK105="À RÉPARER",AK105="COUPE – À RESOUDER",AK105="VT REJETÉ – À REPRENDRE")),MAX(0,'PROGRAMME RT'!$C$4-P105),"")</f>
        <v/>
      </c>
      <c r="AM105" s="78" t="n">
        <f aca="false">IF(AND(OR(AK105="À RADIOGRAPHIER",AK105="RÉPARÉ – À RADIOGRAPHIER",AK105="NX – RT À REFAIRE"),OR('PROGRAMME RT'!$D$5="TOUTES",B105='PROGRAMME RT'!$D$5)),1,0)</f>
        <v>0</v>
      </c>
      <c r="AN105" s="78" t="str">
        <f aca="false">IF(AM105=1,SUM(AM$7:AM105),"")</f>
        <v/>
      </c>
      <c r="AO105" s="78" t="n">
        <f aca="false">IF(AND(OR(AK105="À RÉPARER",AK105="COUPE – À RESOUDER",AK105="VT REJETÉ – À REPRENDRE"),OR(RÉPARATIONS!$D$5="TOUTES",B105=RÉPARATIONS!$D$5)),1,0)</f>
        <v>0</v>
      </c>
      <c r="AP105" s="78" t="str">
        <f aca="false">IF(AO105=1,SUM(AO$7:AO105),"")</f>
        <v/>
      </c>
    </row>
    <row r="106" customFormat="false" ht="15" hidden="false" customHeight="false" outlineLevel="0" collapsed="false">
      <c r="A106" s="78" t="n">
        <f aca="false">IF(E106="","",ROW()-6)</f>
        <v>100</v>
      </c>
      <c r="B106" s="79" t="s">
        <v>100</v>
      </c>
      <c r="C106" s="80" t="s">
        <v>229</v>
      </c>
      <c r="D106" s="80" t="s">
        <v>316</v>
      </c>
      <c r="E106" s="80" t="s">
        <v>341</v>
      </c>
      <c r="F106" s="80" t="s">
        <v>149</v>
      </c>
      <c r="G106" s="80" t="s">
        <v>104</v>
      </c>
      <c r="H106" s="80" t="n">
        <v>11</v>
      </c>
      <c r="I106" s="80" t="s">
        <v>112</v>
      </c>
      <c r="J106" s="80" t="s">
        <v>130</v>
      </c>
      <c r="K106" s="80" t="s">
        <v>340</v>
      </c>
      <c r="L106" s="80" t="s">
        <v>342</v>
      </c>
      <c r="M106" s="80" t="s">
        <v>139</v>
      </c>
      <c r="N106" s="80" t="s">
        <v>139</v>
      </c>
      <c r="O106" s="80" t="s">
        <v>202</v>
      </c>
      <c r="P106" s="81" t="n">
        <v>45883</v>
      </c>
      <c r="Q106" s="81" t="n">
        <v>45883</v>
      </c>
      <c r="R106" s="80" t="s">
        <v>338</v>
      </c>
      <c r="S106" s="80" t="s">
        <v>103</v>
      </c>
      <c r="T106" s="81" t="n">
        <v>45892</v>
      </c>
      <c r="U106" s="80" t="s">
        <v>319</v>
      </c>
      <c r="V106" s="80" t="s">
        <v>103</v>
      </c>
      <c r="W106" s="80"/>
      <c r="X106" s="80"/>
      <c r="Y106" s="81"/>
      <c r="Z106" s="80"/>
      <c r="AA106" s="80"/>
      <c r="AB106" s="80"/>
      <c r="AC106" s="80"/>
      <c r="AD106" s="81"/>
      <c r="AE106" s="80"/>
      <c r="AF106" s="80"/>
      <c r="AG106" s="81"/>
      <c r="AH106" s="79"/>
      <c r="AI106" s="78" t="n">
        <f aca="false">IF(E106="","",(V106&lt;&gt;"")+(AA106&lt;&gt;"")+(AF106&lt;&gt;""))</f>
        <v>1</v>
      </c>
      <c r="AJ106" s="82" t="str">
        <f aca="false">IF(AF106&lt;&gt;"",AF106,IF(AA106&lt;&gt;"",AA106,IF(V106&lt;&gt;"",V106,"")))</f>
        <v>A</v>
      </c>
      <c r="AK106" s="83" t="str">
        <f aca="false">IF(E106="","",IF(P106="","À SOUDER",IF(S106="","VT EN ATTENTE",IF(S106="R","VT REJETÉ – À REPRENDRE",IF(AJ106="","À RADIOGRAPHIER",IF(AJ106="A","ACCEPTÉ",IF(AJ106="NX","NX – RT À REFAIRE",IF(IF(AI106=1,X106,IF(AI106=2,AC106,""))="A","RÉPARÉ – À RADIOGRAPHIER",IF(IF(AI106=1,X106,IF(AI106=2,AC106,""))="R","VT REJETÉ – À REPRENDRE",IF(AJ106="CO","COUPE – À RESOUDER","À RÉPARER"))))))))))</f>
        <v>ACCEPTÉ</v>
      </c>
      <c r="AL106" s="82" t="str">
        <f aca="false">IF(AND(ISNUMBER(P106),OR(AK106="À RADIOGRAPHIER",AK106="RÉPARÉ – À RADIOGRAPHIER",AK106="NX – RT À REFAIRE",AK106="À RÉPARER",AK106="COUPE – À RESOUDER",AK106="VT REJETÉ – À REPRENDRE")),MAX(0,'PROGRAMME RT'!$C$4-P106),"")</f>
        <v/>
      </c>
      <c r="AM106" s="78" t="n">
        <f aca="false">IF(AND(OR(AK106="À RADIOGRAPHIER",AK106="RÉPARÉ – À RADIOGRAPHIER",AK106="NX – RT À REFAIRE"),OR('PROGRAMME RT'!$D$5="TOUTES",B106='PROGRAMME RT'!$D$5)),1,0)</f>
        <v>0</v>
      </c>
      <c r="AN106" s="78" t="str">
        <f aca="false">IF(AM106=1,SUM(AM$7:AM106),"")</f>
        <v/>
      </c>
      <c r="AO106" s="78" t="n">
        <f aca="false">IF(AND(OR(AK106="À RÉPARER",AK106="COUPE – À RESOUDER",AK106="VT REJETÉ – À REPRENDRE"),OR(RÉPARATIONS!$D$5="TOUTES",B106=RÉPARATIONS!$D$5)),1,0)</f>
        <v>0</v>
      </c>
      <c r="AP106" s="78" t="str">
        <f aca="false">IF(AO106=1,SUM(AO$7:AO106),"")</f>
        <v/>
      </c>
    </row>
    <row r="107" customFormat="false" ht="15" hidden="false" customHeight="false" outlineLevel="0" collapsed="false">
      <c r="A107" s="78" t="n">
        <f aca="false">IF(E107="","",ROW()-6)</f>
        <v>101</v>
      </c>
      <c r="B107" s="79" t="s">
        <v>100</v>
      </c>
      <c r="C107" s="80" t="s">
        <v>229</v>
      </c>
      <c r="D107" s="80" t="s">
        <v>316</v>
      </c>
      <c r="E107" s="80" t="s">
        <v>343</v>
      </c>
      <c r="F107" s="80" t="s">
        <v>149</v>
      </c>
      <c r="G107" s="80" t="s">
        <v>104</v>
      </c>
      <c r="H107" s="80" t="n">
        <v>11</v>
      </c>
      <c r="I107" s="80" t="s">
        <v>112</v>
      </c>
      <c r="J107" s="80" t="s">
        <v>130</v>
      </c>
      <c r="K107" s="80" t="s">
        <v>342</v>
      </c>
      <c r="L107" s="80" t="s">
        <v>344</v>
      </c>
      <c r="M107" s="80" t="s">
        <v>139</v>
      </c>
      <c r="N107" s="80" t="s">
        <v>139</v>
      </c>
      <c r="O107" s="80" t="s">
        <v>132</v>
      </c>
      <c r="P107" s="81" t="n">
        <v>45883</v>
      </c>
      <c r="Q107" s="81" t="n">
        <v>45883</v>
      </c>
      <c r="R107" s="80" t="s">
        <v>338</v>
      </c>
      <c r="S107" s="80" t="s">
        <v>103</v>
      </c>
      <c r="T107" s="81" t="n">
        <v>45892</v>
      </c>
      <c r="U107" s="80" t="s">
        <v>345</v>
      </c>
      <c r="V107" s="80" t="s">
        <v>103</v>
      </c>
      <c r="W107" s="80"/>
      <c r="X107" s="80"/>
      <c r="Y107" s="81"/>
      <c r="Z107" s="80"/>
      <c r="AA107" s="80"/>
      <c r="AB107" s="80"/>
      <c r="AC107" s="80"/>
      <c r="AD107" s="81"/>
      <c r="AE107" s="80"/>
      <c r="AF107" s="80"/>
      <c r="AG107" s="81"/>
      <c r="AH107" s="79"/>
      <c r="AI107" s="78" t="n">
        <f aca="false">IF(E107="","",(V107&lt;&gt;"")+(AA107&lt;&gt;"")+(AF107&lt;&gt;""))</f>
        <v>1</v>
      </c>
      <c r="AJ107" s="82" t="str">
        <f aca="false">IF(AF107&lt;&gt;"",AF107,IF(AA107&lt;&gt;"",AA107,IF(V107&lt;&gt;"",V107,"")))</f>
        <v>A</v>
      </c>
      <c r="AK107" s="83" t="str">
        <f aca="false">IF(E107="","",IF(P107="","À SOUDER",IF(S107="","VT EN ATTENTE",IF(S107="R","VT REJETÉ – À REPRENDRE",IF(AJ107="","À RADIOGRAPHIER",IF(AJ107="A","ACCEPTÉ",IF(AJ107="NX","NX – RT À REFAIRE",IF(IF(AI107=1,X107,IF(AI107=2,AC107,""))="A","RÉPARÉ – À RADIOGRAPHIER",IF(IF(AI107=1,X107,IF(AI107=2,AC107,""))="R","VT REJETÉ – À REPRENDRE",IF(AJ107="CO","COUPE – À RESOUDER","À RÉPARER"))))))))))</f>
        <v>ACCEPTÉ</v>
      </c>
      <c r="AL107" s="82" t="str">
        <f aca="false">IF(AND(ISNUMBER(P107),OR(AK107="À RADIOGRAPHIER",AK107="RÉPARÉ – À RADIOGRAPHIER",AK107="NX – RT À REFAIRE",AK107="À RÉPARER",AK107="COUPE – À RESOUDER",AK107="VT REJETÉ – À REPRENDRE")),MAX(0,'PROGRAMME RT'!$C$4-P107),"")</f>
        <v/>
      </c>
      <c r="AM107" s="78" t="n">
        <f aca="false">IF(AND(OR(AK107="À RADIOGRAPHIER",AK107="RÉPARÉ – À RADIOGRAPHIER",AK107="NX – RT À REFAIRE"),OR('PROGRAMME RT'!$D$5="TOUTES",B107='PROGRAMME RT'!$D$5)),1,0)</f>
        <v>0</v>
      </c>
      <c r="AN107" s="78" t="str">
        <f aca="false">IF(AM107=1,SUM(AM$7:AM107),"")</f>
        <v/>
      </c>
      <c r="AO107" s="78" t="n">
        <f aca="false">IF(AND(OR(AK107="À RÉPARER",AK107="COUPE – À RESOUDER",AK107="VT REJETÉ – À REPRENDRE"),OR(RÉPARATIONS!$D$5="TOUTES",B107=RÉPARATIONS!$D$5)),1,0)</f>
        <v>0</v>
      </c>
      <c r="AP107" s="78" t="str">
        <f aca="false">IF(AO107=1,SUM(AO$7:AO107),"")</f>
        <v/>
      </c>
    </row>
    <row r="108" customFormat="false" ht="15" hidden="false" customHeight="false" outlineLevel="0" collapsed="false">
      <c r="A108" s="78" t="n">
        <f aca="false">IF(E108="","",ROW()-6)</f>
        <v>102</v>
      </c>
      <c r="B108" s="79" t="s">
        <v>100</v>
      </c>
      <c r="C108" s="80" t="s">
        <v>229</v>
      </c>
      <c r="D108" s="80" t="s">
        <v>316</v>
      </c>
      <c r="E108" s="80" t="s">
        <v>346</v>
      </c>
      <c r="F108" s="80" t="s">
        <v>149</v>
      </c>
      <c r="G108" s="80" t="s">
        <v>104</v>
      </c>
      <c r="H108" s="80" t="n">
        <v>11</v>
      </c>
      <c r="I108" s="80" t="s">
        <v>112</v>
      </c>
      <c r="J108" s="80" t="s">
        <v>130</v>
      </c>
      <c r="K108" s="80" t="s">
        <v>344</v>
      </c>
      <c r="L108" s="80" t="s">
        <v>347</v>
      </c>
      <c r="M108" s="80" t="s">
        <v>139</v>
      </c>
      <c r="N108" s="80" t="s">
        <v>139</v>
      </c>
      <c r="O108" s="80" t="s">
        <v>123</v>
      </c>
      <c r="P108" s="81" t="n">
        <v>45883</v>
      </c>
      <c r="Q108" s="81" t="n">
        <v>45883</v>
      </c>
      <c r="R108" s="80" t="s">
        <v>338</v>
      </c>
      <c r="S108" s="80" t="s">
        <v>103</v>
      </c>
      <c r="T108" s="81" t="n">
        <v>45892</v>
      </c>
      <c r="U108" s="80" t="s">
        <v>345</v>
      </c>
      <c r="V108" s="80" t="s">
        <v>103</v>
      </c>
      <c r="W108" s="80"/>
      <c r="X108" s="80"/>
      <c r="Y108" s="81"/>
      <c r="Z108" s="80"/>
      <c r="AA108" s="80"/>
      <c r="AB108" s="80"/>
      <c r="AC108" s="80"/>
      <c r="AD108" s="81"/>
      <c r="AE108" s="80"/>
      <c r="AF108" s="80"/>
      <c r="AG108" s="81"/>
      <c r="AH108" s="79"/>
      <c r="AI108" s="78" t="n">
        <f aca="false">IF(E108="","",(V108&lt;&gt;"")+(AA108&lt;&gt;"")+(AF108&lt;&gt;""))</f>
        <v>1</v>
      </c>
      <c r="AJ108" s="82" t="str">
        <f aca="false">IF(AF108&lt;&gt;"",AF108,IF(AA108&lt;&gt;"",AA108,IF(V108&lt;&gt;"",V108,"")))</f>
        <v>A</v>
      </c>
      <c r="AK108" s="83" t="str">
        <f aca="false">IF(E108="","",IF(P108="","À SOUDER",IF(S108="","VT EN ATTENTE",IF(S108="R","VT REJETÉ – À REPRENDRE",IF(AJ108="","À RADIOGRAPHIER",IF(AJ108="A","ACCEPTÉ",IF(AJ108="NX","NX – RT À REFAIRE",IF(IF(AI108=1,X108,IF(AI108=2,AC108,""))="A","RÉPARÉ – À RADIOGRAPHIER",IF(IF(AI108=1,X108,IF(AI108=2,AC108,""))="R","VT REJETÉ – À REPRENDRE",IF(AJ108="CO","COUPE – À RESOUDER","À RÉPARER"))))))))))</f>
        <v>ACCEPTÉ</v>
      </c>
      <c r="AL108" s="82" t="str">
        <f aca="false">IF(AND(ISNUMBER(P108),OR(AK108="À RADIOGRAPHIER",AK108="RÉPARÉ – À RADIOGRAPHIER",AK108="NX – RT À REFAIRE",AK108="À RÉPARER",AK108="COUPE – À RESOUDER",AK108="VT REJETÉ – À REPRENDRE")),MAX(0,'PROGRAMME RT'!$C$4-P108),"")</f>
        <v/>
      </c>
      <c r="AM108" s="78" t="n">
        <f aca="false">IF(AND(OR(AK108="À RADIOGRAPHIER",AK108="RÉPARÉ – À RADIOGRAPHIER",AK108="NX – RT À REFAIRE"),OR('PROGRAMME RT'!$D$5="TOUTES",B108='PROGRAMME RT'!$D$5)),1,0)</f>
        <v>0</v>
      </c>
      <c r="AN108" s="78" t="str">
        <f aca="false">IF(AM108=1,SUM(AM$7:AM108),"")</f>
        <v/>
      </c>
      <c r="AO108" s="78" t="n">
        <f aca="false">IF(AND(OR(AK108="À RÉPARER",AK108="COUPE – À RESOUDER",AK108="VT REJETÉ – À REPRENDRE"),OR(RÉPARATIONS!$D$5="TOUTES",B108=RÉPARATIONS!$D$5)),1,0)</f>
        <v>0</v>
      </c>
      <c r="AP108" s="78" t="str">
        <f aca="false">IF(AO108=1,SUM(AO$7:AO108),"")</f>
        <v/>
      </c>
    </row>
    <row r="109" customFormat="false" ht="15" hidden="false" customHeight="false" outlineLevel="0" collapsed="false">
      <c r="A109" s="78" t="n">
        <f aca="false">IF(E109="","",ROW()-6)</f>
        <v>103</v>
      </c>
      <c r="B109" s="79" t="s">
        <v>100</v>
      </c>
      <c r="C109" s="80" t="s">
        <v>229</v>
      </c>
      <c r="D109" s="80" t="s">
        <v>316</v>
      </c>
      <c r="E109" s="80" t="s">
        <v>348</v>
      </c>
      <c r="F109" s="80" t="s">
        <v>149</v>
      </c>
      <c r="G109" s="80" t="s">
        <v>104</v>
      </c>
      <c r="H109" s="80" t="n">
        <v>11</v>
      </c>
      <c r="I109" s="80" t="s">
        <v>112</v>
      </c>
      <c r="J109" s="80" t="s">
        <v>130</v>
      </c>
      <c r="K109" s="80" t="s">
        <v>347</v>
      </c>
      <c r="L109" s="80" t="s">
        <v>349</v>
      </c>
      <c r="M109" s="80" t="s">
        <v>139</v>
      </c>
      <c r="N109" s="80" t="s">
        <v>139</v>
      </c>
      <c r="O109" s="80" t="s">
        <v>202</v>
      </c>
      <c r="P109" s="81" t="n">
        <v>45883</v>
      </c>
      <c r="Q109" s="81" t="n">
        <v>45883</v>
      </c>
      <c r="R109" s="80" t="s">
        <v>338</v>
      </c>
      <c r="S109" s="80" t="s">
        <v>103</v>
      </c>
      <c r="T109" s="81" t="n">
        <v>45892</v>
      </c>
      <c r="U109" s="80" t="s">
        <v>345</v>
      </c>
      <c r="V109" s="80" t="s">
        <v>103</v>
      </c>
      <c r="W109" s="80"/>
      <c r="X109" s="80"/>
      <c r="Y109" s="81"/>
      <c r="Z109" s="80"/>
      <c r="AA109" s="80"/>
      <c r="AB109" s="80"/>
      <c r="AC109" s="80"/>
      <c r="AD109" s="81"/>
      <c r="AE109" s="80"/>
      <c r="AF109" s="80"/>
      <c r="AG109" s="81"/>
      <c r="AH109" s="79"/>
      <c r="AI109" s="78" t="n">
        <f aca="false">IF(E109="","",(V109&lt;&gt;"")+(AA109&lt;&gt;"")+(AF109&lt;&gt;""))</f>
        <v>1</v>
      </c>
      <c r="AJ109" s="82" t="str">
        <f aca="false">IF(AF109&lt;&gt;"",AF109,IF(AA109&lt;&gt;"",AA109,IF(V109&lt;&gt;"",V109,"")))</f>
        <v>A</v>
      </c>
      <c r="AK109" s="83" t="str">
        <f aca="false">IF(E109="","",IF(P109="","À SOUDER",IF(S109="","VT EN ATTENTE",IF(S109="R","VT REJETÉ – À REPRENDRE",IF(AJ109="","À RADIOGRAPHIER",IF(AJ109="A","ACCEPTÉ",IF(AJ109="NX","NX – RT À REFAIRE",IF(IF(AI109=1,X109,IF(AI109=2,AC109,""))="A","RÉPARÉ – À RADIOGRAPHIER",IF(IF(AI109=1,X109,IF(AI109=2,AC109,""))="R","VT REJETÉ – À REPRENDRE",IF(AJ109="CO","COUPE – À RESOUDER","À RÉPARER"))))))))))</f>
        <v>ACCEPTÉ</v>
      </c>
      <c r="AL109" s="82" t="str">
        <f aca="false">IF(AND(ISNUMBER(P109),OR(AK109="À RADIOGRAPHIER",AK109="RÉPARÉ – À RADIOGRAPHIER",AK109="NX – RT À REFAIRE",AK109="À RÉPARER",AK109="COUPE – À RESOUDER",AK109="VT REJETÉ – À REPRENDRE")),MAX(0,'PROGRAMME RT'!$C$4-P109),"")</f>
        <v/>
      </c>
      <c r="AM109" s="78" t="n">
        <f aca="false">IF(AND(OR(AK109="À RADIOGRAPHIER",AK109="RÉPARÉ – À RADIOGRAPHIER",AK109="NX – RT À REFAIRE"),OR('PROGRAMME RT'!$D$5="TOUTES",B109='PROGRAMME RT'!$D$5)),1,0)</f>
        <v>0</v>
      </c>
      <c r="AN109" s="78" t="str">
        <f aca="false">IF(AM109=1,SUM(AM$7:AM109),"")</f>
        <v/>
      </c>
      <c r="AO109" s="78" t="n">
        <f aca="false">IF(AND(OR(AK109="À RÉPARER",AK109="COUPE – À RESOUDER",AK109="VT REJETÉ – À REPRENDRE"),OR(RÉPARATIONS!$D$5="TOUTES",B109=RÉPARATIONS!$D$5)),1,0)</f>
        <v>0</v>
      </c>
      <c r="AP109" s="78" t="str">
        <f aca="false">IF(AO109=1,SUM(AO$7:AO109),"")</f>
        <v/>
      </c>
    </row>
    <row r="110" customFormat="false" ht="15" hidden="false" customHeight="false" outlineLevel="0" collapsed="false">
      <c r="A110" s="78" t="n">
        <f aca="false">IF(E110="","",ROW()-6)</f>
        <v>104</v>
      </c>
      <c r="B110" s="79" t="s">
        <v>100</v>
      </c>
      <c r="C110" s="80" t="s">
        <v>229</v>
      </c>
      <c r="D110" s="80" t="s">
        <v>316</v>
      </c>
      <c r="E110" s="80" t="s">
        <v>350</v>
      </c>
      <c r="F110" s="80" t="s">
        <v>149</v>
      </c>
      <c r="G110" s="80" t="s">
        <v>104</v>
      </c>
      <c r="H110" s="80" t="n">
        <v>11</v>
      </c>
      <c r="I110" s="80" t="s">
        <v>112</v>
      </c>
      <c r="J110" s="80" t="s">
        <v>130</v>
      </c>
      <c r="K110" s="80" t="s">
        <v>349</v>
      </c>
      <c r="L110" s="80" t="s">
        <v>351</v>
      </c>
      <c r="M110" s="80" t="s">
        <v>139</v>
      </c>
      <c r="N110" s="80" t="s">
        <v>139</v>
      </c>
      <c r="O110" s="80" t="s">
        <v>202</v>
      </c>
      <c r="P110" s="81" t="n">
        <v>45883</v>
      </c>
      <c r="Q110" s="81" t="n">
        <v>45883</v>
      </c>
      <c r="R110" s="80" t="s">
        <v>338</v>
      </c>
      <c r="S110" s="80" t="s">
        <v>103</v>
      </c>
      <c r="T110" s="81" t="n">
        <v>45892</v>
      </c>
      <c r="U110" s="80" t="s">
        <v>345</v>
      </c>
      <c r="V110" s="80" t="s">
        <v>103</v>
      </c>
      <c r="W110" s="80"/>
      <c r="X110" s="80"/>
      <c r="Y110" s="81"/>
      <c r="Z110" s="80"/>
      <c r="AA110" s="80"/>
      <c r="AB110" s="80"/>
      <c r="AC110" s="80"/>
      <c r="AD110" s="81"/>
      <c r="AE110" s="80"/>
      <c r="AF110" s="80"/>
      <c r="AG110" s="81"/>
      <c r="AH110" s="79"/>
      <c r="AI110" s="78" t="n">
        <f aca="false">IF(E110="","",(V110&lt;&gt;"")+(AA110&lt;&gt;"")+(AF110&lt;&gt;""))</f>
        <v>1</v>
      </c>
      <c r="AJ110" s="82" t="str">
        <f aca="false">IF(AF110&lt;&gt;"",AF110,IF(AA110&lt;&gt;"",AA110,IF(V110&lt;&gt;"",V110,"")))</f>
        <v>A</v>
      </c>
      <c r="AK110" s="83" t="str">
        <f aca="false">IF(E110="","",IF(P110="","À SOUDER",IF(S110="","VT EN ATTENTE",IF(S110="R","VT REJETÉ – À REPRENDRE",IF(AJ110="","À RADIOGRAPHIER",IF(AJ110="A","ACCEPTÉ",IF(AJ110="NX","NX – RT À REFAIRE",IF(IF(AI110=1,X110,IF(AI110=2,AC110,""))="A","RÉPARÉ – À RADIOGRAPHIER",IF(IF(AI110=1,X110,IF(AI110=2,AC110,""))="R","VT REJETÉ – À REPRENDRE",IF(AJ110="CO","COUPE – À RESOUDER","À RÉPARER"))))))))))</f>
        <v>ACCEPTÉ</v>
      </c>
      <c r="AL110" s="82" t="str">
        <f aca="false">IF(AND(ISNUMBER(P110),OR(AK110="À RADIOGRAPHIER",AK110="RÉPARÉ – À RADIOGRAPHIER",AK110="NX – RT À REFAIRE",AK110="À RÉPARER",AK110="COUPE – À RESOUDER",AK110="VT REJETÉ – À REPRENDRE")),MAX(0,'PROGRAMME RT'!$C$4-P110),"")</f>
        <v/>
      </c>
      <c r="AM110" s="78" t="n">
        <f aca="false">IF(AND(OR(AK110="À RADIOGRAPHIER",AK110="RÉPARÉ – À RADIOGRAPHIER",AK110="NX – RT À REFAIRE"),OR('PROGRAMME RT'!$D$5="TOUTES",B110='PROGRAMME RT'!$D$5)),1,0)</f>
        <v>0</v>
      </c>
      <c r="AN110" s="78" t="str">
        <f aca="false">IF(AM110=1,SUM(AM$7:AM110),"")</f>
        <v/>
      </c>
      <c r="AO110" s="78" t="n">
        <f aca="false">IF(AND(OR(AK110="À RÉPARER",AK110="COUPE – À RESOUDER",AK110="VT REJETÉ – À REPRENDRE"),OR(RÉPARATIONS!$D$5="TOUTES",B110=RÉPARATIONS!$D$5)),1,0)</f>
        <v>0</v>
      </c>
      <c r="AP110" s="78" t="str">
        <f aca="false">IF(AO110=1,SUM(AO$7:AO110),"")</f>
        <v/>
      </c>
    </row>
    <row r="111" customFormat="false" ht="15" hidden="false" customHeight="false" outlineLevel="0" collapsed="false">
      <c r="A111" s="78" t="n">
        <f aca="false">IF(E111="","",ROW()-6)</f>
        <v>105</v>
      </c>
      <c r="B111" s="79" t="s">
        <v>100</v>
      </c>
      <c r="C111" s="80" t="s">
        <v>229</v>
      </c>
      <c r="D111" s="80" t="s">
        <v>316</v>
      </c>
      <c r="E111" s="80" t="s">
        <v>352</v>
      </c>
      <c r="F111" s="80" t="s">
        <v>149</v>
      </c>
      <c r="G111" s="80" t="s">
        <v>104</v>
      </c>
      <c r="H111" s="80" t="n">
        <v>11</v>
      </c>
      <c r="I111" s="80" t="s">
        <v>112</v>
      </c>
      <c r="J111" s="80" t="s">
        <v>130</v>
      </c>
      <c r="K111" s="80" t="s">
        <v>351</v>
      </c>
      <c r="L111" s="80" t="s">
        <v>353</v>
      </c>
      <c r="M111" s="80" t="s">
        <v>139</v>
      </c>
      <c r="N111" s="80" t="s">
        <v>139</v>
      </c>
      <c r="O111" s="80" t="s">
        <v>132</v>
      </c>
      <c r="P111" s="81" t="n">
        <v>45883</v>
      </c>
      <c r="Q111" s="81" t="n">
        <v>45883</v>
      </c>
      <c r="R111" s="80" t="s">
        <v>338</v>
      </c>
      <c r="S111" s="80" t="s">
        <v>103</v>
      </c>
      <c r="T111" s="81" t="n">
        <v>45893</v>
      </c>
      <c r="U111" s="80" t="s">
        <v>345</v>
      </c>
      <c r="V111" s="80" t="s">
        <v>354</v>
      </c>
      <c r="W111" s="80"/>
      <c r="X111" s="80"/>
      <c r="Y111" s="81" t="n">
        <v>45893</v>
      </c>
      <c r="Z111" s="80" t="s">
        <v>134</v>
      </c>
      <c r="AA111" s="80" t="s">
        <v>103</v>
      </c>
      <c r="AB111" s="80"/>
      <c r="AC111" s="80"/>
      <c r="AD111" s="81"/>
      <c r="AE111" s="80"/>
      <c r="AF111" s="80"/>
      <c r="AG111" s="81"/>
      <c r="AH111" s="79"/>
      <c r="AI111" s="78" t="n">
        <f aca="false">IF(E111="","",(V111&lt;&gt;"")+(AA111&lt;&gt;"")+(AF111&lt;&gt;""))</f>
        <v>2</v>
      </c>
      <c r="AJ111" s="82" t="str">
        <f aca="false">IF(AF111&lt;&gt;"",AF111,IF(AA111&lt;&gt;"",AA111,IF(V111&lt;&gt;"",V111,"")))</f>
        <v>A</v>
      </c>
      <c r="AK111" s="83" t="str">
        <f aca="false">IF(E111="","",IF(P111="","À SOUDER",IF(S111="","VT EN ATTENTE",IF(S111="R","VT REJETÉ – À REPRENDRE",IF(AJ111="","À RADIOGRAPHIER",IF(AJ111="A","ACCEPTÉ",IF(AJ111="NX","NX – RT À REFAIRE",IF(IF(AI111=1,X111,IF(AI111=2,AC111,""))="A","RÉPARÉ – À RADIOGRAPHIER",IF(IF(AI111=1,X111,IF(AI111=2,AC111,""))="R","VT REJETÉ – À REPRENDRE",IF(AJ111="CO","COUPE – À RESOUDER","À RÉPARER"))))))))))</f>
        <v>ACCEPTÉ</v>
      </c>
      <c r="AL111" s="82" t="str">
        <f aca="false">IF(AND(ISNUMBER(P111),OR(AK111="À RADIOGRAPHIER",AK111="RÉPARÉ – À RADIOGRAPHIER",AK111="NX – RT À REFAIRE",AK111="À RÉPARER",AK111="COUPE – À RESOUDER",AK111="VT REJETÉ – À REPRENDRE")),MAX(0,'PROGRAMME RT'!$C$4-P111),"")</f>
        <v/>
      </c>
      <c r="AM111" s="78" t="n">
        <f aca="false">IF(AND(OR(AK111="À RADIOGRAPHIER",AK111="RÉPARÉ – À RADIOGRAPHIER",AK111="NX – RT À REFAIRE"),OR('PROGRAMME RT'!$D$5="TOUTES",B111='PROGRAMME RT'!$D$5)),1,0)</f>
        <v>0</v>
      </c>
      <c r="AN111" s="78" t="str">
        <f aca="false">IF(AM111=1,SUM(AM$7:AM111),"")</f>
        <v/>
      </c>
      <c r="AO111" s="78" t="n">
        <f aca="false">IF(AND(OR(AK111="À RÉPARER",AK111="COUPE – À RESOUDER",AK111="VT REJETÉ – À REPRENDRE"),OR(RÉPARATIONS!$D$5="TOUTES",B111=RÉPARATIONS!$D$5)),1,0)</f>
        <v>0</v>
      </c>
      <c r="AP111" s="78" t="str">
        <f aca="false">IF(AO111=1,SUM(AO$7:AO111),"")</f>
        <v/>
      </c>
    </row>
    <row r="112" customFormat="false" ht="15" hidden="false" customHeight="false" outlineLevel="0" collapsed="false">
      <c r="A112" s="78" t="n">
        <f aca="false">IF(E112="","",ROW()-6)</f>
        <v>106</v>
      </c>
      <c r="B112" s="79" t="s">
        <v>100</v>
      </c>
      <c r="C112" s="80" t="s">
        <v>229</v>
      </c>
      <c r="D112" s="80" t="s">
        <v>316</v>
      </c>
      <c r="E112" s="80" t="s">
        <v>355</v>
      </c>
      <c r="F112" s="80" t="s">
        <v>149</v>
      </c>
      <c r="G112" s="80" t="s">
        <v>104</v>
      </c>
      <c r="H112" s="80" t="n">
        <v>11</v>
      </c>
      <c r="I112" s="80" t="s">
        <v>112</v>
      </c>
      <c r="J112" s="80" t="s">
        <v>130</v>
      </c>
      <c r="K112" s="80" t="s">
        <v>353</v>
      </c>
      <c r="L112" s="80" t="s">
        <v>356</v>
      </c>
      <c r="M112" s="80" t="s">
        <v>139</v>
      </c>
      <c r="N112" s="80" t="s">
        <v>139</v>
      </c>
      <c r="O112" s="80" t="s">
        <v>123</v>
      </c>
      <c r="P112" s="81" t="n">
        <v>45883</v>
      </c>
      <c r="Q112" s="81" t="n">
        <v>45883</v>
      </c>
      <c r="R112" s="80" t="s">
        <v>338</v>
      </c>
      <c r="S112" s="80" t="s">
        <v>103</v>
      </c>
      <c r="T112" s="81" t="n">
        <v>45892</v>
      </c>
      <c r="U112" s="80" t="s">
        <v>345</v>
      </c>
      <c r="V112" s="80" t="s">
        <v>103</v>
      </c>
      <c r="W112" s="80"/>
      <c r="X112" s="80"/>
      <c r="Y112" s="81"/>
      <c r="Z112" s="80"/>
      <c r="AA112" s="80"/>
      <c r="AB112" s="80"/>
      <c r="AC112" s="80"/>
      <c r="AD112" s="81"/>
      <c r="AE112" s="80"/>
      <c r="AF112" s="80"/>
      <c r="AG112" s="81"/>
      <c r="AH112" s="79"/>
      <c r="AI112" s="78" t="n">
        <f aca="false">IF(E112="","",(V112&lt;&gt;"")+(AA112&lt;&gt;"")+(AF112&lt;&gt;""))</f>
        <v>1</v>
      </c>
      <c r="AJ112" s="82" t="str">
        <f aca="false">IF(AF112&lt;&gt;"",AF112,IF(AA112&lt;&gt;"",AA112,IF(V112&lt;&gt;"",V112,"")))</f>
        <v>A</v>
      </c>
      <c r="AK112" s="83" t="str">
        <f aca="false">IF(E112="","",IF(P112="","À SOUDER",IF(S112="","VT EN ATTENTE",IF(S112="R","VT REJETÉ – À REPRENDRE",IF(AJ112="","À RADIOGRAPHIER",IF(AJ112="A","ACCEPTÉ",IF(AJ112="NX","NX – RT À REFAIRE",IF(IF(AI112=1,X112,IF(AI112=2,AC112,""))="A","RÉPARÉ – À RADIOGRAPHIER",IF(IF(AI112=1,X112,IF(AI112=2,AC112,""))="R","VT REJETÉ – À REPRENDRE",IF(AJ112="CO","COUPE – À RESOUDER","À RÉPARER"))))))))))</f>
        <v>ACCEPTÉ</v>
      </c>
      <c r="AL112" s="82" t="str">
        <f aca="false">IF(AND(ISNUMBER(P112),OR(AK112="À RADIOGRAPHIER",AK112="RÉPARÉ – À RADIOGRAPHIER",AK112="NX – RT À REFAIRE",AK112="À RÉPARER",AK112="COUPE – À RESOUDER",AK112="VT REJETÉ – À REPRENDRE")),MAX(0,'PROGRAMME RT'!$C$4-P112),"")</f>
        <v/>
      </c>
      <c r="AM112" s="78" t="n">
        <f aca="false">IF(AND(OR(AK112="À RADIOGRAPHIER",AK112="RÉPARÉ – À RADIOGRAPHIER",AK112="NX – RT À REFAIRE"),OR('PROGRAMME RT'!$D$5="TOUTES",B112='PROGRAMME RT'!$D$5)),1,0)</f>
        <v>0</v>
      </c>
      <c r="AN112" s="78" t="str">
        <f aca="false">IF(AM112=1,SUM(AM$7:AM112),"")</f>
        <v/>
      </c>
      <c r="AO112" s="78" t="n">
        <f aca="false">IF(AND(OR(AK112="À RÉPARER",AK112="COUPE – À RESOUDER",AK112="VT REJETÉ – À REPRENDRE"),OR(RÉPARATIONS!$D$5="TOUTES",B112=RÉPARATIONS!$D$5)),1,0)</f>
        <v>0</v>
      </c>
      <c r="AP112" s="78" t="str">
        <f aca="false">IF(AO112=1,SUM(AO$7:AO112),"")</f>
        <v/>
      </c>
    </row>
    <row r="113" customFormat="false" ht="15" hidden="false" customHeight="false" outlineLevel="0" collapsed="false">
      <c r="A113" s="78" t="n">
        <f aca="false">IF(E113="","",ROW()-6)</f>
        <v>107</v>
      </c>
      <c r="B113" s="79" t="s">
        <v>100</v>
      </c>
      <c r="C113" s="80" t="s">
        <v>229</v>
      </c>
      <c r="D113" s="80" t="s">
        <v>316</v>
      </c>
      <c r="E113" s="80" t="s">
        <v>357</v>
      </c>
      <c r="F113" s="80" t="s">
        <v>149</v>
      </c>
      <c r="G113" s="80" t="s">
        <v>104</v>
      </c>
      <c r="H113" s="80" t="n">
        <v>11</v>
      </c>
      <c r="I113" s="80" t="s">
        <v>112</v>
      </c>
      <c r="J113" s="80" t="s">
        <v>130</v>
      </c>
      <c r="K113" s="80" t="s">
        <v>356</v>
      </c>
      <c r="L113" s="80" t="s">
        <v>358</v>
      </c>
      <c r="M113" s="80" t="s">
        <v>139</v>
      </c>
      <c r="N113" s="80" t="s">
        <v>139</v>
      </c>
      <c r="O113" s="80" t="s">
        <v>123</v>
      </c>
      <c r="P113" s="81" t="n">
        <v>45883</v>
      </c>
      <c r="Q113" s="81" t="n">
        <v>45883</v>
      </c>
      <c r="R113" s="80" t="s">
        <v>338</v>
      </c>
      <c r="S113" s="80" t="s">
        <v>103</v>
      </c>
      <c r="T113" s="81" t="n">
        <v>45892</v>
      </c>
      <c r="U113" s="80" t="s">
        <v>345</v>
      </c>
      <c r="V113" s="80" t="s">
        <v>103</v>
      </c>
      <c r="W113" s="80"/>
      <c r="X113" s="80"/>
      <c r="Y113" s="81"/>
      <c r="Z113" s="80"/>
      <c r="AA113" s="80"/>
      <c r="AB113" s="80"/>
      <c r="AC113" s="80"/>
      <c r="AD113" s="81"/>
      <c r="AE113" s="80"/>
      <c r="AF113" s="80"/>
      <c r="AG113" s="81"/>
      <c r="AH113" s="79"/>
      <c r="AI113" s="78" t="n">
        <f aca="false">IF(E113="","",(V113&lt;&gt;"")+(AA113&lt;&gt;"")+(AF113&lt;&gt;""))</f>
        <v>1</v>
      </c>
      <c r="AJ113" s="82" t="str">
        <f aca="false">IF(AF113&lt;&gt;"",AF113,IF(AA113&lt;&gt;"",AA113,IF(V113&lt;&gt;"",V113,"")))</f>
        <v>A</v>
      </c>
      <c r="AK113" s="83" t="str">
        <f aca="false">IF(E113="","",IF(P113="","À SOUDER",IF(S113="","VT EN ATTENTE",IF(S113="R","VT REJETÉ – À REPRENDRE",IF(AJ113="","À RADIOGRAPHIER",IF(AJ113="A","ACCEPTÉ",IF(AJ113="NX","NX – RT À REFAIRE",IF(IF(AI113=1,X113,IF(AI113=2,AC113,""))="A","RÉPARÉ – À RADIOGRAPHIER",IF(IF(AI113=1,X113,IF(AI113=2,AC113,""))="R","VT REJETÉ – À REPRENDRE",IF(AJ113="CO","COUPE – À RESOUDER","À RÉPARER"))))))))))</f>
        <v>ACCEPTÉ</v>
      </c>
      <c r="AL113" s="82" t="str">
        <f aca="false">IF(AND(ISNUMBER(P113),OR(AK113="À RADIOGRAPHIER",AK113="RÉPARÉ – À RADIOGRAPHIER",AK113="NX – RT À REFAIRE",AK113="À RÉPARER",AK113="COUPE – À RESOUDER",AK113="VT REJETÉ – À REPRENDRE")),MAX(0,'PROGRAMME RT'!$C$4-P113),"")</f>
        <v/>
      </c>
      <c r="AM113" s="78" t="n">
        <f aca="false">IF(AND(OR(AK113="À RADIOGRAPHIER",AK113="RÉPARÉ – À RADIOGRAPHIER",AK113="NX – RT À REFAIRE"),OR('PROGRAMME RT'!$D$5="TOUTES",B113='PROGRAMME RT'!$D$5)),1,0)</f>
        <v>0</v>
      </c>
      <c r="AN113" s="78" t="str">
        <f aca="false">IF(AM113=1,SUM(AM$7:AM113),"")</f>
        <v/>
      </c>
      <c r="AO113" s="78" t="n">
        <f aca="false">IF(AND(OR(AK113="À RÉPARER",AK113="COUPE – À RESOUDER",AK113="VT REJETÉ – À REPRENDRE"),OR(RÉPARATIONS!$D$5="TOUTES",B113=RÉPARATIONS!$D$5)),1,0)</f>
        <v>0</v>
      </c>
      <c r="AP113" s="78" t="str">
        <f aca="false">IF(AO113=1,SUM(AO$7:AO113),"")</f>
        <v/>
      </c>
    </row>
    <row r="114" customFormat="false" ht="15" hidden="false" customHeight="false" outlineLevel="0" collapsed="false">
      <c r="A114" s="78" t="n">
        <f aca="false">IF(E114="","",ROW()-6)</f>
        <v>108</v>
      </c>
      <c r="B114" s="79" t="s">
        <v>100</v>
      </c>
      <c r="C114" s="80" t="s">
        <v>229</v>
      </c>
      <c r="D114" s="80" t="s">
        <v>316</v>
      </c>
      <c r="E114" s="80" t="s">
        <v>359</v>
      </c>
      <c r="F114" s="80" t="s">
        <v>149</v>
      </c>
      <c r="G114" s="80" t="s">
        <v>104</v>
      </c>
      <c r="H114" s="80" t="n">
        <v>11</v>
      </c>
      <c r="I114" s="80" t="s">
        <v>112</v>
      </c>
      <c r="J114" s="80" t="s">
        <v>130</v>
      </c>
      <c r="K114" s="80" t="s">
        <v>358</v>
      </c>
      <c r="L114" s="80" t="s">
        <v>360</v>
      </c>
      <c r="M114" s="80" t="s">
        <v>139</v>
      </c>
      <c r="N114" s="80" t="s">
        <v>139</v>
      </c>
      <c r="O114" s="80" t="s">
        <v>132</v>
      </c>
      <c r="P114" s="81" t="n">
        <v>45883</v>
      </c>
      <c r="Q114" s="81" t="n">
        <v>45883</v>
      </c>
      <c r="R114" s="80" t="s">
        <v>338</v>
      </c>
      <c r="S114" s="80" t="s">
        <v>103</v>
      </c>
      <c r="T114" s="81" t="n">
        <v>45892</v>
      </c>
      <c r="U114" s="80" t="s">
        <v>345</v>
      </c>
      <c r="V114" s="80" t="s">
        <v>103</v>
      </c>
      <c r="W114" s="80"/>
      <c r="X114" s="80"/>
      <c r="Y114" s="81"/>
      <c r="Z114" s="80"/>
      <c r="AA114" s="80"/>
      <c r="AB114" s="80"/>
      <c r="AC114" s="80"/>
      <c r="AD114" s="81"/>
      <c r="AE114" s="80"/>
      <c r="AF114" s="80"/>
      <c r="AG114" s="81"/>
      <c r="AH114" s="79"/>
      <c r="AI114" s="78" t="n">
        <f aca="false">IF(E114="","",(V114&lt;&gt;"")+(AA114&lt;&gt;"")+(AF114&lt;&gt;""))</f>
        <v>1</v>
      </c>
      <c r="AJ114" s="82" t="str">
        <f aca="false">IF(AF114&lt;&gt;"",AF114,IF(AA114&lt;&gt;"",AA114,IF(V114&lt;&gt;"",V114,"")))</f>
        <v>A</v>
      </c>
      <c r="AK114" s="83" t="str">
        <f aca="false">IF(E114="","",IF(P114="","À SOUDER",IF(S114="","VT EN ATTENTE",IF(S114="R","VT REJETÉ – À REPRENDRE",IF(AJ114="","À RADIOGRAPHIER",IF(AJ114="A","ACCEPTÉ",IF(AJ114="NX","NX – RT À REFAIRE",IF(IF(AI114=1,X114,IF(AI114=2,AC114,""))="A","RÉPARÉ – À RADIOGRAPHIER",IF(IF(AI114=1,X114,IF(AI114=2,AC114,""))="R","VT REJETÉ – À REPRENDRE",IF(AJ114="CO","COUPE – À RESOUDER","À RÉPARER"))))))))))</f>
        <v>ACCEPTÉ</v>
      </c>
      <c r="AL114" s="82" t="str">
        <f aca="false">IF(AND(ISNUMBER(P114),OR(AK114="À RADIOGRAPHIER",AK114="RÉPARÉ – À RADIOGRAPHIER",AK114="NX – RT À REFAIRE",AK114="À RÉPARER",AK114="COUPE – À RESOUDER",AK114="VT REJETÉ – À REPRENDRE")),MAX(0,'PROGRAMME RT'!$C$4-P114),"")</f>
        <v/>
      </c>
      <c r="AM114" s="78" t="n">
        <f aca="false">IF(AND(OR(AK114="À RADIOGRAPHIER",AK114="RÉPARÉ – À RADIOGRAPHIER",AK114="NX – RT À REFAIRE"),OR('PROGRAMME RT'!$D$5="TOUTES",B114='PROGRAMME RT'!$D$5)),1,0)</f>
        <v>0</v>
      </c>
      <c r="AN114" s="78" t="str">
        <f aca="false">IF(AM114=1,SUM(AM$7:AM114),"")</f>
        <v/>
      </c>
      <c r="AO114" s="78" t="n">
        <f aca="false">IF(AND(OR(AK114="À RÉPARER",AK114="COUPE – À RESOUDER",AK114="VT REJETÉ – À REPRENDRE"),OR(RÉPARATIONS!$D$5="TOUTES",B114=RÉPARATIONS!$D$5)),1,0)</f>
        <v>0</v>
      </c>
      <c r="AP114" s="78" t="str">
        <f aca="false">IF(AO114=1,SUM(AO$7:AO114),"")</f>
        <v/>
      </c>
    </row>
    <row r="115" customFormat="false" ht="15" hidden="false" customHeight="false" outlineLevel="0" collapsed="false">
      <c r="A115" s="78" t="n">
        <f aca="false">IF(E115="","",ROW()-6)</f>
        <v>109</v>
      </c>
      <c r="B115" s="79" t="s">
        <v>100</v>
      </c>
      <c r="C115" s="80" t="s">
        <v>229</v>
      </c>
      <c r="D115" s="80" t="s">
        <v>316</v>
      </c>
      <c r="E115" s="80" t="s">
        <v>361</v>
      </c>
      <c r="F115" s="80" t="s">
        <v>149</v>
      </c>
      <c r="G115" s="80" t="s">
        <v>104</v>
      </c>
      <c r="H115" s="80" t="n">
        <v>11</v>
      </c>
      <c r="I115" s="80" t="s">
        <v>112</v>
      </c>
      <c r="J115" s="80" t="s">
        <v>130</v>
      </c>
      <c r="K115" s="80" t="s">
        <v>360</v>
      </c>
      <c r="L115" s="80" t="s">
        <v>362</v>
      </c>
      <c r="M115" s="80" t="s">
        <v>139</v>
      </c>
      <c r="N115" s="80" t="s">
        <v>139</v>
      </c>
      <c r="O115" s="80" t="s">
        <v>202</v>
      </c>
      <c r="P115" s="81" t="n">
        <v>45883</v>
      </c>
      <c r="Q115" s="81" t="n">
        <v>45883</v>
      </c>
      <c r="R115" s="80" t="s">
        <v>338</v>
      </c>
      <c r="S115" s="80" t="s">
        <v>103</v>
      </c>
      <c r="T115" s="81" t="n">
        <v>45892</v>
      </c>
      <c r="U115" s="80" t="s">
        <v>345</v>
      </c>
      <c r="V115" s="80" t="s">
        <v>103</v>
      </c>
      <c r="W115" s="80"/>
      <c r="X115" s="80"/>
      <c r="Y115" s="81"/>
      <c r="Z115" s="80"/>
      <c r="AA115" s="80"/>
      <c r="AB115" s="80"/>
      <c r="AC115" s="80"/>
      <c r="AD115" s="81"/>
      <c r="AE115" s="80"/>
      <c r="AF115" s="80"/>
      <c r="AG115" s="81"/>
      <c r="AH115" s="79"/>
      <c r="AI115" s="78" t="n">
        <f aca="false">IF(E115="","",(V115&lt;&gt;"")+(AA115&lt;&gt;"")+(AF115&lt;&gt;""))</f>
        <v>1</v>
      </c>
      <c r="AJ115" s="82" t="str">
        <f aca="false">IF(AF115&lt;&gt;"",AF115,IF(AA115&lt;&gt;"",AA115,IF(V115&lt;&gt;"",V115,"")))</f>
        <v>A</v>
      </c>
      <c r="AK115" s="83" t="str">
        <f aca="false">IF(E115="","",IF(P115="","À SOUDER",IF(S115="","VT EN ATTENTE",IF(S115="R","VT REJETÉ – À REPRENDRE",IF(AJ115="","À RADIOGRAPHIER",IF(AJ115="A","ACCEPTÉ",IF(AJ115="NX","NX – RT À REFAIRE",IF(IF(AI115=1,X115,IF(AI115=2,AC115,""))="A","RÉPARÉ – À RADIOGRAPHIER",IF(IF(AI115=1,X115,IF(AI115=2,AC115,""))="R","VT REJETÉ – À REPRENDRE",IF(AJ115="CO","COUPE – À RESOUDER","À RÉPARER"))))))))))</f>
        <v>ACCEPTÉ</v>
      </c>
      <c r="AL115" s="82" t="str">
        <f aca="false">IF(AND(ISNUMBER(P115),OR(AK115="À RADIOGRAPHIER",AK115="RÉPARÉ – À RADIOGRAPHIER",AK115="NX – RT À REFAIRE",AK115="À RÉPARER",AK115="COUPE – À RESOUDER",AK115="VT REJETÉ – À REPRENDRE")),MAX(0,'PROGRAMME RT'!$C$4-P115),"")</f>
        <v/>
      </c>
      <c r="AM115" s="78" t="n">
        <f aca="false">IF(AND(OR(AK115="À RADIOGRAPHIER",AK115="RÉPARÉ – À RADIOGRAPHIER",AK115="NX – RT À REFAIRE"),OR('PROGRAMME RT'!$D$5="TOUTES",B115='PROGRAMME RT'!$D$5)),1,0)</f>
        <v>0</v>
      </c>
      <c r="AN115" s="78" t="str">
        <f aca="false">IF(AM115=1,SUM(AM$7:AM115),"")</f>
        <v/>
      </c>
      <c r="AO115" s="78" t="n">
        <f aca="false">IF(AND(OR(AK115="À RÉPARER",AK115="COUPE – À RESOUDER",AK115="VT REJETÉ – À REPRENDRE"),OR(RÉPARATIONS!$D$5="TOUTES",B115=RÉPARATIONS!$D$5)),1,0)</f>
        <v>0</v>
      </c>
      <c r="AP115" s="78" t="str">
        <f aca="false">IF(AO115=1,SUM(AO$7:AO115),"")</f>
        <v/>
      </c>
    </row>
    <row r="116" customFormat="false" ht="15" hidden="false" customHeight="false" outlineLevel="0" collapsed="false">
      <c r="A116" s="78" t="n">
        <f aca="false">IF(E116="","",ROW()-6)</f>
        <v>110</v>
      </c>
      <c r="B116" s="79" t="s">
        <v>100</v>
      </c>
      <c r="C116" s="80" t="s">
        <v>229</v>
      </c>
      <c r="D116" s="80" t="s">
        <v>316</v>
      </c>
      <c r="E116" s="80" t="s">
        <v>363</v>
      </c>
      <c r="F116" s="80" t="s">
        <v>149</v>
      </c>
      <c r="G116" s="80" t="s">
        <v>104</v>
      </c>
      <c r="H116" s="80" t="n">
        <v>11</v>
      </c>
      <c r="I116" s="80" t="s">
        <v>112</v>
      </c>
      <c r="J116" s="80" t="s">
        <v>130</v>
      </c>
      <c r="K116" s="80" t="s">
        <v>362</v>
      </c>
      <c r="L116" s="80" t="s">
        <v>364</v>
      </c>
      <c r="M116" s="80" t="s">
        <v>139</v>
      </c>
      <c r="N116" s="80" t="s">
        <v>139</v>
      </c>
      <c r="O116" s="80" t="s">
        <v>202</v>
      </c>
      <c r="P116" s="81" t="n">
        <v>45883</v>
      </c>
      <c r="Q116" s="81" t="n">
        <v>45883</v>
      </c>
      <c r="R116" s="80" t="s">
        <v>338</v>
      </c>
      <c r="S116" s="80" t="s">
        <v>103</v>
      </c>
      <c r="T116" s="81" t="n">
        <v>45892</v>
      </c>
      <c r="U116" s="80" t="s">
        <v>345</v>
      </c>
      <c r="V116" s="80" t="s">
        <v>103</v>
      </c>
      <c r="W116" s="80"/>
      <c r="X116" s="80"/>
      <c r="Y116" s="81"/>
      <c r="Z116" s="80"/>
      <c r="AA116" s="80"/>
      <c r="AB116" s="80"/>
      <c r="AC116" s="80"/>
      <c r="AD116" s="81"/>
      <c r="AE116" s="80"/>
      <c r="AF116" s="80"/>
      <c r="AG116" s="81"/>
      <c r="AH116" s="79"/>
      <c r="AI116" s="78" t="n">
        <f aca="false">IF(E116="","",(V116&lt;&gt;"")+(AA116&lt;&gt;"")+(AF116&lt;&gt;""))</f>
        <v>1</v>
      </c>
      <c r="AJ116" s="82" t="str">
        <f aca="false">IF(AF116&lt;&gt;"",AF116,IF(AA116&lt;&gt;"",AA116,IF(V116&lt;&gt;"",V116,"")))</f>
        <v>A</v>
      </c>
      <c r="AK116" s="83" t="str">
        <f aca="false">IF(E116="","",IF(P116="","À SOUDER",IF(S116="","VT EN ATTENTE",IF(S116="R","VT REJETÉ – À REPRENDRE",IF(AJ116="","À RADIOGRAPHIER",IF(AJ116="A","ACCEPTÉ",IF(AJ116="NX","NX – RT À REFAIRE",IF(IF(AI116=1,X116,IF(AI116=2,AC116,""))="A","RÉPARÉ – À RADIOGRAPHIER",IF(IF(AI116=1,X116,IF(AI116=2,AC116,""))="R","VT REJETÉ – À REPRENDRE",IF(AJ116="CO","COUPE – À RESOUDER","À RÉPARER"))))))))))</f>
        <v>ACCEPTÉ</v>
      </c>
      <c r="AL116" s="82" t="str">
        <f aca="false">IF(AND(ISNUMBER(P116),OR(AK116="À RADIOGRAPHIER",AK116="RÉPARÉ – À RADIOGRAPHIER",AK116="NX – RT À REFAIRE",AK116="À RÉPARER",AK116="COUPE – À RESOUDER",AK116="VT REJETÉ – À REPRENDRE")),MAX(0,'PROGRAMME RT'!$C$4-P116),"")</f>
        <v/>
      </c>
      <c r="AM116" s="78" t="n">
        <f aca="false">IF(AND(OR(AK116="À RADIOGRAPHIER",AK116="RÉPARÉ – À RADIOGRAPHIER",AK116="NX – RT À REFAIRE"),OR('PROGRAMME RT'!$D$5="TOUTES",B116='PROGRAMME RT'!$D$5)),1,0)</f>
        <v>0</v>
      </c>
      <c r="AN116" s="78" t="str">
        <f aca="false">IF(AM116=1,SUM(AM$7:AM116),"")</f>
        <v/>
      </c>
      <c r="AO116" s="78" t="n">
        <f aca="false">IF(AND(OR(AK116="À RÉPARER",AK116="COUPE – À RESOUDER",AK116="VT REJETÉ – À REPRENDRE"),OR(RÉPARATIONS!$D$5="TOUTES",B116=RÉPARATIONS!$D$5)),1,0)</f>
        <v>0</v>
      </c>
      <c r="AP116" s="78" t="str">
        <f aca="false">IF(AO116=1,SUM(AO$7:AO116),"")</f>
        <v/>
      </c>
    </row>
    <row r="117" customFormat="false" ht="15" hidden="false" customHeight="false" outlineLevel="0" collapsed="false">
      <c r="A117" s="78" t="n">
        <f aca="false">IF(E117="","",ROW()-6)</f>
        <v>111</v>
      </c>
      <c r="B117" s="79" t="s">
        <v>100</v>
      </c>
      <c r="C117" s="80" t="s">
        <v>229</v>
      </c>
      <c r="D117" s="80" t="s">
        <v>316</v>
      </c>
      <c r="E117" s="80" t="s">
        <v>365</v>
      </c>
      <c r="F117" s="80" t="s">
        <v>149</v>
      </c>
      <c r="G117" s="80" t="s">
        <v>104</v>
      </c>
      <c r="H117" s="80" t="n">
        <v>11</v>
      </c>
      <c r="I117" s="80" t="s">
        <v>112</v>
      </c>
      <c r="J117" s="80" t="s">
        <v>130</v>
      </c>
      <c r="K117" s="80" t="s">
        <v>364</v>
      </c>
      <c r="L117" s="80" t="s">
        <v>366</v>
      </c>
      <c r="M117" s="80" t="s">
        <v>139</v>
      </c>
      <c r="N117" s="80" t="s">
        <v>139</v>
      </c>
      <c r="O117" s="80" t="s">
        <v>132</v>
      </c>
      <c r="P117" s="81" t="n">
        <v>45883</v>
      </c>
      <c r="Q117" s="81" t="n">
        <v>45883</v>
      </c>
      <c r="R117" s="80" t="s">
        <v>338</v>
      </c>
      <c r="S117" s="80" t="s">
        <v>103</v>
      </c>
      <c r="T117" s="81" t="n">
        <v>45892</v>
      </c>
      <c r="U117" s="80" t="s">
        <v>345</v>
      </c>
      <c r="V117" s="80" t="s">
        <v>103</v>
      </c>
      <c r="W117" s="80"/>
      <c r="X117" s="80"/>
      <c r="Y117" s="81"/>
      <c r="Z117" s="80"/>
      <c r="AA117" s="80"/>
      <c r="AB117" s="80"/>
      <c r="AC117" s="80"/>
      <c r="AD117" s="81"/>
      <c r="AE117" s="80"/>
      <c r="AF117" s="80"/>
      <c r="AG117" s="81"/>
      <c r="AH117" s="79"/>
      <c r="AI117" s="78" t="n">
        <f aca="false">IF(E117="","",(V117&lt;&gt;"")+(AA117&lt;&gt;"")+(AF117&lt;&gt;""))</f>
        <v>1</v>
      </c>
      <c r="AJ117" s="82" t="str">
        <f aca="false">IF(AF117&lt;&gt;"",AF117,IF(AA117&lt;&gt;"",AA117,IF(V117&lt;&gt;"",V117,"")))</f>
        <v>A</v>
      </c>
      <c r="AK117" s="83" t="str">
        <f aca="false">IF(E117="","",IF(P117="","À SOUDER",IF(S117="","VT EN ATTENTE",IF(S117="R","VT REJETÉ – À REPRENDRE",IF(AJ117="","À RADIOGRAPHIER",IF(AJ117="A","ACCEPTÉ",IF(AJ117="NX","NX – RT À REFAIRE",IF(IF(AI117=1,X117,IF(AI117=2,AC117,""))="A","RÉPARÉ – À RADIOGRAPHIER",IF(IF(AI117=1,X117,IF(AI117=2,AC117,""))="R","VT REJETÉ – À REPRENDRE",IF(AJ117="CO","COUPE – À RESOUDER","À RÉPARER"))))))))))</f>
        <v>ACCEPTÉ</v>
      </c>
      <c r="AL117" s="82" t="str">
        <f aca="false">IF(AND(ISNUMBER(P117),OR(AK117="À RADIOGRAPHIER",AK117="RÉPARÉ – À RADIOGRAPHIER",AK117="NX – RT À REFAIRE",AK117="À RÉPARER",AK117="COUPE – À RESOUDER",AK117="VT REJETÉ – À REPRENDRE")),MAX(0,'PROGRAMME RT'!$C$4-P117),"")</f>
        <v/>
      </c>
      <c r="AM117" s="78" t="n">
        <f aca="false">IF(AND(OR(AK117="À RADIOGRAPHIER",AK117="RÉPARÉ – À RADIOGRAPHIER",AK117="NX – RT À REFAIRE"),OR('PROGRAMME RT'!$D$5="TOUTES",B117='PROGRAMME RT'!$D$5)),1,0)</f>
        <v>0</v>
      </c>
      <c r="AN117" s="78" t="str">
        <f aca="false">IF(AM117=1,SUM(AM$7:AM117),"")</f>
        <v/>
      </c>
      <c r="AO117" s="78" t="n">
        <f aca="false">IF(AND(OR(AK117="À RÉPARER",AK117="COUPE – À RESOUDER",AK117="VT REJETÉ – À REPRENDRE"),OR(RÉPARATIONS!$D$5="TOUTES",B117=RÉPARATIONS!$D$5)),1,0)</f>
        <v>0</v>
      </c>
      <c r="AP117" s="78" t="str">
        <f aca="false">IF(AO117=1,SUM(AO$7:AO117),"")</f>
        <v/>
      </c>
    </row>
    <row r="118" customFormat="false" ht="15" hidden="false" customHeight="false" outlineLevel="0" collapsed="false">
      <c r="A118" s="78" t="n">
        <f aca="false">IF(E118="","",ROW()-6)</f>
        <v>112</v>
      </c>
      <c r="B118" s="79" t="s">
        <v>100</v>
      </c>
      <c r="C118" s="80" t="s">
        <v>229</v>
      </c>
      <c r="D118" s="80" t="s">
        <v>316</v>
      </c>
      <c r="E118" s="80" t="s">
        <v>367</v>
      </c>
      <c r="F118" s="80" t="s">
        <v>149</v>
      </c>
      <c r="G118" s="80" t="s">
        <v>104</v>
      </c>
      <c r="H118" s="80" t="n">
        <v>11</v>
      </c>
      <c r="I118" s="80" t="s">
        <v>112</v>
      </c>
      <c r="J118" s="80" t="s">
        <v>130</v>
      </c>
      <c r="K118" s="80" t="s">
        <v>366</v>
      </c>
      <c r="L118" s="80" t="s">
        <v>368</v>
      </c>
      <c r="M118" s="80" t="s">
        <v>139</v>
      </c>
      <c r="N118" s="80" t="s">
        <v>139</v>
      </c>
      <c r="O118" s="80" t="s">
        <v>123</v>
      </c>
      <c r="P118" s="81" t="n">
        <v>45884</v>
      </c>
      <c r="Q118" s="81" t="n">
        <v>45884</v>
      </c>
      <c r="R118" s="80" t="s">
        <v>369</v>
      </c>
      <c r="S118" s="80" t="s">
        <v>103</v>
      </c>
      <c r="T118" s="81" t="n">
        <v>45892</v>
      </c>
      <c r="U118" s="80" t="s">
        <v>345</v>
      </c>
      <c r="V118" s="80" t="s">
        <v>103</v>
      </c>
      <c r="W118" s="80"/>
      <c r="X118" s="80"/>
      <c r="Y118" s="81"/>
      <c r="Z118" s="80"/>
      <c r="AA118" s="80"/>
      <c r="AB118" s="80"/>
      <c r="AC118" s="80"/>
      <c r="AD118" s="81"/>
      <c r="AE118" s="80"/>
      <c r="AF118" s="80"/>
      <c r="AG118" s="81"/>
      <c r="AH118" s="79"/>
      <c r="AI118" s="78" t="n">
        <f aca="false">IF(E118="","",(V118&lt;&gt;"")+(AA118&lt;&gt;"")+(AF118&lt;&gt;""))</f>
        <v>1</v>
      </c>
      <c r="AJ118" s="82" t="str">
        <f aca="false">IF(AF118&lt;&gt;"",AF118,IF(AA118&lt;&gt;"",AA118,IF(V118&lt;&gt;"",V118,"")))</f>
        <v>A</v>
      </c>
      <c r="AK118" s="83" t="str">
        <f aca="false">IF(E118="","",IF(P118="","À SOUDER",IF(S118="","VT EN ATTENTE",IF(S118="R","VT REJETÉ – À REPRENDRE",IF(AJ118="","À RADIOGRAPHIER",IF(AJ118="A","ACCEPTÉ",IF(AJ118="NX","NX – RT À REFAIRE",IF(IF(AI118=1,X118,IF(AI118=2,AC118,""))="A","RÉPARÉ – À RADIOGRAPHIER",IF(IF(AI118=1,X118,IF(AI118=2,AC118,""))="R","VT REJETÉ – À REPRENDRE",IF(AJ118="CO","COUPE – À RESOUDER","À RÉPARER"))))))))))</f>
        <v>ACCEPTÉ</v>
      </c>
      <c r="AL118" s="82" t="str">
        <f aca="false">IF(AND(ISNUMBER(P118),OR(AK118="À RADIOGRAPHIER",AK118="RÉPARÉ – À RADIOGRAPHIER",AK118="NX – RT À REFAIRE",AK118="À RÉPARER",AK118="COUPE – À RESOUDER",AK118="VT REJETÉ – À REPRENDRE")),MAX(0,'PROGRAMME RT'!$C$4-P118),"")</f>
        <v/>
      </c>
      <c r="AM118" s="78" t="n">
        <f aca="false">IF(AND(OR(AK118="À RADIOGRAPHIER",AK118="RÉPARÉ – À RADIOGRAPHIER",AK118="NX – RT À REFAIRE"),OR('PROGRAMME RT'!$D$5="TOUTES",B118='PROGRAMME RT'!$D$5)),1,0)</f>
        <v>0</v>
      </c>
      <c r="AN118" s="78" t="str">
        <f aca="false">IF(AM118=1,SUM(AM$7:AM118),"")</f>
        <v/>
      </c>
      <c r="AO118" s="78" t="n">
        <f aca="false">IF(AND(OR(AK118="À RÉPARER",AK118="COUPE – À RESOUDER",AK118="VT REJETÉ – À REPRENDRE"),OR(RÉPARATIONS!$D$5="TOUTES",B118=RÉPARATIONS!$D$5)),1,0)</f>
        <v>0</v>
      </c>
      <c r="AP118" s="78" t="str">
        <f aca="false">IF(AO118=1,SUM(AO$7:AO118),"")</f>
        <v/>
      </c>
    </row>
    <row r="119" customFormat="false" ht="15" hidden="false" customHeight="false" outlineLevel="0" collapsed="false">
      <c r="A119" s="78" t="n">
        <f aca="false">IF(E119="","",ROW()-6)</f>
        <v>113</v>
      </c>
      <c r="B119" s="79" t="s">
        <v>100</v>
      </c>
      <c r="C119" s="80" t="s">
        <v>229</v>
      </c>
      <c r="D119" s="80" t="s">
        <v>316</v>
      </c>
      <c r="E119" s="80" t="s">
        <v>370</v>
      </c>
      <c r="F119" s="80" t="s">
        <v>149</v>
      </c>
      <c r="G119" s="80" t="s">
        <v>104</v>
      </c>
      <c r="H119" s="80" t="n">
        <v>11</v>
      </c>
      <c r="I119" s="80" t="s">
        <v>112</v>
      </c>
      <c r="J119" s="80" t="s">
        <v>130</v>
      </c>
      <c r="K119" s="80" t="s">
        <v>368</v>
      </c>
      <c r="L119" s="80" t="s">
        <v>371</v>
      </c>
      <c r="M119" s="80" t="s">
        <v>139</v>
      </c>
      <c r="N119" s="80" t="s">
        <v>139</v>
      </c>
      <c r="O119" s="80" t="s">
        <v>132</v>
      </c>
      <c r="P119" s="81" t="n">
        <v>45884</v>
      </c>
      <c r="Q119" s="81" t="n">
        <v>45884</v>
      </c>
      <c r="R119" s="80" t="s">
        <v>369</v>
      </c>
      <c r="S119" s="80" t="s">
        <v>103</v>
      </c>
      <c r="T119" s="81" t="n">
        <v>45892</v>
      </c>
      <c r="U119" s="80" t="s">
        <v>345</v>
      </c>
      <c r="V119" s="80" t="s">
        <v>103</v>
      </c>
      <c r="W119" s="80"/>
      <c r="X119" s="80"/>
      <c r="Y119" s="81"/>
      <c r="Z119" s="80"/>
      <c r="AA119" s="80"/>
      <c r="AB119" s="80"/>
      <c r="AC119" s="80"/>
      <c r="AD119" s="81"/>
      <c r="AE119" s="80"/>
      <c r="AF119" s="80"/>
      <c r="AG119" s="81"/>
      <c r="AH119" s="79"/>
      <c r="AI119" s="78" t="n">
        <f aca="false">IF(E119="","",(V119&lt;&gt;"")+(AA119&lt;&gt;"")+(AF119&lt;&gt;""))</f>
        <v>1</v>
      </c>
      <c r="AJ119" s="82" t="str">
        <f aca="false">IF(AF119&lt;&gt;"",AF119,IF(AA119&lt;&gt;"",AA119,IF(V119&lt;&gt;"",V119,"")))</f>
        <v>A</v>
      </c>
      <c r="AK119" s="83" t="str">
        <f aca="false">IF(E119="","",IF(P119="","À SOUDER",IF(S119="","VT EN ATTENTE",IF(S119="R","VT REJETÉ – À REPRENDRE",IF(AJ119="","À RADIOGRAPHIER",IF(AJ119="A","ACCEPTÉ",IF(AJ119="NX","NX – RT À REFAIRE",IF(IF(AI119=1,X119,IF(AI119=2,AC119,""))="A","RÉPARÉ – À RADIOGRAPHIER",IF(IF(AI119=1,X119,IF(AI119=2,AC119,""))="R","VT REJETÉ – À REPRENDRE",IF(AJ119="CO","COUPE – À RESOUDER","À RÉPARER"))))))))))</f>
        <v>ACCEPTÉ</v>
      </c>
      <c r="AL119" s="82" t="str">
        <f aca="false">IF(AND(ISNUMBER(P119),OR(AK119="À RADIOGRAPHIER",AK119="RÉPARÉ – À RADIOGRAPHIER",AK119="NX – RT À REFAIRE",AK119="À RÉPARER",AK119="COUPE – À RESOUDER",AK119="VT REJETÉ – À REPRENDRE")),MAX(0,'PROGRAMME RT'!$C$4-P119),"")</f>
        <v/>
      </c>
      <c r="AM119" s="78" t="n">
        <f aca="false">IF(AND(OR(AK119="À RADIOGRAPHIER",AK119="RÉPARÉ – À RADIOGRAPHIER",AK119="NX – RT À REFAIRE"),OR('PROGRAMME RT'!$D$5="TOUTES",B119='PROGRAMME RT'!$D$5)),1,0)</f>
        <v>0</v>
      </c>
      <c r="AN119" s="78" t="str">
        <f aca="false">IF(AM119=1,SUM(AM$7:AM119),"")</f>
        <v/>
      </c>
      <c r="AO119" s="78" t="n">
        <f aca="false">IF(AND(OR(AK119="À RÉPARER",AK119="COUPE – À RESOUDER",AK119="VT REJETÉ – À REPRENDRE"),OR(RÉPARATIONS!$D$5="TOUTES",B119=RÉPARATIONS!$D$5)),1,0)</f>
        <v>0</v>
      </c>
      <c r="AP119" s="78" t="str">
        <f aca="false">IF(AO119=1,SUM(AO$7:AO119),"")</f>
        <v/>
      </c>
    </row>
    <row r="120" customFormat="false" ht="15" hidden="false" customHeight="false" outlineLevel="0" collapsed="false">
      <c r="A120" s="78" t="n">
        <f aca="false">IF(E120="","",ROW()-6)</f>
        <v>114</v>
      </c>
      <c r="B120" s="79" t="s">
        <v>100</v>
      </c>
      <c r="C120" s="80" t="s">
        <v>229</v>
      </c>
      <c r="D120" s="80" t="s">
        <v>316</v>
      </c>
      <c r="E120" s="80" t="s">
        <v>372</v>
      </c>
      <c r="F120" s="80" t="s">
        <v>149</v>
      </c>
      <c r="G120" s="80" t="s">
        <v>104</v>
      </c>
      <c r="H120" s="80" t="n">
        <v>11</v>
      </c>
      <c r="I120" s="80" t="s">
        <v>112</v>
      </c>
      <c r="J120" s="80" t="s">
        <v>130</v>
      </c>
      <c r="K120" s="80" t="s">
        <v>371</v>
      </c>
      <c r="L120" s="80" t="s">
        <v>373</v>
      </c>
      <c r="M120" s="80" t="s">
        <v>139</v>
      </c>
      <c r="N120" s="80" t="s">
        <v>139</v>
      </c>
      <c r="O120" s="80" t="s">
        <v>202</v>
      </c>
      <c r="P120" s="81" t="n">
        <v>45884</v>
      </c>
      <c r="Q120" s="81" t="n">
        <v>45884</v>
      </c>
      <c r="R120" s="80" t="s">
        <v>369</v>
      </c>
      <c r="S120" s="80" t="s">
        <v>103</v>
      </c>
      <c r="T120" s="81" t="n">
        <v>45892</v>
      </c>
      <c r="U120" s="80" t="s">
        <v>345</v>
      </c>
      <c r="V120" s="80" t="s">
        <v>103</v>
      </c>
      <c r="W120" s="80"/>
      <c r="X120" s="80"/>
      <c r="Y120" s="81"/>
      <c r="Z120" s="80"/>
      <c r="AA120" s="80"/>
      <c r="AB120" s="80"/>
      <c r="AC120" s="80"/>
      <c r="AD120" s="81"/>
      <c r="AE120" s="80"/>
      <c r="AF120" s="80"/>
      <c r="AG120" s="81"/>
      <c r="AH120" s="79"/>
      <c r="AI120" s="78" t="n">
        <f aca="false">IF(E120="","",(V120&lt;&gt;"")+(AA120&lt;&gt;"")+(AF120&lt;&gt;""))</f>
        <v>1</v>
      </c>
      <c r="AJ120" s="82" t="str">
        <f aca="false">IF(AF120&lt;&gt;"",AF120,IF(AA120&lt;&gt;"",AA120,IF(V120&lt;&gt;"",V120,"")))</f>
        <v>A</v>
      </c>
      <c r="AK120" s="83" t="str">
        <f aca="false">IF(E120="","",IF(P120="","À SOUDER",IF(S120="","VT EN ATTENTE",IF(S120="R","VT REJETÉ – À REPRENDRE",IF(AJ120="","À RADIOGRAPHIER",IF(AJ120="A","ACCEPTÉ",IF(AJ120="NX","NX – RT À REFAIRE",IF(IF(AI120=1,X120,IF(AI120=2,AC120,""))="A","RÉPARÉ – À RADIOGRAPHIER",IF(IF(AI120=1,X120,IF(AI120=2,AC120,""))="R","VT REJETÉ – À REPRENDRE",IF(AJ120="CO","COUPE – À RESOUDER","À RÉPARER"))))))))))</f>
        <v>ACCEPTÉ</v>
      </c>
      <c r="AL120" s="82" t="str">
        <f aca="false">IF(AND(ISNUMBER(P120),OR(AK120="À RADIOGRAPHIER",AK120="RÉPARÉ – À RADIOGRAPHIER",AK120="NX – RT À REFAIRE",AK120="À RÉPARER",AK120="COUPE – À RESOUDER",AK120="VT REJETÉ – À REPRENDRE")),MAX(0,'PROGRAMME RT'!$C$4-P120),"")</f>
        <v/>
      </c>
      <c r="AM120" s="78" t="n">
        <f aca="false">IF(AND(OR(AK120="À RADIOGRAPHIER",AK120="RÉPARÉ – À RADIOGRAPHIER",AK120="NX – RT À REFAIRE"),OR('PROGRAMME RT'!$D$5="TOUTES",B120='PROGRAMME RT'!$D$5)),1,0)</f>
        <v>0</v>
      </c>
      <c r="AN120" s="78" t="str">
        <f aca="false">IF(AM120=1,SUM(AM$7:AM120),"")</f>
        <v/>
      </c>
      <c r="AO120" s="78" t="n">
        <f aca="false">IF(AND(OR(AK120="À RÉPARER",AK120="COUPE – À RESOUDER",AK120="VT REJETÉ – À REPRENDRE"),OR(RÉPARATIONS!$D$5="TOUTES",B120=RÉPARATIONS!$D$5)),1,0)</f>
        <v>0</v>
      </c>
      <c r="AP120" s="78" t="str">
        <f aca="false">IF(AO120=1,SUM(AO$7:AO120),"")</f>
        <v/>
      </c>
    </row>
    <row r="121" customFormat="false" ht="15" hidden="false" customHeight="false" outlineLevel="0" collapsed="false">
      <c r="A121" s="78" t="n">
        <f aca="false">IF(E121="","",ROW()-6)</f>
        <v>115</v>
      </c>
      <c r="B121" s="79" t="s">
        <v>100</v>
      </c>
      <c r="C121" s="80" t="s">
        <v>229</v>
      </c>
      <c r="D121" s="80" t="s">
        <v>316</v>
      </c>
      <c r="E121" s="80" t="s">
        <v>374</v>
      </c>
      <c r="F121" s="80" t="s">
        <v>149</v>
      </c>
      <c r="G121" s="80" t="s">
        <v>104</v>
      </c>
      <c r="H121" s="80" t="n">
        <v>11</v>
      </c>
      <c r="I121" s="80" t="s">
        <v>112</v>
      </c>
      <c r="J121" s="80" t="s">
        <v>130</v>
      </c>
      <c r="K121" s="80" t="s">
        <v>373</v>
      </c>
      <c r="L121" s="80" t="s">
        <v>375</v>
      </c>
      <c r="M121" s="80" t="s">
        <v>139</v>
      </c>
      <c r="N121" s="80" t="s">
        <v>139</v>
      </c>
      <c r="O121" s="80" t="s">
        <v>202</v>
      </c>
      <c r="P121" s="81" t="n">
        <v>45884</v>
      </c>
      <c r="Q121" s="81" t="n">
        <v>45884</v>
      </c>
      <c r="R121" s="80" t="s">
        <v>369</v>
      </c>
      <c r="S121" s="80" t="s">
        <v>103</v>
      </c>
      <c r="T121" s="81" t="n">
        <v>45894</v>
      </c>
      <c r="U121" s="80" t="s">
        <v>376</v>
      </c>
      <c r="V121" s="80" t="s">
        <v>103</v>
      </c>
      <c r="W121" s="80"/>
      <c r="X121" s="80"/>
      <c r="Y121" s="81"/>
      <c r="Z121" s="80"/>
      <c r="AA121" s="80"/>
      <c r="AB121" s="80"/>
      <c r="AC121" s="80"/>
      <c r="AD121" s="81"/>
      <c r="AE121" s="80"/>
      <c r="AF121" s="80"/>
      <c r="AG121" s="81"/>
      <c r="AH121" s="79"/>
      <c r="AI121" s="78" t="n">
        <f aca="false">IF(E121="","",(V121&lt;&gt;"")+(AA121&lt;&gt;"")+(AF121&lt;&gt;""))</f>
        <v>1</v>
      </c>
      <c r="AJ121" s="82" t="str">
        <f aca="false">IF(AF121&lt;&gt;"",AF121,IF(AA121&lt;&gt;"",AA121,IF(V121&lt;&gt;"",V121,"")))</f>
        <v>A</v>
      </c>
      <c r="AK121" s="83" t="str">
        <f aca="false">IF(E121="","",IF(P121="","À SOUDER",IF(S121="","VT EN ATTENTE",IF(S121="R","VT REJETÉ – À REPRENDRE",IF(AJ121="","À RADIOGRAPHIER",IF(AJ121="A","ACCEPTÉ",IF(AJ121="NX","NX – RT À REFAIRE",IF(IF(AI121=1,X121,IF(AI121=2,AC121,""))="A","RÉPARÉ – À RADIOGRAPHIER",IF(IF(AI121=1,X121,IF(AI121=2,AC121,""))="R","VT REJETÉ – À REPRENDRE",IF(AJ121="CO","COUPE – À RESOUDER","À RÉPARER"))))))))))</f>
        <v>ACCEPTÉ</v>
      </c>
      <c r="AL121" s="82" t="str">
        <f aca="false">IF(AND(ISNUMBER(P121),OR(AK121="À RADIOGRAPHIER",AK121="RÉPARÉ – À RADIOGRAPHIER",AK121="NX – RT À REFAIRE",AK121="À RÉPARER",AK121="COUPE – À RESOUDER",AK121="VT REJETÉ – À REPRENDRE")),MAX(0,'PROGRAMME RT'!$C$4-P121),"")</f>
        <v/>
      </c>
      <c r="AM121" s="78" t="n">
        <f aca="false">IF(AND(OR(AK121="À RADIOGRAPHIER",AK121="RÉPARÉ – À RADIOGRAPHIER",AK121="NX – RT À REFAIRE"),OR('PROGRAMME RT'!$D$5="TOUTES",B121='PROGRAMME RT'!$D$5)),1,0)</f>
        <v>0</v>
      </c>
      <c r="AN121" s="78" t="str">
        <f aca="false">IF(AM121=1,SUM(AM$7:AM121),"")</f>
        <v/>
      </c>
      <c r="AO121" s="78" t="n">
        <f aca="false">IF(AND(OR(AK121="À RÉPARER",AK121="COUPE – À RESOUDER",AK121="VT REJETÉ – À REPRENDRE"),OR(RÉPARATIONS!$D$5="TOUTES",B121=RÉPARATIONS!$D$5)),1,0)</f>
        <v>0</v>
      </c>
      <c r="AP121" s="78" t="str">
        <f aca="false">IF(AO121=1,SUM(AO$7:AO121),"")</f>
        <v/>
      </c>
    </row>
    <row r="122" customFormat="false" ht="15" hidden="false" customHeight="false" outlineLevel="0" collapsed="false">
      <c r="A122" s="78" t="n">
        <f aca="false">IF(E122="","",ROW()-6)</f>
        <v>116</v>
      </c>
      <c r="B122" s="79" t="s">
        <v>100</v>
      </c>
      <c r="C122" s="80" t="s">
        <v>229</v>
      </c>
      <c r="D122" s="80" t="s">
        <v>316</v>
      </c>
      <c r="E122" s="80" t="s">
        <v>377</v>
      </c>
      <c r="F122" s="80" t="s">
        <v>149</v>
      </c>
      <c r="G122" s="80" t="s">
        <v>104</v>
      </c>
      <c r="H122" s="80" t="n">
        <v>11</v>
      </c>
      <c r="I122" s="80" t="s">
        <v>112</v>
      </c>
      <c r="J122" s="80" t="s">
        <v>130</v>
      </c>
      <c r="K122" s="80" t="s">
        <v>375</v>
      </c>
      <c r="L122" s="80" t="s">
        <v>378</v>
      </c>
      <c r="M122" s="80" t="s">
        <v>139</v>
      </c>
      <c r="N122" s="80" t="s">
        <v>139</v>
      </c>
      <c r="O122" s="80" t="s">
        <v>123</v>
      </c>
      <c r="P122" s="81" t="n">
        <v>45884</v>
      </c>
      <c r="Q122" s="81" t="n">
        <v>45884</v>
      </c>
      <c r="R122" s="80" t="s">
        <v>369</v>
      </c>
      <c r="S122" s="80" t="s">
        <v>103</v>
      </c>
      <c r="T122" s="81" t="n">
        <v>45894</v>
      </c>
      <c r="U122" s="80" t="s">
        <v>376</v>
      </c>
      <c r="V122" s="80" t="s">
        <v>103</v>
      </c>
      <c r="W122" s="80"/>
      <c r="X122" s="80"/>
      <c r="Y122" s="81"/>
      <c r="Z122" s="80"/>
      <c r="AA122" s="80"/>
      <c r="AB122" s="80"/>
      <c r="AC122" s="80"/>
      <c r="AD122" s="81"/>
      <c r="AE122" s="80"/>
      <c r="AF122" s="80"/>
      <c r="AG122" s="81"/>
      <c r="AH122" s="79"/>
      <c r="AI122" s="78" t="n">
        <f aca="false">IF(E122="","",(V122&lt;&gt;"")+(AA122&lt;&gt;"")+(AF122&lt;&gt;""))</f>
        <v>1</v>
      </c>
      <c r="AJ122" s="82" t="str">
        <f aca="false">IF(AF122&lt;&gt;"",AF122,IF(AA122&lt;&gt;"",AA122,IF(V122&lt;&gt;"",V122,"")))</f>
        <v>A</v>
      </c>
      <c r="AK122" s="83" t="str">
        <f aca="false">IF(E122="","",IF(P122="","À SOUDER",IF(S122="","VT EN ATTENTE",IF(S122="R","VT REJETÉ – À REPRENDRE",IF(AJ122="","À RADIOGRAPHIER",IF(AJ122="A","ACCEPTÉ",IF(AJ122="NX","NX – RT À REFAIRE",IF(IF(AI122=1,X122,IF(AI122=2,AC122,""))="A","RÉPARÉ – À RADIOGRAPHIER",IF(IF(AI122=1,X122,IF(AI122=2,AC122,""))="R","VT REJETÉ – À REPRENDRE",IF(AJ122="CO","COUPE – À RESOUDER","À RÉPARER"))))))))))</f>
        <v>ACCEPTÉ</v>
      </c>
      <c r="AL122" s="82" t="str">
        <f aca="false">IF(AND(ISNUMBER(P122),OR(AK122="À RADIOGRAPHIER",AK122="RÉPARÉ – À RADIOGRAPHIER",AK122="NX – RT À REFAIRE",AK122="À RÉPARER",AK122="COUPE – À RESOUDER",AK122="VT REJETÉ – À REPRENDRE")),MAX(0,'PROGRAMME RT'!$C$4-P122),"")</f>
        <v/>
      </c>
      <c r="AM122" s="78" t="n">
        <f aca="false">IF(AND(OR(AK122="À RADIOGRAPHIER",AK122="RÉPARÉ – À RADIOGRAPHIER",AK122="NX – RT À REFAIRE"),OR('PROGRAMME RT'!$D$5="TOUTES",B122='PROGRAMME RT'!$D$5)),1,0)</f>
        <v>0</v>
      </c>
      <c r="AN122" s="78" t="str">
        <f aca="false">IF(AM122=1,SUM(AM$7:AM122),"")</f>
        <v/>
      </c>
      <c r="AO122" s="78" t="n">
        <f aca="false">IF(AND(OR(AK122="À RÉPARER",AK122="COUPE – À RESOUDER",AK122="VT REJETÉ – À REPRENDRE"),OR(RÉPARATIONS!$D$5="TOUTES",B122=RÉPARATIONS!$D$5)),1,0)</f>
        <v>0</v>
      </c>
      <c r="AP122" s="78" t="str">
        <f aca="false">IF(AO122=1,SUM(AO$7:AO122),"")</f>
        <v/>
      </c>
    </row>
    <row r="123" customFormat="false" ht="15" hidden="false" customHeight="false" outlineLevel="0" collapsed="false">
      <c r="A123" s="78" t="n">
        <f aca="false">IF(E123="","",ROW()-6)</f>
        <v>117</v>
      </c>
      <c r="B123" s="79" t="s">
        <v>100</v>
      </c>
      <c r="C123" s="80" t="s">
        <v>229</v>
      </c>
      <c r="D123" s="80" t="s">
        <v>316</v>
      </c>
      <c r="E123" s="80" t="s">
        <v>379</v>
      </c>
      <c r="F123" s="80" t="s">
        <v>149</v>
      </c>
      <c r="G123" s="80" t="s">
        <v>104</v>
      </c>
      <c r="H123" s="80" t="n">
        <v>11</v>
      </c>
      <c r="I123" s="80" t="s">
        <v>112</v>
      </c>
      <c r="J123" s="80" t="s">
        <v>130</v>
      </c>
      <c r="K123" s="80" t="s">
        <v>378</v>
      </c>
      <c r="L123" s="80" t="s">
        <v>380</v>
      </c>
      <c r="M123" s="80" t="s">
        <v>139</v>
      </c>
      <c r="N123" s="80" t="s">
        <v>139</v>
      </c>
      <c r="O123" s="80" t="s">
        <v>132</v>
      </c>
      <c r="P123" s="81" t="n">
        <v>45884</v>
      </c>
      <c r="Q123" s="81" t="n">
        <v>45884</v>
      </c>
      <c r="R123" s="80" t="s">
        <v>369</v>
      </c>
      <c r="S123" s="80" t="s">
        <v>103</v>
      </c>
      <c r="T123" s="81" t="n">
        <v>45894</v>
      </c>
      <c r="U123" s="80" t="s">
        <v>376</v>
      </c>
      <c r="V123" s="80" t="s">
        <v>103</v>
      </c>
      <c r="W123" s="80"/>
      <c r="X123" s="80"/>
      <c r="Y123" s="81"/>
      <c r="Z123" s="80"/>
      <c r="AA123" s="80"/>
      <c r="AB123" s="80"/>
      <c r="AC123" s="80"/>
      <c r="AD123" s="81"/>
      <c r="AE123" s="80"/>
      <c r="AF123" s="80"/>
      <c r="AG123" s="81"/>
      <c r="AH123" s="79"/>
      <c r="AI123" s="78" t="n">
        <f aca="false">IF(E123="","",(V123&lt;&gt;"")+(AA123&lt;&gt;"")+(AF123&lt;&gt;""))</f>
        <v>1</v>
      </c>
      <c r="AJ123" s="82" t="str">
        <f aca="false">IF(AF123&lt;&gt;"",AF123,IF(AA123&lt;&gt;"",AA123,IF(V123&lt;&gt;"",V123,"")))</f>
        <v>A</v>
      </c>
      <c r="AK123" s="83" t="str">
        <f aca="false">IF(E123="","",IF(P123="","À SOUDER",IF(S123="","VT EN ATTENTE",IF(S123="R","VT REJETÉ – À REPRENDRE",IF(AJ123="","À RADIOGRAPHIER",IF(AJ123="A","ACCEPTÉ",IF(AJ123="NX","NX – RT À REFAIRE",IF(IF(AI123=1,X123,IF(AI123=2,AC123,""))="A","RÉPARÉ – À RADIOGRAPHIER",IF(IF(AI123=1,X123,IF(AI123=2,AC123,""))="R","VT REJETÉ – À REPRENDRE",IF(AJ123="CO","COUPE – À RESOUDER","À RÉPARER"))))))))))</f>
        <v>ACCEPTÉ</v>
      </c>
      <c r="AL123" s="82" t="str">
        <f aca="false">IF(AND(ISNUMBER(P123),OR(AK123="À RADIOGRAPHIER",AK123="RÉPARÉ – À RADIOGRAPHIER",AK123="NX – RT À REFAIRE",AK123="À RÉPARER",AK123="COUPE – À RESOUDER",AK123="VT REJETÉ – À REPRENDRE")),MAX(0,'PROGRAMME RT'!$C$4-P123),"")</f>
        <v/>
      </c>
      <c r="AM123" s="78" t="n">
        <f aca="false">IF(AND(OR(AK123="À RADIOGRAPHIER",AK123="RÉPARÉ – À RADIOGRAPHIER",AK123="NX – RT À REFAIRE"),OR('PROGRAMME RT'!$D$5="TOUTES",B123='PROGRAMME RT'!$D$5)),1,0)</f>
        <v>0</v>
      </c>
      <c r="AN123" s="78" t="str">
        <f aca="false">IF(AM123=1,SUM(AM$7:AM123),"")</f>
        <v/>
      </c>
      <c r="AO123" s="78" t="n">
        <f aca="false">IF(AND(OR(AK123="À RÉPARER",AK123="COUPE – À RESOUDER",AK123="VT REJETÉ – À REPRENDRE"),OR(RÉPARATIONS!$D$5="TOUTES",B123=RÉPARATIONS!$D$5)),1,0)</f>
        <v>0</v>
      </c>
      <c r="AP123" s="78" t="str">
        <f aca="false">IF(AO123=1,SUM(AO$7:AO123),"")</f>
        <v/>
      </c>
    </row>
    <row r="124" customFormat="false" ht="15" hidden="false" customHeight="false" outlineLevel="0" collapsed="false">
      <c r="A124" s="78" t="n">
        <f aca="false">IF(E124="","",ROW()-6)</f>
        <v>118</v>
      </c>
      <c r="B124" s="79" t="s">
        <v>100</v>
      </c>
      <c r="C124" s="80" t="s">
        <v>229</v>
      </c>
      <c r="D124" s="80" t="s">
        <v>316</v>
      </c>
      <c r="E124" s="80" t="s">
        <v>381</v>
      </c>
      <c r="F124" s="80" t="s">
        <v>149</v>
      </c>
      <c r="G124" s="80" t="s">
        <v>104</v>
      </c>
      <c r="H124" s="80" t="n">
        <v>11</v>
      </c>
      <c r="I124" s="80" t="s">
        <v>112</v>
      </c>
      <c r="J124" s="80" t="s">
        <v>130</v>
      </c>
      <c r="K124" s="80" t="s">
        <v>380</v>
      </c>
      <c r="L124" s="80" t="s">
        <v>382</v>
      </c>
      <c r="M124" s="80" t="s">
        <v>139</v>
      </c>
      <c r="N124" s="80" t="s">
        <v>139</v>
      </c>
      <c r="O124" s="80" t="s">
        <v>202</v>
      </c>
      <c r="P124" s="81" t="n">
        <v>45884</v>
      </c>
      <c r="Q124" s="81" t="n">
        <v>45884</v>
      </c>
      <c r="R124" s="80" t="s">
        <v>369</v>
      </c>
      <c r="S124" s="80" t="s">
        <v>103</v>
      </c>
      <c r="T124" s="81" t="n">
        <v>45894</v>
      </c>
      <c r="U124" s="80" t="s">
        <v>376</v>
      </c>
      <c r="V124" s="80" t="s">
        <v>103</v>
      </c>
      <c r="W124" s="80"/>
      <c r="X124" s="80"/>
      <c r="Y124" s="81"/>
      <c r="Z124" s="80"/>
      <c r="AA124" s="80"/>
      <c r="AB124" s="80"/>
      <c r="AC124" s="80"/>
      <c r="AD124" s="81"/>
      <c r="AE124" s="80"/>
      <c r="AF124" s="80"/>
      <c r="AG124" s="81"/>
      <c r="AH124" s="79"/>
      <c r="AI124" s="78" t="n">
        <f aca="false">IF(E124="","",(V124&lt;&gt;"")+(AA124&lt;&gt;"")+(AF124&lt;&gt;""))</f>
        <v>1</v>
      </c>
      <c r="AJ124" s="82" t="str">
        <f aca="false">IF(AF124&lt;&gt;"",AF124,IF(AA124&lt;&gt;"",AA124,IF(V124&lt;&gt;"",V124,"")))</f>
        <v>A</v>
      </c>
      <c r="AK124" s="83" t="str">
        <f aca="false">IF(E124="","",IF(P124="","À SOUDER",IF(S124="","VT EN ATTENTE",IF(S124="R","VT REJETÉ – À REPRENDRE",IF(AJ124="","À RADIOGRAPHIER",IF(AJ124="A","ACCEPTÉ",IF(AJ124="NX","NX – RT À REFAIRE",IF(IF(AI124=1,X124,IF(AI124=2,AC124,""))="A","RÉPARÉ – À RADIOGRAPHIER",IF(IF(AI124=1,X124,IF(AI124=2,AC124,""))="R","VT REJETÉ – À REPRENDRE",IF(AJ124="CO","COUPE – À RESOUDER","À RÉPARER"))))))))))</f>
        <v>ACCEPTÉ</v>
      </c>
      <c r="AL124" s="82" t="str">
        <f aca="false">IF(AND(ISNUMBER(P124),OR(AK124="À RADIOGRAPHIER",AK124="RÉPARÉ – À RADIOGRAPHIER",AK124="NX – RT À REFAIRE",AK124="À RÉPARER",AK124="COUPE – À RESOUDER",AK124="VT REJETÉ – À REPRENDRE")),MAX(0,'PROGRAMME RT'!$C$4-P124),"")</f>
        <v/>
      </c>
      <c r="AM124" s="78" t="n">
        <f aca="false">IF(AND(OR(AK124="À RADIOGRAPHIER",AK124="RÉPARÉ – À RADIOGRAPHIER",AK124="NX – RT À REFAIRE"),OR('PROGRAMME RT'!$D$5="TOUTES",B124='PROGRAMME RT'!$D$5)),1,0)</f>
        <v>0</v>
      </c>
      <c r="AN124" s="78" t="str">
        <f aca="false">IF(AM124=1,SUM(AM$7:AM124),"")</f>
        <v/>
      </c>
      <c r="AO124" s="78" t="n">
        <f aca="false">IF(AND(OR(AK124="À RÉPARER",AK124="COUPE – À RESOUDER",AK124="VT REJETÉ – À REPRENDRE"),OR(RÉPARATIONS!$D$5="TOUTES",B124=RÉPARATIONS!$D$5)),1,0)</f>
        <v>0</v>
      </c>
      <c r="AP124" s="78" t="str">
        <f aca="false">IF(AO124=1,SUM(AO$7:AO124),"")</f>
        <v/>
      </c>
    </row>
    <row r="125" customFormat="false" ht="15" hidden="false" customHeight="false" outlineLevel="0" collapsed="false">
      <c r="A125" s="78" t="n">
        <f aca="false">IF(E125="","",ROW()-6)</f>
        <v>119</v>
      </c>
      <c r="B125" s="79" t="s">
        <v>100</v>
      </c>
      <c r="C125" s="80" t="s">
        <v>229</v>
      </c>
      <c r="D125" s="80" t="s">
        <v>316</v>
      </c>
      <c r="E125" s="80" t="s">
        <v>383</v>
      </c>
      <c r="F125" s="80" t="s">
        <v>149</v>
      </c>
      <c r="G125" s="80" t="s">
        <v>104</v>
      </c>
      <c r="H125" s="80" t="n">
        <v>11</v>
      </c>
      <c r="I125" s="80" t="s">
        <v>112</v>
      </c>
      <c r="J125" s="80" t="s">
        <v>130</v>
      </c>
      <c r="K125" s="80" t="s">
        <v>382</v>
      </c>
      <c r="L125" s="80" t="s">
        <v>384</v>
      </c>
      <c r="M125" s="80" t="s">
        <v>139</v>
      </c>
      <c r="N125" s="80" t="s">
        <v>139</v>
      </c>
      <c r="O125" s="80" t="s">
        <v>123</v>
      </c>
      <c r="P125" s="81" t="n">
        <v>45884</v>
      </c>
      <c r="Q125" s="81" t="n">
        <v>45884</v>
      </c>
      <c r="R125" s="80" t="s">
        <v>369</v>
      </c>
      <c r="S125" s="80" t="s">
        <v>103</v>
      </c>
      <c r="T125" s="81" t="n">
        <v>45894</v>
      </c>
      <c r="U125" s="80" t="s">
        <v>376</v>
      </c>
      <c r="V125" s="80" t="s">
        <v>103</v>
      </c>
      <c r="W125" s="80"/>
      <c r="X125" s="80"/>
      <c r="Y125" s="81"/>
      <c r="Z125" s="80"/>
      <c r="AA125" s="80"/>
      <c r="AB125" s="80"/>
      <c r="AC125" s="80"/>
      <c r="AD125" s="81"/>
      <c r="AE125" s="80"/>
      <c r="AF125" s="80"/>
      <c r="AG125" s="81"/>
      <c r="AH125" s="79"/>
      <c r="AI125" s="78" t="n">
        <f aca="false">IF(E125="","",(V125&lt;&gt;"")+(AA125&lt;&gt;"")+(AF125&lt;&gt;""))</f>
        <v>1</v>
      </c>
      <c r="AJ125" s="82" t="str">
        <f aca="false">IF(AF125&lt;&gt;"",AF125,IF(AA125&lt;&gt;"",AA125,IF(V125&lt;&gt;"",V125,"")))</f>
        <v>A</v>
      </c>
      <c r="AK125" s="83" t="str">
        <f aca="false">IF(E125="","",IF(P125="","À SOUDER",IF(S125="","VT EN ATTENTE",IF(S125="R","VT REJETÉ – À REPRENDRE",IF(AJ125="","À RADIOGRAPHIER",IF(AJ125="A","ACCEPTÉ",IF(AJ125="NX","NX – RT À REFAIRE",IF(IF(AI125=1,X125,IF(AI125=2,AC125,""))="A","RÉPARÉ – À RADIOGRAPHIER",IF(IF(AI125=1,X125,IF(AI125=2,AC125,""))="R","VT REJETÉ – À REPRENDRE",IF(AJ125="CO","COUPE – À RESOUDER","À RÉPARER"))))))))))</f>
        <v>ACCEPTÉ</v>
      </c>
      <c r="AL125" s="82" t="str">
        <f aca="false">IF(AND(ISNUMBER(P125),OR(AK125="À RADIOGRAPHIER",AK125="RÉPARÉ – À RADIOGRAPHIER",AK125="NX – RT À REFAIRE",AK125="À RÉPARER",AK125="COUPE – À RESOUDER",AK125="VT REJETÉ – À REPRENDRE")),MAX(0,'PROGRAMME RT'!$C$4-P125),"")</f>
        <v/>
      </c>
      <c r="AM125" s="78" t="n">
        <f aca="false">IF(AND(OR(AK125="À RADIOGRAPHIER",AK125="RÉPARÉ – À RADIOGRAPHIER",AK125="NX – RT À REFAIRE"),OR('PROGRAMME RT'!$D$5="TOUTES",B125='PROGRAMME RT'!$D$5)),1,0)</f>
        <v>0</v>
      </c>
      <c r="AN125" s="78" t="str">
        <f aca="false">IF(AM125=1,SUM(AM$7:AM125),"")</f>
        <v/>
      </c>
      <c r="AO125" s="78" t="n">
        <f aca="false">IF(AND(OR(AK125="À RÉPARER",AK125="COUPE – À RESOUDER",AK125="VT REJETÉ – À REPRENDRE"),OR(RÉPARATIONS!$D$5="TOUTES",B125=RÉPARATIONS!$D$5)),1,0)</f>
        <v>0</v>
      </c>
      <c r="AP125" s="78" t="str">
        <f aca="false">IF(AO125=1,SUM(AO$7:AO125),"")</f>
        <v/>
      </c>
    </row>
    <row r="126" customFormat="false" ht="15" hidden="false" customHeight="false" outlineLevel="0" collapsed="false">
      <c r="A126" s="78" t="n">
        <f aca="false">IF(E126="","",ROW()-6)</f>
        <v>120</v>
      </c>
      <c r="B126" s="79" t="s">
        <v>100</v>
      </c>
      <c r="C126" s="80" t="s">
        <v>229</v>
      </c>
      <c r="D126" s="80" t="s">
        <v>316</v>
      </c>
      <c r="E126" s="80" t="s">
        <v>385</v>
      </c>
      <c r="F126" s="80" t="s">
        <v>149</v>
      </c>
      <c r="G126" s="80" t="s">
        <v>104</v>
      </c>
      <c r="H126" s="80" t="n">
        <v>11</v>
      </c>
      <c r="I126" s="80" t="s">
        <v>112</v>
      </c>
      <c r="J126" s="80" t="s">
        <v>130</v>
      </c>
      <c r="K126" s="80" t="s">
        <v>384</v>
      </c>
      <c r="L126" s="80" t="s">
        <v>386</v>
      </c>
      <c r="M126" s="80" t="s">
        <v>139</v>
      </c>
      <c r="N126" s="80" t="s">
        <v>139</v>
      </c>
      <c r="O126" s="80" t="s">
        <v>132</v>
      </c>
      <c r="P126" s="81" t="n">
        <v>45885</v>
      </c>
      <c r="Q126" s="81" t="n">
        <v>45885</v>
      </c>
      <c r="R126" s="80" t="s">
        <v>387</v>
      </c>
      <c r="S126" s="80" t="s">
        <v>103</v>
      </c>
      <c r="T126" s="81" t="n">
        <v>45894</v>
      </c>
      <c r="U126" s="80" t="s">
        <v>376</v>
      </c>
      <c r="V126" s="80" t="s">
        <v>103</v>
      </c>
      <c r="W126" s="80"/>
      <c r="X126" s="80"/>
      <c r="Y126" s="81"/>
      <c r="Z126" s="80"/>
      <c r="AA126" s="80"/>
      <c r="AB126" s="80"/>
      <c r="AC126" s="80"/>
      <c r="AD126" s="81"/>
      <c r="AE126" s="80"/>
      <c r="AF126" s="80"/>
      <c r="AG126" s="81"/>
      <c r="AH126" s="79"/>
      <c r="AI126" s="78" t="n">
        <f aca="false">IF(E126="","",(V126&lt;&gt;"")+(AA126&lt;&gt;"")+(AF126&lt;&gt;""))</f>
        <v>1</v>
      </c>
      <c r="AJ126" s="82" t="str">
        <f aca="false">IF(AF126&lt;&gt;"",AF126,IF(AA126&lt;&gt;"",AA126,IF(V126&lt;&gt;"",V126,"")))</f>
        <v>A</v>
      </c>
      <c r="AK126" s="83" t="str">
        <f aca="false">IF(E126="","",IF(P126="","À SOUDER",IF(S126="","VT EN ATTENTE",IF(S126="R","VT REJETÉ – À REPRENDRE",IF(AJ126="","À RADIOGRAPHIER",IF(AJ126="A","ACCEPTÉ",IF(AJ126="NX","NX – RT À REFAIRE",IF(IF(AI126=1,X126,IF(AI126=2,AC126,""))="A","RÉPARÉ – À RADIOGRAPHIER",IF(IF(AI126=1,X126,IF(AI126=2,AC126,""))="R","VT REJETÉ – À REPRENDRE",IF(AJ126="CO","COUPE – À RESOUDER","À RÉPARER"))))))))))</f>
        <v>ACCEPTÉ</v>
      </c>
      <c r="AL126" s="82" t="str">
        <f aca="false">IF(AND(ISNUMBER(P126),OR(AK126="À RADIOGRAPHIER",AK126="RÉPARÉ – À RADIOGRAPHIER",AK126="NX – RT À REFAIRE",AK126="À RÉPARER",AK126="COUPE – À RESOUDER",AK126="VT REJETÉ – À REPRENDRE")),MAX(0,'PROGRAMME RT'!$C$4-P126),"")</f>
        <v/>
      </c>
      <c r="AM126" s="78" t="n">
        <f aca="false">IF(AND(OR(AK126="À RADIOGRAPHIER",AK126="RÉPARÉ – À RADIOGRAPHIER",AK126="NX – RT À REFAIRE"),OR('PROGRAMME RT'!$D$5="TOUTES",B126='PROGRAMME RT'!$D$5)),1,0)</f>
        <v>0</v>
      </c>
      <c r="AN126" s="78" t="str">
        <f aca="false">IF(AM126=1,SUM(AM$7:AM126),"")</f>
        <v/>
      </c>
      <c r="AO126" s="78" t="n">
        <f aca="false">IF(AND(OR(AK126="À RÉPARER",AK126="COUPE – À RESOUDER",AK126="VT REJETÉ – À REPRENDRE"),OR(RÉPARATIONS!$D$5="TOUTES",B126=RÉPARATIONS!$D$5)),1,0)</f>
        <v>0</v>
      </c>
      <c r="AP126" s="78" t="str">
        <f aca="false">IF(AO126=1,SUM(AO$7:AO126),"")</f>
        <v/>
      </c>
    </row>
    <row r="127" customFormat="false" ht="15" hidden="false" customHeight="false" outlineLevel="0" collapsed="false">
      <c r="A127" s="78" t="n">
        <f aca="false">IF(E127="","",ROW()-6)</f>
        <v>121</v>
      </c>
      <c r="B127" s="79" t="s">
        <v>100</v>
      </c>
      <c r="C127" s="80" t="s">
        <v>229</v>
      </c>
      <c r="D127" s="80" t="s">
        <v>316</v>
      </c>
      <c r="E127" s="80" t="s">
        <v>388</v>
      </c>
      <c r="F127" s="80" t="s">
        <v>149</v>
      </c>
      <c r="G127" s="80" t="s">
        <v>104</v>
      </c>
      <c r="H127" s="80" t="n">
        <v>11</v>
      </c>
      <c r="I127" s="80" t="s">
        <v>112</v>
      </c>
      <c r="J127" s="80" t="s">
        <v>130</v>
      </c>
      <c r="K127" s="80" t="s">
        <v>386</v>
      </c>
      <c r="L127" s="80" t="s">
        <v>389</v>
      </c>
      <c r="M127" s="80" t="s">
        <v>139</v>
      </c>
      <c r="N127" s="80" t="s">
        <v>139</v>
      </c>
      <c r="O127" s="80" t="s">
        <v>202</v>
      </c>
      <c r="P127" s="81" t="n">
        <v>45885</v>
      </c>
      <c r="Q127" s="81" t="n">
        <v>45885</v>
      </c>
      <c r="R127" s="80" t="s">
        <v>387</v>
      </c>
      <c r="S127" s="80" t="s">
        <v>103</v>
      </c>
      <c r="T127" s="81" t="n">
        <v>45894</v>
      </c>
      <c r="U127" s="80" t="s">
        <v>376</v>
      </c>
      <c r="V127" s="80" t="s">
        <v>103</v>
      </c>
      <c r="W127" s="80"/>
      <c r="X127" s="80"/>
      <c r="Y127" s="81"/>
      <c r="Z127" s="80"/>
      <c r="AA127" s="80"/>
      <c r="AB127" s="80"/>
      <c r="AC127" s="80"/>
      <c r="AD127" s="81"/>
      <c r="AE127" s="80"/>
      <c r="AF127" s="80"/>
      <c r="AG127" s="81"/>
      <c r="AH127" s="79"/>
      <c r="AI127" s="78" t="n">
        <f aca="false">IF(E127="","",(V127&lt;&gt;"")+(AA127&lt;&gt;"")+(AF127&lt;&gt;""))</f>
        <v>1</v>
      </c>
      <c r="AJ127" s="82" t="str">
        <f aca="false">IF(AF127&lt;&gt;"",AF127,IF(AA127&lt;&gt;"",AA127,IF(V127&lt;&gt;"",V127,"")))</f>
        <v>A</v>
      </c>
      <c r="AK127" s="83" t="str">
        <f aca="false">IF(E127="","",IF(P127="","À SOUDER",IF(S127="","VT EN ATTENTE",IF(S127="R","VT REJETÉ – À REPRENDRE",IF(AJ127="","À RADIOGRAPHIER",IF(AJ127="A","ACCEPTÉ",IF(AJ127="NX","NX – RT À REFAIRE",IF(IF(AI127=1,X127,IF(AI127=2,AC127,""))="A","RÉPARÉ – À RADIOGRAPHIER",IF(IF(AI127=1,X127,IF(AI127=2,AC127,""))="R","VT REJETÉ – À REPRENDRE",IF(AJ127="CO","COUPE – À RESOUDER","À RÉPARER"))))))))))</f>
        <v>ACCEPTÉ</v>
      </c>
      <c r="AL127" s="82" t="str">
        <f aca="false">IF(AND(ISNUMBER(P127),OR(AK127="À RADIOGRAPHIER",AK127="RÉPARÉ – À RADIOGRAPHIER",AK127="NX – RT À REFAIRE",AK127="À RÉPARER",AK127="COUPE – À RESOUDER",AK127="VT REJETÉ – À REPRENDRE")),MAX(0,'PROGRAMME RT'!$C$4-P127),"")</f>
        <v/>
      </c>
      <c r="AM127" s="78" t="n">
        <f aca="false">IF(AND(OR(AK127="À RADIOGRAPHIER",AK127="RÉPARÉ – À RADIOGRAPHIER",AK127="NX – RT À REFAIRE"),OR('PROGRAMME RT'!$D$5="TOUTES",B127='PROGRAMME RT'!$D$5)),1,0)</f>
        <v>0</v>
      </c>
      <c r="AN127" s="78" t="str">
        <f aca="false">IF(AM127=1,SUM(AM$7:AM127),"")</f>
        <v/>
      </c>
      <c r="AO127" s="78" t="n">
        <f aca="false">IF(AND(OR(AK127="À RÉPARER",AK127="COUPE – À RESOUDER",AK127="VT REJETÉ – À REPRENDRE"),OR(RÉPARATIONS!$D$5="TOUTES",B127=RÉPARATIONS!$D$5)),1,0)</f>
        <v>0</v>
      </c>
      <c r="AP127" s="78" t="str">
        <f aca="false">IF(AO127=1,SUM(AO$7:AO127),"")</f>
        <v/>
      </c>
    </row>
    <row r="128" customFormat="false" ht="15" hidden="false" customHeight="false" outlineLevel="0" collapsed="false">
      <c r="A128" s="78" t="n">
        <f aca="false">IF(E128="","",ROW()-6)</f>
        <v>122</v>
      </c>
      <c r="B128" s="79" t="s">
        <v>100</v>
      </c>
      <c r="C128" s="80" t="s">
        <v>229</v>
      </c>
      <c r="D128" s="80" t="s">
        <v>316</v>
      </c>
      <c r="E128" s="80" t="s">
        <v>390</v>
      </c>
      <c r="F128" s="80" t="s">
        <v>149</v>
      </c>
      <c r="G128" s="80" t="s">
        <v>104</v>
      </c>
      <c r="H128" s="80" t="n">
        <v>11</v>
      </c>
      <c r="I128" s="80" t="s">
        <v>112</v>
      </c>
      <c r="J128" s="80" t="s">
        <v>130</v>
      </c>
      <c r="K128" s="80" t="s">
        <v>389</v>
      </c>
      <c r="L128" s="80" t="s">
        <v>391</v>
      </c>
      <c r="M128" s="80" t="s">
        <v>139</v>
      </c>
      <c r="N128" s="80" t="s">
        <v>139</v>
      </c>
      <c r="O128" s="80" t="s">
        <v>123</v>
      </c>
      <c r="P128" s="81" t="n">
        <v>45885</v>
      </c>
      <c r="Q128" s="81" t="n">
        <v>45885</v>
      </c>
      <c r="R128" s="80" t="s">
        <v>387</v>
      </c>
      <c r="S128" s="80" t="s">
        <v>103</v>
      </c>
      <c r="T128" s="81" t="n">
        <v>45894</v>
      </c>
      <c r="U128" s="80" t="s">
        <v>376</v>
      </c>
      <c r="V128" s="80" t="s">
        <v>103</v>
      </c>
      <c r="W128" s="80"/>
      <c r="X128" s="80"/>
      <c r="Y128" s="81"/>
      <c r="Z128" s="80"/>
      <c r="AA128" s="80"/>
      <c r="AB128" s="80"/>
      <c r="AC128" s="80"/>
      <c r="AD128" s="81"/>
      <c r="AE128" s="80"/>
      <c r="AF128" s="80"/>
      <c r="AG128" s="81"/>
      <c r="AH128" s="79"/>
      <c r="AI128" s="78" t="n">
        <f aca="false">IF(E128="","",(V128&lt;&gt;"")+(AA128&lt;&gt;"")+(AF128&lt;&gt;""))</f>
        <v>1</v>
      </c>
      <c r="AJ128" s="82" t="str">
        <f aca="false">IF(AF128&lt;&gt;"",AF128,IF(AA128&lt;&gt;"",AA128,IF(V128&lt;&gt;"",V128,"")))</f>
        <v>A</v>
      </c>
      <c r="AK128" s="83" t="str">
        <f aca="false">IF(E128="","",IF(P128="","À SOUDER",IF(S128="","VT EN ATTENTE",IF(S128="R","VT REJETÉ – À REPRENDRE",IF(AJ128="","À RADIOGRAPHIER",IF(AJ128="A","ACCEPTÉ",IF(AJ128="NX","NX – RT À REFAIRE",IF(IF(AI128=1,X128,IF(AI128=2,AC128,""))="A","RÉPARÉ – À RADIOGRAPHIER",IF(IF(AI128=1,X128,IF(AI128=2,AC128,""))="R","VT REJETÉ – À REPRENDRE",IF(AJ128="CO","COUPE – À RESOUDER","À RÉPARER"))))))))))</f>
        <v>ACCEPTÉ</v>
      </c>
      <c r="AL128" s="82" t="str">
        <f aca="false">IF(AND(ISNUMBER(P128),OR(AK128="À RADIOGRAPHIER",AK128="RÉPARÉ – À RADIOGRAPHIER",AK128="NX – RT À REFAIRE",AK128="À RÉPARER",AK128="COUPE – À RESOUDER",AK128="VT REJETÉ – À REPRENDRE")),MAX(0,'PROGRAMME RT'!$C$4-P128),"")</f>
        <v/>
      </c>
      <c r="AM128" s="78" t="n">
        <f aca="false">IF(AND(OR(AK128="À RADIOGRAPHIER",AK128="RÉPARÉ – À RADIOGRAPHIER",AK128="NX – RT À REFAIRE"),OR('PROGRAMME RT'!$D$5="TOUTES",B128='PROGRAMME RT'!$D$5)),1,0)</f>
        <v>0</v>
      </c>
      <c r="AN128" s="78" t="str">
        <f aca="false">IF(AM128=1,SUM(AM$7:AM128),"")</f>
        <v/>
      </c>
      <c r="AO128" s="78" t="n">
        <f aca="false">IF(AND(OR(AK128="À RÉPARER",AK128="COUPE – À RESOUDER",AK128="VT REJETÉ – À REPRENDRE"),OR(RÉPARATIONS!$D$5="TOUTES",B128=RÉPARATIONS!$D$5)),1,0)</f>
        <v>0</v>
      </c>
      <c r="AP128" s="78" t="str">
        <f aca="false">IF(AO128=1,SUM(AO$7:AO128),"")</f>
        <v/>
      </c>
    </row>
    <row r="129" customFormat="false" ht="15" hidden="false" customHeight="false" outlineLevel="0" collapsed="false">
      <c r="A129" s="78" t="n">
        <f aca="false">IF(E129="","",ROW()-6)</f>
        <v>123</v>
      </c>
      <c r="B129" s="79" t="s">
        <v>100</v>
      </c>
      <c r="C129" s="80" t="s">
        <v>229</v>
      </c>
      <c r="D129" s="80" t="s">
        <v>316</v>
      </c>
      <c r="E129" s="80" t="s">
        <v>392</v>
      </c>
      <c r="F129" s="80" t="s">
        <v>149</v>
      </c>
      <c r="G129" s="80" t="s">
        <v>104</v>
      </c>
      <c r="H129" s="80" t="n">
        <v>11</v>
      </c>
      <c r="I129" s="80" t="s">
        <v>112</v>
      </c>
      <c r="J129" s="80" t="s">
        <v>130</v>
      </c>
      <c r="K129" s="80" t="s">
        <v>391</v>
      </c>
      <c r="L129" s="80" t="s">
        <v>393</v>
      </c>
      <c r="M129" s="80" t="s">
        <v>139</v>
      </c>
      <c r="N129" s="80" t="s">
        <v>139</v>
      </c>
      <c r="O129" s="80" t="s">
        <v>132</v>
      </c>
      <c r="P129" s="81" t="n">
        <v>45885</v>
      </c>
      <c r="Q129" s="81" t="n">
        <v>45885</v>
      </c>
      <c r="R129" s="80" t="s">
        <v>387</v>
      </c>
      <c r="S129" s="80" t="s">
        <v>103</v>
      </c>
      <c r="T129" s="81" t="n">
        <v>45894</v>
      </c>
      <c r="U129" s="80" t="s">
        <v>376</v>
      </c>
      <c r="V129" s="80" t="s">
        <v>263</v>
      </c>
      <c r="W129" s="80" t="s">
        <v>115</v>
      </c>
      <c r="X129" s="80" t="s">
        <v>103</v>
      </c>
      <c r="Y129" s="81" t="n">
        <v>45898</v>
      </c>
      <c r="Z129" s="80" t="s">
        <v>394</v>
      </c>
      <c r="AA129" s="80" t="s">
        <v>103</v>
      </c>
      <c r="AB129" s="80"/>
      <c r="AC129" s="80"/>
      <c r="AD129" s="81"/>
      <c r="AE129" s="80"/>
      <c r="AF129" s="80"/>
      <c r="AG129" s="81"/>
      <c r="AH129" s="79"/>
      <c r="AI129" s="78" t="n">
        <f aca="false">IF(E129="","",(V129&lt;&gt;"")+(AA129&lt;&gt;"")+(AF129&lt;&gt;""))</f>
        <v>2</v>
      </c>
      <c r="AJ129" s="82" t="str">
        <f aca="false">IF(AF129&lt;&gt;"",AF129,IF(AA129&lt;&gt;"",AA129,IF(V129&lt;&gt;"",V129,"")))</f>
        <v>A</v>
      </c>
      <c r="AK129" s="83" t="str">
        <f aca="false">IF(E129="","",IF(P129="","À SOUDER",IF(S129="","VT EN ATTENTE",IF(S129="R","VT REJETÉ – À REPRENDRE",IF(AJ129="","À RADIOGRAPHIER",IF(AJ129="A","ACCEPTÉ",IF(AJ129="NX","NX – RT À REFAIRE",IF(IF(AI129=1,X129,IF(AI129=2,AC129,""))="A","RÉPARÉ – À RADIOGRAPHIER",IF(IF(AI129=1,X129,IF(AI129=2,AC129,""))="R","VT REJETÉ – À REPRENDRE",IF(AJ129="CO","COUPE – À RESOUDER","À RÉPARER"))))))))))</f>
        <v>ACCEPTÉ</v>
      </c>
      <c r="AL129" s="82" t="str">
        <f aca="false">IF(AND(ISNUMBER(P129),OR(AK129="À RADIOGRAPHIER",AK129="RÉPARÉ – À RADIOGRAPHIER",AK129="NX – RT À REFAIRE",AK129="À RÉPARER",AK129="COUPE – À RESOUDER",AK129="VT REJETÉ – À REPRENDRE")),MAX(0,'PROGRAMME RT'!$C$4-P129),"")</f>
        <v/>
      </c>
      <c r="AM129" s="78" t="n">
        <f aca="false">IF(AND(OR(AK129="À RADIOGRAPHIER",AK129="RÉPARÉ – À RADIOGRAPHIER",AK129="NX – RT À REFAIRE"),OR('PROGRAMME RT'!$D$5="TOUTES",B129='PROGRAMME RT'!$D$5)),1,0)</f>
        <v>0</v>
      </c>
      <c r="AN129" s="78" t="str">
        <f aca="false">IF(AM129=1,SUM(AM$7:AM129),"")</f>
        <v/>
      </c>
      <c r="AO129" s="78" t="n">
        <f aca="false">IF(AND(OR(AK129="À RÉPARER",AK129="COUPE – À RESOUDER",AK129="VT REJETÉ – À REPRENDRE"),OR(RÉPARATIONS!$D$5="TOUTES",B129=RÉPARATIONS!$D$5)),1,0)</f>
        <v>0</v>
      </c>
      <c r="AP129" s="78" t="str">
        <f aca="false">IF(AO129=1,SUM(AO$7:AO129),"")</f>
        <v/>
      </c>
    </row>
    <row r="130" customFormat="false" ht="15" hidden="false" customHeight="false" outlineLevel="0" collapsed="false">
      <c r="A130" s="78" t="n">
        <f aca="false">IF(E130="","",ROW()-6)</f>
        <v>124</v>
      </c>
      <c r="B130" s="79" t="s">
        <v>100</v>
      </c>
      <c r="C130" s="80" t="s">
        <v>229</v>
      </c>
      <c r="D130" s="80" t="s">
        <v>316</v>
      </c>
      <c r="E130" s="80" t="s">
        <v>395</v>
      </c>
      <c r="F130" s="80" t="s">
        <v>149</v>
      </c>
      <c r="G130" s="80" t="s">
        <v>104</v>
      </c>
      <c r="H130" s="80" t="n">
        <v>11</v>
      </c>
      <c r="I130" s="80" t="s">
        <v>112</v>
      </c>
      <c r="J130" s="80" t="s">
        <v>130</v>
      </c>
      <c r="K130" s="80" t="s">
        <v>393</v>
      </c>
      <c r="L130" s="80" t="s">
        <v>396</v>
      </c>
      <c r="M130" s="80" t="s">
        <v>139</v>
      </c>
      <c r="N130" s="80" t="s">
        <v>139</v>
      </c>
      <c r="O130" s="80" t="s">
        <v>202</v>
      </c>
      <c r="P130" s="81" t="n">
        <v>45885</v>
      </c>
      <c r="Q130" s="81" t="n">
        <v>45885</v>
      </c>
      <c r="R130" s="80" t="s">
        <v>387</v>
      </c>
      <c r="S130" s="80" t="s">
        <v>103</v>
      </c>
      <c r="T130" s="81" t="n">
        <v>45895</v>
      </c>
      <c r="U130" s="80" t="s">
        <v>397</v>
      </c>
      <c r="V130" s="80" t="s">
        <v>103</v>
      </c>
      <c r="W130" s="80"/>
      <c r="X130" s="80"/>
      <c r="Y130" s="81"/>
      <c r="Z130" s="80"/>
      <c r="AA130" s="80"/>
      <c r="AB130" s="80"/>
      <c r="AC130" s="80"/>
      <c r="AD130" s="81"/>
      <c r="AE130" s="80"/>
      <c r="AF130" s="80"/>
      <c r="AG130" s="81"/>
      <c r="AH130" s="79"/>
      <c r="AI130" s="78" t="n">
        <f aca="false">IF(E130="","",(V130&lt;&gt;"")+(AA130&lt;&gt;"")+(AF130&lt;&gt;""))</f>
        <v>1</v>
      </c>
      <c r="AJ130" s="82" t="str">
        <f aca="false">IF(AF130&lt;&gt;"",AF130,IF(AA130&lt;&gt;"",AA130,IF(V130&lt;&gt;"",V130,"")))</f>
        <v>A</v>
      </c>
      <c r="AK130" s="83" t="str">
        <f aca="false">IF(E130="","",IF(P130="","À SOUDER",IF(S130="","VT EN ATTENTE",IF(S130="R","VT REJETÉ – À REPRENDRE",IF(AJ130="","À RADIOGRAPHIER",IF(AJ130="A","ACCEPTÉ",IF(AJ130="NX","NX – RT À REFAIRE",IF(IF(AI130=1,X130,IF(AI130=2,AC130,""))="A","RÉPARÉ – À RADIOGRAPHIER",IF(IF(AI130=1,X130,IF(AI130=2,AC130,""))="R","VT REJETÉ – À REPRENDRE",IF(AJ130="CO","COUPE – À RESOUDER","À RÉPARER"))))))))))</f>
        <v>ACCEPTÉ</v>
      </c>
      <c r="AL130" s="82" t="str">
        <f aca="false">IF(AND(ISNUMBER(P130),OR(AK130="À RADIOGRAPHIER",AK130="RÉPARÉ – À RADIOGRAPHIER",AK130="NX – RT À REFAIRE",AK130="À RÉPARER",AK130="COUPE – À RESOUDER",AK130="VT REJETÉ – À REPRENDRE")),MAX(0,'PROGRAMME RT'!$C$4-P130),"")</f>
        <v/>
      </c>
      <c r="AM130" s="78" t="n">
        <f aca="false">IF(AND(OR(AK130="À RADIOGRAPHIER",AK130="RÉPARÉ – À RADIOGRAPHIER",AK130="NX – RT À REFAIRE"),OR('PROGRAMME RT'!$D$5="TOUTES",B130='PROGRAMME RT'!$D$5)),1,0)</f>
        <v>0</v>
      </c>
      <c r="AN130" s="78" t="str">
        <f aca="false">IF(AM130=1,SUM(AM$7:AM130),"")</f>
        <v/>
      </c>
      <c r="AO130" s="78" t="n">
        <f aca="false">IF(AND(OR(AK130="À RÉPARER",AK130="COUPE – À RESOUDER",AK130="VT REJETÉ – À REPRENDRE"),OR(RÉPARATIONS!$D$5="TOUTES",B130=RÉPARATIONS!$D$5)),1,0)</f>
        <v>0</v>
      </c>
      <c r="AP130" s="78" t="str">
        <f aca="false">IF(AO130=1,SUM(AO$7:AO130),"")</f>
        <v/>
      </c>
    </row>
    <row r="131" customFormat="false" ht="15" hidden="false" customHeight="false" outlineLevel="0" collapsed="false">
      <c r="A131" s="78" t="n">
        <f aca="false">IF(E131="","",ROW()-6)</f>
        <v>125</v>
      </c>
      <c r="B131" s="79" t="s">
        <v>100</v>
      </c>
      <c r="C131" s="80" t="s">
        <v>229</v>
      </c>
      <c r="D131" s="80" t="s">
        <v>316</v>
      </c>
      <c r="E131" s="80" t="s">
        <v>398</v>
      </c>
      <c r="F131" s="80" t="s">
        <v>149</v>
      </c>
      <c r="G131" s="80" t="s">
        <v>104</v>
      </c>
      <c r="H131" s="80" t="n">
        <v>11</v>
      </c>
      <c r="I131" s="80" t="s">
        <v>112</v>
      </c>
      <c r="J131" s="80" t="s">
        <v>130</v>
      </c>
      <c r="K131" s="80" t="s">
        <v>396</v>
      </c>
      <c r="L131" s="80" t="s">
        <v>399</v>
      </c>
      <c r="M131" s="80" t="s">
        <v>139</v>
      </c>
      <c r="N131" s="80" t="s">
        <v>139</v>
      </c>
      <c r="O131" s="80" t="s">
        <v>132</v>
      </c>
      <c r="P131" s="81" t="n">
        <v>45885</v>
      </c>
      <c r="Q131" s="81" t="n">
        <v>45885</v>
      </c>
      <c r="R131" s="80" t="s">
        <v>387</v>
      </c>
      <c r="S131" s="80" t="s">
        <v>103</v>
      </c>
      <c r="T131" s="81" t="n">
        <v>45895</v>
      </c>
      <c r="U131" s="80" t="s">
        <v>397</v>
      </c>
      <c r="V131" s="80" t="s">
        <v>103</v>
      </c>
      <c r="W131" s="80"/>
      <c r="X131" s="80"/>
      <c r="Y131" s="81"/>
      <c r="Z131" s="80"/>
      <c r="AA131" s="80"/>
      <c r="AB131" s="80"/>
      <c r="AC131" s="80"/>
      <c r="AD131" s="81"/>
      <c r="AE131" s="80"/>
      <c r="AF131" s="80"/>
      <c r="AG131" s="81"/>
      <c r="AH131" s="79"/>
      <c r="AI131" s="78" t="n">
        <f aca="false">IF(E131="","",(V131&lt;&gt;"")+(AA131&lt;&gt;"")+(AF131&lt;&gt;""))</f>
        <v>1</v>
      </c>
      <c r="AJ131" s="82" t="str">
        <f aca="false">IF(AF131&lt;&gt;"",AF131,IF(AA131&lt;&gt;"",AA131,IF(V131&lt;&gt;"",V131,"")))</f>
        <v>A</v>
      </c>
      <c r="AK131" s="83" t="str">
        <f aca="false">IF(E131="","",IF(P131="","À SOUDER",IF(S131="","VT EN ATTENTE",IF(S131="R","VT REJETÉ – À REPRENDRE",IF(AJ131="","À RADIOGRAPHIER",IF(AJ131="A","ACCEPTÉ",IF(AJ131="NX","NX – RT À REFAIRE",IF(IF(AI131=1,X131,IF(AI131=2,AC131,""))="A","RÉPARÉ – À RADIOGRAPHIER",IF(IF(AI131=1,X131,IF(AI131=2,AC131,""))="R","VT REJETÉ – À REPRENDRE",IF(AJ131="CO","COUPE – À RESOUDER","À RÉPARER"))))))))))</f>
        <v>ACCEPTÉ</v>
      </c>
      <c r="AL131" s="82" t="str">
        <f aca="false">IF(AND(ISNUMBER(P131),OR(AK131="À RADIOGRAPHIER",AK131="RÉPARÉ – À RADIOGRAPHIER",AK131="NX – RT À REFAIRE",AK131="À RÉPARER",AK131="COUPE – À RESOUDER",AK131="VT REJETÉ – À REPRENDRE")),MAX(0,'PROGRAMME RT'!$C$4-P131),"")</f>
        <v/>
      </c>
      <c r="AM131" s="78" t="n">
        <f aca="false">IF(AND(OR(AK131="À RADIOGRAPHIER",AK131="RÉPARÉ – À RADIOGRAPHIER",AK131="NX – RT À REFAIRE"),OR('PROGRAMME RT'!$D$5="TOUTES",B131='PROGRAMME RT'!$D$5)),1,0)</f>
        <v>0</v>
      </c>
      <c r="AN131" s="78" t="str">
        <f aca="false">IF(AM131=1,SUM(AM$7:AM131),"")</f>
        <v/>
      </c>
      <c r="AO131" s="78" t="n">
        <f aca="false">IF(AND(OR(AK131="À RÉPARER",AK131="COUPE – À RESOUDER",AK131="VT REJETÉ – À REPRENDRE"),OR(RÉPARATIONS!$D$5="TOUTES",B131=RÉPARATIONS!$D$5)),1,0)</f>
        <v>0</v>
      </c>
      <c r="AP131" s="78" t="str">
        <f aca="false">IF(AO131=1,SUM(AO$7:AO131),"")</f>
        <v/>
      </c>
    </row>
    <row r="132" customFormat="false" ht="15" hidden="false" customHeight="false" outlineLevel="0" collapsed="false">
      <c r="A132" s="78" t="n">
        <f aca="false">IF(E132="","",ROW()-6)</f>
        <v>126</v>
      </c>
      <c r="B132" s="79" t="s">
        <v>100</v>
      </c>
      <c r="C132" s="80" t="s">
        <v>229</v>
      </c>
      <c r="D132" s="80" t="s">
        <v>316</v>
      </c>
      <c r="E132" s="80" t="s">
        <v>400</v>
      </c>
      <c r="F132" s="80" t="s">
        <v>149</v>
      </c>
      <c r="G132" s="80" t="s">
        <v>104</v>
      </c>
      <c r="H132" s="80" t="n">
        <v>11</v>
      </c>
      <c r="I132" s="80" t="s">
        <v>112</v>
      </c>
      <c r="J132" s="80" t="s">
        <v>130</v>
      </c>
      <c r="K132" s="80" t="s">
        <v>399</v>
      </c>
      <c r="L132" s="80" t="s">
        <v>401</v>
      </c>
      <c r="M132" s="80" t="s">
        <v>139</v>
      </c>
      <c r="N132" s="80" t="s">
        <v>139</v>
      </c>
      <c r="O132" s="80" t="s">
        <v>123</v>
      </c>
      <c r="P132" s="81" t="n">
        <v>45885</v>
      </c>
      <c r="Q132" s="81" t="n">
        <v>45885</v>
      </c>
      <c r="R132" s="80" t="s">
        <v>387</v>
      </c>
      <c r="S132" s="80" t="s">
        <v>103</v>
      </c>
      <c r="T132" s="81" t="n">
        <v>45895</v>
      </c>
      <c r="U132" s="80" t="s">
        <v>397</v>
      </c>
      <c r="V132" s="80" t="s">
        <v>103</v>
      </c>
      <c r="W132" s="80"/>
      <c r="X132" s="80"/>
      <c r="Y132" s="81"/>
      <c r="Z132" s="80"/>
      <c r="AA132" s="80"/>
      <c r="AB132" s="80"/>
      <c r="AC132" s="80"/>
      <c r="AD132" s="81"/>
      <c r="AE132" s="80"/>
      <c r="AF132" s="80"/>
      <c r="AG132" s="81"/>
      <c r="AH132" s="79"/>
      <c r="AI132" s="78" t="n">
        <f aca="false">IF(E132="","",(V132&lt;&gt;"")+(AA132&lt;&gt;"")+(AF132&lt;&gt;""))</f>
        <v>1</v>
      </c>
      <c r="AJ132" s="82" t="str">
        <f aca="false">IF(AF132&lt;&gt;"",AF132,IF(AA132&lt;&gt;"",AA132,IF(V132&lt;&gt;"",V132,"")))</f>
        <v>A</v>
      </c>
      <c r="AK132" s="83" t="str">
        <f aca="false">IF(E132="","",IF(P132="","À SOUDER",IF(S132="","VT EN ATTENTE",IF(S132="R","VT REJETÉ – À REPRENDRE",IF(AJ132="","À RADIOGRAPHIER",IF(AJ132="A","ACCEPTÉ",IF(AJ132="NX","NX – RT À REFAIRE",IF(IF(AI132=1,X132,IF(AI132=2,AC132,""))="A","RÉPARÉ – À RADIOGRAPHIER",IF(IF(AI132=1,X132,IF(AI132=2,AC132,""))="R","VT REJETÉ – À REPRENDRE",IF(AJ132="CO","COUPE – À RESOUDER","À RÉPARER"))))))))))</f>
        <v>ACCEPTÉ</v>
      </c>
      <c r="AL132" s="82" t="str">
        <f aca="false">IF(AND(ISNUMBER(P132),OR(AK132="À RADIOGRAPHIER",AK132="RÉPARÉ – À RADIOGRAPHIER",AK132="NX – RT À REFAIRE",AK132="À RÉPARER",AK132="COUPE – À RESOUDER",AK132="VT REJETÉ – À REPRENDRE")),MAX(0,'PROGRAMME RT'!$C$4-P132),"")</f>
        <v/>
      </c>
      <c r="AM132" s="78" t="n">
        <f aca="false">IF(AND(OR(AK132="À RADIOGRAPHIER",AK132="RÉPARÉ – À RADIOGRAPHIER",AK132="NX – RT À REFAIRE"),OR('PROGRAMME RT'!$D$5="TOUTES",B132='PROGRAMME RT'!$D$5)),1,0)</f>
        <v>0</v>
      </c>
      <c r="AN132" s="78" t="str">
        <f aca="false">IF(AM132=1,SUM(AM$7:AM132),"")</f>
        <v/>
      </c>
      <c r="AO132" s="78" t="n">
        <f aca="false">IF(AND(OR(AK132="À RÉPARER",AK132="COUPE – À RESOUDER",AK132="VT REJETÉ – À REPRENDRE"),OR(RÉPARATIONS!$D$5="TOUTES",B132=RÉPARATIONS!$D$5)),1,0)</f>
        <v>0</v>
      </c>
      <c r="AP132" s="78" t="str">
        <f aca="false">IF(AO132=1,SUM(AO$7:AO132),"")</f>
        <v/>
      </c>
    </row>
    <row r="133" customFormat="false" ht="15" hidden="false" customHeight="false" outlineLevel="0" collapsed="false">
      <c r="A133" s="78" t="n">
        <f aca="false">IF(E133="","",ROW()-6)</f>
        <v>127</v>
      </c>
      <c r="B133" s="79" t="s">
        <v>100</v>
      </c>
      <c r="C133" s="80" t="s">
        <v>229</v>
      </c>
      <c r="D133" s="80" t="s">
        <v>316</v>
      </c>
      <c r="E133" s="80" t="s">
        <v>402</v>
      </c>
      <c r="F133" s="80" t="s">
        <v>149</v>
      </c>
      <c r="G133" s="80" t="s">
        <v>104</v>
      </c>
      <c r="H133" s="80" t="n">
        <v>11</v>
      </c>
      <c r="I133" s="80" t="s">
        <v>112</v>
      </c>
      <c r="J133" s="80" t="s">
        <v>130</v>
      </c>
      <c r="K133" s="80" t="s">
        <v>401</v>
      </c>
      <c r="L133" s="80" t="s">
        <v>403</v>
      </c>
      <c r="M133" s="80" t="s">
        <v>139</v>
      </c>
      <c r="N133" s="80" t="s">
        <v>139</v>
      </c>
      <c r="O133" s="80" t="s">
        <v>202</v>
      </c>
      <c r="P133" s="81" t="n">
        <v>45885</v>
      </c>
      <c r="Q133" s="81" t="n">
        <v>45885</v>
      </c>
      <c r="R133" s="80" t="s">
        <v>387</v>
      </c>
      <c r="S133" s="80" t="s">
        <v>103</v>
      </c>
      <c r="T133" s="81" t="n">
        <v>45895</v>
      </c>
      <c r="U133" s="80" t="s">
        <v>397</v>
      </c>
      <c r="V133" s="80" t="s">
        <v>103</v>
      </c>
      <c r="W133" s="80"/>
      <c r="X133" s="80"/>
      <c r="Y133" s="81"/>
      <c r="Z133" s="80"/>
      <c r="AA133" s="80"/>
      <c r="AB133" s="80"/>
      <c r="AC133" s="80"/>
      <c r="AD133" s="81"/>
      <c r="AE133" s="80"/>
      <c r="AF133" s="80"/>
      <c r="AG133" s="81"/>
      <c r="AH133" s="79"/>
      <c r="AI133" s="78" t="n">
        <f aca="false">IF(E133="","",(V133&lt;&gt;"")+(AA133&lt;&gt;"")+(AF133&lt;&gt;""))</f>
        <v>1</v>
      </c>
      <c r="AJ133" s="82" t="str">
        <f aca="false">IF(AF133&lt;&gt;"",AF133,IF(AA133&lt;&gt;"",AA133,IF(V133&lt;&gt;"",V133,"")))</f>
        <v>A</v>
      </c>
      <c r="AK133" s="83" t="str">
        <f aca="false">IF(E133="","",IF(P133="","À SOUDER",IF(S133="","VT EN ATTENTE",IF(S133="R","VT REJETÉ – À REPRENDRE",IF(AJ133="","À RADIOGRAPHIER",IF(AJ133="A","ACCEPTÉ",IF(AJ133="NX","NX – RT À REFAIRE",IF(IF(AI133=1,X133,IF(AI133=2,AC133,""))="A","RÉPARÉ – À RADIOGRAPHIER",IF(IF(AI133=1,X133,IF(AI133=2,AC133,""))="R","VT REJETÉ – À REPRENDRE",IF(AJ133="CO","COUPE – À RESOUDER","À RÉPARER"))))))))))</f>
        <v>ACCEPTÉ</v>
      </c>
      <c r="AL133" s="82" t="str">
        <f aca="false">IF(AND(ISNUMBER(P133),OR(AK133="À RADIOGRAPHIER",AK133="RÉPARÉ – À RADIOGRAPHIER",AK133="NX – RT À REFAIRE",AK133="À RÉPARER",AK133="COUPE – À RESOUDER",AK133="VT REJETÉ – À REPRENDRE")),MAX(0,'PROGRAMME RT'!$C$4-P133),"")</f>
        <v/>
      </c>
      <c r="AM133" s="78" t="n">
        <f aca="false">IF(AND(OR(AK133="À RADIOGRAPHIER",AK133="RÉPARÉ – À RADIOGRAPHIER",AK133="NX – RT À REFAIRE"),OR('PROGRAMME RT'!$D$5="TOUTES",B133='PROGRAMME RT'!$D$5)),1,0)</f>
        <v>0</v>
      </c>
      <c r="AN133" s="78" t="str">
        <f aca="false">IF(AM133=1,SUM(AM$7:AM133),"")</f>
        <v/>
      </c>
      <c r="AO133" s="78" t="n">
        <f aca="false">IF(AND(OR(AK133="À RÉPARER",AK133="COUPE – À RESOUDER",AK133="VT REJETÉ – À REPRENDRE"),OR(RÉPARATIONS!$D$5="TOUTES",B133=RÉPARATIONS!$D$5)),1,0)</f>
        <v>0</v>
      </c>
      <c r="AP133" s="78" t="str">
        <f aca="false">IF(AO133=1,SUM(AO$7:AO133),"")</f>
        <v/>
      </c>
    </row>
    <row r="134" customFormat="false" ht="15" hidden="false" customHeight="false" outlineLevel="0" collapsed="false">
      <c r="A134" s="78" t="n">
        <f aca="false">IF(E134="","",ROW()-6)</f>
        <v>128</v>
      </c>
      <c r="B134" s="79" t="s">
        <v>100</v>
      </c>
      <c r="C134" s="80" t="s">
        <v>229</v>
      </c>
      <c r="D134" s="80" t="s">
        <v>316</v>
      </c>
      <c r="E134" s="80" t="s">
        <v>404</v>
      </c>
      <c r="F134" s="80" t="s">
        <v>149</v>
      </c>
      <c r="G134" s="80" t="s">
        <v>104</v>
      </c>
      <c r="H134" s="80" t="n">
        <v>11</v>
      </c>
      <c r="I134" s="80" t="s">
        <v>112</v>
      </c>
      <c r="J134" s="80" t="s">
        <v>130</v>
      </c>
      <c r="K134" s="80" t="s">
        <v>403</v>
      </c>
      <c r="L134" s="80" t="s">
        <v>405</v>
      </c>
      <c r="M134" s="80" t="s">
        <v>139</v>
      </c>
      <c r="N134" s="80" t="s">
        <v>139</v>
      </c>
      <c r="O134" s="80" t="s">
        <v>132</v>
      </c>
      <c r="P134" s="81" t="n">
        <v>45885</v>
      </c>
      <c r="Q134" s="81" t="n">
        <v>45885</v>
      </c>
      <c r="R134" s="80" t="s">
        <v>387</v>
      </c>
      <c r="S134" s="80" t="s">
        <v>103</v>
      </c>
      <c r="T134" s="81" t="n">
        <v>45895</v>
      </c>
      <c r="U134" s="80" t="s">
        <v>397</v>
      </c>
      <c r="V134" s="80" t="s">
        <v>103</v>
      </c>
      <c r="W134" s="80"/>
      <c r="X134" s="80"/>
      <c r="Y134" s="81"/>
      <c r="Z134" s="80"/>
      <c r="AA134" s="80"/>
      <c r="AB134" s="80"/>
      <c r="AC134" s="80"/>
      <c r="AD134" s="81"/>
      <c r="AE134" s="80"/>
      <c r="AF134" s="80"/>
      <c r="AG134" s="81"/>
      <c r="AH134" s="79"/>
      <c r="AI134" s="78" t="n">
        <f aca="false">IF(E134="","",(V134&lt;&gt;"")+(AA134&lt;&gt;"")+(AF134&lt;&gt;""))</f>
        <v>1</v>
      </c>
      <c r="AJ134" s="82" t="str">
        <f aca="false">IF(AF134&lt;&gt;"",AF134,IF(AA134&lt;&gt;"",AA134,IF(V134&lt;&gt;"",V134,"")))</f>
        <v>A</v>
      </c>
      <c r="AK134" s="83" t="str">
        <f aca="false">IF(E134="","",IF(P134="","À SOUDER",IF(S134="","VT EN ATTENTE",IF(S134="R","VT REJETÉ – À REPRENDRE",IF(AJ134="","À RADIOGRAPHIER",IF(AJ134="A","ACCEPTÉ",IF(AJ134="NX","NX – RT À REFAIRE",IF(IF(AI134=1,X134,IF(AI134=2,AC134,""))="A","RÉPARÉ – À RADIOGRAPHIER",IF(IF(AI134=1,X134,IF(AI134=2,AC134,""))="R","VT REJETÉ – À REPRENDRE",IF(AJ134="CO","COUPE – À RESOUDER","À RÉPARER"))))))))))</f>
        <v>ACCEPTÉ</v>
      </c>
      <c r="AL134" s="82" t="str">
        <f aca="false">IF(AND(ISNUMBER(P134),OR(AK134="À RADIOGRAPHIER",AK134="RÉPARÉ – À RADIOGRAPHIER",AK134="NX – RT À REFAIRE",AK134="À RÉPARER",AK134="COUPE – À RESOUDER",AK134="VT REJETÉ – À REPRENDRE")),MAX(0,'PROGRAMME RT'!$C$4-P134),"")</f>
        <v/>
      </c>
      <c r="AM134" s="78" t="n">
        <f aca="false">IF(AND(OR(AK134="À RADIOGRAPHIER",AK134="RÉPARÉ – À RADIOGRAPHIER",AK134="NX – RT À REFAIRE"),OR('PROGRAMME RT'!$D$5="TOUTES",B134='PROGRAMME RT'!$D$5)),1,0)</f>
        <v>0</v>
      </c>
      <c r="AN134" s="78" t="str">
        <f aca="false">IF(AM134=1,SUM(AM$7:AM134),"")</f>
        <v/>
      </c>
      <c r="AO134" s="78" t="n">
        <f aca="false">IF(AND(OR(AK134="À RÉPARER",AK134="COUPE – À RESOUDER",AK134="VT REJETÉ – À REPRENDRE"),OR(RÉPARATIONS!$D$5="TOUTES",B134=RÉPARATIONS!$D$5)),1,0)</f>
        <v>0</v>
      </c>
      <c r="AP134" s="78" t="str">
        <f aca="false">IF(AO134=1,SUM(AO$7:AO134),"")</f>
        <v/>
      </c>
    </row>
    <row r="135" customFormat="false" ht="15" hidden="false" customHeight="false" outlineLevel="0" collapsed="false">
      <c r="A135" s="78" t="n">
        <f aca="false">IF(E135="","",ROW()-6)</f>
        <v>129</v>
      </c>
      <c r="B135" s="79" t="s">
        <v>100</v>
      </c>
      <c r="C135" s="80" t="s">
        <v>229</v>
      </c>
      <c r="D135" s="80" t="s">
        <v>316</v>
      </c>
      <c r="E135" s="80" t="s">
        <v>406</v>
      </c>
      <c r="F135" s="80" t="s">
        <v>149</v>
      </c>
      <c r="G135" s="80" t="s">
        <v>104</v>
      </c>
      <c r="H135" s="80" t="n">
        <v>11</v>
      </c>
      <c r="I135" s="80" t="s">
        <v>112</v>
      </c>
      <c r="J135" s="80" t="s">
        <v>130</v>
      </c>
      <c r="K135" s="80" t="s">
        <v>405</v>
      </c>
      <c r="L135" s="80" t="s">
        <v>407</v>
      </c>
      <c r="M135" s="80" t="s">
        <v>139</v>
      </c>
      <c r="N135" s="80" t="s">
        <v>139</v>
      </c>
      <c r="O135" s="80" t="s">
        <v>202</v>
      </c>
      <c r="P135" s="81" t="n">
        <v>45885</v>
      </c>
      <c r="Q135" s="81" t="n">
        <v>45885</v>
      </c>
      <c r="R135" s="80" t="s">
        <v>387</v>
      </c>
      <c r="S135" s="80" t="s">
        <v>103</v>
      </c>
      <c r="T135" s="81" t="n">
        <v>45895</v>
      </c>
      <c r="U135" s="80" t="s">
        <v>397</v>
      </c>
      <c r="V135" s="80" t="s">
        <v>103</v>
      </c>
      <c r="W135" s="80"/>
      <c r="X135" s="80"/>
      <c r="Y135" s="81"/>
      <c r="Z135" s="80"/>
      <c r="AA135" s="80"/>
      <c r="AB135" s="80"/>
      <c r="AC135" s="80"/>
      <c r="AD135" s="81"/>
      <c r="AE135" s="80"/>
      <c r="AF135" s="80"/>
      <c r="AG135" s="81"/>
      <c r="AH135" s="79"/>
      <c r="AI135" s="78" t="n">
        <f aca="false">IF(E135="","",(V135&lt;&gt;"")+(AA135&lt;&gt;"")+(AF135&lt;&gt;""))</f>
        <v>1</v>
      </c>
      <c r="AJ135" s="82" t="str">
        <f aca="false">IF(AF135&lt;&gt;"",AF135,IF(AA135&lt;&gt;"",AA135,IF(V135&lt;&gt;"",V135,"")))</f>
        <v>A</v>
      </c>
      <c r="AK135" s="83" t="str">
        <f aca="false">IF(E135="","",IF(P135="","À SOUDER",IF(S135="","VT EN ATTENTE",IF(S135="R","VT REJETÉ – À REPRENDRE",IF(AJ135="","À RADIOGRAPHIER",IF(AJ135="A","ACCEPTÉ",IF(AJ135="NX","NX – RT À REFAIRE",IF(IF(AI135=1,X135,IF(AI135=2,AC135,""))="A","RÉPARÉ – À RADIOGRAPHIER",IF(IF(AI135=1,X135,IF(AI135=2,AC135,""))="R","VT REJETÉ – À REPRENDRE",IF(AJ135="CO","COUPE – À RESOUDER","À RÉPARER"))))))))))</f>
        <v>ACCEPTÉ</v>
      </c>
      <c r="AL135" s="82" t="str">
        <f aca="false">IF(AND(ISNUMBER(P135),OR(AK135="À RADIOGRAPHIER",AK135="RÉPARÉ – À RADIOGRAPHIER",AK135="NX – RT À REFAIRE",AK135="À RÉPARER",AK135="COUPE – À RESOUDER",AK135="VT REJETÉ – À REPRENDRE")),MAX(0,'PROGRAMME RT'!$C$4-P135),"")</f>
        <v/>
      </c>
      <c r="AM135" s="78" t="n">
        <f aca="false">IF(AND(OR(AK135="À RADIOGRAPHIER",AK135="RÉPARÉ – À RADIOGRAPHIER",AK135="NX – RT À REFAIRE"),OR('PROGRAMME RT'!$D$5="TOUTES",B135='PROGRAMME RT'!$D$5)),1,0)</f>
        <v>0</v>
      </c>
      <c r="AN135" s="78" t="str">
        <f aca="false">IF(AM135=1,SUM(AM$7:AM135),"")</f>
        <v/>
      </c>
      <c r="AO135" s="78" t="n">
        <f aca="false">IF(AND(OR(AK135="À RÉPARER",AK135="COUPE – À RESOUDER",AK135="VT REJETÉ – À REPRENDRE"),OR(RÉPARATIONS!$D$5="TOUTES",B135=RÉPARATIONS!$D$5)),1,0)</f>
        <v>0</v>
      </c>
      <c r="AP135" s="78" t="str">
        <f aca="false">IF(AO135=1,SUM(AO$7:AO135),"")</f>
        <v/>
      </c>
    </row>
    <row r="136" customFormat="false" ht="15" hidden="false" customHeight="false" outlineLevel="0" collapsed="false">
      <c r="A136" s="78" t="n">
        <f aca="false">IF(E136="","",ROW()-6)</f>
        <v>130</v>
      </c>
      <c r="B136" s="79" t="s">
        <v>100</v>
      </c>
      <c r="C136" s="80" t="s">
        <v>229</v>
      </c>
      <c r="D136" s="80" t="s">
        <v>316</v>
      </c>
      <c r="E136" s="80" t="s">
        <v>408</v>
      </c>
      <c r="F136" s="80" t="s">
        <v>149</v>
      </c>
      <c r="G136" s="80" t="s">
        <v>104</v>
      </c>
      <c r="H136" s="80" t="n">
        <v>11</v>
      </c>
      <c r="I136" s="80" t="s">
        <v>112</v>
      </c>
      <c r="J136" s="80" t="s">
        <v>130</v>
      </c>
      <c r="K136" s="80" t="s">
        <v>407</v>
      </c>
      <c r="L136" s="80" t="s">
        <v>409</v>
      </c>
      <c r="M136" s="80" t="s">
        <v>139</v>
      </c>
      <c r="N136" s="80" t="s">
        <v>139</v>
      </c>
      <c r="O136" s="80" t="s">
        <v>123</v>
      </c>
      <c r="P136" s="81" t="n">
        <v>45885</v>
      </c>
      <c r="Q136" s="81" t="n">
        <v>45885</v>
      </c>
      <c r="R136" s="80" t="s">
        <v>387</v>
      </c>
      <c r="S136" s="80" t="s">
        <v>103</v>
      </c>
      <c r="T136" s="81" t="n">
        <v>45895</v>
      </c>
      <c r="U136" s="80" t="s">
        <v>397</v>
      </c>
      <c r="V136" s="80" t="s">
        <v>103</v>
      </c>
      <c r="W136" s="80"/>
      <c r="X136" s="80"/>
      <c r="Y136" s="81"/>
      <c r="Z136" s="80"/>
      <c r="AA136" s="80"/>
      <c r="AB136" s="80"/>
      <c r="AC136" s="80"/>
      <c r="AD136" s="81"/>
      <c r="AE136" s="80"/>
      <c r="AF136" s="80"/>
      <c r="AG136" s="81"/>
      <c r="AH136" s="79"/>
      <c r="AI136" s="78" t="n">
        <f aca="false">IF(E136="","",(V136&lt;&gt;"")+(AA136&lt;&gt;"")+(AF136&lt;&gt;""))</f>
        <v>1</v>
      </c>
      <c r="AJ136" s="82" t="str">
        <f aca="false">IF(AF136&lt;&gt;"",AF136,IF(AA136&lt;&gt;"",AA136,IF(V136&lt;&gt;"",V136,"")))</f>
        <v>A</v>
      </c>
      <c r="AK136" s="83" t="str">
        <f aca="false">IF(E136="","",IF(P136="","À SOUDER",IF(S136="","VT EN ATTENTE",IF(S136="R","VT REJETÉ – À REPRENDRE",IF(AJ136="","À RADIOGRAPHIER",IF(AJ136="A","ACCEPTÉ",IF(AJ136="NX","NX – RT À REFAIRE",IF(IF(AI136=1,X136,IF(AI136=2,AC136,""))="A","RÉPARÉ – À RADIOGRAPHIER",IF(IF(AI136=1,X136,IF(AI136=2,AC136,""))="R","VT REJETÉ – À REPRENDRE",IF(AJ136="CO","COUPE – À RESOUDER","À RÉPARER"))))))))))</f>
        <v>ACCEPTÉ</v>
      </c>
      <c r="AL136" s="82" t="str">
        <f aca="false">IF(AND(ISNUMBER(P136),OR(AK136="À RADIOGRAPHIER",AK136="RÉPARÉ – À RADIOGRAPHIER",AK136="NX – RT À REFAIRE",AK136="À RÉPARER",AK136="COUPE – À RESOUDER",AK136="VT REJETÉ – À REPRENDRE")),MAX(0,'PROGRAMME RT'!$C$4-P136),"")</f>
        <v/>
      </c>
      <c r="AM136" s="78" t="n">
        <f aca="false">IF(AND(OR(AK136="À RADIOGRAPHIER",AK136="RÉPARÉ – À RADIOGRAPHIER",AK136="NX – RT À REFAIRE"),OR('PROGRAMME RT'!$D$5="TOUTES",B136='PROGRAMME RT'!$D$5)),1,0)</f>
        <v>0</v>
      </c>
      <c r="AN136" s="78" t="str">
        <f aca="false">IF(AM136=1,SUM(AM$7:AM136),"")</f>
        <v/>
      </c>
      <c r="AO136" s="78" t="n">
        <f aca="false">IF(AND(OR(AK136="À RÉPARER",AK136="COUPE – À RESOUDER",AK136="VT REJETÉ – À REPRENDRE"),OR(RÉPARATIONS!$D$5="TOUTES",B136=RÉPARATIONS!$D$5)),1,0)</f>
        <v>0</v>
      </c>
      <c r="AP136" s="78" t="str">
        <f aca="false">IF(AO136=1,SUM(AO$7:AO136),"")</f>
        <v/>
      </c>
    </row>
    <row r="137" customFormat="false" ht="15" hidden="false" customHeight="false" outlineLevel="0" collapsed="false">
      <c r="A137" s="78" t="n">
        <f aca="false">IF(E137="","",ROW()-6)</f>
        <v>131</v>
      </c>
      <c r="B137" s="79" t="s">
        <v>100</v>
      </c>
      <c r="C137" s="80" t="s">
        <v>229</v>
      </c>
      <c r="D137" s="80" t="s">
        <v>316</v>
      </c>
      <c r="E137" s="80" t="s">
        <v>410</v>
      </c>
      <c r="F137" s="80" t="s">
        <v>149</v>
      </c>
      <c r="G137" s="80" t="s">
        <v>104</v>
      </c>
      <c r="H137" s="80" t="n">
        <v>11</v>
      </c>
      <c r="I137" s="80" t="s">
        <v>112</v>
      </c>
      <c r="J137" s="80" t="s">
        <v>130</v>
      </c>
      <c r="K137" s="80" t="s">
        <v>409</v>
      </c>
      <c r="L137" s="80" t="s">
        <v>411</v>
      </c>
      <c r="M137" s="80" t="s">
        <v>139</v>
      </c>
      <c r="N137" s="80" t="s">
        <v>139</v>
      </c>
      <c r="O137" s="80" t="s">
        <v>132</v>
      </c>
      <c r="P137" s="81" t="n">
        <v>45885</v>
      </c>
      <c r="Q137" s="81" t="n">
        <v>45885</v>
      </c>
      <c r="R137" s="80" t="s">
        <v>387</v>
      </c>
      <c r="S137" s="80" t="s">
        <v>103</v>
      </c>
      <c r="T137" s="81" t="n">
        <v>45895</v>
      </c>
      <c r="U137" s="80" t="s">
        <v>397</v>
      </c>
      <c r="V137" s="80" t="s">
        <v>103</v>
      </c>
      <c r="W137" s="80"/>
      <c r="X137" s="80"/>
      <c r="Y137" s="81"/>
      <c r="Z137" s="80"/>
      <c r="AA137" s="80"/>
      <c r="AB137" s="80"/>
      <c r="AC137" s="80"/>
      <c r="AD137" s="81"/>
      <c r="AE137" s="80"/>
      <c r="AF137" s="80"/>
      <c r="AG137" s="81"/>
      <c r="AH137" s="79"/>
      <c r="AI137" s="78" t="n">
        <f aca="false">IF(E137="","",(V137&lt;&gt;"")+(AA137&lt;&gt;"")+(AF137&lt;&gt;""))</f>
        <v>1</v>
      </c>
      <c r="AJ137" s="82" t="str">
        <f aca="false">IF(AF137&lt;&gt;"",AF137,IF(AA137&lt;&gt;"",AA137,IF(V137&lt;&gt;"",V137,"")))</f>
        <v>A</v>
      </c>
      <c r="AK137" s="83" t="str">
        <f aca="false">IF(E137="","",IF(P137="","À SOUDER",IF(S137="","VT EN ATTENTE",IF(S137="R","VT REJETÉ – À REPRENDRE",IF(AJ137="","À RADIOGRAPHIER",IF(AJ137="A","ACCEPTÉ",IF(AJ137="NX","NX – RT À REFAIRE",IF(IF(AI137=1,X137,IF(AI137=2,AC137,""))="A","RÉPARÉ – À RADIOGRAPHIER",IF(IF(AI137=1,X137,IF(AI137=2,AC137,""))="R","VT REJETÉ – À REPRENDRE",IF(AJ137="CO","COUPE – À RESOUDER","À RÉPARER"))))))))))</f>
        <v>ACCEPTÉ</v>
      </c>
      <c r="AL137" s="82" t="str">
        <f aca="false">IF(AND(ISNUMBER(P137),OR(AK137="À RADIOGRAPHIER",AK137="RÉPARÉ – À RADIOGRAPHIER",AK137="NX – RT À REFAIRE",AK137="À RÉPARER",AK137="COUPE – À RESOUDER",AK137="VT REJETÉ – À REPRENDRE")),MAX(0,'PROGRAMME RT'!$C$4-P137),"")</f>
        <v/>
      </c>
      <c r="AM137" s="78" t="n">
        <f aca="false">IF(AND(OR(AK137="À RADIOGRAPHIER",AK137="RÉPARÉ – À RADIOGRAPHIER",AK137="NX – RT À REFAIRE"),OR('PROGRAMME RT'!$D$5="TOUTES",B137='PROGRAMME RT'!$D$5)),1,0)</f>
        <v>0</v>
      </c>
      <c r="AN137" s="78" t="str">
        <f aca="false">IF(AM137=1,SUM(AM$7:AM137),"")</f>
        <v/>
      </c>
      <c r="AO137" s="78" t="n">
        <f aca="false">IF(AND(OR(AK137="À RÉPARER",AK137="COUPE – À RESOUDER",AK137="VT REJETÉ – À REPRENDRE"),OR(RÉPARATIONS!$D$5="TOUTES",B137=RÉPARATIONS!$D$5)),1,0)</f>
        <v>0</v>
      </c>
      <c r="AP137" s="78" t="str">
        <f aca="false">IF(AO137=1,SUM(AO$7:AO137),"")</f>
        <v/>
      </c>
    </row>
    <row r="138" customFormat="false" ht="15" hidden="false" customHeight="false" outlineLevel="0" collapsed="false">
      <c r="A138" s="78" t="n">
        <f aca="false">IF(E138="","",ROW()-6)</f>
        <v>132</v>
      </c>
      <c r="B138" s="79" t="s">
        <v>100</v>
      </c>
      <c r="C138" s="80" t="s">
        <v>229</v>
      </c>
      <c r="D138" s="80" t="s">
        <v>316</v>
      </c>
      <c r="E138" s="80" t="s">
        <v>412</v>
      </c>
      <c r="F138" s="80" t="s">
        <v>149</v>
      </c>
      <c r="G138" s="80" t="s">
        <v>104</v>
      </c>
      <c r="H138" s="80" t="n">
        <v>11</v>
      </c>
      <c r="I138" s="80" t="s">
        <v>112</v>
      </c>
      <c r="J138" s="80" t="s">
        <v>130</v>
      </c>
      <c r="K138" s="80" t="s">
        <v>411</v>
      </c>
      <c r="L138" s="80" t="s">
        <v>413</v>
      </c>
      <c r="M138" s="80" t="s">
        <v>139</v>
      </c>
      <c r="N138" s="80" t="s">
        <v>139</v>
      </c>
      <c r="O138" s="80" t="s">
        <v>202</v>
      </c>
      <c r="P138" s="81" t="n">
        <v>45885</v>
      </c>
      <c r="Q138" s="81" t="n">
        <v>45885</v>
      </c>
      <c r="R138" s="80" t="s">
        <v>387</v>
      </c>
      <c r="S138" s="80" t="s">
        <v>103</v>
      </c>
      <c r="T138" s="81" t="n">
        <v>45895</v>
      </c>
      <c r="U138" s="80" t="s">
        <v>397</v>
      </c>
      <c r="V138" s="80" t="s">
        <v>103</v>
      </c>
      <c r="W138" s="80"/>
      <c r="X138" s="80"/>
      <c r="Y138" s="81"/>
      <c r="Z138" s="80"/>
      <c r="AA138" s="80"/>
      <c r="AB138" s="80"/>
      <c r="AC138" s="80"/>
      <c r="AD138" s="81"/>
      <c r="AE138" s="80"/>
      <c r="AF138" s="80"/>
      <c r="AG138" s="81"/>
      <c r="AH138" s="79"/>
      <c r="AI138" s="78" t="n">
        <f aca="false">IF(E138="","",(V138&lt;&gt;"")+(AA138&lt;&gt;"")+(AF138&lt;&gt;""))</f>
        <v>1</v>
      </c>
      <c r="AJ138" s="82" t="str">
        <f aca="false">IF(AF138&lt;&gt;"",AF138,IF(AA138&lt;&gt;"",AA138,IF(V138&lt;&gt;"",V138,"")))</f>
        <v>A</v>
      </c>
      <c r="AK138" s="83" t="str">
        <f aca="false">IF(E138="","",IF(P138="","À SOUDER",IF(S138="","VT EN ATTENTE",IF(S138="R","VT REJETÉ – À REPRENDRE",IF(AJ138="","À RADIOGRAPHIER",IF(AJ138="A","ACCEPTÉ",IF(AJ138="NX","NX – RT À REFAIRE",IF(IF(AI138=1,X138,IF(AI138=2,AC138,""))="A","RÉPARÉ – À RADIOGRAPHIER",IF(IF(AI138=1,X138,IF(AI138=2,AC138,""))="R","VT REJETÉ – À REPRENDRE",IF(AJ138="CO","COUPE – À RESOUDER","À RÉPARER"))))))))))</f>
        <v>ACCEPTÉ</v>
      </c>
      <c r="AL138" s="82" t="str">
        <f aca="false">IF(AND(ISNUMBER(P138),OR(AK138="À RADIOGRAPHIER",AK138="RÉPARÉ – À RADIOGRAPHIER",AK138="NX – RT À REFAIRE",AK138="À RÉPARER",AK138="COUPE – À RESOUDER",AK138="VT REJETÉ – À REPRENDRE")),MAX(0,'PROGRAMME RT'!$C$4-P138),"")</f>
        <v/>
      </c>
      <c r="AM138" s="78" t="n">
        <f aca="false">IF(AND(OR(AK138="À RADIOGRAPHIER",AK138="RÉPARÉ – À RADIOGRAPHIER",AK138="NX – RT À REFAIRE"),OR('PROGRAMME RT'!$D$5="TOUTES",B138='PROGRAMME RT'!$D$5)),1,0)</f>
        <v>0</v>
      </c>
      <c r="AN138" s="78" t="str">
        <f aca="false">IF(AM138=1,SUM(AM$7:AM138),"")</f>
        <v/>
      </c>
      <c r="AO138" s="78" t="n">
        <f aca="false">IF(AND(OR(AK138="À RÉPARER",AK138="COUPE – À RESOUDER",AK138="VT REJETÉ – À REPRENDRE"),OR(RÉPARATIONS!$D$5="TOUTES",B138=RÉPARATIONS!$D$5)),1,0)</f>
        <v>0</v>
      </c>
      <c r="AP138" s="78" t="str">
        <f aca="false">IF(AO138=1,SUM(AO$7:AO138),"")</f>
        <v/>
      </c>
    </row>
    <row r="139" customFormat="false" ht="15" hidden="false" customHeight="false" outlineLevel="0" collapsed="false">
      <c r="A139" s="78" t="n">
        <f aca="false">IF(E139="","",ROW()-6)</f>
        <v>133</v>
      </c>
      <c r="B139" s="79" t="s">
        <v>100</v>
      </c>
      <c r="C139" s="80" t="s">
        <v>229</v>
      </c>
      <c r="D139" s="80" t="s">
        <v>316</v>
      </c>
      <c r="E139" s="80" t="s">
        <v>414</v>
      </c>
      <c r="F139" s="80" t="s">
        <v>149</v>
      </c>
      <c r="G139" s="80" t="s">
        <v>104</v>
      </c>
      <c r="H139" s="80" t="n">
        <v>11</v>
      </c>
      <c r="I139" s="80" t="s">
        <v>112</v>
      </c>
      <c r="J139" s="80" t="s">
        <v>130</v>
      </c>
      <c r="K139" s="80" t="s">
        <v>413</v>
      </c>
      <c r="L139" s="80" t="s">
        <v>415</v>
      </c>
      <c r="M139" s="80" t="s">
        <v>139</v>
      </c>
      <c r="N139" s="80" t="s">
        <v>139</v>
      </c>
      <c r="O139" s="80" t="s">
        <v>123</v>
      </c>
      <c r="P139" s="81" t="n">
        <v>45885</v>
      </c>
      <c r="Q139" s="81" t="n">
        <v>45885</v>
      </c>
      <c r="R139" s="80" t="s">
        <v>387</v>
      </c>
      <c r="S139" s="80" t="s">
        <v>103</v>
      </c>
      <c r="T139" s="81" t="n">
        <v>45895</v>
      </c>
      <c r="U139" s="80" t="s">
        <v>397</v>
      </c>
      <c r="V139" s="80" t="s">
        <v>103</v>
      </c>
      <c r="W139" s="80"/>
      <c r="X139" s="80"/>
      <c r="Y139" s="81"/>
      <c r="Z139" s="80"/>
      <c r="AA139" s="80"/>
      <c r="AB139" s="80"/>
      <c r="AC139" s="80"/>
      <c r="AD139" s="81"/>
      <c r="AE139" s="80"/>
      <c r="AF139" s="80"/>
      <c r="AG139" s="81"/>
      <c r="AH139" s="79"/>
      <c r="AI139" s="78" t="n">
        <f aca="false">IF(E139="","",(V139&lt;&gt;"")+(AA139&lt;&gt;"")+(AF139&lt;&gt;""))</f>
        <v>1</v>
      </c>
      <c r="AJ139" s="82" t="str">
        <f aca="false">IF(AF139&lt;&gt;"",AF139,IF(AA139&lt;&gt;"",AA139,IF(V139&lt;&gt;"",V139,"")))</f>
        <v>A</v>
      </c>
      <c r="AK139" s="83" t="str">
        <f aca="false">IF(E139="","",IF(P139="","À SOUDER",IF(S139="","VT EN ATTENTE",IF(S139="R","VT REJETÉ – À REPRENDRE",IF(AJ139="","À RADIOGRAPHIER",IF(AJ139="A","ACCEPTÉ",IF(AJ139="NX","NX – RT À REFAIRE",IF(IF(AI139=1,X139,IF(AI139=2,AC139,""))="A","RÉPARÉ – À RADIOGRAPHIER",IF(IF(AI139=1,X139,IF(AI139=2,AC139,""))="R","VT REJETÉ – À REPRENDRE",IF(AJ139="CO","COUPE – À RESOUDER","À RÉPARER"))))))))))</f>
        <v>ACCEPTÉ</v>
      </c>
      <c r="AL139" s="82" t="str">
        <f aca="false">IF(AND(ISNUMBER(P139),OR(AK139="À RADIOGRAPHIER",AK139="RÉPARÉ – À RADIOGRAPHIER",AK139="NX – RT À REFAIRE",AK139="À RÉPARER",AK139="COUPE – À RESOUDER",AK139="VT REJETÉ – À REPRENDRE")),MAX(0,'PROGRAMME RT'!$C$4-P139),"")</f>
        <v/>
      </c>
      <c r="AM139" s="78" t="n">
        <f aca="false">IF(AND(OR(AK139="À RADIOGRAPHIER",AK139="RÉPARÉ – À RADIOGRAPHIER",AK139="NX – RT À REFAIRE"),OR('PROGRAMME RT'!$D$5="TOUTES",B139='PROGRAMME RT'!$D$5)),1,0)</f>
        <v>0</v>
      </c>
      <c r="AN139" s="78" t="str">
        <f aca="false">IF(AM139=1,SUM(AM$7:AM139),"")</f>
        <v/>
      </c>
      <c r="AO139" s="78" t="n">
        <f aca="false">IF(AND(OR(AK139="À RÉPARER",AK139="COUPE – À RESOUDER",AK139="VT REJETÉ – À REPRENDRE"),OR(RÉPARATIONS!$D$5="TOUTES",B139=RÉPARATIONS!$D$5)),1,0)</f>
        <v>0</v>
      </c>
      <c r="AP139" s="78" t="str">
        <f aca="false">IF(AO139=1,SUM(AO$7:AO139),"")</f>
        <v/>
      </c>
    </row>
    <row r="140" customFormat="false" ht="15" hidden="false" customHeight="false" outlineLevel="0" collapsed="false">
      <c r="A140" s="78" t="n">
        <f aca="false">IF(E140="","",ROW()-6)</f>
        <v>134</v>
      </c>
      <c r="B140" s="79" t="s">
        <v>100</v>
      </c>
      <c r="C140" s="80" t="s">
        <v>229</v>
      </c>
      <c r="D140" s="80" t="s">
        <v>316</v>
      </c>
      <c r="E140" s="80" t="s">
        <v>416</v>
      </c>
      <c r="F140" s="80" t="s">
        <v>149</v>
      </c>
      <c r="G140" s="80" t="s">
        <v>104</v>
      </c>
      <c r="H140" s="80" t="n">
        <v>11</v>
      </c>
      <c r="I140" s="80" t="s">
        <v>112</v>
      </c>
      <c r="J140" s="80" t="s">
        <v>130</v>
      </c>
      <c r="K140" s="80" t="s">
        <v>415</v>
      </c>
      <c r="L140" s="80" t="s">
        <v>417</v>
      </c>
      <c r="M140" s="80" t="s">
        <v>139</v>
      </c>
      <c r="N140" s="80" t="s">
        <v>139</v>
      </c>
      <c r="O140" s="80" t="s">
        <v>132</v>
      </c>
      <c r="P140" s="81" t="n">
        <v>45886</v>
      </c>
      <c r="Q140" s="81" t="n">
        <v>45886</v>
      </c>
      <c r="R140" s="80" t="s">
        <v>418</v>
      </c>
      <c r="S140" s="80" t="s">
        <v>103</v>
      </c>
      <c r="T140" s="81" t="n">
        <v>45895</v>
      </c>
      <c r="U140" s="80" t="s">
        <v>397</v>
      </c>
      <c r="V140" s="80" t="s">
        <v>103</v>
      </c>
      <c r="W140" s="80"/>
      <c r="X140" s="80"/>
      <c r="Y140" s="81"/>
      <c r="Z140" s="80"/>
      <c r="AA140" s="80"/>
      <c r="AB140" s="80"/>
      <c r="AC140" s="80"/>
      <c r="AD140" s="81"/>
      <c r="AE140" s="80"/>
      <c r="AF140" s="80"/>
      <c r="AG140" s="81"/>
      <c r="AH140" s="79"/>
      <c r="AI140" s="78" t="n">
        <f aca="false">IF(E140="","",(V140&lt;&gt;"")+(AA140&lt;&gt;"")+(AF140&lt;&gt;""))</f>
        <v>1</v>
      </c>
      <c r="AJ140" s="82" t="str">
        <f aca="false">IF(AF140&lt;&gt;"",AF140,IF(AA140&lt;&gt;"",AA140,IF(V140&lt;&gt;"",V140,"")))</f>
        <v>A</v>
      </c>
      <c r="AK140" s="83" t="str">
        <f aca="false">IF(E140="","",IF(P140="","À SOUDER",IF(S140="","VT EN ATTENTE",IF(S140="R","VT REJETÉ – À REPRENDRE",IF(AJ140="","À RADIOGRAPHIER",IF(AJ140="A","ACCEPTÉ",IF(AJ140="NX","NX – RT À REFAIRE",IF(IF(AI140=1,X140,IF(AI140=2,AC140,""))="A","RÉPARÉ – À RADIOGRAPHIER",IF(IF(AI140=1,X140,IF(AI140=2,AC140,""))="R","VT REJETÉ – À REPRENDRE",IF(AJ140="CO","COUPE – À RESOUDER","À RÉPARER"))))))))))</f>
        <v>ACCEPTÉ</v>
      </c>
      <c r="AL140" s="82" t="str">
        <f aca="false">IF(AND(ISNUMBER(P140),OR(AK140="À RADIOGRAPHIER",AK140="RÉPARÉ – À RADIOGRAPHIER",AK140="NX – RT À REFAIRE",AK140="À RÉPARER",AK140="COUPE – À RESOUDER",AK140="VT REJETÉ – À REPRENDRE")),MAX(0,'PROGRAMME RT'!$C$4-P140),"")</f>
        <v/>
      </c>
      <c r="AM140" s="78" t="n">
        <f aca="false">IF(AND(OR(AK140="À RADIOGRAPHIER",AK140="RÉPARÉ – À RADIOGRAPHIER",AK140="NX – RT À REFAIRE"),OR('PROGRAMME RT'!$D$5="TOUTES",B140='PROGRAMME RT'!$D$5)),1,0)</f>
        <v>0</v>
      </c>
      <c r="AN140" s="78" t="str">
        <f aca="false">IF(AM140=1,SUM(AM$7:AM140),"")</f>
        <v/>
      </c>
      <c r="AO140" s="78" t="n">
        <f aca="false">IF(AND(OR(AK140="À RÉPARER",AK140="COUPE – À RESOUDER",AK140="VT REJETÉ – À REPRENDRE"),OR(RÉPARATIONS!$D$5="TOUTES",B140=RÉPARATIONS!$D$5)),1,0)</f>
        <v>0</v>
      </c>
      <c r="AP140" s="78" t="str">
        <f aca="false">IF(AO140=1,SUM(AO$7:AO140),"")</f>
        <v/>
      </c>
    </row>
    <row r="141" customFormat="false" ht="15" hidden="false" customHeight="false" outlineLevel="0" collapsed="false">
      <c r="A141" s="78" t="n">
        <f aca="false">IF(E141="","",ROW()-6)</f>
        <v>135</v>
      </c>
      <c r="B141" s="79" t="s">
        <v>100</v>
      </c>
      <c r="C141" s="80" t="s">
        <v>229</v>
      </c>
      <c r="D141" s="80" t="s">
        <v>316</v>
      </c>
      <c r="E141" s="80" t="s">
        <v>419</v>
      </c>
      <c r="F141" s="80" t="s">
        <v>149</v>
      </c>
      <c r="G141" s="80" t="s">
        <v>104</v>
      </c>
      <c r="H141" s="80" t="n">
        <v>11</v>
      </c>
      <c r="I141" s="80" t="s">
        <v>112</v>
      </c>
      <c r="J141" s="80" t="s">
        <v>130</v>
      </c>
      <c r="K141" s="80" t="s">
        <v>417</v>
      </c>
      <c r="L141" s="80" t="s">
        <v>420</v>
      </c>
      <c r="M141" s="80" t="s">
        <v>139</v>
      </c>
      <c r="N141" s="80" t="s">
        <v>139</v>
      </c>
      <c r="O141" s="80" t="s">
        <v>123</v>
      </c>
      <c r="P141" s="81" t="n">
        <v>45886</v>
      </c>
      <c r="Q141" s="81" t="n">
        <v>45886</v>
      </c>
      <c r="R141" s="80" t="s">
        <v>418</v>
      </c>
      <c r="S141" s="80" t="s">
        <v>103</v>
      </c>
      <c r="T141" s="81" t="n">
        <v>45895</v>
      </c>
      <c r="U141" s="80" t="s">
        <v>397</v>
      </c>
      <c r="V141" s="80" t="s">
        <v>103</v>
      </c>
      <c r="W141" s="80"/>
      <c r="X141" s="80"/>
      <c r="Y141" s="81"/>
      <c r="Z141" s="80"/>
      <c r="AA141" s="80"/>
      <c r="AB141" s="80"/>
      <c r="AC141" s="80"/>
      <c r="AD141" s="81"/>
      <c r="AE141" s="80"/>
      <c r="AF141" s="80"/>
      <c r="AG141" s="81"/>
      <c r="AH141" s="79"/>
      <c r="AI141" s="78" t="n">
        <f aca="false">IF(E141="","",(V141&lt;&gt;"")+(AA141&lt;&gt;"")+(AF141&lt;&gt;""))</f>
        <v>1</v>
      </c>
      <c r="AJ141" s="82" t="str">
        <f aca="false">IF(AF141&lt;&gt;"",AF141,IF(AA141&lt;&gt;"",AA141,IF(V141&lt;&gt;"",V141,"")))</f>
        <v>A</v>
      </c>
      <c r="AK141" s="83" t="str">
        <f aca="false">IF(E141="","",IF(P141="","À SOUDER",IF(S141="","VT EN ATTENTE",IF(S141="R","VT REJETÉ – À REPRENDRE",IF(AJ141="","À RADIOGRAPHIER",IF(AJ141="A","ACCEPTÉ",IF(AJ141="NX","NX – RT À REFAIRE",IF(IF(AI141=1,X141,IF(AI141=2,AC141,""))="A","RÉPARÉ – À RADIOGRAPHIER",IF(IF(AI141=1,X141,IF(AI141=2,AC141,""))="R","VT REJETÉ – À REPRENDRE",IF(AJ141="CO","COUPE – À RESOUDER","À RÉPARER"))))))))))</f>
        <v>ACCEPTÉ</v>
      </c>
      <c r="AL141" s="82" t="str">
        <f aca="false">IF(AND(ISNUMBER(P141),OR(AK141="À RADIOGRAPHIER",AK141="RÉPARÉ – À RADIOGRAPHIER",AK141="NX – RT À REFAIRE",AK141="À RÉPARER",AK141="COUPE – À RESOUDER",AK141="VT REJETÉ – À REPRENDRE")),MAX(0,'PROGRAMME RT'!$C$4-P141),"")</f>
        <v/>
      </c>
      <c r="AM141" s="78" t="n">
        <f aca="false">IF(AND(OR(AK141="À RADIOGRAPHIER",AK141="RÉPARÉ – À RADIOGRAPHIER",AK141="NX – RT À REFAIRE"),OR('PROGRAMME RT'!$D$5="TOUTES",B141='PROGRAMME RT'!$D$5)),1,0)</f>
        <v>0</v>
      </c>
      <c r="AN141" s="78" t="str">
        <f aca="false">IF(AM141=1,SUM(AM$7:AM141),"")</f>
        <v/>
      </c>
      <c r="AO141" s="78" t="n">
        <f aca="false">IF(AND(OR(AK141="À RÉPARER",AK141="COUPE – À RESOUDER",AK141="VT REJETÉ – À REPRENDRE"),OR(RÉPARATIONS!$D$5="TOUTES",B141=RÉPARATIONS!$D$5)),1,0)</f>
        <v>0</v>
      </c>
      <c r="AP141" s="78" t="str">
        <f aca="false">IF(AO141=1,SUM(AO$7:AO141),"")</f>
        <v/>
      </c>
    </row>
    <row r="142" customFormat="false" ht="15" hidden="false" customHeight="false" outlineLevel="0" collapsed="false">
      <c r="A142" s="78" t="n">
        <f aca="false">IF(E142="","",ROW()-6)</f>
        <v>136</v>
      </c>
      <c r="B142" s="79" t="s">
        <v>100</v>
      </c>
      <c r="C142" s="80" t="s">
        <v>229</v>
      </c>
      <c r="D142" s="80" t="s">
        <v>316</v>
      </c>
      <c r="E142" s="80" t="s">
        <v>421</v>
      </c>
      <c r="F142" s="80" t="s">
        <v>149</v>
      </c>
      <c r="G142" s="80" t="s">
        <v>104</v>
      </c>
      <c r="H142" s="80" t="n">
        <v>11</v>
      </c>
      <c r="I142" s="80" t="s">
        <v>112</v>
      </c>
      <c r="J142" s="80" t="s">
        <v>130</v>
      </c>
      <c r="K142" s="80" t="s">
        <v>420</v>
      </c>
      <c r="L142" s="80" t="s">
        <v>422</v>
      </c>
      <c r="M142" s="80" t="s">
        <v>139</v>
      </c>
      <c r="N142" s="80" t="s">
        <v>139</v>
      </c>
      <c r="O142" s="80" t="s">
        <v>123</v>
      </c>
      <c r="P142" s="81" t="n">
        <v>45886</v>
      </c>
      <c r="Q142" s="81" t="n">
        <v>45886</v>
      </c>
      <c r="R142" s="80" t="s">
        <v>418</v>
      </c>
      <c r="S142" s="80" t="s">
        <v>103</v>
      </c>
      <c r="T142" s="81" t="n">
        <v>45895</v>
      </c>
      <c r="U142" s="80" t="s">
        <v>397</v>
      </c>
      <c r="V142" s="80" t="s">
        <v>103</v>
      </c>
      <c r="W142" s="80"/>
      <c r="X142" s="80"/>
      <c r="Y142" s="81"/>
      <c r="Z142" s="80"/>
      <c r="AA142" s="80"/>
      <c r="AB142" s="80"/>
      <c r="AC142" s="80"/>
      <c r="AD142" s="81"/>
      <c r="AE142" s="80"/>
      <c r="AF142" s="80"/>
      <c r="AG142" s="81"/>
      <c r="AH142" s="79"/>
      <c r="AI142" s="78" t="n">
        <f aca="false">IF(E142="","",(V142&lt;&gt;"")+(AA142&lt;&gt;"")+(AF142&lt;&gt;""))</f>
        <v>1</v>
      </c>
      <c r="AJ142" s="82" t="str">
        <f aca="false">IF(AF142&lt;&gt;"",AF142,IF(AA142&lt;&gt;"",AA142,IF(V142&lt;&gt;"",V142,"")))</f>
        <v>A</v>
      </c>
      <c r="AK142" s="83" t="str">
        <f aca="false">IF(E142="","",IF(P142="","À SOUDER",IF(S142="","VT EN ATTENTE",IF(S142="R","VT REJETÉ – À REPRENDRE",IF(AJ142="","À RADIOGRAPHIER",IF(AJ142="A","ACCEPTÉ",IF(AJ142="NX","NX – RT À REFAIRE",IF(IF(AI142=1,X142,IF(AI142=2,AC142,""))="A","RÉPARÉ – À RADIOGRAPHIER",IF(IF(AI142=1,X142,IF(AI142=2,AC142,""))="R","VT REJETÉ – À REPRENDRE",IF(AJ142="CO","COUPE – À RESOUDER","À RÉPARER"))))))))))</f>
        <v>ACCEPTÉ</v>
      </c>
      <c r="AL142" s="82" t="str">
        <f aca="false">IF(AND(ISNUMBER(P142),OR(AK142="À RADIOGRAPHIER",AK142="RÉPARÉ – À RADIOGRAPHIER",AK142="NX – RT À REFAIRE",AK142="À RÉPARER",AK142="COUPE – À RESOUDER",AK142="VT REJETÉ – À REPRENDRE")),MAX(0,'PROGRAMME RT'!$C$4-P142),"")</f>
        <v/>
      </c>
      <c r="AM142" s="78" t="n">
        <f aca="false">IF(AND(OR(AK142="À RADIOGRAPHIER",AK142="RÉPARÉ – À RADIOGRAPHIER",AK142="NX – RT À REFAIRE"),OR('PROGRAMME RT'!$D$5="TOUTES",B142='PROGRAMME RT'!$D$5)),1,0)</f>
        <v>0</v>
      </c>
      <c r="AN142" s="78" t="str">
        <f aca="false">IF(AM142=1,SUM(AM$7:AM142),"")</f>
        <v/>
      </c>
      <c r="AO142" s="78" t="n">
        <f aca="false">IF(AND(OR(AK142="À RÉPARER",AK142="COUPE – À RESOUDER",AK142="VT REJETÉ – À REPRENDRE"),OR(RÉPARATIONS!$D$5="TOUTES",B142=RÉPARATIONS!$D$5)),1,0)</f>
        <v>0</v>
      </c>
      <c r="AP142" s="78" t="str">
        <f aca="false">IF(AO142=1,SUM(AO$7:AO142),"")</f>
        <v/>
      </c>
    </row>
    <row r="143" customFormat="false" ht="15" hidden="false" customHeight="false" outlineLevel="0" collapsed="false">
      <c r="A143" s="78" t="n">
        <f aca="false">IF(E143="","",ROW()-6)</f>
        <v>137</v>
      </c>
      <c r="B143" s="79" t="s">
        <v>100</v>
      </c>
      <c r="C143" s="80"/>
      <c r="D143" s="80" t="s">
        <v>316</v>
      </c>
      <c r="E143" s="80" t="s">
        <v>423</v>
      </c>
      <c r="F143" s="80" t="s">
        <v>149</v>
      </c>
      <c r="G143" s="80" t="s">
        <v>104</v>
      </c>
      <c r="H143" s="80" t="n">
        <v>11</v>
      </c>
      <c r="I143" s="80" t="s">
        <v>112</v>
      </c>
      <c r="J143" s="80" t="s">
        <v>113</v>
      </c>
      <c r="K143" s="80" t="s">
        <v>422</v>
      </c>
      <c r="L143" s="80" t="s">
        <v>424</v>
      </c>
      <c r="M143" s="80" t="s">
        <v>123</v>
      </c>
      <c r="N143" s="80" t="s">
        <v>123</v>
      </c>
      <c r="O143" s="80" t="s">
        <v>123</v>
      </c>
      <c r="P143" s="81" t="n">
        <v>45911</v>
      </c>
      <c r="Q143" s="81" t="n">
        <v>45911</v>
      </c>
      <c r="R143" s="80" t="s">
        <v>425</v>
      </c>
      <c r="S143" s="80" t="s">
        <v>103</v>
      </c>
      <c r="T143" s="81"/>
      <c r="U143" s="80"/>
      <c r="V143" s="80"/>
      <c r="W143" s="80"/>
      <c r="X143" s="80"/>
      <c r="Y143" s="81"/>
      <c r="Z143" s="80"/>
      <c r="AA143" s="80"/>
      <c r="AB143" s="80"/>
      <c r="AC143" s="80"/>
      <c r="AD143" s="81"/>
      <c r="AE143" s="80"/>
      <c r="AF143" s="80"/>
      <c r="AG143" s="81"/>
      <c r="AH143" s="79"/>
      <c r="AI143" s="78" t="n">
        <f aca="false">IF(E143="","",(V143&lt;&gt;"")+(AA143&lt;&gt;"")+(AF143&lt;&gt;""))</f>
        <v>0</v>
      </c>
      <c r="AJ143" s="82" t="str">
        <f aca="false">IF(AF143&lt;&gt;"",AF143,IF(AA143&lt;&gt;"",AA143,IF(V143&lt;&gt;"",V143,"")))</f>
        <v/>
      </c>
      <c r="AK143" s="83" t="str">
        <f aca="false">IF(E143="","",IF(P143="","À SOUDER",IF(S143="","VT EN ATTENTE",IF(S143="R","VT REJETÉ – À REPRENDRE",IF(AJ143="","À RADIOGRAPHIER",IF(AJ143="A","ACCEPTÉ",IF(AJ143="NX","NX – RT À REFAIRE",IF(IF(AI143=1,X143,IF(AI143=2,AC143,""))="A","RÉPARÉ – À RADIOGRAPHIER",IF(IF(AI143=1,X143,IF(AI143=2,AC143,""))="R","VT REJETÉ – À REPRENDRE",IF(AJ143="CO","COUPE – À RESOUDER","À RÉPARER"))))))))))</f>
        <v>À RADIOGRAPHIER</v>
      </c>
      <c r="AL143" s="82" t="n">
        <f aca="false">IF(AND(ISNUMBER(P143),OR(AK143="À RADIOGRAPHIER",AK143="RÉPARÉ – À RADIOGRAPHIER",AK143="NX – RT À REFAIRE",AK143="À RÉPARER",AK143="COUPE – À RESOUDER",AK143="VT REJETÉ – À REPRENDRE")),MAX(0,'PROGRAMME RT'!$C$4-P143),"")</f>
        <v>380</v>
      </c>
      <c r="AM143" s="78" t="n">
        <f aca="false">IF(AND(OR(AK143="À RADIOGRAPHIER",AK143="RÉPARÉ – À RADIOGRAPHIER",AK143="NX – RT À REFAIRE"),OR('PROGRAMME RT'!$D$5="TOUTES",B143='PROGRAMME RT'!$D$5)),1,0)</f>
        <v>1</v>
      </c>
      <c r="AN143" s="78" t="n">
        <f aca="false">IF(AM143=1,SUM(AM$7:AM143),"")</f>
        <v>2</v>
      </c>
      <c r="AO143" s="78" t="n">
        <f aca="false">IF(AND(OR(AK143="À RÉPARER",AK143="COUPE – À RESOUDER",AK143="VT REJETÉ – À REPRENDRE"),OR(RÉPARATIONS!$D$5="TOUTES",B143=RÉPARATIONS!$D$5)),1,0)</f>
        <v>0</v>
      </c>
      <c r="AP143" s="78" t="str">
        <f aca="false">IF(AO143=1,SUM(AO$7:AO143),"")</f>
        <v/>
      </c>
    </row>
    <row r="144" customFormat="false" ht="15" hidden="false" customHeight="false" outlineLevel="0" collapsed="false">
      <c r="A144" s="78" t="n">
        <f aca="false">IF(E144="","",ROW()-6)</f>
        <v>138</v>
      </c>
      <c r="B144" s="79" t="s">
        <v>100</v>
      </c>
      <c r="C144" s="80" t="s">
        <v>426</v>
      </c>
      <c r="D144" s="80" t="s">
        <v>316</v>
      </c>
      <c r="E144" s="80" t="s">
        <v>427</v>
      </c>
      <c r="F144" s="80" t="s">
        <v>103</v>
      </c>
      <c r="G144" s="80" t="s">
        <v>104</v>
      </c>
      <c r="H144" s="80" t="n">
        <v>11</v>
      </c>
      <c r="I144" s="80" t="s">
        <v>112</v>
      </c>
      <c r="J144" s="80" t="s">
        <v>113</v>
      </c>
      <c r="K144" s="80" t="s">
        <v>424</v>
      </c>
      <c r="L144" s="80" t="s">
        <v>428</v>
      </c>
      <c r="M144" s="80" t="s">
        <v>202</v>
      </c>
      <c r="N144" s="80" t="s">
        <v>202</v>
      </c>
      <c r="O144" s="80" t="s">
        <v>202</v>
      </c>
      <c r="P144" s="81" t="n">
        <v>45890</v>
      </c>
      <c r="Q144" s="81" t="n">
        <v>45890</v>
      </c>
      <c r="R144" s="80" t="s">
        <v>429</v>
      </c>
      <c r="S144" s="80" t="s">
        <v>103</v>
      </c>
      <c r="T144" s="81" t="n">
        <v>45895</v>
      </c>
      <c r="U144" s="80" t="s">
        <v>430</v>
      </c>
      <c r="V144" s="80" t="s">
        <v>103</v>
      </c>
      <c r="W144" s="80"/>
      <c r="X144" s="80"/>
      <c r="Y144" s="81"/>
      <c r="Z144" s="80"/>
      <c r="AA144" s="80"/>
      <c r="AB144" s="80"/>
      <c r="AC144" s="80"/>
      <c r="AD144" s="81"/>
      <c r="AE144" s="80"/>
      <c r="AF144" s="80"/>
      <c r="AG144" s="81"/>
      <c r="AH144" s="79"/>
      <c r="AI144" s="78" t="n">
        <f aca="false">IF(E144="","",(V144&lt;&gt;"")+(AA144&lt;&gt;"")+(AF144&lt;&gt;""))</f>
        <v>1</v>
      </c>
      <c r="AJ144" s="82" t="str">
        <f aca="false">IF(AF144&lt;&gt;"",AF144,IF(AA144&lt;&gt;"",AA144,IF(V144&lt;&gt;"",V144,"")))</f>
        <v>A</v>
      </c>
      <c r="AK144" s="83" t="str">
        <f aca="false">IF(E144="","",IF(P144="","À SOUDER",IF(S144="","VT EN ATTENTE",IF(S144="R","VT REJETÉ – À REPRENDRE",IF(AJ144="","À RADIOGRAPHIER",IF(AJ144="A","ACCEPTÉ",IF(AJ144="NX","NX – RT À REFAIRE",IF(IF(AI144=1,X144,IF(AI144=2,AC144,""))="A","RÉPARÉ – À RADIOGRAPHIER",IF(IF(AI144=1,X144,IF(AI144=2,AC144,""))="R","VT REJETÉ – À REPRENDRE",IF(AJ144="CO","COUPE – À RESOUDER","À RÉPARER"))))))))))</f>
        <v>ACCEPTÉ</v>
      </c>
      <c r="AL144" s="82" t="str">
        <f aca="false">IF(AND(ISNUMBER(P144),OR(AK144="À RADIOGRAPHIER",AK144="RÉPARÉ – À RADIOGRAPHIER",AK144="NX – RT À REFAIRE",AK144="À RÉPARER",AK144="COUPE – À RESOUDER",AK144="VT REJETÉ – À REPRENDRE")),MAX(0,'PROGRAMME RT'!$C$4-P144),"")</f>
        <v/>
      </c>
      <c r="AM144" s="78" t="n">
        <f aca="false">IF(AND(OR(AK144="À RADIOGRAPHIER",AK144="RÉPARÉ – À RADIOGRAPHIER",AK144="NX – RT À REFAIRE"),OR('PROGRAMME RT'!$D$5="TOUTES",B144='PROGRAMME RT'!$D$5)),1,0)</f>
        <v>0</v>
      </c>
      <c r="AN144" s="78" t="str">
        <f aca="false">IF(AM144=1,SUM(AM$7:AM144),"")</f>
        <v/>
      </c>
      <c r="AO144" s="78" t="n">
        <f aca="false">IF(AND(OR(AK144="À RÉPARER",AK144="COUPE – À RESOUDER",AK144="VT REJETÉ – À REPRENDRE"),OR(RÉPARATIONS!$D$5="TOUTES",B144=RÉPARATIONS!$D$5)),1,0)</f>
        <v>0</v>
      </c>
      <c r="AP144" s="78" t="str">
        <f aca="false">IF(AO144=1,SUM(AO$7:AO144),"")</f>
        <v/>
      </c>
    </row>
    <row r="145" customFormat="false" ht="15" hidden="false" customHeight="false" outlineLevel="0" collapsed="false">
      <c r="A145" s="78" t="n">
        <f aca="false">IF(E145="","",ROW()-6)</f>
        <v>139</v>
      </c>
      <c r="B145" s="79" t="s">
        <v>100</v>
      </c>
      <c r="C145" s="80" t="s">
        <v>426</v>
      </c>
      <c r="D145" s="80" t="s">
        <v>316</v>
      </c>
      <c r="E145" s="80" t="s">
        <v>431</v>
      </c>
      <c r="F145" s="80" t="s">
        <v>103</v>
      </c>
      <c r="G145" s="80" t="s">
        <v>104</v>
      </c>
      <c r="H145" s="80" t="n">
        <v>11</v>
      </c>
      <c r="I145" s="80" t="s">
        <v>112</v>
      </c>
      <c r="J145" s="80" t="s">
        <v>113</v>
      </c>
      <c r="K145" s="80" t="s">
        <v>428</v>
      </c>
      <c r="L145" s="80" t="s">
        <v>432</v>
      </c>
      <c r="M145" s="80" t="s">
        <v>202</v>
      </c>
      <c r="N145" s="80" t="s">
        <v>202</v>
      </c>
      <c r="O145" s="80" t="s">
        <v>115</v>
      </c>
      <c r="P145" s="81" t="n">
        <v>45890</v>
      </c>
      <c r="Q145" s="81" t="n">
        <v>45890</v>
      </c>
      <c r="R145" s="80" t="s">
        <v>429</v>
      </c>
      <c r="S145" s="80" t="s">
        <v>103</v>
      </c>
      <c r="T145" s="81" t="n">
        <v>45895</v>
      </c>
      <c r="U145" s="80" t="s">
        <v>430</v>
      </c>
      <c r="V145" s="80" t="s">
        <v>103</v>
      </c>
      <c r="W145" s="80"/>
      <c r="X145" s="80"/>
      <c r="Y145" s="81"/>
      <c r="Z145" s="80"/>
      <c r="AA145" s="80"/>
      <c r="AB145" s="80"/>
      <c r="AC145" s="80"/>
      <c r="AD145" s="81"/>
      <c r="AE145" s="80"/>
      <c r="AF145" s="80"/>
      <c r="AG145" s="81"/>
      <c r="AH145" s="79"/>
      <c r="AI145" s="78" t="n">
        <f aca="false">IF(E145="","",(V145&lt;&gt;"")+(AA145&lt;&gt;"")+(AF145&lt;&gt;""))</f>
        <v>1</v>
      </c>
      <c r="AJ145" s="82" t="str">
        <f aca="false">IF(AF145&lt;&gt;"",AF145,IF(AA145&lt;&gt;"",AA145,IF(V145&lt;&gt;"",V145,"")))</f>
        <v>A</v>
      </c>
      <c r="AK145" s="83" t="str">
        <f aca="false">IF(E145="","",IF(P145="","À SOUDER",IF(S145="","VT EN ATTENTE",IF(S145="R","VT REJETÉ – À REPRENDRE",IF(AJ145="","À RADIOGRAPHIER",IF(AJ145="A","ACCEPTÉ",IF(AJ145="NX","NX – RT À REFAIRE",IF(IF(AI145=1,X145,IF(AI145=2,AC145,""))="A","RÉPARÉ – À RADIOGRAPHIER",IF(IF(AI145=1,X145,IF(AI145=2,AC145,""))="R","VT REJETÉ – À REPRENDRE",IF(AJ145="CO","COUPE – À RESOUDER","À RÉPARER"))))))))))</f>
        <v>ACCEPTÉ</v>
      </c>
      <c r="AL145" s="82" t="str">
        <f aca="false">IF(AND(ISNUMBER(P145),OR(AK145="À RADIOGRAPHIER",AK145="RÉPARÉ – À RADIOGRAPHIER",AK145="NX – RT À REFAIRE",AK145="À RÉPARER",AK145="COUPE – À RESOUDER",AK145="VT REJETÉ – À REPRENDRE")),MAX(0,'PROGRAMME RT'!$C$4-P145),"")</f>
        <v/>
      </c>
      <c r="AM145" s="78" t="n">
        <f aca="false">IF(AND(OR(AK145="À RADIOGRAPHIER",AK145="RÉPARÉ – À RADIOGRAPHIER",AK145="NX – RT À REFAIRE"),OR('PROGRAMME RT'!$D$5="TOUTES",B145='PROGRAMME RT'!$D$5)),1,0)</f>
        <v>0</v>
      </c>
      <c r="AN145" s="78" t="str">
        <f aca="false">IF(AM145=1,SUM(AM$7:AM145),"")</f>
        <v/>
      </c>
      <c r="AO145" s="78" t="n">
        <f aca="false">IF(AND(OR(AK145="À RÉPARER",AK145="COUPE – À RESOUDER",AK145="VT REJETÉ – À REPRENDRE"),OR(RÉPARATIONS!$D$5="TOUTES",B145=RÉPARATIONS!$D$5)),1,0)</f>
        <v>0</v>
      </c>
      <c r="AP145" s="78" t="str">
        <f aca="false">IF(AO145=1,SUM(AO$7:AO145),"")</f>
        <v/>
      </c>
    </row>
    <row r="146" customFormat="false" ht="15" hidden="false" customHeight="false" outlineLevel="0" collapsed="false">
      <c r="A146" s="78" t="n">
        <f aca="false">IF(E146="","",ROW()-6)</f>
        <v>140</v>
      </c>
      <c r="B146" s="79" t="s">
        <v>100</v>
      </c>
      <c r="C146" s="80" t="s">
        <v>426</v>
      </c>
      <c r="D146" s="80" t="s">
        <v>316</v>
      </c>
      <c r="E146" s="80" t="s">
        <v>433</v>
      </c>
      <c r="F146" s="80" t="s">
        <v>103</v>
      </c>
      <c r="G146" s="80" t="s">
        <v>104</v>
      </c>
      <c r="H146" s="80" t="n">
        <v>11</v>
      </c>
      <c r="I146" s="80" t="s">
        <v>112</v>
      </c>
      <c r="J146" s="80" t="s">
        <v>113</v>
      </c>
      <c r="K146" s="80" t="s">
        <v>432</v>
      </c>
      <c r="L146" s="80" t="s">
        <v>434</v>
      </c>
      <c r="M146" s="80" t="s">
        <v>202</v>
      </c>
      <c r="N146" s="80" t="s">
        <v>202</v>
      </c>
      <c r="O146" s="80" t="s">
        <v>115</v>
      </c>
      <c r="P146" s="81" t="n">
        <v>45890</v>
      </c>
      <c r="Q146" s="81" t="n">
        <v>45890</v>
      </c>
      <c r="R146" s="80" t="s">
        <v>429</v>
      </c>
      <c r="S146" s="80" t="s">
        <v>103</v>
      </c>
      <c r="T146" s="81" t="n">
        <v>45895</v>
      </c>
      <c r="U146" s="80" t="s">
        <v>430</v>
      </c>
      <c r="V146" s="80" t="s">
        <v>103</v>
      </c>
      <c r="W146" s="80"/>
      <c r="X146" s="80"/>
      <c r="Y146" s="81"/>
      <c r="Z146" s="80"/>
      <c r="AA146" s="80"/>
      <c r="AB146" s="80"/>
      <c r="AC146" s="80"/>
      <c r="AD146" s="81"/>
      <c r="AE146" s="80"/>
      <c r="AF146" s="80"/>
      <c r="AG146" s="81"/>
      <c r="AH146" s="79"/>
      <c r="AI146" s="78" t="n">
        <f aca="false">IF(E146="","",(V146&lt;&gt;"")+(AA146&lt;&gt;"")+(AF146&lt;&gt;""))</f>
        <v>1</v>
      </c>
      <c r="AJ146" s="82" t="str">
        <f aca="false">IF(AF146&lt;&gt;"",AF146,IF(AA146&lt;&gt;"",AA146,IF(V146&lt;&gt;"",V146,"")))</f>
        <v>A</v>
      </c>
      <c r="AK146" s="83" t="str">
        <f aca="false">IF(E146="","",IF(P146="","À SOUDER",IF(S146="","VT EN ATTENTE",IF(S146="R","VT REJETÉ – À REPRENDRE",IF(AJ146="","À RADIOGRAPHIER",IF(AJ146="A","ACCEPTÉ",IF(AJ146="NX","NX – RT À REFAIRE",IF(IF(AI146=1,X146,IF(AI146=2,AC146,""))="A","RÉPARÉ – À RADIOGRAPHIER",IF(IF(AI146=1,X146,IF(AI146=2,AC146,""))="R","VT REJETÉ – À REPRENDRE",IF(AJ146="CO","COUPE – À RESOUDER","À RÉPARER"))))))))))</f>
        <v>ACCEPTÉ</v>
      </c>
      <c r="AL146" s="82" t="str">
        <f aca="false">IF(AND(ISNUMBER(P146),OR(AK146="À RADIOGRAPHIER",AK146="RÉPARÉ – À RADIOGRAPHIER",AK146="NX – RT À REFAIRE",AK146="À RÉPARER",AK146="COUPE – À RESOUDER",AK146="VT REJETÉ – À REPRENDRE")),MAX(0,'PROGRAMME RT'!$C$4-P146),"")</f>
        <v/>
      </c>
      <c r="AM146" s="78" t="n">
        <f aca="false">IF(AND(OR(AK146="À RADIOGRAPHIER",AK146="RÉPARÉ – À RADIOGRAPHIER",AK146="NX – RT À REFAIRE"),OR('PROGRAMME RT'!$D$5="TOUTES",B146='PROGRAMME RT'!$D$5)),1,0)</f>
        <v>0</v>
      </c>
      <c r="AN146" s="78" t="str">
        <f aca="false">IF(AM146=1,SUM(AM$7:AM146),"")</f>
        <v/>
      </c>
      <c r="AO146" s="78" t="n">
        <f aca="false">IF(AND(OR(AK146="À RÉPARER",AK146="COUPE – À RESOUDER",AK146="VT REJETÉ – À REPRENDRE"),OR(RÉPARATIONS!$D$5="TOUTES",B146=RÉPARATIONS!$D$5)),1,0)</f>
        <v>0</v>
      </c>
      <c r="AP146" s="78" t="str">
        <f aca="false">IF(AO146=1,SUM(AO$7:AO146),"")</f>
        <v/>
      </c>
    </row>
    <row r="147" customFormat="false" ht="15" hidden="false" customHeight="false" outlineLevel="0" collapsed="false">
      <c r="A147" s="78" t="n">
        <f aca="false">IF(E147="","",ROW()-6)</f>
        <v>141</v>
      </c>
      <c r="B147" s="79" t="s">
        <v>100</v>
      </c>
      <c r="C147" s="80"/>
      <c r="D147" s="80" t="s">
        <v>316</v>
      </c>
      <c r="E147" s="80" t="s">
        <v>435</v>
      </c>
      <c r="F147" s="80" t="s">
        <v>149</v>
      </c>
      <c r="G147" s="80" t="s">
        <v>104</v>
      </c>
      <c r="H147" s="80" t="n">
        <v>11</v>
      </c>
      <c r="I147" s="80" t="s">
        <v>112</v>
      </c>
      <c r="J147" s="80" t="s">
        <v>113</v>
      </c>
      <c r="K147" s="80" t="s">
        <v>434</v>
      </c>
      <c r="L147" s="80" t="s">
        <v>436</v>
      </c>
      <c r="M147" s="80" t="s">
        <v>115</v>
      </c>
      <c r="N147" s="80" t="s">
        <v>115</v>
      </c>
      <c r="O147" s="80" t="s">
        <v>115</v>
      </c>
      <c r="P147" s="81" t="n">
        <v>45912</v>
      </c>
      <c r="Q147" s="81" t="n">
        <v>45912</v>
      </c>
      <c r="R147" s="80" t="s">
        <v>437</v>
      </c>
      <c r="S147" s="80" t="s">
        <v>103</v>
      </c>
      <c r="T147" s="81"/>
      <c r="U147" s="80"/>
      <c r="V147" s="80"/>
      <c r="W147" s="80"/>
      <c r="X147" s="80"/>
      <c r="Y147" s="81"/>
      <c r="Z147" s="80"/>
      <c r="AA147" s="80"/>
      <c r="AB147" s="80"/>
      <c r="AC147" s="80"/>
      <c r="AD147" s="81"/>
      <c r="AE147" s="80"/>
      <c r="AF147" s="80"/>
      <c r="AG147" s="81"/>
      <c r="AH147" s="79"/>
      <c r="AI147" s="78" t="n">
        <f aca="false">IF(E147="","",(V147&lt;&gt;"")+(AA147&lt;&gt;"")+(AF147&lt;&gt;""))</f>
        <v>0</v>
      </c>
      <c r="AJ147" s="82" t="str">
        <f aca="false">IF(AF147&lt;&gt;"",AF147,IF(AA147&lt;&gt;"",AA147,IF(V147&lt;&gt;"",V147,"")))</f>
        <v/>
      </c>
      <c r="AK147" s="83" t="str">
        <f aca="false">IF(E147="","",IF(P147="","À SOUDER",IF(S147="","VT EN ATTENTE",IF(S147="R","VT REJETÉ – À REPRENDRE",IF(AJ147="","À RADIOGRAPHIER",IF(AJ147="A","ACCEPTÉ",IF(AJ147="NX","NX – RT À REFAIRE",IF(IF(AI147=1,X147,IF(AI147=2,AC147,""))="A","RÉPARÉ – À RADIOGRAPHIER",IF(IF(AI147=1,X147,IF(AI147=2,AC147,""))="R","VT REJETÉ – À REPRENDRE",IF(AJ147="CO","COUPE – À RESOUDER","À RÉPARER"))))))))))</f>
        <v>À RADIOGRAPHIER</v>
      </c>
      <c r="AL147" s="82" t="n">
        <f aca="false">IF(AND(ISNUMBER(P147),OR(AK147="À RADIOGRAPHIER",AK147="RÉPARÉ – À RADIOGRAPHIER",AK147="NX – RT À REFAIRE",AK147="À RÉPARER",AK147="COUPE – À RESOUDER",AK147="VT REJETÉ – À REPRENDRE")),MAX(0,'PROGRAMME RT'!$C$4-P147),"")</f>
        <v>379</v>
      </c>
      <c r="AM147" s="78" t="n">
        <f aca="false">IF(AND(OR(AK147="À RADIOGRAPHIER",AK147="RÉPARÉ – À RADIOGRAPHIER",AK147="NX – RT À REFAIRE"),OR('PROGRAMME RT'!$D$5="TOUTES",B147='PROGRAMME RT'!$D$5)),1,0)</f>
        <v>1</v>
      </c>
      <c r="AN147" s="78" t="n">
        <f aca="false">IF(AM147=1,SUM(AM$7:AM147),"")</f>
        <v>3</v>
      </c>
      <c r="AO147" s="78" t="n">
        <f aca="false">IF(AND(OR(AK147="À RÉPARER",AK147="COUPE – À RESOUDER",AK147="VT REJETÉ – À REPRENDRE"),OR(RÉPARATIONS!$D$5="TOUTES",B147=RÉPARATIONS!$D$5)),1,0)</f>
        <v>0</v>
      </c>
      <c r="AP147" s="78" t="str">
        <f aca="false">IF(AO147=1,SUM(AO$7:AO147),"")</f>
        <v/>
      </c>
    </row>
    <row r="148" customFormat="false" ht="15" hidden="false" customHeight="false" outlineLevel="0" collapsed="false">
      <c r="A148" s="78" t="n">
        <f aca="false">IF(E148="","",ROW()-6)</f>
        <v>142</v>
      </c>
      <c r="B148" s="79" t="s">
        <v>100</v>
      </c>
      <c r="C148" s="80" t="s">
        <v>438</v>
      </c>
      <c r="D148" s="80" t="s">
        <v>316</v>
      </c>
      <c r="E148" s="80" t="s">
        <v>439</v>
      </c>
      <c r="F148" s="80" t="s">
        <v>149</v>
      </c>
      <c r="G148" s="80" t="s">
        <v>104</v>
      </c>
      <c r="H148" s="80" t="n">
        <v>11</v>
      </c>
      <c r="I148" s="80" t="s">
        <v>112</v>
      </c>
      <c r="J148" s="80" t="s">
        <v>130</v>
      </c>
      <c r="K148" s="80" t="s">
        <v>436</v>
      </c>
      <c r="L148" s="80" t="s">
        <v>440</v>
      </c>
      <c r="M148" s="80" t="s">
        <v>139</v>
      </c>
      <c r="N148" s="80" t="s">
        <v>139</v>
      </c>
      <c r="O148" s="80" t="s">
        <v>202</v>
      </c>
      <c r="P148" s="81" t="n">
        <v>45886</v>
      </c>
      <c r="Q148" s="81" t="n">
        <v>45886</v>
      </c>
      <c r="R148" s="80" t="s">
        <v>418</v>
      </c>
      <c r="S148" s="80" t="s">
        <v>103</v>
      </c>
      <c r="T148" s="81" t="n">
        <v>45895</v>
      </c>
      <c r="U148" s="80" t="s">
        <v>430</v>
      </c>
      <c r="V148" s="80" t="s">
        <v>103</v>
      </c>
      <c r="W148" s="80"/>
      <c r="X148" s="80"/>
      <c r="Y148" s="81"/>
      <c r="Z148" s="80"/>
      <c r="AA148" s="80"/>
      <c r="AB148" s="80"/>
      <c r="AC148" s="80"/>
      <c r="AD148" s="81"/>
      <c r="AE148" s="80"/>
      <c r="AF148" s="80"/>
      <c r="AG148" s="81"/>
      <c r="AH148" s="79"/>
      <c r="AI148" s="78" t="n">
        <f aca="false">IF(E148="","",(V148&lt;&gt;"")+(AA148&lt;&gt;"")+(AF148&lt;&gt;""))</f>
        <v>1</v>
      </c>
      <c r="AJ148" s="82" t="str">
        <f aca="false">IF(AF148&lt;&gt;"",AF148,IF(AA148&lt;&gt;"",AA148,IF(V148&lt;&gt;"",V148,"")))</f>
        <v>A</v>
      </c>
      <c r="AK148" s="83" t="str">
        <f aca="false">IF(E148="","",IF(P148="","À SOUDER",IF(S148="","VT EN ATTENTE",IF(S148="R","VT REJETÉ – À REPRENDRE",IF(AJ148="","À RADIOGRAPHIER",IF(AJ148="A","ACCEPTÉ",IF(AJ148="NX","NX – RT À REFAIRE",IF(IF(AI148=1,X148,IF(AI148=2,AC148,""))="A","RÉPARÉ – À RADIOGRAPHIER",IF(IF(AI148=1,X148,IF(AI148=2,AC148,""))="R","VT REJETÉ – À REPRENDRE",IF(AJ148="CO","COUPE – À RESOUDER","À RÉPARER"))))))))))</f>
        <v>ACCEPTÉ</v>
      </c>
      <c r="AL148" s="82" t="str">
        <f aca="false">IF(AND(ISNUMBER(P148),OR(AK148="À RADIOGRAPHIER",AK148="RÉPARÉ – À RADIOGRAPHIER",AK148="NX – RT À REFAIRE",AK148="À RÉPARER",AK148="COUPE – À RESOUDER",AK148="VT REJETÉ – À REPRENDRE")),MAX(0,'PROGRAMME RT'!$C$4-P148),"")</f>
        <v/>
      </c>
      <c r="AM148" s="78" t="n">
        <f aca="false">IF(AND(OR(AK148="À RADIOGRAPHIER",AK148="RÉPARÉ – À RADIOGRAPHIER",AK148="NX – RT À REFAIRE"),OR('PROGRAMME RT'!$D$5="TOUTES",B148='PROGRAMME RT'!$D$5)),1,0)</f>
        <v>0</v>
      </c>
      <c r="AN148" s="78" t="str">
        <f aca="false">IF(AM148=1,SUM(AM$7:AM148),"")</f>
        <v/>
      </c>
      <c r="AO148" s="78" t="n">
        <f aca="false">IF(AND(OR(AK148="À RÉPARER",AK148="COUPE – À RESOUDER",AK148="VT REJETÉ – À REPRENDRE"),OR(RÉPARATIONS!$D$5="TOUTES",B148=RÉPARATIONS!$D$5)),1,0)</f>
        <v>0</v>
      </c>
      <c r="AP148" s="78" t="str">
        <f aca="false">IF(AO148=1,SUM(AO$7:AO148),"")</f>
        <v/>
      </c>
    </row>
    <row r="149" customFormat="false" ht="15" hidden="false" customHeight="false" outlineLevel="0" collapsed="false">
      <c r="A149" s="78" t="n">
        <f aca="false">IF(E149="","",ROW()-6)</f>
        <v>143</v>
      </c>
      <c r="B149" s="79" t="s">
        <v>100</v>
      </c>
      <c r="C149" s="80"/>
      <c r="D149" s="80" t="s">
        <v>316</v>
      </c>
      <c r="E149" s="80" t="s">
        <v>441</v>
      </c>
      <c r="F149" s="80" t="s">
        <v>149</v>
      </c>
      <c r="G149" s="80" t="s">
        <v>104</v>
      </c>
      <c r="H149" s="80" t="n">
        <v>11</v>
      </c>
      <c r="I149" s="80" t="s">
        <v>112</v>
      </c>
      <c r="J149" s="80" t="s">
        <v>113</v>
      </c>
      <c r="K149" s="80" t="s">
        <v>440</v>
      </c>
      <c r="L149" s="80" t="s">
        <v>442</v>
      </c>
      <c r="M149" s="80" t="s">
        <v>123</v>
      </c>
      <c r="N149" s="80" t="s">
        <v>123</v>
      </c>
      <c r="O149" s="80" t="s">
        <v>123</v>
      </c>
      <c r="P149" s="81" t="n">
        <v>45912</v>
      </c>
      <c r="Q149" s="81" t="n">
        <v>45912</v>
      </c>
      <c r="R149" s="80" t="s">
        <v>437</v>
      </c>
      <c r="S149" s="80" t="s">
        <v>103</v>
      </c>
      <c r="T149" s="81"/>
      <c r="U149" s="80"/>
      <c r="V149" s="80"/>
      <c r="W149" s="80"/>
      <c r="X149" s="80"/>
      <c r="Y149" s="81"/>
      <c r="Z149" s="80"/>
      <c r="AA149" s="80"/>
      <c r="AB149" s="80"/>
      <c r="AC149" s="80"/>
      <c r="AD149" s="81"/>
      <c r="AE149" s="80"/>
      <c r="AF149" s="80"/>
      <c r="AG149" s="81"/>
      <c r="AH149" s="79"/>
      <c r="AI149" s="78" t="n">
        <f aca="false">IF(E149="","",(V149&lt;&gt;"")+(AA149&lt;&gt;"")+(AF149&lt;&gt;""))</f>
        <v>0</v>
      </c>
      <c r="AJ149" s="82" t="str">
        <f aca="false">IF(AF149&lt;&gt;"",AF149,IF(AA149&lt;&gt;"",AA149,IF(V149&lt;&gt;"",V149,"")))</f>
        <v/>
      </c>
      <c r="AK149" s="83" t="str">
        <f aca="false">IF(E149="","",IF(P149="","À SOUDER",IF(S149="","VT EN ATTENTE",IF(S149="R","VT REJETÉ – À REPRENDRE",IF(AJ149="","À RADIOGRAPHIER",IF(AJ149="A","ACCEPTÉ",IF(AJ149="NX","NX – RT À REFAIRE",IF(IF(AI149=1,X149,IF(AI149=2,AC149,""))="A","RÉPARÉ – À RADIOGRAPHIER",IF(IF(AI149=1,X149,IF(AI149=2,AC149,""))="R","VT REJETÉ – À REPRENDRE",IF(AJ149="CO","COUPE – À RESOUDER","À RÉPARER"))))))))))</f>
        <v>À RADIOGRAPHIER</v>
      </c>
      <c r="AL149" s="82" t="n">
        <f aca="false">IF(AND(ISNUMBER(P149),OR(AK149="À RADIOGRAPHIER",AK149="RÉPARÉ – À RADIOGRAPHIER",AK149="NX – RT À REFAIRE",AK149="À RÉPARER",AK149="COUPE – À RESOUDER",AK149="VT REJETÉ – À REPRENDRE")),MAX(0,'PROGRAMME RT'!$C$4-P149),"")</f>
        <v>379</v>
      </c>
      <c r="AM149" s="78" t="n">
        <f aca="false">IF(AND(OR(AK149="À RADIOGRAPHIER",AK149="RÉPARÉ – À RADIOGRAPHIER",AK149="NX – RT À REFAIRE"),OR('PROGRAMME RT'!$D$5="TOUTES",B149='PROGRAMME RT'!$D$5)),1,0)</f>
        <v>1</v>
      </c>
      <c r="AN149" s="78" t="n">
        <f aca="false">IF(AM149=1,SUM(AM$7:AM149),"")</f>
        <v>4</v>
      </c>
      <c r="AO149" s="78" t="n">
        <f aca="false">IF(AND(OR(AK149="À RÉPARER",AK149="COUPE – À RESOUDER",AK149="VT REJETÉ – À REPRENDRE"),OR(RÉPARATIONS!$D$5="TOUTES",B149=RÉPARATIONS!$D$5)),1,0)</f>
        <v>0</v>
      </c>
      <c r="AP149" s="78" t="str">
        <f aca="false">IF(AO149=1,SUM(AO$7:AO149),"")</f>
        <v/>
      </c>
    </row>
    <row r="150" customFormat="false" ht="15" hidden="false" customHeight="false" outlineLevel="0" collapsed="false">
      <c r="A150" s="78" t="n">
        <f aca="false">IF(E150="","",ROW()-6)</f>
        <v>144</v>
      </c>
      <c r="B150" s="79" t="s">
        <v>100</v>
      </c>
      <c r="C150" s="80"/>
      <c r="D150" s="80" t="s">
        <v>316</v>
      </c>
      <c r="E150" s="80" t="s">
        <v>443</v>
      </c>
      <c r="F150" s="80" t="s">
        <v>149</v>
      </c>
      <c r="G150" s="80" t="s">
        <v>104</v>
      </c>
      <c r="H150" s="80" t="n">
        <v>11</v>
      </c>
      <c r="I150" s="80" t="s">
        <v>112</v>
      </c>
      <c r="J150" s="80" t="s">
        <v>113</v>
      </c>
      <c r="K150" s="80" t="s">
        <v>442</v>
      </c>
      <c r="L150" s="80" t="s">
        <v>444</v>
      </c>
      <c r="M150" s="80" t="s">
        <v>123</v>
      </c>
      <c r="N150" s="80" t="s">
        <v>123</v>
      </c>
      <c r="O150" s="80" t="s">
        <v>123</v>
      </c>
      <c r="P150" s="81" t="n">
        <v>45913</v>
      </c>
      <c r="Q150" s="81" t="n">
        <v>45913</v>
      </c>
      <c r="R150" s="80" t="s">
        <v>445</v>
      </c>
      <c r="S150" s="80" t="s">
        <v>103</v>
      </c>
      <c r="T150" s="81"/>
      <c r="U150" s="80"/>
      <c r="V150" s="80"/>
      <c r="W150" s="80"/>
      <c r="X150" s="80"/>
      <c r="Y150" s="81"/>
      <c r="Z150" s="80"/>
      <c r="AA150" s="80"/>
      <c r="AB150" s="80"/>
      <c r="AC150" s="80"/>
      <c r="AD150" s="81"/>
      <c r="AE150" s="80"/>
      <c r="AF150" s="80"/>
      <c r="AG150" s="81"/>
      <c r="AH150" s="79"/>
      <c r="AI150" s="78" t="n">
        <f aca="false">IF(E150="","",(V150&lt;&gt;"")+(AA150&lt;&gt;"")+(AF150&lt;&gt;""))</f>
        <v>0</v>
      </c>
      <c r="AJ150" s="82" t="str">
        <f aca="false">IF(AF150&lt;&gt;"",AF150,IF(AA150&lt;&gt;"",AA150,IF(V150&lt;&gt;"",V150,"")))</f>
        <v/>
      </c>
      <c r="AK150" s="83" t="str">
        <f aca="false">IF(E150="","",IF(P150="","À SOUDER",IF(S150="","VT EN ATTENTE",IF(S150="R","VT REJETÉ – À REPRENDRE",IF(AJ150="","À RADIOGRAPHIER",IF(AJ150="A","ACCEPTÉ",IF(AJ150="NX","NX – RT À REFAIRE",IF(IF(AI150=1,X150,IF(AI150=2,AC150,""))="A","RÉPARÉ – À RADIOGRAPHIER",IF(IF(AI150=1,X150,IF(AI150=2,AC150,""))="R","VT REJETÉ – À REPRENDRE",IF(AJ150="CO","COUPE – À RESOUDER","À RÉPARER"))))))))))</f>
        <v>À RADIOGRAPHIER</v>
      </c>
      <c r="AL150" s="82" t="n">
        <f aca="false">IF(AND(ISNUMBER(P150),OR(AK150="À RADIOGRAPHIER",AK150="RÉPARÉ – À RADIOGRAPHIER",AK150="NX – RT À REFAIRE",AK150="À RÉPARER",AK150="COUPE – À RESOUDER",AK150="VT REJETÉ – À REPRENDRE")),MAX(0,'PROGRAMME RT'!$C$4-P150),"")</f>
        <v>378</v>
      </c>
      <c r="AM150" s="78" t="n">
        <f aca="false">IF(AND(OR(AK150="À RADIOGRAPHIER",AK150="RÉPARÉ – À RADIOGRAPHIER",AK150="NX – RT À REFAIRE"),OR('PROGRAMME RT'!$D$5="TOUTES",B150='PROGRAMME RT'!$D$5)),1,0)</f>
        <v>1</v>
      </c>
      <c r="AN150" s="78" t="n">
        <f aca="false">IF(AM150=1,SUM(AM$7:AM150),"")</f>
        <v>5</v>
      </c>
      <c r="AO150" s="78" t="n">
        <f aca="false">IF(AND(OR(AK150="À RÉPARER",AK150="COUPE – À RESOUDER",AK150="VT REJETÉ – À REPRENDRE"),OR(RÉPARATIONS!$D$5="TOUTES",B150=RÉPARATIONS!$D$5)),1,0)</f>
        <v>0</v>
      </c>
      <c r="AP150" s="78" t="str">
        <f aca="false">IF(AO150=1,SUM(AO$7:AO150),"")</f>
        <v/>
      </c>
    </row>
    <row r="151" customFormat="false" ht="15" hidden="false" customHeight="false" outlineLevel="0" collapsed="false">
      <c r="A151" s="78" t="n">
        <f aca="false">IF(E151="","",ROW()-6)</f>
        <v>145</v>
      </c>
      <c r="B151" s="79" t="s">
        <v>100</v>
      </c>
      <c r="C151" s="80"/>
      <c r="D151" s="80" t="s">
        <v>316</v>
      </c>
      <c r="E151" s="80" t="s">
        <v>446</v>
      </c>
      <c r="F151" s="80" t="s">
        <v>149</v>
      </c>
      <c r="G151" s="80" t="s">
        <v>104</v>
      </c>
      <c r="H151" s="80" t="n">
        <v>11</v>
      </c>
      <c r="I151" s="80" t="s">
        <v>112</v>
      </c>
      <c r="J151" s="80" t="s">
        <v>113</v>
      </c>
      <c r="K151" s="80" t="s">
        <v>444</v>
      </c>
      <c r="L151" s="80" t="s">
        <v>447</v>
      </c>
      <c r="M151" s="80" t="s">
        <v>115</v>
      </c>
      <c r="N151" s="80" t="s">
        <v>115</v>
      </c>
      <c r="O151" s="80" t="s">
        <v>115</v>
      </c>
      <c r="P151" s="81" t="n">
        <v>45913</v>
      </c>
      <c r="Q151" s="81" t="n">
        <v>45913</v>
      </c>
      <c r="R151" s="80" t="s">
        <v>445</v>
      </c>
      <c r="S151" s="80" t="s">
        <v>103</v>
      </c>
      <c r="T151" s="81"/>
      <c r="U151" s="80"/>
      <c r="V151" s="80"/>
      <c r="W151" s="80"/>
      <c r="X151" s="80"/>
      <c r="Y151" s="81"/>
      <c r="Z151" s="80"/>
      <c r="AA151" s="80"/>
      <c r="AB151" s="80"/>
      <c r="AC151" s="80"/>
      <c r="AD151" s="81"/>
      <c r="AE151" s="80"/>
      <c r="AF151" s="80"/>
      <c r="AG151" s="81"/>
      <c r="AH151" s="79"/>
      <c r="AI151" s="78" t="n">
        <f aca="false">IF(E151="","",(V151&lt;&gt;"")+(AA151&lt;&gt;"")+(AF151&lt;&gt;""))</f>
        <v>0</v>
      </c>
      <c r="AJ151" s="82" t="str">
        <f aca="false">IF(AF151&lt;&gt;"",AF151,IF(AA151&lt;&gt;"",AA151,IF(V151&lt;&gt;"",V151,"")))</f>
        <v/>
      </c>
      <c r="AK151" s="83" t="str">
        <f aca="false">IF(E151="","",IF(P151="","À SOUDER",IF(S151="","VT EN ATTENTE",IF(S151="R","VT REJETÉ – À REPRENDRE",IF(AJ151="","À RADIOGRAPHIER",IF(AJ151="A","ACCEPTÉ",IF(AJ151="NX","NX – RT À REFAIRE",IF(IF(AI151=1,X151,IF(AI151=2,AC151,""))="A","RÉPARÉ – À RADIOGRAPHIER",IF(IF(AI151=1,X151,IF(AI151=2,AC151,""))="R","VT REJETÉ – À REPRENDRE",IF(AJ151="CO","COUPE – À RESOUDER","À RÉPARER"))))))))))</f>
        <v>À RADIOGRAPHIER</v>
      </c>
      <c r="AL151" s="82" t="n">
        <f aca="false">IF(AND(ISNUMBER(P151),OR(AK151="À RADIOGRAPHIER",AK151="RÉPARÉ – À RADIOGRAPHIER",AK151="NX – RT À REFAIRE",AK151="À RÉPARER",AK151="COUPE – À RESOUDER",AK151="VT REJETÉ – À REPRENDRE")),MAX(0,'PROGRAMME RT'!$C$4-P151),"")</f>
        <v>378</v>
      </c>
      <c r="AM151" s="78" t="n">
        <f aca="false">IF(AND(OR(AK151="À RADIOGRAPHIER",AK151="RÉPARÉ – À RADIOGRAPHIER",AK151="NX – RT À REFAIRE"),OR('PROGRAMME RT'!$D$5="TOUTES",B151='PROGRAMME RT'!$D$5)),1,0)</f>
        <v>1</v>
      </c>
      <c r="AN151" s="78" t="n">
        <f aca="false">IF(AM151=1,SUM(AM$7:AM151),"")</f>
        <v>6</v>
      </c>
      <c r="AO151" s="78" t="n">
        <f aca="false">IF(AND(OR(AK151="À RÉPARER",AK151="COUPE – À RESOUDER",AK151="VT REJETÉ – À REPRENDRE"),OR(RÉPARATIONS!$D$5="TOUTES",B151=RÉPARATIONS!$D$5)),1,0)</f>
        <v>0</v>
      </c>
      <c r="AP151" s="78" t="str">
        <f aca="false">IF(AO151=1,SUM(AO$7:AO151),"")</f>
        <v/>
      </c>
    </row>
    <row r="152" customFormat="false" ht="15" hidden="false" customHeight="false" outlineLevel="0" collapsed="false">
      <c r="A152" s="78" t="n">
        <f aca="false">IF(E152="","",ROW()-6)</f>
        <v>146</v>
      </c>
      <c r="B152" s="79" t="s">
        <v>100</v>
      </c>
      <c r="C152" s="80"/>
      <c r="D152" s="80" t="s">
        <v>316</v>
      </c>
      <c r="E152" s="80" t="s">
        <v>448</v>
      </c>
      <c r="F152" s="80" t="s">
        <v>149</v>
      </c>
      <c r="G152" s="80" t="s">
        <v>104</v>
      </c>
      <c r="H152" s="80" t="n">
        <v>11</v>
      </c>
      <c r="I152" s="80" t="s">
        <v>112</v>
      </c>
      <c r="J152" s="80" t="s">
        <v>113</v>
      </c>
      <c r="K152" s="80" t="s">
        <v>447</v>
      </c>
      <c r="L152" s="80" t="s">
        <v>109</v>
      </c>
      <c r="M152" s="80" t="s">
        <v>123</v>
      </c>
      <c r="N152" s="80" t="s">
        <v>123</v>
      </c>
      <c r="O152" s="80" t="s">
        <v>123</v>
      </c>
      <c r="P152" s="81" t="n">
        <v>45913</v>
      </c>
      <c r="Q152" s="81" t="n">
        <v>45913</v>
      </c>
      <c r="R152" s="80" t="s">
        <v>445</v>
      </c>
      <c r="S152" s="80" t="s">
        <v>103</v>
      </c>
      <c r="T152" s="81"/>
      <c r="U152" s="80"/>
      <c r="V152" s="80"/>
      <c r="W152" s="80"/>
      <c r="X152" s="80"/>
      <c r="Y152" s="81"/>
      <c r="Z152" s="80"/>
      <c r="AA152" s="80"/>
      <c r="AB152" s="80"/>
      <c r="AC152" s="80"/>
      <c r="AD152" s="81"/>
      <c r="AE152" s="80"/>
      <c r="AF152" s="80"/>
      <c r="AG152" s="81"/>
      <c r="AH152" s="79"/>
      <c r="AI152" s="78" t="n">
        <f aca="false">IF(E152="","",(V152&lt;&gt;"")+(AA152&lt;&gt;"")+(AF152&lt;&gt;""))</f>
        <v>0</v>
      </c>
      <c r="AJ152" s="82" t="str">
        <f aca="false">IF(AF152&lt;&gt;"",AF152,IF(AA152&lt;&gt;"",AA152,IF(V152&lt;&gt;"",V152,"")))</f>
        <v/>
      </c>
      <c r="AK152" s="83" t="str">
        <f aca="false">IF(E152="","",IF(P152="","À SOUDER",IF(S152="","VT EN ATTENTE",IF(S152="R","VT REJETÉ – À REPRENDRE",IF(AJ152="","À RADIOGRAPHIER",IF(AJ152="A","ACCEPTÉ",IF(AJ152="NX","NX – RT À REFAIRE",IF(IF(AI152=1,X152,IF(AI152=2,AC152,""))="A","RÉPARÉ – À RADIOGRAPHIER",IF(IF(AI152=1,X152,IF(AI152=2,AC152,""))="R","VT REJETÉ – À REPRENDRE",IF(AJ152="CO","COUPE – À RESOUDER","À RÉPARER"))))))))))</f>
        <v>À RADIOGRAPHIER</v>
      </c>
      <c r="AL152" s="82" t="n">
        <f aca="false">IF(AND(ISNUMBER(P152),OR(AK152="À RADIOGRAPHIER",AK152="RÉPARÉ – À RADIOGRAPHIER",AK152="NX – RT À REFAIRE",AK152="À RÉPARER",AK152="COUPE – À RESOUDER",AK152="VT REJETÉ – À REPRENDRE")),MAX(0,'PROGRAMME RT'!$C$4-P152),"")</f>
        <v>378</v>
      </c>
      <c r="AM152" s="78" t="n">
        <f aca="false">IF(AND(OR(AK152="À RADIOGRAPHIER",AK152="RÉPARÉ – À RADIOGRAPHIER",AK152="NX – RT À REFAIRE"),OR('PROGRAMME RT'!$D$5="TOUTES",B152='PROGRAMME RT'!$D$5)),1,0)</f>
        <v>1</v>
      </c>
      <c r="AN152" s="78" t="n">
        <f aca="false">IF(AM152=1,SUM(AM$7:AM152),"")</f>
        <v>7</v>
      </c>
      <c r="AO152" s="78" t="n">
        <f aca="false">IF(AND(OR(AK152="À RÉPARER",AK152="COUPE – À RESOUDER",AK152="VT REJETÉ – À REPRENDRE"),OR(RÉPARATIONS!$D$5="TOUTES",B152=RÉPARATIONS!$D$5)),1,0)</f>
        <v>0</v>
      </c>
      <c r="AP152" s="78" t="str">
        <f aca="false">IF(AO152=1,SUM(AO$7:AO152),"")</f>
        <v/>
      </c>
    </row>
    <row r="153" customFormat="false" ht="15" hidden="false" customHeight="false" outlineLevel="0" collapsed="false">
      <c r="A153" s="78" t="n">
        <f aca="false">IF(E153="","",ROW()-6)</f>
        <v>147</v>
      </c>
      <c r="B153" s="79" t="s">
        <v>100</v>
      </c>
      <c r="C153" s="80" t="s">
        <v>449</v>
      </c>
      <c r="D153" s="80" t="s">
        <v>316</v>
      </c>
      <c r="E153" s="80" t="s">
        <v>450</v>
      </c>
      <c r="F153" s="80" t="s">
        <v>149</v>
      </c>
      <c r="G153" s="80" t="s">
        <v>104</v>
      </c>
      <c r="H153" s="80" t="n">
        <v>11</v>
      </c>
      <c r="I153" s="80" t="s">
        <v>112</v>
      </c>
      <c r="J153" s="80" t="s">
        <v>130</v>
      </c>
      <c r="K153" s="80" t="s">
        <v>109</v>
      </c>
      <c r="L153" s="80" t="s">
        <v>451</v>
      </c>
      <c r="M153" s="80" t="s">
        <v>139</v>
      </c>
      <c r="N153" s="80" t="s">
        <v>139</v>
      </c>
      <c r="O153" s="80" t="s">
        <v>132</v>
      </c>
      <c r="P153" s="81" t="n">
        <v>45886</v>
      </c>
      <c r="Q153" s="81" t="n">
        <v>45886</v>
      </c>
      <c r="R153" s="80" t="s">
        <v>418</v>
      </c>
      <c r="S153" s="80" t="s">
        <v>103</v>
      </c>
      <c r="T153" s="81" t="n">
        <v>45895</v>
      </c>
      <c r="U153" s="80" t="s">
        <v>430</v>
      </c>
      <c r="V153" s="80" t="s">
        <v>103</v>
      </c>
      <c r="W153" s="80"/>
      <c r="X153" s="80"/>
      <c r="Y153" s="81"/>
      <c r="Z153" s="80"/>
      <c r="AA153" s="80"/>
      <c r="AB153" s="80"/>
      <c r="AC153" s="80"/>
      <c r="AD153" s="81"/>
      <c r="AE153" s="80"/>
      <c r="AF153" s="80"/>
      <c r="AG153" s="81"/>
      <c r="AH153" s="79"/>
      <c r="AI153" s="78" t="n">
        <f aca="false">IF(E153="","",(V153&lt;&gt;"")+(AA153&lt;&gt;"")+(AF153&lt;&gt;""))</f>
        <v>1</v>
      </c>
      <c r="AJ153" s="82" t="str">
        <f aca="false">IF(AF153&lt;&gt;"",AF153,IF(AA153&lt;&gt;"",AA153,IF(V153&lt;&gt;"",V153,"")))</f>
        <v>A</v>
      </c>
      <c r="AK153" s="83" t="str">
        <f aca="false">IF(E153="","",IF(P153="","À SOUDER",IF(S153="","VT EN ATTENTE",IF(S153="R","VT REJETÉ – À REPRENDRE",IF(AJ153="","À RADIOGRAPHIER",IF(AJ153="A","ACCEPTÉ",IF(AJ153="NX","NX – RT À REFAIRE",IF(IF(AI153=1,X153,IF(AI153=2,AC153,""))="A","RÉPARÉ – À RADIOGRAPHIER",IF(IF(AI153=1,X153,IF(AI153=2,AC153,""))="R","VT REJETÉ – À REPRENDRE",IF(AJ153="CO","COUPE – À RESOUDER","À RÉPARER"))))))))))</f>
        <v>ACCEPTÉ</v>
      </c>
      <c r="AL153" s="82" t="str">
        <f aca="false">IF(AND(ISNUMBER(P153),OR(AK153="À RADIOGRAPHIER",AK153="RÉPARÉ – À RADIOGRAPHIER",AK153="NX – RT À REFAIRE",AK153="À RÉPARER",AK153="COUPE – À RESOUDER",AK153="VT REJETÉ – À REPRENDRE")),MAX(0,'PROGRAMME RT'!$C$4-P153),"")</f>
        <v/>
      </c>
      <c r="AM153" s="78" t="n">
        <f aca="false">IF(AND(OR(AK153="À RADIOGRAPHIER",AK153="RÉPARÉ – À RADIOGRAPHIER",AK153="NX – RT À REFAIRE"),OR('PROGRAMME RT'!$D$5="TOUTES",B153='PROGRAMME RT'!$D$5)),1,0)</f>
        <v>0</v>
      </c>
      <c r="AN153" s="78" t="str">
        <f aca="false">IF(AM153=1,SUM(AM$7:AM153),"")</f>
        <v/>
      </c>
      <c r="AO153" s="78" t="n">
        <f aca="false">IF(AND(OR(AK153="À RÉPARER",AK153="COUPE – À RESOUDER",AK153="VT REJETÉ – À REPRENDRE"),OR(RÉPARATIONS!$D$5="TOUTES",B153=RÉPARATIONS!$D$5)),1,0)</f>
        <v>0</v>
      </c>
      <c r="AP153" s="78" t="str">
        <f aca="false">IF(AO153=1,SUM(AO$7:AO153),"")</f>
        <v/>
      </c>
    </row>
    <row r="154" customFormat="false" ht="15" hidden="false" customHeight="false" outlineLevel="0" collapsed="false">
      <c r="A154" s="78" t="n">
        <f aca="false">IF(E154="","",ROW()-6)</f>
        <v>148</v>
      </c>
      <c r="B154" s="79" t="s">
        <v>100</v>
      </c>
      <c r="C154" s="80" t="s">
        <v>449</v>
      </c>
      <c r="D154" s="80" t="s">
        <v>316</v>
      </c>
      <c r="E154" s="80" t="s">
        <v>452</v>
      </c>
      <c r="F154" s="80" t="s">
        <v>149</v>
      </c>
      <c r="G154" s="80" t="s">
        <v>104</v>
      </c>
      <c r="H154" s="80" t="n">
        <v>11</v>
      </c>
      <c r="I154" s="80" t="s">
        <v>112</v>
      </c>
      <c r="J154" s="80" t="s">
        <v>130</v>
      </c>
      <c r="K154" s="80" t="s">
        <v>451</v>
      </c>
      <c r="L154" s="80" t="s">
        <v>453</v>
      </c>
      <c r="M154" s="80" t="s">
        <v>139</v>
      </c>
      <c r="N154" s="80" t="s">
        <v>139</v>
      </c>
      <c r="O154" s="80" t="s">
        <v>202</v>
      </c>
      <c r="P154" s="81" t="n">
        <v>45886</v>
      </c>
      <c r="Q154" s="81" t="n">
        <v>45886</v>
      </c>
      <c r="R154" s="80" t="s">
        <v>418</v>
      </c>
      <c r="S154" s="80" t="s">
        <v>103</v>
      </c>
      <c r="T154" s="81" t="n">
        <v>45895</v>
      </c>
      <c r="U154" s="80" t="s">
        <v>430</v>
      </c>
      <c r="V154" s="80" t="s">
        <v>103</v>
      </c>
      <c r="W154" s="80"/>
      <c r="X154" s="80"/>
      <c r="Y154" s="81"/>
      <c r="Z154" s="80"/>
      <c r="AA154" s="80"/>
      <c r="AB154" s="80"/>
      <c r="AC154" s="80"/>
      <c r="AD154" s="81"/>
      <c r="AE154" s="80"/>
      <c r="AF154" s="80"/>
      <c r="AG154" s="81"/>
      <c r="AH154" s="79"/>
      <c r="AI154" s="78" t="n">
        <f aca="false">IF(E154="","",(V154&lt;&gt;"")+(AA154&lt;&gt;"")+(AF154&lt;&gt;""))</f>
        <v>1</v>
      </c>
      <c r="AJ154" s="82" t="str">
        <f aca="false">IF(AF154&lt;&gt;"",AF154,IF(AA154&lt;&gt;"",AA154,IF(V154&lt;&gt;"",V154,"")))</f>
        <v>A</v>
      </c>
      <c r="AK154" s="83" t="str">
        <f aca="false">IF(E154="","",IF(P154="","À SOUDER",IF(S154="","VT EN ATTENTE",IF(S154="R","VT REJETÉ – À REPRENDRE",IF(AJ154="","À RADIOGRAPHIER",IF(AJ154="A","ACCEPTÉ",IF(AJ154="NX","NX – RT À REFAIRE",IF(IF(AI154=1,X154,IF(AI154=2,AC154,""))="A","RÉPARÉ – À RADIOGRAPHIER",IF(IF(AI154=1,X154,IF(AI154=2,AC154,""))="R","VT REJETÉ – À REPRENDRE",IF(AJ154="CO","COUPE – À RESOUDER","À RÉPARER"))))))))))</f>
        <v>ACCEPTÉ</v>
      </c>
      <c r="AL154" s="82" t="str">
        <f aca="false">IF(AND(ISNUMBER(P154),OR(AK154="À RADIOGRAPHIER",AK154="RÉPARÉ – À RADIOGRAPHIER",AK154="NX – RT À REFAIRE",AK154="À RÉPARER",AK154="COUPE – À RESOUDER",AK154="VT REJETÉ – À REPRENDRE")),MAX(0,'PROGRAMME RT'!$C$4-P154),"")</f>
        <v/>
      </c>
      <c r="AM154" s="78" t="n">
        <f aca="false">IF(AND(OR(AK154="À RADIOGRAPHIER",AK154="RÉPARÉ – À RADIOGRAPHIER",AK154="NX – RT À REFAIRE"),OR('PROGRAMME RT'!$D$5="TOUTES",B154='PROGRAMME RT'!$D$5)),1,0)</f>
        <v>0</v>
      </c>
      <c r="AN154" s="78" t="str">
        <f aca="false">IF(AM154=1,SUM(AM$7:AM154),"")</f>
        <v/>
      </c>
      <c r="AO154" s="78" t="n">
        <f aca="false">IF(AND(OR(AK154="À RÉPARER",AK154="COUPE – À RESOUDER",AK154="VT REJETÉ – À REPRENDRE"),OR(RÉPARATIONS!$D$5="TOUTES",B154=RÉPARATIONS!$D$5)),1,0)</f>
        <v>0</v>
      </c>
      <c r="AP154" s="78" t="str">
        <f aca="false">IF(AO154=1,SUM(AO$7:AO154),"")</f>
        <v/>
      </c>
    </row>
    <row r="155" customFormat="false" ht="15" hidden="false" customHeight="false" outlineLevel="0" collapsed="false">
      <c r="A155" s="78" t="n">
        <f aca="false">IF(E155="","",ROW()-6)</f>
        <v>149</v>
      </c>
      <c r="B155" s="79" t="s">
        <v>100</v>
      </c>
      <c r="C155" s="80" t="s">
        <v>449</v>
      </c>
      <c r="D155" s="80" t="s">
        <v>316</v>
      </c>
      <c r="E155" s="80" t="s">
        <v>454</v>
      </c>
      <c r="F155" s="80" t="s">
        <v>149</v>
      </c>
      <c r="G155" s="80" t="s">
        <v>104</v>
      </c>
      <c r="H155" s="80" t="n">
        <v>11</v>
      </c>
      <c r="I155" s="80" t="s">
        <v>112</v>
      </c>
      <c r="J155" s="80" t="s">
        <v>130</v>
      </c>
      <c r="K155" s="80" t="s">
        <v>453</v>
      </c>
      <c r="L155" s="80" t="s">
        <v>428</v>
      </c>
      <c r="M155" s="80" t="s">
        <v>139</v>
      </c>
      <c r="N155" s="80" t="s">
        <v>139</v>
      </c>
      <c r="O155" s="80" t="s">
        <v>202</v>
      </c>
      <c r="P155" s="81" t="n">
        <v>45886</v>
      </c>
      <c r="Q155" s="81" t="n">
        <v>45886</v>
      </c>
      <c r="R155" s="80" t="s">
        <v>418</v>
      </c>
      <c r="S155" s="80" t="s">
        <v>103</v>
      </c>
      <c r="T155" s="81" t="n">
        <v>45895</v>
      </c>
      <c r="U155" s="80" t="s">
        <v>430</v>
      </c>
      <c r="V155" s="80" t="s">
        <v>103</v>
      </c>
      <c r="W155" s="80"/>
      <c r="X155" s="80"/>
      <c r="Y155" s="81"/>
      <c r="Z155" s="80"/>
      <c r="AA155" s="80"/>
      <c r="AB155" s="80"/>
      <c r="AC155" s="80"/>
      <c r="AD155" s="81"/>
      <c r="AE155" s="80"/>
      <c r="AF155" s="80"/>
      <c r="AG155" s="81"/>
      <c r="AH155" s="79"/>
      <c r="AI155" s="78" t="n">
        <f aca="false">IF(E155="","",(V155&lt;&gt;"")+(AA155&lt;&gt;"")+(AF155&lt;&gt;""))</f>
        <v>1</v>
      </c>
      <c r="AJ155" s="82" t="str">
        <f aca="false">IF(AF155&lt;&gt;"",AF155,IF(AA155&lt;&gt;"",AA155,IF(V155&lt;&gt;"",V155,"")))</f>
        <v>A</v>
      </c>
      <c r="AK155" s="83" t="str">
        <f aca="false">IF(E155="","",IF(P155="","À SOUDER",IF(S155="","VT EN ATTENTE",IF(S155="R","VT REJETÉ – À REPRENDRE",IF(AJ155="","À RADIOGRAPHIER",IF(AJ155="A","ACCEPTÉ",IF(AJ155="NX","NX – RT À REFAIRE",IF(IF(AI155=1,X155,IF(AI155=2,AC155,""))="A","RÉPARÉ – À RADIOGRAPHIER",IF(IF(AI155=1,X155,IF(AI155=2,AC155,""))="R","VT REJETÉ – À REPRENDRE",IF(AJ155="CO","COUPE – À RESOUDER","À RÉPARER"))))))))))</f>
        <v>ACCEPTÉ</v>
      </c>
      <c r="AL155" s="82" t="str">
        <f aca="false">IF(AND(ISNUMBER(P155),OR(AK155="À RADIOGRAPHIER",AK155="RÉPARÉ – À RADIOGRAPHIER",AK155="NX – RT À REFAIRE",AK155="À RÉPARER",AK155="COUPE – À RESOUDER",AK155="VT REJETÉ – À REPRENDRE")),MAX(0,'PROGRAMME RT'!$C$4-P155),"")</f>
        <v/>
      </c>
      <c r="AM155" s="78" t="n">
        <f aca="false">IF(AND(OR(AK155="À RADIOGRAPHIER",AK155="RÉPARÉ – À RADIOGRAPHIER",AK155="NX – RT À REFAIRE"),OR('PROGRAMME RT'!$D$5="TOUTES",B155='PROGRAMME RT'!$D$5)),1,0)</f>
        <v>0</v>
      </c>
      <c r="AN155" s="78" t="str">
        <f aca="false">IF(AM155=1,SUM(AM$7:AM155),"")</f>
        <v/>
      </c>
      <c r="AO155" s="78" t="n">
        <f aca="false">IF(AND(OR(AK155="À RÉPARER",AK155="COUPE – À RESOUDER",AK155="VT REJETÉ – À REPRENDRE"),OR(RÉPARATIONS!$D$5="TOUTES",B155=RÉPARATIONS!$D$5)),1,0)</f>
        <v>0</v>
      </c>
      <c r="AP155" s="78" t="str">
        <f aca="false">IF(AO155=1,SUM(AO$7:AO155),"")</f>
        <v/>
      </c>
    </row>
    <row r="156" customFormat="false" ht="15" hidden="false" customHeight="false" outlineLevel="0" collapsed="false">
      <c r="A156" s="78" t="n">
        <f aca="false">IF(E156="","",ROW()-6)</f>
        <v>150</v>
      </c>
      <c r="B156" s="79" t="s">
        <v>100</v>
      </c>
      <c r="C156" s="80" t="s">
        <v>449</v>
      </c>
      <c r="D156" s="80" t="s">
        <v>316</v>
      </c>
      <c r="E156" s="80" t="s">
        <v>455</v>
      </c>
      <c r="F156" s="80" t="s">
        <v>149</v>
      </c>
      <c r="G156" s="80" t="s">
        <v>104</v>
      </c>
      <c r="H156" s="80" t="n">
        <v>11</v>
      </c>
      <c r="I156" s="80" t="s">
        <v>112</v>
      </c>
      <c r="J156" s="80" t="s">
        <v>130</v>
      </c>
      <c r="K156" s="80" t="s">
        <v>428</v>
      </c>
      <c r="L156" s="80" t="s">
        <v>456</v>
      </c>
      <c r="M156" s="80" t="s">
        <v>139</v>
      </c>
      <c r="N156" s="80" t="s">
        <v>139</v>
      </c>
      <c r="O156" s="80" t="s">
        <v>132</v>
      </c>
      <c r="P156" s="81" t="n">
        <v>45886</v>
      </c>
      <c r="Q156" s="81" t="n">
        <v>45886</v>
      </c>
      <c r="R156" s="80" t="s">
        <v>418</v>
      </c>
      <c r="S156" s="80" t="s">
        <v>103</v>
      </c>
      <c r="T156" s="81" t="n">
        <v>45895</v>
      </c>
      <c r="U156" s="80" t="s">
        <v>430</v>
      </c>
      <c r="V156" s="80" t="s">
        <v>103</v>
      </c>
      <c r="W156" s="80"/>
      <c r="X156" s="80"/>
      <c r="Y156" s="81"/>
      <c r="Z156" s="80"/>
      <c r="AA156" s="80"/>
      <c r="AB156" s="80"/>
      <c r="AC156" s="80"/>
      <c r="AD156" s="81"/>
      <c r="AE156" s="80"/>
      <c r="AF156" s="80"/>
      <c r="AG156" s="81"/>
      <c r="AH156" s="79"/>
      <c r="AI156" s="78" t="n">
        <f aca="false">IF(E156="","",(V156&lt;&gt;"")+(AA156&lt;&gt;"")+(AF156&lt;&gt;""))</f>
        <v>1</v>
      </c>
      <c r="AJ156" s="82" t="str">
        <f aca="false">IF(AF156&lt;&gt;"",AF156,IF(AA156&lt;&gt;"",AA156,IF(V156&lt;&gt;"",V156,"")))</f>
        <v>A</v>
      </c>
      <c r="AK156" s="83" t="str">
        <f aca="false">IF(E156="","",IF(P156="","À SOUDER",IF(S156="","VT EN ATTENTE",IF(S156="R","VT REJETÉ – À REPRENDRE",IF(AJ156="","À RADIOGRAPHIER",IF(AJ156="A","ACCEPTÉ",IF(AJ156="NX","NX – RT À REFAIRE",IF(IF(AI156=1,X156,IF(AI156=2,AC156,""))="A","RÉPARÉ – À RADIOGRAPHIER",IF(IF(AI156=1,X156,IF(AI156=2,AC156,""))="R","VT REJETÉ – À REPRENDRE",IF(AJ156="CO","COUPE – À RESOUDER","À RÉPARER"))))))))))</f>
        <v>ACCEPTÉ</v>
      </c>
      <c r="AL156" s="82" t="str">
        <f aca="false">IF(AND(ISNUMBER(P156),OR(AK156="À RADIOGRAPHIER",AK156="RÉPARÉ – À RADIOGRAPHIER",AK156="NX – RT À REFAIRE",AK156="À RÉPARER",AK156="COUPE – À RESOUDER",AK156="VT REJETÉ – À REPRENDRE")),MAX(0,'PROGRAMME RT'!$C$4-P156),"")</f>
        <v/>
      </c>
      <c r="AM156" s="78" t="n">
        <f aca="false">IF(AND(OR(AK156="À RADIOGRAPHIER",AK156="RÉPARÉ – À RADIOGRAPHIER",AK156="NX – RT À REFAIRE"),OR('PROGRAMME RT'!$D$5="TOUTES",B156='PROGRAMME RT'!$D$5)),1,0)</f>
        <v>0</v>
      </c>
      <c r="AN156" s="78" t="str">
        <f aca="false">IF(AM156=1,SUM(AM$7:AM156),"")</f>
        <v/>
      </c>
      <c r="AO156" s="78" t="n">
        <f aca="false">IF(AND(OR(AK156="À RÉPARER",AK156="COUPE – À RESOUDER",AK156="VT REJETÉ – À REPRENDRE"),OR(RÉPARATIONS!$D$5="TOUTES",B156=RÉPARATIONS!$D$5)),1,0)</f>
        <v>0</v>
      </c>
      <c r="AP156" s="78" t="str">
        <f aca="false">IF(AO156=1,SUM(AO$7:AO156),"")</f>
        <v/>
      </c>
    </row>
    <row r="157" customFormat="false" ht="15" hidden="false" customHeight="false" outlineLevel="0" collapsed="false">
      <c r="A157" s="78" t="n">
        <f aca="false">IF(E157="","",ROW()-6)</f>
        <v>151</v>
      </c>
      <c r="B157" s="79" t="s">
        <v>100</v>
      </c>
      <c r="C157" s="80" t="s">
        <v>449</v>
      </c>
      <c r="D157" s="80" t="s">
        <v>316</v>
      </c>
      <c r="E157" s="80" t="s">
        <v>457</v>
      </c>
      <c r="F157" s="80" t="s">
        <v>149</v>
      </c>
      <c r="G157" s="80" t="s">
        <v>104</v>
      </c>
      <c r="H157" s="80" t="n">
        <v>11</v>
      </c>
      <c r="I157" s="80" t="s">
        <v>112</v>
      </c>
      <c r="J157" s="80" t="s">
        <v>130</v>
      </c>
      <c r="K157" s="80" t="s">
        <v>456</v>
      </c>
      <c r="L157" s="80" t="s">
        <v>458</v>
      </c>
      <c r="M157" s="80" t="s">
        <v>139</v>
      </c>
      <c r="N157" s="80" t="s">
        <v>139</v>
      </c>
      <c r="O157" s="80" t="s">
        <v>123</v>
      </c>
      <c r="P157" s="81" t="n">
        <v>45886</v>
      </c>
      <c r="Q157" s="81" t="n">
        <v>45886</v>
      </c>
      <c r="R157" s="80" t="s">
        <v>418</v>
      </c>
      <c r="S157" s="80" t="s">
        <v>103</v>
      </c>
      <c r="T157" s="81" t="n">
        <v>45895</v>
      </c>
      <c r="U157" s="80" t="s">
        <v>430</v>
      </c>
      <c r="V157" s="80" t="s">
        <v>103</v>
      </c>
      <c r="W157" s="80"/>
      <c r="X157" s="80"/>
      <c r="Y157" s="81"/>
      <c r="Z157" s="80"/>
      <c r="AA157" s="80"/>
      <c r="AB157" s="80"/>
      <c r="AC157" s="80"/>
      <c r="AD157" s="81"/>
      <c r="AE157" s="80"/>
      <c r="AF157" s="80"/>
      <c r="AG157" s="81"/>
      <c r="AH157" s="79"/>
      <c r="AI157" s="78" t="n">
        <f aca="false">IF(E157="","",(V157&lt;&gt;"")+(AA157&lt;&gt;"")+(AF157&lt;&gt;""))</f>
        <v>1</v>
      </c>
      <c r="AJ157" s="82" t="str">
        <f aca="false">IF(AF157&lt;&gt;"",AF157,IF(AA157&lt;&gt;"",AA157,IF(V157&lt;&gt;"",V157,"")))</f>
        <v>A</v>
      </c>
      <c r="AK157" s="83" t="str">
        <f aca="false">IF(E157="","",IF(P157="","À SOUDER",IF(S157="","VT EN ATTENTE",IF(S157="R","VT REJETÉ – À REPRENDRE",IF(AJ157="","À RADIOGRAPHIER",IF(AJ157="A","ACCEPTÉ",IF(AJ157="NX","NX – RT À REFAIRE",IF(IF(AI157=1,X157,IF(AI157=2,AC157,""))="A","RÉPARÉ – À RADIOGRAPHIER",IF(IF(AI157=1,X157,IF(AI157=2,AC157,""))="R","VT REJETÉ – À REPRENDRE",IF(AJ157="CO","COUPE – À RESOUDER","À RÉPARER"))))))))))</f>
        <v>ACCEPTÉ</v>
      </c>
      <c r="AL157" s="82" t="str">
        <f aca="false">IF(AND(ISNUMBER(P157),OR(AK157="À RADIOGRAPHIER",AK157="RÉPARÉ – À RADIOGRAPHIER",AK157="NX – RT À REFAIRE",AK157="À RÉPARER",AK157="COUPE – À RESOUDER",AK157="VT REJETÉ – À REPRENDRE")),MAX(0,'PROGRAMME RT'!$C$4-P157),"")</f>
        <v/>
      </c>
      <c r="AM157" s="78" t="n">
        <f aca="false">IF(AND(OR(AK157="À RADIOGRAPHIER",AK157="RÉPARÉ – À RADIOGRAPHIER",AK157="NX – RT À REFAIRE"),OR('PROGRAMME RT'!$D$5="TOUTES",B157='PROGRAMME RT'!$D$5)),1,0)</f>
        <v>0</v>
      </c>
      <c r="AN157" s="78" t="str">
        <f aca="false">IF(AM157=1,SUM(AM$7:AM157),"")</f>
        <v/>
      </c>
      <c r="AO157" s="78" t="n">
        <f aca="false">IF(AND(OR(AK157="À RÉPARER",AK157="COUPE – À RESOUDER",AK157="VT REJETÉ – À REPRENDRE"),OR(RÉPARATIONS!$D$5="TOUTES",B157=RÉPARATIONS!$D$5)),1,0)</f>
        <v>0</v>
      </c>
      <c r="AP157" s="78" t="str">
        <f aca="false">IF(AO157=1,SUM(AO$7:AO157),"")</f>
        <v/>
      </c>
    </row>
    <row r="158" customFormat="false" ht="15" hidden="false" customHeight="false" outlineLevel="0" collapsed="false">
      <c r="A158" s="78" t="n">
        <f aca="false">IF(E158="","",ROW()-6)</f>
        <v>152</v>
      </c>
      <c r="B158" s="79" t="s">
        <v>100</v>
      </c>
      <c r="C158" s="80" t="s">
        <v>449</v>
      </c>
      <c r="D158" s="80" t="s">
        <v>316</v>
      </c>
      <c r="E158" s="80" t="s">
        <v>459</v>
      </c>
      <c r="F158" s="80" t="s">
        <v>149</v>
      </c>
      <c r="G158" s="80" t="s">
        <v>104</v>
      </c>
      <c r="H158" s="80" t="n">
        <v>11</v>
      </c>
      <c r="I158" s="80" t="s">
        <v>112</v>
      </c>
      <c r="J158" s="80" t="s">
        <v>130</v>
      </c>
      <c r="K158" s="80" t="s">
        <v>458</v>
      </c>
      <c r="L158" s="80" t="s">
        <v>460</v>
      </c>
      <c r="M158" s="80" t="s">
        <v>139</v>
      </c>
      <c r="N158" s="80" t="s">
        <v>139</v>
      </c>
      <c r="O158" s="80" t="s">
        <v>123</v>
      </c>
      <c r="P158" s="81" t="n">
        <v>45886</v>
      </c>
      <c r="Q158" s="81" t="n">
        <v>45886</v>
      </c>
      <c r="R158" s="80" t="s">
        <v>418</v>
      </c>
      <c r="S158" s="80" t="s">
        <v>103</v>
      </c>
      <c r="T158" s="81" t="n">
        <v>45895</v>
      </c>
      <c r="U158" s="80" t="s">
        <v>430</v>
      </c>
      <c r="V158" s="80" t="s">
        <v>103</v>
      </c>
      <c r="W158" s="80"/>
      <c r="X158" s="80"/>
      <c r="Y158" s="81"/>
      <c r="Z158" s="80"/>
      <c r="AA158" s="80"/>
      <c r="AB158" s="80"/>
      <c r="AC158" s="80"/>
      <c r="AD158" s="81"/>
      <c r="AE158" s="80"/>
      <c r="AF158" s="80"/>
      <c r="AG158" s="81"/>
      <c r="AH158" s="79"/>
      <c r="AI158" s="78" t="n">
        <f aca="false">IF(E158="","",(V158&lt;&gt;"")+(AA158&lt;&gt;"")+(AF158&lt;&gt;""))</f>
        <v>1</v>
      </c>
      <c r="AJ158" s="82" t="str">
        <f aca="false">IF(AF158&lt;&gt;"",AF158,IF(AA158&lt;&gt;"",AA158,IF(V158&lt;&gt;"",V158,"")))</f>
        <v>A</v>
      </c>
      <c r="AK158" s="83" t="str">
        <f aca="false">IF(E158="","",IF(P158="","À SOUDER",IF(S158="","VT EN ATTENTE",IF(S158="R","VT REJETÉ – À REPRENDRE",IF(AJ158="","À RADIOGRAPHIER",IF(AJ158="A","ACCEPTÉ",IF(AJ158="NX","NX – RT À REFAIRE",IF(IF(AI158=1,X158,IF(AI158=2,AC158,""))="A","RÉPARÉ – À RADIOGRAPHIER",IF(IF(AI158=1,X158,IF(AI158=2,AC158,""))="R","VT REJETÉ – À REPRENDRE",IF(AJ158="CO","COUPE – À RESOUDER","À RÉPARER"))))))))))</f>
        <v>ACCEPTÉ</v>
      </c>
      <c r="AL158" s="82" t="str">
        <f aca="false">IF(AND(ISNUMBER(P158),OR(AK158="À RADIOGRAPHIER",AK158="RÉPARÉ – À RADIOGRAPHIER",AK158="NX – RT À REFAIRE",AK158="À RÉPARER",AK158="COUPE – À RESOUDER",AK158="VT REJETÉ – À REPRENDRE")),MAX(0,'PROGRAMME RT'!$C$4-P158),"")</f>
        <v/>
      </c>
      <c r="AM158" s="78" t="n">
        <f aca="false">IF(AND(OR(AK158="À RADIOGRAPHIER",AK158="RÉPARÉ – À RADIOGRAPHIER",AK158="NX – RT À REFAIRE"),OR('PROGRAMME RT'!$D$5="TOUTES",B158='PROGRAMME RT'!$D$5)),1,0)</f>
        <v>0</v>
      </c>
      <c r="AN158" s="78" t="str">
        <f aca="false">IF(AM158=1,SUM(AM$7:AM158),"")</f>
        <v/>
      </c>
      <c r="AO158" s="78" t="n">
        <f aca="false">IF(AND(OR(AK158="À RÉPARER",AK158="COUPE – À RESOUDER",AK158="VT REJETÉ – À REPRENDRE"),OR(RÉPARATIONS!$D$5="TOUTES",B158=RÉPARATIONS!$D$5)),1,0)</f>
        <v>0</v>
      </c>
      <c r="AP158" s="78" t="str">
        <f aca="false">IF(AO158=1,SUM(AO$7:AO158),"")</f>
        <v/>
      </c>
    </row>
    <row r="159" customFormat="false" ht="15" hidden="false" customHeight="false" outlineLevel="0" collapsed="false">
      <c r="A159" s="78" t="n">
        <f aca="false">IF(E159="","",ROW()-6)</f>
        <v>153</v>
      </c>
      <c r="B159" s="79" t="s">
        <v>100</v>
      </c>
      <c r="C159" s="80" t="s">
        <v>449</v>
      </c>
      <c r="D159" s="80" t="s">
        <v>316</v>
      </c>
      <c r="E159" s="80" t="s">
        <v>461</v>
      </c>
      <c r="F159" s="80" t="s">
        <v>149</v>
      </c>
      <c r="G159" s="80" t="s">
        <v>104</v>
      </c>
      <c r="H159" s="80" t="n">
        <v>11</v>
      </c>
      <c r="I159" s="80" t="s">
        <v>112</v>
      </c>
      <c r="J159" s="80" t="s">
        <v>130</v>
      </c>
      <c r="K159" s="80" t="s">
        <v>460</v>
      </c>
      <c r="L159" s="80" t="s">
        <v>462</v>
      </c>
      <c r="M159" s="80" t="s">
        <v>139</v>
      </c>
      <c r="N159" s="80" t="s">
        <v>139</v>
      </c>
      <c r="O159" s="80" t="s">
        <v>132</v>
      </c>
      <c r="P159" s="81" t="n">
        <v>45886</v>
      </c>
      <c r="Q159" s="81" t="n">
        <v>45886</v>
      </c>
      <c r="R159" s="80" t="s">
        <v>418</v>
      </c>
      <c r="S159" s="80" t="s">
        <v>103</v>
      </c>
      <c r="T159" s="81" t="n">
        <v>45895</v>
      </c>
      <c r="U159" s="80" t="s">
        <v>430</v>
      </c>
      <c r="V159" s="80" t="s">
        <v>103</v>
      </c>
      <c r="W159" s="80"/>
      <c r="X159" s="80"/>
      <c r="Y159" s="81"/>
      <c r="Z159" s="80"/>
      <c r="AA159" s="80"/>
      <c r="AB159" s="80"/>
      <c r="AC159" s="80"/>
      <c r="AD159" s="81"/>
      <c r="AE159" s="80"/>
      <c r="AF159" s="80"/>
      <c r="AG159" s="81"/>
      <c r="AH159" s="79"/>
      <c r="AI159" s="78" t="n">
        <f aca="false">IF(E159="","",(V159&lt;&gt;"")+(AA159&lt;&gt;"")+(AF159&lt;&gt;""))</f>
        <v>1</v>
      </c>
      <c r="AJ159" s="82" t="str">
        <f aca="false">IF(AF159&lt;&gt;"",AF159,IF(AA159&lt;&gt;"",AA159,IF(V159&lt;&gt;"",V159,"")))</f>
        <v>A</v>
      </c>
      <c r="AK159" s="83" t="str">
        <f aca="false">IF(E159="","",IF(P159="","À SOUDER",IF(S159="","VT EN ATTENTE",IF(S159="R","VT REJETÉ – À REPRENDRE",IF(AJ159="","À RADIOGRAPHIER",IF(AJ159="A","ACCEPTÉ",IF(AJ159="NX","NX – RT À REFAIRE",IF(IF(AI159=1,X159,IF(AI159=2,AC159,""))="A","RÉPARÉ – À RADIOGRAPHIER",IF(IF(AI159=1,X159,IF(AI159=2,AC159,""))="R","VT REJETÉ – À REPRENDRE",IF(AJ159="CO","COUPE – À RESOUDER","À RÉPARER"))))))))))</f>
        <v>ACCEPTÉ</v>
      </c>
      <c r="AL159" s="82" t="str">
        <f aca="false">IF(AND(ISNUMBER(P159),OR(AK159="À RADIOGRAPHIER",AK159="RÉPARÉ – À RADIOGRAPHIER",AK159="NX – RT À REFAIRE",AK159="À RÉPARER",AK159="COUPE – À RESOUDER",AK159="VT REJETÉ – À REPRENDRE")),MAX(0,'PROGRAMME RT'!$C$4-P159),"")</f>
        <v/>
      </c>
      <c r="AM159" s="78" t="n">
        <f aca="false">IF(AND(OR(AK159="À RADIOGRAPHIER",AK159="RÉPARÉ – À RADIOGRAPHIER",AK159="NX – RT À REFAIRE"),OR('PROGRAMME RT'!$D$5="TOUTES",B159='PROGRAMME RT'!$D$5)),1,0)</f>
        <v>0</v>
      </c>
      <c r="AN159" s="78" t="str">
        <f aca="false">IF(AM159=1,SUM(AM$7:AM159),"")</f>
        <v/>
      </c>
      <c r="AO159" s="78" t="n">
        <f aca="false">IF(AND(OR(AK159="À RÉPARER",AK159="COUPE – À RESOUDER",AK159="VT REJETÉ – À REPRENDRE"),OR(RÉPARATIONS!$D$5="TOUTES",B159=RÉPARATIONS!$D$5)),1,0)</f>
        <v>0</v>
      </c>
      <c r="AP159" s="78" t="str">
        <f aca="false">IF(AO159=1,SUM(AO$7:AO159),"")</f>
        <v/>
      </c>
    </row>
    <row r="160" customFormat="false" ht="15" hidden="false" customHeight="false" outlineLevel="0" collapsed="false">
      <c r="A160" s="78" t="n">
        <f aca="false">IF(E160="","",ROW()-6)</f>
        <v>154</v>
      </c>
      <c r="B160" s="79" t="s">
        <v>100</v>
      </c>
      <c r="C160" s="80" t="s">
        <v>449</v>
      </c>
      <c r="D160" s="80" t="s">
        <v>316</v>
      </c>
      <c r="E160" s="80" t="s">
        <v>463</v>
      </c>
      <c r="F160" s="80" t="s">
        <v>149</v>
      </c>
      <c r="G160" s="80" t="s">
        <v>104</v>
      </c>
      <c r="H160" s="80" t="n">
        <v>11</v>
      </c>
      <c r="I160" s="80" t="s">
        <v>112</v>
      </c>
      <c r="J160" s="80" t="s">
        <v>130</v>
      </c>
      <c r="K160" s="80" t="s">
        <v>462</v>
      </c>
      <c r="L160" s="80" t="s">
        <v>464</v>
      </c>
      <c r="M160" s="80" t="s">
        <v>139</v>
      </c>
      <c r="N160" s="80" t="s">
        <v>139</v>
      </c>
      <c r="O160" s="80" t="s">
        <v>123</v>
      </c>
      <c r="P160" s="81" t="n">
        <v>45886</v>
      </c>
      <c r="Q160" s="81" t="n">
        <v>45886</v>
      </c>
      <c r="R160" s="80" t="s">
        <v>418</v>
      </c>
      <c r="S160" s="80" t="s">
        <v>103</v>
      </c>
      <c r="T160" s="81" t="n">
        <v>45895</v>
      </c>
      <c r="U160" s="80" t="s">
        <v>430</v>
      </c>
      <c r="V160" s="80" t="s">
        <v>103</v>
      </c>
      <c r="W160" s="80"/>
      <c r="X160" s="80"/>
      <c r="Y160" s="81"/>
      <c r="Z160" s="80"/>
      <c r="AA160" s="80"/>
      <c r="AB160" s="80"/>
      <c r="AC160" s="80"/>
      <c r="AD160" s="81"/>
      <c r="AE160" s="80"/>
      <c r="AF160" s="80"/>
      <c r="AG160" s="81"/>
      <c r="AH160" s="79"/>
      <c r="AI160" s="78" t="n">
        <f aca="false">IF(E160="","",(V160&lt;&gt;"")+(AA160&lt;&gt;"")+(AF160&lt;&gt;""))</f>
        <v>1</v>
      </c>
      <c r="AJ160" s="82" t="str">
        <f aca="false">IF(AF160&lt;&gt;"",AF160,IF(AA160&lt;&gt;"",AA160,IF(V160&lt;&gt;"",V160,"")))</f>
        <v>A</v>
      </c>
      <c r="AK160" s="83" t="str">
        <f aca="false">IF(E160="","",IF(P160="","À SOUDER",IF(S160="","VT EN ATTENTE",IF(S160="R","VT REJETÉ – À REPRENDRE",IF(AJ160="","À RADIOGRAPHIER",IF(AJ160="A","ACCEPTÉ",IF(AJ160="NX","NX – RT À REFAIRE",IF(IF(AI160=1,X160,IF(AI160=2,AC160,""))="A","RÉPARÉ – À RADIOGRAPHIER",IF(IF(AI160=1,X160,IF(AI160=2,AC160,""))="R","VT REJETÉ – À REPRENDRE",IF(AJ160="CO","COUPE – À RESOUDER","À RÉPARER"))))))))))</f>
        <v>ACCEPTÉ</v>
      </c>
      <c r="AL160" s="82" t="str">
        <f aca="false">IF(AND(ISNUMBER(P160),OR(AK160="À RADIOGRAPHIER",AK160="RÉPARÉ – À RADIOGRAPHIER",AK160="NX – RT À REFAIRE",AK160="À RÉPARER",AK160="COUPE – À RESOUDER",AK160="VT REJETÉ – À REPRENDRE")),MAX(0,'PROGRAMME RT'!$C$4-P160),"")</f>
        <v/>
      </c>
      <c r="AM160" s="78" t="n">
        <f aca="false">IF(AND(OR(AK160="À RADIOGRAPHIER",AK160="RÉPARÉ – À RADIOGRAPHIER",AK160="NX – RT À REFAIRE"),OR('PROGRAMME RT'!$D$5="TOUTES",B160='PROGRAMME RT'!$D$5)),1,0)</f>
        <v>0</v>
      </c>
      <c r="AN160" s="78" t="str">
        <f aca="false">IF(AM160=1,SUM(AM$7:AM160),"")</f>
        <v/>
      </c>
      <c r="AO160" s="78" t="n">
        <f aca="false">IF(AND(OR(AK160="À RÉPARER",AK160="COUPE – À RESOUDER",AK160="VT REJETÉ – À REPRENDRE"),OR(RÉPARATIONS!$D$5="TOUTES",B160=RÉPARATIONS!$D$5)),1,0)</f>
        <v>0</v>
      </c>
      <c r="AP160" s="78" t="str">
        <f aca="false">IF(AO160=1,SUM(AO$7:AO160),"")</f>
        <v/>
      </c>
    </row>
    <row r="161" customFormat="false" ht="15" hidden="false" customHeight="false" outlineLevel="0" collapsed="false">
      <c r="A161" s="78" t="n">
        <f aca="false">IF(E161="","",ROW()-6)</f>
        <v>155</v>
      </c>
      <c r="B161" s="79" t="s">
        <v>100</v>
      </c>
      <c r="C161" s="80" t="s">
        <v>449</v>
      </c>
      <c r="D161" s="80" t="s">
        <v>316</v>
      </c>
      <c r="E161" s="80" t="s">
        <v>465</v>
      </c>
      <c r="F161" s="80" t="s">
        <v>149</v>
      </c>
      <c r="G161" s="80" t="s">
        <v>104</v>
      </c>
      <c r="H161" s="80" t="n">
        <v>11</v>
      </c>
      <c r="I161" s="80" t="s">
        <v>112</v>
      </c>
      <c r="J161" s="80" t="s">
        <v>130</v>
      </c>
      <c r="K161" s="80" t="s">
        <v>464</v>
      </c>
      <c r="L161" s="80" t="s">
        <v>466</v>
      </c>
      <c r="M161" s="80" t="s">
        <v>139</v>
      </c>
      <c r="N161" s="80" t="s">
        <v>139</v>
      </c>
      <c r="O161" s="80" t="s">
        <v>202</v>
      </c>
      <c r="P161" s="81" t="n">
        <v>45886</v>
      </c>
      <c r="Q161" s="81" t="n">
        <v>45886</v>
      </c>
      <c r="R161" s="80" t="s">
        <v>418</v>
      </c>
      <c r="S161" s="80" t="s">
        <v>103</v>
      </c>
      <c r="T161" s="81" t="n">
        <v>45896</v>
      </c>
      <c r="U161" s="80" t="s">
        <v>467</v>
      </c>
      <c r="V161" s="80" t="s">
        <v>103</v>
      </c>
      <c r="W161" s="80"/>
      <c r="X161" s="80"/>
      <c r="Y161" s="81"/>
      <c r="Z161" s="80"/>
      <c r="AA161" s="80"/>
      <c r="AB161" s="80"/>
      <c r="AC161" s="80"/>
      <c r="AD161" s="81"/>
      <c r="AE161" s="80"/>
      <c r="AF161" s="80"/>
      <c r="AG161" s="81"/>
      <c r="AH161" s="79"/>
      <c r="AI161" s="78" t="n">
        <f aca="false">IF(E161="","",(V161&lt;&gt;"")+(AA161&lt;&gt;"")+(AF161&lt;&gt;""))</f>
        <v>1</v>
      </c>
      <c r="AJ161" s="82" t="str">
        <f aca="false">IF(AF161&lt;&gt;"",AF161,IF(AA161&lt;&gt;"",AA161,IF(V161&lt;&gt;"",V161,"")))</f>
        <v>A</v>
      </c>
      <c r="AK161" s="83" t="str">
        <f aca="false">IF(E161="","",IF(P161="","À SOUDER",IF(S161="","VT EN ATTENTE",IF(S161="R","VT REJETÉ – À REPRENDRE",IF(AJ161="","À RADIOGRAPHIER",IF(AJ161="A","ACCEPTÉ",IF(AJ161="NX","NX – RT À REFAIRE",IF(IF(AI161=1,X161,IF(AI161=2,AC161,""))="A","RÉPARÉ – À RADIOGRAPHIER",IF(IF(AI161=1,X161,IF(AI161=2,AC161,""))="R","VT REJETÉ – À REPRENDRE",IF(AJ161="CO","COUPE – À RESOUDER","À RÉPARER"))))))))))</f>
        <v>ACCEPTÉ</v>
      </c>
      <c r="AL161" s="82" t="str">
        <f aca="false">IF(AND(ISNUMBER(P161),OR(AK161="À RADIOGRAPHIER",AK161="RÉPARÉ – À RADIOGRAPHIER",AK161="NX – RT À REFAIRE",AK161="À RÉPARER",AK161="COUPE – À RESOUDER",AK161="VT REJETÉ – À REPRENDRE")),MAX(0,'PROGRAMME RT'!$C$4-P161),"")</f>
        <v/>
      </c>
      <c r="AM161" s="78" t="n">
        <f aca="false">IF(AND(OR(AK161="À RADIOGRAPHIER",AK161="RÉPARÉ – À RADIOGRAPHIER",AK161="NX – RT À REFAIRE"),OR('PROGRAMME RT'!$D$5="TOUTES",B161='PROGRAMME RT'!$D$5)),1,0)</f>
        <v>0</v>
      </c>
      <c r="AN161" s="78" t="str">
        <f aca="false">IF(AM161=1,SUM(AM$7:AM161),"")</f>
        <v/>
      </c>
      <c r="AO161" s="78" t="n">
        <f aca="false">IF(AND(OR(AK161="À RÉPARER",AK161="COUPE – À RESOUDER",AK161="VT REJETÉ – À REPRENDRE"),OR(RÉPARATIONS!$D$5="TOUTES",B161=RÉPARATIONS!$D$5)),1,0)</f>
        <v>0</v>
      </c>
      <c r="AP161" s="78" t="str">
        <f aca="false">IF(AO161=1,SUM(AO$7:AO161),"")</f>
        <v/>
      </c>
    </row>
    <row r="162" customFormat="false" ht="15" hidden="false" customHeight="false" outlineLevel="0" collapsed="false">
      <c r="A162" s="78" t="n">
        <f aca="false">IF(E162="","",ROW()-6)</f>
        <v>156</v>
      </c>
      <c r="B162" s="79" t="s">
        <v>100</v>
      </c>
      <c r="C162" s="80" t="s">
        <v>449</v>
      </c>
      <c r="D162" s="80" t="s">
        <v>316</v>
      </c>
      <c r="E162" s="80" t="s">
        <v>468</v>
      </c>
      <c r="F162" s="80" t="s">
        <v>149</v>
      </c>
      <c r="G162" s="80" t="s">
        <v>104</v>
      </c>
      <c r="H162" s="80" t="n">
        <v>11</v>
      </c>
      <c r="I162" s="80" t="s">
        <v>112</v>
      </c>
      <c r="J162" s="80" t="s">
        <v>130</v>
      </c>
      <c r="K162" s="80" t="s">
        <v>466</v>
      </c>
      <c r="L162" s="80" t="s">
        <v>469</v>
      </c>
      <c r="M162" s="80" t="s">
        <v>139</v>
      </c>
      <c r="N162" s="80" t="s">
        <v>139</v>
      </c>
      <c r="O162" s="80" t="s">
        <v>132</v>
      </c>
      <c r="P162" s="81" t="n">
        <v>45886</v>
      </c>
      <c r="Q162" s="81" t="n">
        <v>45886</v>
      </c>
      <c r="R162" s="80" t="s">
        <v>418</v>
      </c>
      <c r="S162" s="80" t="s">
        <v>103</v>
      </c>
      <c r="T162" s="81" t="n">
        <v>45896</v>
      </c>
      <c r="U162" s="80" t="s">
        <v>467</v>
      </c>
      <c r="V162" s="80" t="s">
        <v>103</v>
      </c>
      <c r="W162" s="80"/>
      <c r="X162" s="80"/>
      <c r="Y162" s="81"/>
      <c r="Z162" s="80"/>
      <c r="AA162" s="80"/>
      <c r="AB162" s="80"/>
      <c r="AC162" s="80"/>
      <c r="AD162" s="81"/>
      <c r="AE162" s="80"/>
      <c r="AF162" s="80"/>
      <c r="AG162" s="81"/>
      <c r="AH162" s="79"/>
      <c r="AI162" s="78" t="n">
        <f aca="false">IF(E162="","",(V162&lt;&gt;"")+(AA162&lt;&gt;"")+(AF162&lt;&gt;""))</f>
        <v>1</v>
      </c>
      <c r="AJ162" s="82" t="str">
        <f aca="false">IF(AF162&lt;&gt;"",AF162,IF(AA162&lt;&gt;"",AA162,IF(V162&lt;&gt;"",V162,"")))</f>
        <v>A</v>
      </c>
      <c r="AK162" s="83" t="str">
        <f aca="false">IF(E162="","",IF(P162="","À SOUDER",IF(S162="","VT EN ATTENTE",IF(S162="R","VT REJETÉ – À REPRENDRE",IF(AJ162="","À RADIOGRAPHIER",IF(AJ162="A","ACCEPTÉ",IF(AJ162="NX","NX – RT À REFAIRE",IF(IF(AI162=1,X162,IF(AI162=2,AC162,""))="A","RÉPARÉ – À RADIOGRAPHIER",IF(IF(AI162=1,X162,IF(AI162=2,AC162,""))="R","VT REJETÉ – À REPRENDRE",IF(AJ162="CO","COUPE – À RESOUDER","À RÉPARER"))))))))))</f>
        <v>ACCEPTÉ</v>
      </c>
      <c r="AL162" s="82" t="str">
        <f aca="false">IF(AND(ISNUMBER(P162),OR(AK162="À RADIOGRAPHIER",AK162="RÉPARÉ – À RADIOGRAPHIER",AK162="NX – RT À REFAIRE",AK162="À RÉPARER",AK162="COUPE – À RESOUDER",AK162="VT REJETÉ – À REPRENDRE")),MAX(0,'PROGRAMME RT'!$C$4-P162),"")</f>
        <v/>
      </c>
      <c r="AM162" s="78" t="n">
        <f aca="false">IF(AND(OR(AK162="À RADIOGRAPHIER",AK162="RÉPARÉ – À RADIOGRAPHIER",AK162="NX – RT À REFAIRE"),OR('PROGRAMME RT'!$D$5="TOUTES",B162='PROGRAMME RT'!$D$5)),1,0)</f>
        <v>0</v>
      </c>
      <c r="AN162" s="78" t="str">
        <f aca="false">IF(AM162=1,SUM(AM$7:AM162),"")</f>
        <v/>
      </c>
      <c r="AO162" s="78" t="n">
        <f aca="false">IF(AND(OR(AK162="À RÉPARER",AK162="COUPE – À RESOUDER",AK162="VT REJETÉ – À REPRENDRE"),OR(RÉPARATIONS!$D$5="TOUTES",B162=RÉPARATIONS!$D$5)),1,0)</f>
        <v>0</v>
      </c>
      <c r="AP162" s="78" t="str">
        <f aca="false">IF(AO162=1,SUM(AO$7:AO162),"")</f>
        <v/>
      </c>
    </row>
    <row r="163" customFormat="false" ht="15" hidden="false" customHeight="false" outlineLevel="0" collapsed="false">
      <c r="A163" s="78" t="n">
        <f aca="false">IF(E163="","",ROW()-6)</f>
        <v>157</v>
      </c>
      <c r="B163" s="79" t="s">
        <v>100</v>
      </c>
      <c r="C163" s="80" t="s">
        <v>449</v>
      </c>
      <c r="D163" s="80" t="s">
        <v>316</v>
      </c>
      <c r="E163" s="80" t="s">
        <v>470</v>
      </c>
      <c r="F163" s="80" t="s">
        <v>149</v>
      </c>
      <c r="G163" s="80" t="s">
        <v>104</v>
      </c>
      <c r="H163" s="80" t="n">
        <v>11</v>
      </c>
      <c r="I163" s="80" t="s">
        <v>112</v>
      </c>
      <c r="J163" s="80" t="s">
        <v>130</v>
      </c>
      <c r="K163" s="80" t="s">
        <v>469</v>
      </c>
      <c r="L163" s="80" t="s">
        <v>471</v>
      </c>
      <c r="M163" s="80" t="s">
        <v>139</v>
      </c>
      <c r="N163" s="80" t="s">
        <v>139</v>
      </c>
      <c r="O163" s="80" t="s">
        <v>132</v>
      </c>
      <c r="P163" s="81" t="n">
        <v>45887</v>
      </c>
      <c r="Q163" s="81" t="n">
        <v>45887</v>
      </c>
      <c r="R163" s="80" t="s">
        <v>472</v>
      </c>
      <c r="S163" s="80" t="s">
        <v>103</v>
      </c>
      <c r="T163" s="81" t="n">
        <v>45896</v>
      </c>
      <c r="U163" s="80" t="s">
        <v>467</v>
      </c>
      <c r="V163" s="80" t="s">
        <v>103</v>
      </c>
      <c r="W163" s="80"/>
      <c r="X163" s="80"/>
      <c r="Y163" s="81"/>
      <c r="Z163" s="80"/>
      <c r="AA163" s="80"/>
      <c r="AB163" s="80"/>
      <c r="AC163" s="80"/>
      <c r="AD163" s="81"/>
      <c r="AE163" s="80"/>
      <c r="AF163" s="80"/>
      <c r="AG163" s="81"/>
      <c r="AH163" s="79"/>
      <c r="AI163" s="78" t="n">
        <f aca="false">IF(E163="","",(V163&lt;&gt;"")+(AA163&lt;&gt;"")+(AF163&lt;&gt;""))</f>
        <v>1</v>
      </c>
      <c r="AJ163" s="82" t="str">
        <f aca="false">IF(AF163&lt;&gt;"",AF163,IF(AA163&lt;&gt;"",AA163,IF(V163&lt;&gt;"",V163,"")))</f>
        <v>A</v>
      </c>
      <c r="AK163" s="83" t="str">
        <f aca="false">IF(E163="","",IF(P163="","À SOUDER",IF(S163="","VT EN ATTENTE",IF(S163="R","VT REJETÉ – À REPRENDRE",IF(AJ163="","À RADIOGRAPHIER",IF(AJ163="A","ACCEPTÉ",IF(AJ163="NX","NX – RT À REFAIRE",IF(IF(AI163=1,X163,IF(AI163=2,AC163,""))="A","RÉPARÉ – À RADIOGRAPHIER",IF(IF(AI163=1,X163,IF(AI163=2,AC163,""))="R","VT REJETÉ – À REPRENDRE",IF(AJ163="CO","COUPE – À RESOUDER","À RÉPARER"))))))))))</f>
        <v>ACCEPTÉ</v>
      </c>
      <c r="AL163" s="82" t="str">
        <f aca="false">IF(AND(ISNUMBER(P163),OR(AK163="À RADIOGRAPHIER",AK163="RÉPARÉ – À RADIOGRAPHIER",AK163="NX – RT À REFAIRE",AK163="À RÉPARER",AK163="COUPE – À RESOUDER",AK163="VT REJETÉ – À REPRENDRE")),MAX(0,'PROGRAMME RT'!$C$4-P163),"")</f>
        <v/>
      </c>
      <c r="AM163" s="78" t="n">
        <f aca="false">IF(AND(OR(AK163="À RADIOGRAPHIER",AK163="RÉPARÉ – À RADIOGRAPHIER",AK163="NX – RT À REFAIRE"),OR('PROGRAMME RT'!$D$5="TOUTES",B163='PROGRAMME RT'!$D$5)),1,0)</f>
        <v>0</v>
      </c>
      <c r="AN163" s="78" t="str">
        <f aca="false">IF(AM163=1,SUM(AM$7:AM163),"")</f>
        <v/>
      </c>
      <c r="AO163" s="78" t="n">
        <f aca="false">IF(AND(OR(AK163="À RÉPARER",AK163="COUPE – À RESOUDER",AK163="VT REJETÉ – À REPRENDRE"),OR(RÉPARATIONS!$D$5="TOUTES",B163=RÉPARATIONS!$D$5)),1,0)</f>
        <v>0</v>
      </c>
      <c r="AP163" s="78" t="str">
        <f aca="false">IF(AO163=1,SUM(AO$7:AO163),"")</f>
        <v/>
      </c>
    </row>
    <row r="164" customFormat="false" ht="15" hidden="false" customHeight="false" outlineLevel="0" collapsed="false">
      <c r="A164" s="78" t="n">
        <f aca="false">IF(E164="","",ROW()-6)</f>
        <v>158</v>
      </c>
      <c r="B164" s="79" t="s">
        <v>100</v>
      </c>
      <c r="C164" s="80" t="s">
        <v>449</v>
      </c>
      <c r="D164" s="80" t="s">
        <v>316</v>
      </c>
      <c r="E164" s="80" t="s">
        <v>473</v>
      </c>
      <c r="F164" s="80" t="s">
        <v>149</v>
      </c>
      <c r="G164" s="80" t="s">
        <v>104</v>
      </c>
      <c r="H164" s="80" t="n">
        <v>11</v>
      </c>
      <c r="I164" s="80" t="s">
        <v>112</v>
      </c>
      <c r="J164" s="80" t="s">
        <v>130</v>
      </c>
      <c r="K164" s="80" t="s">
        <v>471</v>
      </c>
      <c r="L164" s="80" t="s">
        <v>474</v>
      </c>
      <c r="M164" s="80" t="s">
        <v>139</v>
      </c>
      <c r="N164" s="80" t="s">
        <v>139</v>
      </c>
      <c r="O164" s="80" t="s">
        <v>202</v>
      </c>
      <c r="P164" s="81" t="n">
        <v>45887</v>
      </c>
      <c r="Q164" s="81" t="n">
        <v>45887</v>
      </c>
      <c r="R164" s="80" t="s">
        <v>472</v>
      </c>
      <c r="S164" s="80" t="s">
        <v>103</v>
      </c>
      <c r="T164" s="81" t="n">
        <v>45896</v>
      </c>
      <c r="U164" s="80" t="s">
        <v>467</v>
      </c>
      <c r="V164" s="80" t="s">
        <v>103</v>
      </c>
      <c r="W164" s="80"/>
      <c r="X164" s="80"/>
      <c r="Y164" s="81"/>
      <c r="Z164" s="80"/>
      <c r="AA164" s="80"/>
      <c r="AB164" s="80"/>
      <c r="AC164" s="80"/>
      <c r="AD164" s="81"/>
      <c r="AE164" s="80"/>
      <c r="AF164" s="80"/>
      <c r="AG164" s="81"/>
      <c r="AH164" s="79"/>
      <c r="AI164" s="78" t="n">
        <f aca="false">IF(E164="","",(V164&lt;&gt;"")+(AA164&lt;&gt;"")+(AF164&lt;&gt;""))</f>
        <v>1</v>
      </c>
      <c r="AJ164" s="82" t="str">
        <f aca="false">IF(AF164&lt;&gt;"",AF164,IF(AA164&lt;&gt;"",AA164,IF(V164&lt;&gt;"",V164,"")))</f>
        <v>A</v>
      </c>
      <c r="AK164" s="83" t="str">
        <f aca="false">IF(E164="","",IF(P164="","À SOUDER",IF(S164="","VT EN ATTENTE",IF(S164="R","VT REJETÉ – À REPRENDRE",IF(AJ164="","À RADIOGRAPHIER",IF(AJ164="A","ACCEPTÉ",IF(AJ164="NX","NX – RT À REFAIRE",IF(IF(AI164=1,X164,IF(AI164=2,AC164,""))="A","RÉPARÉ – À RADIOGRAPHIER",IF(IF(AI164=1,X164,IF(AI164=2,AC164,""))="R","VT REJETÉ – À REPRENDRE",IF(AJ164="CO","COUPE – À RESOUDER","À RÉPARER"))))))))))</f>
        <v>ACCEPTÉ</v>
      </c>
      <c r="AL164" s="82" t="str">
        <f aca="false">IF(AND(ISNUMBER(P164),OR(AK164="À RADIOGRAPHIER",AK164="RÉPARÉ – À RADIOGRAPHIER",AK164="NX – RT À REFAIRE",AK164="À RÉPARER",AK164="COUPE – À RESOUDER",AK164="VT REJETÉ – À REPRENDRE")),MAX(0,'PROGRAMME RT'!$C$4-P164),"")</f>
        <v/>
      </c>
      <c r="AM164" s="78" t="n">
        <f aca="false">IF(AND(OR(AK164="À RADIOGRAPHIER",AK164="RÉPARÉ – À RADIOGRAPHIER",AK164="NX – RT À REFAIRE"),OR('PROGRAMME RT'!$D$5="TOUTES",B164='PROGRAMME RT'!$D$5)),1,0)</f>
        <v>0</v>
      </c>
      <c r="AN164" s="78" t="str">
        <f aca="false">IF(AM164=1,SUM(AM$7:AM164),"")</f>
        <v/>
      </c>
      <c r="AO164" s="78" t="n">
        <f aca="false">IF(AND(OR(AK164="À RÉPARER",AK164="COUPE – À RESOUDER",AK164="VT REJETÉ – À REPRENDRE"),OR(RÉPARATIONS!$D$5="TOUTES",B164=RÉPARATIONS!$D$5)),1,0)</f>
        <v>0</v>
      </c>
      <c r="AP164" s="78" t="str">
        <f aca="false">IF(AO164=1,SUM(AO$7:AO164),"")</f>
        <v/>
      </c>
    </row>
    <row r="165" customFormat="false" ht="15" hidden="false" customHeight="false" outlineLevel="0" collapsed="false">
      <c r="A165" s="78" t="n">
        <f aca="false">IF(E165="","",ROW()-6)</f>
        <v>159</v>
      </c>
      <c r="B165" s="79" t="s">
        <v>100</v>
      </c>
      <c r="C165" s="80" t="s">
        <v>449</v>
      </c>
      <c r="D165" s="80" t="s">
        <v>316</v>
      </c>
      <c r="E165" s="80" t="s">
        <v>475</v>
      </c>
      <c r="F165" s="80" t="s">
        <v>149</v>
      </c>
      <c r="G165" s="80" t="s">
        <v>104</v>
      </c>
      <c r="H165" s="80" t="n">
        <v>11</v>
      </c>
      <c r="I165" s="80" t="s">
        <v>112</v>
      </c>
      <c r="J165" s="80" t="s">
        <v>130</v>
      </c>
      <c r="K165" s="80" t="s">
        <v>474</v>
      </c>
      <c r="L165" s="80" t="s">
        <v>476</v>
      </c>
      <c r="M165" s="80" t="s">
        <v>139</v>
      </c>
      <c r="N165" s="80" t="s">
        <v>139</v>
      </c>
      <c r="O165" s="80" t="s">
        <v>123</v>
      </c>
      <c r="P165" s="81" t="n">
        <v>45887</v>
      </c>
      <c r="Q165" s="81" t="n">
        <v>45887</v>
      </c>
      <c r="R165" s="80" t="s">
        <v>472</v>
      </c>
      <c r="S165" s="80" t="s">
        <v>103</v>
      </c>
      <c r="T165" s="81" t="n">
        <v>45896</v>
      </c>
      <c r="U165" s="80" t="s">
        <v>467</v>
      </c>
      <c r="V165" s="80" t="s">
        <v>103</v>
      </c>
      <c r="W165" s="80"/>
      <c r="X165" s="80"/>
      <c r="Y165" s="81"/>
      <c r="Z165" s="80"/>
      <c r="AA165" s="80"/>
      <c r="AB165" s="80"/>
      <c r="AC165" s="80"/>
      <c r="AD165" s="81"/>
      <c r="AE165" s="80"/>
      <c r="AF165" s="80"/>
      <c r="AG165" s="81"/>
      <c r="AH165" s="79"/>
      <c r="AI165" s="78" t="n">
        <f aca="false">IF(E165="","",(V165&lt;&gt;"")+(AA165&lt;&gt;"")+(AF165&lt;&gt;""))</f>
        <v>1</v>
      </c>
      <c r="AJ165" s="82" t="str">
        <f aca="false">IF(AF165&lt;&gt;"",AF165,IF(AA165&lt;&gt;"",AA165,IF(V165&lt;&gt;"",V165,"")))</f>
        <v>A</v>
      </c>
      <c r="AK165" s="83" t="str">
        <f aca="false">IF(E165="","",IF(P165="","À SOUDER",IF(S165="","VT EN ATTENTE",IF(S165="R","VT REJETÉ – À REPRENDRE",IF(AJ165="","À RADIOGRAPHIER",IF(AJ165="A","ACCEPTÉ",IF(AJ165="NX","NX – RT À REFAIRE",IF(IF(AI165=1,X165,IF(AI165=2,AC165,""))="A","RÉPARÉ – À RADIOGRAPHIER",IF(IF(AI165=1,X165,IF(AI165=2,AC165,""))="R","VT REJETÉ – À REPRENDRE",IF(AJ165="CO","COUPE – À RESOUDER","À RÉPARER"))))))))))</f>
        <v>ACCEPTÉ</v>
      </c>
      <c r="AL165" s="82" t="str">
        <f aca="false">IF(AND(ISNUMBER(P165),OR(AK165="À RADIOGRAPHIER",AK165="RÉPARÉ – À RADIOGRAPHIER",AK165="NX – RT À REFAIRE",AK165="À RÉPARER",AK165="COUPE – À RESOUDER",AK165="VT REJETÉ – À REPRENDRE")),MAX(0,'PROGRAMME RT'!$C$4-P165),"")</f>
        <v/>
      </c>
      <c r="AM165" s="78" t="n">
        <f aca="false">IF(AND(OR(AK165="À RADIOGRAPHIER",AK165="RÉPARÉ – À RADIOGRAPHIER",AK165="NX – RT À REFAIRE"),OR('PROGRAMME RT'!$D$5="TOUTES",B165='PROGRAMME RT'!$D$5)),1,0)</f>
        <v>0</v>
      </c>
      <c r="AN165" s="78" t="str">
        <f aca="false">IF(AM165=1,SUM(AM$7:AM165),"")</f>
        <v/>
      </c>
      <c r="AO165" s="78" t="n">
        <f aca="false">IF(AND(OR(AK165="À RÉPARER",AK165="COUPE – À RESOUDER",AK165="VT REJETÉ – À REPRENDRE"),OR(RÉPARATIONS!$D$5="TOUTES",B165=RÉPARATIONS!$D$5)),1,0)</f>
        <v>0</v>
      </c>
      <c r="AP165" s="78" t="str">
        <f aca="false">IF(AO165=1,SUM(AO$7:AO165),"")</f>
        <v/>
      </c>
    </row>
    <row r="166" customFormat="false" ht="15" hidden="false" customHeight="false" outlineLevel="0" collapsed="false">
      <c r="A166" s="78" t="n">
        <f aca="false">IF(E166="","",ROW()-6)</f>
        <v>160</v>
      </c>
      <c r="B166" s="79" t="s">
        <v>100</v>
      </c>
      <c r="C166" s="80" t="s">
        <v>449</v>
      </c>
      <c r="D166" s="80" t="s">
        <v>316</v>
      </c>
      <c r="E166" s="80" t="s">
        <v>477</v>
      </c>
      <c r="F166" s="80" t="s">
        <v>149</v>
      </c>
      <c r="G166" s="80" t="s">
        <v>104</v>
      </c>
      <c r="H166" s="80" t="n">
        <v>11</v>
      </c>
      <c r="I166" s="80" t="s">
        <v>112</v>
      </c>
      <c r="J166" s="80" t="s">
        <v>130</v>
      </c>
      <c r="K166" s="80" t="s">
        <v>476</v>
      </c>
      <c r="L166" s="80" t="s">
        <v>478</v>
      </c>
      <c r="M166" s="80" t="s">
        <v>139</v>
      </c>
      <c r="N166" s="80" t="s">
        <v>139</v>
      </c>
      <c r="O166" s="80" t="s">
        <v>202</v>
      </c>
      <c r="P166" s="81" t="n">
        <v>45887</v>
      </c>
      <c r="Q166" s="81" t="n">
        <v>45887</v>
      </c>
      <c r="R166" s="80" t="s">
        <v>472</v>
      </c>
      <c r="S166" s="80" t="s">
        <v>103</v>
      </c>
      <c r="T166" s="81" t="n">
        <v>45896</v>
      </c>
      <c r="U166" s="80" t="s">
        <v>467</v>
      </c>
      <c r="V166" s="80" t="s">
        <v>103</v>
      </c>
      <c r="W166" s="80"/>
      <c r="X166" s="80"/>
      <c r="Y166" s="81"/>
      <c r="Z166" s="80"/>
      <c r="AA166" s="80"/>
      <c r="AB166" s="80"/>
      <c r="AC166" s="80"/>
      <c r="AD166" s="81"/>
      <c r="AE166" s="80"/>
      <c r="AF166" s="80"/>
      <c r="AG166" s="81"/>
      <c r="AH166" s="79"/>
      <c r="AI166" s="78" t="n">
        <f aca="false">IF(E166="","",(V166&lt;&gt;"")+(AA166&lt;&gt;"")+(AF166&lt;&gt;""))</f>
        <v>1</v>
      </c>
      <c r="AJ166" s="82" t="str">
        <f aca="false">IF(AF166&lt;&gt;"",AF166,IF(AA166&lt;&gt;"",AA166,IF(V166&lt;&gt;"",V166,"")))</f>
        <v>A</v>
      </c>
      <c r="AK166" s="83" t="str">
        <f aca="false">IF(E166="","",IF(P166="","À SOUDER",IF(S166="","VT EN ATTENTE",IF(S166="R","VT REJETÉ – À REPRENDRE",IF(AJ166="","À RADIOGRAPHIER",IF(AJ166="A","ACCEPTÉ",IF(AJ166="NX","NX – RT À REFAIRE",IF(IF(AI166=1,X166,IF(AI166=2,AC166,""))="A","RÉPARÉ – À RADIOGRAPHIER",IF(IF(AI166=1,X166,IF(AI166=2,AC166,""))="R","VT REJETÉ – À REPRENDRE",IF(AJ166="CO","COUPE – À RESOUDER","À RÉPARER"))))))))))</f>
        <v>ACCEPTÉ</v>
      </c>
      <c r="AL166" s="82" t="str">
        <f aca="false">IF(AND(ISNUMBER(P166),OR(AK166="À RADIOGRAPHIER",AK166="RÉPARÉ – À RADIOGRAPHIER",AK166="NX – RT À REFAIRE",AK166="À RÉPARER",AK166="COUPE – À RESOUDER",AK166="VT REJETÉ – À REPRENDRE")),MAX(0,'PROGRAMME RT'!$C$4-P166),"")</f>
        <v/>
      </c>
      <c r="AM166" s="78" t="n">
        <f aca="false">IF(AND(OR(AK166="À RADIOGRAPHIER",AK166="RÉPARÉ – À RADIOGRAPHIER",AK166="NX – RT À REFAIRE"),OR('PROGRAMME RT'!$D$5="TOUTES",B166='PROGRAMME RT'!$D$5)),1,0)</f>
        <v>0</v>
      </c>
      <c r="AN166" s="78" t="str">
        <f aca="false">IF(AM166=1,SUM(AM$7:AM166),"")</f>
        <v/>
      </c>
      <c r="AO166" s="78" t="n">
        <f aca="false">IF(AND(OR(AK166="À RÉPARER",AK166="COUPE – À RESOUDER",AK166="VT REJETÉ – À REPRENDRE"),OR(RÉPARATIONS!$D$5="TOUTES",B166=RÉPARATIONS!$D$5)),1,0)</f>
        <v>0</v>
      </c>
      <c r="AP166" s="78" t="str">
        <f aca="false">IF(AO166=1,SUM(AO$7:AO166),"")</f>
        <v/>
      </c>
    </row>
    <row r="167" customFormat="false" ht="15" hidden="false" customHeight="false" outlineLevel="0" collapsed="false">
      <c r="A167" s="78" t="n">
        <f aca="false">IF(E167="","",ROW()-6)</f>
        <v>161</v>
      </c>
      <c r="B167" s="79" t="s">
        <v>100</v>
      </c>
      <c r="C167" s="80" t="s">
        <v>449</v>
      </c>
      <c r="D167" s="80" t="s">
        <v>316</v>
      </c>
      <c r="E167" s="80" t="s">
        <v>479</v>
      </c>
      <c r="F167" s="80" t="s">
        <v>149</v>
      </c>
      <c r="G167" s="80" t="s">
        <v>104</v>
      </c>
      <c r="H167" s="80" t="n">
        <v>11</v>
      </c>
      <c r="I167" s="80" t="s">
        <v>112</v>
      </c>
      <c r="J167" s="80" t="s">
        <v>130</v>
      </c>
      <c r="K167" s="80" t="s">
        <v>478</v>
      </c>
      <c r="L167" s="80" t="s">
        <v>480</v>
      </c>
      <c r="M167" s="80" t="s">
        <v>139</v>
      </c>
      <c r="N167" s="80" t="s">
        <v>139</v>
      </c>
      <c r="O167" s="80" t="s">
        <v>123</v>
      </c>
      <c r="P167" s="81" t="n">
        <v>45887</v>
      </c>
      <c r="Q167" s="81" t="n">
        <v>45887</v>
      </c>
      <c r="R167" s="80" t="s">
        <v>472</v>
      </c>
      <c r="S167" s="80" t="s">
        <v>103</v>
      </c>
      <c r="T167" s="81" t="n">
        <v>45896</v>
      </c>
      <c r="U167" s="80" t="s">
        <v>467</v>
      </c>
      <c r="V167" s="80" t="s">
        <v>103</v>
      </c>
      <c r="W167" s="80"/>
      <c r="X167" s="80"/>
      <c r="Y167" s="81"/>
      <c r="Z167" s="80"/>
      <c r="AA167" s="80"/>
      <c r="AB167" s="80"/>
      <c r="AC167" s="80"/>
      <c r="AD167" s="81"/>
      <c r="AE167" s="80"/>
      <c r="AF167" s="80"/>
      <c r="AG167" s="81"/>
      <c r="AH167" s="79"/>
      <c r="AI167" s="78" t="n">
        <f aca="false">IF(E167="","",(V167&lt;&gt;"")+(AA167&lt;&gt;"")+(AF167&lt;&gt;""))</f>
        <v>1</v>
      </c>
      <c r="AJ167" s="82" t="str">
        <f aca="false">IF(AF167&lt;&gt;"",AF167,IF(AA167&lt;&gt;"",AA167,IF(V167&lt;&gt;"",V167,"")))</f>
        <v>A</v>
      </c>
      <c r="AK167" s="83" t="str">
        <f aca="false">IF(E167="","",IF(P167="","À SOUDER",IF(S167="","VT EN ATTENTE",IF(S167="R","VT REJETÉ – À REPRENDRE",IF(AJ167="","À RADIOGRAPHIER",IF(AJ167="A","ACCEPTÉ",IF(AJ167="NX","NX – RT À REFAIRE",IF(IF(AI167=1,X167,IF(AI167=2,AC167,""))="A","RÉPARÉ – À RADIOGRAPHIER",IF(IF(AI167=1,X167,IF(AI167=2,AC167,""))="R","VT REJETÉ – À REPRENDRE",IF(AJ167="CO","COUPE – À RESOUDER","À RÉPARER"))))))))))</f>
        <v>ACCEPTÉ</v>
      </c>
      <c r="AL167" s="82" t="str">
        <f aca="false">IF(AND(ISNUMBER(P167),OR(AK167="À RADIOGRAPHIER",AK167="RÉPARÉ – À RADIOGRAPHIER",AK167="NX – RT À REFAIRE",AK167="À RÉPARER",AK167="COUPE – À RESOUDER",AK167="VT REJETÉ – À REPRENDRE")),MAX(0,'PROGRAMME RT'!$C$4-P167),"")</f>
        <v/>
      </c>
      <c r="AM167" s="78" t="n">
        <f aca="false">IF(AND(OR(AK167="À RADIOGRAPHIER",AK167="RÉPARÉ – À RADIOGRAPHIER",AK167="NX – RT À REFAIRE"),OR('PROGRAMME RT'!$D$5="TOUTES",B167='PROGRAMME RT'!$D$5)),1,0)</f>
        <v>0</v>
      </c>
      <c r="AN167" s="78" t="str">
        <f aca="false">IF(AM167=1,SUM(AM$7:AM167),"")</f>
        <v/>
      </c>
      <c r="AO167" s="78" t="n">
        <f aca="false">IF(AND(OR(AK167="À RÉPARER",AK167="COUPE – À RESOUDER",AK167="VT REJETÉ – À REPRENDRE"),OR(RÉPARATIONS!$D$5="TOUTES",B167=RÉPARATIONS!$D$5)),1,0)</f>
        <v>0</v>
      </c>
      <c r="AP167" s="78" t="str">
        <f aca="false">IF(AO167=1,SUM(AO$7:AO167),"")</f>
        <v/>
      </c>
    </row>
    <row r="168" customFormat="false" ht="15" hidden="false" customHeight="false" outlineLevel="0" collapsed="false">
      <c r="A168" s="78" t="n">
        <f aca="false">IF(E168="","",ROW()-6)</f>
        <v>162</v>
      </c>
      <c r="B168" s="79" t="s">
        <v>100</v>
      </c>
      <c r="C168" s="80" t="s">
        <v>449</v>
      </c>
      <c r="D168" s="80" t="s">
        <v>316</v>
      </c>
      <c r="E168" s="80" t="s">
        <v>481</v>
      </c>
      <c r="F168" s="80" t="s">
        <v>149</v>
      </c>
      <c r="G168" s="80" t="s">
        <v>104</v>
      </c>
      <c r="H168" s="80" t="n">
        <v>11</v>
      </c>
      <c r="I168" s="80" t="s">
        <v>112</v>
      </c>
      <c r="J168" s="80" t="s">
        <v>130</v>
      </c>
      <c r="K168" s="80" t="s">
        <v>480</v>
      </c>
      <c r="L168" s="80" t="s">
        <v>482</v>
      </c>
      <c r="M168" s="80" t="s">
        <v>139</v>
      </c>
      <c r="N168" s="80" t="s">
        <v>139</v>
      </c>
      <c r="O168" s="80" t="s">
        <v>202</v>
      </c>
      <c r="P168" s="81" t="n">
        <v>45887</v>
      </c>
      <c r="Q168" s="81" t="n">
        <v>45887</v>
      </c>
      <c r="R168" s="80" t="s">
        <v>472</v>
      </c>
      <c r="S168" s="80" t="s">
        <v>103</v>
      </c>
      <c r="T168" s="81" t="n">
        <v>45896</v>
      </c>
      <c r="U168" s="80" t="s">
        <v>467</v>
      </c>
      <c r="V168" s="80" t="s">
        <v>103</v>
      </c>
      <c r="W168" s="80"/>
      <c r="X168" s="80"/>
      <c r="Y168" s="81"/>
      <c r="Z168" s="80"/>
      <c r="AA168" s="80"/>
      <c r="AB168" s="80"/>
      <c r="AC168" s="80"/>
      <c r="AD168" s="81"/>
      <c r="AE168" s="80"/>
      <c r="AF168" s="80"/>
      <c r="AG168" s="81"/>
      <c r="AH168" s="79"/>
      <c r="AI168" s="78" t="n">
        <f aca="false">IF(E168="","",(V168&lt;&gt;"")+(AA168&lt;&gt;"")+(AF168&lt;&gt;""))</f>
        <v>1</v>
      </c>
      <c r="AJ168" s="82" t="str">
        <f aca="false">IF(AF168&lt;&gt;"",AF168,IF(AA168&lt;&gt;"",AA168,IF(V168&lt;&gt;"",V168,"")))</f>
        <v>A</v>
      </c>
      <c r="AK168" s="83" t="str">
        <f aca="false">IF(E168="","",IF(P168="","À SOUDER",IF(S168="","VT EN ATTENTE",IF(S168="R","VT REJETÉ – À REPRENDRE",IF(AJ168="","À RADIOGRAPHIER",IF(AJ168="A","ACCEPTÉ",IF(AJ168="NX","NX – RT À REFAIRE",IF(IF(AI168=1,X168,IF(AI168=2,AC168,""))="A","RÉPARÉ – À RADIOGRAPHIER",IF(IF(AI168=1,X168,IF(AI168=2,AC168,""))="R","VT REJETÉ – À REPRENDRE",IF(AJ168="CO","COUPE – À RESOUDER","À RÉPARER"))))))))))</f>
        <v>ACCEPTÉ</v>
      </c>
      <c r="AL168" s="82" t="str">
        <f aca="false">IF(AND(ISNUMBER(P168),OR(AK168="À RADIOGRAPHIER",AK168="RÉPARÉ – À RADIOGRAPHIER",AK168="NX – RT À REFAIRE",AK168="À RÉPARER",AK168="COUPE – À RESOUDER",AK168="VT REJETÉ – À REPRENDRE")),MAX(0,'PROGRAMME RT'!$C$4-P168),"")</f>
        <v/>
      </c>
      <c r="AM168" s="78" t="n">
        <f aca="false">IF(AND(OR(AK168="À RADIOGRAPHIER",AK168="RÉPARÉ – À RADIOGRAPHIER",AK168="NX – RT À REFAIRE"),OR('PROGRAMME RT'!$D$5="TOUTES",B168='PROGRAMME RT'!$D$5)),1,0)</f>
        <v>0</v>
      </c>
      <c r="AN168" s="78" t="str">
        <f aca="false">IF(AM168=1,SUM(AM$7:AM168),"")</f>
        <v/>
      </c>
      <c r="AO168" s="78" t="n">
        <f aca="false">IF(AND(OR(AK168="À RÉPARER",AK168="COUPE – À RESOUDER",AK168="VT REJETÉ – À REPRENDRE"),OR(RÉPARATIONS!$D$5="TOUTES",B168=RÉPARATIONS!$D$5)),1,0)</f>
        <v>0</v>
      </c>
      <c r="AP168" s="78" t="str">
        <f aca="false">IF(AO168=1,SUM(AO$7:AO168),"")</f>
        <v/>
      </c>
    </row>
    <row r="169" customFormat="false" ht="15" hidden="false" customHeight="false" outlineLevel="0" collapsed="false">
      <c r="A169" s="78" t="n">
        <f aca="false">IF(E169="","",ROW()-6)</f>
        <v>163</v>
      </c>
      <c r="B169" s="79" t="s">
        <v>100</v>
      </c>
      <c r="C169" s="80" t="s">
        <v>449</v>
      </c>
      <c r="D169" s="80" t="s">
        <v>316</v>
      </c>
      <c r="E169" s="80" t="s">
        <v>483</v>
      </c>
      <c r="F169" s="80" t="s">
        <v>149</v>
      </c>
      <c r="G169" s="80" t="s">
        <v>104</v>
      </c>
      <c r="H169" s="80" t="n">
        <v>11</v>
      </c>
      <c r="I169" s="80" t="s">
        <v>112</v>
      </c>
      <c r="J169" s="80" t="s">
        <v>130</v>
      </c>
      <c r="K169" s="80" t="s">
        <v>482</v>
      </c>
      <c r="L169" s="80" t="s">
        <v>484</v>
      </c>
      <c r="M169" s="80" t="s">
        <v>139</v>
      </c>
      <c r="N169" s="80" t="s">
        <v>139</v>
      </c>
      <c r="O169" s="80" t="s">
        <v>123</v>
      </c>
      <c r="P169" s="81" t="n">
        <v>45887</v>
      </c>
      <c r="Q169" s="81" t="n">
        <v>45887</v>
      </c>
      <c r="R169" s="80" t="s">
        <v>472</v>
      </c>
      <c r="S169" s="80" t="s">
        <v>103</v>
      </c>
      <c r="T169" s="81" t="n">
        <v>45896</v>
      </c>
      <c r="U169" s="80" t="s">
        <v>467</v>
      </c>
      <c r="V169" s="80" t="s">
        <v>103</v>
      </c>
      <c r="W169" s="80"/>
      <c r="X169" s="80"/>
      <c r="Y169" s="81"/>
      <c r="Z169" s="80"/>
      <c r="AA169" s="80"/>
      <c r="AB169" s="80"/>
      <c r="AC169" s="80"/>
      <c r="AD169" s="81"/>
      <c r="AE169" s="80"/>
      <c r="AF169" s="80"/>
      <c r="AG169" s="81"/>
      <c r="AH169" s="79"/>
      <c r="AI169" s="78" t="n">
        <f aca="false">IF(E169="","",(V169&lt;&gt;"")+(AA169&lt;&gt;"")+(AF169&lt;&gt;""))</f>
        <v>1</v>
      </c>
      <c r="AJ169" s="82" t="str">
        <f aca="false">IF(AF169&lt;&gt;"",AF169,IF(AA169&lt;&gt;"",AA169,IF(V169&lt;&gt;"",V169,"")))</f>
        <v>A</v>
      </c>
      <c r="AK169" s="83" t="str">
        <f aca="false">IF(E169="","",IF(P169="","À SOUDER",IF(S169="","VT EN ATTENTE",IF(S169="R","VT REJETÉ – À REPRENDRE",IF(AJ169="","À RADIOGRAPHIER",IF(AJ169="A","ACCEPTÉ",IF(AJ169="NX","NX – RT À REFAIRE",IF(IF(AI169=1,X169,IF(AI169=2,AC169,""))="A","RÉPARÉ – À RADIOGRAPHIER",IF(IF(AI169=1,X169,IF(AI169=2,AC169,""))="R","VT REJETÉ – À REPRENDRE",IF(AJ169="CO","COUPE – À RESOUDER","À RÉPARER"))))))))))</f>
        <v>ACCEPTÉ</v>
      </c>
      <c r="AL169" s="82" t="str">
        <f aca="false">IF(AND(ISNUMBER(P169),OR(AK169="À RADIOGRAPHIER",AK169="RÉPARÉ – À RADIOGRAPHIER",AK169="NX – RT À REFAIRE",AK169="À RÉPARER",AK169="COUPE – À RESOUDER",AK169="VT REJETÉ – À REPRENDRE")),MAX(0,'PROGRAMME RT'!$C$4-P169),"")</f>
        <v/>
      </c>
      <c r="AM169" s="78" t="n">
        <f aca="false">IF(AND(OR(AK169="À RADIOGRAPHIER",AK169="RÉPARÉ – À RADIOGRAPHIER",AK169="NX – RT À REFAIRE"),OR('PROGRAMME RT'!$D$5="TOUTES",B169='PROGRAMME RT'!$D$5)),1,0)</f>
        <v>0</v>
      </c>
      <c r="AN169" s="78" t="str">
        <f aca="false">IF(AM169=1,SUM(AM$7:AM169),"")</f>
        <v/>
      </c>
      <c r="AO169" s="78" t="n">
        <f aca="false">IF(AND(OR(AK169="À RÉPARER",AK169="COUPE – À RESOUDER",AK169="VT REJETÉ – À REPRENDRE"),OR(RÉPARATIONS!$D$5="TOUTES",B169=RÉPARATIONS!$D$5)),1,0)</f>
        <v>0</v>
      </c>
      <c r="AP169" s="78" t="str">
        <f aca="false">IF(AO169=1,SUM(AO$7:AO169),"")</f>
        <v/>
      </c>
    </row>
    <row r="170" customFormat="false" ht="15" hidden="false" customHeight="false" outlineLevel="0" collapsed="false">
      <c r="A170" s="78" t="n">
        <f aca="false">IF(E170="","",ROW()-6)</f>
        <v>164</v>
      </c>
      <c r="B170" s="79" t="s">
        <v>100</v>
      </c>
      <c r="C170" s="80" t="s">
        <v>449</v>
      </c>
      <c r="D170" s="80" t="s">
        <v>316</v>
      </c>
      <c r="E170" s="80" t="s">
        <v>485</v>
      </c>
      <c r="F170" s="80" t="s">
        <v>149</v>
      </c>
      <c r="G170" s="80" t="s">
        <v>104</v>
      </c>
      <c r="H170" s="80" t="n">
        <v>11</v>
      </c>
      <c r="I170" s="80" t="s">
        <v>112</v>
      </c>
      <c r="J170" s="80" t="s">
        <v>130</v>
      </c>
      <c r="K170" s="80" t="s">
        <v>484</v>
      </c>
      <c r="L170" s="80" t="s">
        <v>486</v>
      </c>
      <c r="M170" s="80" t="s">
        <v>139</v>
      </c>
      <c r="N170" s="80" t="s">
        <v>139</v>
      </c>
      <c r="O170" s="80" t="s">
        <v>123</v>
      </c>
      <c r="P170" s="81" t="n">
        <v>45887</v>
      </c>
      <c r="Q170" s="81" t="n">
        <v>45887</v>
      </c>
      <c r="R170" s="80" t="s">
        <v>472</v>
      </c>
      <c r="S170" s="80" t="s">
        <v>103</v>
      </c>
      <c r="T170" s="81" t="n">
        <v>45896</v>
      </c>
      <c r="U170" s="80" t="s">
        <v>467</v>
      </c>
      <c r="V170" s="80" t="s">
        <v>103</v>
      </c>
      <c r="W170" s="80"/>
      <c r="X170" s="80"/>
      <c r="Y170" s="81"/>
      <c r="Z170" s="80"/>
      <c r="AA170" s="80"/>
      <c r="AB170" s="80"/>
      <c r="AC170" s="80"/>
      <c r="AD170" s="81"/>
      <c r="AE170" s="80"/>
      <c r="AF170" s="80"/>
      <c r="AG170" s="81"/>
      <c r="AH170" s="79"/>
      <c r="AI170" s="78" t="n">
        <f aca="false">IF(E170="","",(V170&lt;&gt;"")+(AA170&lt;&gt;"")+(AF170&lt;&gt;""))</f>
        <v>1</v>
      </c>
      <c r="AJ170" s="82" t="str">
        <f aca="false">IF(AF170&lt;&gt;"",AF170,IF(AA170&lt;&gt;"",AA170,IF(V170&lt;&gt;"",V170,"")))</f>
        <v>A</v>
      </c>
      <c r="AK170" s="83" t="str">
        <f aca="false">IF(E170="","",IF(P170="","À SOUDER",IF(S170="","VT EN ATTENTE",IF(S170="R","VT REJETÉ – À REPRENDRE",IF(AJ170="","À RADIOGRAPHIER",IF(AJ170="A","ACCEPTÉ",IF(AJ170="NX","NX – RT À REFAIRE",IF(IF(AI170=1,X170,IF(AI170=2,AC170,""))="A","RÉPARÉ – À RADIOGRAPHIER",IF(IF(AI170=1,X170,IF(AI170=2,AC170,""))="R","VT REJETÉ – À REPRENDRE",IF(AJ170="CO","COUPE – À RESOUDER","À RÉPARER"))))))))))</f>
        <v>ACCEPTÉ</v>
      </c>
      <c r="AL170" s="82" t="str">
        <f aca="false">IF(AND(ISNUMBER(P170),OR(AK170="À RADIOGRAPHIER",AK170="RÉPARÉ – À RADIOGRAPHIER",AK170="NX – RT À REFAIRE",AK170="À RÉPARER",AK170="COUPE – À RESOUDER",AK170="VT REJETÉ – À REPRENDRE")),MAX(0,'PROGRAMME RT'!$C$4-P170),"")</f>
        <v/>
      </c>
      <c r="AM170" s="78" t="n">
        <f aca="false">IF(AND(OR(AK170="À RADIOGRAPHIER",AK170="RÉPARÉ – À RADIOGRAPHIER",AK170="NX – RT À REFAIRE"),OR('PROGRAMME RT'!$D$5="TOUTES",B170='PROGRAMME RT'!$D$5)),1,0)</f>
        <v>0</v>
      </c>
      <c r="AN170" s="78" t="str">
        <f aca="false">IF(AM170=1,SUM(AM$7:AM170),"")</f>
        <v/>
      </c>
      <c r="AO170" s="78" t="n">
        <f aca="false">IF(AND(OR(AK170="À RÉPARER",AK170="COUPE – À RESOUDER",AK170="VT REJETÉ – À REPRENDRE"),OR(RÉPARATIONS!$D$5="TOUTES",B170=RÉPARATIONS!$D$5)),1,0)</f>
        <v>0</v>
      </c>
      <c r="AP170" s="78" t="str">
        <f aca="false">IF(AO170=1,SUM(AO$7:AO170),"")</f>
        <v/>
      </c>
    </row>
    <row r="171" customFormat="false" ht="15" hidden="false" customHeight="false" outlineLevel="0" collapsed="false">
      <c r="A171" s="78" t="n">
        <f aca="false">IF(E171="","",ROW()-6)</f>
        <v>165</v>
      </c>
      <c r="B171" s="79" t="s">
        <v>100</v>
      </c>
      <c r="C171" s="80" t="s">
        <v>449</v>
      </c>
      <c r="D171" s="80" t="s">
        <v>316</v>
      </c>
      <c r="E171" s="80" t="s">
        <v>487</v>
      </c>
      <c r="F171" s="80" t="s">
        <v>149</v>
      </c>
      <c r="G171" s="80" t="s">
        <v>104</v>
      </c>
      <c r="H171" s="80" t="n">
        <v>11</v>
      </c>
      <c r="I171" s="80" t="s">
        <v>112</v>
      </c>
      <c r="J171" s="80" t="s">
        <v>130</v>
      </c>
      <c r="K171" s="80" t="s">
        <v>486</v>
      </c>
      <c r="L171" s="80" t="s">
        <v>482</v>
      </c>
      <c r="M171" s="80" t="s">
        <v>139</v>
      </c>
      <c r="N171" s="80" t="s">
        <v>139</v>
      </c>
      <c r="O171" s="80" t="s">
        <v>202</v>
      </c>
      <c r="P171" s="81" t="n">
        <v>45887</v>
      </c>
      <c r="Q171" s="81" t="n">
        <v>45887</v>
      </c>
      <c r="R171" s="80" t="s">
        <v>472</v>
      </c>
      <c r="S171" s="80" t="s">
        <v>103</v>
      </c>
      <c r="T171" s="81" t="n">
        <v>45896</v>
      </c>
      <c r="U171" s="80" t="s">
        <v>467</v>
      </c>
      <c r="V171" s="80" t="s">
        <v>103</v>
      </c>
      <c r="W171" s="80"/>
      <c r="X171" s="80"/>
      <c r="Y171" s="81"/>
      <c r="Z171" s="80"/>
      <c r="AA171" s="80"/>
      <c r="AB171" s="80"/>
      <c r="AC171" s="80"/>
      <c r="AD171" s="81"/>
      <c r="AE171" s="80"/>
      <c r="AF171" s="80"/>
      <c r="AG171" s="81"/>
      <c r="AH171" s="79"/>
      <c r="AI171" s="78" t="n">
        <f aca="false">IF(E171="","",(V171&lt;&gt;"")+(AA171&lt;&gt;"")+(AF171&lt;&gt;""))</f>
        <v>1</v>
      </c>
      <c r="AJ171" s="82" t="str">
        <f aca="false">IF(AF171&lt;&gt;"",AF171,IF(AA171&lt;&gt;"",AA171,IF(V171&lt;&gt;"",V171,"")))</f>
        <v>A</v>
      </c>
      <c r="AK171" s="83" t="str">
        <f aca="false">IF(E171="","",IF(P171="","À SOUDER",IF(S171="","VT EN ATTENTE",IF(S171="R","VT REJETÉ – À REPRENDRE",IF(AJ171="","À RADIOGRAPHIER",IF(AJ171="A","ACCEPTÉ",IF(AJ171="NX","NX – RT À REFAIRE",IF(IF(AI171=1,X171,IF(AI171=2,AC171,""))="A","RÉPARÉ – À RADIOGRAPHIER",IF(IF(AI171=1,X171,IF(AI171=2,AC171,""))="R","VT REJETÉ – À REPRENDRE",IF(AJ171="CO","COUPE – À RESOUDER","À RÉPARER"))))))))))</f>
        <v>ACCEPTÉ</v>
      </c>
      <c r="AL171" s="82" t="str">
        <f aca="false">IF(AND(ISNUMBER(P171),OR(AK171="À RADIOGRAPHIER",AK171="RÉPARÉ – À RADIOGRAPHIER",AK171="NX – RT À REFAIRE",AK171="À RÉPARER",AK171="COUPE – À RESOUDER",AK171="VT REJETÉ – À REPRENDRE")),MAX(0,'PROGRAMME RT'!$C$4-P171),"")</f>
        <v/>
      </c>
      <c r="AM171" s="78" t="n">
        <f aca="false">IF(AND(OR(AK171="À RADIOGRAPHIER",AK171="RÉPARÉ – À RADIOGRAPHIER",AK171="NX – RT À REFAIRE"),OR('PROGRAMME RT'!$D$5="TOUTES",B171='PROGRAMME RT'!$D$5)),1,0)</f>
        <v>0</v>
      </c>
      <c r="AN171" s="78" t="str">
        <f aca="false">IF(AM171=1,SUM(AM$7:AM171),"")</f>
        <v/>
      </c>
      <c r="AO171" s="78" t="n">
        <f aca="false">IF(AND(OR(AK171="À RÉPARER",AK171="COUPE – À RESOUDER",AK171="VT REJETÉ – À REPRENDRE"),OR(RÉPARATIONS!$D$5="TOUTES",B171=RÉPARATIONS!$D$5)),1,0)</f>
        <v>0</v>
      </c>
      <c r="AP171" s="78" t="str">
        <f aca="false">IF(AO171=1,SUM(AO$7:AO171),"")</f>
        <v/>
      </c>
    </row>
    <row r="172" customFormat="false" ht="15" hidden="false" customHeight="false" outlineLevel="0" collapsed="false">
      <c r="A172" s="78" t="n">
        <f aca="false">IF(E172="","",ROW()-6)</f>
        <v>166</v>
      </c>
      <c r="B172" s="79" t="s">
        <v>100</v>
      </c>
      <c r="C172" s="80" t="s">
        <v>449</v>
      </c>
      <c r="D172" s="80" t="s">
        <v>316</v>
      </c>
      <c r="E172" s="80" t="s">
        <v>488</v>
      </c>
      <c r="F172" s="80" t="s">
        <v>149</v>
      </c>
      <c r="G172" s="80" t="s">
        <v>104</v>
      </c>
      <c r="H172" s="80" t="n">
        <v>11</v>
      </c>
      <c r="I172" s="80" t="s">
        <v>112</v>
      </c>
      <c r="J172" s="80" t="s">
        <v>130</v>
      </c>
      <c r="K172" s="80" t="s">
        <v>482</v>
      </c>
      <c r="L172" s="80" t="s">
        <v>489</v>
      </c>
      <c r="M172" s="80" t="s">
        <v>139</v>
      </c>
      <c r="N172" s="80" t="s">
        <v>139</v>
      </c>
      <c r="O172" s="80" t="s">
        <v>202</v>
      </c>
      <c r="P172" s="81" t="n">
        <v>45887</v>
      </c>
      <c r="Q172" s="81" t="n">
        <v>45887</v>
      </c>
      <c r="R172" s="80" t="s">
        <v>472</v>
      </c>
      <c r="S172" s="80" t="s">
        <v>103</v>
      </c>
      <c r="T172" s="81" t="n">
        <v>45896</v>
      </c>
      <c r="U172" s="80" t="s">
        <v>467</v>
      </c>
      <c r="V172" s="80" t="s">
        <v>103</v>
      </c>
      <c r="W172" s="80"/>
      <c r="X172" s="80"/>
      <c r="Y172" s="81"/>
      <c r="Z172" s="80"/>
      <c r="AA172" s="80"/>
      <c r="AB172" s="80"/>
      <c r="AC172" s="80"/>
      <c r="AD172" s="81"/>
      <c r="AE172" s="80"/>
      <c r="AF172" s="80"/>
      <c r="AG172" s="81"/>
      <c r="AH172" s="79"/>
      <c r="AI172" s="78" t="n">
        <f aca="false">IF(E172="","",(V172&lt;&gt;"")+(AA172&lt;&gt;"")+(AF172&lt;&gt;""))</f>
        <v>1</v>
      </c>
      <c r="AJ172" s="82" t="str">
        <f aca="false">IF(AF172&lt;&gt;"",AF172,IF(AA172&lt;&gt;"",AA172,IF(V172&lt;&gt;"",V172,"")))</f>
        <v>A</v>
      </c>
      <c r="AK172" s="83" t="str">
        <f aca="false">IF(E172="","",IF(P172="","À SOUDER",IF(S172="","VT EN ATTENTE",IF(S172="R","VT REJETÉ – À REPRENDRE",IF(AJ172="","À RADIOGRAPHIER",IF(AJ172="A","ACCEPTÉ",IF(AJ172="NX","NX – RT À REFAIRE",IF(IF(AI172=1,X172,IF(AI172=2,AC172,""))="A","RÉPARÉ – À RADIOGRAPHIER",IF(IF(AI172=1,X172,IF(AI172=2,AC172,""))="R","VT REJETÉ – À REPRENDRE",IF(AJ172="CO","COUPE – À RESOUDER","À RÉPARER"))))))))))</f>
        <v>ACCEPTÉ</v>
      </c>
      <c r="AL172" s="82" t="str">
        <f aca="false">IF(AND(ISNUMBER(P172),OR(AK172="À RADIOGRAPHIER",AK172="RÉPARÉ – À RADIOGRAPHIER",AK172="NX – RT À REFAIRE",AK172="À RÉPARER",AK172="COUPE – À RESOUDER",AK172="VT REJETÉ – À REPRENDRE")),MAX(0,'PROGRAMME RT'!$C$4-P172),"")</f>
        <v/>
      </c>
      <c r="AM172" s="78" t="n">
        <f aca="false">IF(AND(OR(AK172="À RADIOGRAPHIER",AK172="RÉPARÉ – À RADIOGRAPHIER",AK172="NX – RT À REFAIRE"),OR('PROGRAMME RT'!$D$5="TOUTES",B172='PROGRAMME RT'!$D$5)),1,0)</f>
        <v>0</v>
      </c>
      <c r="AN172" s="78" t="str">
        <f aca="false">IF(AM172=1,SUM(AM$7:AM172),"")</f>
        <v/>
      </c>
      <c r="AO172" s="78" t="n">
        <f aca="false">IF(AND(OR(AK172="À RÉPARER",AK172="COUPE – À RESOUDER",AK172="VT REJETÉ – À REPRENDRE"),OR(RÉPARATIONS!$D$5="TOUTES",B172=RÉPARATIONS!$D$5)),1,0)</f>
        <v>0</v>
      </c>
      <c r="AP172" s="78" t="str">
        <f aca="false">IF(AO172=1,SUM(AO$7:AO172),"")</f>
        <v/>
      </c>
    </row>
    <row r="173" customFormat="false" ht="15" hidden="false" customHeight="false" outlineLevel="0" collapsed="false">
      <c r="A173" s="78" t="n">
        <f aca="false">IF(E173="","",ROW()-6)</f>
        <v>167</v>
      </c>
      <c r="B173" s="79" t="s">
        <v>100</v>
      </c>
      <c r="C173" s="80" t="s">
        <v>449</v>
      </c>
      <c r="D173" s="80" t="s">
        <v>316</v>
      </c>
      <c r="E173" s="80" t="s">
        <v>490</v>
      </c>
      <c r="F173" s="80" t="s">
        <v>149</v>
      </c>
      <c r="G173" s="80" t="s">
        <v>104</v>
      </c>
      <c r="H173" s="80" t="n">
        <v>11</v>
      </c>
      <c r="I173" s="80" t="s">
        <v>112</v>
      </c>
      <c r="J173" s="80" t="s">
        <v>130</v>
      </c>
      <c r="K173" s="80" t="s">
        <v>489</v>
      </c>
      <c r="L173" s="80" t="s">
        <v>491</v>
      </c>
      <c r="M173" s="80" t="s">
        <v>139</v>
      </c>
      <c r="N173" s="80" t="s">
        <v>139</v>
      </c>
      <c r="O173" s="80" t="s">
        <v>123</v>
      </c>
      <c r="P173" s="81" t="n">
        <v>45887</v>
      </c>
      <c r="Q173" s="81" t="n">
        <v>45887</v>
      </c>
      <c r="R173" s="80" t="s">
        <v>472</v>
      </c>
      <c r="S173" s="80" t="s">
        <v>103</v>
      </c>
      <c r="T173" s="81" t="n">
        <v>45896</v>
      </c>
      <c r="U173" s="80" t="s">
        <v>467</v>
      </c>
      <c r="V173" s="80" t="s">
        <v>103</v>
      </c>
      <c r="W173" s="80"/>
      <c r="X173" s="80"/>
      <c r="Y173" s="81"/>
      <c r="Z173" s="80"/>
      <c r="AA173" s="80"/>
      <c r="AB173" s="80"/>
      <c r="AC173" s="80"/>
      <c r="AD173" s="81"/>
      <c r="AE173" s="80"/>
      <c r="AF173" s="80"/>
      <c r="AG173" s="81"/>
      <c r="AH173" s="79"/>
      <c r="AI173" s="78" t="n">
        <f aca="false">IF(E173="","",(V173&lt;&gt;"")+(AA173&lt;&gt;"")+(AF173&lt;&gt;""))</f>
        <v>1</v>
      </c>
      <c r="AJ173" s="82" t="str">
        <f aca="false">IF(AF173&lt;&gt;"",AF173,IF(AA173&lt;&gt;"",AA173,IF(V173&lt;&gt;"",V173,"")))</f>
        <v>A</v>
      </c>
      <c r="AK173" s="83" t="str">
        <f aca="false">IF(E173="","",IF(P173="","À SOUDER",IF(S173="","VT EN ATTENTE",IF(S173="R","VT REJETÉ – À REPRENDRE",IF(AJ173="","À RADIOGRAPHIER",IF(AJ173="A","ACCEPTÉ",IF(AJ173="NX","NX – RT À REFAIRE",IF(IF(AI173=1,X173,IF(AI173=2,AC173,""))="A","RÉPARÉ – À RADIOGRAPHIER",IF(IF(AI173=1,X173,IF(AI173=2,AC173,""))="R","VT REJETÉ – À REPRENDRE",IF(AJ173="CO","COUPE – À RESOUDER","À RÉPARER"))))))))))</f>
        <v>ACCEPTÉ</v>
      </c>
      <c r="AL173" s="82" t="str">
        <f aca="false">IF(AND(ISNUMBER(P173),OR(AK173="À RADIOGRAPHIER",AK173="RÉPARÉ – À RADIOGRAPHIER",AK173="NX – RT À REFAIRE",AK173="À RÉPARER",AK173="COUPE – À RESOUDER",AK173="VT REJETÉ – À REPRENDRE")),MAX(0,'PROGRAMME RT'!$C$4-P173),"")</f>
        <v/>
      </c>
      <c r="AM173" s="78" t="n">
        <f aca="false">IF(AND(OR(AK173="À RADIOGRAPHIER",AK173="RÉPARÉ – À RADIOGRAPHIER",AK173="NX – RT À REFAIRE"),OR('PROGRAMME RT'!$D$5="TOUTES",B173='PROGRAMME RT'!$D$5)),1,0)</f>
        <v>0</v>
      </c>
      <c r="AN173" s="78" t="str">
        <f aca="false">IF(AM173=1,SUM(AM$7:AM173),"")</f>
        <v/>
      </c>
      <c r="AO173" s="78" t="n">
        <f aca="false">IF(AND(OR(AK173="À RÉPARER",AK173="COUPE – À RESOUDER",AK173="VT REJETÉ – À REPRENDRE"),OR(RÉPARATIONS!$D$5="TOUTES",B173=RÉPARATIONS!$D$5)),1,0)</f>
        <v>0</v>
      </c>
      <c r="AP173" s="78" t="str">
        <f aca="false">IF(AO173=1,SUM(AO$7:AO173),"")</f>
        <v/>
      </c>
    </row>
    <row r="174" customFormat="false" ht="15" hidden="false" customHeight="false" outlineLevel="0" collapsed="false">
      <c r="A174" s="78" t="n">
        <f aca="false">IF(E174="","",ROW()-6)</f>
        <v>168</v>
      </c>
      <c r="B174" s="79" t="s">
        <v>100</v>
      </c>
      <c r="C174" s="80" t="s">
        <v>449</v>
      </c>
      <c r="D174" s="80" t="s">
        <v>316</v>
      </c>
      <c r="E174" s="80" t="s">
        <v>492</v>
      </c>
      <c r="F174" s="80" t="s">
        <v>149</v>
      </c>
      <c r="G174" s="80" t="s">
        <v>104</v>
      </c>
      <c r="H174" s="80" t="n">
        <v>11</v>
      </c>
      <c r="I174" s="80" t="s">
        <v>112</v>
      </c>
      <c r="J174" s="80" t="s">
        <v>130</v>
      </c>
      <c r="K174" s="80" t="s">
        <v>491</v>
      </c>
      <c r="L174" s="80" t="s">
        <v>493</v>
      </c>
      <c r="M174" s="80" t="s">
        <v>139</v>
      </c>
      <c r="N174" s="80" t="s">
        <v>139</v>
      </c>
      <c r="O174" s="80" t="s">
        <v>202</v>
      </c>
      <c r="P174" s="81" t="n">
        <v>45887</v>
      </c>
      <c r="Q174" s="81" t="n">
        <v>45887</v>
      </c>
      <c r="R174" s="80" t="s">
        <v>472</v>
      </c>
      <c r="S174" s="80" t="s">
        <v>103</v>
      </c>
      <c r="T174" s="81" t="n">
        <v>45896</v>
      </c>
      <c r="U174" s="80" t="s">
        <v>467</v>
      </c>
      <c r="V174" s="80" t="s">
        <v>103</v>
      </c>
      <c r="W174" s="80"/>
      <c r="X174" s="80"/>
      <c r="Y174" s="81"/>
      <c r="Z174" s="80"/>
      <c r="AA174" s="80"/>
      <c r="AB174" s="80"/>
      <c r="AC174" s="80"/>
      <c r="AD174" s="81"/>
      <c r="AE174" s="80"/>
      <c r="AF174" s="80"/>
      <c r="AG174" s="81"/>
      <c r="AH174" s="79"/>
      <c r="AI174" s="78" t="n">
        <f aca="false">IF(E174="","",(V174&lt;&gt;"")+(AA174&lt;&gt;"")+(AF174&lt;&gt;""))</f>
        <v>1</v>
      </c>
      <c r="AJ174" s="82" t="str">
        <f aca="false">IF(AF174&lt;&gt;"",AF174,IF(AA174&lt;&gt;"",AA174,IF(V174&lt;&gt;"",V174,"")))</f>
        <v>A</v>
      </c>
      <c r="AK174" s="83" t="str">
        <f aca="false">IF(E174="","",IF(P174="","À SOUDER",IF(S174="","VT EN ATTENTE",IF(S174="R","VT REJETÉ – À REPRENDRE",IF(AJ174="","À RADIOGRAPHIER",IF(AJ174="A","ACCEPTÉ",IF(AJ174="NX","NX – RT À REFAIRE",IF(IF(AI174=1,X174,IF(AI174=2,AC174,""))="A","RÉPARÉ – À RADIOGRAPHIER",IF(IF(AI174=1,X174,IF(AI174=2,AC174,""))="R","VT REJETÉ – À REPRENDRE",IF(AJ174="CO","COUPE – À RESOUDER","À RÉPARER"))))))))))</f>
        <v>ACCEPTÉ</v>
      </c>
      <c r="AL174" s="82" t="str">
        <f aca="false">IF(AND(ISNUMBER(P174),OR(AK174="À RADIOGRAPHIER",AK174="RÉPARÉ – À RADIOGRAPHIER",AK174="NX – RT À REFAIRE",AK174="À RÉPARER",AK174="COUPE – À RESOUDER",AK174="VT REJETÉ – À REPRENDRE")),MAX(0,'PROGRAMME RT'!$C$4-P174),"")</f>
        <v/>
      </c>
      <c r="AM174" s="78" t="n">
        <f aca="false">IF(AND(OR(AK174="À RADIOGRAPHIER",AK174="RÉPARÉ – À RADIOGRAPHIER",AK174="NX – RT À REFAIRE"),OR('PROGRAMME RT'!$D$5="TOUTES",B174='PROGRAMME RT'!$D$5)),1,0)</f>
        <v>0</v>
      </c>
      <c r="AN174" s="78" t="str">
        <f aca="false">IF(AM174=1,SUM(AM$7:AM174),"")</f>
        <v/>
      </c>
      <c r="AO174" s="78" t="n">
        <f aca="false">IF(AND(OR(AK174="À RÉPARER",AK174="COUPE – À RESOUDER",AK174="VT REJETÉ – À REPRENDRE"),OR(RÉPARATIONS!$D$5="TOUTES",B174=RÉPARATIONS!$D$5)),1,0)</f>
        <v>0</v>
      </c>
      <c r="AP174" s="78" t="str">
        <f aca="false">IF(AO174=1,SUM(AO$7:AO174),"")</f>
        <v/>
      </c>
    </row>
    <row r="175" customFormat="false" ht="15" hidden="false" customHeight="false" outlineLevel="0" collapsed="false">
      <c r="A175" s="78" t="n">
        <f aca="false">IF(E175="","",ROW()-6)</f>
        <v>169</v>
      </c>
      <c r="B175" s="79" t="s">
        <v>100</v>
      </c>
      <c r="C175" s="80" t="s">
        <v>449</v>
      </c>
      <c r="D175" s="80" t="s">
        <v>316</v>
      </c>
      <c r="E175" s="80" t="s">
        <v>494</v>
      </c>
      <c r="F175" s="80" t="s">
        <v>149</v>
      </c>
      <c r="G175" s="80" t="s">
        <v>104</v>
      </c>
      <c r="H175" s="80" t="n">
        <v>11</v>
      </c>
      <c r="I175" s="80" t="s">
        <v>112</v>
      </c>
      <c r="J175" s="80" t="s">
        <v>130</v>
      </c>
      <c r="K175" s="80" t="s">
        <v>493</v>
      </c>
      <c r="L175" s="80" t="s">
        <v>495</v>
      </c>
      <c r="M175" s="80" t="s">
        <v>139</v>
      </c>
      <c r="N175" s="80" t="s">
        <v>139</v>
      </c>
      <c r="O175" s="80" t="s">
        <v>139</v>
      </c>
      <c r="P175" s="81" t="n">
        <v>45887</v>
      </c>
      <c r="Q175" s="81" t="n">
        <v>45887</v>
      </c>
      <c r="R175" s="80" t="s">
        <v>472</v>
      </c>
      <c r="S175" s="80" t="s">
        <v>103</v>
      </c>
      <c r="T175" s="81" t="n">
        <v>45896</v>
      </c>
      <c r="U175" s="80" t="s">
        <v>467</v>
      </c>
      <c r="V175" s="80" t="s">
        <v>103</v>
      </c>
      <c r="W175" s="80"/>
      <c r="X175" s="80"/>
      <c r="Y175" s="81"/>
      <c r="Z175" s="80"/>
      <c r="AA175" s="80"/>
      <c r="AB175" s="80"/>
      <c r="AC175" s="80"/>
      <c r="AD175" s="81"/>
      <c r="AE175" s="80"/>
      <c r="AF175" s="80"/>
      <c r="AG175" s="81"/>
      <c r="AH175" s="79"/>
      <c r="AI175" s="78" t="n">
        <f aca="false">IF(E175="","",(V175&lt;&gt;"")+(AA175&lt;&gt;"")+(AF175&lt;&gt;""))</f>
        <v>1</v>
      </c>
      <c r="AJ175" s="82" t="str">
        <f aca="false">IF(AF175&lt;&gt;"",AF175,IF(AA175&lt;&gt;"",AA175,IF(V175&lt;&gt;"",V175,"")))</f>
        <v>A</v>
      </c>
      <c r="AK175" s="83" t="str">
        <f aca="false">IF(E175="","",IF(P175="","À SOUDER",IF(S175="","VT EN ATTENTE",IF(S175="R","VT REJETÉ – À REPRENDRE",IF(AJ175="","À RADIOGRAPHIER",IF(AJ175="A","ACCEPTÉ",IF(AJ175="NX","NX – RT À REFAIRE",IF(IF(AI175=1,X175,IF(AI175=2,AC175,""))="A","RÉPARÉ – À RADIOGRAPHIER",IF(IF(AI175=1,X175,IF(AI175=2,AC175,""))="R","VT REJETÉ – À REPRENDRE",IF(AJ175="CO","COUPE – À RESOUDER","À RÉPARER"))))))))))</f>
        <v>ACCEPTÉ</v>
      </c>
      <c r="AL175" s="82" t="str">
        <f aca="false">IF(AND(ISNUMBER(P175),OR(AK175="À RADIOGRAPHIER",AK175="RÉPARÉ – À RADIOGRAPHIER",AK175="NX – RT À REFAIRE",AK175="À RÉPARER",AK175="COUPE – À RESOUDER",AK175="VT REJETÉ – À REPRENDRE")),MAX(0,'PROGRAMME RT'!$C$4-P175),"")</f>
        <v/>
      </c>
      <c r="AM175" s="78" t="n">
        <f aca="false">IF(AND(OR(AK175="À RADIOGRAPHIER",AK175="RÉPARÉ – À RADIOGRAPHIER",AK175="NX – RT À REFAIRE"),OR('PROGRAMME RT'!$D$5="TOUTES",B175='PROGRAMME RT'!$D$5)),1,0)</f>
        <v>0</v>
      </c>
      <c r="AN175" s="78" t="str">
        <f aca="false">IF(AM175=1,SUM(AM$7:AM175),"")</f>
        <v/>
      </c>
      <c r="AO175" s="78" t="n">
        <f aca="false">IF(AND(OR(AK175="À RÉPARER",AK175="COUPE – À RESOUDER",AK175="VT REJETÉ – À REPRENDRE"),OR(RÉPARATIONS!$D$5="TOUTES",B175=RÉPARATIONS!$D$5)),1,0)</f>
        <v>0</v>
      </c>
      <c r="AP175" s="78" t="str">
        <f aca="false">IF(AO175=1,SUM(AO$7:AO175),"")</f>
        <v/>
      </c>
    </row>
    <row r="176" customFormat="false" ht="15" hidden="false" customHeight="false" outlineLevel="0" collapsed="false">
      <c r="A176" s="78" t="n">
        <f aca="false">IF(E176="","",ROW()-6)</f>
        <v>170</v>
      </c>
      <c r="B176" s="79" t="s">
        <v>100</v>
      </c>
      <c r="C176" s="80" t="s">
        <v>449</v>
      </c>
      <c r="D176" s="80" t="s">
        <v>316</v>
      </c>
      <c r="E176" s="80" t="s">
        <v>496</v>
      </c>
      <c r="F176" s="80" t="s">
        <v>149</v>
      </c>
      <c r="G176" s="80" t="s">
        <v>104</v>
      </c>
      <c r="H176" s="80" t="n">
        <v>11</v>
      </c>
      <c r="I176" s="80" t="s">
        <v>112</v>
      </c>
      <c r="J176" s="80" t="s">
        <v>130</v>
      </c>
      <c r="K176" s="80" t="s">
        <v>495</v>
      </c>
      <c r="L176" s="80" t="s">
        <v>497</v>
      </c>
      <c r="M176" s="80" t="s">
        <v>139</v>
      </c>
      <c r="N176" s="80" t="s">
        <v>139</v>
      </c>
      <c r="O176" s="80" t="s">
        <v>139</v>
      </c>
      <c r="P176" s="81" t="n">
        <v>45887</v>
      </c>
      <c r="Q176" s="81" t="n">
        <v>45887</v>
      </c>
      <c r="R176" s="80" t="s">
        <v>472</v>
      </c>
      <c r="S176" s="80" t="s">
        <v>103</v>
      </c>
      <c r="T176" s="81" t="n">
        <v>45897</v>
      </c>
      <c r="U176" s="80" t="s">
        <v>498</v>
      </c>
      <c r="V176" s="80" t="s">
        <v>103</v>
      </c>
      <c r="W176" s="80"/>
      <c r="X176" s="80"/>
      <c r="Y176" s="81"/>
      <c r="Z176" s="80"/>
      <c r="AA176" s="80"/>
      <c r="AB176" s="80"/>
      <c r="AC176" s="80"/>
      <c r="AD176" s="81"/>
      <c r="AE176" s="80"/>
      <c r="AF176" s="80"/>
      <c r="AG176" s="81"/>
      <c r="AH176" s="79"/>
      <c r="AI176" s="78" t="n">
        <f aca="false">IF(E176="","",(V176&lt;&gt;"")+(AA176&lt;&gt;"")+(AF176&lt;&gt;""))</f>
        <v>1</v>
      </c>
      <c r="AJ176" s="82" t="str">
        <f aca="false">IF(AF176&lt;&gt;"",AF176,IF(AA176&lt;&gt;"",AA176,IF(V176&lt;&gt;"",V176,"")))</f>
        <v>A</v>
      </c>
      <c r="AK176" s="83" t="str">
        <f aca="false">IF(E176="","",IF(P176="","À SOUDER",IF(S176="","VT EN ATTENTE",IF(S176="R","VT REJETÉ – À REPRENDRE",IF(AJ176="","À RADIOGRAPHIER",IF(AJ176="A","ACCEPTÉ",IF(AJ176="NX","NX – RT À REFAIRE",IF(IF(AI176=1,X176,IF(AI176=2,AC176,""))="A","RÉPARÉ – À RADIOGRAPHIER",IF(IF(AI176=1,X176,IF(AI176=2,AC176,""))="R","VT REJETÉ – À REPRENDRE",IF(AJ176="CO","COUPE – À RESOUDER","À RÉPARER"))))))))))</f>
        <v>ACCEPTÉ</v>
      </c>
      <c r="AL176" s="82" t="str">
        <f aca="false">IF(AND(ISNUMBER(P176),OR(AK176="À RADIOGRAPHIER",AK176="RÉPARÉ – À RADIOGRAPHIER",AK176="NX – RT À REFAIRE",AK176="À RÉPARER",AK176="COUPE – À RESOUDER",AK176="VT REJETÉ – À REPRENDRE")),MAX(0,'PROGRAMME RT'!$C$4-P176),"")</f>
        <v/>
      </c>
      <c r="AM176" s="78" t="n">
        <f aca="false">IF(AND(OR(AK176="À RADIOGRAPHIER",AK176="RÉPARÉ – À RADIOGRAPHIER",AK176="NX – RT À REFAIRE"),OR('PROGRAMME RT'!$D$5="TOUTES",B176='PROGRAMME RT'!$D$5)),1,0)</f>
        <v>0</v>
      </c>
      <c r="AN176" s="78" t="str">
        <f aca="false">IF(AM176=1,SUM(AM$7:AM176),"")</f>
        <v/>
      </c>
      <c r="AO176" s="78" t="n">
        <f aca="false">IF(AND(OR(AK176="À RÉPARER",AK176="COUPE – À RESOUDER",AK176="VT REJETÉ – À REPRENDRE"),OR(RÉPARATIONS!$D$5="TOUTES",B176=RÉPARATIONS!$D$5)),1,0)</f>
        <v>0</v>
      </c>
      <c r="AP176" s="78" t="str">
        <f aca="false">IF(AO176=1,SUM(AO$7:AO176),"")</f>
        <v/>
      </c>
    </row>
    <row r="177" customFormat="false" ht="15" hidden="false" customHeight="false" outlineLevel="0" collapsed="false">
      <c r="A177" s="78" t="n">
        <f aca="false">IF(E177="","",ROW()-6)</f>
        <v>171</v>
      </c>
      <c r="B177" s="79" t="s">
        <v>100</v>
      </c>
      <c r="C177" s="80" t="s">
        <v>449</v>
      </c>
      <c r="D177" s="80" t="s">
        <v>499</v>
      </c>
      <c r="E177" s="80" t="s">
        <v>500</v>
      </c>
      <c r="F177" s="80" t="s">
        <v>149</v>
      </c>
      <c r="G177" s="80" t="s">
        <v>104</v>
      </c>
      <c r="H177" s="80" t="n">
        <v>11</v>
      </c>
      <c r="I177" s="80" t="s">
        <v>112</v>
      </c>
      <c r="J177" s="80" t="s">
        <v>130</v>
      </c>
      <c r="K177" s="80" t="s">
        <v>497</v>
      </c>
      <c r="L177" s="80" t="s">
        <v>501</v>
      </c>
      <c r="M177" s="80" t="s">
        <v>139</v>
      </c>
      <c r="N177" s="80" t="s">
        <v>123</v>
      </c>
      <c r="O177" s="80" t="s">
        <v>123</v>
      </c>
      <c r="P177" s="81" t="n">
        <v>45888</v>
      </c>
      <c r="Q177" s="81" t="n">
        <v>45888</v>
      </c>
      <c r="R177" s="80" t="s">
        <v>502</v>
      </c>
      <c r="S177" s="80" t="s">
        <v>103</v>
      </c>
      <c r="T177" s="81" t="n">
        <v>45897</v>
      </c>
      <c r="U177" s="80" t="s">
        <v>498</v>
      </c>
      <c r="V177" s="80" t="s">
        <v>103</v>
      </c>
      <c r="W177" s="80"/>
      <c r="X177" s="80"/>
      <c r="Y177" s="81"/>
      <c r="Z177" s="80"/>
      <c r="AA177" s="80"/>
      <c r="AB177" s="80"/>
      <c r="AC177" s="80"/>
      <c r="AD177" s="81"/>
      <c r="AE177" s="80"/>
      <c r="AF177" s="80"/>
      <c r="AG177" s="81"/>
      <c r="AH177" s="79"/>
      <c r="AI177" s="78" t="n">
        <f aca="false">IF(E177="","",(V177&lt;&gt;"")+(AA177&lt;&gt;"")+(AF177&lt;&gt;""))</f>
        <v>1</v>
      </c>
      <c r="AJ177" s="82" t="str">
        <f aca="false">IF(AF177&lt;&gt;"",AF177,IF(AA177&lt;&gt;"",AA177,IF(V177&lt;&gt;"",V177,"")))</f>
        <v>A</v>
      </c>
      <c r="AK177" s="83" t="str">
        <f aca="false">IF(E177="","",IF(P177="","À SOUDER",IF(S177="","VT EN ATTENTE",IF(S177="R","VT REJETÉ – À REPRENDRE",IF(AJ177="","À RADIOGRAPHIER",IF(AJ177="A","ACCEPTÉ",IF(AJ177="NX","NX – RT À REFAIRE",IF(IF(AI177=1,X177,IF(AI177=2,AC177,""))="A","RÉPARÉ – À RADIOGRAPHIER",IF(IF(AI177=1,X177,IF(AI177=2,AC177,""))="R","VT REJETÉ – À REPRENDRE",IF(AJ177="CO","COUPE – À RESOUDER","À RÉPARER"))))))))))</f>
        <v>ACCEPTÉ</v>
      </c>
      <c r="AL177" s="82" t="str">
        <f aca="false">IF(AND(ISNUMBER(P177),OR(AK177="À RADIOGRAPHIER",AK177="RÉPARÉ – À RADIOGRAPHIER",AK177="NX – RT À REFAIRE",AK177="À RÉPARER",AK177="COUPE – À RESOUDER",AK177="VT REJETÉ – À REPRENDRE")),MAX(0,'PROGRAMME RT'!$C$4-P177),"")</f>
        <v/>
      </c>
      <c r="AM177" s="78" t="n">
        <f aca="false">IF(AND(OR(AK177="À RADIOGRAPHIER",AK177="RÉPARÉ – À RADIOGRAPHIER",AK177="NX – RT À REFAIRE"),OR('PROGRAMME RT'!$D$5="TOUTES",B177='PROGRAMME RT'!$D$5)),1,0)</f>
        <v>0</v>
      </c>
      <c r="AN177" s="78" t="str">
        <f aca="false">IF(AM177=1,SUM(AM$7:AM177),"")</f>
        <v/>
      </c>
      <c r="AO177" s="78" t="n">
        <f aca="false">IF(AND(OR(AK177="À RÉPARER",AK177="COUPE – À RESOUDER",AK177="VT REJETÉ – À REPRENDRE"),OR(RÉPARATIONS!$D$5="TOUTES",B177=RÉPARATIONS!$D$5)),1,0)</f>
        <v>0</v>
      </c>
      <c r="AP177" s="78" t="str">
        <f aca="false">IF(AO177=1,SUM(AO$7:AO177),"")</f>
        <v/>
      </c>
    </row>
    <row r="178" customFormat="false" ht="15" hidden="false" customHeight="false" outlineLevel="0" collapsed="false">
      <c r="A178" s="78" t="n">
        <f aca="false">IF(E178="","",ROW()-6)</f>
        <v>172</v>
      </c>
      <c r="B178" s="79" t="s">
        <v>100</v>
      </c>
      <c r="C178" s="80" t="s">
        <v>449</v>
      </c>
      <c r="D178" s="80" t="s">
        <v>499</v>
      </c>
      <c r="E178" s="80" t="s">
        <v>503</v>
      </c>
      <c r="F178" s="80" t="s">
        <v>149</v>
      </c>
      <c r="G178" s="80" t="s">
        <v>104</v>
      </c>
      <c r="H178" s="80" t="n">
        <v>11</v>
      </c>
      <c r="I178" s="80" t="s">
        <v>112</v>
      </c>
      <c r="J178" s="80" t="s">
        <v>130</v>
      </c>
      <c r="K178" s="80" t="s">
        <v>501</v>
      </c>
      <c r="L178" s="80" t="s">
        <v>504</v>
      </c>
      <c r="M178" s="80" t="s">
        <v>139</v>
      </c>
      <c r="N178" s="80" t="s">
        <v>132</v>
      </c>
      <c r="O178" s="80" t="s">
        <v>132</v>
      </c>
      <c r="P178" s="81" t="n">
        <v>45888</v>
      </c>
      <c r="Q178" s="81" t="n">
        <v>45888</v>
      </c>
      <c r="R178" s="80" t="s">
        <v>502</v>
      </c>
      <c r="S178" s="80" t="s">
        <v>103</v>
      </c>
      <c r="T178" s="81" t="n">
        <v>45897</v>
      </c>
      <c r="U178" s="80" t="s">
        <v>498</v>
      </c>
      <c r="V178" s="80" t="s">
        <v>103</v>
      </c>
      <c r="W178" s="80"/>
      <c r="X178" s="80"/>
      <c r="Y178" s="81"/>
      <c r="Z178" s="80"/>
      <c r="AA178" s="80"/>
      <c r="AB178" s="80"/>
      <c r="AC178" s="80"/>
      <c r="AD178" s="81"/>
      <c r="AE178" s="80"/>
      <c r="AF178" s="80"/>
      <c r="AG178" s="81"/>
      <c r="AH178" s="79"/>
      <c r="AI178" s="78" t="n">
        <f aca="false">IF(E178="","",(V178&lt;&gt;"")+(AA178&lt;&gt;"")+(AF178&lt;&gt;""))</f>
        <v>1</v>
      </c>
      <c r="AJ178" s="82" t="str">
        <f aca="false">IF(AF178&lt;&gt;"",AF178,IF(AA178&lt;&gt;"",AA178,IF(V178&lt;&gt;"",V178,"")))</f>
        <v>A</v>
      </c>
      <c r="AK178" s="83" t="str">
        <f aca="false">IF(E178="","",IF(P178="","À SOUDER",IF(S178="","VT EN ATTENTE",IF(S178="R","VT REJETÉ – À REPRENDRE",IF(AJ178="","À RADIOGRAPHIER",IF(AJ178="A","ACCEPTÉ",IF(AJ178="NX","NX – RT À REFAIRE",IF(IF(AI178=1,X178,IF(AI178=2,AC178,""))="A","RÉPARÉ – À RADIOGRAPHIER",IF(IF(AI178=1,X178,IF(AI178=2,AC178,""))="R","VT REJETÉ – À REPRENDRE",IF(AJ178="CO","COUPE – À RESOUDER","À RÉPARER"))))))))))</f>
        <v>ACCEPTÉ</v>
      </c>
      <c r="AL178" s="82" t="str">
        <f aca="false">IF(AND(ISNUMBER(P178),OR(AK178="À RADIOGRAPHIER",AK178="RÉPARÉ – À RADIOGRAPHIER",AK178="NX – RT À REFAIRE",AK178="À RÉPARER",AK178="COUPE – À RESOUDER",AK178="VT REJETÉ – À REPRENDRE")),MAX(0,'PROGRAMME RT'!$C$4-P178),"")</f>
        <v/>
      </c>
      <c r="AM178" s="78" t="n">
        <f aca="false">IF(AND(OR(AK178="À RADIOGRAPHIER",AK178="RÉPARÉ – À RADIOGRAPHIER",AK178="NX – RT À REFAIRE"),OR('PROGRAMME RT'!$D$5="TOUTES",B178='PROGRAMME RT'!$D$5)),1,0)</f>
        <v>0</v>
      </c>
      <c r="AN178" s="78" t="str">
        <f aca="false">IF(AM178=1,SUM(AM$7:AM178),"")</f>
        <v/>
      </c>
      <c r="AO178" s="78" t="n">
        <f aca="false">IF(AND(OR(AK178="À RÉPARER",AK178="COUPE – À RESOUDER",AK178="VT REJETÉ – À REPRENDRE"),OR(RÉPARATIONS!$D$5="TOUTES",B178=RÉPARATIONS!$D$5)),1,0)</f>
        <v>0</v>
      </c>
      <c r="AP178" s="78" t="str">
        <f aca="false">IF(AO178=1,SUM(AO$7:AO178),"")</f>
        <v/>
      </c>
    </row>
    <row r="179" customFormat="false" ht="15" hidden="false" customHeight="false" outlineLevel="0" collapsed="false">
      <c r="A179" s="78" t="n">
        <f aca="false">IF(E179="","",ROW()-6)</f>
        <v>173</v>
      </c>
      <c r="B179" s="79" t="s">
        <v>100</v>
      </c>
      <c r="C179" s="80" t="s">
        <v>449</v>
      </c>
      <c r="D179" s="80" t="s">
        <v>499</v>
      </c>
      <c r="E179" s="80" t="s">
        <v>505</v>
      </c>
      <c r="F179" s="80" t="s">
        <v>149</v>
      </c>
      <c r="G179" s="80" t="s">
        <v>104</v>
      </c>
      <c r="H179" s="80" t="n">
        <v>11</v>
      </c>
      <c r="I179" s="80" t="s">
        <v>112</v>
      </c>
      <c r="J179" s="80" t="s">
        <v>130</v>
      </c>
      <c r="K179" s="80" t="s">
        <v>504</v>
      </c>
      <c r="L179" s="80" t="s">
        <v>506</v>
      </c>
      <c r="M179" s="80" t="s">
        <v>139</v>
      </c>
      <c r="N179" s="80" t="s">
        <v>123</v>
      </c>
      <c r="O179" s="80" t="s">
        <v>123</v>
      </c>
      <c r="P179" s="81" t="n">
        <v>45888</v>
      </c>
      <c r="Q179" s="81" t="n">
        <v>45888</v>
      </c>
      <c r="R179" s="80" t="s">
        <v>502</v>
      </c>
      <c r="S179" s="80" t="s">
        <v>103</v>
      </c>
      <c r="T179" s="81" t="n">
        <v>45897</v>
      </c>
      <c r="U179" s="80" t="s">
        <v>498</v>
      </c>
      <c r="V179" s="80" t="s">
        <v>103</v>
      </c>
      <c r="W179" s="80"/>
      <c r="X179" s="80"/>
      <c r="Y179" s="81"/>
      <c r="Z179" s="80"/>
      <c r="AA179" s="80"/>
      <c r="AB179" s="80"/>
      <c r="AC179" s="80"/>
      <c r="AD179" s="81"/>
      <c r="AE179" s="80"/>
      <c r="AF179" s="80"/>
      <c r="AG179" s="81"/>
      <c r="AH179" s="79"/>
      <c r="AI179" s="78" t="n">
        <f aca="false">IF(E179="","",(V179&lt;&gt;"")+(AA179&lt;&gt;"")+(AF179&lt;&gt;""))</f>
        <v>1</v>
      </c>
      <c r="AJ179" s="82" t="str">
        <f aca="false">IF(AF179&lt;&gt;"",AF179,IF(AA179&lt;&gt;"",AA179,IF(V179&lt;&gt;"",V179,"")))</f>
        <v>A</v>
      </c>
      <c r="AK179" s="83" t="str">
        <f aca="false">IF(E179="","",IF(P179="","À SOUDER",IF(S179="","VT EN ATTENTE",IF(S179="R","VT REJETÉ – À REPRENDRE",IF(AJ179="","À RADIOGRAPHIER",IF(AJ179="A","ACCEPTÉ",IF(AJ179="NX","NX – RT À REFAIRE",IF(IF(AI179=1,X179,IF(AI179=2,AC179,""))="A","RÉPARÉ – À RADIOGRAPHIER",IF(IF(AI179=1,X179,IF(AI179=2,AC179,""))="R","VT REJETÉ – À REPRENDRE",IF(AJ179="CO","COUPE – À RESOUDER","À RÉPARER"))))))))))</f>
        <v>ACCEPTÉ</v>
      </c>
      <c r="AL179" s="82" t="str">
        <f aca="false">IF(AND(ISNUMBER(P179),OR(AK179="À RADIOGRAPHIER",AK179="RÉPARÉ – À RADIOGRAPHIER",AK179="NX – RT À REFAIRE",AK179="À RÉPARER",AK179="COUPE – À RESOUDER",AK179="VT REJETÉ – À REPRENDRE")),MAX(0,'PROGRAMME RT'!$C$4-P179),"")</f>
        <v/>
      </c>
      <c r="AM179" s="78" t="n">
        <f aca="false">IF(AND(OR(AK179="À RADIOGRAPHIER",AK179="RÉPARÉ – À RADIOGRAPHIER",AK179="NX – RT À REFAIRE"),OR('PROGRAMME RT'!$D$5="TOUTES",B179='PROGRAMME RT'!$D$5)),1,0)</f>
        <v>0</v>
      </c>
      <c r="AN179" s="78" t="str">
        <f aca="false">IF(AM179=1,SUM(AM$7:AM179),"")</f>
        <v/>
      </c>
      <c r="AO179" s="78" t="n">
        <f aca="false">IF(AND(OR(AK179="À RÉPARER",AK179="COUPE – À RESOUDER",AK179="VT REJETÉ – À REPRENDRE"),OR(RÉPARATIONS!$D$5="TOUTES",B179=RÉPARATIONS!$D$5)),1,0)</f>
        <v>0</v>
      </c>
      <c r="AP179" s="78" t="str">
        <f aca="false">IF(AO179=1,SUM(AO$7:AO179),"")</f>
        <v/>
      </c>
    </row>
    <row r="180" customFormat="false" ht="15" hidden="false" customHeight="false" outlineLevel="0" collapsed="false">
      <c r="A180" s="78" t="n">
        <f aca="false">IF(E180="","",ROW()-6)</f>
        <v>174</v>
      </c>
      <c r="B180" s="79" t="s">
        <v>100</v>
      </c>
      <c r="C180" s="80" t="s">
        <v>449</v>
      </c>
      <c r="D180" s="80" t="s">
        <v>499</v>
      </c>
      <c r="E180" s="80" t="s">
        <v>507</v>
      </c>
      <c r="F180" s="80" t="s">
        <v>149</v>
      </c>
      <c r="G180" s="80" t="s">
        <v>104</v>
      </c>
      <c r="H180" s="80" t="n">
        <v>11</v>
      </c>
      <c r="I180" s="80" t="s">
        <v>112</v>
      </c>
      <c r="J180" s="80" t="s">
        <v>130</v>
      </c>
      <c r="K180" s="80" t="s">
        <v>506</v>
      </c>
      <c r="L180" s="80" t="s">
        <v>508</v>
      </c>
      <c r="M180" s="80" t="s">
        <v>139</v>
      </c>
      <c r="N180" s="80" t="s">
        <v>123</v>
      </c>
      <c r="O180" s="80" t="s">
        <v>123</v>
      </c>
      <c r="P180" s="81" t="n">
        <v>45888</v>
      </c>
      <c r="Q180" s="81" t="n">
        <v>45888</v>
      </c>
      <c r="R180" s="80" t="s">
        <v>502</v>
      </c>
      <c r="S180" s="80" t="s">
        <v>103</v>
      </c>
      <c r="T180" s="81" t="n">
        <v>45897</v>
      </c>
      <c r="U180" s="80" t="s">
        <v>498</v>
      </c>
      <c r="V180" s="80" t="s">
        <v>103</v>
      </c>
      <c r="W180" s="80"/>
      <c r="X180" s="80"/>
      <c r="Y180" s="81"/>
      <c r="Z180" s="80"/>
      <c r="AA180" s="80"/>
      <c r="AB180" s="80"/>
      <c r="AC180" s="80"/>
      <c r="AD180" s="81"/>
      <c r="AE180" s="80"/>
      <c r="AF180" s="80"/>
      <c r="AG180" s="81"/>
      <c r="AH180" s="79"/>
      <c r="AI180" s="78" t="n">
        <f aca="false">IF(E180="","",(V180&lt;&gt;"")+(AA180&lt;&gt;"")+(AF180&lt;&gt;""))</f>
        <v>1</v>
      </c>
      <c r="AJ180" s="82" t="str">
        <f aca="false">IF(AF180&lt;&gt;"",AF180,IF(AA180&lt;&gt;"",AA180,IF(V180&lt;&gt;"",V180,"")))</f>
        <v>A</v>
      </c>
      <c r="AK180" s="83" t="str">
        <f aca="false">IF(E180="","",IF(P180="","À SOUDER",IF(S180="","VT EN ATTENTE",IF(S180="R","VT REJETÉ – À REPRENDRE",IF(AJ180="","À RADIOGRAPHIER",IF(AJ180="A","ACCEPTÉ",IF(AJ180="NX","NX – RT À REFAIRE",IF(IF(AI180=1,X180,IF(AI180=2,AC180,""))="A","RÉPARÉ – À RADIOGRAPHIER",IF(IF(AI180=1,X180,IF(AI180=2,AC180,""))="R","VT REJETÉ – À REPRENDRE",IF(AJ180="CO","COUPE – À RESOUDER","À RÉPARER"))))))))))</f>
        <v>ACCEPTÉ</v>
      </c>
      <c r="AL180" s="82" t="str">
        <f aca="false">IF(AND(ISNUMBER(P180),OR(AK180="À RADIOGRAPHIER",AK180="RÉPARÉ – À RADIOGRAPHIER",AK180="NX – RT À REFAIRE",AK180="À RÉPARER",AK180="COUPE – À RESOUDER",AK180="VT REJETÉ – À REPRENDRE")),MAX(0,'PROGRAMME RT'!$C$4-P180),"")</f>
        <v/>
      </c>
      <c r="AM180" s="78" t="n">
        <f aca="false">IF(AND(OR(AK180="À RADIOGRAPHIER",AK180="RÉPARÉ – À RADIOGRAPHIER",AK180="NX – RT À REFAIRE"),OR('PROGRAMME RT'!$D$5="TOUTES",B180='PROGRAMME RT'!$D$5)),1,0)</f>
        <v>0</v>
      </c>
      <c r="AN180" s="78" t="str">
        <f aca="false">IF(AM180=1,SUM(AM$7:AM180),"")</f>
        <v/>
      </c>
      <c r="AO180" s="78" t="n">
        <f aca="false">IF(AND(OR(AK180="À RÉPARER",AK180="COUPE – À RESOUDER",AK180="VT REJETÉ – À REPRENDRE"),OR(RÉPARATIONS!$D$5="TOUTES",B180=RÉPARATIONS!$D$5)),1,0)</f>
        <v>0</v>
      </c>
      <c r="AP180" s="78" t="str">
        <f aca="false">IF(AO180=1,SUM(AO$7:AO180),"")</f>
        <v/>
      </c>
    </row>
    <row r="181" customFormat="false" ht="15" hidden="false" customHeight="false" outlineLevel="0" collapsed="false">
      <c r="A181" s="78" t="n">
        <f aca="false">IF(E181="","",ROW()-6)</f>
        <v>175</v>
      </c>
      <c r="B181" s="79" t="s">
        <v>100</v>
      </c>
      <c r="C181" s="80" t="s">
        <v>449</v>
      </c>
      <c r="D181" s="80" t="s">
        <v>499</v>
      </c>
      <c r="E181" s="80" t="s">
        <v>509</v>
      </c>
      <c r="F181" s="80" t="s">
        <v>149</v>
      </c>
      <c r="G181" s="80" t="s">
        <v>104</v>
      </c>
      <c r="H181" s="80" t="n">
        <v>11</v>
      </c>
      <c r="I181" s="80" t="s">
        <v>112</v>
      </c>
      <c r="J181" s="80" t="s">
        <v>130</v>
      </c>
      <c r="K181" s="80" t="s">
        <v>508</v>
      </c>
      <c r="L181" s="80" t="s">
        <v>510</v>
      </c>
      <c r="M181" s="80" t="s">
        <v>139</v>
      </c>
      <c r="N181" s="80" t="s">
        <v>132</v>
      </c>
      <c r="O181" s="80" t="s">
        <v>132</v>
      </c>
      <c r="P181" s="81" t="n">
        <v>45888</v>
      </c>
      <c r="Q181" s="81" t="n">
        <v>45888</v>
      </c>
      <c r="R181" s="80" t="s">
        <v>502</v>
      </c>
      <c r="S181" s="80" t="s">
        <v>103</v>
      </c>
      <c r="T181" s="81" t="n">
        <v>45897</v>
      </c>
      <c r="U181" s="80" t="s">
        <v>498</v>
      </c>
      <c r="V181" s="80" t="s">
        <v>103</v>
      </c>
      <c r="W181" s="80"/>
      <c r="X181" s="80"/>
      <c r="Y181" s="81"/>
      <c r="Z181" s="80"/>
      <c r="AA181" s="80"/>
      <c r="AB181" s="80"/>
      <c r="AC181" s="80"/>
      <c r="AD181" s="81"/>
      <c r="AE181" s="80"/>
      <c r="AF181" s="80"/>
      <c r="AG181" s="81"/>
      <c r="AH181" s="79"/>
      <c r="AI181" s="78" t="n">
        <f aca="false">IF(E181="","",(V181&lt;&gt;"")+(AA181&lt;&gt;"")+(AF181&lt;&gt;""))</f>
        <v>1</v>
      </c>
      <c r="AJ181" s="82" t="str">
        <f aca="false">IF(AF181&lt;&gt;"",AF181,IF(AA181&lt;&gt;"",AA181,IF(V181&lt;&gt;"",V181,"")))</f>
        <v>A</v>
      </c>
      <c r="AK181" s="83" t="str">
        <f aca="false">IF(E181="","",IF(P181="","À SOUDER",IF(S181="","VT EN ATTENTE",IF(S181="R","VT REJETÉ – À REPRENDRE",IF(AJ181="","À RADIOGRAPHIER",IF(AJ181="A","ACCEPTÉ",IF(AJ181="NX","NX – RT À REFAIRE",IF(IF(AI181=1,X181,IF(AI181=2,AC181,""))="A","RÉPARÉ – À RADIOGRAPHIER",IF(IF(AI181=1,X181,IF(AI181=2,AC181,""))="R","VT REJETÉ – À REPRENDRE",IF(AJ181="CO","COUPE – À RESOUDER","À RÉPARER"))))))))))</f>
        <v>ACCEPTÉ</v>
      </c>
      <c r="AL181" s="82" t="str">
        <f aca="false">IF(AND(ISNUMBER(P181),OR(AK181="À RADIOGRAPHIER",AK181="RÉPARÉ – À RADIOGRAPHIER",AK181="NX – RT À REFAIRE",AK181="À RÉPARER",AK181="COUPE – À RESOUDER",AK181="VT REJETÉ – À REPRENDRE")),MAX(0,'PROGRAMME RT'!$C$4-P181),"")</f>
        <v/>
      </c>
      <c r="AM181" s="78" t="n">
        <f aca="false">IF(AND(OR(AK181="À RADIOGRAPHIER",AK181="RÉPARÉ – À RADIOGRAPHIER",AK181="NX – RT À REFAIRE"),OR('PROGRAMME RT'!$D$5="TOUTES",B181='PROGRAMME RT'!$D$5)),1,0)</f>
        <v>0</v>
      </c>
      <c r="AN181" s="78" t="str">
        <f aca="false">IF(AM181=1,SUM(AM$7:AM181),"")</f>
        <v/>
      </c>
      <c r="AO181" s="78" t="n">
        <f aca="false">IF(AND(OR(AK181="À RÉPARER",AK181="COUPE – À RESOUDER",AK181="VT REJETÉ – À REPRENDRE"),OR(RÉPARATIONS!$D$5="TOUTES",B181=RÉPARATIONS!$D$5)),1,0)</f>
        <v>0</v>
      </c>
      <c r="AP181" s="78" t="str">
        <f aca="false">IF(AO181=1,SUM(AO$7:AO181),"")</f>
        <v/>
      </c>
    </row>
    <row r="182" customFormat="false" ht="15" hidden="false" customHeight="false" outlineLevel="0" collapsed="false">
      <c r="A182" s="78" t="n">
        <f aca="false">IF(E182="","",ROW()-6)</f>
        <v>176</v>
      </c>
      <c r="B182" s="79" t="s">
        <v>100</v>
      </c>
      <c r="C182" s="80" t="s">
        <v>449</v>
      </c>
      <c r="D182" s="80" t="s">
        <v>499</v>
      </c>
      <c r="E182" s="80" t="s">
        <v>511</v>
      </c>
      <c r="F182" s="80" t="s">
        <v>149</v>
      </c>
      <c r="G182" s="80" t="s">
        <v>104</v>
      </c>
      <c r="H182" s="80" t="n">
        <v>11</v>
      </c>
      <c r="I182" s="80" t="s">
        <v>112</v>
      </c>
      <c r="J182" s="80" t="s">
        <v>130</v>
      </c>
      <c r="K182" s="80" t="s">
        <v>510</v>
      </c>
      <c r="L182" s="80" t="s">
        <v>512</v>
      </c>
      <c r="M182" s="80" t="s">
        <v>139</v>
      </c>
      <c r="N182" s="80" t="s">
        <v>202</v>
      </c>
      <c r="O182" s="80" t="s">
        <v>202</v>
      </c>
      <c r="P182" s="81" t="n">
        <v>45888</v>
      </c>
      <c r="Q182" s="81" t="n">
        <v>45888</v>
      </c>
      <c r="R182" s="80" t="s">
        <v>502</v>
      </c>
      <c r="S182" s="80" t="s">
        <v>103</v>
      </c>
      <c r="T182" s="81" t="n">
        <v>45897</v>
      </c>
      <c r="U182" s="80" t="s">
        <v>498</v>
      </c>
      <c r="V182" s="80" t="s">
        <v>103</v>
      </c>
      <c r="W182" s="80"/>
      <c r="X182" s="80"/>
      <c r="Y182" s="81"/>
      <c r="Z182" s="80"/>
      <c r="AA182" s="80"/>
      <c r="AB182" s="80"/>
      <c r="AC182" s="80"/>
      <c r="AD182" s="81"/>
      <c r="AE182" s="80"/>
      <c r="AF182" s="80"/>
      <c r="AG182" s="81"/>
      <c r="AH182" s="79"/>
      <c r="AI182" s="78" t="n">
        <f aca="false">IF(E182="","",(V182&lt;&gt;"")+(AA182&lt;&gt;"")+(AF182&lt;&gt;""))</f>
        <v>1</v>
      </c>
      <c r="AJ182" s="82" t="str">
        <f aca="false">IF(AF182&lt;&gt;"",AF182,IF(AA182&lt;&gt;"",AA182,IF(V182&lt;&gt;"",V182,"")))</f>
        <v>A</v>
      </c>
      <c r="AK182" s="83" t="str">
        <f aca="false">IF(E182="","",IF(P182="","À SOUDER",IF(S182="","VT EN ATTENTE",IF(S182="R","VT REJETÉ – À REPRENDRE",IF(AJ182="","À RADIOGRAPHIER",IF(AJ182="A","ACCEPTÉ",IF(AJ182="NX","NX – RT À REFAIRE",IF(IF(AI182=1,X182,IF(AI182=2,AC182,""))="A","RÉPARÉ – À RADIOGRAPHIER",IF(IF(AI182=1,X182,IF(AI182=2,AC182,""))="R","VT REJETÉ – À REPRENDRE",IF(AJ182="CO","COUPE – À RESOUDER","À RÉPARER"))))))))))</f>
        <v>ACCEPTÉ</v>
      </c>
      <c r="AL182" s="82" t="str">
        <f aca="false">IF(AND(ISNUMBER(P182),OR(AK182="À RADIOGRAPHIER",AK182="RÉPARÉ – À RADIOGRAPHIER",AK182="NX – RT À REFAIRE",AK182="À RÉPARER",AK182="COUPE – À RESOUDER",AK182="VT REJETÉ – À REPRENDRE")),MAX(0,'PROGRAMME RT'!$C$4-P182),"")</f>
        <v/>
      </c>
      <c r="AM182" s="78" t="n">
        <f aca="false">IF(AND(OR(AK182="À RADIOGRAPHIER",AK182="RÉPARÉ – À RADIOGRAPHIER",AK182="NX – RT À REFAIRE"),OR('PROGRAMME RT'!$D$5="TOUTES",B182='PROGRAMME RT'!$D$5)),1,0)</f>
        <v>0</v>
      </c>
      <c r="AN182" s="78" t="str">
        <f aca="false">IF(AM182=1,SUM(AM$7:AM182),"")</f>
        <v/>
      </c>
      <c r="AO182" s="78" t="n">
        <f aca="false">IF(AND(OR(AK182="À RÉPARER",AK182="COUPE – À RESOUDER",AK182="VT REJETÉ – À REPRENDRE"),OR(RÉPARATIONS!$D$5="TOUTES",B182=RÉPARATIONS!$D$5)),1,0)</f>
        <v>0</v>
      </c>
      <c r="AP182" s="78" t="str">
        <f aca="false">IF(AO182=1,SUM(AO$7:AO182),"")</f>
        <v/>
      </c>
    </row>
    <row r="183" customFormat="false" ht="15" hidden="false" customHeight="false" outlineLevel="0" collapsed="false">
      <c r="A183" s="78" t="n">
        <f aca="false">IF(E183="","",ROW()-6)</f>
        <v>177</v>
      </c>
      <c r="B183" s="79" t="s">
        <v>100</v>
      </c>
      <c r="C183" s="80" t="s">
        <v>449</v>
      </c>
      <c r="D183" s="80" t="s">
        <v>499</v>
      </c>
      <c r="E183" s="80" t="s">
        <v>513</v>
      </c>
      <c r="F183" s="80" t="s">
        <v>149</v>
      </c>
      <c r="G183" s="80" t="s">
        <v>104</v>
      </c>
      <c r="H183" s="80" t="n">
        <v>11</v>
      </c>
      <c r="I183" s="80" t="s">
        <v>112</v>
      </c>
      <c r="J183" s="80" t="s">
        <v>130</v>
      </c>
      <c r="K183" s="80" t="s">
        <v>512</v>
      </c>
      <c r="L183" s="80" t="s">
        <v>514</v>
      </c>
      <c r="M183" s="80" t="s">
        <v>139</v>
      </c>
      <c r="N183" s="80" t="s">
        <v>202</v>
      </c>
      <c r="O183" s="80" t="s">
        <v>202</v>
      </c>
      <c r="P183" s="81" t="n">
        <v>45888</v>
      </c>
      <c r="Q183" s="81" t="n">
        <v>45888</v>
      </c>
      <c r="R183" s="80" t="s">
        <v>502</v>
      </c>
      <c r="S183" s="80" t="s">
        <v>103</v>
      </c>
      <c r="T183" s="81" t="n">
        <v>45897</v>
      </c>
      <c r="U183" s="80" t="s">
        <v>498</v>
      </c>
      <c r="V183" s="80" t="s">
        <v>103</v>
      </c>
      <c r="W183" s="80"/>
      <c r="X183" s="80"/>
      <c r="Y183" s="81"/>
      <c r="Z183" s="80"/>
      <c r="AA183" s="80"/>
      <c r="AB183" s="80"/>
      <c r="AC183" s="80"/>
      <c r="AD183" s="81"/>
      <c r="AE183" s="80"/>
      <c r="AF183" s="80"/>
      <c r="AG183" s="81"/>
      <c r="AH183" s="79"/>
      <c r="AI183" s="78" t="n">
        <f aca="false">IF(E183="","",(V183&lt;&gt;"")+(AA183&lt;&gt;"")+(AF183&lt;&gt;""))</f>
        <v>1</v>
      </c>
      <c r="AJ183" s="82" t="str">
        <f aca="false">IF(AF183&lt;&gt;"",AF183,IF(AA183&lt;&gt;"",AA183,IF(V183&lt;&gt;"",V183,"")))</f>
        <v>A</v>
      </c>
      <c r="AK183" s="83" t="str">
        <f aca="false">IF(E183="","",IF(P183="","À SOUDER",IF(S183="","VT EN ATTENTE",IF(S183="R","VT REJETÉ – À REPRENDRE",IF(AJ183="","À RADIOGRAPHIER",IF(AJ183="A","ACCEPTÉ",IF(AJ183="NX","NX – RT À REFAIRE",IF(IF(AI183=1,X183,IF(AI183=2,AC183,""))="A","RÉPARÉ – À RADIOGRAPHIER",IF(IF(AI183=1,X183,IF(AI183=2,AC183,""))="R","VT REJETÉ – À REPRENDRE",IF(AJ183="CO","COUPE – À RESOUDER","À RÉPARER"))))))))))</f>
        <v>ACCEPTÉ</v>
      </c>
      <c r="AL183" s="82" t="str">
        <f aca="false">IF(AND(ISNUMBER(P183),OR(AK183="À RADIOGRAPHIER",AK183="RÉPARÉ – À RADIOGRAPHIER",AK183="NX – RT À REFAIRE",AK183="À RÉPARER",AK183="COUPE – À RESOUDER",AK183="VT REJETÉ – À REPRENDRE")),MAX(0,'PROGRAMME RT'!$C$4-P183),"")</f>
        <v/>
      </c>
      <c r="AM183" s="78" t="n">
        <f aca="false">IF(AND(OR(AK183="À RADIOGRAPHIER",AK183="RÉPARÉ – À RADIOGRAPHIER",AK183="NX – RT À REFAIRE"),OR('PROGRAMME RT'!$D$5="TOUTES",B183='PROGRAMME RT'!$D$5)),1,0)</f>
        <v>0</v>
      </c>
      <c r="AN183" s="78" t="str">
        <f aca="false">IF(AM183=1,SUM(AM$7:AM183),"")</f>
        <v/>
      </c>
      <c r="AO183" s="78" t="n">
        <f aca="false">IF(AND(OR(AK183="À RÉPARER",AK183="COUPE – À RESOUDER",AK183="VT REJETÉ – À REPRENDRE"),OR(RÉPARATIONS!$D$5="TOUTES",B183=RÉPARATIONS!$D$5)),1,0)</f>
        <v>0</v>
      </c>
      <c r="AP183" s="78" t="str">
        <f aca="false">IF(AO183=1,SUM(AO$7:AO183),"")</f>
        <v/>
      </c>
    </row>
    <row r="184" customFormat="false" ht="15" hidden="false" customHeight="false" outlineLevel="0" collapsed="false">
      <c r="A184" s="78" t="n">
        <f aca="false">IF(E184="","",ROW()-6)</f>
        <v>178</v>
      </c>
      <c r="B184" s="79" t="s">
        <v>100</v>
      </c>
      <c r="C184" s="80" t="s">
        <v>449</v>
      </c>
      <c r="D184" s="80" t="s">
        <v>499</v>
      </c>
      <c r="E184" s="80" t="s">
        <v>515</v>
      </c>
      <c r="F184" s="80" t="s">
        <v>149</v>
      </c>
      <c r="G184" s="80" t="s">
        <v>104</v>
      </c>
      <c r="H184" s="80" t="n">
        <v>11</v>
      </c>
      <c r="I184" s="80" t="s">
        <v>112</v>
      </c>
      <c r="J184" s="80" t="s">
        <v>130</v>
      </c>
      <c r="K184" s="80" t="s">
        <v>514</v>
      </c>
      <c r="L184" s="80" t="s">
        <v>516</v>
      </c>
      <c r="M184" s="80" t="s">
        <v>139</v>
      </c>
      <c r="N184" s="80" t="s">
        <v>132</v>
      </c>
      <c r="O184" s="80" t="s">
        <v>132</v>
      </c>
      <c r="P184" s="81" t="n">
        <v>45888</v>
      </c>
      <c r="Q184" s="81" t="n">
        <v>45888</v>
      </c>
      <c r="R184" s="80" t="s">
        <v>502</v>
      </c>
      <c r="S184" s="80" t="s">
        <v>103</v>
      </c>
      <c r="T184" s="81" t="n">
        <v>45897</v>
      </c>
      <c r="U184" s="80" t="s">
        <v>498</v>
      </c>
      <c r="V184" s="80" t="s">
        <v>103</v>
      </c>
      <c r="W184" s="80"/>
      <c r="X184" s="80"/>
      <c r="Y184" s="81"/>
      <c r="Z184" s="80"/>
      <c r="AA184" s="80"/>
      <c r="AB184" s="80"/>
      <c r="AC184" s="80"/>
      <c r="AD184" s="81"/>
      <c r="AE184" s="80"/>
      <c r="AF184" s="80"/>
      <c r="AG184" s="81"/>
      <c r="AH184" s="79"/>
      <c r="AI184" s="78" t="n">
        <f aca="false">IF(E184="","",(V184&lt;&gt;"")+(AA184&lt;&gt;"")+(AF184&lt;&gt;""))</f>
        <v>1</v>
      </c>
      <c r="AJ184" s="82" t="str">
        <f aca="false">IF(AF184&lt;&gt;"",AF184,IF(AA184&lt;&gt;"",AA184,IF(V184&lt;&gt;"",V184,"")))</f>
        <v>A</v>
      </c>
      <c r="AK184" s="83" t="str">
        <f aca="false">IF(E184="","",IF(P184="","À SOUDER",IF(S184="","VT EN ATTENTE",IF(S184="R","VT REJETÉ – À REPRENDRE",IF(AJ184="","À RADIOGRAPHIER",IF(AJ184="A","ACCEPTÉ",IF(AJ184="NX","NX – RT À REFAIRE",IF(IF(AI184=1,X184,IF(AI184=2,AC184,""))="A","RÉPARÉ – À RADIOGRAPHIER",IF(IF(AI184=1,X184,IF(AI184=2,AC184,""))="R","VT REJETÉ – À REPRENDRE",IF(AJ184="CO","COUPE – À RESOUDER","À RÉPARER"))))))))))</f>
        <v>ACCEPTÉ</v>
      </c>
      <c r="AL184" s="82" t="str">
        <f aca="false">IF(AND(ISNUMBER(P184),OR(AK184="À RADIOGRAPHIER",AK184="RÉPARÉ – À RADIOGRAPHIER",AK184="NX – RT À REFAIRE",AK184="À RÉPARER",AK184="COUPE – À RESOUDER",AK184="VT REJETÉ – À REPRENDRE")),MAX(0,'PROGRAMME RT'!$C$4-P184),"")</f>
        <v/>
      </c>
      <c r="AM184" s="78" t="n">
        <f aca="false">IF(AND(OR(AK184="À RADIOGRAPHIER",AK184="RÉPARÉ – À RADIOGRAPHIER",AK184="NX – RT À REFAIRE"),OR('PROGRAMME RT'!$D$5="TOUTES",B184='PROGRAMME RT'!$D$5)),1,0)</f>
        <v>0</v>
      </c>
      <c r="AN184" s="78" t="str">
        <f aca="false">IF(AM184=1,SUM(AM$7:AM184),"")</f>
        <v/>
      </c>
      <c r="AO184" s="78" t="n">
        <f aca="false">IF(AND(OR(AK184="À RÉPARER",AK184="COUPE – À RESOUDER",AK184="VT REJETÉ – À REPRENDRE"),OR(RÉPARATIONS!$D$5="TOUTES",B184=RÉPARATIONS!$D$5)),1,0)</f>
        <v>0</v>
      </c>
      <c r="AP184" s="78" t="str">
        <f aca="false">IF(AO184=1,SUM(AO$7:AO184),"")</f>
        <v/>
      </c>
    </row>
    <row r="185" customFormat="false" ht="15" hidden="false" customHeight="false" outlineLevel="0" collapsed="false">
      <c r="A185" s="78" t="n">
        <f aca="false">IF(E185="","",ROW()-6)</f>
        <v>179</v>
      </c>
      <c r="B185" s="79" t="s">
        <v>100</v>
      </c>
      <c r="C185" s="80" t="s">
        <v>449</v>
      </c>
      <c r="D185" s="80" t="s">
        <v>499</v>
      </c>
      <c r="E185" s="80" t="s">
        <v>517</v>
      </c>
      <c r="F185" s="80" t="s">
        <v>149</v>
      </c>
      <c r="G185" s="80" t="s">
        <v>104</v>
      </c>
      <c r="H185" s="80" t="n">
        <v>11</v>
      </c>
      <c r="I185" s="80" t="s">
        <v>112</v>
      </c>
      <c r="J185" s="80" t="s">
        <v>130</v>
      </c>
      <c r="K185" s="80" t="s">
        <v>516</v>
      </c>
      <c r="L185" s="80" t="s">
        <v>518</v>
      </c>
      <c r="M185" s="80" t="s">
        <v>139</v>
      </c>
      <c r="N185" s="80" t="s">
        <v>123</v>
      </c>
      <c r="O185" s="80" t="s">
        <v>123</v>
      </c>
      <c r="P185" s="81" t="n">
        <v>45888</v>
      </c>
      <c r="Q185" s="81" t="n">
        <v>45888</v>
      </c>
      <c r="R185" s="80" t="s">
        <v>502</v>
      </c>
      <c r="S185" s="80" t="s">
        <v>103</v>
      </c>
      <c r="T185" s="81" t="n">
        <v>45897</v>
      </c>
      <c r="U185" s="80" t="s">
        <v>498</v>
      </c>
      <c r="V185" s="80" t="s">
        <v>103</v>
      </c>
      <c r="W185" s="80"/>
      <c r="X185" s="80"/>
      <c r="Y185" s="81"/>
      <c r="Z185" s="80"/>
      <c r="AA185" s="80"/>
      <c r="AB185" s="80"/>
      <c r="AC185" s="80"/>
      <c r="AD185" s="81"/>
      <c r="AE185" s="80"/>
      <c r="AF185" s="80"/>
      <c r="AG185" s="81"/>
      <c r="AH185" s="79"/>
      <c r="AI185" s="78" t="n">
        <f aca="false">IF(E185="","",(V185&lt;&gt;"")+(AA185&lt;&gt;"")+(AF185&lt;&gt;""))</f>
        <v>1</v>
      </c>
      <c r="AJ185" s="82" t="str">
        <f aca="false">IF(AF185&lt;&gt;"",AF185,IF(AA185&lt;&gt;"",AA185,IF(V185&lt;&gt;"",V185,"")))</f>
        <v>A</v>
      </c>
      <c r="AK185" s="83" t="str">
        <f aca="false">IF(E185="","",IF(P185="","À SOUDER",IF(S185="","VT EN ATTENTE",IF(S185="R","VT REJETÉ – À REPRENDRE",IF(AJ185="","À RADIOGRAPHIER",IF(AJ185="A","ACCEPTÉ",IF(AJ185="NX","NX – RT À REFAIRE",IF(IF(AI185=1,X185,IF(AI185=2,AC185,""))="A","RÉPARÉ – À RADIOGRAPHIER",IF(IF(AI185=1,X185,IF(AI185=2,AC185,""))="R","VT REJETÉ – À REPRENDRE",IF(AJ185="CO","COUPE – À RESOUDER","À RÉPARER"))))))))))</f>
        <v>ACCEPTÉ</v>
      </c>
      <c r="AL185" s="82" t="str">
        <f aca="false">IF(AND(ISNUMBER(P185),OR(AK185="À RADIOGRAPHIER",AK185="RÉPARÉ – À RADIOGRAPHIER",AK185="NX – RT À REFAIRE",AK185="À RÉPARER",AK185="COUPE – À RESOUDER",AK185="VT REJETÉ – À REPRENDRE")),MAX(0,'PROGRAMME RT'!$C$4-P185),"")</f>
        <v/>
      </c>
      <c r="AM185" s="78" t="n">
        <f aca="false">IF(AND(OR(AK185="À RADIOGRAPHIER",AK185="RÉPARÉ – À RADIOGRAPHIER",AK185="NX – RT À REFAIRE"),OR('PROGRAMME RT'!$D$5="TOUTES",B185='PROGRAMME RT'!$D$5)),1,0)</f>
        <v>0</v>
      </c>
      <c r="AN185" s="78" t="str">
        <f aca="false">IF(AM185=1,SUM(AM$7:AM185),"")</f>
        <v/>
      </c>
      <c r="AO185" s="78" t="n">
        <f aca="false">IF(AND(OR(AK185="À RÉPARER",AK185="COUPE – À RESOUDER",AK185="VT REJETÉ – À REPRENDRE"),OR(RÉPARATIONS!$D$5="TOUTES",B185=RÉPARATIONS!$D$5)),1,0)</f>
        <v>0</v>
      </c>
      <c r="AP185" s="78" t="str">
        <f aca="false">IF(AO185=1,SUM(AO$7:AO185),"")</f>
        <v/>
      </c>
    </row>
    <row r="186" customFormat="false" ht="15" hidden="false" customHeight="false" outlineLevel="0" collapsed="false">
      <c r="A186" s="78" t="n">
        <f aca="false">IF(E186="","",ROW()-6)</f>
        <v>180</v>
      </c>
      <c r="B186" s="79" t="s">
        <v>100</v>
      </c>
      <c r="C186" s="80" t="s">
        <v>449</v>
      </c>
      <c r="D186" s="80" t="s">
        <v>499</v>
      </c>
      <c r="E186" s="80" t="s">
        <v>519</v>
      </c>
      <c r="F186" s="80" t="s">
        <v>149</v>
      </c>
      <c r="G186" s="80" t="s">
        <v>104</v>
      </c>
      <c r="H186" s="80" t="n">
        <v>11</v>
      </c>
      <c r="I186" s="80" t="s">
        <v>112</v>
      </c>
      <c r="J186" s="80" t="s">
        <v>130</v>
      </c>
      <c r="K186" s="80" t="s">
        <v>518</v>
      </c>
      <c r="L186" s="80" t="s">
        <v>520</v>
      </c>
      <c r="M186" s="80" t="s">
        <v>139</v>
      </c>
      <c r="N186" s="80" t="s">
        <v>202</v>
      </c>
      <c r="O186" s="80" t="s">
        <v>202</v>
      </c>
      <c r="P186" s="81" t="n">
        <v>45888</v>
      </c>
      <c r="Q186" s="81" t="n">
        <v>45888</v>
      </c>
      <c r="R186" s="80" t="s">
        <v>502</v>
      </c>
      <c r="S186" s="80" t="s">
        <v>103</v>
      </c>
      <c r="T186" s="81" t="n">
        <v>45897</v>
      </c>
      <c r="U186" s="80" t="s">
        <v>498</v>
      </c>
      <c r="V186" s="80" t="s">
        <v>103</v>
      </c>
      <c r="W186" s="80"/>
      <c r="X186" s="80"/>
      <c r="Y186" s="81"/>
      <c r="Z186" s="80"/>
      <c r="AA186" s="80"/>
      <c r="AB186" s="80"/>
      <c r="AC186" s="80"/>
      <c r="AD186" s="81"/>
      <c r="AE186" s="80"/>
      <c r="AF186" s="80"/>
      <c r="AG186" s="81"/>
      <c r="AH186" s="79"/>
      <c r="AI186" s="78" t="n">
        <f aca="false">IF(E186="","",(V186&lt;&gt;"")+(AA186&lt;&gt;"")+(AF186&lt;&gt;""))</f>
        <v>1</v>
      </c>
      <c r="AJ186" s="82" t="str">
        <f aca="false">IF(AF186&lt;&gt;"",AF186,IF(AA186&lt;&gt;"",AA186,IF(V186&lt;&gt;"",V186,"")))</f>
        <v>A</v>
      </c>
      <c r="AK186" s="83" t="str">
        <f aca="false">IF(E186="","",IF(P186="","À SOUDER",IF(S186="","VT EN ATTENTE",IF(S186="R","VT REJETÉ – À REPRENDRE",IF(AJ186="","À RADIOGRAPHIER",IF(AJ186="A","ACCEPTÉ",IF(AJ186="NX","NX – RT À REFAIRE",IF(IF(AI186=1,X186,IF(AI186=2,AC186,""))="A","RÉPARÉ – À RADIOGRAPHIER",IF(IF(AI186=1,X186,IF(AI186=2,AC186,""))="R","VT REJETÉ – À REPRENDRE",IF(AJ186="CO","COUPE – À RESOUDER","À RÉPARER"))))))))))</f>
        <v>ACCEPTÉ</v>
      </c>
      <c r="AL186" s="82" t="str">
        <f aca="false">IF(AND(ISNUMBER(P186),OR(AK186="À RADIOGRAPHIER",AK186="RÉPARÉ – À RADIOGRAPHIER",AK186="NX – RT À REFAIRE",AK186="À RÉPARER",AK186="COUPE – À RESOUDER",AK186="VT REJETÉ – À REPRENDRE")),MAX(0,'PROGRAMME RT'!$C$4-P186),"")</f>
        <v/>
      </c>
      <c r="AM186" s="78" t="n">
        <f aca="false">IF(AND(OR(AK186="À RADIOGRAPHIER",AK186="RÉPARÉ – À RADIOGRAPHIER",AK186="NX – RT À REFAIRE"),OR('PROGRAMME RT'!$D$5="TOUTES",B186='PROGRAMME RT'!$D$5)),1,0)</f>
        <v>0</v>
      </c>
      <c r="AN186" s="78" t="str">
        <f aca="false">IF(AM186=1,SUM(AM$7:AM186),"")</f>
        <v/>
      </c>
      <c r="AO186" s="78" t="n">
        <f aca="false">IF(AND(OR(AK186="À RÉPARER",AK186="COUPE – À RESOUDER",AK186="VT REJETÉ – À REPRENDRE"),OR(RÉPARATIONS!$D$5="TOUTES",B186=RÉPARATIONS!$D$5)),1,0)</f>
        <v>0</v>
      </c>
      <c r="AP186" s="78" t="str">
        <f aca="false">IF(AO186=1,SUM(AO$7:AO186),"")</f>
        <v/>
      </c>
    </row>
    <row r="187" customFormat="false" ht="15" hidden="false" customHeight="false" outlineLevel="0" collapsed="false">
      <c r="A187" s="78" t="n">
        <f aca="false">IF(E187="","",ROW()-6)</f>
        <v>181</v>
      </c>
      <c r="B187" s="79" t="s">
        <v>100</v>
      </c>
      <c r="C187" s="80" t="s">
        <v>449</v>
      </c>
      <c r="D187" s="80" t="s">
        <v>499</v>
      </c>
      <c r="E187" s="80" t="s">
        <v>521</v>
      </c>
      <c r="F187" s="80" t="s">
        <v>149</v>
      </c>
      <c r="G187" s="80" t="s">
        <v>104</v>
      </c>
      <c r="H187" s="80" t="n">
        <v>11</v>
      </c>
      <c r="I187" s="80" t="s">
        <v>112</v>
      </c>
      <c r="J187" s="80" t="s">
        <v>130</v>
      </c>
      <c r="K187" s="80" t="s">
        <v>520</v>
      </c>
      <c r="L187" s="80" t="s">
        <v>522</v>
      </c>
      <c r="M187" s="80" t="s">
        <v>139</v>
      </c>
      <c r="N187" s="80" t="s">
        <v>132</v>
      </c>
      <c r="O187" s="80" t="s">
        <v>132</v>
      </c>
      <c r="P187" s="81" t="n">
        <v>45888</v>
      </c>
      <c r="Q187" s="81" t="n">
        <v>45888</v>
      </c>
      <c r="R187" s="80" t="s">
        <v>502</v>
      </c>
      <c r="S187" s="80" t="s">
        <v>103</v>
      </c>
      <c r="T187" s="81" t="n">
        <v>45897</v>
      </c>
      <c r="U187" s="80" t="s">
        <v>498</v>
      </c>
      <c r="V187" s="80" t="s">
        <v>103</v>
      </c>
      <c r="W187" s="80"/>
      <c r="X187" s="80"/>
      <c r="Y187" s="81"/>
      <c r="Z187" s="80"/>
      <c r="AA187" s="80"/>
      <c r="AB187" s="80"/>
      <c r="AC187" s="80"/>
      <c r="AD187" s="81"/>
      <c r="AE187" s="80"/>
      <c r="AF187" s="80"/>
      <c r="AG187" s="81"/>
      <c r="AH187" s="79"/>
      <c r="AI187" s="78" t="n">
        <f aca="false">IF(E187="","",(V187&lt;&gt;"")+(AA187&lt;&gt;"")+(AF187&lt;&gt;""))</f>
        <v>1</v>
      </c>
      <c r="AJ187" s="82" t="str">
        <f aca="false">IF(AF187&lt;&gt;"",AF187,IF(AA187&lt;&gt;"",AA187,IF(V187&lt;&gt;"",V187,"")))</f>
        <v>A</v>
      </c>
      <c r="AK187" s="83" t="str">
        <f aca="false">IF(E187="","",IF(P187="","À SOUDER",IF(S187="","VT EN ATTENTE",IF(S187="R","VT REJETÉ – À REPRENDRE",IF(AJ187="","À RADIOGRAPHIER",IF(AJ187="A","ACCEPTÉ",IF(AJ187="NX","NX – RT À REFAIRE",IF(IF(AI187=1,X187,IF(AI187=2,AC187,""))="A","RÉPARÉ – À RADIOGRAPHIER",IF(IF(AI187=1,X187,IF(AI187=2,AC187,""))="R","VT REJETÉ – À REPRENDRE",IF(AJ187="CO","COUPE – À RESOUDER","À RÉPARER"))))))))))</f>
        <v>ACCEPTÉ</v>
      </c>
      <c r="AL187" s="82" t="str">
        <f aca="false">IF(AND(ISNUMBER(P187),OR(AK187="À RADIOGRAPHIER",AK187="RÉPARÉ – À RADIOGRAPHIER",AK187="NX – RT À REFAIRE",AK187="À RÉPARER",AK187="COUPE – À RESOUDER",AK187="VT REJETÉ – À REPRENDRE")),MAX(0,'PROGRAMME RT'!$C$4-P187),"")</f>
        <v/>
      </c>
      <c r="AM187" s="78" t="n">
        <f aca="false">IF(AND(OR(AK187="À RADIOGRAPHIER",AK187="RÉPARÉ – À RADIOGRAPHIER",AK187="NX – RT À REFAIRE"),OR('PROGRAMME RT'!$D$5="TOUTES",B187='PROGRAMME RT'!$D$5)),1,0)</f>
        <v>0</v>
      </c>
      <c r="AN187" s="78" t="str">
        <f aca="false">IF(AM187=1,SUM(AM$7:AM187),"")</f>
        <v/>
      </c>
      <c r="AO187" s="78" t="n">
        <f aca="false">IF(AND(OR(AK187="À RÉPARER",AK187="COUPE – À RESOUDER",AK187="VT REJETÉ – À REPRENDRE"),OR(RÉPARATIONS!$D$5="TOUTES",B187=RÉPARATIONS!$D$5)),1,0)</f>
        <v>0</v>
      </c>
      <c r="AP187" s="78" t="str">
        <f aca="false">IF(AO187=1,SUM(AO$7:AO187),"")</f>
        <v/>
      </c>
    </row>
    <row r="188" customFormat="false" ht="15" hidden="false" customHeight="false" outlineLevel="0" collapsed="false">
      <c r="A188" s="78" t="n">
        <f aca="false">IF(E188="","",ROW()-6)</f>
        <v>182</v>
      </c>
      <c r="B188" s="79" t="s">
        <v>100</v>
      </c>
      <c r="C188" s="80" t="s">
        <v>449</v>
      </c>
      <c r="D188" s="80" t="s">
        <v>499</v>
      </c>
      <c r="E188" s="80" t="s">
        <v>523</v>
      </c>
      <c r="F188" s="80" t="s">
        <v>149</v>
      </c>
      <c r="G188" s="80" t="s">
        <v>104</v>
      </c>
      <c r="H188" s="80" t="n">
        <v>11</v>
      </c>
      <c r="I188" s="80" t="s">
        <v>112</v>
      </c>
      <c r="J188" s="80" t="s">
        <v>130</v>
      </c>
      <c r="K188" s="80" t="s">
        <v>522</v>
      </c>
      <c r="L188" s="80" t="s">
        <v>524</v>
      </c>
      <c r="M188" s="80" t="s">
        <v>139</v>
      </c>
      <c r="N188" s="80" t="s">
        <v>202</v>
      </c>
      <c r="O188" s="80" t="s">
        <v>202</v>
      </c>
      <c r="P188" s="81" t="n">
        <v>45888</v>
      </c>
      <c r="Q188" s="81" t="n">
        <v>45888</v>
      </c>
      <c r="R188" s="80" t="s">
        <v>502</v>
      </c>
      <c r="S188" s="80" t="s">
        <v>103</v>
      </c>
      <c r="T188" s="81" t="n">
        <v>45898</v>
      </c>
      <c r="U188" s="80" t="s">
        <v>394</v>
      </c>
      <c r="V188" s="80" t="s">
        <v>103</v>
      </c>
      <c r="W188" s="80"/>
      <c r="X188" s="80"/>
      <c r="Y188" s="81"/>
      <c r="Z188" s="80"/>
      <c r="AA188" s="80"/>
      <c r="AB188" s="80"/>
      <c r="AC188" s="80"/>
      <c r="AD188" s="81"/>
      <c r="AE188" s="80"/>
      <c r="AF188" s="80"/>
      <c r="AG188" s="81"/>
      <c r="AH188" s="79"/>
      <c r="AI188" s="78" t="n">
        <f aca="false">IF(E188="","",(V188&lt;&gt;"")+(AA188&lt;&gt;"")+(AF188&lt;&gt;""))</f>
        <v>1</v>
      </c>
      <c r="AJ188" s="82" t="str">
        <f aca="false">IF(AF188&lt;&gt;"",AF188,IF(AA188&lt;&gt;"",AA188,IF(V188&lt;&gt;"",V188,"")))</f>
        <v>A</v>
      </c>
      <c r="AK188" s="83" t="str">
        <f aca="false">IF(E188="","",IF(P188="","À SOUDER",IF(S188="","VT EN ATTENTE",IF(S188="R","VT REJETÉ – À REPRENDRE",IF(AJ188="","À RADIOGRAPHIER",IF(AJ188="A","ACCEPTÉ",IF(AJ188="NX","NX – RT À REFAIRE",IF(IF(AI188=1,X188,IF(AI188=2,AC188,""))="A","RÉPARÉ – À RADIOGRAPHIER",IF(IF(AI188=1,X188,IF(AI188=2,AC188,""))="R","VT REJETÉ – À REPRENDRE",IF(AJ188="CO","COUPE – À RESOUDER","À RÉPARER"))))))))))</f>
        <v>ACCEPTÉ</v>
      </c>
      <c r="AL188" s="82" t="str">
        <f aca="false">IF(AND(ISNUMBER(P188),OR(AK188="À RADIOGRAPHIER",AK188="RÉPARÉ – À RADIOGRAPHIER",AK188="NX – RT À REFAIRE",AK188="À RÉPARER",AK188="COUPE – À RESOUDER",AK188="VT REJETÉ – À REPRENDRE")),MAX(0,'PROGRAMME RT'!$C$4-P188),"")</f>
        <v/>
      </c>
      <c r="AM188" s="78" t="n">
        <f aca="false">IF(AND(OR(AK188="À RADIOGRAPHIER",AK188="RÉPARÉ – À RADIOGRAPHIER",AK188="NX – RT À REFAIRE"),OR('PROGRAMME RT'!$D$5="TOUTES",B188='PROGRAMME RT'!$D$5)),1,0)</f>
        <v>0</v>
      </c>
      <c r="AN188" s="78" t="str">
        <f aca="false">IF(AM188=1,SUM(AM$7:AM188),"")</f>
        <v/>
      </c>
      <c r="AO188" s="78" t="n">
        <f aca="false">IF(AND(OR(AK188="À RÉPARER",AK188="COUPE – À RESOUDER",AK188="VT REJETÉ – À REPRENDRE"),OR(RÉPARATIONS!$D$5="TOUTES",B188=RÉPARATIONS!$D$5)),1,0)</f>
        <v>0</v>
      </c>
      <c r="AP188" s="78" t="str">
        <f aca="false">IF(AO188=1,SUM(AO$7:AO188),"")</f>
        <v/>
      </c>
    </row>
    <row r="189" customFormat="false" ht="15" hidden="false" customHeight="false" outlineLevel="0" collapsed="false">
      <c r="A189" s="78" t="n">
        <f aca="false">IF(E189="","",ROW()-6)</f>
        <v>183</v>
      </c>
      <c r="B189" s="79" t="s">
        <v>100</v>
      </c>
      <c r="C189" s="80" t="s">
        <v>449</v>
      </c>
      <c r="D189" s="80" t="s">
        <v>499</v>
      </c>
      <c r="E189" s="80" t="s">
        <v>525</v>
      </c>
      <c r="F189" s="80" t="s">
        <v>149</v>
      </c>
      <c r="G189" s="80" t="s">
        <v>104</v>
      </c>
      <c r="H189" s="80" t="n">
        <v>11</v>
      </c>
      <c r="I189" s="80" t="s">
        <v>112</v>
      </c>
      <c r="J189" s="80" t="s">
        <v>130</v>
      </c>
      <c r="K189" s="80" t="s">
        <v>524</v>
      </c>
      <c r="L189" s="80" t="s">
        <v>526</v>
      </c>
      <c r="M189" s="80" t="s">
        <v>139</v>
      </c>
      <c r="N189" s="80" t="s">
        <v>123</v>
      </c>
      <c r="O189" s="80" t="s">
        <v>123</v>
      </c>
      <c r="P189" s="81" t="n">
        <v>45888</v>
      </c>
      <c r="Q189" s="81" t="n">
        <v>45888</v>
      </c>
      <c r="R189" s="80" t="s">
        <v>502</v>
      </c>
      <c r="S189" s="80" t="s">
        <v>103</v>
      </c>
      <c r="T189" s="81" t="n">
        <v>45898</v>
      </c>
      <c r="U189" s="80" t="s">
        <v>394</v>
      </c>
      <c r="V189" s="80" t="s">
        <v>103</v>
      </c>
      <c r="W189" s="80"/>
      <c r="X189" s="80"/>
      <c r="Y189" s="81"/>
      <c r="Z189" s="80"/>
      <c r="AA189" s="80"/>
      <c r="AB189" s="80"/>
      <c r="AC189" s="80"/>
      <c r="AD189" s="81"/>
      <c r="AE189" s="80"/>
      <c r="AF189" s="80"/>
      <c r="AG189" s="81"/>
      <c r="AH189" s="79"/>
      <c r="AI189" s="78" t="n">
        <f aca="false">IF(E189="","",(V189&lt;&gt;"")+(AA189&lt;&gt;"")+(AF189&lt;&gt;""))</f>
        <v>1</v>
      </c>
      <c r="AJ189" s="82" t="str">
        <f aca="false">IF(AF189&lt;&gt;"",AF189,IF(AA189&lt;&gt;"",AA189,IF(V189&lt;&gt;"",V189,"")))</f>
        <v>A</v>
      </c>
      <c r="AK189" s="83" t="str">
        <f aca="false">IF(E189="","",IF(P189="","À SOUDER",IF(S189="","VT EN ATTENTE",IF(S189="R","VT REJETÉ – À REPRENDRE",IF(AJ189="","À RADIOGRAPHIER",IF(AJ189="A","ACCEPTÉ",IF(AJ189="NX","NX – RT À REFAIRE",IF(IF(AI189=1,X189,IF(AI189=2,AC189,""))="A","RÉPARÉ – À RADIOGRAPHIER",IF(IF(AI189=1,X189,IF(AI189=2,AC189,""))="R","VT REJETÉ – À REPRENDRE",IF(AJ189="CO","COUPE – À RESOUDER","À RÉPARER"))))))))))</f>
        <v>ACCEPTÉ</v>
      </c>
      <c r="AL189" s="82" t="str">
        <f aca="false">IF(AND(ISNUMBER(P189),OR(AK189="À RADIOGRAPHIER",AK189="RÉPARÉ – À RADIOGRAPHIER",AK189="NX – RT À REFAIRE",AK189="À RÉPARER",AK189="COUPE – À RESOUDER",AK189="VT REJETÉ – À REPRENDRE")),MAX(0,'PROGRAMME RT'!$C$4-P189),"")</f>
        <v/>
      </c>
      <c r="AM189" s="78" t="n">
        <f aca="false">IF(AND(OR(AK189="À RADIOGRAPHIER",AK189="RÉPARÉ – À RADIOGRAPHIER",AK189="NX – RT À REFAIRE"),OR('PROGRAMME RT'!$D$5="TOUTES",B189='PROGRAMME RT'!$D$5)),1,0)</f>
        <v>0</v>
      </c>
      <c r="AN189" s="78" t="str">
        <f aca="false">IF(AM189=1,SUM(AM$7:AM189),"")</f>
        <v/>
      </c>
      <c r="AO189" s="78" t="n">
        <f aca="false">IF(AND(OR(AK189="À RÉPARER",AK189="COUPE – À RESOUDER",AK189="VT REJETÉ – À REPRENDRE"),OR(RÉPARATIONS!$D$5="TOUTES",B189=RÉPARATIONS!$D$5)),1,0)</f>
        <v>0</v>
      </c>
      <c r="AP189" s="78" t="str">
        <f aca="false">IF(AO189=1,SUM(AO$7:AO189),"")</f>
        <v/>
      </c>
    </row>
    <row r="190" customFormat="false" ht="15" hidden="false" customHeight="false" outlineLevel="0" collapsed="false">
      <c r="A190" s="78" t="n">
        <f aca="false">IF(E190="","",ROW()-6)</f>
        <v>184</v>
      </c>
      <c r="B190" s="79" t="s">
        <v>100</v>
      </c>
      <c r="C190" s="80" t="s">
        <v>449</v>
      </c>
      <c r="D190" s="80" t="s">
        <v>499</v>
      </c>
      <c r="E190" s="80" t="s">
        <v>527</v>
      </c>
      <c r="F190" s="80" t="s">
        <v>149</v>
      </c>
      <c r="G190" s="80" t="s">
        <v>104</v>
      </c>
      <c r="H190" s="80" t="n">
        <v>11</v>
      </c>
      <c r="I190" s="80" t="s">
        <v>112</v>
      </c>
      <c r="J190" s="80" t="s">
        <v>130</v>
      </c>
      <c r="K190" s="80" t="s">
        <v>526</v>
      </c>
      <c r="L190" s="80" t="s">
        <v>528</v>
      </c>
      <c r="M190" s="80" t="s">
        <v>139</v>
      </c>
      <c r="N190" s="80" t="s">
        <v>132</v>
      </c>
      <c r="O190" s="80" t="s">
        <v>132</v>
      </c>
      <c r="P190" s="81" t="n">
        <v>45888</v>
      </c>
      <c r="Q190" s="81" t="n">
        <v>45888</v>
      </c>
      <c r="R190" s="80" t="s">
        <v>502</v>
      </c>
      <c r="S190" s="80" t="s">
        <v>103</v>
      </c>
      <c r="T190" s="81" t="n">
        <v>45898</v>
      </c>
      <c r="U190" s="80" t="s">
        <v>394</v>
      </c>
      <c r="V190" s="80" t="s">
        <v>103</v>
      </c>
      <c r="W190" s="80"/>
      <c r="X190" s="80"/>
      <c r="Y190" s="81"/>
      <c r="Z190" s="80"/>
      <c r="AA190" s="80"/>
      <c r="AB190" s="80"/>
      <c r="AC190" s="80"/>
      <c r="AD190" s="81"/>
      <c r="AE190" s="80"/>
      <c r="AF190" s="80"/>
      <c r="AG190" s="81"/>
      <c r="AH190" s="79"/>
      <c r="AI190" s="78" t="n">
        <f aca="false">IF(E190="","",(V190&lt;&gt;"")+(AA190&lt;&gt;"")+(AF190&lt;&gt;""))</f>
        <v>1</v>
      </c>
      <c r="AJ190" s="82" t="str">
        <f aca="false">IF(AF190&lt;&gt;"",AF190,IF(AA190&lt;&gt;"",AA190,IF(V190&lt;&gt;"",V190,"")))</f>
        <v>A</v>
      </c>
      <c r="AK190" s="83" t="str">
        <f aca="false">IF(E190="","",IF(P190="","À SOUDER",IF(S190="","VT EN ATTENTE",IF(S190="R","VT REJETÉ – À REPRENDRE",IF(AJ190="","À RADIOGRAPHIER",IF(AJ190="A","ACCEPTÉ",IF(AJ190="NX","NX – RT À REFAIRE",IF(IF(AI190=1,X190,IF(AI190=2,AC190,""))="A","RÉPARÉ – À RADIOGRAPHIER",IF(IF(AI190=1,X190,IF(AI190=2,AC190,""))="R","VT REJETÉ – À REPRENDRE",IF(AJ190="CO","COUPE – À RESOUDER","À RÉPARER"))))))))))</f>
        <v>ACCEPTÉ</v>
      </c>
      <c r="AL190" s="82" t="str">
        <f aca="false">IF(AND(ISNUMBER(P190),OR(AK190="À RADIOGRAPHIER",AK190="RÉPARÉ – À RADIOGRAPHIER",AK190="NX – RT À REFAIRE",AK190="À RÉPARER",AK190="COUPE – À RESOUDER",AK190="VT REJETÉ – À REPRENDRE")),MAX(0,'PROGRAMME RT'!$C$4-P190),"")</f>
        <v/>
      </c>
      <c r="AM190" s="78" t="n">
        <f aca="false">IF(AND(OR(AK190="À RADIOGRAPHIER",AK190="RÉPARÉ – À RADIOGRAPHIER",AK190="NX – RT À REFAIRE"),OR('PROGRAMME RT'!$D$5="TOUTES",B190='PROGRAMME RT'!$D$5)),1,0)</f>
        <v>0</v>
      </c>
      <c r="AN190" s="78" t="str">
        <f aca="false">IF(AM190=1,SUM(AM$7:AM190),"")</f>
        <v/>
      </c>
      <c r="AO190" s="78" t="n">
        <f aca="false">IF(AND(OR(AK190="À RÉPARER",AK190="COUPE – À RESOUDER",AK190="VT REJETÉ – À REPRENDRE"),OR(RÉPARATIONS!$D$5="TOUTES",B190=RÉPARATIONS!$D$5)),1,0)</f>
        <v>0</v>
      </c>
      <c r="AP190" s="78" t="str">
        <f aca="false">IF(AO190=1,SUM(AO$7:AO190),"")</f>
        <v/>
      </c>
    </row>
    <row r="191" customFormat="false" ht="15" hidden="false" customHeight="false" outlineLevel="0" collapsed="false">
      <c r="A191" s="78" t="n">
        <f aca="false">IF(E191="","",ROW()-6)</f>
        <v>185</v>
      </c>
      <c r="B191" s="79" t="s">
        <v>100</v>
      </c>
      <c r="C191" s="80" t="s">
        <v>449</v>
      </c>
      <c r="D191" s="80" t="s">
        <v>499</v>
      </c>
      <c r="E191" s="80" t="s">
        <v>529</v>
      </c>
      <c r="F191" s="80" t="s">
        <v>149</v>
      </c>
      <c r="G191" s="80" t="s">
        <v>104</v>
      </c>
      <c r="H191" s="80" t="n">
        <v>11</v>
      </c>
      <c r="I191" s="80" t="s">
        <v>112</v>
      </c>
      <c r="J191" s="80" t="s">
        <v>130</v>
      </c>
      <c r="K191" s="80" t="s">
        <v>528</v>
      </c>
      <c r="L191" s="80" t="s">
        <v>530</v>
      </c>
      <c r="M191" s="80" t="s">
        <v>139</v>
      </c>
      <c r="N191" s="80" t="s">
        <v>139</v>
      </c>
      <c r="O191" s="80" t="s">
        <v>132</v>
      </c>
      <c r="P191" s="81" t="n">
        <v>45889</v>
      </c>
      <c r="Q191" s="81" t="n">
        <v>45889</v>
      </c>
      <c r="R191" s="80" t="s">
        <v>531</v>
      </c>
      <c r="S191" s="80" t="s">
        <v>103</v>
      </c>
      <c r="T191" s="81" t="n">
        <v>45898</v>
      </c>
      <c r="U191" s="80" t="s">
        <v>394</v>
      </c>
      <c r="V191" s="80" t="s">
        <v>103</v>
      </c>
      <c r="W191" s="80"/>
      <c r="X191" s="80"/>
      <c r="Y191" s="81"/>
      <c r="Z191" s="80"/>
      <c r="AA191" s="80"/>
      <c r="AB191" s="80"/>
      <c r="AC191" s="80"/>
      <c r="AD191" s="81"/>
      <c r="AE191" s="80"/>
      <c r="AF191" s="80"/>
      <c r="AG191" s="81"/>
      <c r="AH191" s="79"/>
      <c r="AI191" s="78" t="n">
        <f aca="false">IF(E191="","",(V191&lt;&gt;"")+(AA191&lt;&gt;"")+(AF191&lt;&gt;""))</f>
        <v>1</v>
      </c>
      <c r="AJ191" s="82" t="str">
        <f aca="false">IF(AF191&lt;&gt;"",AF191,IF(AA191&lt;&gt;"",AA191,IF(V191&lt;&gt;"",V191,"")))</f>
        <v>A</v>
      </c>
      <c r="AK191" s="83" t="str">
        <f aca="false">IF(E191="","",IF(P191="","À SOUDER",IF(S191="","VT EN ATTENTE",IF(S191="R","VT REJETÉ – À REPRENDRE",IF(AJ191="","À RADIOGRAPHIER",IF(AJ191="A","ACCEPTÉ",IF(AJ191="NX","NX – RT À REFAIRE",IF(IF(AI191=1,X191,IF(AI191=2,AC191,""))="A","RÉPARÉ – À RADIOGRAPHIER",IF(IF(AI191=1,X191,IF(AI191=2,AC191,""))="R","VT REJETÉ – À REPRENDRE",IF(AJ191="CO","COUPE – À RESOUDER","À RÉPARER"))))))))))</f>
        <v>ACCEPTÉ</v>
      </c>
      <c r="AL191" s="82" t="str">
        <f aca="false">IF(AND(ISNUMBER(P191),OR(AK191="À RADIOGRAPHIER",AK191="RÉPARÉ – À RADIOGRAPHIER",AK191="NX – RT À REFAIRE",AK191="À RÉPARER",AK191="COUPE – À RESOUDER",AK191="VT REJETÉ – À REPRENDRE")),MAX(0,'PROGRAMME RT'!$C$4-P191),"")</f>
        <v/>
      </c>
      <c r="AM191" s="78" t="n">
        <f aca="false">IF(AND(OR(AK191="À RADIOGRAPHIER",AK191="RÉPARÉ – À RADIOGRAPHIER",AK191="NX – RT À REFAIRE"),OR('PROGRAMME RT'!$D$5="TOUTES",B191='PROGRAMME RT'!$D$5)),1,0)</f>
        <v>0</v>
      </c>
      <c r="AN191" s="78" t="str">
        <f aca="false">IF(AM191=1,SUM(AM$7:AM191),"")</f>
        <v/>
      </c>
      <c r="AO191" s="78" t="n">
        <f aca="false">IF(AND(OR(AK191="À RÉPARER",AK191="COUPE – À RESOUDER",AK191="VT REJETÉ – À REPRENDRE"),OR(RÉPARATIONS!$D$5="TOUTES",B191=RÉPARATIONS!$D$5)),1,0)</f>
        <v>0</v>
      </c>
      <c r="AP191" s="78" t="str">
        <f aca="false">IF(AO191=1,SUM(AO$7:AO191),"")</f>
        <v/>
      </c>
    </row>
    <row r="192" customFormat="false" ht="15" hidden="false" customHeight="false" outlineLevel="0" collapsed="false">
      <c r="A192" s="78" t="n">
        <f aca="false">IF(E192="","",ROW()-6)</f>
        <v>186</v>
      </c>
      <c r="B192" s="79" t="s">
        <v>100</v>
      </c>
      <c r="C192" s="80" t="s">
        <v>449</v>
      </c>
      <c r="D192" s="80" t="s">
        <v>499</v>
      </c>
      <c r="E192" s="80" t="s">
        <v>532</v>
      </c>
      <c r="F192" s="80" t="s">
        <v>149</v>
      </c>
      <c r="G192" s="80" t="s">
        <v>104</v>
      </c>
      <c r="H192" s="80" t="n">
        <v>11</v>
      </c>
      <c r="I192" s="80" t="s">
        <v>112</v>
      </c>
      <c r="J192" s="80" t="s">
        <v>130</v>
      </c>
      <c r="K192" s="80" t="s">
        <v>530</v>
      </c>
      <c r="L192" s="80" t="s">
        <v>533</v>
      </c>
      <c r="M192" s="80" t="s">
        <v>139</v>
      </c>
      <c r="N192" s="80" t="s">
        <v>139</v>
      </c>
      <c r="O192" s="80" t="s">
        <v>202</v>
      </c>
      <c r="P192" s="81" t="n">
        <v>45889</v>
      </c>
      <c r="Q192" s="81" t="n">
        <v>45889</v>
      </c>
      <c r="R192" s="80" t="s">
        <v>531</v>
      </c>
      <c r="S192" s="80" t="s">
        <v>103</v>
      </c>
      <c r="T192" s="81" t="n">
        <v>45898</v>
      </c>
      <c r="U192" s="80" t="s">
        <v>394</v>
      </c>
      <c r="V192" s="80" t="s">
        <v>103</v>
      </c>
      <c r="W192" s="80"/>
      <c r="X192" s="80"/>
      <c r="Y192" s="81"/>
      <c r="Z192" s="80"/>
      <c r="AA192" s="80"/>
      <c r="AB192" s="80"/>
      <c r="AC192" s="80"/>
      <c r="AD192" s="81"/>
      <c r="AE192" s="80"/>
      <c r="AF192" s="80"/>
      <c r="AG192" s="81"/>
      <c r="AH192" s="79"/>
      <c r="AI192" s="78" t="n">
        <f aca="false">IF(E192="","",(V192&lt;&gt;"")+(AA192&lt;&gt;"")+(AF192&lt;&gt;""))</f>
        <v>1</v>
      </c>
      <c r="AJ192" s="82" t="str">
        <f aca="false">IF(AF192&lt;&gt;"",AF192,IF(AA192&lt;&gt;"",AA192,IF(V192&lt;&gt;"",V192,"")))</f>
        <v>A</v>
      </c>
      <c r="AK192" s="83" t="str">
        <f aca="false">IF(E192="","",IF(P192="","À SOUDER",IF(S192="","VT EN ATTENTE",IF(S192="R","VT REJETÉ – À REPRENDRE",IF(AJ192="","À RADIOGRAPHIER",IF(AJ192="A","ACCEPTÉ",IF(AJ192="NX","NX – RT À REFAIRE",IF(IF(AI192=1,X192,IF(AI192=2,AC192,""))="A","RÉPARÉ – À RADIOGRAPHIER",IF(IF(AI192=1,X192,IF(AI192=2,AC192,""))="R","VT REJETÉ – À REPRENDRE",IF(AJ192="CO","COUPE – À RESOUDER","À RÉPARER"))))))))))</f>
        <v>ACCEPTÉ</v>
      </c>
      <c r="AL192" s="82" t="str">
        <f aca="false">IF(AND(ISNUMBER(P192),OR(AK192="À RADIOGRAPHIER",AK192="RÉPARÉ – À RADIOGRAPHIER",AK192="NX – RT À REFAIRE",AK192="À RÉPARER",AK192="COUPE – À RESOUDER",AK192="VT REJETÉ – À REPRENDRE")),MAX(0,'PROGRAMME RT'!$C$4-P192),"")</f>
        <v/>
      </c>
      <c r="AM192" s="78" t="n">
        <f aca="false">IF(AND(OR(AK192="À RADIOGRAPHIER",AK192="RÉPARÉ – À RADIOGRAPHIER",AK192="NX – RT À REFAIRE"),OR('PROGRAMME RT'!$D$5="TOUTES",B192='PROGRAMME RT'!$D$5)),1,0)</f>
        <v>0</v>
      </c>
      <c r="AN192" s="78" t="str">
        <f aca="false">IF(AM192=1,SUM(AM$7:AM192),"")</f>
        <v/>
      </c>
      <c r="AO192" s="78" t="n">
        <f aca="false">IF(AND(OR(AK192="À RÉPARER",AK192="COUPE – À RESOUDER",AK192="VT REJETÉ – À REPRENDRE"),OR(RÉPARATIONS!$D$5="TOUTES",B192=RÉPARATIONS!$D$5)),1,0)</f>
        <v>0</v>
      </c>
      <c r="AP192" s="78" t="str">
        <f aca="false">IF(AO192=1,SUM(AO$7:AO192),"")</f>
        <v/>
      </c>
    </row>
    <row r="193" customFormat="false" ht="15" hidden="false" customHeight="false" outlineLevel="0" collapsed="false">
      <c r="A193" s="78" t="n">
        <f aca="false">IF(E193="","",ROW()-6)</f>
        <v>187</v>
      </c>
      <c r="B193" s="79" t="s">
        <v>100</v>
      </c>
      <c r="C193" s="80" t="s">
        <v>449</v>
      </c>
      <c r="D193" s="80" t="s">
        <v>499</v>
      </c>
      <c r="E193" s="80" t="s">
        <v>534</v>
      </c>
      <c r="F193" s="80" t="s">
        <v>149</v>
      </c>
      <c r="G193" s="80" t="s">
        <v>104</v>
      </c>
      <c r="H193" s="80" t="n">
        <v>11</v>
      </c>
      <c r="I193" s="80" t="s">
        <v>112</v>
      </c>
      <c r="J193" s="80" t="s">
        <v>130</v>
      </c>
      <c r="K193" s="80" t="s">
        <v>533</v>
      </c>
      <c r="L193" s="80" t="s">
        <v>535</v>
      </c>
      <c r="M193" s="80" t="s">
        <v>139</v>
      </c>
      <c r="N193" s="80" t="s">
        <v>139</v>
      </c>
      <c r="O193" s="80" t="s">
        <v>132</v>
      </c>
      <c r="P193" s="81" t="n">
        <v>45889</v>
      </c>
      <c r="Q193" s="81" t="n">
        <v>45889</v>
      </c>
      <c r="R193" s="80" t="s">
        <v>531</v>
      </c>
      <c r="S193" s="80" t="s">
        <v>103</v>
      </c>
      <c r="T193" s="81" t="n">
        <v>45898</v>
      </c>
      <c r="U193" s="80" t="s">
        <v>394</v>
      </c>
      <c r="V193" s="80" t="s">
        <v>103</v>
      </c>
      <c r="W193" s="80"/>
      <c r="X193" s="80"/>
      <c r="Y193" s="81"/>
      <c r="Z193" s="80"/>
      <c r="AA193" s="80"/>
      <c r="AB193" s="80"/>
      <c r="AC193" s="80"/>
      <c r="AD193" s="81"/>
      <c r="AE193" s="80"/>
      <c r="AF193" s="80"/>
      <c r="AG193" s="81"/>
      <c r="AH193" s="79"/>
      <c r="AI193" s="78" t="n">
        <f aca="false">IF(E193="","",(V193&lt;&gt;"")+(AA193&lt;&gt;"")+(AF193&lt;&gt;""))</f>
        <v>1</v>
      </c>
      <c r="AJ193" s="82" t="str">
        <f aca="false">IF(AF193&lt;&gt;"",AF193,IF(AA193&lt;&gt;"",AA193,IF(V193&lt;&gt;"",V193,"")))</f>
        <v>A</v>
      </c>
      <c r="AK193" s="83" t="str">
        <f aca="false">IF(E193="","",IF(P193="","À SOUDER",IF(S193="","VT EN ATTENTE",IF(S193="R","VT REJETÉ – À REPRENDRE",IF(AJ193="","À RADIOGRAPHIER",IF(AJ193="A","ACCEPTÉ",IF(AJ193="NX","NX – RT À REFAIRE",IF(IF(AI193=1,X193,IF(AI193=2,AC193,""))="A","RÉPARÉ – À RADIOGRAPHIER",IF(IF(AI193=1,X193,IF(AI193=2,AC193,""))="R","VT REJETÉ – À REPRENDRE",IF(AJ193="CO","COUPE – À RESOUDER","À RÉPARER"))))))))))</f>
        <v>ACCEPTÉ</v>
      </c>
      <c r="AL193" s="82" t="str">
        <f aca="false">IF(AND(ISNUMBER(P193),OR(AK193="À RADIOGRAPHIER",AK193="RÉPARÉ – À RADIOGRAPHIER",AK193="NX – RT À REFAIRE",AK193="À RÉPARER",AK193="COUPE – À RESOUDER",AK193="VT REJETÉ – À REPRENDRE")),MAX(0,'PROGRAMME RT'!$C$4-P193),"")</f>
        <v/>
      </c>
      <c r="AM193" s="78" t="n">
        <f aca="false">IF(AND(OR(AK193="À RADIOGRAPHIER",AK193="RÉPARÉ – À RADIOGRAPHIER",AK193="NX – RT À REFAIRE"),OR('PROGRAMME RT'!$D$5="TOUTES",B193='PROGRAMME RT'!$D$5)),1,0)</f>
        <v>0</v>
      </c>
      <c r="AN193" s="78" t="str">
        <f aca="false">IF(AM193=1,SUM(AM$7:AM193),"")</f>
        <v/>
      </c>
      <c r="AO193" s="78" t="n">
        <f aca="false">IF(AND(OR(AK193="À RÉPARER",AK193="COUPE – À RESOUDER",AK193="VT REJETÉ – À REPRENDRE"),OR(RÉPARATIONS!$D$5="TOUTES",B193=RÉPARATIONS!$D$5)),1,0)</f>
        <v>0</v>
      </c>
      <c r="AP193" s="78" t="str">
        <f aca="false">IF(AO193=1,SUM(AO$7:AO193),"")</f>
        <v/>
      </c>
    </row>
    <row r="194" customFormat="false" ht="15" hidden="false" customHeight="false" outlineLevel="0" collapsed="false">
      <c r="A194" s="78" t="n">
        <f aca="false">IF(E194="","",ROW()-6)</f>
        <v>188</v>
      </c>
      <c r="B194" s="79" t="s">
        <v>100</v>
      </c>
      <c r="C194" s="80" t="s">
        <v>449</v>
      </c>
      <c r="D194" s="80" t="s">
        <v>499</v>
      </c>
      <c r="E194" s="80" t="s">
        <v>536</v>
      </c>
      <c r="F194" s="80" t="s">
        <v>149</v>
      </c>
      <c r="G194" s="80" t="s">
        <v>104</v>
      </c>
      <c r="H194" s="80" t="n">
        <v>11</v>
      </c>
      <c r="I194" s="80" t="s">
        <v>112</v>
      </c>
      <c r="J194" s="80" t="s">
        <v>130</v>
      </c>
      <c r="K194" s="80" t="s">
        <v>535</v>
      </c>
      <c r="L194" s="80" t="s">
        <v>537</v>
      </c>
      <c r="M194" s="80" t="s">
        <v>139</v>
      </c>
      <c r="N194" s="80" t="s">
        <v>139</v>
      </c>
      <c r="O194" s="80" t="s">
        <v>123</v>
      </c>
      <c r="P194" s="81" t="n">
        <v>45889</v>
      </c>
      <c r="Q194" s="81" t="n">
        <v>45889</v>
      </c>
      <c r="R194" s="80" t="s">
        <v>531</v>
      </c>
      <c r="S194" s="80" t="s">
        <v>103</v>
      </c>
      <c r="T194" s="81" t="n">
        <v>45898</v>
      </c>
      <c r="U194" s="80" t="s">
        <v>394</v>
      </c>
      <c r="V194" s="80" t="s">
        <v>103</v>
      </c>
      <c r="W194" s="80"/>
      <c r="X194" s="80"/>
      <c r="Y194" s="81"/>
      <c r="Z194" s="80"/>
      <c r="AA194" s="80"/>
      <c r="AB194" s="80"/>
      <c r="AC194" s="80"/>
      <c r="AD194" s="81"/>
      <c r="AE194" s="80"/>
      <c r="AF194" s="80"/>
      <c r="AG194" s="81"/>
      <c r="AH194" s="79"/>
      <c r="AI194" s="78" t="n">
        <f aca="false">IF(E194="","",(V194&lt;&gt;"")+(AA194&lt;&gt;"")+(AF194&lt;&gt;""))</f>
        <v>1</v>
      </c>
      <c r="AJ194" s="82" t="str">
        <f aca="false">IF(AF194&lt;&gt;"",AF194,IF(AA194&lt;&gt;"",AA194,IF(V194&lt;&gt;"",V194,"")))</f>
        <v>A</v>
      </c>
      <c r="AK194" s="83" t="str">
        <f aca="false">IF(E194="","",IF(P194="","À SOUDER",IF(S194="","VT EN ATTENTE",IF(S194="R","VT REJETÉ – À REPRENDRE",IF(AJ194="","À RADIOGRAPHIER",IF(AJ194="A","ACCEPTÉ",IF(AJ194="NX","NX – RT À REFAIRE",IF(IF(AI194=1,X194,IF(AI194=2,AC194,""))="A","RÉPARÉ – À RADIOGRAPHIER",IF(IF(AI194=1,X194,IF(AI194=2,AC194,""))="R","VT REJETÉ – À REPRENDRE",IF(AJ194="CO","COUPE – À RESOUDER","À RÉPARER"))))))))))</f>
        <v>ACCEPTÉ</v>
      </c>
      <c r="AL194" s="82" t="str">
        <f aca="false">IF(AND(ISNUMBER(P194),OR(AK194="À RADIOGRAPHIER",AK194="RÉPARÉ – À RADIOGRAPHIER",AK194="NX – RT À REFAIRE",AK194="À RÉPARER",AK194="COUPE – À RESOUDER",AK194="VT REJETÉ – À REPRENDRE")),MAX(0,'PROGRAMME RT'!$C$4-P194),"")</f>
        <v/>
      </c>
      <c r="AM194" s="78" t="n">
        <f aca="false">IF(AND(OR(AK194="À RADIOGRAPHIER",AK194="RÉPARÉ – À RADIOGRAPHIER",AK194="NX – RT À REFAIRE"),OR('PROGRAMME RT'!$D$5="TOUTES",B194='PROGRAMME RT'!$D$5)),1,0)</f>
        <v>0</v>
      </c>
      <c r="AN194" s="78" t="str">
        <f aca="false">IF(AM194=1,SUM(AM$7:AM194),"")</f>
        <v/>
      </c>
      <c r="AO194" s="78" t="n">
        <f aca="false">IF(AND(OR(AK194="À RÉPARER",AK194="COUPE – À RESOUDER",AK194="VT REJETÉ – À REPRENDRE"),OR(RÉPARATIONS!$D$5="TOUTES",B194=RÉPARATIONS!$D$5)),1,0)</f>
        <v>0</v>
      </c>
      <c r="AP194" s="78" t="str">
        <f aca="false">IF(AO194=1,SUM(AO$7:AO194),"")</f>
        <v/>
      </c>
    </row>
    <row r="195" customFormat="false" ht="15" hidden="false" customHeight="false" outlineLevel="0" collapsed="false">
      <c r="A195" s="78" t="n">
        <f aca="false">IF(E195="","",ROW()-6)</f>
        <v>189</v>
      </c>
      <c r="B195" s="79" t="s">
        <v>100</v>
      </c>
      <c r="C195" s="80" t="s">
        <v>449</v>
      </c>
      <c r="D195" s="80" t="s">
        <v>499</v>
      </c>
      <c r="E195" s="80" t="s">
        <v>538</v>
      </c>
      <c r="F195" s="80" t="s">
        <v>149</v>
      </c>
      <c r="G195" s="80" t="s">
        <v>104</v>
      </c>
      <c r="H195" s="80" t="n">
        <v>11</v>
      </c>
      <c r="I195" s="80" t="s">
        <v>112</v>
      </c>
      <c r="J195" s="80" t="s">
        <v>130</v>
      </c>
      <c r="K195" s="80" t="s">
        <v>537</v>
      </c>
      <c r="L195" s="80" t="s">
        <v>539</v>
      </c>
      <c r="M195" s="80" t="s">
        <v>139</v>
      </c>
      <c r="N195" s="80" t="s">
        <v>139</v>
      </c>
      <c r="O195" s="80" t="s">
        <v>132</v>
      </c>
      <c r="P195" s="81" t="n">
        <v>45889</v>
      </c>
      <c r="Q195" s="81" t="n">
        <v>45889</v>
      </c>
      <c r="R195" s="80" t="s">
        <v>531</v>
      </c>
      <c r="S195" s="80" t="s">
        <v>103</v>
      </c>
      <c r="T195" s="81" t="n">
        <v>45898</v>
      </c>
      <c r="U195" s="80" t="s">
        <v>394</v>
      </c>
      <c r="V195" s="80" t="s">
        <v>103</v>
      </c>
      <c r="W195" s="80"/>
      <c r="X195" s="80"/>
      <c r="Y195" s="81"/>
      <c r="Z195" s="80"/>
      <c r="AA195" s="80"/>
      <c r="AB195" s="80"/>
      <c r="AC195" s="80"/>
      <c r="AD195" s="81"/>
      <c r="AE195" s="80"/>
      <c r="AF195" s="80"/>
      <c r="AG195" s="81"/>
      <c r="AH195" s="79"/>
      <c r="AI195" s="78" t="n">
        <f aca="false">IF(E195="","",(V195&lt;&gt;"")+(AA195&lt;&gt;"")+(AF195&lt;&gt;""))</f>
        <v>1</v>
      </c>
      <c r="AJ195" s="82" t="str">
        <f aca="false">IF(AF195&lt;&gt;"",AF195,IF(AA195&lt;&gt;"",AA195,IF(V195&lt;&gt;"",V195,"")))</f>
        <v>A</v>
      </c>
      <c r="AK195" s="83" t="str">
        <f aca="false">IF(E195="","",IF(P195="","À SOUDER",IF(S195="","VT EN ATTENTE",IF(S195="R","VT REJETÉ – À REPRENDRE",IF(AJ195="","À RADIOGRAPHIER",IF(AJ195="A","ACCEPTÉ",IF(AJ195="NX","NX – RT À REFAIRE",IF(IF(AI195=1,X195,IF(AI195=2,AC195,""))="A","RÉPARÉ – À RADIOGRAPHIER",IF(IF(AI195=1,X195,IF(AI195=2,AC195,""))="R","VT REJETÉ – À REPRENDRE",IF(AJ195="CO","COUPE – À RESOUDER","À RÉPARER"))))))))))</f>
        <v>ACCEPTÉ</v>
      </c>
      <c r="AL195" s="82" t="str">
        <f aca="false">IF(AND(ISNUMBER(P195),OR(AK195="À RADIOGRAPHIER",AK195="RÉPARÉ – À RADIOGRAPHIER",AK195="NX – RT À REFAIRE",AK195="À RÉPARER",AK195="COUPE – À RESOUDER",AK195="VT REJETÉ – À REPRENDRE")),MAX(0,'PROGRAMME RT'!$C$4-P195),"")</f>
        <v/>
      </c>
      <c r="AM195" s="78" t="n">
        <f aca="false">IF(AND(OR(AK195="À RADIOGRAPHIER",AK195="RÉPARÉ – À RADIOGRAPHIER",AK195="NX – RT À REFAIRE"),OR('PROGRAMME RT'!$D$5="TOUTES",B195='PROGRAMME RT'!$D$5)),1,0)</f>
        <v>0</v>
      </c>
      <c r="AN195" s="78" t="str">
        <f aca="false">IF(AM195=1,SUM(AM$7:AM195),"")</f>
        <v/>
      </c>
      <c r="AO195" s="78" t="n">
        <f aca="false">IF(AND(OR(AK195="À RÉPARER",AK195="COUPE – À RESOUDER",AK195="VT REJETÉ – À REPRENDRE"),OR(RÉPARATIONS!$D$5="TOUTES",B195=RÉPARATIONS!$D$5)),1,0)</f>
        <v>0</v>
      </c>
      <c r="AP195" s="78" t="str">
        <f aca="false">IF(AO195=1,SUM(AO$7:AO195),"")</f>
        <v/>
      </c>
    </row>
    <row r="196" customFormat="false" ht="15" hidden="false" customHeight="false" outlineLevel="0" collapsed="false">
      <c r="A196" s="78" t="n">
        <f aca="false">IF(E196="","",ROW()-6)</f>
        <v>190</v>
      </c>
      <c r="B196" s="79" t="s">
        <v>100</v>
      </c>
      <c r="C196" s="80" t="s">
        <v>449</v>
      </c>
      <c r="D196" s="80" t="s">
        <v>499</v>
      </c>
      <c r="E196" s="80" t="s">
        <v>540</v>
      </c>
      <c r="F196" s="80" t="s">
        <v>149</v>
      </c>
      <c r="G196" s="80" t="s">
        <v>104</v>
      </c>
      <c r="H196" s="80" t="n">
        <v>11</v>
      </c>
      <c r="I196" s="80" t="s">
        <v>112</v>
      </c>
      <c r="J196" s="80" t="s">
        <v>130</v>
      </c>
      <c r="K196" s="80" t="s">
        <v>539</v>
      </c>
      <c r="L196" s="80" t="s">
        <v>541</v>
      </c>
      <c r="M196" s="80" t="s">
        <v>139</v>
      </c>
      <c r="N196" s="80" t="s">
        <v>139</v>
      </c>
      <c r="O196" s="80" t="s">
        <v>202</v>
      </c>
      <c r="P196" s="81" t="n">
        <v>45889</v>
      </c>
      <c r="Q196" s="81" t="n">
        <v>45889</v>
      </c>
      <c r="R196" s="80" t="s">
        <v>531</v>
      </c>
      <c r="S196" s="80" t="s">
        <v>103</v>
      </c>
      <c r="T196" s="81" t="n">
        <v>45898</v>
      </c>
      <c r="U196" s="80" t="s">
        <v>394</v>
      </c>
      <c r="V196" s="80" t="s">
        <v>103</v>
      </c>
      <c r="W196" s="80"/>
      <c r="X196" s="80"/>
      <c r="Y196" s="81"/>
      <c r="Z196" s="80"/>
      <c r="AA196" s="80"/>
      <c r="AB196" s="80"/>
      <c r="AC196" s="80"/>
      <c r="AD196" s="81"/>
      <c r="AE196" s="80"/>
      <c r="AF196" s="80"/>
      <c r="AG196" s="81"/>
      <c r="AH196" s="79"/>
      <c r="AI196" s="78" t="n">
        <f aca="false">IF(E196="","",(V196&lt;&gt;"")+(AA196&lt;&gt;"")+(AF196&lt;&gt;""))</f>
        <v>1</v>
      </c>
      <c r="AJ196" s="82" t="str">
        <f aca="false">IF(AF196&lt;&gt;"",AF196,IF(AA196&lt;&gt;"",AA196,IF(V196&lt;&gt;"",V196,"")))</f>
        <v>A</v>
      </c>
      <c r="AK196" s="83" t="str">
        <f aca="false">IF(E196="","",IF(P196="","À SOUDER",IF(S196="","VT EN ATTENTE",IF(S196="R","VT REJETÉ – À REPRENDRE",IF(AJ196="","À RADIOGRAPHIER",IF(AJ196="A","ACCEPTÉ",IF(AJ196="NX","NX – RT À REFAIRE",IF(IF(AI196=1,X196,IF(AI196=2,AC196,""))="A","RÉPARÉ – À RADIOGRAPHIER",IF(IF(AI196=1,X196,IF(AI196=2,AC196,""))="R","VT REJETÉ – À REPRENDRE",IF(AJ196="CO","COUPE – À RESOUDER","À RÉPARER"))))))))))</f>
        <v>ACCEPTÉ</v>
      </c>
      <c r="AL196" s="82" t="str">
        <f aca="false">IF(AND(ISNUMBER(P196),OR(AK196="À RADIOGRAPHIER",AK196="RÉPARÉ – À RADIOGRAPHIER",AK196="NX – RT À REFAIRE",AK196="À RÉPARER",AK196="COUPE – À RESOUDER",AK196="VT REJETÉ – À REPRENDRE")),MAX(0,'PROGRAMME RT'!$C$4-P196),"")</f>
        <v/>
      </c>
      <c r="AM196" s="78" t="n">
        <f aca="false">IF(AND(OR(AK196="À RADIOGRAPHIER",AK196="RÉPARÉ – À RADIOGRAPHIER",AK196="NX – RT À REFAIRE"),OR('PROGRAMME RT'!$D$5="TOUTES",B196='PROGRAMME RT'!$D$5)),1,0)</f>
        <v>0</v>
      </c>
      <c r="AN196" s="78" t="str">
        <f aca="false">IF(AM196=1,SUM(AM$7:AM196),"")</f>
        <v/>
      </c>
      <c r="AO196" s="78" t="n">
        <f aca="false">IF(AND(OR(AK196="À RÉPARER",AK196="COUPE – À RESOUDER",AK196="VT REJETÉ – À REPRENDRE"),OR(RÉPARATIONS!$D$5="TOUTES",B196=RÉPARATIONS!$D$5)),1,0)</f>
        <v>0</v>
      </c>
      <c r="AP196" s="78" t="str">
        <f aca="false">IF(AO196=1,SUM(AO$7:AO196),"")</f>
        <v/>
      </c>
    </row>
    <row r="197" customFormat="false" ht="15" hidden="false" customHeight="false" outlineLevel="0" collapsed="false">
      <c r="A197" s="78" t="n">
        <f aca="false">IF(E197="","",ROW()-6)</f>
        <v>191</v>
      </c>
      <c r="B197" s="79" t="s">
        <v>100</v>
      </c>
      <c r="C197" s="80" t="s">
        <v>449</v>
      </c>
      <c r="D197" s="80" t="s">
        <v>499</v>
      </c>
      <c r="E197" s="80" t="s">
        <v>542</v>
      </c>
      <c r="F197" s="80" t="s">
        <v>149</v>
      </c>
      <c r="G197" s="80" t="s">
        <v>104</v>
      </c>
      <c r="H197" s="80" t="n">
        <v>11</v>
      </c>
      <c r="I197" s="80" t="s">
        <v>112</v>
      </c>
      <c r="J197" s="80" t="s">
        <v>130</v>
      </c>
      <c r="K197" s="80" t="s">
        <v>541</v>
      </c>
      <c r="L197" s="80" t="s">
        <v>543</v>
      </c>
      <c r="M197" s="80" t="s">
        <v>139</v>
      </c>
      <c r="N197" s="80" t="s">
        <v>139</v>
      </c>
      <c r="O197" s="80" t="s">
        <v>202</v>
      </c>
      <c r="P197" s="81" t="n">
        <v>45889</v>
      </c>
      <c r="Q197" s="81" t="n">
        <v>45889</v>
      </c>
      <c r="R197" s="80" t="s">
        <v>531</v>
      </c>
      <c r="S197" s="80" t="s">
        <v>103</v>
      </c>
      <c r="T197" s="81" t="n">
        <v>45898</v>
      </c>
      <c r="U197" s="80" t="s">
        <v>394</v>
      </c>
      <c r="V197" s="80" t="s">
        <v>103</v>
      </c>
      <c r="W197" s="80"/>
      <c r="X197" s="80"/>
      <c r="Y197" s="81"/>
      <c r="Z197" s="80"/>
      <c r="AA197" s="80"/>
      <c r="AB197" s="80"/>
      <c r="AC197" s="80"/>
      <c r="AD197" s="81"/>
      <c r="AE197" s="80"/>
      <c r="AF197" s="80"/>
      <c r="AG197" s="81"/>
      <c r="AH197" s="79"/>
      <c r="AI197" s="78" t="n">
        <f aca="false">IF(E197="","",(V197&lt;&gt;"")+(AA197&lt;&gt;"")+(AF197&lt;&gt;""))</f>
        <v>1</v>
      </c>
      <c r="AJ197" s="82" t="str">
        <f aca="false">IF(AF197&lt;&gt;"",AF197,IF(AA197&lt;&gt;"",AA197,IF(V197&lt;&gt;"",V197,"")))</f>
        <v>A</v>
      </c>
      <c r="AK197" s="83" t="str">
        <f aca="false">IF(E197="","",IF(P197="","À SOUDER",IF(S197="","VT EN ATTENTE",IF(S197="R","VT REJETÉ – À REPRENDRE",IF(AJ197="","À RADIOGRAPHIER",IF(AJ197="A","ACCEPTÉ",IF(AJ197="NX","NX – RT À REFAIRE",IF(IF(AI197=1,X197,IF(AI197=2,AC197,""))="A","RÉPARÉ – À RADIOGRAPHIER",IF(IF(AI197=1,X197,IF(AI197=2,AC197,""))="R","VT REJETÉ – À REPRENDRE",IF(AJ197="CO","COUPE – À RESOUDER","À RÉPARER"))))))))))</f>
        <v>ACCEPTÉ</v>
      </c>
      <c r="AL197" s="82" t="str">
        <f aca="false">IF(AND(ISNUMBER(P197),OR(AK197="À RADIOGRAPHIER",AK197="RÉPARÉ – À RADIOGRAPHIER",AK197="NX – RT À REFAIRE",AK197="À RÉPARER",AK197="COUPE – À RESOUDER",AK197="VT REJETÉ – À REPRENDRE")),MAX(0,'PROGRAMME RT'!$C$4-P197),"")</f>
        <v/>
      </c>
      <c r="AM197" s="78" t="n">
        <f aca="false">IF(AND(OR(AK197="À RADIOGRAPHIER",AK197="RÉPARÉ – À RADIOGRAPHIER",AK197="NX – RT À REFAIRE"),OR('PROGRAMME RT'!$D$5="TOUTES",B197='PROGRAMME RT'!$D$5)),1,0)</f>
        <v>0</v>
      </c>
      <c r="AN197" s="78" t="str">
        <f aca="false">IF(AM197=1,SUM(AM$7:AM197),"")</f>
        <v/>
      </c>
      <c r="AO197" s="78" t="n">
        <f aca="false">IF(AND(OR(AK197="À RÉPARER",AK197="COUPE – À RESOUDER",AK197="VT REJETÉ – À REPRENDRE"),OR(RÉPARATIONS!$D$5="TOUTES",B197=RÉPARATIONS!$D$5)),1,0)</f>
        <v>0</v>
      </c>
      <c r="AP197" s="78" t="str">
        <f aca="false">IF(AO197=1,SUM(AO$7:AO197),"")</f>
        <v/>
      </c>
    </row>
    <row r="198" customFormat="false" ht="15" hidden="false" customHeight="false" outlineLevel="0" collapsed="false">
      <c r="A198" s="78" t="n">
        <f aca="false">IF(E198="","",ROW()-6)</f>
        <v>192</v>
      </c>
      <c r="B198" s="79" t="s">
        <v>100</v>
      </c>
      <c r="C198" s="80" t="s">
        <v>449</v>
      </c>
      <c r="D198" s="80" t="s">
        <v>499</v>
      </c>
      <c r="E198" s="80" t="s">
        <v>544</v>
      </c>
      <c r="F198" s="80" t="s">
        <v>149</v>
      </c>
      <c r="G198" s="80" t="s">
        <v>104</v>
      </c>
      <c r="H198" s="80" t="n">
        <v>11</v>
      </c>
      <c r="I198" s="80" t="s">
        <v>112</v>
      </c>
      <c r="J198" s="80" t="s">
        <v>130</v>
      </c>
      <c r="K198" s="80" t="s">
        <v>543</v>
      </c>
      <c r="L198" s="80" t="s">
        <v>545</v>
      </c>
      <c r="M198" s="80" t="s">
        <v>139</v>
      </c>
      <c r="N198" s="80" t="s">
        <v>139</v>
      </c>
      <c r="O198" s="80" t="s">
        <v>132</v>
      </c>
      <c r="P198" s="81" t="n">
        <v>45889</v>
      </c>
      <c r="Q198" s="81" t="n">
        <v>45889</v>
      </c>
      <c r="R198" s="80" t="s">
        <v>531</v>
      </c>
      <c r="S198" s="80" t="s">
        <v>103</v>
      </c>
      <c r="T198" s="81" t="n">
        <v>45899</v>
      </c>
      <c r="U198" s="80" t="s">
        <v>546</v>
      </c>
      <c r="V198" s="80" t="s">
        <v>103</v>
      </c>
      <c r="W198" s="80"/>
      <c r="X198" s="80"/>
      <c r="Y198" s="81"/>
      <c r="Z198" s="80"/>
      <c r="AA198" s="80"/>
      <c r="AB198" s="80"/>
      <c r="AC198" s="80"/>
      <c r="AD198" s="81"/>
      <c r="AE198" s="80"/>
      <c r="AF198" s="80"/>
      <c r="AG198" s="81"/>
      <c r="AH198" s="79"/>
      <c r="AI198" s="78" t="n">
        <f aca="false">IF(E198="","",(V198&lt;&gt;"")+(AA198&lt;&gt;"")+(AF198&lt;&gt;""))</f>
        <v>1</v>
      </c>
      <c r="AJ198" s="82" t="str">
        <f aca="false">IF(AF198&lt;&gt;"",AF198,IF(AA198&lt;&gt;"",AA198,IF(V198&lt;&gt;"",V198,"")))</f>
        <v>A</v>
      </c>
      <c r="AK198" s="83" t="str">
        <f aca="false">IF(E198="","",IF(P198="","À SOUDER",IF(S198="","VT EN ATTENTE",IF(S198="R","VT REJETÉ – À REPRENDRE",IF(AJ198="","À RADIOGRAPHIER",IF(AJ198="A","ACCEPTÉ",IF(AJ198="NX","NX – RT À REFAIRE",IF(IF(AI198=1,X198,IF(AI198=2,AC198,""))="A","RÉPARÉ – À RADIOGRAPHIER",IF(IF(AI198=1,X198,IF(AI198=2,AC198,""))="R","VT REJETÉ – À REPRENDRE",IF(AJ198="CO","COUPE – À RESOUDER","À RÉPARER"))))))))))</f>
        <v>ACCEPTÉ</v>
      </c>
      <c r="AL198" s="82" t="str">
        <f aca="false">IF(AND(ISNUMBER(P198),OR(AK198="À RADIOGRAPHIER",AK198="RÉPARÉ – À RADIOGRAPHIER",AK198="NX – RT À REFAIRE",AK198="À RÉPARER",AK198="COUPE – À RESOUDER",AK198="VT REJETÉ – À REPRENDRE")),MAX(0,'PROGRAMME RT'!$C$4-P198),"")</f>
        <v/>
      </c>
      <c r="AM198" s="78" t="n">
        <f aca="false">IF(AND(OR(AK198="À RADIOGRAPHIER",AK198="RÉPARÉ – À RADIOGRAPHIER",AK198="NX – RT À REFAIRE"),OR('PROGRAMME RT'!$D$5="TOUTES",B198='PROGRAMME RT'!$D$5)),1,0)</f>
        <v>0</v>
      </c>
      <c r="AN198" s="78" t="str">
        <f aca="false">IF(AM198=1,SUM(AM$7:AM198),"")</f>
        <v/>
      </c>
      <c r="AO198" s="78" t="n">
        <f aca="false">IF(AND(OR(AK198="À RÉPARER",AK198="COUPE – À RESOUDER",AK198="VT REJETÉ – À REPRENDRE"),OR(RÉPARATIONS!$D$5="TOUTES",B198=RÉPARATIONS!$D$5)),1,0)</f>
        <v>0</v>
      </c>
      <c r="AP198" s="78" t="str">
        <f aca="false">IF(AO198=1,SUM(AO$7:AO198),"")</f>
        <v/>
      </c>
    </row>
    <row r="199" customFormat="false" ht="15" hidden="false" customHeight="false" outlineLevel="0" collapsed="false">
      <c r="A199" s="78" t="n">
        <f aca="false">IF(E199="","",ROW()-6)</f>
        <v>193</v>
      </c>
      <c r="B199" s="79" t="s">
        <v>100</v>
      </c>
      <c r="C199" s="80" t="s">
        <v>449</v>
      </c>
      <c r="D199" s="80" t="s">
        <v>499</v>
      </c>
      <c r="E199" s="80" t="s">
        <v>547</v>
      </c>
      <c r="F199" s="80" t="s">
        <v>149</v>
      </c>
      <c r="G199" s="80" t="s">
        <v>104</v>
      </c>
      <c r="H199" s="80" t="n">
        <v>11</v>
      </c>
      <c r="I199" s="80" t="s">
        <v>112</v>
      </c>
      <c r="J199" s="80" t="s">
        <v>130</v>
      </c>
      <c r="K199" s="80" t="s">
        <v>545</v>
      </c>
      <c r="L199" s="80" t="s">
        <v>548</v>
      </c>
      <c r="M199" s="80" t="s">
        <v>139</v>
      </c>
      <c r="N199" s="80" t="s">
        <v>139</v>
      </c>
      <c r="O199" s="80" t="s">
        <v>123</v>
      </c>
      <c r="P199" s="81" t="n">
        <v>45889</v>
      </c>
      <c r="Q199" s="81" t="n">
        <v>45889</v>
      </c>
      <c r="R199" s="80" t="s">
        <v>531</v>
      </c>
      <c r="S199" s="80" t="s">
        <v>103</v>
      </c>
      <c r="T199" s="81" t="n">
        <v>45899</v>
      </c>
      <c r="U199" s="80" t="s">
        <v>546</v>
      </c>
      <c r="V199" s="80" t="s">
        <v>103</v>
      </c>
      <c r="W199" s="80"/>
      <c r="X199" s="80"/>
      <c r="Y199" s="81"/>
      <c r="Z199" s="80"/>
      <c r="AA199" s="80"/>
      <c r="AB199" s="80"/>
      <c r="AC199" s="80"/>
      <c r="AD199" s="81"/>
      <c r="AE199" s="80"/>
      <c r="AF199" s="80"/>
      <c r="AG199" s="81"/>
      <c r="AH199" s="79"/>
      <c r="AI199" s="78" t="n">
        <f aca="false">IF(E199="","",(V199&lt;&gt;"")+(AA199&lt;&gt;"")+(AF199&lt;&gt;""))</f>
        <v>1</v>
      </c>
      <c r="AJ199" s="82" t="str">
        <f aca="false">IF(AF199&lt;&gt;"",AF199,IF(AA199&lt;&gt;"",AA199,IF(V199&lt;&gt;"",V199,"")))</f>
        <v>A</v>
      </c>
      <c r="AK199" s="83" t="str">
        <f aca="false">IF(E199="","",IF(P199="","À SOUDER",IF(S199="","VT EN ATTENTE",IF(S199="R","VT REJETÉ – À REPRENDRE",IF(AJ199="","À RADIOGRAPHIER",IF(AJ199="A","ACCEPTÉ",IF(AJ199="NX","NX – RT À REFAIRE",IF(IF(AI199=1,X199,IF(AI199=2,AC199,""))="A","RÉPARÉ – À RADIOGRAPHIER",IF(IF(AI199=1,X199,IF(AI199=2,AC199,""))="R","VT REJETÉ – À REPRENDRE",IF(AJ199="CO","COUPE – À RESOUDER","À RÉPARER"))))))))))</f>
        <v>ACCEPTÉ</v>
      </c>
      <c r="AL199" s="82" t="str">
        <f aca="false">IF(AND(ISNUMBER(P199),OR(AK199="À RADIOGRAPHIER",AK199="RÉPARÉ – À RADIOGRAPHIER",AK199="NX – RT À REFAIRE",AK199="À RÉPARER",AK199="COUPE – À RESOUDER",AK199="VT REJETÉ – À REPRENDRE")),MAX(0,'PROGRAMME RT'!$C$4-P199),"")</f>
        <v/>
      </c>
      <c r="AM199" s="78" t="n">
        <f aca="false">IF(AND(OR(AK199="À RADIOGRAPHIER",AK199="RÉPARÉ – À RADIOGRAPHIER",AK199="NX – RT À REFAIRE"),OR('PROGRAMME RT'!$D$5="TOUTES",B199='PROGRAMME RT'!$D$5)),1,0)</f>
        <v>0</v>
      </c>
      <c r="AN199" s="78" t="str">
        <f aca="false">IF(AM199=1,SUM(AM$7:AM199),"")</f>
        <v/>
      </c>
      <c r="AO199" s="78" t="n">
        <f aca="false">IF(AND(OR(AK199="À RÉPARER",AK199="COUPE – À RESOUDER",AK199="VT REJETÉ – À REPRENDRE"),OR(RÉPARATIONS!$D$5="TOUTES",B199=RÉPARATIONS!$D$5)),1,0)</f>
        <v>0</v>
      </c>
      <c r="AP199" s="78" t="str">
        <f aca="false">IF(AO199=1,SUM(AO$7:AO199),"")</f>
        <v/>
      </c>
    </row>
    <row r="200" customFormat="false" ht="15" hidden="false" customHeight="false" outlineLevel="0" collapsed="false">
      <c r="A200" s="78" t="n">
        <f aca="false">IF(E200="","",ROW()-6)</f>
        <v>194</v>
      </c>
      <c r="B200" s="79" t="s">
        <v>100</v>
      </c>
      <c r="C200" s="80" t="s">
        <v>449</v>
      </c>
      <c r="D200" s="80" t="s">
        <v>499</v>
      </c>
      <c r="E200" s="80" t="s">
        <v>549</v>
      </c>
      <c r="F200" s="80" t="s">
        <v>149</v>
      </c>
      <c r="G200" s="80" t="s">
        <v>104</v>
      </c>
      <c r="H200" s="80" t="n">
        <v>11</v>
      </c>
      <c r="I200" s="80" t="s">
        <v>112</v>
      </c>
      <c r="J200" s="80" t="s">
        <v>130</v>
      </c>
      <c r="K200" s="80" t="s">
        <v>548</v>
      </c>
      <c r="L200" s="80" t="s">
        <v>550</v>
      </c>
      <c r="M200" s="80" t="s">
        <v>139</v>
      </c>
      <c r="N200" s="80" t="s">
        <v>139</v>
      </c>
      <c r="O200" s="80" t="s">
        <v>123</v>
      </c>
      <c r="P200" s="81" t="n">
        <v>45889</v>
      </c>
      <c r="Q200" s="81" t="n">
        <v>45889</v>
      </c>
      <c r="R200" s="80" t="s">
        <v>531</v>
      </c>
      <c r="S200" s="80" t="s">
        <v>103</v>
      </c>
      <c r="T200" s="81" t="n">
        <v>45899</v>
      </c>
      <c r="U200" s="80" t="s">
        <v>546</v>
      </c>
      <c r="V200" s="80" t="s">
        <v>103</v>
      </c>
      <c r="W200" s="80"/>
      <c r="X200" s="80"/>
      <c r="Y200" s="81"/>
      <c r="Z200" s="80"/>
      <c r="AA200" s="80"/>
      <c r="AB200" s="80"/>
      <c r="AC200" s="80"/>
      <c r="AD200" s="81"/>
      <c r="AE200" s="80"/>
      <c r="AF200" s="80"/>
      <c r="AG200" s="81"/>
      <c r="AH200" s="79"/>
      <c r="AI200" s="78" t="n">
        <f aca="false">IF(E200="","",(V200&lt;&gt;"")+(AA200&lt;&gt;"")+(AF200&lt;&gt;""))</f>
        <v>1</v>
      </c>
      <c r="AJ200" s="82" t="str">
        <f aca="false">IF(AF200&lt;&gt;"",AF200,IF(AA200&lt;&gt;"",AA200,IF(V200&lt;&gt;"",V200,"")))</f>
        <v>A</v>
      </c>
      <c r="AK200" s="83" t="str">
        <f aca="false">IF(E200="","",IF(P200="","À SOUDER",IF(S200="","VT EN ATTENTE",IF(S200="R","VT REJETÉ – À REPRENDRE",IF(AJ200="","À RADIOGRAPHIER",IF(AJ200="A","ACCEPTÉ",IF(AJ200="NX","NX – RT À REFAIRE",IF(IF(AI200=1,X200,IF(AI200=2,AC200,""))="A","RÉPARÉ – À RADIOGRAPHIER",IF(IF(AI200=1,X200,IF(AI200=2,AC200,""))="R","VT REJETÉ – À REPRENDRE",IF(AJ200="CO","COUPE – À RESOUDER","À RÉPARER"))))))))))</f>
        <v>ACCEPTÉ</v>
      </c>
      <c r="AL200" s="82" t="str">
        <f aca="false">IF(AND(ISNUMBER(P200),OR(AK200="À RADIOGRAPHIER",AK200="RÉPARÉ – À RADIOGRAPHIER",AK200="NX – RT À REFAIRE",AK200="À RÉPARER",AK200="COUPE – À RESOUDER",AK200="VT REJETÉ – À REPRENDRE")),MAX(0,'PROGRAMME RT'!$C$4-P200),"")</f>
        <v/>
      </c>
      <c r="AM200" s="78" t="n">
        <f aca="false">IF(AND(OR(AK200="À RADIOGRAPHIER",AK200="RÉPARÉ – À RADIOGRAPHIER",AK200="NX – RT À REFAIRE"),OR('PROGRAMME RT'!$D$5="TOUTES",B200='PROGRAMME RT'!$D$5)),1,0)</f>
        <v>0</v>
      </c>
      <c r="AN200" s="78" t="str">
        <f aca="false">IF(AM200=1,SUM(AM$7:AM200),"")</f>
        <v/>
      </c>
      <c r="AO200" s="78" t="n">
        <f aca="false">IF(AND(OR(AK200="À RÉPARER",AK200="COUPE – À RESOUDER",AK200="VT REJETÉ – À REPRENDRE"),OR(RÉPARATIONS!$D$5="TOUTES",B200=RÉPARATIONS!$D$5)),1,0)</f>
        <v>0</v>
      </c>
      <c r="AP200" s="78" t="str">
        <f aca="false">IF(AO200=1,SUM(AO$7:AO200),"")</f>
        <v/>
      </c>
    </row>
    <row r="201" customFormat="false" ht="15" hidden="false" customHeight="false" outlineLevel="0" collapsed="false">
      <c r="A201" s="78" t="n">
        <f aca="false">IF(E201="","",ROW()-6)</f>
        <v>195</v>
      </c>
      <c r="B201" s="79" t="s">
        <v>100</v>
      </c>
      <c r="C201" s="80" t="s">
        <v>449</v>
      </c>
      <c r="D201" s="80" t="s">
        <v>499</v>
      </c>
      <c r="E201" s="80" t="s">
        <v>551</v>
      </c>
      <c r="F201" s="80" t="s">
        <v>149</v>
      </c>
      <c r="G201" s="80" t="s">
        <v>104</v>
      </c>
      <c r="H201" s="80" t="n">
        <v>11</v>
      </c>
      <c r="I201" s="80" t="s">
        <v>112</v>
      </c>
      <c r="J201" s="80" t="s">
        <v>130</v>
      </c>
      <c r="K201" s="80" t="s">
        <v>550</v>
      </c>
      <c r="L201" s="80" t="s">
        <v>552</v>
      </c>
      <c r="M201" s="80" t="s">
        <v>139</v>
      </c>
      <c r="N201" s="80" t="s">
        <v>139</v>
      </c>
      <c r="O201" s="80" t="s">
        <v>202</v>
      </c>
      <c r="P201" s="81" t="n">
        <v>45889</v>
      </c>
      <c r="Q201" s="81" t="n">
        <v>45889</v>
      </c>
      <c r="R201" s="80" t="s">
        <v>531</v>
      </c>
      <c r="S201" s="80" t="s">
        <v>103</v>
      </c>
      <c r="T201" s="81" t="n">
        <v>45899</v>
      </c>
      <c r="U201" s="80" t="s">
        <v>546</v>
      </c>
      <c r="V201" s="80" t="s">
        <v>103</v>
      </c>
      <c r="W201" s="80"/>
      <c r="X201" s="80"/>
      <c r="Y201" s="81"/>
      <c r="Z201" s="80"/>
      <c r="AA201" s="80"/>
      <c r="AB201" s="80"/>
      <c r="AC201" s="80"/>
      <c r="AD201" s="81"/>
      <c r="AE201" s="80"/>
      <c r="AF201" s="80"/>
      <c r="AG201" s="81"/>
      <c r="AH201" s="79"/>
      <c r="AI201" s="78" t="n">
        <f aca="false">IF(E201="","",(V201&lt;&gt;"")+(AA201&lt;&gt;"")+(AF201&lt;&gt;""))</f>
        <v>1</v>
      </c>
      <c r="AJ201" s="82" t="str">
        <f aca="false">IF(AF201&lt;&gt;"",AF201,IF(AA201&lt;&gt;"",AA201,IF(V201&lt;&gt;"",V201,"")))</f>
        <v>A</v>
      </c>
      <c r="AK201" s="83" t="str">
        <f aca="false">IF(E201="","",IF(P201="","À SOUDER",IF(S201="","VT EN ATTENTE",IF(S201="R","VT REJETÉ – À REPRENDRE",IF(AJ201="","À RADIOGRAPHIER",IF(AJ201="A","ACCEPTÉ",IF(AJ201="NX","NX – RT À REFAIRE",IF(IF(AI201=1,X201,IF(AI201=2,AC201,""))="A","RÉPARÉ – À RADIOGRAPHIER",IF(IF(AI201=1,X201,IF(AI201=2,AC201,""))="R","VT REJETÉ – À REPRENDRE",IF(AJ201="CO","COUPE – À RESOUDER","À RÉPARER"))))))))))</f>
        <v>ACCEPTÉ</v>
      </c>
      <c r="AL201" s="82" t="str">
        <f aca="false">IF(AND(ISNUMBER(P201),OR(AK201="À RADIOGRAPHIER",AK201="RÉPARÉ – À RADIOGRAPHIER",AK201="NX – RT À REFAIRE",AK201="À RÉPARER",AK201="COUPE – À RESOUDER",AK201="VT REJETÉ – À REPRENDRE")),MAX(0,'PROGRAMME RT'!$C$4-P201),"")</f>
        <v/>
      </c>
      <c r="AM201" s="78" t="n">
        <f aca="false">IF(AND(OR(AK201="À RADIOGRAPHIER",AK201="RÉPARÉ – À RADIOGRAPHIER",AK201="NX – RT À REFAIRE"),OR('PROGRAMME RT'!$D$5="TOUTES",B201='PROGRAMME RT'!$D$5)),1,0)</f>
        <v>0</v>
      </c>
      <c r="AN201" s="78" t="str">
        <f aca="false">IF(AM201=1,SUM(AM$7:AM201),"")</f>
        <v/>
      </c>
      <c r="AO201" s="78" t="n">
        <f aca="false">IF(AND(OR(AK201="À RÉPARER",AK201="COUPE – À RESOUDER",AK201="VT REJETÉ – À REPRENDRE"),OR(RÉPARATIONS!$D$5="TOUTES",B201=RÉPARATIONS!$D$5)),1,0)</f>
        <v>0</v>
      </c>
      <c r="AP201" s="78" t="str">
        <f aca="false">IF(AO201=1,SUM(AO$7:AO201),"")</f>
        <v/>
      </c>
    </row>
    <row r="202" customFormat="false" ht="15" hidden="false" customHeight="false" outlineLevel="0" collapsed="false">
      <c r="A202" s="78" t="n">
        <f aca="false">IF(E202="","",ROW()-6)</f>
        <v>196</v>
      </c>
      <c r="B202" s="79" t="s">
        <v>100</v>
      </c>
      <c r="C202" s="80" t="s">
        <v>449</v>
      </c>
      <c r="D202" s="80" t="s">
        <v>499</v>
      </c>
      <c r="E202" s="80" t="s">
        <v>553</v>
      </c>
      <c r="F202" s="80" t="s">
        <v>149</v>
      </c>
      <c r="G202" s="80" t="s">
        <v>104</v>
      </c>
      <c r="H202" s="80" t="n">
        <v>11</v>
      </c>
      <c r="I202" s="80" t="s">
        <v>112</v>
      </c>
      <c r="J202" s="80" t="s">
        <v>130</v>
      </c>
      <c r="K202" s="80" t="s">
        <v>552</v>
      </c>
      <c r="L202" s="80" t="s">
        <v>554</v>
      </c>
      <c r="M202" s="80" t="s">
        <v>139</v>
      </c>
      <c r="N202" s="80" t="s">
        <v>139</v>
      </c>
      <c r="O202" s="80" t="s">
        <v>132</v>
      </c>
      <c r="P202" s="81" t="n">
        <v>45889</v>
      </c>
      <c r="Q202" s="81" t="n">
        <v>45889</v>
      </c>
      <c r="R202" s="80" t="s">
        <v>531</v>
      </c>
      <c r="S202" s="80" t="s">
        <v>103</v>
      </c>
      <c r="T202" s="81" t="n">
        <v>45899</v>
      </c>
      <c r="U202" s="80" t="s">
        <v>546</v>
      </c>
      <c r="V202" s="80" t="s">
        <v>103</v>
      </c>
      <c r="W202" s="80"/>
      <c r="X202" s="80"/>
      <c r="Y202" s="81"/>
      <c r="Z202" s="80"/>
      <c r="AA202" s="80"/>
      <c r="AB202" s="80"/>
      <c r="AC202" s="80"/>
      <c r="AD202" s="81"/>
      <c r="AE202" s="80"/>
      <c r="AF202" s="80"/>
      <c r="AG202" s="81"/>
      <c r="AH202" s="79"/>
      <c r="AI202" s="78" t="n">
        <f aca="false">IF(E202="","",(V202&lt;&gt;"")+(AA202&lt;&gt;"")+(AF202&lt;&gt;""))</f>
        <v>1</v>
      </c>
      <c r="AJ202" s="82" t="str">
        <f aca="false">IF(AF202&lt;&gt;"",AF202,IF(AA202&lt;&gt;"",AA202,IF(V202&lt;&gt;"",V202,"")))</f>
        <v>A</v>
      </c>
      <c r="AK202" s="83" t="str">
        <f aca="false">IF(E202="","",IF(P202="","À SOUDER",IF(S202="","VT EN ATTENTE",IF(S202="R","VT REJETÉ – À REPRENDRE",IF(AJ202="","À RADIOGRAPHIER",IF(AJ202="A","ACCEPTÉ",IF(AJ202="NX","NX – RT À REFAIRE",IF(IF(AI202=1,X202,IF(AI202=2,AC202,""))="A","RÉPARÉ – À RADIOGRAPHIER",IF(IF(AI202=1,X202,IF(AI202=2,AC202,""))="R","VT REJETÉ – À REPRENDRE",IF(AJ202="CO","COUPE – À RESOUDER","À RÉPARER"))))))))))</f>
        <v>ACCEPTÉ</v>
      </c>
      <c r="AL202" s="82" t="str">
        <f aca="false">IF(AND(ISNUMBER(P202),OR(AK202="À RADIOGRAPHIER",AK202="RÉPARÉ – À RADIOGRAPHIER",AK202="NX – RT À REFAIRE",AK202="À RÉPARER",AK202="COUPE – À RESOUDER",AK202="VT REJETÉ – À REPRENDRE")),MAX(0,'PROGRAMME RT'!$C$4-P202),"")</f>
        <v/>
      </c>
      <c r="AM202" s="78" t="n">
        <f aca="false">IF(AND(OR(AK202="À RADIOGRAPHIER",AK202="RÉPARÉ – À RADIOGRAPHIER",AK202="NX – RT À REFAIRE"),OR('PROGRAMME RT'!$D$5="TOUTES",B202='PROGRAMME RT'!$D$5)),1,0)</f>
        <v>0</v>
      </c>
      <c r="AN202" s="78" t="str">
        <f aca="false">IF(AM202=1,SUM(AM$7:AM202),"")</f>
        <v/>
      </c>
      <c r="AO202" s="78" t="n">
        <f aca="false">IF(AND(OR(AK202="À RÉPARER",AK202="COUPE – À RESOUDER",AK202="VT REJETÉ – À REPRENDRE"),OR(RÉPARATIONS!$D$5="TOUTES",B202=RÉPARATIONS!$D$5)),1,0)</f>
        <v>0</v>
      </c>
      <c r="AP202" s="78" t="str">
        <f aca="false">IF(AO202=1,SUM(AO$7:AO202),"")</f>
        <v/>
      </c>
    </row>
    <row r="203" customFormat="false" ht="15" hidden="false" customHeight="false" outlineLevel="0" collapsed="false">
      <c r="A203" s="78" t="n">
        <f aca="false">IF(E203="","",ROW()-6)</f>
        <v>197</v>
      </c>
      <c r="B203" s="79" t="s">
        <v>100</v>
      </c>
      <c r="C203" s="80" t="s">
        <v>449</v>
      </c>
      <c r="D203" s="80" t="s">
        <v>499</v>
      </c>
      <c r="E203" s="80" t="s">
        <v>555</v>
      </c>
      <c r="F203" s="80" t="s">
        <v>149</v>
      </c>
      <c r="G203" s="80" t="s">
        <v>104</v>
      </c>
      <c r="H203" s="80" t="n">
        <v>11</v>
      </c>
      <c r="I203" s="80" t="s">
        <v>112</v>
      </c>
      <c r="J203" s="80" t="s">
        <v>130</v>
      </c>
      <c r="K203" s="80" t="s">
        <v>554</v>
      </c>
      <c r="L203" s="80" t="s">
        <v>556</v>
      </c>
      <c r="M203" s="80" t="s">
        <v>139</v>
      </c>
      <c r="N203" s="80" t="s">
        <v>139</v>
      </c>
      <c r="O203" s="80" t="s">
        <v>123</v>
      </c>
      <c r="P203" s="81" t="n">
        <v>45889</v>
      </c>
      <c r="Q203" s="81" t="n">
        <v>45889</v>
      </c>
      <c r="R203" s="80" t="s">
        <v>531</v>
      </c>
      <c r="S203" s="80" t="s">
        <v>103</v>
      </c>
      <c r="T203" s="81" t="n">
        <v>45899</v>
      </c>
      <c r="U203" s="80" t="s">
        <v>546</v>
      </c>
      <c r="V203" s="80" t="s">
        <v>103</v>
      </c>
      <c r="W203" s="80"/>
      <c r="X203" s="80"/>
      <c r="Y203" s="81"/>
      <c r="Z203" s="80"/>
      <c r="AA203" s="80"/>
      <c r="AB203" s="80"/>
      <c r="AC203" s="80"/>
      <c r="AD203" s="81"/>
      <c r="AE203" s="80"/>
      <c r="AF203" s="80"/>
      <c r="AG203" s="81"/>
      <c r="AH203" s="79"/>
      <c r="AI203" s="78" t="n">
        <f aca="false">IF(E203="","",(V203&lt;&gt;"")+(AA203&lt;&gt;"")+(AF203&lt;&gt;""))</f>
        <v>1</v>
      </c>
      <c r="AJ203" s="82" t="str">
        <f aca="false">IF(AF203&lt;&gt;"",AF203,IF(AA203&lt;&gt;"",AA203,IF(V203&lt;&gt;"",V203,"")))</f>
        <v>A</v>
      </c>
      <c r="AK203" s="83" t="str">
        <f aca="false">IF(E203="","",IF(P203="","À SOUDER",IF(S203="","VT EN ATTENTE",IF(S203="R","VT REJETÉ – À REPRENDRE",IF(AJ203="","À RADIOGRAPHIER",IF(AJ203="A","ACCEPTÉ",IF(AJ203="NX","NX – RT À REFAIRE",IF(IF(AI203=1,X203,IF(AI203=2,AC203,""))="A","RÉPARÉ – À RADIOGRAPHIER",IF(IF(AI203=1,X203,IF(AI203=2,AC203,""))="R","VT REJETÉ – À REPRENDRE",IF(AJ203="CO","COUPE – À RESOUDER","À RÉPARER"))))))))))</f>
        <v>ACCEPTÉ</v>
      </c>
      <c r="AL203" s="82" t="str">
        <f aca="false">IF(AND(ISNUMBER(P203),OR(AK203="À RADIOGRAPHIER",AK203="RÉPARÉ – À RADIOGRAPHIER",AK203="NX – RT À REFAIRE",AK203="À RÉPARER",AK203="COUPE – À RESOUDER",AK203="VT REJETÉ – À REPRENDRE")),MAX(0,'PROGRAMME RT'!$C$4-P203),"")</f>
        <v/>
      </c>
      <c r="AM203" s="78" t="n">
        <f aca="false">IF(AND(OR(AK203="À RADIOGRAPHIER",AK203="RÉPARÉ – À RADIOGRAPHIER",AK203="NX – RT À REFAIRE"),OR('PROGRAMME RT'!$D$5="TOUTES",B203='PROGRAMME RT'!$D$5)),1,0)</f>
        <v>0</v>
      </c>
      <c r="AN203" s="78" t="str">
        <f aca="false">IF(AM203=1,SUM(AM$7:AM203),"")</f>
        <v/>
      </c>
      <c r="AO203" s="78" t="n">
        <f aca="false">IF(AND(OR(AK203="À RÉPARER",AK203="COUPE – À RESOUDER",AK203="VT REJETÉ – À REPRENDRE"),OR(RÉPARATIONS!$D$5="TOUTES",B203=RÉPARATIONS!$D$5)),1,0)</f>
        <v>0</v>
      </c>
      <c r="AP203" s="78" t="str">
        <f aca="false">IF(AO203=1,SUM(AO$7:AO203),"")</f>
        <v/>
      </c>
    </row>
    <row r="204" customFormat="false" ht="15" hidden="false" customHeight="false" outlineLevel="0" collapsed="false">
      <c r="A204" s="78" t="n">
        <f aca="false">IF(E204="","",ROW()-6)</f>
        <v>198</v>
      </c>
      <c r="B204" s="79" t="s">
        <v>100</v>
      </c>
      <c r="C204" s="80" t="s">
        <v>449</v>
      </c>
      <c r="D204" s="80" t="s">
        <v>499</v>
      </c>
      <c r="E204" s="80" t="s">
        <v>557</v>
      </c>
      <c r="F204" s="80" t="s">
        <v>149</v>
      </c>
      <c r="G204" s="80" t="s">
        <v>104</v>
      </c>
      <c r="H204" s="80" t="n">
        <v>11</v>
      </c>
      <c r="I204" s="80" t="s">
        <v>112</v>
      </c>
      <c r="J204" s="80" t="s">
        <v>130</v>
      </c>
      <c r="K204" s="80" t="s">
        <v>556</v>
      </c>
      <c r="L204" s="80" t="s">
        <v>558</v>
      </c>
      <c r="M204" s="80" t="s">
        <v>139</v>
      </c>
      <c r="N204" s="80" t="s">
        <v>139</v>
      </c>
      <c r="O204" s="80" t="s">
        <v>132</v>
      </c>
      <c r="P204" s="81" t="n">
        <v>45889</v>
      </c>
      <c r="Q204" s="81" t="n">
        <v>45889</v>
      </c>
      <c r="R204" s="80" t="s">
        <v>531</v>
      </c>
      <c r="S204" s="80" t="s">
        <v>103</v>
      </c>
      <c r="T204" s="81" t="n">
        <v>45899</v>
      </c>
      <c r="U204" s="80" t="s">
        <v>546</v>
      </c>
      <c r="V204" s="80" t="s">
        <v>103</v>
      </c>
      <c r="W204" s="80"/>
      <c r="X204" s="80"/>
      <c r="Y204" s="81"/>
      <c r="Z204" s="80"/>
      <c r="AA204" s="80"/>
      <c r="AB204" s="80"/>
      <c r="AC204" s="80"/>
      <c r="AD204" s="81"/>
      <c r="AE204" s="80"/>
      <c r="AF204" s="80"/>
      <c r="AG204" s="81"/>
      <c r="AH204" s="79"/>
      <c r="AI204" s="78" t="n">
        <f aca="false">IF(E204="","",(V204&lt;&gt;"")+(AA204&lt;&gt;"")+(AF204&lt;&gt;""))</f>
        <v>1</v>
      </c>
      <c r="AJ204" s="82" t="str">
        <f aca="false">IF(AF204&lt;&gt;"",AF204,IF(AA204&lt;&gt;"",AA204,IF(V204&lt;&gt;"",V204,"")))</f>
        <v>A</v>
      </c>
      <c r="AK204" s="83" t="str">
        <f aca="false">IF(E204="","",IF(P204="","À SOUDER",IF(S204="","VT EN ATTENTE",IF(S204="R","VT REJETÉ – À REPRENDRE",IF(AJ204="","À RADIOGRAPHIER",IF(AJ204="A","ACCEPTÉ",IF(AJ204="NX","NX – RT À REFAIRE",IF(IF(AI204=1,X204,IF(AI204=2,AC204,""))="A","RÉPARÉ – À RADIOGRAPHIER",IF(IF(AI204=1,X204,IF(AI204=2,AC204,""))="R","VT REJETÉ – À REPRENDRE",IF(AJ204="CO","COUPE – À RESOUDER","À RÉPARER"))))))))))</f>
        <v>ACCEPTÉ</v>
      </c>
      <c r="AL204" s="82" t="str">
        <f aca="false">IF(AND(ISNUMBER(P204),OR(AK204="À RADIOGRAPHIER",AK204="RÉPARÉ – À RADIOGRAPHIER",AK204="NX – RT À REFAIRE",AK204="À RÉPARER",AK204="COUPE – À RESOUDER",AK204="VT REJETÉ – À REPRENDRE")),MAX(0,'PROGRAMME RT'!$C$4-P204),"")</f>
        <v/>
      </c>
      <c r="AM204" s="78" t="n">
        <f aca="false">IF(AND(OR(AK204="À RADIOGRAPHIER",AK204="RÉPARÉ – À RADIOGRAPHIER",AK204="NX – RT À REFAIRE"),OR('PROGRAMME RT'!$D$5="TOUTES",B204='PROGRAMME RT'!$D$5)),1,0)</f>
        <v>0</v>
      </c>
      <c r="AN204" s="78" t="str">
        <f aca="false">IF(AM204=1,SUM(AM$7:AM204),"")</f>
        <v/>
      </c>
      <c r="AO204" s="78" t="n">
        <f aca="false">IF(AND(OR(AK204="À RÉPARER",AK204="COUPE – À RESOUDER",AK204="VT REJETÉ – À REPRENDRE"),OR(RÉPARATIONS!$D$5="TOUTES",B204=RÉPARATIONS!$D$5)),1,0)</f>
        <v>0</v>
      </c>
      <c r="AP204" s="78" t="str">
        <f aca="false">IF(AO204=1,SUM(AO$7:AO204),"")</f>
        <v/>
      </c>
    </row>
    <row r="205" customFormat="false" ht="15" hidden="false" customHeight="false" outlineLevel="0" collapsed="false">
      <c r="A205" s="78" t="n">
        <f aca="false">IF(E205="","",ROW()-6)</f>
        <v>199</v>
      </c>
      <c r="B205" s="79" t="s">
        <v>100</v>
      </c>
      <c r="C205" s="80" t="s">
        <v>449</v>
      </c>
      <c r="D205" s="80" t="s">
        <v>499</v>
      </c>
      <c r="E205" s="80" t="s">
        <v>559</v>
      </c>
      <c r="F205" s="80" t="s">
        <v>149</v>
      </c>
      <c r="G205" s="80" t="s">
        <v>104</v>
      </c>
      <c r="H205" s="80" t="n">
        <v>11</v>
      </c>
      <c r="I205" s="80" t="s">
        <v>112</v>
      </c>
      <c r="J205" s="80" t="s">
        <v>130</v>
      </c>
      <c r="K205" s="80" t="s">
        <v>558</v>
      </c>
      <c r="L205" s="80" t="s">
        <v>560</v>
      </c>
      <c r="M205" s="80" t="s">
        <v>139</v>
      </c>
      <c r="N205" s="80" t="s">
        <v>139</v>
      </c>
      <c r="O205" s="80" t="s">
        <v>123</v>
      </c>
      <c r="P205" s="81" t="n">
        <v>45890</v>
      </c>
      <c r="Q205" s="81" t="n">
        <v>45890</v>
      </c>
      <c r="R205" s="80" t="s">
        <v>429</v>
      </c>
      <c r="S205" s="80" t="s">
        <v>103</v>
      </c>
      <c r="T205" s="81" t="n">
        <v>45899</v>
      </c>
      <c r="U205" s="80" t="s">
        <v>546</v>
      </c>
      <c r="V205" s="80" t="s">
        <v>103</v>
      </c>
      <c r="W205" s="80"/>
      <c r="X205" s="80"/>
      <c r="Y205" s="81"/>
      <c r="Z205" s="80"/>
      <c r="AA205" s="80"/>
      <c r="AB205" s="80"/>
      <c r="AC205" s="80"/>
      <c r="AD205" s="81"/>
      <c r="AE205" s="80"/>
      <c r="AF205" s="80"/>
      <c r="AG205" s="81"/>
      <c r="AH205" s="79"/>
      <c r="AI205" s="78" t="n">
        <f aca="false">IF(E205="","",(V205&lt;&gt;"")+(AA205&lt;&gt;"")+(AF205&lt;&gt;""))</f>
        <v>1</v>
      </c>
      <c r="AJ205" s="82" t="str">
        <f aca="false">IF(AF205&lt;&gt;"",AF205,IF(AA205&lt;&gt;"",AA205,IF(V205&lt;&gt;"",V205,"")))</f>
        <v>A</v>
      </c>
      <c r="AK205" s="83" t="str">
        <f aca="false">IF(E205="","",IF(P205="","À SOUDER",IF(S205="","VT EN ATTENTE",IF(S205="R","VT REJETÉ – À REPRENDRE",IF(AJ205="","À RADIOGRAPHIER",IF(AJ205="A","ACCEPTÉ",IF(AJ205="NX","NX – RT À REFAIRE",IF(IF(AI205=1,X205,IF(AI205=2,AC205,""))="A","RÉPARÉ – À RADIOGRAPHIER",IF(IF(AI205=1,X205,IF(AI205=2,AC205,""))="R","VT REJETÉ – À REPRENDRE",IF(AJ205="CO","COUPE – À RESOUDER","À RÉPARER"))))))))))</f>
        <v>ACCEPTÉ</v>
      </c>
      <c r="AL205" s="82" t="str">
        <f aca="false">IF(AND(ISNUMBER(P205),OR(AK205="À RADIOGRAPHIER",AK205="RÉPARÉ – À RADIOGRAPHIER",AK205="NX – RT À REFAIRE",AK205="À RÉPARER",AK205="COUPE – À RESOUDER",AK205="VT REJETÉ – À REPRENDRE")),MAX(0,'PROGRAMME RT'!$C$4-P205),"")</f>
        <v/>
      </c>
      <c r="AM205" s="78" t="n">
        <f aca="false">IF(AND(OR(AK205="À RADIOGRAPHIER",AK205="RÉPARÉ – À RADIOGRAPHIER",AK205="NX – RT À REFAIRE"),OR('PROGRAMME RT'!$D$5="TOUTES",B205='PROGRAMME RT'!$D$5)),1,0)</f>
        <v>0</v>
      </c>
      <c r="AN205" s="78" t="str">
        <f aca="false">IF(AM205=1,SUM(AM$7:AM205),"")</f>
        <v/>
      </c>
      <c r="AO205" s="78" t="n">
        <f aca="false">IF(AND(OR(AK205="À RÉPARER",AK205="COUPE – À RESOUDER",AK205="VT REJETÉ – À REPRENDRE"),OR(RÉPARATIONS!$D$5="TOUTES",B205=RÉPARATIONS!$D$5)),1,0)</f>
        <v>0</v>
      </c>
      <c r="AP205" s="78" t="str">
        <f aca="false">IF(AO205=1,SUM(AO$7:AO205),"")</f>
        <v/>
      </c>
    </row>
    <row r="206" customFormat="false" ht="15" hidden="false" customHeight="false" outlineLevel="0" collapsed="false">
      <c r="A206" s="78" t="n">
        <f aca="false">IF(E206="","",ROW()-6)</f>
        <v>200</v>
      </c>
      <c r="B206" s="79" t="s">
        <v>100</v>
      </c>
      <c r="C206" s="80" t="s">
        <v>449</v>
      </c>
      <c r="D206" s="80" t="s">
        <v>499</v>
      </c>
      <c r="E206" s="80" t="s">
        <v>561</v>
      </c>
      <c r="F206" s="80" t="s">
        <v>149</v>
      </c>
      <c r="G206" s="80" t="s">
        <v>104</v>
      </c>
      <c r="H206" s="80" t="n">
        <v>11</v>
      </c>
      <c r="I206" s="80" t="s">
        <v>112</v>
      </c>
      <c r="J206" s="80" t="s">
        <v>130</v>
      </c>
      <c r="K206" s="80" t="s">
        <v>560</v>
      </c>
      <c r="L206" s="80" t="s">
        <v>562</v>
      </c>
      <c r="M206" s="80" t="s">
        <v>139</v>
      </c>
      <c r="N206" s="80" t="s">
        <v>139</v>
      </c>
      <c r="O206" s="80" t="s">
        <v>132</v>
      </c>
      <c r="P206" s="81" t="n">
        <v>45890</v>
      </c>
      <c r="Q206" s="81" t="n">
        <v>45890</v>
      </c>
      <c r="R206" s="80" t="s">
        <v>429</v>
      </c>
      <c r="S206" s="80" t="s">
        <v>103</v>
      </c>
      <c r="T206" s="81" t="n">
        <v>45899</v>
      </c>
      <c r="U206" s="80" t="s">
        <v>546</v>
      </c>
      <c r="V206" s="80" t="s">
        <v>103</v>
      </c>
      <c r="W206" s="80"/>
      <c r="X206" s="80"/>
      <c r="Y206" s="81"/>
      <c r="Z206" s="80"/>
      <c r="AA206" s="80"/>
      <c r="AB206" s="80"/>
      <c r="AC206" s="80"/>
      <c r="AD206" s="81"/>
      <c r="AE206" s="80"/>
      <c r="AF206" s="80"/>
      <c r="AG206" s="81"/>
      <c r="AH206" s="79"/>
      <c r="AI206" s="78" t="n">
        <f aca="false">IF(E206="","",(V206&lt;&gt;"")+(AA206&lt;&gt;"")+(AF206&lt;&gt;""))</f>
        <v>1</v>
      </c>
      <c r="AJ206" s="82" t="str">
        <f aca="false">IF(AF206&lt;&gt;"",AF206,IF(AA206&lt;&gt;"",AA206,IF(V206&lt;&gt;"",V206,"")))</f>
        <v>A</v>
      </c>
      <c r="AK206" s="83" t="str">
        <f aca="false">IF(E206="","",IF(P206="","À SOUDER",IF(S206="","VT EN ATTENTE",IF(S206="R","VT REJETÉ – À REPRENDRE",IF(AJ206="","À RADIOGRAPHIER",IF(AJ206="A","ACCEPTÉ",IF(AJ206="NX","NX – RT À REFAIRE",IF(IF(AI206=1,X206,IF(AI206=2,AC206,""))="A","RÉPARÉ – À RADIOGRAPHIER",IF(IF(AI206=1,X206,IF(AI206=2,AC206,""))="R","VT REJETÉ – À REPRENDRE",IF(AJ206="CO","COUPE – À RESOUDER","À RÉPARER"))))))))))</f>
        <v>ACCEPTÉ</v>
      </c>
      <c r="AL206" s="82" t="str">
        <f aca="false">IF(AND(ISNUMBER(P206),OR(AK206="À RADIOGRAPHIER",AK206="RÉPARÉ – À RADIOGRAPHIER",AK206="NX – RT À REFAIRE",AK206="À RÉPARER",AK206="COUPE – À RESOUDER",AK206="VT REJETÉ – À REPRENDRE")),MAX(0,'PROGRAMME RT'!$C$4-P206),"")</f>
        <v/>
      </c>
      <c r="AM206" s="78" t="n">
        <f aca="false">IF(AND(OR(AK206="À RADIOGRAPHIER",AK206="RÉPARÉ – À RADIOGRAPHIER",AK206="NX – RT À REFAIRE"),OR('PROGRAMME RT'!$D$5="TOUTES",B206='PROGRAMME RT'!$D$5)),1,0)</f>
        <v>0</v>
      </c>
      <c r="AN206" s="78" t="str">
        <f aca="false">IF(AM206=1,SUM(AM$7:AM206),"")</f>
        <v/>
      </c>
      <c r="AO206" s="78" t="n">
        <f aca="false">IF(AND(OR(AK206="À RÉPARER",AK206="COUPE – À RESOUDER",AK206="VT REJETÉ – À REPRENDRE"),OR(RÉPARATIONS!$D$5="TOUTES",B206=RÉPARATIONS!$D$5)),1,0)</f>
        <v>0</v>
      </c>
      <c r="AP206" s="78" t="str">
        <f aca="false">IF(AO206=1,SUM(AO$7:AO206),"")</f>
        <v/>
      </c>
    </row>
    <row r="207" customFormat="false" ht="15" hidden="false" customHeight="false" outlineLevel="0" collapsed="false">
      <c r="A207" s="78" t="n">
        <f aca="false">IF(E207="","",ROW()-6)</f>
        <v>201</v>
      </c>
      <c r="B207" s="79" t="s">
        <v>100</v>
      </c>
      <c r="C207" s="80" t="s">
        <v>449</v>
      </c>
      <c r="D207" s="80" t="s">
        <v>499</v>
      </c>
      <c r="E207" s="80" t="s">
        <v>563</v>
      </c>
      <c r="F207" s="80" t="s">
        <v>149</v>
      </c>
      <c r="G207" s="80" t="s">
        <v>104</v>
      </c>
      <c r="H207" s="80" t="n">
        <v>11</v>
      </c>
      <c r="I207" s="80" t="s">
        <v>112</v>
      </c>
      <c r="J207" s="80" t="s">
        <v>130</v>
      </c>
      <c r="K207" s="80" t="s">
        <v>562</v>
      </c>
      <c r="L207" s="80" t="s">
        <v>564</v>
      </c>
      <c r="M207" s="80" t="s">
        <v>139</v>
      </c>
      <c r="N207" s="80" t="s">
        <v>139</v>
      </c>
      <c r="O207" s="80" t="s">
        <v>132</v>
      </c>
      <c r="P207" s="81" t="n">
        <v>45890</v>
      </c>
      <c r="Q207" s="81" t="n">
        <v>45890</v>
      </c>
      <c r="R207" s="80" t="s">
        <v>429</v>
      </c>
      <c r="S207" s="80" t="s">
        <v>103</v>
      </c>
      <c r="T207" s="81" t="n">
        <v>45899</v>
      </c>
      <c r="U207" s="80" t="s">
        <v>546</v>
      </c>
      <c r="V207" s="80" t="s">
        <v>103</v>
      </c>
      <c r="W207" s="80"/>
      <c r="X207" s="80"/>
      <c r="Y207" s="81"/>
      <c r="Z207" s="80"/>
      <c r="AA207" s="80"/>
      <c r="AB207" s="80"/>
      <c r="AC207" s="80"/>
      <c r="AD207" s="81"/>
      <c r="AE207" s="80"/>
      <c r="AF207" s="80"/>
      <c r="AG207" s="81"/>
      <c r="AH207" s="79"/>
      <c r="AI207" s="78" t="n">
        <f aca="false">IF(E207="","",(V207&lt;&gt;"")+(AA207&lt;&gt;"")+(AF207&lt;&gt;""))</f>
        <v>1</v>
      </c>
      <c r="AJ207" s="82" t="str">
        <f aca="false">IF(AF207&lt;&gt;"",AF207,IF(AA207&lt;&gt;"",AA207,IF(V207&lt;&gt;"",V207,"")))</f>
        <v>A</v>
      </c>
      <c r="AK207" s="83" t="str">
        <f aca="false">IF(E207="","",IF(P207="","À SOUDER",IF(S207="","VT EN ATTENTE",IF(S207="R","VT REJETÉ – À REPRENDRE",IF(AJ207="","À RADIOGRAPHIER",IF(AJ207="A","ACCEPTÉ",IF(AJ207="NX","NX – RT À REFAIRE",IF(IF(AI207=1,X207,IF(AI207=2,AC207,""))="A","RÉPARÉ – À RADIOGRAPHIER",IF(IF(AI207=1,X207,IF(AI207=2,AC207,""))="R","VT REJETÉ – À REPRENDRE",IF(AJ207="CO","COUPE – À RESOUDER","À RÉPARER"))))))))))</f>
        <v>ACCEPTÉ</v>
      </c>
      <c r="AL207" s="82" t="str">
        <f aca="false">IF(AND(ISNUMBER(P207),OR(AK207="À RADIOGRAPHIER",AK207="RÉPARÉ – À RADIOGRAPHIER",AK207="NX – RT À REFAIRE",AK207="À RÉPARER",AK207="COUPE – À RESOUDER",AK207="VT REJETÉ – À REPRENDRE")),MAX(0,'PROGRAMME RT'!$C$4-P207),"")</f>
        <v/>
      </c>
      <c r="AM207" s="78" t="n">
        <f aca="false">IF(AND(OR(AK207="À RADIOGRAPHIER",AK207="RÉPARÉ – À RADIOGRAPHIER",AK207="NX – RT À REFAIRE"),OR('PROGRAMME RT'!$D$5="TOUTES",B207='PROGRAMME RT'!$D$5)),1,0)</f>
        <v>0</v>
      </c>
      <c r="AN207" s="78" t="str">
        <f aca="false">IF(AM207=1,SUM(AM$7:AM207),"")</f>
        <v/>
      </c>
      <c r="AO207" s="78" t="n">
        <f aca="false">IF(AND(OR(AK207="À RÉPARER",AK207="COUPE – À RESOUDER",AK207="VT REJETÉ – À REPRENDRE"),OR(RÉPARATIONS!$D$5="TOUTES",B207=RÉPARATIONS!$D$5)),1,0)</f>
        <v>0</v>
      </c>
      <c r="AP207" s="78" t="str">
        <f aca="false">IF(AO207=1,SUM(AO$7:AO207),"")</f>
        <v/>
      </c>
    </row>
    <row r="208" customFormat="false" ht="15" hidden="false" customHeight="false" outlineLevel="0" collapsed="false">
      <c r="A208" s="78" t="n">
        <f aca="false">IF(E208="","",ROW()-6)</f>
        <v>202</v>
      </c>
      <c r="B208" s="79" t="s">
        <v>100</v>
      </c>
      <c r="C208" s="80"/>
      <c r="D208" s="80" t="s">
        <v>499</v>
      </c>
      <c r="E208" s="80" t="s">
        <v>565</v>
      </c>
      <c r="F208" s="80" t="s">
        <v>149</v>
      </c>
      <c r="G208" s="80" t="s">
        <v>104</v>
      </c>
      <c r="H208" s="80" t="n">
        <v>11</v>
      </c>
      <c r="I208" s="80" t="s">
        <v>112</v>
      </c>
      <c r="J208" s="80" t="s">
        <v>113</v>
      </c>
      <c r="K208" s="80" t="s">
        <v>564</v>
      </c>
      <c r="L208" s="80" t="s">
        <v>566</v>
      </c>
      <c r="M208" s="80" t="s">
        <v>123</v>
      </c>
      <c r="N208" s="80" t="s">
        <v>123</v>
      </c>
      <c r="O208" s="80" t="s">
        <v>123</v>
      </c>
      <c r="P208" s="81" t="n">
        <v>45915</v>
      </c>
      <c r="Q208" s="81" t="n">
        <v>45915</v>
      </c>
      <c r="R208" s="80" t="s">
        <v>116</v>
      </c>
      <c r="S208" s="80" t="s">
        <v>103</v>
      </c>
      <c r="T208" s="81"/>
      <c r="U208" s="80"/>
      <c r="V208" s="80"/>
      <c r="W208" s="80"/>
      <c r="X208" s="80"/>
      <c r="Y208" s="81"/>
      <c r="Z208" s="80"/>
      <c r="AA208" s="80"/>
      <c r="AB208" s="80"/>
      <c r="AC208" s="80"/>
      <c r="AD208" s="81"/>
      <c r="AE208" s="80"/>
      <c r="AF208" s="80"/>
      <c r="AG208" s="81"/>
      <c r="AH208" s="79"/>
      <c r="AI208" s="78" t="n">
        <f aca="false">IF(E208="","",(V208&lt;&gt;"")+(AA208&lt;&gt;"")+(AF208&lt;&gt;""))</f>
        <v>0</v>
      </c>
      <c r="AJ208" s="82" t="str">
        <f aca="false">IF(AF208&lt;&gt;"",AF208,IF(AA208&lt;&gt;"",AA208,IF(V208&lt;&gt;"",V208,"")))</f>
        <v/>
      </c>
      <c r="AK208" s="83" t="str">
        <f aca="false">IF(E208="","",IF(P208="","À SOUDER",IF(S208="","VT EN ATTENTE",IF(S208="R","VT REJETÉ – À REPRENDRE",IF(AJ208="","À RADIOGRAPHIER",IF(AJ208="A","ACCEPTÉ",IF(AJ208="NX","NX – RT À REFAIRE",IF(IF(AI208=1,X208,IF(AI208=2,AC208,""))="A","RÉPARÉ – À RADIOGRAPHIER",IF(IF(AI208=1,X208,IF(AI208=2,AC208,""))="R","VT REJETÉ – À REPRENDRE",IF(AJ208="CO","COUPE – À RESOUDER","À RÉPARER"))))))))))</f>
        <v>À RADIOGRAPHIER</v>
      </c>
      <c r="AL208" s="82" t="n">
        <f aca="false">IF(AND(ISNUMBER(P208),OR(AK208="À RADIOGRAPHIER",AK208="RÉPARÉ – À RADIOGRAPHIER",AK208="NX – RT À REFAIRE",AK208="À RÉPARER",AK208="COUPE – À RESOUDER",AK208="VT REJETÉ – À REPRENDRE")),MAX(0,'PROGRAMME RT'!$C$4-P208),"")</f>
        <v>376</v>
      </c>
      <c r="AM208" s="78" t="n">
        <f aca="false">IF(AND(OR(AK208="À RADIOGRAPHIER",AK208="RÉPARÉ – À RADIOGRAPHIER",AK208="NX – RT À REFAIRE"),OR('PROGRAMME RT'!$D$5="TOUTES",B208='PROGRAMME RT'!$D$5)),1,0)</f>
        <v>1</v>
      </c>
      <c r="AN208" s="78" t="n">
        <f aca="false">IF(AM208=1,SUM(AM$7:AM208),"")</f>
        <v>8</v>
      </c>
      <c r="AO208" s="78" t="n">
        <f aca="false">IF(AND(OR(AK208="À RÉPARER",AK208="COUPE – À RESOUDER",AK208="VT REJETÉ – À REPRENDRE"),OR(RÉPARATIONS!$D$5="TOUTES",B208=RÉPARATIONS!$D$5)),1,0)</f>
        <v>0</v>
      </c>
      <c r="AP208" s="78" t="str">
        <f aca="false">IF(AO208=1,SUM(AO$7:AO208),"")</f>
        <v/>
      </c>
    </row>
    <row r="209" customFormat="false" ht="15" hidden="false" customHeight="false" outlineLevel="0" collapsed="false">
      <c r="A209" s="78" t="n">
        <f aca="false">IF(E209="","",ROW()-6)</f>
        <v>203</v>
      </c>
      <c r="B209" s="79" t="s">
        <v>100</v>
      </c>
      <c r="C209" s="80"/>
      <c r="D209" s="80" t="s">
        <v>567</v>
      </c>
      <c r="E209" s="80" t="s">
        <v>568</v>
      </c>
      <c r="F209" s="80" t="s">
        <v>149</v>
      </c>
      <c r="G209" s="80"/>
      <c r="H209" s="80"/>
      <c r="I209" s="80"/>
      <c r="J209" s="80"/>
      <c r="K209" s="80" t="s">
        <v>566</v>
      </c>
      <c r="L209" s="80" t="s">
        <v>569</v>
      </c>
      <c r="M209" s="80"/>
      <c r="N209" s="80"/>
      <c r="O209" s="80"/>
      <c r="P209" s="81"/>
      <c r="Q209" s="81"/>
      <c r="R209" s="80"/>
      <c r="S209" s="80"/>
      <c r="T209" s="81"/>
      <c r="U209" s="80"/>
      <c r="V209" s="80"/>
      <c r="W209" s="80"/>
      <c r="X209" s="80"/>
      <c r="Y209" s="81"/>
      <c r="Z209" s="80"/>
      <c r="AA209" s="80"/>
      <c r="AB209" s="80"/>
      <c r="AC209" s="80"/>
      <c r="AD209" s="81"/>
      <c r="AE209" s="80"/>
      <c r="AF209" s="80"/>
      <c r="AG209" s="81"/>
      <c r="AH209" s="79"/>
      <c r="AI209" s="78" t="n">
        <f aca="false">IF(E209="","",(V209&lt;&gt;"")+(AA209&lt;&gt;"")+(AF209&lt;&gt;""))</f>
        <v>0</v>
      </c>
      <c r="AJ209" s="82" t="str">
        <f aca="false">IF(AF209&lt;&gt;"",AF209,IF(AA209&lt;&gt;"",AA209,IF(V209&lt;&gt;"",V209,"")))</f>
        <v/>
      </c>
      <c r="AK209" s="83" t="str">
        <f aca="false">IF(E209="","",IF(P209="","À SOUDER",IF(S209="","VT EN ATTENTE",IF(S209="R","VT REJETÉ – À REPRENDRE",IF(AJ209="","À RADIOGRAPHIER",IF(AJ209="A","ACCEPTÉ",IF(AJ209="NX","NX – RT À REFAIRE",IF(IF(AI209=1,X209,IF(AI209=2,AC209,""))="A","RÉPARÉ – À RADIOGRAPHIER",IF(IF(AI209=1,X209,IF(AI209=2,AC209,""))="R","VT REJETÉ – À REPRENDRE",IF(AJ209="CO","COUPE – À RESOUDER","À RÉPARER"))))))))))</f>
        <v>À SOUDER</v>
      </c>
      <c r="AL209" s="82" t="str">
        <f aca="false">IF(AND(ISNUMBER(P209),OR(AK209="À RADIOGRAPHIER",AK209="RÉPARÉ – À RADIOGRAPHIER",AK209="NX – RT À REFAIRE",AK209="À RÉPARER",AK209="COUPE – À RESOUDER",AK209="VT REJETÉ – À REPRENDRE")),MAX(0,'PROGRAMME RT'!$C$4-P209),"")</f>
        <v/>
      </c>
      <c r="AM209" s="78" t="n">
        <f aca="false">IF(AND(OR(AK209="À RADIOGRAPHIER",AK209="RÉPARÉ – À RADIOGRAPHIER",AK209="NX – RT À REFAIRE"),OR('PROGRAMME RT'!$D$5="TOUTES",B209='PROGRAMME RT'!$D$5)),1,0)</f>
        <v>0</v>
      </c>
      <c r="AN209" s="78" t="str">
        <f aca="false">IF(AM209=1,SUM(AM$7:AM209),"")</f>
        <v/>
      </c>
      <c r="AO209" s="78" t="n">
        <f aca="false">IF(AND(OR(AK209="À RÉPARER",AK209="COUPE – À RESOUDER",AK209="VT REJETÉ – À REPRENDRE"),OR(RÉPARATIONS!$D$5="TOUTES",B209=RÉPARATIONS!$D$5)),1,0)</f>
        <v>0</v>
      </c>
      <c r="AP209" s="78" t="str">
        <f aca="false">IF(AO209=1,SUM(AO$7:AO209),"")</f>
        <v/>
      </c>
    </row>
    <row r="210" customFormat="false" ht="15" hidden="false" customHeight="false" outlineLevel="0" collapsed="false">
      <c r="A210" s="78" t="n">
        <f aca="false">IF(E210="","",ROW()-6)</f>
        <v>204</v>
      </c>
      <c r="B210" s="79" t="s">
        <v>100</v>
      </c>
      <c r="C210" s="80"/>
      <c r="D210" s="80" t="s">
        <v>499</v>
      </c>
      <c r="E210" s="80" t="s">
        <v>570</v>
      </c>
      <c r="F210" s="80" t="s">
        <v>149</v>
      </c>
      <c r="G210" s="80" t="s">
        <v>104</v>
      </c>
      <c r="H210" s="80" t="n">
        <v>11</v>
      </c>
      <c r="I210" s="80" t="s">
        <v>112</v>
      </c>
      <c r="J210" s="80" t="s">
        <v>113</v>
      </c>
      <c r="K210" s="80" t="s">
        <v>569</v>
      </c>
      <c r="L210" s="80" t="s">
        <v>571</v>
      </c>
      <c r="M210" s="80" t="s">
        <v>123</v>
      </c>
      <c r="N210" s="80" t="s">
        <v>115</v>
      </c>
      <c r="O210" s="80" t="s">
        <v>115</v>
      </c>
      <c r="P210" s="81" t="n">
        <v>45913</v>
      </c>
      <c r="Q210" s="81" t="n">
        <v>45913</v>
      </c>
      <c r="R210" s="80" t="s">
        <v>445</v>
      </c>
      <c r="S210" s="80" t="s">
        <v>103</v>
      </c>
      <c r="T210" s="81"/>
      <c r="U210" s="80"/>
      <c r="V210" s="80"/>
      <c r="W210" s="80"/>
      <c r="X210" s="80"/>
      <c r="Y210" s="81"/>
      <c r="Z210" s="80"/>
      <c r="AA210" s="80"/>
      <c r="AB210" s="80"/>
      <c r="AC210" s="80"/>
      <c r="AD210" s="81"/>
      <c r="AE210" s="80"/>
      <c r="AF210" s="80"/>
      <c r="AG210" s="81"/>
      <c r="AH210" s="79"/>
      <c r="AI210" s="78" t="n">
        <f aca="false">IF(E210="","",(V210&lt;&gt;"")+(AA210&lt;&gt;"")+(AF210&lt;&gt;""))</f>
        <v>0</v>
      </c>
      <c r="AJ210" s="82" t="str">
        <f aca="false">IF(AF210&lt;&gt;"",AF210,IF(AA210&lt;&gt;"",AA210,IF(V210&lt;&gt;"",V210,"")))</f>
        <v/>
      </c>
      <c r="AK210" s="83" t="str">
        <f aca="false">IF(E210="","",IF(P210="","À SOUDER",IF(S210="","VT EN ATTENTE",IF(S210="R","VT REJETÉ – À REPRENDRE",IF(AJ210="","À RADIOGRAPHIER",IF(AJ210="A","ACCEPTÉ",IF(AJ210="NX","NX – RT À REFAIRE",IF(IF(AI210=1,X210,IF(AI210=2,AC210,""))="A","RÉPARÉ – À RADIOGRAPHIER",IF(IF(AI210=1,X210,IF(AI210=2,AC210,""))="R","VT REJETÉ – À REPRENDRE",IF(AJ210="CO","COUPE – À RESOUDER","À RÉPARER"))))))))))</f>
        <v>À RADIOGRAPHIER</v>
      </c>
      <c r="AL210" s="82" t="n">
        <f aca="false">IF(AND(ISNUMBER(P210),OR(AK210="À RADIOGRAPHIER",AK210="RÉPARÉ – À RADIOGRAPHIER",AK210="NX – RT À REFAIRE",AK210="À RÉPARER",AK210="COUPE – À RESOUDER",AK210="VT REJETÉ – À REPRENDRE")),MAX(0,'PROGRAMME RT'!$C$4-P210),"")</f>
        <v>378</v>
      </c>
      <c r="AM210" s="78" t="n">
        <f aca="false">IF(AND(OR(AK210="À RADIOGRAPHIER",AK210="RÉPARÉ – À RADIOGRAPHIER",AK210="NX – RT À REFAIRE"),OR('PROGRAMME RT'!$D$5="TOUTES",B210='PROGRAMME RT'!$D$5)),1,0)</f>
        <v>1</v>
      </c>
      <c r="AN210" s="78" t="n">
        <f aca="false">IF(AM210=1,SUM(AM$7:AM210),"")</f>
        <v>9</v>
      </c>
      <c r="AO210" s="78" t="n">
        <f aca="false">IF(AND(OR(AK210="À RÉPARER",AK210="COUPE – À RESOUDER",AK210="VT REJETÉ – À REPRENDRE"),OR(RÉPARATIONS!$D$5="TOUTES",B210=RÉPARATIONS!$D$5)),1,0)</f>
        <v>0</v>
      </c>
      <c r="AP210" s="78" t="str">
        <f aca="false">IF(AO210=1,SUM(AO$7:AO210),"")</f>
        <v/>
      </c>
    </row>
    <row r="211" customFormat="false" ht="15" hidden="false" customHeight="false" outlineLevel="0" collapsed="false">
      <c r="A211" s="78" t="n">
        <f aca="false">IF(E211="","",ROW()-6)</f>
        <v>205</v>
      </c>
      <c r="B211" s="79" t="s">
        <v>100</v>
      </c>
      <c r="C211" s="80"/>
      <c r="D211" s="80" t="s">
        <v>567</v>
      </c>
      <c r="E211" s="80" t="s">
        <v>572</v>
      </c>
      <c r="F211" s="80" t="s">
        <v>149</v>
      </c>
      <c r="G211" s="80" t="s">
        <v>104</v>
      </c>
      <c r="H211" s="80"/>
      <c r="I211" s="80"/>
      <c r="J211" s="80"/>
      <c r="K211" s="80" t="s">
        <v>571</v>
      </c>
      <c r="L211" s="80"/>
      <c r="M211" s="80"/>
      <c r="N211" s="80"/>
      <c r="O211" s="80"/>
      <c r="P211" s="81"/>
      <c r="Q211" s="81"/>
      <c r="R211" s="80"/>
      <c r="S211" s="80"/>
      <c r="T211" s="81"/>
      <c r="U211" s="80"/>
      <c r="V211" s="80"/>
      <c r="W211" s="80"/>
      <c r="X211" s="80"/>
      <c r="Y211" s="81"/>
      <c r="Z211" s="80"/>
      <c r="AA211" s="80"/>
      <c r="AB211" s="80"/>
      <c r="AC211" s="80"/>
      <c r="AD211" s="81"/>
      <c r="AE211" s="80"/>
      <c r="AF211" s="80"/>
      <c r="AG211" s="81"/>
      <c r="AH211" s="79"/>
      <c r="AI211" s="78" t="n">
        <f aca="false">IF(E211="","",(V211&lt;&gt;"")+(AA211&lt;&gt;"")+(AF211&lt;&gt;""))</f>
        <v>0</v>
      </c>
      <c r="AJ211" s="82" t="str">
        <f aca="false">IF(AF211&lt;&gt;"",AF211,IF(AA211&lt;&gt;"",AA211,IF(V211&lt;&gt;"",V211,"")))</f>
        <v/>
      </c>
      <c r="AK211" s="83" t="str">
        <f aca="false">IF(E211="","",IF(P211="","À SOUDER",IF(S211="","VT EN ATTENTE",IF(S211="R","VT REJETÉ – À REPRENDRE",IF(AJ211="","À RADIOGRAPHIER",IF(AJ211="A","ACCEPTÉ",IF(AJ211="NX","NX – RT À REFAIRE",IF(IF(AI211=1,X211,IF(AI211=2,AC211,""))="A","RÉPARÉ – À RADIOGRAPHIER",IF(IF(AI211=1,X211,IF(AI211=2,AC211,""))="R","VT REJETÉ – À REPRENDRE",IF(AJ211="CO","COUPE – À RESOUDER","À RÉPARER"))))))))))</f>
        <v>À SOUDER</v>
      </c>
      <c r="AL211" s="82" t="str">
        <f aca="false">IF(AND(ISNUMBER(P211),OR(AK211="À RADIOGRAPHIER",AK211="RÉPARÉ – À RADIOGRAPHIER",AK211="NX – RT À REFAIRE",AK211="À RÉPARER",AK211="COUPE – À RESOUDER",AK211="VT REJETÉ – À REPRENDRE")),MAX(0,'PROGRAMME RT'!$C$4-P211),"")</f>
        <v/>
      </c>
      <c r="AM211" s="78" t="n">
        <f aca="false">IF(AND(OR(AK211="À RADIOGRAPHIER",AK211="RÉPARÉ – À RADIOGRAPHIER",AK211="NX – RT À REFAIRE"),OR('PROGRAMME RT'!$D$5="TOUTES",B211='PROGRAMME RT'!$D$5)),1,0)</f>
        <v>0</v>
      </c>
      <c r="AN211" s="78" t="str">
        <f aca="false">IF(AM211=1,SUM(AM$7:AM211),"")</f>
        <v/>
      </c>
      <c r="AO211" s="78" t="n">
        <f aca="false">IF(AND(OR(AK211="À RÉPARER",AK211="COUPE – À RESOUDER",AK211="VT REJETÉ – À REPRENDRE"),OR(RÉPARATIONS!$D$5="TOUTES",B211=RÉPARATIONS!$D$5)),1,0)</f>
        <v>0</v>
      </c>
      <c r="AP211" s="78" t="str">
        <f aca="false">IF(AO211=1,SUM(AO$7:AO211),"")</f>
        <v/>
      </c>
    </row>
    <row r="212" customFormat="false" ht="15" hidden="false" customHeight="false" outlineLevel="0" collapsed="false">
      <c r="A212" s="78" t="str">
        <f aca="false">IF(E212="","",ROW()-6)</f>
        <v/>
      </c>
      <c r="B212" s="79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1"/>
      <c r="Q212" s="81"/>
      <c r="R212" s="80"/>
      <c r="S212" s="80"/>
      <c r="T212" s="81"/>
      <c r="U212" s="80"/>
      <c r="V212" s="80"/>
      <c r="W212" s="80"/>
      <c r="X212" s="80"/>
      <c r="Y212" s="81"/>
      <c r="Z212" s="80"/>
      <c r="AA212" s="80"/>
      <c r="AB212" s="80"/>
      <c r="AC212" s="80"/>
      <c r="AD212" s="81"/>
      <c r="AE212" s="80"/>
      <c r="AF212" s="80"/>
      <c r="AG212" s="81"/>
      <c r="AH212" s="79"/>
      <c r="AI212" s="78" t="str">
        <f aca="false">IF(E212="","",(V212&lt;&gt;"")+(AA212&lt;&gt;"")+(AF212&lt;&gt;""))</f>
        <v/>
      </c>
      <c r="AJ212" s="82" t="str">
        <f aca="false">IF(AF212&lt;&gt;"",AF212,IF(AA212&lt;&gt;"",AA212,IF(V212&lt;&gt;"",V212,"")))</f>
        <v/>
      </c>
      <c r="AK212" s="83" t="str">
        <f aca="false">IF(E212="","",IF(P212="","À SOUDER",IF(S212="","VT EN ATTENTE",IF(S212="R","VT REJETÉ – À REPRENDRE",IF(AJ212="","À RADIOGRAPHIER",IF(AJ212="A","ACCEPTÉ",IF(AJ212="NX","NX – RT À REFAIRE",IF(IF(AI212=1,X212,IF(AI212=2,AC212,""))="A","RÉPARÉ – À RADIOGRAPHIER",IF(IF(AI212=1,X212,IF(AI212=2,AC212,""))="R","VT REJETÉ – À REPRENDRE",IF(AJ212="CO","COUPE – À RESOUDER","À RÉPARER"))))))))))</f>
        <v/>
      </c>
      <c r="AL212" s="82" t="str">
        <f aca="false">IF(AND(ISNUMBER(P212),OR(AK212="À RADIOGRAPHIER",AK212="RÉPARÉ – À RADIOGRAPHIER",AK212="NX – RT À REFAIRE",AK212="À RÉPARER",AK212="COUPE – À RESOUDER",AK212="VT REJETÉ – À REPRENDRE")),MAX(0,'PROGRAMME RT'!$C$4-P212),"")</f>
        <v/>
      </c>
      <c r="AM212" s="78" t="n">
        <f aca="false">IF(AND(OR(AK212="À RADIOGRAPHIER",AK212="RÉPARÉ – À RADIOGRAPHIER",AK212="NX – RT À REFAIRE"),OR('PROGRAMME RT'!$D$5="TOUTES",B212='PROGRAMME RT'!$D$5)),1,0)</f>
        <v>0</v>
      </c>
      <c r="AN212" s="78" t="str">
        <f aca="false">IF(AM212=1,SUM(AM$7:AM212),"")</f>
        <v/>
      </c>
      <c r="AO212" s="78" t="n">
        <f aca="false">IF(AND(OR(AK212="À RÉPARER",AK212="COUPE – À RESOUDER",AK212="VT REJETÉ – À REPRENDRE"),OR(RÉPARATIONS!$D$5="TOUTES",B212=RÉPARATIONS!$D$5)),1,0)</f>
        <v>0</v>
      </c>
      <c r="AP212" s="78" t="str">
        <f aca="false">IF(AO212=1,SUM(AO$7:AO212),"")</f>
        <v/>
      </c>
    </row>
    <row r="213" customFormat="false" ht="15" hidden="false" customHeight="false" outlineLevel="0" collapsed="false">
      <c r="A213" s="78" t="str">
        <f aca="false">IF(E213="","",ROW()-6)</f>
        <v/>
      </c>
      <c r="B213" s="79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1"/>
      <c r="Q213" s="81"/>
      <c r="R213" s="80"/>
      <c r="S213" s="80"/>
      <c r="T213" s="81"/>
      <c r="U213" s="80"/>
      <c r="V213" s="80"/>
      <c r="W213" s="80"/>
      <c r="X213" s="80"/>
      <c r="Y213" s="81"/>
      <c r="Z213" s="80"/>
      <c r="AA213" s="80"/>
      <c r="AB213" s="80"/>
      <c r="AC213" s="80"/>
      <c r="AD213" s="81"/>
      <c r="AE213" s="80"/>
      <c r="AF213" s="80"/>
      <c r="AG213" s="81"/>
      <c r="AH213" s="79"/>
      <c r="AI213" s="78" t="str">
        <f aca="false">IF(E213="","",(V213&lt;&gt;"")+(AA213&lt;&gt;"")+(AF213&lt;&gt;""))</f>
        <v/>
      </c>
      <c r="AJ213" s="82" t="str">
        <f aca="false">IF(AF213&lt;&gt;"",AF213,IF(AA213&lt;&gt;"",AA213,IF(V213&lt;&gt;"",V213,"")))</f>
        <v/>
      </c>
      <c r="AK213" s="83" t="str">
        <f aca="false">IF(E213="","",IF(P213="","À SOUDER",IF(S213="","VT EN ATTENTE",IF(S213="R","VT REJETÉ – À REPRENDRE",IF(AJ213="","À RADIOGRAPHIER",IF(AJ213="A","ACCEPTÉ",IF(AJ213="NX","NX – RT À REFAIRE",IF(IF(AI213=1,X213,IF(AI213=2,AC213,""))="A","RÉPARÉ – À RADIOGRAPHIER",IF(IF(AI213=1,X213,IF(AI213=2,AC213,""))="R","VT REJETÉ – À REPRENDRE",IF(AJ213="CO","COUPE – À RESOUDER","À RÉPARER"))))))))))</f>
        <v/>
      </c>
      <c r="AL213" s="82" t="str">
        <f aca="false">IF(AND(ISNUMBER(P213),OR(AK213="À RADIOGRAPHIER",AK213="RÉPARÉ – À RADIOGRAPHIER",AK213="NX – RT À REFAIRE",AK213="À RÉPARER",AK213="COUPE – À RESOUDER",AK213="VT REJETÉ – À REPRENDRE")),MAX(0,'PROGRAMME RT'!$C$4-P213),"")</f>
        <v/>
      </c>
      <c r="AM213" s="78" t="n">
        <f aca="false">IF(AND(OR(AK213="À RADIOGRAPHIER",AK213="RÉPARÉ – À RADIOGRAPHIER",AK213="NX – RT À REFAIRE"),OR('PROGRAMME RT'!$D$5="TOUTES",B213='PROGRAMME RT'!$D$5)),1,0)</f>
        <v>0</v>
      </c>
      <c r="AN213" s="78" t="str">
        <f aca="false">IF(AM213=1,SUM(AM$7:AM213),"")</f>
        <v/>
      </c>
      <c r="AO213" s="78" t="n">
        <f aca="false">IF(AND(OR(AK213="À RÉPARER",AK213="COUPE – À RESOUDER",AK213="VT REJETÉ – À REPRENDRE"),OR(RÉPARATIONS!$D$5="TOUTES",B213=RÉPARATIONS!$D$5)),1,0)</f>
        <v>0</v>
      </c>
      <c r="AP213" s="78" t="str">
        <f aca="false">IF(AO213=1,SUM(AO$7:AO213),"")</f>
        <v/>
      </c>
    </row>
    <row r="214" customFormat="false" ht="15" hidden="false" customHeight="false" outlineLevel="0" collapsed="false">
      <c r="A214" s="78" t="str">
        <f aca="false">IF(E214="","",ROW()-6)</f>
        <v/>
      </c>
      <c r="B214" s="79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1"/>
      <c r="Q214" s="81"/>
      <c r="R214" s="80"/>
      <c r="S214" s="80"/>
      <c r="T214" s="81"/>
      <c r="U214" s="80"/>
      <c r="V214" s="80"/>
      <c r="W214" s="80"/>
      <c r="X214" s="80"/>
      <c r="Y214" s="81"/>
      <c r="Z214" s="80"/>
      <c r="AA214" s="80"/>
      <c r="AB214" s="80"/>
      <c r="AC214" s="80"/>
      <c r="AD214" s="81"/>
      <c r="AE214" s="80"/>
      <c r="AF214" s="80"/>
      <c r="AG214" s="81"/>
      <c r="AH214" s="79"/>
      <c r="AI214" s="78" t="str">
        <f aca="false">IF(E214="","",(V214&lt;&gt;"")+(AA214&lt;&gt;"")+(AF214&lt;&gt;""))</f>
        <v/>
      </c>
      <c r="AJ214" s="82" t="str">
        <f aca="false">IF(AF214&lt;&gt;"",AF214,IF(AA214&lt;&gt;"",AA214,IF(V214&lt;&gt;"",V214,"")))</f>
        <v/>
      </c>
      <c r="AK214" s="83" t="str">
        <f aca="false">IF(E214="","",IF(P214="","À SOUDER",IF(S214="","VT EN ATTENTE",IF(S214="R","VT REJETÉ – À REPRENDRE",IF(AJ214="","À RADIOGRAPHIER",IF(AJ214="A","ACCEPTÉ",IF(AJ214="NX","NX – RT À REFAIRE",IF(IF(AI214=1,X214,IF(AI214=2,AC214,""))="A","RÉPARÉ – À RADIOGRAPHIER",IF(IF(AI214=1,X214,IF(AI214=2,AC214,""))="R","VT REJETÉ – À REPRENDRE",IF(AJ214="CO","COUPE – À RESOUDER","À RÉPARER"))))))))))</f>
        <v/>
      </c>
      <c r="AL214" s="82" t="str">
        <f aca="false">IF(AND(ISNUMBER(P214),OR(AK214="À RADIOGRAPHIER",AK214="RÉPARÉ – À RADIOGRAPHIER",AK214="NX – RT À REFAIRE",AK214="À RÉPARER",AK214="COUPE – À RESOUDER",AK214="VT REJETÉ – À REPRENDRE")),MAX(0,'PROGRAMME RT'!$C$4-P214),"")</f>
        <v/>
      </c>
      <c r="AM214" s="78" t="n">
        <f aca="false">IF(AND(OR(AK214="À RADIOGRAPHIER",AK214="RÉPARÉ – À RADIOGRAPHIER",AK214="NX – RT À REFAIRE"),OR('PROGRAMME RT'!$D$5="TOUTES",B214='PROGRAMME RT'!$D$5)),1,0)</f>
        <v>0</v>
      </c>
      <c r="AN214" s="78" t="str">
        <f aca="false">IF(AM214=1,SUM(AM$7:AM214),"")</f>
        <v/>
      </c>
      <c r="AO214" s="78" t="n">
        <f aca="false">IF(AND(OR(AK214="À RÉPARER",AK214="COUPE – À RESOUDER",AK214="VT REJETÉ – À REPRENDRE"),OR(RÉPARATIONS!$D$5="TOUTES",B214=RÉPARATIONS!$D$5)),1,0)</f>
        <v>0</v>
      </c>
      <c r="AP214" s="78" t="str">
        <f aca="false">IF(AO214=1,SUM(AO$7:AO214),"")</f>
        <v/>
      </c>
    </row>
    <row r="215" customFormat="false" ht="15" hidden="false" customHeight="false" outlineLevel="0" collapsed="false">
      <c r="A215" s="78" t="str">
        <f aca="false">IF(E215="","",ROW()-6)</f>
        <v/>
      </c>
      <c r="B215" s="79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1"/>
      <c r="Q215" s="81"/>
      <c r="R215" s="80"/>
      <c r="S215" s="80"/>
      <c r="T215" s="81"/>
      <c r="U215" s="80"/>
      <c r="V215" s="80"/>
      <c r="W215" s="80"/>
      <c r="X215" s="80"/>
      <c r="Y215" s="81"/>
      <c r="Z215" s="80"/>
      <c r="AA215" s="80"/>
      <c r="AB215" s="80"/>
      <c r="AC215" s="80"/>
      <c r="AD215" s="81"/>
      <c r="AE215" s="80"/>
      <c r="AF215" s="80"/>
      <c r="AG215" s="81"/>
      <c r="AH215" s="79"/>
      <c r="AI215" s="78" t="str">
        <f aca="false">IF(E215="","",(V215&lt;&gt;"")+(AA215&lt;&gt;"")+(AF215&lt;&gt;""))</f>
        <v/>
      </c>
      <c r="AJ215" s="82" t="str">
        <f aca="false">IF(AF215&lt;&gt;"",AF215,IF(AA215&lt;&gt;"",AA215,IF(V215&lt;&gt;"",V215,"")))</f>
        <v/>
      </c>
      <c r="AK215" s="83" t="str">
        <f aca="false">IF(E215="","",IF(P215="","À SOUDER",IF(S215="","VT EN ATTENTE",IF(S215="R","VT REJETÉ – À REPRENDRE",IF(AJ215="","À RADIOGRAPHIER",IF(AJ215="A","ACCEPTÉ",IF(AJ215="NX","NX – RT À REFAIRE",IF(IF(AI215=1,X215,IF(AI215=2,AC215,""))="A","RÉPARÉ – À RADIOGRAPHIER",IF(IF(AI215=1,X215,IF(AI215=2,AC215,""))="R","VT REJETÉ – À REPRENDRE",IF(AJ215="CO","COUPE – À RESOUDER","À RÉPARER"))))))))))</f>
        <v/>
      </c>
      <c r="AL215" s="82" t="str">
        <f aca="false">IF(AND(ISNUMBER(P215),OR(AK215="À RADIOGRAPHIER",AK215="RÉPARÉ – À RADIOGRAPHIER",AK215="NX – RT À REFAIRE",AK215="À RÉPARER",AK215="COUPE – À RESOUDER",AK215="VT REJETÉ – À REPRENDRE")),MAX(0,'PROGRAMME RT'!$C$4-P215),"")</f>
        <v/>
      </c>
      <c r="AM215" s="78" t="n">
        <f aca="false">IF(AND(OR(AK215="À RADIOGRAPHIER",AK215="RÉPARÉ – À RADIOGRAPHIER",AK215="NX – RT À REFAIRE"),OR('PROGRAMME RT'!$D$5="TOUTES",B215='PROGRAMME RT'!$D$5)),1,0)</f>
        <v>0</v>
      </c>
      <c r="AN215" s="78" t="str">
        <f aca="false">IF(AM215=1,SUM(AM$7:AM215),"")</f>
        <v/>
      </c>
      <c r="AO215" s="78" t="n">
        <f aca="false">IF(AND(OR(AK215="À RÉPARER",AK215="COUPE – À RESOUDER",AK215="VT REJETÉ – À REPRENDRE"),OR(RÉPARATIONS!$D$5="TOUTES",B215=RÉPARATIONS!$D$5)),1,0)</f>
        <v>0</v>
      </c>
      <c r="AP215" s="78" t="str">
        <f aca="false">IF(AO215=1,SUM(AO$7:AO215),"")</f>
        <v/>
      </c>
    </row>
    <row r="216" customFormat="false" ht="15" hidden="false" customHeight="false" outlineLevel="0" collapsed="false">
      <c r="A216" s="78" t="str">
        <f aca="false">IF(E216="","",ROW()-6)</f>
        <v/>
      </c>
      <c r="B216" s="79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1"/>
      <c r="Q216" s="81"/>
      <c r="R216" s="80"/>
      <c r="S216" s="80"/>
      <c r="T216" s="81"/>
      <c r="U216" s="80"/>
      <c r="V216" s="80"/>
      <c r="W216" s="80"/>
      <c r="X216" s="80"/>
      <c r="Y216" s="81"/>
      <c r="Z216" s="80"/>
      <c r="AA216" s="80"/>
      <c r="AB216" s="80"/>
      <c r="AC216" s="80"/>
      <c r="AD216" s="81"/>
      <c r="AE216" s="80"/>
      <c r="AF216" s="80"/>
      <c r="AG216" s="81"/>
      <c r="AH216" s="79"/>
      <c r="AI216" s="78" t="str">
        <f aca="false">IF(E216="","",(V216&lt;&gt;"")+(AA216&lt;&gt;"")+(AF216&lt;&gt;""))</f>
        <v/>
      </c>
      <c r="AJ216" s="82" t="str">
        <f aca="false">IF(AF216&lt;&gt;"",AF216,IF(AA216&lt;&gt;"",AA216,IF(V216&lt;&gt;"",V216,"")))</f>
        <v/>
      </c>
      <c r="AK216" s="83" t="str">
        <f aca="false">IF(E216="","",IF(P216="","À SOUDER",IF(S216="","VT EN ATTENTE",IF(S216="R","VT REJETÉ – À REPRENDRE",IF(AJ216="","À RADIOGRAPHIER",IF(AJ216="A","ACCEPTÉ",IF(AJ216="NX","NX – RT À REFAIRE",IF(IF(AI216=1,X216,IF(AI216=2,AC216,""))="A","RÉPARÉ – À RADIOGRAPHIER",IF(IF(AI216=1,X216,IF(AI216=2,AC216,""))="R","VT REJETÉ – À REPRENDRE",IF(AJ216="CO","COUPE – À RESOUDER","À RÉPARER"))))))))))</f>
        <v/>
      </c>
      <c r="AL216" s="82" t="str">
        <f aca="false">IF(AND(ISNUMBER(P216),OR(AK216="À RADIOGRAPHIER",AK216="RÉPARÉ – À RADIOGRAPHIER",AK216="NX – RT À REFAIRE",AK216="À RÉPARER",AK216="COUPE – À RESOUDER",AK216="VT REJETÉ – À REPRENDRE")),MAX(0,'PROGRAMME RT'!$C$4-P216),"")</f>
        <v/>
      </c>
      <c r="AM216" s="78" t="n">
        <f aca="false">IF(AND(OR(AK216="À RADIOGRAPHIER",AK216="RÉPARÉ – À RADIOGRAPHIER",AK216="NX – RT À REFAIRE"),OR('PROGRAMME RT'!$D$5="TOUTES",B216='PROGRAMME RT'!$D$5)),1,0)</f>
        <v>0</v>
      </c>
      <c r="AN216" s="78" t="str">
        <f aca="false">IF(AM216=1,SUM(AM$7:AM216),"")</f>
        <v/>
      </c>
      <c r="AO216" s="78" t="n">
        <f aca="false">IF(AND(OR(AK216="À RÉPARER",AK216="COUPE – À RESOUDER",AK216="VT REJETÉ – À REPRENDRE"),OR(RÉPARATIONS!$D$5="TOUTES",B216=RÉPARATIONS!$D$5)),1,0)</f>
        <v>0</v>
      </c>
      <c r="AP216" s="78" t="str">
        <f aca="false">IF(AO216=1,SUM(AO$7:AO216),"")</f>
        <v/>
      </c>
    </row>
    <row r="217" customFormat="false" ht="15" hidden="false" customHeight="false" outlineLevel="0" collapsed="false">
      <c r="A217" s="78" t="str">
        <f aca="false">IF(E217="","",ROW()-6)</f>
        <v/>
      </c>
      <c r="B217" s="79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1"/>
      <c r="Q217" s="81"/>
      <c r="R217" s="80"/>
      <c r="S217" s="80"/>
      <c r="T217" s="81"/>
      <c r="U217" s="80"/>
      <c r="V217" s="80"/>
      <c r="W217" s="80"/>
      <c r="X217" s="80"/>
      <c r="Y217" s="81"/>
      <c r="Z217" s="80"/>
      <c r="AA217" s="80"/>
      <c r="AB217" s="80"/>
      <c r="AC217" s="80"/>
      <c r="AD217" s="81"/>
      <c r="AE217" s="80"/>
      <c r="AF217" s="80"/>
      <c r="AG217" s="81"/>
      <c r="AH217" s="79"/>
      <c r="AI217" s="78" t="str">
        <f aca="false">IF(E217="","",(V217&lt;&gt;"")+(AA217&lt;&gt;"")+(AF217&lt;&gt;""))</f>
        <v/>
      </c>
      <c r="AJ217" s="82" t="str">
        <f aca="false">IF(AF217&lt;&gt;"",AF217,IF(AA217&lt;&gt;"",AA217,IF(V217&lt;&gt;"",V217,"")))</f>
        <v/>
      </c>
      <c r="AK217" s="83" t="str">
        <f aca="false">IF(E217="","",IF(P217="","À SOUDER",IF(S217="","VT EN ATTENTE",IF(S217="R","VT REJETÉ – À REPRENDRE",IF(AJ217="","À RADIOGRAPHIER",IF(AJ217="A","ACCEPTÉ",IF(AJ217="NX","NX – RT À REFAIRE",IF(IF(AI217=1,X217,IF(AI217=2,AC217,""))="A","RÉPARÉ – À RADIOGRAPHIER",IF(IF(AI217=1,X217,IF(AI217=2,AC217,""))="R","VT REJETÉ – À REPRENDRE",IF(AJ217="CO","COUPE – À RESOUDER","À RÉPARER"))))))))))</f>
        <v/>
      </c>
      <c r="AL217" s="82" t="str">
        <f aca="false">IF(AND(ISNUMBER(P217),OR(AK217="À RADIOGRAPHIER",AK217="RÉPARÉ – À RADIOGRAPHIER",AK217="NX – RT À REFAIRE",AK217="À RÉPARER",AK217="COUPE – À RESOUDER",AK217="VT REJETÉ – À REPRENDRE")),MAX(0,'PROGRAMME RT'!$C$4-P217),"")</f>
        <v/>
      </c>
      <c r="AM217" s="78" t="n">
        <f aca="false">IF(AND(OR(AK217="À RADIOGRAPHIER",AK217="RÉPARÉ – À RADIOGRAPHIER",AK217="NX – RT À REFAIRE"),OR('PROGRAMME RT'!$D$5="TOUTES",B217='PROGRAMME RT'!$D$5)),1,0)</f>
        <v>0</v>
      </c>
      <c r="AN217" s="78" t="str">
        <f aca="false">IF(AM217=1,SUM(AM$7:AM217),"")</f>
        <v/>
      </c>
      <c r="AO217" s="78" t="n">
        <f aca="false">IF(AND(OR(AK217="À RÉPARER",AK217="COUPE – À RESOUDER",AK217="VT REJETÉ – À REPRENDRE"),OR(RÉPARATIONS!$D$5="TOUTES",B217=RÉPARATIONS!$D$5)),1,0)</f>
        <v>0</v>
      </c>
      <c r="AP217" s="78" t="str">
        <f aca="false">IF(AO217=1,SUM(AO$7:AO217),"")</f>
        <v/>
      </c>
    </row>
    <row r="218" customFormat="false" ht="15" hidden="false" customHeight="false" outlineLevel="0" collapsed="false">
      <c r="A218" s="78" t="str">
        <f aca="false">IF(E218="","",ROW()-6)</f>
        <v/>
      </c>
      <c r="B218" s="79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1"/>
      <c r="Q218" s="81"/>
      <c r="R218" s="80"/>
      <c r="S218" s="80"/>
      <c r="T218" s="81"/>
      <c r="U218" s="80"/>
      <c r="V218" s="80"/>
      <c r="W218" s="80"/>
      <c r="X218" s="80"/>
      <c r="Y218" s="81"/>
      <c r="Z218" s="80"/>
      <c r="AA218" s="80"/>
      <c r="AB218" s="80"/>
      <c r="AC218" s="80"/>
      <c r="AD218" s="81"/>
      <c r="AE218" s="80"/>
      <c r="AF218" s="80"/>
      <c r="AG218" s="81"/>
      <c r="AH218" s="79"/>
      <c r="AI218" s="78" t="str">
        <f aca="false">IF(E218="","",(V218&lt;&gt;"")+(AA218&lt;&gt;"")+(AF218&lt;&gt;""))</f>
        <v/>
      </c>
      <c r="AJ218" s="82" t="str">
        <f aca="false">IF(AF218&lt;&gt;"",AF218,IF(AA218&lt;&gt;"",AA218,IF(V218&lt;&gt;"",V218,"")))</f>
        <v/>
      </c>
      <c r="AK218" s="83" t="str">
        <f aca="false">IF(E218="","",IF(P218="","À SOUDER",IF(S218="","VT EN ATTENTE",IF(S218="R","VT REJETÉ – À REPRENDRE",IF(AJ218="","À RADIOGRAPHIER",IF(AJ218="A","ACCEPTÉ",IF(AJ218="NX","NX – RT À REFAIRE",IF(IF(AI218=1,X218,IF(AI218=2,AC218,""))="A","RÉPARÉ – À RADIOGRAPHIER",IF(IF(AI218=1,X218,IF(AI218=2,AC218,""))="R","VT REJETÉ – À REPRENDRE",IF(AJ218="CO","COUPE – À RESOUDER","À RÉPARER"))))))))))</f>
        <v/>
      </c>
      <c r="AL218" s="82" t="str">
        <f aca="false">IF(AND(ISNUMBER(P218),OR(AK218="À RADIOGRAPHIER",AK218="RÉPARÉ – À RADIOGRAPHIER",AK218="NX – RT À REFAIRE",AK218="À RÉPARER",AK218="COUPE – À RESOUDER",AK218="VT REJETÉ – À REPRENDRE")),MAX(0,'PROGRAMME RT'!$C$4-P218),"")</f>
        <v/>
      </c>
      <c r="AM218" s="78" t="n">
        <f aca="false">IF(AND(OR(AK218="À RADIOGRAPHIER",AK218="RÉPARÉ – À RADIOGRAPHIER",AK218="NX – RT À REFAIRE"),OR('PROGRAMME RT'!$D$5="TOUTES",B218='PROGRAMME RT'!$D$5)),1,0)</f>
        <v>0</v>
      </c>
      <c r="AN218" s="78" t="str">
        <f aca="false">IF(AM218=1,SUM(AM$7:AM218),"")</f>
        <v/>
      </c>
      <c r="AO218" s="78" t="n">
        <f aca="false">IF(AND(OR(AK218="À RÉPARER",AK218="COUPE – À RESOUDER",AK218="VT REJETÉ – À REPRENDRE"),OR(RÉPARATIONS!$D$5="TOUTES",B218=RÉPARATIONS!$D$5)),1,0)</f>
        <v>0</v>
      </c>
      <c r="AP218" s="78" t="str">
        <f aca="false">IF(AO218=1,SUM(AO$7:AO218),"")</f>
        <v/>
      </c>
    </row>
    <row r="219" customFormat="false" ht="15" hidden="false" customHeight="false" outlineLevel="0" collapsed="false">
      <c r="A219" s="78" t="str">
        <f aca="false">IF(E219="","",ROW()-6)</f>
        <v/>
      </c>
      <c r="B219" s="79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1"/>
      <c r="Q219" s="81"/>
      <c r="R219" s="80"/>
      <c r="S219" s="80"/>
      <c r="T219" s="81"/>
      <c r="U219" s="80"/>
      <c r="V219" s="80"/>
      <c r="W219" s="80"/>
      <c r="X219" s="80"/>
      <c r="Y219" s="81"/>
      <c r="Z219" s="80"/>
      <c r="AA219" s="80"/>
      <c r="AB219" s="80"/>
      <c r="AC219" s="80"/>
      <c r="AD219" s="81"/>
      <c r="AE219" s="80"/>
      <c r="AF219" s="80"/>
      <c r="AG219" s="81"/>
      <c r="AH219" s="79"/>
      <c r="AI219" s="78" t="str">
        <f aca="false">IF(E219="","",(V219&lt;&gt;"")+(AA219&lt;&gt;"")+(AF219&lt;&gt;""))</f>
        <v/>
      </c>
      <c r="AJ219" s="82" t="str">
        <f aca="false">IF(AF219&lt;&gt;"",AF219,IF(AA219&lt;&gt;"",AA219,IF(V219&lt;&gt;"",V219,"")))</f>
        <v/>
      </c>
      <c r="AK219" s="83" t="str">
        <f aca="false">IF(E219="","",IF(P219="","À SOUDER",IF(S219="","VT EN ATTENTE",IF(S219="R","VT REJETÉ – À REPRENDRE",IF(AJ219="","À RADIOGRAPHIER",IF(AJ219="A","ACCEPTÉ",IF(AJ219="NX","NX – RT À REFAIRE",IF(IF(AI219=1,X219,IF(AI219=2,AC219,""))="A","RÉPARÉ – À RADIOGRAPHIER",IF(IF(AI219=1,X219,IF(AI219=2,AC219,""))="R","VT REJETÉ – À REPRENDRE",IF(AJ219="CO","COUPE – À RESOUDER","À RÉPARER"))))))))))</f>
        <v/>
      </c>
      <c r="AL219" s="82" t="str">
        <f aca="false">IF(AND(ISNUMBER(P219),OR(AK219="À RADIOGRAPHIER",AK219="RÉPARÉ – À RADIOGRAPHIER",AK219="NX – RT À REFAIRE",AK219="À RÉPARER",AK219="COUPE – À RESOUDER",AK219="VT REJETÉ – À REPRENDRE")),MAX(0,'PROGRAMME RT'!$C$4-P219),"")</f>
        <v/>
      </c>
      <c r="AM219" s="78" t="n">
        <f aca="false">IF(AND(OR(AK219="À RADIOGRAPHIER",AK219="RÉPARÉ – À RADIOGRAPHIER",AK219="NX – RT À REFAIRE"),OR('PROGRAMME RT'!$D$5="TOUTES",B219='PROGRAMME RT'!$D$5)),1,0)</f>
        <v>0</v>
      </c>
      <c r="AN219" s="78" t="str">
        <f aca="false">IF(AM219=1,SUM(AM$7:AM219),"")</f>
        <v/>
      </c>
      <c r="AO219" s="78" t="n">
        <f aca="false">IF(AND(OR(AK219="À RÉPARER",AK219="COUPE – À RESOUDER",AK219="VT REJETÉ – À REPRENDRE"),OR(RÉPARATIONS!$D$5="TOUTES",B219=RÉPARATIONS!$D$5)),1,0)</f>
        <v>0</v>
      </c>
      <c r="AP219" s="78" t="str">
        <f aca="false">IF(AO219=1,SUM(AO$7:AO219),"")</f>
        <v/>
      </c>
    </row>
    <row r="220" customFormat="false" ht="15" hidden="false" customHeight="false" outlineLevel="0" collapsed="false">
      <c r="A220" s="78" t="str">
        <f aca="false">IF(E220="","",ROW()-6)</f>
        <v/>
      </c>
      <c r="B220" s="79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1"/>
      <c r="Q220" s="81"/>
      <c r="R220" s="80"/>
      <c r="S220" s="80"/>
      <c r="T220" s="81"/>
      <c r="U220" s="80"/>
      <c r="V220" s="80"/>
      <c r="W220" s="80"/>
      <c r="X220" s="80"/>
      <c r="Y220" s="81"/>
      <c r="Z220" s="80"/>
      <c r="AA220" s="80"/>
      <c r="AB220" s="80"/>
      <c r="AC220" s="80"/>
      <c r="AD220" s="81"/>
      <c r="AE220" s="80"/>
      <c r="AF220" s="80"/>
      <c r="AG220" s="81"/>
      <c r="AH220" s="79"/>
      <c r="AI220" s="78" t="str">
        <f aca="false">IF(E220="","",(V220&lt;&gt;"")+(AA220&lt;&gt;"")+(AF220&lt;&gt;""))</f>
        <v/>
      </c>
      <c r="AJ220" s="82" t="str">
        <f aca="false">IF(AF220&lt;&gt;"",AF220,IF(AA220&lt;&gt;"",AA220,IF(V220&lt;&gt;"",V220,"")))</f>
        <v/>
      </c>
      <c r="AK220" s="83" t="str">
        <f aca="false">IF(E220="","",IF(P220="","À SOUDER",IF(S220="","VT EN ATTENTE",IF(S220="R","VT REJETÉ – À REPRENDRE",IF(AJ220="","À RADIOGRAPHIER",IF(AJ220="A","ACCEPTÉ",IF(AJ220="NX","NX – RT À REFAIRE",IF(IF(AI220=1,X220,IF(AI220=2,AC220,""))="A","RÉPARÉ – À RADIOGRAPHIER",IF(IF(AI220=1,X220,IF(AI220=2,AC220,""))="R","VT REJETÉ – À REPRENDRE",IF(AJ220="CO","COUPE – À RESOUDER","À RÉPARER"))))))))))</f>
        <v/>
      </c>
      <c r="AL220" s="82" t="str">
        <f aca="false">IF(AND(ISNUMBER(P220),OR(AK220="À RADIOGRAPHIER",AK220="RÉPARÉ – À RADIOGRAPHIER",AK220="NX – RT À REFAIRE",AK220="À RÉPARER",AK220="COUPE – À RESOUDER",AK220="VT REJETÉ – À REPRENDRE")),MAX(0,'PROGRAMME RT'!$C$4-P220),"")</f>
        <v/>
      </c>
      <c r="AM220" s="78" t="n">
        <f aca="false">IF(AND(OR(AK220="À RADIOGRAPHIER",AK220="RÉPARÉ – À RADIOGRAPHIER",AK220="NX – RT À REFAIRE"),OR('PROGRAMME RT'!$D$5="TOUTES",B220='PROGRAMME RT'!$D$5)),1,0)</f>
        <v>0</v>
      </c>
      <c r="AN220" s="78" t="str">
        <f aca="false">IF(AM220=1,SUM(AM$7:AM220),"")</f>
        <v/>
      </c>
      <c r="AO220" s="78" t="n">
        <f aca="false">IF(AND(OR(AK220="À RÉPARER",AK220="COUPE – À RESOUDER",AK220="VT REJETÉ – À REPRENDRE"),OR(RÉPARATIONS!$D$5="TOUTES",B220=RÉPARATIONS!$D$5)),1,0)</f>
        <v>0</v>
      </c>
      <c r="AP220" s="78" t="str">
        <f aca="false">IF(AO220=1,SUM(AO$7:AO220),"")</f>
        <v/>
      </c>
    </row>
    <row r="221" customFormat="false" ht="15" hidden="false" customHeight="false" outlineLevel="0" collapsed="false">
      <c r="A221" s="78" t="str">
        <f aca="false">IF(E221="","",ROW()-6)</f>
        <v/>
      </c>
      <c r="B221" s="79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1"/>
      <c r="Q221" s="81"/>
      <c r="R221" s="80"/>
      <c r="S221" s="80"/>
      <c r="T221" s="81"/>
      <c r="U221" s="80"/>
      <c r="V221" s="80"/>
      <c r="W221" s="80"/>
      <c r="X221" s="80"/>
      <c r="Y221" s="81"/>
      <c r="Z221" s="80"/>
      <c r="AA221" s="80"/>
      <c r="AB221" s="80"/>
      <c r="AC221" s="80"/>
      <c r="AD221" s="81"/>
      <c r="AE221" s="80"/>
      <c r="AF221" s="80"/>
      <c r="AG221" s="81"/>
      <c r="AH221" s="79"/>
      <c r="AI221" s="78" t="str">
        <f aca="false">IF(E221="","",(V221&lt;&gt;"")+(AA221&lt;&gt;"")+(AF221&lt;&gt;""))</f>
        <v/>
      </c>
      <c r="AJ221" s="82" t="str">
        <f aca="false">IF(AF221&lt;&gt;"",AF221,IF(AA221&lt;&gt;"",AA221,IF(V221&lt;&gt;"",V221,"")))</f>
        <v/>
      </c>
      <c r="AK221" s="83" t="str">
        <f aca="false">IF(E221="","",IF(P221="","À SOUDER",IF(S221="","VT EN ATTENTE",IF(S221="R","VT REJETÉ – À REPRENDRE",IF(AJ221="","À RADIOGRAPHIER",IF(AJ221="A","ACCEPTÉ",IF(AJ221="NX","NX – RT À REFAIRE",IF(IF(AI221=1,X221,IF(AI221=2,AC221,""))="A","RÉPARÉ – À RADIOGRAPHIER",IF(IF(AI221=1,X221,IF(AI221=2,AC221,""))="R","VT REJETÉ – À REPRENDRE",IF(AJ221="CO","COUPE – À RESOUDER","À RÉPARER"))))))))))</f>
        <v/>
      </c>
      <c r="AL221" s="82" t="str">
        <f aca="false">IF(AND(ISNUMBER(P221),OR(AK221="À RADIOGRAPHIER",AK221="RÉPARÉ – À RADIOGRAPHIER",AK221="NX – RT À REFAIRE",AK221="À RÉPARER",AK221="COUPE – À RESOUDER",AK221="VT REJETÉ – À REPRENDRE")),MAX(0,'PROGRAMME RT'!$C$4-P221),"")</f>
        <v/>
      </c>
      <c r="AM221" s="78" t="n">
        <f aca="false">IF(AND(OR(AK221="À RADIOGRAPHIER",AK221="RÉPARÉ – À RADIOGRAPHIER",AK221="NX – RT À REFAIRE"),OR('PROGRAMME RT'!$D$5="TOUTES",B221='PROGRAMME RT'!$D$5)),1,0)</f>
        <v>0</v>
      </c>
      <c r="AN221" s="78" t="str">
        <f aca="false">IF(AM221=1,SUM(AM$7:AM221),"")</f>
        <v/>
      </c>
      <c r="AO221" s="78" t="n">
        <f aca="false">IF(AND(OR(AK221="À RÉPARER",AK221="COUPE – À RESOUDER",AK221="VT REJETÉ – À REPRENDRE"),OR(RÉPARATIONS!$D$5="TOUTES",B221=RÉPARATIONS!$D$5)),1,0)</f>
        <v>0</v>
      </c>
      <c r="AP221" s="78" t="str">
        <f aca="false">IF(AO221=1,SUM(AO$7:AO221),"")</f>
        <v/>
      </c>
    </row>
    <row r="222" customFormat="false" ht="15" hidden="false" customHeight="false" outlineLevel="0" collapsed="false">
      <c r="A222" s="78" t="str">
        <f aca="false">IF(E222="","",ROW()-6)</f>
        <v/>
      </c>
      <c r="B222" s="79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1"/>
      <c r="Q222" s="81"/>
      <c r="R222" s="80"/>
      <c r="S222" s="80"/>
      <c r="T222" s="81"/>
      <c r="U222" s="80"/>
      <c r="V222" s="80"/>
      <c r="W222" s="80"/>
      <c r="X222" s="80"/>
      <c r="Y222" s="81"/>
      <c r="Z222" s="80"/>
      <c r="AA222" s="80"/>
      <c r="AB222" s="80"/>
      <c r="AC222" s="80"/>
      <c r="AD222" s="81"/>
      <c r="AE222" s="80"/>
      <c r="AF222" s="80"/>
      <c r="AG222" s="81"/>
      <c r="AH222" s="79"/>
      <c r="AI222" s="78" t="str">
        <f aca="false">IF(E222="","",(V222&lt;&gt;"")+(AA222&lt;&gt;"")+(AF222&lt;&gt;""))</f>
        <v/>
      </c>
      <c r="AJ222" s="82" t="str">
        <f aca="false">IF(AF222&lt;&gt;"",AF222,IF(AA222&lt;&gt;"",AA222,IF(V222&lt;&gt;"",V222,"")))</f>
        <v/>
      </c>
      <c r="AK222" s="83" t="str">
        <f aca="false">IF(E222="","",IF(P222="","À SOUDER",IF(S222="","VT EN ATTENTE",IF(S222="R","VT REJETÉ – À REPRENDRE",IF(AJ222="","À RADIOGRAPHIER",IF(AJ222="A","ACCEPTÉ",IF(AJ222="NX","NX – RT À REFAIRE",IF(IF(AI222=1,X222,IF(AI222=2,AC222,""))="A","RÉPARÉ – À RADIOGRAPHIER",IF(IF(AI222=1,X222,IF(AI222=2,AC222,""))="R","VT REJETÉ – À REPRENDRE",IF(AJ222="CO","COUPE – À RESOUDER","À RÉPARER"))))))))))</f>
        <v/>
      </c>
      <c r="AL222" s="82" t="str">
        <f aca="false">IF(AND(ISNUMBER(P222),OR(AK222="À RADIOGRAPHIER",AK222="RÉPARÉ – À RADIOGRAPHIER",AK222="NX – RT À REFAIRE",AK222="À RÉPARER",AK222="COUPE – À RESOUDER",AK222="VT REJETÉ – À REPRENDRE")),MAX(0,'PROGRAMME RT'!$C$4-P222),"")</f>
        <v/>
      </c>
      <c r="AM222" s="78" t="n">
        <f aca="false">IF(AND(OR(AK222="À RADIOGRAPHIER",AK222="RÉPARÉ – À RADIOGRAPHIER",AK222="NX – RT À REFAIRE"),OR('PROGRAMME RT'!$D$5="TOUTES",B222='PROGRAMME RT'!$D$5)),1,0)</f>
        <v>0</v>
      </c>
      <c r="AN222" s="78" t="str">
        <f aca="false">IF(AM222=1,SUM(AM$7:AM222),"")</f>
        <v/>
      </c>
      <c r="AO222" s="78" t="n">
        <f aca="false">IF(AND(OR(AK222="À RÉPARER",AK222="COUPE – À RESOUDER",AK222="VT REJETÉ – À REPRENDRE"),OR(RÉPARATIONS!$D$5="TOUTES",B222=RÉPARATIONS!$D$5)),1,0)</f>
        <v>0</v>
      </c>
      <c r="AP222" s="78" t="str">
        <f aca="false">IF(AO222=1,SUM(AO$7:AO222),"")</f>
        <v/>
      </c>
    </row>
    <row r="223" customFormat="false" ht="15" hidden="false" customHeight="false" outlineLevel="0" collapsed="false">
      <c r="A223" s="78" t="str">
        <f aca="false">IF(E223="","",ROW()-6)</f>
        <v/>
      </c>
      <c r="B223" s="79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1"/>
      <c r="Q223" s="81"/>
      <c r="R223" s="80"/>
      <c r="S223" s="80"/>
      <c r="T223" s="81"/>
      <c r="U223" s="80"/>
      <c r="V223" s="80"/>
      <c r="W223" s="80"/>
      <c r="X223" s="80"/>
      <c r="Y223" s="81"/>
      <c r="Z223" s="80"/>
      <c r="AA223" s="80"/>
      <c r="AB223" s="80"/>
      <c r="AC223" s="80"/>
      <c r="AD223" s="81"/>
      <c r="AE223" s="80"/>
      <c r="AF223" s="80"/>
      <c r="AG223" s="81"/>
      <c r="AH223" s="79"/>
      <c r="AI223" s="78" t="str">
        <f aca="false">IF(E223="","",(V223&lt;&gt;"")+(AA223&lt;&gt;"")+(AF223&lt;&gt;""))</f>
        <v/>
      </c>
      <c r="AJ223" s="82" t="str">
        <f aca="false">IF(AF223&lt;&gt;"",AF223,IF(AA223&lt;&gt;"",AA223,IF(V223&lt;&gt;"",V223,"")))</f>
        <v/>
      </c>
      <c r="AK223" s="83" t="str">
        <f aca="false">IF(E223="","",IF(P223="","À SOUDER",IF(S223="","VT EN ATTENTE",IF(S223="R","VT REJETÉ – À REPRENDRE",IF(AJ223="","À RADIOGRAPHIER",IF(AJ223="A","ACCEPTÉ",IF(AJ223="NX","NX – RT À REFAIRE",IF(IF(AI223=1,X223,IF(AI223=2,AC223,""))="A","RÉPARÉ – À RADIOGRAPHIER",IF(IF(AI223=1,X223,IF(AI223=2,AC223,""))="R","VT REJETÉ – À REPRENDRE",IF(AJ223="CO","COUPE – À RESOUDER","À RÉPARER"))))))))))</f>
        <v/>
      </c>
      <c r="AL223" s="82" t="str">
        <f aca="false">IF(AND(ISNUMBER(P223),OR(AK223="À RADIOGRAPHIER",AK223="RÉPARÉ – À RADIOGRAPHIER",AK223="NX – RT À REFAIRE",AK223="À RÉPARER",AK223="COUPE – À RESOUDER",AK223="VT REJETÉ – À REPRENDRE")),MAX(0,'PROGRAMME RT'!$C$4-P223),"")</f>
        <v/>
      </c>
      <c r="AM223" s="78" t="n">
        <f aca="false">IF(AND(OR(AK223="À RADIOGRAPHIER",AK223="RÉPARÉ – À RADIOGRAPHIER",AK223="NX – RT À REFAIRE"),OR('PROGRAMME RT'!$D$5="TOUTES",B223='PROGRAMME RT'!$D$5)),1,0)</f>
        <v>0</v>
      </c>
      <c r="AN223" s="78" t="str">
        <f aca="false">IF(AM223=1,SUM(AM$7:AM223),"")</f>
        <v/>
      </c>
      <c r="AO223" s="78" t="n">
        <f aca="false">IF(AND(OR(AK223="À RÉPARER",AK223="COUPE – À RESOUDER",AK223="VT REJETÉ – À REPRENDRE"),OR(RÉPARATIONS!$D$5="TOUTES",B223=RÉPARATIONS!$D$5)),1,0)</f>
        <v>0</v>
      </c>
      <c r="AP223" s="78" t="str">
        <f aca="false">IF(AO223=1,SUM(AO$7:AO223),"")</f>
        <v/>
      </c>
    </row>
    <row r="224" customFormat="false" ht="15" hidden="false" customHeight="false" outlineLevel="0" collapsed="false">
      <c r="A224" s="78" t="str">
        <f aca="false">IF(E224="","",ROW()-6)</f>
        <v/>
      </c>
      <c r="B224" s="79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1"/>
      <c r="Q224" s="81"/>
      <c r="R224" s="80"/>
      <c r="S224" s="80"/>
      <c r="T224" s="81"/>
      <c r="U224" s="80"/>
      <c r="V224" s="80"/>
      <c r="W224" s="80"/>
      <c r="X224" s="80"/>
      <c r="Y224" s="81"/>
      <c r="Z224" s="80"/>
      <c r="AA224" s="80"/>
      <c r="AB224" s="80"/>
      <c r="AC224" s="80"/>
      <c r="AD224" s="81"/>
      <c r="AE224" s="80"/>
      <c r="AF224" s="80"/>
      <c r="AG224" s="81"/>
      <c r="AH224" s="79"/>
      <c r="AI224" s="78" t="str">
        <f aca="false">IF(E224="","",(V224&lt;&gt;"")+(AA224&lt;&gt;"")+(AF224&lt;&gt;""))</f>
        <v/>
      </c>
      <c r="AJ224" s="82" t="str">
        <f aca="false">IF(AF224&lt;&gt;"",AF224,IF(AA224&lt;&gt;"",AA224,IF(V224&lt;&gt;"",V224,"")))</f>
        <v/>
      </c>
      <c r="AK224" s="83" t="str">
        <f aca="false">IF(E224="","",IF(P224="","À SOUDER",IF(S224="","VT EN ATTENTE",IF(S224="R","VT REJETÉ – À REPRENDRE",IF(AJ224="","À RADIOGRAPHIER",IF(AJ224="A","ACCEPTÉ",IF(AJ224="NX","NX – RT À REFAIRE",IF(IF(AI224=1,X224,IF(AI224=2,AC224,""))="A","RÉPARÉ – À RADIOGRAPHIER",IF(IF(AI224=1,X224,IF(AI224=2,AC224,""))="R","VT REJETÉ – À REPRENDRE",IF(AJ224="CO","COUPE – À RESOUDER","À RÉPARER"))))))))))</f>
        <v/>
      </c>
      <c r="AL224" s="82" t="str">
        <f aca="false">IF(AND(ISNUMBER(P224),OR(AK224="À RADIOGRAPHIER",AK224="RÉPARÉ – À RADIOGRAPHIER",AK224="NX – RT À REFAIRE",AK224="À RÉPARER",AK224="COUPE – À RESOUDER",AK224="VT REJETÉ – À REPRENDRE")),MAX(0,'PROGRAMME RT'!$C$4-P224),"")</f>
        <v/>
      </c>
      <c r="AM224" s="78" t="n">
        <f aca="false">IF(AND(OR(AK224="À RADIOGRAPHIER",AK224="RÉPARÉ – À RADIOGRAPHIER",AK224="NX – RT À REFAIRE"),OR('PROGRAMME RT'!$D$5="TOUTES",B224='PROGRAMME RT'!$D$5)),1,0)</f>
        <v>0</v>
      </c>
      <c r="AN224" s="78" t="str">
        <f aca="false">IF(AM224=1,SUM(AM$7:AM224),"")</f>
        <v/>
      </c>
      <c r="AO224" s="78" t="n">
        <f aca="false">IF(AND(OR(AK224="À RÉPARER",AK224="COUPE – À RESOUDER",AK224="VT REJETÉ – À REPRENDRE"),OR(RÉPARATIONS!$D$5="TOUTES",B224=RÉPARATIONS!$D$5)),1,0)</f>
        <v>0</v>
      </c>
      <c r="AP224" s="78" t="str">
        <f aca="false">IF(AO224=1,SUM(AO$7:AO224),"")</f>
        <v/>
      </c>
    </row>
    <row r="225" customFormat="false" ht="15" hidden="false" customHeight="false" outlineLevel="0" collapsed="false">
      <c r="A225" s="78" t="str">
        <f aca="false">IF(E225="","",ROW()-6)</f>
        <v/>
      </c>
      <c r="B225" s="79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1"/>
      <c r="Q225" s="81"/>
      <c r="R225" s="80"/>
      <c r="S225" s="80"/>
      <c r="T225" s="81"/>
      <c r="U225" s="80"/>
      <c r="V225" s="80"/>
      <c r="W225" s="80"/>
      <c r="X225" s="80"/>
      <c r="Y225" s="81"/>
      <c r="Z225" s="80"/>
      <c r="AA225" s="80"/>
      <c r="AB225" s="80"/>
      <c r="AC225" s="80"/>
      <c r="AD225" s="81"/>
      <c r="AE225" s="80"/>
      <c r="AF225" s="80"/>
      <c r="AG225" s="81"/>
      <c r="AH225" s="79"/>
      <c r="AI225" s="78" t="str">
        <f aca="false">IF(E225="","",(V225&lt;&gt;"")+(AA225&lt;&gt;"")+(AF225&lt;&gt;""))</f>
        <v/>
      </c>
      <c r="AJ225" s="82" t="str">
        <f aca="false">IF(AF225&lt;&gt;"",AF225,IF(AA225&lt;&gt;"",AA225,IF(V225&lt;&gt;"",V225,"")))</f>
        <v/>
      </c>
      <c r="AK225" s="83" t="str">
        <f aca="false">IF(E225="","",IF(P225="","À SOUDER",IF(S225="","VT EN ATTENTE",IF(S225="R","VT REJETÉ – À REPRENDRE",IF(AJ225="","À RADIOGRAPHIER",IF(AJ225="A","ACCEPTÉ",IF(AJ225="NX","NX – RT À REFAIRE",IF(IF(AI225=1,X225,IF(AI225=2,AC225,""))="A","RÉPARÉ – À RADIOGRAPHIER",IF(IF(AI225=1,X225,IF(AI225=2,AC225,""))="R","VT REJETÉ – À REPRENDRE",IF(AJ225="CO","COUPE – À RESOUDER","À RÉPARER"))))))))))</f>
        <v/>
      </c>
      <c r="AL225" s="82" t="str">
        <f aca="false">IF(AND(ISNUMBER(P225),OR(AK225="À RADIOGRAPHIER",AK225="RÉPARÉ – À RADIOGRAPHIER",AK225="NX – RT À REFAIRE",AK225="À RÉPARER",AK225="COUPE – À RESOUDER",AK225="VT REJETÉ – À REPRENDRE")),MAX(0,'PROGRAMME RT'!$C$4-P225),"")</f>
        <v/>
      </c>
      <c r="AM225" s="78" t="n">
        <f aca="false">IF(AND(OR(AK225="À RADIOGRAPHIER",AK225="RÉPARÉ – À RADIOGRAPHIER",AK225="NX – RT À REFAIRE"),OR('PROGRAMME RT'!$D$5="TOUTES",B225='PROGRAMME RT'!$D$5)),1,0)</f>
        <v>0</v>
      </c>
      <c r="AN225" s="78" t="str">
        <f aca="false">IF(AM225=1,SUM(AM$7:AM225),"")</f>
        <v/>
      </c>
      <c r="AO225" s="78" t="n">
        <f aca="false">IF(AND(OR(AK225="À RÉPARER",AK225="COUPE – À RESOUDER",AK225="VT REJETÉ – À REPRENDRE"),OR(RÉPARATIONS!$D$5="TOUTES",B225=RÉPARATIONS!$D$5)),1,0)</f>
        <v>0</v>
      </c>
      <c r="AP225" s="78" t="str">
        <f aca="false">IF(AO225=1,SUM(AO$7:AO225),"")</f>
        <v/>
      </c>
    </row>
    <row r="226" customFormat="false" ht="15" hidden="false" customHeight="false" outlineLevel="0" collapsed="false">
      <c r="A226" s="78" t="str">
        <f aca="false">IF(E226="","",ROW()-6)</f>
        <v/>
      </c>
      <c r="B226" s="79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1"/>
      <c r="Q226" s="81"/>
      <c r="R226" s="80"/>
      <c r="S226" s="80"/>
      <c r="T226" s="81"/>
      <c r="U226" s="80"/>
      <c r="V226" s="80"/>
      <c r="W226" s="80"/>
      <c r="X226" s="80"/>
      <c r="Y226" s="81"/>
      <c r="Z226" s="80"/>
      <c r="AA226" s="80"/>
      <c r="AB226" s="80"/>
      <c r="AC226" s="80"/>
      <c r="AD226" s="81"/>
      <c r="AE226" s="80"/>
      <c r="AF226" s="80"/>
      <c r="AG226" s="81"/>
      <c r="AH226" s="79"/>
      <c r="AI226" s="78" t="str">
        <f aca="false">IF(E226="","",(V226&lt;&gt;"")+(AA226&lt;&gt;"")+(AF226&lt;&gt;""))</f>
        <v/>
      </c>
      <c r="AJ226" s="82" t="str">
        <f aca="false">IF(AF226&lt;&gt;"",AF226,IF(AA226&lt;&gt;"",AA226,IF(V226&lt;&gt;"",V226,"")))</f>
        <v/>
      </c>
      <c r="AK226" s="83" t="str">
        <f aca="false">IF(E226="","",IF(P226="","À SOUDER",IF(S226="","VT EN ATTENTE",IF(S226="R","VT REJETÉ – À REPRENDRE",IF(AJ226="","À RADIOGRAPHIER",IF(AJ226="A","ACCEPTÉ",IF(AJ226="NX","NX – RT À REFAIRE",IF(IF(AI226=1,X226,IF(AI226=2,AC226,""))="A","RÉPARÉ – À RADIOGRAPHIER",IF(IF(AI226=1,X226,IF(AI226=2,AC226,""))="R","VT REJETÉ – À REPRENDRE",IF(AJ226="CO","COUPE – À RESOUDER","À RÉPARER"))))))))))</f>
        <v/>
      </c>
      <c r="AL226" s="82" t="str">
        <f aca="false">IF(AND(ISNUMBER(P226),OR(AK226="À RADIOGRAPHIER",AK226="RÉPARÉ – À RADIOGRAPHIER",AK226="NX – RT À REFAIRE",AK226="À RÉPARER",AK226="COUPE – À RESOUDER",AK226="VT REJETÉ – À REPRENDRE")),MAX(0,'PROGRAMME RT'!$C$4-P226),"")</f>
        <v/>
      </c>
      <c r="AM226" s="78" t="n">
        <f aca="false">IF(AND(OR(AK226="À RADIOGRAPHIER",AK226="RÉPARÉ – À RADIOGRAPHIER",AK226="NX – RT À REFAIRE"),OR('PROGRAMME RT'!$D$5="TOUTES",B226='PROGRAMME RT'!$D$5)),1,0)</f>
        <v>0</v>
      </c>
      <c r="AN226" s="78" t="str">
        <f aca="false">IF(AM226=1,SUM(AM$7:AM226),"")</f>
        <v/>
      </c>
      <c r="AO226" s="78" t="n">
        <f aca="false">IF(AND(OR(AK226="À RÉPARER",AK226="COUPE – À RESOUDER",AK226="VT REJETÉ – À REPRENDRE"),OR(RÉPARATIONS!$D$5="TOUTES",B226=RÉPARATIONS!$D$5)),1,0)</f>
        <v>0</v>
      </c>
      <c r="AP226" s="78" t="str">
        <f aca="false">IF(AO226=1,SUM(AO$7:AO226),"")</f>
        <v/>
      </c>
    </row>
    <row r="227" customFormat="false" ht="15" hidden="false" customHeight="false" outlineLevel="0" collapsed="false">
      <c r="A227" s="78" t="str">
        <f aca="false">IF(E227="","",ROW()-6)</f>
        <v/>
      </c>
      <c r="B227" s="79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1"/>
      <c r="Q227" s="81"/>
      <c r="R227" s="80"/>
      <c r="S227" s="80"/>
      <c r="T227" s="81"/>
      <c r="U227" s="80"/>
      <c r="V227" s="80"/>
      <c r="W227" s="80"/>
      <c r="X227" s="80"/>
      <c r="Y227" s="81"/>
      <c r="Z227" s="80"/>
      <c r="AA227" s="80"/>
      <c r="AB227" s="80"/>
      <c r="AC227" s="80"/>
      <c r="AD227" s="81"/>
      <c r="AE227" s="80"/>
      <c r="AF227" s="80"/>
      <c r="AG227" s="81"/>
      <c r="AH227" s="79"/>
      <c r="AI227" s="78" t="str">
        <f aca="false">IF(E227="","",(V227&lt;&gt;"")+(AA227&lt;&gt;"")+(AF227&lt;&gt;""))</f>
        <v/>
      </c>
      <c r="AJ227" s="82" t="str">
        <f aca="false">IF(AF227&lt;&gt;"",AF227,IF(AA227&lt;&gt;"",AA227,IF(V227&lt;&gt;"",V227,"")))</f>
        <v/>
      </c>
      <c r="AK227" s="83" t="str">
        <f aca="false">IF(E227="","",IF(P227="","À SOUDER",IF(S227="","VT EN ATTENTE",IF(S227="R","VT REJETÉ – À REPRENDRE",IF(AJ227="","À RADIOGRAPHIER",IF(AJ227="A","ACCEPTÉ",IF(AJ227="NX","NX – RT À REFAIRE",IF(IF(AI227=1,X227,IF(AI227=2,AC227,""))="A","RÉPARÉ – À RADIOGRAPHIER",IF(IF(AI227=1,X227,IF(AI227=2,AC227,""))="R","VT REJETÉ – À REPRENDRE",IF(AJ227="CO","COUPE – À RESOUDER","À RÉPARER"))))))))))</f>
        <v/>
      </c>
      <c r="AL227" s="82" t="str">
        <f aca="false">IF(AND(ISNUMBER(P227),OR(AK227="À RADIOGRAPHIER",AK227="RÉPARÉ – À RADIOGRAPHIER",AK227="NX – RT À REFAIRE",AK227="À RÉPARER",AK227="COUPE – À RESOUDER",AK227="VT REJETÉ – À REPRENDRE")),MAX(0,'PROGRAMME RT'!$C$4-P227),"")</f>
        <v/>
      </c>
      <c r="AM227" s="78" t="n">
        <f aca="false">IF(AND(OR(AK227="À RADIOGRAPHIER",AK227="RÉPARÉ – À RADIOGRAPHIER",AK227="NX – RT À REFAIRE"),OR('PROGRAMME RT'!$D$5="TOUTES",B227='PROGRAMME RT'!$D$5)),1,0)</f>
        <v>0</v>
      </c>
      <c r="AN227" s="78" t="str">
        <f aca="false">IF(AM227=1,SUM(AM$7:AM227),"")</f>
        <v/>
      </c>
      <c r="AO227" s="78" t="n">
        <f aca="false">IF(AND(OR(AK227="À RÉPARER",AK227="COUPE – À RESOUDER",AK227="VT REJETÉ – À REPRENDRE"),OR(RÉPARATIONS!$D$5="TOUTES",B227=RÉPARATIONS!$D$5)),1,0)</f>
        <v>0</v>
      </c>
      <c r="AP227" s="78" t="str">
        <f aca="false">IF(AO227=1,SUM(AO$7:AO227),"")</f>
        <v/>
      </c>
    </row>
    <row r="228" customFormat="false" ht="15" hidden="false" customHeight="false" outlineLevel="0" collapsed="false">
      <c r="A228" s="78" t="str">
        <f aca="false">IF(E228="","",ROW()-6)</f>
        <v/>
      </c>
      <c r="B228" s="79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1"/>
      <c r="Q228" s="81"/>
      <c r="R228" s="80"/>
      <c r="S228" s="80"/>
      <c r="T228" s="81"/>
      <c r="U228" s="80"/>
      <c r="V228" s="80"/>
      <c r="W228" s="80"/>
      <c r="X228" s="80"/>
      <c r="Y228" s="81"/>
      <c r="Z228" s="80"/>
      <c r="AA228" s="80"/>
      <c r="AB228" s="80"/>
      <c r="AC228" s="80"/>
      <c r="AD228" s="81"/>
      <c r="AE228" s="80"/>
      <c r="AF228" s="80"/>
      <c r="AG228" s="81"/>
      <c r="AH228" s="79"/>
      <c r="AI228" s="78" t="str">
        <f aca="false">IF(E228="","",(V228&lt;&gt;"")+(AA228&lt;&gt;"")+(AF228&lt;&gt;""))</f>
        <v/>
      </c>
      <c r="AJ228" s="82" t="str">
        <f aca="false">IF(AF228&lt;&gt;"",AF228,IF(AA228&lt;&gt;"",AA228,IF(V228&lt;&gt;"",V228,"")))</f>
        <v/>
      </c>
      <c r="AK228" s="83" t="str">
        <f aca="false">IF(E228="","",IF(P228="","À SOUDER",IF(S228="","VT EN ATTENTE",IF(S228="R","VT REJETÉ – À REPRENDRE",IF(AJ228="","À RADIOGRAPHIER",IF(AJ228="A","ACCEPTÉ",IF(AJ228="NX","NX – RT À REFAIRE",IF(IF(AI228=1,X228,IF(AI228=2,AC228,""))="A","RÉPARÉ – À RADIOGRAPHIER",IF(IF(AI228=1,X228,IF(AI228=2,AC228,""))="R","VT REJETÉ – À REPRENDRE",IF(AJ228="CO","COUPE – À RESOUDER","À RÉPARER"))))))))))</f>
        <v/>
      </c>
      <c r="AL228" s="82" t="str">
        <f aca="false">IF(AND(ISNUMBER(P228),OR(AK228="À RADIOGRAPHIER",AK228="RÉPARÉ – À RADIOGRAPHIER",AK228="NX – RT À REFAIRE",AK228="À RÉPARER",AK228="COUPE – À RESOUDER",AK228="VT REJETÉ – À REPRENDRE")),MAX(0,'PROGRAMME RT'!$C$4-P228),"")</f>
        <v/>
      </c>
      <c r="AM228" s="78" t="n">
        <f aca="false">IF(AND(OR(AK228="À RADIOGRAPHIER",AK228="RÉPARÉ – À RADIOGRAPHIER",AK228="NX – RT À REFAIRE"),OR('PROGRAMME RT'!$D$5="TOUTES",B228='PROGRAMME RT'!$D$5)),1,0)</f>
        <v>0</v>
      </c>
      <c r="AN228" s="78" t="str">
        <f aca="false">IF(AM228=1,SUM(AM$7:AM228),"")</f>
        <v/>
      </c>
      <c r="AO228" s="78" t="n">
        <f aca="false">IF(AND(OR(AK228="À RÉPARER",AK228="COUPE – À RESOUDER",AK228="VT REJETÉ – À REPRENDRE"),OR(RÉPARATIONS!$D$5="TOUTES",B228=RÉPARATIONS!$D$5)),1,0)</f>
        <v>0</v>
      </c>
      <c r="AP228" s="78" t="str">
        <f aca="false">IF(AO228=1,SUM(AO$7:AO228),"")</f>
        <v/>
      </c>
    </row>
    <row r="229" customFormat="false" ht="15" hidden="false" customHeight="false" outlineLevel="0" collapsed="false">
      <c r="A229" s="78" t="str">
        <f aca="false">IF(E229="","",ROW()-6)</f>
        <v/>
      </c>
      <c r="B229" s="79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1"/>
      <c r="Q229" s="81"/>
      <c r="R229" s="80"/>
      <c r="S229" s="80"/>
      <c r="T229" s="81"/>
      <c r="U229" s="80"/>
      <c r="V229" s="80"/>
      <c r="W229" s="80"/>
      <c r="X229" s="80"/>
      <c r="Y229" s="81"/>
      <c r="Z229" s="80"/>
      <c r="AA229" s="80"/>
      <c r="AB229" s="80"/>
      <c r="AC229" s="80"/>
      <c r="AD229" s="81"/>
      <c r="AE229" s="80"/>
      <c r="AF229" s="80"/>
      <c r="AG229" s="81"/>
      <c r="AH229" s="79"/>
      <c r="AI229" s="78" t="str">
        <f aca="false">IF(E229="","",(V229&lt;&gt;"")+(AA229&lt;&gt;"")+(AF229&lt;&gt;""))</f>
        <v/>
      </c>
      <c r="AJ229" s="82" t="str">
        <f aca="false">IF(AF229&lt;&gt;"",AF229,IF(AA229&lt;&gt;"",AA229,IF(V229&lt;&gt;"",V229,"")))</f>
        <v/>
      </c>
      <c r="AK229" s="83" t="str">
        <f aca="false">IF(E229="","",IF(P229="","À SOUDER",IF(S229="","VT EN ATTENTE",IF(S229="R","VT REJETÉ – À REPRENDRE",IF(AJ229="","À RADIOGRAPHIER",IF(AJ229="A","ACCEPTÉ",IF(AJ229="NX","NX – RT À REFAIRE",IF(IF(AI229=1,X229,IF(AI229=2,AC229,""))="A","RÉPARÉ – À RADIOGRAPHIER",IF(IF(AI229=1,X229,IF(AI229=2,AC229,""))="R","VT REJETÉ – À REPRENDRE",IF(AJ229="CO","COUPE – À RESOUDER","À RÉPARER"))))))))))</f>
        <v/>
      </c>
      <c r="AL229" s="82" t="str">
        <f aca="false">IF(AND(ISNUMBER(P229),OR(AK229="À RADIOGRAPHIER",AK229="RÉPARÉ – À RADIOGRAPHIER",AK229="NX – RT À REFAIRE",AK229="À RÉPARER",AK229="COUPE – À RESOUDER",AK229="VT REJETÉ – À REPRENDRE")),MAX(0,'PROGRAMME RT'!$C$4-P229),"")</f>
        <v/>
      </c>
      <c r="AM229" s="78" t="n">
        <f aca="false">IF(AND(OR(AK229="À RADIOGRAPHIER",AK229="RÉPARÉ – À RADIOGRAPHIER",AK229="NX – RT À REFAIRE"),OR('PROGRAMME RT'!$D$5="TOUTES",B229='PROGRAMME RT'!$D$5)),1,0)</f>
        <v>0</v>
      </c>
      <c r="AN229" s="78" t="str">
        <f aca="false">IF(AM229=1,SUM(AM$7:AM229),"")</f>
        <v/>
      </c>
      <c r="AO229" s="78" t="n">
        <f aca="false">IF(AND(OR(AK229="À RÉPARER",AK229="COUPE – À RESOUDER",AK229="VT REJETÉ – À REPRENDRE"),OR(RÉPARATIONS!$D$5="TOUTES",B229=RÉPARATIONS!$D$5)),1,0)</f>
        <v>0</v>
      </c>
      <c r="AP229" s="78" t="str">
        <f aca="false">IF(AO229=1,SUM(AO$7:AO229),"")</f>
        <v/>
      </c>
    </row>
    <row r="230" customFormat="false" ht="15" hidden="false" customHeight="false" outlineLevel="0" collapsed="false">
      <c r="A230" s="78" t="str">
        <f aca="false">IF(E230="","",ROW()-6)</f>
        <v/>
      </c>
      <c r="B230" s="79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1"/>
      <c r="Q230" s="81"/>
      <c r="R230" s="80"/>
      <c r="S230" s="80"/>
      <c r="T230" s="81"/>
      <c r="U230" s="80"/>
      <c r="V230" s="80"/>
      <c r="W230" s="80"/>
      <c r="X230" s="80"/>
      <c r="Y230" s="81"/>
      <c r="Z230" s="80"/>
      <c r="AA230" s="80"/>
      <c r="AB230" s="80"/>
      <c r="AC230" s="80"/>
      <c r="AD230" s="81"/>
      <c r="AE230" s="80"/>
      <c r="AF230" s="80"/>
      <c r="AG230" s="81"/>
      <c r="AH230" s="79"/>
      <c r="AI230" s="78" t="str">
        <f aca="false">IF(E230="","",(V230&lt;&gt;"")+(AA230&lt;&gt;"")+(AF230&lt;&gt;""))</f>
        <v/>
      </c>
      <c r="AJ230" s="82" t="str">
        <f aca="false">IF(AF230&lt;&gt;"",AF230,IF(AA230&lt;&gt;"",AA230,IF(V230&lt;&gt;"",V230,"")))</f>
        <v/>
      </c>
      <c r="AK230" s="83" t="str">
        <f aca="false">IF(E230="","",IF(P230="","À SOUDER",IF(S230="","VT EN ATTENTE",IF(S230="R","VT REJETÉ – À REPRENDRE",IF(AJ230="","À RADIOGRAPHIER",IF(AJ230="A","ACCEPTÉ",IF(AJ230="NX","NX – RT À REFAIRE",IF(IF(AI230=1,X230,IF(AI230=2,AC230,""))="A","RÉPARÉ – À RADIOGRAPHIER",IF(IF(AI230=1,X230,IF(AI230=2,AC230,""))="R","VT REJETÉ – À REPRENDRE",IF(AJ230="CO","COUPE – À RESOUDER","À RÉPARER"))))))))))</f>
        <v/>
      </c>
      <c r="AL230" s="82" t="str">
        <f aca="false">IF(AND(ISNUMBER(P230),OR(AK230="À RADIOGRAPHIER",AK230="RÉPARÉ – À RADIOGRAPHIER",AK230="NX – RT À REFAIRE",AK230="À RÉPARER",AK230="COUPE – À RESOUDER",AK230="VT REJETÉ – À REPRENDRE")),MAX(0,'PROGRAMME RT'!$C$4-P230),"")</f>
        <v/>
      </c>
      <c r="AM230" s="78" t="n">
        <f aca="false">IF(AND(OR(AK230="À RADIOGRAPHIER",AK230="RÉPARÉ – À RADIOGRAPHIER",AK230="NX – RT À REFAIRE"),OR('PROGRAMME RT'!$D$5="TOUTES",B230='PROGRAMME RT'!$D$5)),1,0)</f>
        <v>0</v>
      </c>
      <c r="AN230" s="78" t="str">
        <f aca="false">IF(AM230=1,SUM(AM$7:AM230),"")</f>
        <v/>
      </c>
      <c r="AO230" s="78" t="n">
        <f aca="false">IF(AND(OR(AK230="À RÉPARER",AK230="COUPE – À RESOUDER",AK230="VT REJETÉ – À REPRENDRE"),OR(RÉPARATIONS!$D$5="TOUTES",B230=RÉPARATIONS!$D$5)),1,0)</f>
        <v>0</v>
      </c>
      <c r="AP230" s="78" t="str">
        <f aca="false">IF(AO230=1,SUM(AO$7:AO230),"")</f>
        <v/>
      </c>
    </row>
    <row r="231" customFormat="false" ht="15" hidden="false" customHeight="false" outlineLevel="0" collapsed="false">
      <c r="A231" s="78" t="str">
        <f aca="false">IF(E231="","",ROW()-6)</f>
        <v/>
      </c>
      <c r="B231" s="79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1"/>
      <c r="Q231" s="81"/>
      <c r="R231" s="80"/>
      <c r="S231" s="80"/>
      <c r="T231" s="81"/>
      <c r="U231" s="80"/>
      <c r="V231" s="80"/>
      <c r="W231" s="80"/>
      <c r="X231" s="80"/>
      <c r="Y231" s="81"/>
      <c r="Z231" s="80"/>
      <c r="AA231" s="80"/>
      <c r="AB231" s="80"/>
      <c r="AC231" s="80"/>
      <c r="AD231" s="81"/>
      <c r="AE231" s="80"/>
      <c r="AF231" s="80"/>
      <c r="AG231" s="81"/>
      <c r="AH231" s="79"/>
      <c r="AI231" s="78" t="str">
        <f aca="false">IF(E231="","",(V231&lt;&gt;"")+(AA231&lt;&gt;"")+(AF231&lt;&gt;""))</f>
        <v/>
      </c>
      <c r="AJ231" s="82" t="str">
        <f aca="false">IF(AF231&lt;&gt;"",AF231,IF(AA231&lt;&gt;"",AA231,IF(V231&lt;&gt;"",V231,"")))</f>
        <v/>
      </c>
      <c r="AK231" s="83" t="str">
        <f aca="false">IF(E231="","",IF(P231="","À SOUDER",IF(S231="","VT EN ATTENTE",IF(S231="R","VT REJETÉ – À REPRENDRE",IF(AJ231="","À RADIOGRAPHIER",IF(AJ231="A","ACCEPTÉ",IF(AJ231="NX","NX – RT À REFAIRE",IF(IF(AI231=1,X231,IF(AI231=2,AC231,""))="A","RÉPARÉ – À RADIOGRAPHIER",IF(IF(AI231=1,X231,IF(AI231=2,AC231,""))="R","VT REJETÉ – À REPRENDRE",IF(AJ231="CO","COUPE – À RESOUDER","À RÉPARER"))))))))))</f>
        <v/>
      </c>
      <c r="AL231" s="82" t="str">
        <f aca="false">IF(AND(ISNUMBER(P231),OR(AK231="À RADIOGRAPHIER",AK231="RÉPARÉ – À RADIOGRAPHIER",AK231="NX – RT À REFAIRE",AK231="À RÉPARER",AK231="COUPE – À RESOUDER",AK231="VT REJETÉ – À REPRENDRE")),MAX(0,'PROGRAMME RT'!$C$4-P231),"")</f>
        <v/>
      </c>
      <c r="AM231" s="78" t="n">
        <f aca="false">IF(AND(OR(AK231="À RADIOGRAPHIER",AK231="RÉPARÉ – À RADIOGRAPHIER",AK231="NX – RT À REFAIRE"),OR('PROGRAMME RT'!$D$5="TOUTES",B231='PROGRAMME RT'!$D$5)),1,0)</f>
        <v>0</v>
      </c>
      <c r="AN231" s="78" t="str">
        <f aca="false">IF(AM231=1,SUM(AM$7:AM231),"")</f>
        <v/>
      </c>
      <c r="AO231" s="78" t="n">
        <f aca="false">IF(AND(OR(AK231="À RÉPARER",AK231="COUPE – À RESOUDER",AK231="VT REJETÉ – À REPRENDRE"),OR(RÉPARATIONS!$D$5="TOUTES",B231=RÉPARATIONS!$D$5)),1,0)</f>
        <v>0</v>
      </c>
      <c r="AP231" s="78" t="str">
        <f aca="false">IF(AO231=1,SUM(AO$7:AO231),"")</f>
        <v/>
      </c>
    </row>
    <row r="232" customFormat="false" ht="15" hidden="false" customHeight="false" outlineLevel="0" collapsed="false">
      <c r="A232" s="78" t="str">
        <f aca="false">IF(E232="","",ROW()-6)</f>
        <v/>
      </c>
      <c r="B232" s="79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1"/>
      <c r="Q232" s="81"/>
      <c r="R232" s="80"/>
      <c r="S232" s="80"/>
      <c r="T232" s="81"/>
      <c r="U232" s="80"/>
      <c r="V232" s="80"/>
      <c r="W232" s="80"/>
      <c r="X232" s="80"/>
      <c r="Y232" s="81"/>
      <c r="Z232" s="80"/>
      <c r="AA232" s="80"/>
      <c r="AB232" s="80"/>
      <c r="AC232" s="80"/>
      <c r="AD232" s="81"/>
      <c r="AE232" s="80"/>
      <c r="AF232" s="80"/>
      <c r="AG232" s="81"/>
      <c r="AH232" s="79"/>
      <c r="AI232" s="78" t="str">
        <f aca="false">IF(E232="","",(V232&lt;&gt;"")+(AA232&lt;&gt;"")+(AF232&lt;&gt;""))</f>
        <v/>
      </c>
      <c r="AJ232" s="82" t="str">
        <f aca="false">IF(AF232&lt;&gt;"",AF232,IF(AA232&lt;&gt;"",AA232,IF(V232&lt;&gt;"",V232,"")))</f>
        <v/>
      </c>
      <c r="AK232" s="83" t="str">
        <f aca="false">IF(E232="","",IF(P232="","À SOUDER",IF(S232="","VT EN ATTENTE",IF(S232="R","VT REJETÉ – À REPRENDRE",IF(AJ232="","À RADIOGRAPHIER",IF(AJ232="A","ACCEPTÉ",IF(AJ232="NX","NX – RT À REFAIRE",IF(IF(AI232=1,X232,IF(AI232=2,AC232,""))="A","RÉPARÉ – À RADIOGRAPHIER",IF(IF(AI232=1,X232,IF(AI232=2,AC232,""))="R","VT REJETÉ – À REPRENDRE",IF(AJ232="CO","COUPE – À RESOUDER","À RÉPARER"))))))))))</f>
        <v/>
      </c>
      <c r="AL232" s="82" t="str">
        <f aca="false">IF(AND(ISNUMBER(P232),OR(AK232="À RADIOGRAPHIER",AK232="RÉPARÉ – À RADIOGRAPHIER",AK232="NX – RT À REFAIRE",AK232="À RÉPARER",AK232="COUPE – À RESOUDER",AK232="VT REJETÉ – À REPRENDRE")),MAX(0,'PROGRAMME RT'!$C$4-P232),"")</f>
        <v/>
      </c>
      <c r="AM232" s="78" t="n">
        <f aca="false">IF(AND(OR(AK232="À RADIOGRAPHIER",AK232="RÉPARÉ – À RADIOGRAPHIER",AK232="NX – RT À REFAIRE"),OR('PROGRAMME RT'!$D$5="TOUTES",B232='PROGRAMME RT'!$D$5)),1,0)</f>
        <v>0</v>
      </c>
      <c r="AN232" s="78" t="str">
        <f aca="false">IF(AM232=1,SUM(AM$7:AM232),"")</f>
        <v/>
      </c>
      <c r="AO232" s="78" t="n">
        <f aca="false">IF(AND(OR(AK232="À RÉPARER",AK232="COUPE – À RESOUDER",AK232="VT REJETÉ – À REPRENDRE"),OR(RÉPARATIONS!$D$5="TOUTES",B232=RÉPARATIONS!$D$5)),1,0)</f>
        <v>0</v>
      </c>
      <c r="AP232" s="78" t="str">
        <f aca="false">IF(AO232=1,SUM(AO$7:AO232),"")</f>
        <v/>
      </c>
    </row>
    <row r="233" customFormat="false" ht="15" hidden="false" customHeight="false" outlineLevel="0" collapsed="false">
      <c r="A233" s="78" t="str">
        <f aca="false">IF(E233="","",ROW()-6)</f>
        <v/>
      </c>
      <c r="B233" s="79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1"/>
      <c r="Q233" s="81"/>
      <c r="R233" s="80"/>
      <c r="S233" s="80"/>
      <c r="T233" s="81"/>
      <c r="U233" s="80"/>
      <c r="V233" s="80"/>
      <c r="W233" s="80"/>
      <c r="X233" s="80"/>
      <c r="Y233" s="81"/>
      <c r="Z233" s="80"/>
      <c r="AA233" s="80"/>
      <c r="AB233" s="80"/>
      <c r="AC233" s="80"/>
      <c r="AD233" s="81"/>
      <c r="AE233" s="80"/>
      <c r="AF233" s="80"/>
      <c r="AG233" s="81"/>
      <c r="AH233" s="79"/>
      <c r="AI233" s="78" t="str">
        <f aca="false">IF(E233="","",(V233&lt;&gt;"")+(AA233&lt;&gt;"")+(AF233&lt;&gt;""))</f>
        <v/>
      </c>
      <c r="AJ233" s="82" t="str">
        <f aca="false">IF(AF233&lt;&gt;"",AF233,IF(AA233&lt;&gt;"",AA233,IF(V233&lt;&gt;"",V233,"")))</f>
        <v/>
      </c>
      <c r="AK233" s="83" t="str">
        <f aca="false">IF(E233="","",IF(P233="","À SOUDER",IF(S233="","VT EN ATTENTE",IF(S233="R","VT REJETÉ – À REPRENDRE",IF(AJ233="","À RADIOGRAPHIER",IF(AJ233="A","ACCEPTÉ",IF(AJ233="NX","NX – RT À REFAIRE",IF(IF(AI233=1,X233,IF(AI233=2,AC233,""))="A","RÉPARÉ – À RADIOGRAPHIER",IF(IF(AI233=1,X233,IF(AI233=2,AC233,""))="R","VT REJETÉ – À REPRENDRE",IF(AJ233="CO","COUPE – À RESOUDER","À RÉPARER"))))))))))</f>
        <v/>
      </c>
      <c r="AL233" s="82" t="str">
        <f aca="false">IF(AND(ISNUMBER(P233),OR(AK233="À RADIOGRAPHIER",AK233="RÉPARÉ – À RADIOGRAPHIER",AK233="NX – RT À REFAIRE",AK233="À RÉPARER",AK233="COUPE – À RESOUDER",AK233="VT REJETÉ – À REPRENDRE")),MAX(0,'PROGRAMME RT'!$C$4-P233),"")</f>
        <v/>
      </c>
      <c r="AM233" s="78" t="n">
        <f aca="false">IF(AND(OR(AK233="À RADIOGRAPHIER",AK233="RÉPARÉ – À RADIOGRAPHIER",AK233="NX – RT À REFAIRE"),OR('PROGRAMME RT'!$D$5="TOUTES",B233='PROGRAMME RT'!$D$5)),1,0)</f>
        <v>0</v>
      </c>
      <c r="AN233" s="78" t="str">
        <f aca="false">IF(AM233=1,SUM(AM$7:AM233),"")</f>
        <v/>
      </c>
      <c r="AO233" s="78" t="n">
        <f aca="false">IF(AND(OR(AK233="À RÉPARER",AK233="COUPE – À RESOUDER",AK233="VT REJETÉ – À REPRENDRE"),OR(RÉPARATIONS!$D$5="TOUTES",B233=RÉPARATIONS!$D$5)),1,0)</f>
        <v>0</v>
      </c>
      <c r="AP233" s="78" t="str">
        <f aca="false">IF(AO233=1,SUM(AO$7:AO233),"")</f>
        <v/>
      </c>
    </row>
    <row r="234" customFormat="false" ht="15" hidden="false" customHeight="false" outlineLevel="0" collapsed="false">
      <c r="A234" s="78" t="str">
        <f aca="false">IF(E234="","",ROW()-6)</f>
        <v/>
      </c>
      <c r="B234" s="79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1"/>
      <c r="Q234" s="81"/>
      <c r="R234" s="80"/>
      <c r="S234" s="80"/>
      <c r="T234" s="81"/>
      <c r="U234" s="80"/>
      <c r="V234" s="80"/>
      <c r="W234" s="80"/>
      <c r="X234" s="80"/>
      <c r="Y234" s="81"/>
      <c r="Z234" s="80"/>
      <c r="AA234" s="80"/>
      <c r="AB234" s="80"/>
      <c r="AC234" s="80"/>
      <c r="AD234" s="81"/>
      <c r="AE234" s="80"/>
      <c r="AF234" s="80"/>
      <c r="AG234" s="81"/>
      <c r="AH234" s="79"/>
      <c r="AI234" s="78" t="str">
        <f aca="false">IF(E234="","",(V234&lt;&gt;"")+(AA234&lt;&gt;"")+(AF234&lt;&gt;""))</f>
        <v/>
      </c>
      <c r="AJ234" s="82" t="str">
        <f aca="false">IF(AF234&lt;&gt;"",AF234,IF(AA234&lt;&gt;"",AA234,IF(V234&lt;&gt;"",V234,"")))</f>
        <v/>
      </c>
      <c r="AK234" s="83" t="str">
        <f aca="false">IF(E234="","",IF(P234="","À SOUDER",IF(S234="","VT EN ATTENTE",IF(S234="R","VT REJETÉ – À REPRENDRE",IF(AJ234="","À RADIOGRAPHIER",IF(AJ234="A","ACCEPTÉ",IF(AJ234="NX","NX – RT À REFAIRE",IF(IF(AI234=1,X234,IF(AI234=2,AC234,""))="A","RÉPARÉ – À RADIOGRAPHIER",IF(IF(AI234=1,X234,IF(AI234=2,AC234,""))="R","VT REJETÉ – À REPRENDRE",IF(AJ234="CO","COUPE – À RESOUDER","À RÉPARER"))))))))))</f>
        <v/>
      </c>
      <c r="AL234" s="82" t="str">
        <f aca="false">IF(AND(ISNUMBER(P234),OR(AK234="À RADIOGRAPHIER",AK234="RÉPARÉ – À RADIOGRAPHIER",AK234="NX – RT À REFAIRE",AK234="À RÉPARER",AK234="COUPE – À RESOUDER",AK234="VT REJETÉ – À REPRENDRE")),MAX(0,'PROGRAMME RT'!$C$4-P234),"")</f>
        <v/>
      </c>
      <c r="AM234" s="78" t="n">
        <f aca="false">IF(AND(OR(AK234="À RADIOGRAPHIER",AK234="RÉPARÉ – À RADIOGRAPHIER",AK234="NX – RT À REFAIRE"),OR('PROGRAMME RT'!$D$5="TOUTES",B234='PROGRAMME RT'!$D$5)),1,0)</f>
        <v>0</v>
      </c>
      <c r="AN234" s="78" t="str">
        <f aca="false">IF(AM234=1,SUM(AM$7:AM234),"")</f>
        <v/>
      </c>
      <c r="AO234" s="78" t="n">
        <f aca="false">IF(AND(OR(AK234="À RÉPARER",AK234="COUPE – À RESOUDER",AK234="VT REJETÉ – À REPRENDRE"),OR(RÉPARATIONS!$D$5="TOUTES",B234=RÉPARATIONS!$D$5)),1,0)</f>
        <v>0</v>
      </c>
      <c r="AP234" s="78" t="str">
        <f aca="false">IF(AO234=1,SUM(AO$7:AO234),"")</f>
        <v/>
      </c>
    </row>
    <row r="235" customFormat="false" ht="15" hidden="false" customHeight="false" outlineLevel="0" collapsed="false">
      <c r="A235" s="78" t="str">
        <f aca="false">IF(E235="","",ROW()-6)</f>
        <v/>
      </c>
      <c r="B235" s="79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1"/>
      <c r="Q235" s="81"/>
      <c r="R235" s="80"/>
      <c r="S235" s="80"/>
      <c r="T235" s="81"/>
      <c r="U235" s="80"/>
      <c r="V235" s="80"/>
      <c r="W235" s="80"/>
      <c r="X235" s="80"/>
      <c r="Y235" s="81"/>
      <c r="Z235" s="80"/>
      <c r="AA235" s="80"/>
      <c r="AB235" s="80"/>
      <c r="AC235" s="80"/>
      <c r="AD235" s="81"/>
      <c r="AE235" s="80"/>
      <c r="AF235" s="80"/>
      <c r="AG235" s="81"/>
      <c r="AH235" s="79"/>
      <c r="AI235" s="78" t="str">
        <f aca="false">IF(E235="","",(V235&lt;&gt;"")+(AA235&lt;&gt;"")+(AF235&lt;&gt;""))</f>
        <v/>
      </c>
      <c r="AJ235" s="82" t="str">
        <f aca="false">IF(AF235&lt;&gt;"",AF235,IF(AA235&lt;&gt;"",AA235,IF(V235&lt;&gt;"",V235,"")))</f>
        <v/>
      </c>
      <c r="AK235" s="83" t="str">
        <f aca="false">IF(E235="","",IF(P235="","À SOUDER",IF(S235="","VT EN ATTENTE",IF(S235="R","VT REJETÉ – À REPRENDRE",IF(AJ235="","À RADIOGRAPHIER",IF(AJ235="A","ACCEPTÉ",IF(AJ235="NX","NX – RT À REFAIRE",IF(IF(AI235=1,X235,IF(AI235=2,AC235,""))="A","RÉPARÉ – À RADIOGRAPHIER",IF(IF(AI235=1,X235,IF(AI235=2,AC235,""))="R","VT REJETÉ – À REPRENDRE",IF(AJ235="CO","COUPE – À RESOUDER","À RÉPARER"))))))))))</f>
        <v/>
      </c>
      <c r="AL235" s="82" t="str">
        <f aca="false">IF(AND(ISNUMBER(P235),OR(AK235="À RADIOGRAPHIER",AK235="RÉPARÉ – À RADIOGRAPHIER",AK235="NX – RT À REFAIRE",AK235="À RÉPARER",AK235="COUPE – À RESOUDER",AK235="VT REJETÉ – À REPRENDRE")),MAX(0,'PROGRAMME RT'!$C$4-P235),"")</f>
        <v/>
      </c>
      <c r="AM235" s="78" t="n">
        <f aca="false">IF(AND(OR(AK235="À RADIOGRAPHIER",AK235="RÉPARÉ – À RADIOGRAPHIER",AK235="NX – RT À REFAIRE"),OR('PROGRAMME RT'!$D$5="TOUTES",B235='PROGRAMME RT'!$D$5)),1,0)</f>
        <v>0</v>
      </c>
      <c r="AN235" s="78" t="str">
        <f aca="false">IF(AM235=1,SUM(AM$7:AM235),"")</f>
        <v/>
      </c>
      <c r="AO235" s="78" t="n">
        <f aca="false">IF(AND(OR(AK235="À RÉPARER",AK235="COUPE – À RESOUDER",AK235="VT REJETÉ – À REPRENDRE"),OR(RÉPARATIONS!$D$5="TOUTES",B235=RÉPARATIONS!$D$5)),1,0)</f>
        <v>0</v>
      </c>
      <c r="AP235" s="78" t="str">
        <f aca="false">IF(AO235=1,SUM(AO$7:AO235),"")</f>
        <v/>
      </c>
    </row>
    <row r="236" customFormat="false" ht="15" hidden="false" customHeight="false" outlineLevel="0" collapsed="false">
      <c r="A236" s="78" t="str">
        <f aca="false">IF(E236="","",ROW()-6)</f>
        <v/>
      </c>
      <c r="B236" s="79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1"/>
      <c r="Q236" s="81"/>
      <c r="R236" s="80"/>
      <c r="S236" s="80"/>
      <c r="T236" s="81"/>
      <c r="U236" s="80"/>
      <c r="V236" s="80"/>
      <c r="W236" s="80"/>
      <c r="X236" s="80"/>
      <c r="Y236" s="81"/>
      <c r="Z236" s="80"/>
      <c r="AA236" s="80"/>
      <c r="AB236" s="80"/>
      <c r="AC236" s="80"/>
      <c r="AD236" s="81"/>
      <c r="AE236" s="80"/>
      <c r="AF236" s="80"/>
      <c r="AG236" s="81"/>
      <c r="AH236" s="79"/>
      <c r="AI236" s="78" t="str">
        <f aca="false">IF(E236="","",(V236&lt;&gt;"")+(AA236&lt;&gt;"")+(AF236&lt;&gt;""))</f>
        <v/>
      </c>
      <c r="AJ236" s="82" t="str">
        <f aca="false">IF(AF236&lt;&gt;"",AF236,IF(AA236&lt;&gt;"",AA236,IF(V236&lt;&gt;"",V236,"")))</f>
        <v/>
      </c>
      <c r="AK236" s="83" t="str">
        <f aca="false">IF(E236="","",IF(P236="","À SOUDER",IF(S236="","VT EN ATTENTE",IF(S236="R","VT REJETÉ – À REPRENDRE",IF(AJ236="","À RADIOGRAPHIER",IF(AJ236="A","ACCEPTÉ",IF(AJ236="NX","NX – RT À REFAIRE",IF(IF(AI236=1,X236,IF(AI236=2,AC236,""))="A","RÉPARÉ – À RADIOGRAPHIER",IF(IF(AI236=1,X236,IF(AI236=2,AC236,""))="R","VT REJETÉ – À REPRENDRE",IF(AJ236="CO","COUPE – À RESOUDER","À RÉPARER"))))))))))</f>
        <v/>
      </c>
      <c r="AL236" s="82" t="str">
        <f aca="false">IF(AND(ISNUMBER(P236),OR(AK236="À RADIOGRAPHIER",AK236="RÉPARÉ – À RADIOGRAPHIER",AK236="NX – RT À REFAIRE",AK236="À RÉPARER",AK236="COUPE – À RESOUDER",AK236="VT REJETÉ – À REPRENDRE")),MAX(0,'PROGRAMME RT'!$C$4-P236),"")</f>
        <v/>
      </c>
      <c r="AM236" s="78" t="n">
        <f aca="false">IF(AND(OR(AK236="À RADIOGRAPHIER",AK236="RÉPARÉ – À RADIOGRAPHIER",AK236="NX – RT À REFAIRE"),OR('PROGRAMME RT'!$D$5="TOUTES",B236='PROGRAMME RT'!$D$5)),1,0)</f>
        <v>0</v>
      </c>
      <c r="AN236" s="78" t="str">
        <f aca="false">IF(AM236=1,SUM(AM$7:AM236),"")</f>
        <v/>
      </c>
      <c r="AO236" s="78" t="n">
        <f aca="false">IF(AND(OR(AK236="À RÉPARER",AK236="COUPE – À RESOUDER",AK236="VT REJETÉ – À REPRENDRE"),OR(RÉPARATIONS!$D$5="TOUTES",B236=RÉPARATIONS!$D$5)),1,0)</f>
        <v>0</v>
      </c>
      <c r="AP236" s="78" t="str">
        <f aca="false">IF(AO236=1,SUM(AO$7:AO236),"")</f>
        <v/>
      </c>
    </row>
    <row r="237" customFormat="false" ht="15" hidden="false" customHeight="false" outlineLevel="0" collapsed="false">
      <c r="A237" s="78" t="str">
        <f aca="false">IF(E237="","",ROW()-6)</f>
        <v/>
      </c>
      <c r="B237" s="79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1"/>
      <c r="Q237" s="81"/>
      <c r="R237" s="80"/>
      <c r="S237" s="80"/>
      <c r="T237" s="81"/>
      <c r="U237" s="80"/>
      <c r="V237" s="80"/>
      <c r="W237" s="80"/>
      <c r="X237" s="80"/>
      <c r="Y237" s="81"/>
      <c r="Z237" s="80"/>
      <c r="AA237" s="80"/>
      <c r="AB237" s="80"/>
      <c r="AC237" s="80"/>
      <c r="AD237" s="81"/>
      <c r="AE237" s="80"/>
      <c r="AF237" s="80"/>
      <c r="AG237" s="81"/>
      <c r="AH237" s="79"/>
      <c r="AI237" s="78" t="str">
        <f aca="false">IF(E237="","",(V237&lt;&gt;"")+(AA237&lt;&gt;"")+(AF237&lt;&gt;""))</f>
        <v/>
      </c>
      <c r="AJ237" s="82" t="str">
        <f aca="false">IF(AF237&lt;&gt;"",AF237,IF(AA237&lt;&gt;"",AA237,IF(V237&lt;&gt;"",V237,"")))</f>
        <v/>
      </c>
      <c r="AK237" s="83" t="str">
        <f aca="false">IF(E237="","",IF(P237="","À SOUDER",IF(S237="","VT EN ATTENTE",IF(S237="R","VT REJETÉ – À REPRENDRE",IF(AJ237="","À RADIOGRAPHIER",IF(AJ237="A","ACCEPTÉ",IF(AJ237="NX","NX – RT À REFAIRE",IF(IF(AI237=1,X237,IF(AI237=2,AC237,""))="A","RÉPARÉ – À RADIOGRAPHIER",IF(IF(AI237=1,X237,IF(AI237=2,AC237,""))="R","VT REJETÉ – À REPRENDRE",IF(AJ237="CO","COUPE – À RESOUDER","À RÉPARER"))))))))))</f>
        <v/>
      </c>
      <c r="AL237" s="82" t="str">
        <f aca="false">IF(AND(ISNUMBER(P237),OR(AK237="À RADIOGRAPHIER",AK237="RÉPARÉ – À RADIOGRAPHIER",AK237="NX – RT À REFAIRE",AK237="À RÉPARER",AK237="COUPE – À RESOUDER",AK237="VT REJETÉ – À REPRENDRE")),MAX(0,'PROGRAMME RT'!$C$4-P237),"")</f>
        <v/>
      </c>
      <c r="AM237" s="78" t="n">
        <f aca="false">IF(AND(OR(AK237="À RADIOGRAPHIER",AK237="RÉPARÉ – À RADIOGRAPHIER",AK237="NX – RT À REFAIRE"),OR('PROGRAMME RT'!$D$5="TOUTES",B237='PROGRAMME RT'!$D$5)),1,0)</f>
        <v>0</v>
      </c>
      <c r="AN237" s="78" t="str">
        <f aca="false">IF(AM237=1,SUM(AM$7:AM237),"")</f>
        <v/>
      </c>
      <c r="AO237" s="78" t="n">
        <f aca="false">IF(AND(OR(AK237="À RÉPARER",AK237="COUPE – À RESOUDER",AK237="VT REJETÉ – À REPRENDRE"),OR(RÉPARATIONS!$D$5="TOUTES",B237=RÉPARATIONS!$D$5)),1,0)</f>
        <v>0</v>
      </c>
      <c r="AP237" s="78" t="str">
        <f aca="false">IF(AO237=1,SUM(AO$7:AO237),"")</f>
        <v/>
      </c>
    </row>
    <row r="238" customFormat="false" ht="15" hidden="false" customHeight="false" outlineLevel="0" collapsed="false">
      <c r="A238" s="78" t="str">
        <f aca="false">IF(E238="","",ROW()-6)</f>
        <v/>
      </c>
      <c r="B238" s="79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1"/>
      <c r="Q238" s="81"/>
      <c r="R238" s="80"/>
      <c r="S238" s="80"/>
      <c r="T238" s="81"/>
      <c r="U238" s="80"/>
      <c r="V238" s="80"/>
      <c r="W238" s="80"/>
      <c r="X238" s="80"/>
      <c r="Y238" s="81"/>
      <c r="Z238" s="80"/>
      <c r="AA238" s="80"/>
      <c r="AB238" s="80"/>
      <c r="AC238" s="80"/>
      <c r="AD238" s="81"/>
      <c r="AE238" s="80"/>
      <c r="AF238" s="80"/>
      <c r="AG238" s="81"/>
      <c r="AH238" s="79"/>
      <c r="AI238" s="78" t="str">
        <f aca="false">IF(E238="","",(V238&lt;&gt;"")+(AA238&lt;&gt;"")+(AF238&lt;&gt;""))</f>
        <v/>
      </c>
      <c r="AJ238" s="82" t="str">
        <f aca="false">IF(AF238&lt;&gt;"",AF238,IF(AA238&lt;&gt;"",AA238,IF(V238&lt;&gt;"",V238,"")))</f>
        <v/>
      </c>
      <c r="AK238" s="83" t="str">
        <f aca="false">IF(E238="","",IF(P238="","À SOUDER",IF(S238="","VT EN ATTENTE",IF(S238="R","VT REJETÉ – À REPRENDRE",IF(AJ238="","À RADIOGRAPHIER",IF(AJ238="A","ACCEPTÉ",IF(AJ238="NX","NX – RT À REFAIRE",IF(IF(AI238=1,X238,IF(AI238=2,AC238,""))="A","RÉPARÉ – À RADIOGRAPHIER",IF(IF(AI238=1,X238,IF(AI238=2,AC238,""))="R","VT REJETÉ – À REPRENDRE",IF(AJ238="CO","COUPE – À RESOUDER","À RÉPARER"))))))))))</f>
        <v/>
      </c>
      <c r="AL238" s="82" t="str">
        <f aca="false">IF(AND(ISNUMBER(P238),OR(AK238="À RADIOGRAPHIER",AK238="RÉPARÉ – À RADIOGRAPHIER",AK238="NX – RT À REFAIRE",AK238="À RÉPARER",AK238="COUPE – À RESOUDER",AK238="VT REJETÉ – À REPRENDRE")),MAX(0,'PROGRAMME RT'!$C$4-P238),"")</f>
        <v/>
      </c>
      <c r="AM238" s="78" t="n">
        <f aca="false">IF(AND(OR(AK238="À RADIOGRAPHIER",AK238="RÉPARÉ – À RADIOGRAPHIER",AK238="NX – RT À REFAIRE"),OR('PROGRAMME RT'!$D$5="TOUTES",B238='PROGRAMME RT'!$D$5)),1,0)</f>
        <v>0</v>
      </c>
      <c r="AN238" s="78" t="str">
        <f aca="false">IF(AM238=1,SUM(AM$7:AM238),"")</f>
        <v/>
      </c>
      <c r="AO238" s="78" t="n">
        <f aca="false">IF(AND(OR(AK238="À RÉPARER",AK238="COUPE – À RESOUDER",AK238="VT REJETÉ – À REPRENDRE"),OR(RÉPARATIONS!$D$5="TOUTES",B238=RÉPARATIONS!$D$5)),1,0)</f>
        <v>0</v>
      </c>
      <c r="AP238" s="78" t="str">
        <f aca="false">IF(AO238=1,SUM(AO$7:AO238),"")</f>
        <v/>
      </c>
    </row>
    <row r="239" customFormat="false" ht="15" hidden="false" customHeight="false" outlineLevel="0" collapsed="false">
      <c r="A239" s="78" t="str">
        <f aca="false">IF(E239="","",ROW()-6)</f>
        <v/>
      </c>
      <c r="B239" s="79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1"/>
      <c r="Q239" s="81"/>
      <c r="R239" s="80"/>
      <c r="S239" s="80"/>
      <c r="T239" s="81"/>
      <c r="U239" s="80"/>
      <c r="V239" s="80"/>
      <c r="W239" s="80"/>
      <c r="X239" s="80"/>
      <c r="Y239" s="81"/>
      <c r="Z239" s="80"/>
      <c r="AA239" s="80"/>
      <c r="AB239" s="80"/>
      <c r="AC239" s="80"/>
      <c r="AD239" s="81"/>
      <c r="AE239" s="80"/>
      <c r="AF239" s="80"/>
      <c r="AG239" s="81"/>
      <c r="AH239" s="79"/>
      <c r="AI239" s="78" t="str">
        <f aca="false">IF(E239="","",(V239&lt;&gt;"")+(AA239&lt;&gt;"")+(AF239&lt;&gt;""))</f>
        <v/>
      </c>
      <c r="AJ239" s="82" t="str">
        <f aca="false">IF(AF239&lt;&gt;"",AF239,IF(AA239&lt;&gt;"",AA239,IF(V239&lt;&gt;"",V239,"")))</f>
        <v/>
      </c>
      <c r="AK239" s="83" t="str">
        <f aca="false">IF(E239="","",IF(P239="","À SOUDER",IF(S239="","VT EN ATTENTE",IF(S239="R","VT REJETÉ – À REPRENDRE",IF(AJ239="","À RADIOGRAPHIER",IF(AJ239="A","ACCEPTÉ",IF(AJ239="NX","NX – RT À REFAIRE",IF(IF(AI239=1,X239,IF(AI239=2,AC239,""))="A","RÉPARÉ – À RADIOGRAPHIER",IF(IF(AI239=1,X239,IF(AI239=2,AC239,""))="R","VT REJETÉ – À REPRENDRE",IF(AJ239="CO","COUPE – À RESOUDER","À RÉPARER"))))))))))</f>
        <v/>
      </c>
      <c r="AL239" s="82" t="str">
        <f aca="false">IF(AND(ISNUMBER(P239),OR(AK239="À RADIOGRAPHIER",AK239="RÉPARÉ – À RADIOGRAPHIER",AK239="NX – RT À REFAIRE",AK239="À RÉPARER",AK239="COUPE – À RESOUDER",AK239="VT REJETÉ – À REPRENDRE")),MAX(0,'PROGRAMME RT'!$C$4-P239),"")</f>
        <v/>
      </c>
      <c r="AM239" s="78" t="n">
        <f aca="false">IF(AND(OR(AK239="À RADIOGRAPHIER",AK239="RÉPARÉ – À RADIOGRAPHIER",AK239="NX – RT À REFAIRE"),OR('PROGRAMME RT'!$D$5="TOUTES",B239='PROGRAMME RT'!$D$5)),1,0)</f>
        <v>0</v>
      </c>
      <c r="AN239" s="78" t="str">
        <f aca="false">IF(AM239=1,SUM(AM$7:AM239),"")</f>
        <v/>
      </c>
      <c r="AO239" s="78" t="n">
        <f aca="false">IF(AND(OR(AK239="À RÉPARER",AK239="COUPE – À RESOUDER",AK239="VT REJETÉ – À REPRENDRE"),OR(RÉPARATIONS!$D$5="TOUTES",B239=RÉPARATIONS!$D$5)),1,0)</f>
        <v>0</v>
      </c>
      <c r="AP239" s="78" t="str">
        <f aca="false">IF(AO239=1,SUM(AO$7:AO239),"")</f>
        <v/>
      </c>
    </row>
    <row r="240" customFormat="false" ht="15" hidden="false" customHeight="false" outlineLevel="0" collapsed="false">
      <c r="A240" s="78" t="str">
        <f aca="false">IF(E240="","",ROW()-6)</f>
        <v/>
      </c>
      <c r="B240" s="79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1"/>
      <c r="Q240" s="81"/>
      <c r="R240" s="80"/>
      <c r="S240" s="80"/>
      <c r="T240" s="81"/>
      <c r="U240" s="80"/>
      <c r="V240" s="80"/>
      <c r="W240" s="80"/>
      <c r="X240" s="80"/>
      <c r="Y240" s="81"/>
      <c r="Z240" s="80"/>
      <c r="AA240" s="80"/>
      <c r="AB240" s="80"/>
      <c r="AC240" s="80"/>
      <c r="AD240" s="81"/>
      <c r="AE240" s="80"/>
      <c r="AF240" s="80"/>
      <c r="AG240" s="81"/>
      <c r="AH240" s="79"/>
      <c r="AI240" s="78" t="str">
        <f aca="false">IF(E240="","",(V240&lt;&gt;"")+(AA240&lt;&gt;"")+(AF240&lt;&gt;""))</f>
        <v/>
      </c>
      <c r="AJ240" s="82" t="str">
        <f aca="false">IF(AF240&lt;&gt;"",AF240,IF(AA240&lt;&gt;"",AA240,IF(V240&lt;&gt;"",V240,"")))</f>
        <v/>
      </c>
      <c r="AK240" s="83" t="str">
        <f aca="false">IF(E240="","",IF(P240="","À SOUDER",IF(S240="","VT EN ATTENTE",IF(S240="R","VT REJETÉ – À REPRENDRE",IF(AJ240="","À RADIOGRAPHIER",IF(AJ240="A","ACCEPTÉ",IF(AJ240="NX","NX – RT À REFAIRE",IF(IF(AI240=1,X240,IF(AI240=2,AC240,""))="A","RÉPARÉ – À RADIOGRAPHIER",IF(IF(AI240=1,X240,IF(AI240=2,AC240,""))="R","VT REJETÉ – À REPRENDRE",IF(AJ240="CO","COUPE – À RESOUDER","À RÉPARER"))))))))))</f>
        <v/>
      </c>
      <c r="AL240" s="82" t="str">
        <f aca="false">IF(AND(ISNUMBER(P240),OR(AK240="À RADIOGRAPHIER",AK240="RÉPARÉ – À RADIOGRAPHIER",AK240="NX – RT À REFAIRE",AK240="À RÉPARER",AK240="COUPE – À RESOUDER",AK240="VT REJETÉ – À REPRENDRE")),MAX(0,'PROGRAMME RT'!$C$4-P240),"")</f>
        <v/>
      </c>
      <c r="AM240" s="78" t="n">
        <f aca="false">IF(AND(OR(AK240="À RADIOGRAPHIER",AK240="RÉPARÉ – À RADIOGRAPHIER",AK240="NX – RT À REFAIRE"),OR('PROGRAMME RT'!$D$5="TOUTES",B240='PROGRAMME RT'!$D$5)),1,0)</f>
        <v>0</v>
      </c>
      <c r="AN240" s="78" t="str">
        <f aca="false">IF(AM240=1,SUM(AM$7:AM240),"")</f>
        <v/>
      </c>
      <c r="AO240" s="78" t="n">
        <f aca="false">IF(AND(OR(AK240="À RÉPARER",AK240="COUPE – À RESOUDER",AK240="VT REJETÉ – À REPRENDRE"),OR(RÉPARATIONS!$D$5="TOUTES",B240=RÉPARATIONS!$D$5)),1,0)</f>
        <v>0</v>
      </c>
      <c r="AP240" s="78" t="str">
        <f aca="false">IF(AO240=1,SUM(AO$7:AO240),"")</f>
        <v/>
      </c>
    </row>
    <row r="241" customFormat="false" ht="15" hidden="false" customHeight="false" outlineLevel="0" collapsed="false">
      <c r="A241" s="78" t="str">
        <f aca="false">IF(E241="","",ROW()-6)</f>
        <v/>
      </c>
      <c r="B241" s="79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1"/>
      <c r="Q241" s="81"/>
      <c r="R241" s="80"/>
      <c r="S241" s="80"/>
      <c r="T241" s="81"/>
      <c r="U241" s="80"/>
      <c r="V241" s="80"/>
      <c r="W241" s="80"/>
      <c r="X241" s="80"/>
      <c r="Y241" s="81"/>
      <c r="Z241" s="80"/>
      <c r="AA241" s="80"/>
      <c r="AB241" s="80"/>
      <c r="AC241" s="80"/>
      <c r="AD241" s="81"/>
      <c r="AE241" s="80"/>
      <c r="AF241" s="80"/>
      <c r="AG241" s="81"/>
      <c r="AH241" s="79"/>
      <c r="AI241" s="78" t="str">
        <f aca="false">IF(E241="","",(V241&lt;&gt;"")+(AA241&lt;&gt;"")+(AF241&lt;&gt;""))</f>
        <v/>
      </c>
      <c r="AJ241" s="82" t="str">
        <f aca="false">IF(AF241&lt;&gt;"",AF241,IF(AA241&lt;&gt;"",AA241,IF(V241&lt;&gt;"",V241,"")))</f>
        <v/>
      </c>
      <c r="AK241" s="83" t="str">
        <f aca="false">IF(E241="","",IF(P241="","À SOUDER",IF(S241="","VT EN ATTENTE",IF(S241="R","VT REJETÉ – À REPRENDRE",IF(AJ241="","À RADIOGRAPHIER",IF(AJ241="A","ACCEPTÉ",IF(AJ241="NX","NX – RT À REFAIRE",IF(IF(AI241=1,X241,IF(AI241=2,AC241,""))="A","RÉPARÉ – À RADIOGRAPHIER",IF(IF(AI241=1,X241,IF(AI241=2,AC241,""))="R","VT REJETÉ – À REPRENDRE",IF(AJ241="CO","COUPE – À RESOUDER","À RÉPARER"))))))))))</f>
        <v/>
      </c>
      <c r="AL241" s="82" t="str">
        <f aca="false">IF(AND(ISNUMBER(P241),OR(AK241="À RADIOGRAPHIER",AK241="RÉPARÉ – À RADIOGRAPHIER",AK241="NX – RT À REFAIRE",AK241="À RÉPARER",AK241="COUPE – À RESOUDER",AK241="VT REJETÉ – À REPRENDRE")),MAX(0,'PROGRAMME RT'!$C$4-P241),"")</f>
        <v/>
      </c>
      <c r="AM241" s="78" t="n">
        <f aca="false">IF(AND(OR(AK241="À RADIOGRAPHIER",AK241="RÉPARÉ – À RADIOGRAPHIER",AK241="NX – RT À REFAIRE"),OR('PROGRAMME RT'!$D$5="TOUTES",B241='PROGRAMME RT'!$D$5)),1,0)</f>
        <v>0</v>
      </c>
      <c r="AN241" s="78" t="str">
        <f aca="false">IF(AM241=1,SUM(AM$7:AM241),"")</f>
        <v/>
      </c>
      <c r="AO241" s="78" t="n">
        <f aca="false">IF(AND(OR(AK241="À RÉPARER",AK241="COUPE – À RESOUDER",AK241="VT REJETÉ – À REPRENDRE"),OR(RÉPARATIONS!$D$5="TOUTES",B241=RÉPARATIONS!$D$5)),1,0)</f>
        <v>0</v>
      </c>
      <c r="AP241" s="78" t="str">
        <f aca="false">IF(AO241=1,SUM(AO$7:AO241),"")</f>
        <v/>
      </c>
    </row>
    <row r="242" customFormat="false" ht="15" hidden="false" customHeight="false" outlineLevel="0" collapsed="false">
      <c r="A242" s="78" t="str">
        <f aca="false">IF(E242="","",ROW()-6)</f>
        <v/>
      </c>
      <c r="B242" s="79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1"/>
      <c r="Q242" s="81"/>
      <c r="R242" s="80"/>
      <c r="S242" s="80"/>
      <c r="T242" s="81"/>
      <c r="U242" s="80"/>
      <c r="V242" s="80"/>
      <c r="W242" s="80"/>
      <c r="X242" s="80"/>
      <c r="Y242" s="81"/>
      <c r="Z242" s="80"/>
      <c r="AA242" s="80"/>
      <c r="AB242" s="80"/>
      <c r="AC242" s="80"/>
      <c r="AD242" s="81"/>
      <c r="AE242" s="80"/>
      <c r="AF242" s="80"/>
      <c r="AG242" s="81"/>
      <c r="AH242" s="79"/>
      <c r="AI242" s="78" t="str">
        <f aca="false">IF(E242="","",(V242&lt;&gt;"")+(AA242&lt;&gt;"")+(AF242&lt;&gt;""))</f>
        <v/>
      </c>
      <c r="AJ242" s="82" t="str">
        <f aca="false">IF(AF242&lt;&gt;"",AF242,IF(AA242&lt;&gt;"",AA242,IF(V242&lt;&gt;"",V242,"")))</f>
        <v/>
      </c>
      <c r="AK242" s="83" t="str">
        <f aca="false">IF(E242="","",IF(P242="","À SOUDER",IF(S242="","VT EN ATTENTE",IF(S242="R","VT REJETÉ – À REPRENDRE",IF(AJ242="","À RADIOGRAPHIER",IF(AJ242="A","ACCEPTÉ",IF(AJ242="NX","NX – RT À REFAIRE",IF(IF(AI242=1,X242,IF(AI242=2,AC242,""))="A","RÉPARÉ – À RADIOGRAPHIER",IF(IF(AI242=1,X242,IF(AI242=2,AC242,""))="R","VT REJETÉ – À REPRENDRE",IF(AJ242="CO","COUPE – À RESOUDER","À RÉPARER"))))))))))</f>
        <v/>
      </c>
      <c r="AL242" s="82" t="str">
        <f aca="false">IF(AND(ISNUMBER(P242),OR(AK242="À RADIOGRAPHIER",AK242="RÉPARÉ – À RADIOGRAPHIER",AK242="NX – RT À REFAIRE",AK242="À RÉPARER",AK242="COUPE – À RESOUDER",AK242="VT REJETÉ – À REPRENDRE")),MAX(0,'PROGRAMME RT'!$C$4-P242),"")</f>
        <v/>
      </c>
      <c r="AM242" s="78" t="n">
        <f aca="false">IF(AND(OR(AK242="À RADIOGRAPHIER",AK242="RÉPARÉ – À RADIOGRAPHIER",AK242="NX – RT À REFAIRE"),OR('PROGRAMME RT'!$D$5="TOUTES",B242='PROGRAMME RT'!$D$5)),1,0)</f>
        <v>0</v>
      </c>
      <c r="AN242" s="78" t="str">
        <f aca="false">IF(AM242=1,SUM(AM$7:AM242),"")</f>
        <v/>
      </c>
      <c r="AO242" s="78" t="n">
        <f aca="false">IF(AND(OR(AK242="À RÉPARER",AK242="COUPE – À RESOUDER",AK242="VT REJETÉ – À REPRENDRE"),OR(RÉPARATIONS!$D$5="TOUTES",B242=RÉPARATIONS!$D$5)),1,0)</f>
        <v>0</v>
      </c>
      <c r="AP242" s="78" t="str">
        <f aca="false">IF(AO242=1,SUM(AO$7:AO242),"")</f>
        <v/>
      </c>
    </row>
    <row r="243" customFormat="false" ht="15" hidden="false" customHeight="false" outlineLevel="0" collapsed="false">
      <c r="A243" s="78" t="str">
        <f aca="false">IF(E243="","",ROW()-6)</f>
        <v/>
      </c>
      <c r="B243" s="79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1"/>
      <c r="Q243" s="81"/>
      <c r="R243" s="80"/>
      <c r="S243" s="80"/>
      <c r="T243" s="81"/>
      <c r="U243" s="80"/>
      <c r="V243" s="80"/>
      <c r="W243" s="80"/>
      <c r="X243" s="80"/>
      <c r="Y243" s="81"/>
      <c r="Z243" s="80"/>
      <c r="AA243" s="80"/>
      <c r="AB243" s="80"/>
      <c r="AC243" s="80"/>
      <c r="AD243" s="81"/>
      <c r="AE243" s="80"/>
      <c r="AF243" s="80"/>
      <c r="AG243" s="81"/>
      <c r="AH243" s="79"/>
      <c r="AI243" s="78" t="str">
        <f aca="false">IF(E243="","",(V243&lt;&gt;"")+(AA243&lt;&gt;"")+(AF243&lt;&gt;""))</f>
        <v/>
      </c>
      <c r="AJ243" s="82" t="str">
        <f aca="false">IF(AF243&lt;&gt;"",AF243,IF(AA243&lt;&gt;"",AA243,IF(V243&lt;&gt;"",V243,"")))</f>
        <v/>
      </c>
      <c r="AK243" s="83" t="str">
        <f aca="false">IF(E243="","",IF(P243="","À SOUDER",IF(S243="","VT EN ATTENTE",IF(S243="R","VT REJETÉ – À REPRENDRE",IF(AJ243="","À RADIOGRAPHIER",IF(AJ243="A","ACCEPTÉ",IF(AJ243="NX","NX – RT À REFAIRE",IF(IF(AI243=1,X243,IF(AI243=2,AC243,""))="A","RÉPARÉ – À RADIOGRAPHIER",IF(IF(AI243=1,X243,IF(AI243=2,AC243,""))="R","VT REJETÉ – À REPRENDRE",IF(AJ243="CO","COUPE – À RESOUDER","À RÉPARER"))))))))))</f>
        <v/>
      </c>
      <c r="AL243" s="82" t="str">
        <f aca="false">IF(AND(ISNUMBER(P243),OR(AK243="À RADIOGRAPHIER",AK243="RÉPARÉ – À RADIOGRAPHIER",AK243="NX – RT À REFAIRE",AK243="À RÉPARER",AK243="COUPE – À RESOUDER",AK243="VT REJETÉ – À REPRENDRE")),MAX(0,'PROGRAMME RT'!$C$4-P243),"")</f>
        <v/>
      </c>
      <c r="AM243" s="78" t="n">
        <f aca="false">IF(AND(OR(AK243="À RADIOGRAPHIER",AK243="RÉPARÉ – À RADIOGRAPHIER",AK243="NX – RT À REFAIRE"),OR('PROGRAMME RT'!$D$5="TOUTES",B243='PROGRAMME RT'!$D$5)),1,0)</f>
        <v>0</v>
      </c>
      <c r="AN243" s="78" t="str">
        <f aca="false">IF(AM243=1,SUM(AM$7:AM243),"")</f>
        <v/>
      </c>
      <c r="AO243" s="78" t="n">
        <f aca="false">IF(AND(OR(AK243="À RÉPARER",AK243="COUPE – À RESOUDER",AK243="VT REJETÉ – À REPRENDRE"),OR(RÉPARATIONS!$D$5="TOUTES",B243=RÉPARATIONS!$D$5)),1,0)</f>
        <v>0</v>
      </c>
      <c r="AP243" s="78" t="str">
        <f aca="false">IF(AO243=1,SUM(AO$7:AO243),"")</f>
        <v/>
      </c>
    </row>
    <row r="244" customFormat="false" ht="15" hidden="false" customHeight="false" outlineLevel="0" collapsed="false">
      <c r="A244" s="78" t="str">
        <f aca="false">IF(E244="","",ROW()-6)</f>
        <v/>
      </c>
      <c r="B244" s="79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1"/>
      <c r="Q244" s="81"/>
      <c r="R244" s="80"/>
      <c r="S244" s="80"/>
      <c r="T244" s="81"/>
      <c r="U244" s="80"/>
      <c r="V244" s="80"/>
      <c r="W244" s="80"/>
      <c r="X244" s="80"/>
      <c r="Y244" s="81"/>
      <c r="Z244" s="80"/>
      <c r="AA244" s="80"/>
      <c r="AB244" s="80"/>
      <c r="AC244" s="80"/>
      <c r="AD244" s="81"/>
      <c r="AE244" s="80"/>
      <c r="AF244" s="80"/>
      <c r="AG244" s="81"/>
      <c r="AH244" s="79"/>
      <c r="AI244" s="78" t="str">
        <f aca="false">IF(E244="","",(V244&lt;&gt;"")+(AA244&lt;&gt;"")+(AF244&lt;&gt;""))</f>
        <v/>
      </c>
      <c r="AJ244" s="82" t="str">
        <f aca="false">IF(AF244&lt;&gt;"",AF244,IF(AA244&lt;&gt;"",AA244,IF(V244&lt;&gt;"",V244,"")))</f>
        <v/>
      </c>
      <c r="AK244" s="83" t="str">
        <f aca="false">IF(E244="","",IF(P244="","À SOUDER",IF(S244="","VT EN ATTENTE",IF(S244="R","VT REJETÉ – À REPRENDRE",IF(AJ244="","À RADIOGRAPHIER",IF(AJ244="A","ACCEPTÉ",IF(AJ244="NX","NX – RT À REFAIRE",IF(IF(AI244=1,X244,IF(AI244=2,AC244,""))="A","RÉPARÉ – À RADIOGRAPHIER",IF(IF(AI244=1,X244,IF(AI244=2,AC244,""))="R","VT REJETÉ – À REPRENDRE",IF(AJ244="CO","COUPE – À RESOUDER","À RÉPARER"))))))))))</f>
        <v/>
      </c>
      <c r="AL244" s="82" t="str">
        <f aca="false">IF(AND(ISNUMBER(P244),OR(AK244="À RADIOGRAPHIER",AK244="RÉPARÉ – À RADIOGRAPHIER",AK244="NX – RT À REFAIRE",AK244="À RÉPARER",AK244="COUPE – À RESOUDER",AK244="VT REJETÉ – À REPRENDRE")),MAX(0,'PROGRAMME RT'!$C$4-P244),"")</f>
        <v/>
      </c>
      <c r="AM244" s="78" t="n">
        <f aca="false">IF(AND(OR(AK244="À RADIOGRAPHIER",AK244="RÉPARÉ – À RADIOGRAPHIER",AK244="NX – RT À REFAIRE"),OR('PROGRAMME RT'!$D$5="TOUTES",B244='PROGRAMME RT'!$D$5)),1,0)</f>
        <v>0</v>
      </c>
      <c r="AN244" s="78" t="str">
        <f aca="false">IF(AM244=1,SUM(AM$7:AM244),"")</f>
        <v/>
      </c>
      <c r="AO244" s="78" t="n">
        <f aca="false">IF(AND(OR(AK244="À RÉPARER",AK244="COUPE – À RESOUDER",AK244="VT REJETÉ – À REPRENDRE"),OR(RÉPARATIONS!$D$5="TOUTES",B244=RÉPARATIONS!$D$5)),1,0)</f>
        <v>0</v>
      </c>
      <c r="AP244" s="78" t="str">
        <f aca="false">IF(AO244=1,SUM(AO$7:AO244),"")</f>
        <v/>
      </c>
    </row>
    <row r="245" customFormat="false" ht="15" hidden="false" customHeight="false" outlineLevel="0" collapsed="false">
      <c r="A245" s="78" t="str">
        <f aca="false">IF(E245="","",ROW()-6)</f>
        <v/>
      </c>
      <c r="B245" s="79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1"/>
      <c r="Q245" s="81"/>
      <c r="R245" s="80"/>
      <c r="S245" s="80"/>
      <c r="T245" s="81"/>
      <c r="U245" s="80"/>
      <c r="V245" s="80"/>
      <c r="W245" s="80"/>
      <c r="X245" s="80"/>
      <c r="Y245" s="81"/>
      <c r="Z245" s="80"/>
      <c r="AA245" s="80"/>
      <c r="AB245" s="80"/>
      <c r="AC245" s="80"/>
      <c r="AD245" s="81"/>
      <c r="AE245" s="80"/>
      <c r="AF245" s="80"/>
      <c r="AG245" s="81"/>
      <c r="AH245" s="79"/>
      <c r="AI245" s="78" t="str">
        <f aca="false">IF(E245="","",(V245&lt;&gt;"")+(AA245&lt;&gt;"")+(AF245&lt;&gt;""))</f>
        <v/>
      </c>
      <c r="AJ245" s="82" t="str">
        <f aca="false">IF(AF245&lt;&gt;"",AF245,IF(AA245&lt;&gt;"",AA245,IF(V245&lt;&gt;"",V245,"")))</f>
        <v/>
      </c>
      <c r="AK245" s="83" t="str">
        <f aca="false">IF(E245="","",IF(P245="","À SOUDER",IF(S245="","VT EN ATTENTE",IF(S245="R","VT REJETÉ – À REPRENDRE",IF(AJ245="","À RADIOGRAPHIER",IF(AJ245="A","ACCEPTÉ",IF(AJ245="NX","NX – RT À REFAIRE",IF(IF(AI245=1,X245,IF(AI245=2,AC245,""))="A","RÉPARÉ – À RADIOGRAPHIER",IF(IF(AI245=1,X245,IF(AI245=2,AC245,""))="R","VT REJETÉ – À REPRENDRE",IF(AJ245="CO","COUPE – À RESOUDER","À RÉPARER"))))))))))</f>
        <v/>
      </c>
      <c r="AL245" s="82" t="str">
        <f aca="false">IF(AND(ISNUMBER(P245),OR(AK245="À RADIOGRAPHIER",AK245="RÉPARÉ – À RADIOGRAPHIER",AK245="NX – RT À REFAIRE",AK245="À RÉPARER",AK245="COUPE – À RESOUDER",AK245="VT REJETÉ – À REPRENDRE")),MAX(0,'PROGRAMME RT'!$C$4-P245),"")</f>
        <v/>
      </c>
      <c r="AM245" s="78" t="n">
        <f aca="false">IF(AND(OR(AK245="À RADIOGRAPHIER",AK245="RÉPARÉ – À RADIOGRAPHIER",AK245="NX – RT À REFAIRE"),OR('PROGRAMME RT'!$D$5="TOUTES",B245='PROGRAMME RT'!$D$5)),1,0)</f>
        <v>0</v>
      </c>
      <c r="AN245" s="78" t="str">
        <f aca="false">IF(AM245=1,SUM(AM$7:AM245),"")</f>
        <v/>
      </c>
      <c r="AO245" s="78" t="n">
        <f aca="false">IF(AND(OR(AK245="À RÉPARER",AK245="COUPE – À RESOUDER",AK245="VT REJETÉ – À REPRENDRE"),OR(RÉPARATIONS!$D$5="TOUTES",B245=RÉPARATIONS!$D$5)),1,0)</f>
        <v>0</v>
      </c>
      <c r="AP245" s="78" t="str">
        <f aca="false">IF(AO245=1,SUM(AO$7:AO245),"")</f>
        <v/>
      </c>
    </row>
    <row r="246" customFormat="false" ht="15" hidden="false" customHeight="false" outlineLevel="0" collapsed="false">
      <c r="A246" s="78" t="str">
        <f aca="false">IF(E246="","",ROW()-6)</f>
        <v/>
      </c>
      <c r="B246" s="79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1"/>
      <c r="Q246" s="81"/>
      <c r="R246" s="80"/>
      <c r="S246" s="80"/>
      <c r="T246" s="81"/>
      <c r="U246" s="80"/>
      <c r="V246" s="80"/>
      <c r="W246" s="80"/>
      <c r="X246" s="80"/>
      <c r="Y246" s="81"/>
      <c r="Z246" s="80"/>
      <c r="AA246" s="80"/>
      <c r="AB246" s="80"/>
      <c r="AC246" s="80"/>
      <c r="AD246" s="81"/>
      <c r="AE246" s="80"/>
      <c r="AF246" s="80"/>
      <c r="AG246" s="81"/>
      <c r="AH246" s="79"/>
      <c r="AI246" s="78" t="str">
        <f aca="false">IF(E246="","",(V246&lt;&gt;"")+(AA246&lt;&gt;"")+(AF246&lt;&gt;""))</f>
        <v/>
      </c>
      <c r="AJ246" s="82" t="str">
        <f aca="false">IF(AF246&lt;&gt;"",AF246,IF(AA246&lt;&gt;"",AA246,IF(V246&lt;&gt;"",V246,"")))</f>
        <v/>
      </c>
      <c r="AK246" s="83" t="str">
        <f aca="false">IF(E246="","",IF(P246="","À SOUDER",IF(S246="","VT EN ATTENTE",IF(S246="R","VT REJETÉ – À REPRENDRE",IF(AJ246="","À RADIOGRAPHIER",IF(AJ246="A","ACCEPTÉ",IF(AJ246="NX","NX – RT À REFAIRE",IF(IF(AI246=1,X246,IF(AI246=2,AC246,""))="A","RÉPARÉ – À RADIOGRAPHIER",IF(IF(AI246=1,X246,IF(AI246=2,AC246,""))="R","VT REJETÉ – À REPRENDRE",IF(AJ246="CO","COUPE – À RESOUDER","À RÉPARER"))))))))))</f>
        <v/>
      </c>
      <c r="AL246" s="82" t="str">
        <f aca="false">IF(AND(ISNUMBER(P246),OR(AK246="À RADIOGRAPHIER",AK246="RÉPARÉ – À RADIOGRAPHIER",AK246="NX – RT À REFAIRE",AK246="À RÉPARER",AK246="COUPE – À RESOUDER",AK246="VT REJETÉ – À REPRENDRE")),MAX(0,'PROGRAMME RT'!$C$4-P246),"")</f>
        <v/>
      </c>
      <c r="AM246" s="78" t="n">
        <f aca="false">IF(AND(OR(AK246="À RADIOGRAPHIER",AK246="RÉPARÉ – À RADIOGRAPHIER",AK246="NX – RT À REFAIRE"),OR('PROGRAMME RT'!$D$5="TOUTES",B246='PROGRAMME RT'!$D$5)),1,0)</f>
        <v>0</v>
      </c>
      <c r="AN246" s="78" t="str">
        <f aca="false">IF(AM246=1,SUM(AM$7:AM246),"")</f>
        <v/>
      </c>
      <c r="AO246" s="78" t="n">
        <f aca="false">IF(AND(OR(AK246="À RÉPARER",AK246="COUPE – À RESOUDER",AK246="VT REJETÉ – À REPRENDRE"),OR(RÉPARATIONS!$D$5="TOUTES",B246=RÉPARATIONS!$D$5)),1,0)</f>
        <v>0</v>
      </c>
      <c r="AP246" s="78" t="str">
        <f aca="false">IF(AO246=1,SUM(AO$7:AO246),"")</f>
        <v/>
      </c>
    </row>
    <row r="247" customFormat="false" ht="15" hidden="false" customHeight="false" outlineLevel="0" collapsed="false">
      <c r="A247" s="78" t="str">
        <f aca="false">IF(E247="","",ROW()-6)</f>
        <v/>
      </c>
      <c r="B247" s="79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1"/>
      <c r="Q247" s="81"/>
      <c r="R247" s="80"/>
      <c r="S247" s="80"/>
      <c r="T247" s="81"/>
      <c r="U247" s="80"/>
      <c r="V247" s="80"/>
      <c r="W247" s="80"/>
      <c r="X247" s="80"/>
      <c r="Y247" s="81"/>
      <c r="Z247" s="80"/>
      <c r="AA247" s="80"/>
      <c r="AB247" s="80"/>
      <c r="AC247" s="80"/>
      <c r="AD247" s="81"/>
      <c r="AE247" s="80"/>
      <c r="AF247" s="80"/>
      <c r="AG247" s="81"/>
      <c r="AH247" s="79"/>
      <c r="AI247" s="78" t="str">
        <f aca="false">IF(E247="","",(V247&lt;&gt;"")+(AA247&lt;&gt;"")+(AF247&lt;&gt;""))</f>
        <v/>
      </c>
      <c r="AJ247" s="82" t="str">
        <f aca="false">IF(AF247&lt;&gt;"",AF247,IF(AA247&lt;&gt;"",AA247,IF(V247&lt;&gt;"",V247,"")))</f>
        <v/>
      </c>
      <c r="AK247" s="83" t="str">
        <f aca="false">IF(E247="","",IF(P247="","À SOUDER",IF(S247="","VT EN ATTENTE",IF(S247="R","VT REJETÉ – À REPRENDRE",IF(AJ247="","À RADIOGRAPHIER",IF(AJ247="A","ACCEPTÉ",IF(AJ247="NX","NX – RT À REFAIRE",IF(IF(AI247=1,X247,IF(AI247=2,AC247,""))="A","RÉPARÉ – À RADIOGRAPHIER",IF(IF(AI247=1,X247,IF(AI247=2,AC247,""))="R","VT REJETÉ – À REPRENDRE",IF(AJ247="CO","COUPE – À RESOUDER","À RÉPARER"))))))))))</f>
        <v/>
      </c>
      <c r="AL247" s="82" t="str">
        <f aca="false">IF(AND(ISNUMBER(P247),OR(AK247="À RADIOGRAPHIER",AK247="RÉPARÉ – À RADIOGRAPHIER",AK247="NX – RT À REFAIRE",AK247="À RÉPARER",AK247="COUPE – À RESOUDER",AK247="VT REJETÉ – À REPRENDRE")),MAX(0,'PROGRAMME RT'!$C$4-P247),"")</f>
        <v/>
      </c>
      <c r="AM247" s="78" t="n">
        <f aca="false">IF(AND(OR(AK247="À RADIOGRAPHIER",AK247="RÉPARÉ – À RADIOGRAPHIER",AK247="NX – RT À REFAIRE"),OR('PROGRAMME RT'!$D$5="TOUTES",B247='PROGRAMME RT'!$D$5)),1,0)</f>
        <v>0</v>
      </c>
      <c r="AN247" s="78" t="str">
        <f aca="false">IF(AM247=1,SUM(AM$7:AM247),"")</f>
        <v/>
      </c>
      <c r="AO247" s="78" t="n">
        <f aca="false">IF(AND(OR(AK247="À RÉPARER",AK247="COUPE – À RESOUDER",AK247="VT REJETÉ – À REPRENDRE"),OR(RÉPARATIONS!$D$5="TOUTES",B247=RÉPARATIONS!$D$5)),1,0)</f>
        <v>0</v>
      </c>
      <c r="AP247" s="78" t="str">
        <f aca="false">IF(AO247=1,SUM(AO$7:AO247),"")</f>
        <v/>
      </c>
    </row>
    <row r="248" customFormat="false" ht="15" hidden="false" customHeight="false" outlineLevel="0" collapsed="false">
      <c r="A248" s="78" t="str">
        <f aca="false">IF(E248="","",ROW()-6)</f>
        <v/>
      </c>
      <c r="B248" s="79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1"/>
      <c r="Q248" s="81"/>
      <c r="R248" s="80"/>
      <c r="S248" s="80"/>
      <c r="T248" s="81"/>
      <c r="U248" s="80"/>
      <c r="V248" s="80"/>
      <c r="W248" s="80"/>
      <c r="X248" s="80"/>
      <c r="Y248" s="81"/>
      <c r="Z248" s="80"/>
      <c r="AA248" s="80"/>
      <c r="AB248" s="80"/>
      <c r="AC248" s="80"/>
      <c r="AD248" s="81"/>
      <c r="AE248" s="80"/>
      <c r="AF248" s="80"/>
      <c r="AG248" s="81"/>
      <c r="AH248" s="79"/>
      <c r="AI248" s="78" t="str">
        <f aca="false">IF(E248="","",(V248&lt;&gt;"")+(AA248&lt;&gt;"")+(AF248&lt;&gt;""))</f>
        <v/>
      </c>
      <c r="AJ248" s="82" t="str">
        <f aca="false">IF(AF248&lt;&gt;"",AF248,IF(AA248&lt;&gt;"",AA248,IF(V248&lt;&gt;"",V248,"")))</f>
        <v/>
      </c>
      <c r="AK248" s="83" t="str">
        <f aca="false">IF(E248="","",IF(P248="","À SOUDER",IF(S248="","VT EN ATTENTE",IF(S248="R","VT REJETÉ – À REPRENDRE",IF(AJ248="","À RADIOGRAPHIER",IF(AJ248="A","ACCEPTÉ",IF(AJ248="NX","NX – RT À REFAIRE",IF(IF(AI248=1,X248,IF(AI248=2,AC248,""))="A","RÉPARÉ – À RADIOGRAPHIER",IF(IF(AI248=1,X248,IF(AI248=2,AC248,""))="R","VT REJETÉ – À REPRENDRE",IF(AJ248="CO","COUPE – À RESOUDER","À RÉPARER"))))))))))</f>
        <v/>
      </c>
      <c r="AL248" s="82" t="str">
        <f aca="false">IF(AND(ISNUMBER(P248),OR(AK248="À RADIOGRAPHIER",AK248="RÉPARÉ – À RADIOGRAPHIER",AK248="NX – RT À REFAIRE",AK248="À RÉPARER",AK248="COUPE – À RESOUDER",AK248="VT REJETÉ – À REPRENDRE")),MAX(0,'PROGRAMME RT'!$C$4-P248),"")</f>
        <v/>
      </c>
      <c r="AM248" s="78" t="n">
        <f aca="false">IF(AND(OR(AK248="À RADIOGRAPHIER",AK248="RÉPARÉ – À RADIOGRAPHIER",AK248="NX – RT À REFAIRE"),OR('PROGRAMME RT'!$D$5="TOUTES",B248='PROGRAMME RT'!$D$5)),1,0)</f>
        <v>0</v>
      </c>
      <c r="AN248" s="78" t="str">
        <f aca="false">IF(AM248=1,SUM(AM$7:AM248),"")</f>
        <v/>
      </c>
      <c r="AO248" s="78" t="n">
        <f aca="false">IF(AND(OR(AK248="À RÉPARER",AK248="COUPE – À RESOUDER",AK248="VT REJETÉ – À REPRENDRE"),OR(RÉPARATIONS!$D$5="TOUTES",B248=RÉPARATIONS!$D$5)),1,0)</f>
        <v>0</v>
      </c>
      <c r="AP248" s="78" t="str">
        <f aca="false">IF(AO248=1,SUM(AO$7:AO248),"")</f>
        <v/>
      </c>
    </row>
    <row r="249" customFormat="false" ht="15" hidden="false" customHeight="false" outlineLevel="0" collapsed="false">
      <c r="A249" s="78" t="str">
        <f aca="false">IF(E249="","",ROW()-6)</f>
        <v/>
      </c>
      <c r="B249" s="79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1"/>
      <c r="Q249" s="81"/>
      <c r="R249" s="80"/>
      <c r="S249" s="80"/>
      <c r="T249" s="81"/>
      <c r="U249" s="80"/>
      <c r="V249" s="80"/>
      <c r="W249" s="80"/>
      <c r="X249" s="80"/>
      <c r="Y249" s="81"/>
      <c r="Z249" s="80"/>
      <c r="AA249" s="80"/>
      <c r="AB249" s="80"/>
      <c r="AC249" s="80"/>
      <c r="AD249" s="81"/>
      <c r="AE249" s="80"/>
      <c r="AF249" s="80"/>
      <c r="AG249" s="81"/>
      <c r="AH249" s="79"/>
      <c r="AI249" s="78" t="str">
        <f aca="false">IF(E249="","",(V249&lt;&gt;"")+(AA249&lt;&gt;"")+(AF249&lt;&gt;""))</f>
        <v/>
      </c>
      <c r="AJ249" s="82" t="str">
        <f aca="false">IF(AF249&lt;&gt;"",AF249,IF(AA249&lt;&gt;"",AA249,IF(V249&lt;&gt;"",V249,"")))</f>
        <v/>
      </c>
      <c r="AK249" s="83" t="str">
        <f aca="false">IF(E249="","",IF(P249="","À SOUDER",IF(S249="","VT EN ATTENTE",IF(S249="R","VT REJETÉ – À REPRENDRE",IF(AJ249="","À RADIOGRAPHIER",IF(AJ249="A","ACCEPTÉ",IF(AJ249="NX","NX – RT À REFAIRE",IF(IF(AI249=1,X249,IF(AI249=2,AC249,""))="A","RÉPARÉ – À RADIOGRAPHIER",IF(IF(AI249=1,X249,IF(AI249=2,AC249,""))="R","VT REJETÉ – À REPRENDRE",IF(AJ249="CO","COUPE – À RESOUDER","À RÉPARER"))))))))))</f>
        <v/>
      </c>
      <c r="AL249" s="82" t="str">
        <f aca="false">IF(AND(ISNUMBER(P249),OR(AK249="À RADIOGRAPHIER",AK249="RÉPARÉ – À RADIOGRAPHIER",AK249="NX – RT À REFAIRE",AK249="À RÉPARER",AK249="COUPE – À RESOUDER",AK249="VT REJETÉ – À REPRENDRE")),MAX(0,'PROGRAMME RT'!$C$4-P249),"")</f>
        <v/>
      </c>
      <c r="AM249" s="78" t="n">
        <f aca="false">IF(AND(OR(AK249="À RADIOGRAPHIER",AK249="RÉPARÉ – À RADIOGRAPHIER",AK249="NX – RT À REFAIRE"),OR('PROGRAMME RT'!$D$5="TOUTES",B249='PROGRAMME RT'!$D$5)),1,0)</f>
        <v>0</v>
      </c>
      <c r="AN249" s="78" t="str">
        <f aca="false">IF(AM249=1,SUM(AM$7:AM249),"")</f>
        <v/>
      </c>
      <c r="AO249" s="78" t="n">
        <f aca="false">IF(AND(OR(AK249="À RÉPARER",AK249="COUPE – À RESOUDER",AK249="VT REJETÉ – À REPRENDRE"),OR(RÉPARATIONS!$D$5="TOUTES",B249=RÉPARATIONS!$D$5)),1,0)</f>
        <v>0</v>
      </c>
      <c r="AP249" s="78" t="str">
        <f aca="false">IF(AO249=1,SUM(AO$7:AO249),"")</f>
        <v/>
      </c>
    </row>
    <row r="250" customFormat="false" ht="15" hidden="false" customHeight="false" outlineLevel="0" collapsed="false">
      <c r="A250" s="78" t="str">
        <f aca="false">IF(E250="","",ROW()-6)</f>
        <v/>
      </c>
      <c r="B250" s="79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1"/>
      <c r="Q250" s="81"/>
      <c r="R250" s="80"/>
      <c r="S250" s="80"/>
      <c r="T250" s="81"/>
      <c r="U250" s="80"/>
      <c r="V250" s="80"/>
      <c r="W250" s="80"/>
      <c r="X250" s="80"/>
      <c r="Y250" s="81"/>
      <c r="Z250" s="80"/>
      <c r="AA250" s="80"/>
      <c r="AB250" s="80"/>
      <c r="AC250" s="80"/>
      <c r="AD250" s="81"/>
      <c r="AE250" s="80"/>
      <c r="AF250" s="80"/>
      <c r="AG250" s="81"/>
      <c r="AH250" s="79"/>
      <c r="AI250" s="78" t="str">
        <f aca="false">IF(E250="","",(V250&lt;&gt;"")+(AA250&lt;&gt;"")+(AF250&lt;&gt;""))</f>
        <v/>
      </c>
      <c r="AJ250" s="82" t="str">
        <f aca="false">IF(AF250&lt;&gt;"",AF250,IF(AA250&lt;&gt;"",AA250,IF(V250&lt;&gt;"",V250,"")))</f>
        <v/>
      </c>
      <c r="AK250" s="83" t="str">
        <f aca="false">IF(E250="","",IF(P250="","À SOUDER",IF(S250="","VT EN ATTENTE",IF(S250="R","VT REJETÉ – À REPRENDRE",IF(AJ250="","À RADIOGRAPHIER",IF(AJ250="A","ACCEPTÉ",IF(AJ250="NX","NX – RT À REFAIRE",IF(IF(AI250=1,X250,IF(AI250=2,AC250,""))="A","RÉPARÉ – À RADIOGRAPHIER",IF(IF(AI250=1,X250,IF(AI250=2,AC250,""))="R","VT REJETÉ – À REPRENDRE",IF(AJ250="CO","COUPE – À RESOUDER","À RÉPARER"))))))))))</f>
        <v/>
      </c>
      <c r="AL250" s="82" t="str">
        <f aca="false">IF(AND(ISNUMBER(P250),OR(AK250="À RADIOGRAPHIER",AK250="RÉPARÉ – À RADIOGRAPHIER",AK250="NX – RT À REFAIRE",AK250="À RÉPARER",AK250="COUPE – À RESOUDER",AK250="VT REJETÉ – À REPRENDRE")),MAX(0,'PROGRAMME RT'!$C$4-P250),"")</f>
        <v/>
      </c>
      <c r="AM250" s="78" t="n">
        <f aca="false">IF(AND(OR(AK250="À RADIOGRAPHIER",AK250="RÉPARÉ – À RADIOGRAPHIER",AK250="NX – RT À REFAIRE"),OR('PROGRAMME RT'!$D$5="TOUTES",B250='PROGRAMME RT'!$D$5)),1,0)</f>
        <v>0</v>
      </c>
      <c r="AN250" s="78" t="str">
        <f aca="false">IF(AM250=1,SUM(AM$7:AM250),"")</f>
        <v/>
      </c>
      <c r="AO250" s="78" t="n">
        <f aca="false">IF(AND(OR(AK250="À RÉPARER",AK250="COUPE – À RESOUDER",AK250="VT REJETÉ – À REPRENDRE"),OR(RÉPARATIONS!$D$5="TOUTES",B250=RÉPARATIONS!$D$5)),1,0)</f>
        <v>0</v>
      </c>
      <c r="AP250" s="78" t="str">
        <f aca="false">IF(AO250=1,SUM(AO$7:AO250),"")</f>
        <v/>
      </c>
    </row>
    <row r="251" customFormat="false" ht="15" hidden="false" customHeight="false" outlineLevel="0" collapsed="false">
      <c r="A251" s="78" t="str">
        <f aca="false">IF(E251="","",ROW()-6)</f>
        <v/>
      </c>
      <c r="B251" s="79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1"/>
      <c r="Q251" s="81"/>
      <c r="R251" s="80"/>
      <c r="S251" s="80"/>
      <c r="T251" s="81"/>
      <c r="U251" s="80"/>
      <c r="V251" s="80"/>
      <c r="W251" s="80"/>
      <c r="X251" s="80"/>
      <c r="Y251" s="81"/>
      <c r="Z251" s="80"/>
      <c r="AA251" s="80"/>
      <c r="AB251" s="80"/>
      <c r="AC251" s="80"/>
      <c r="AD251" s="81"/>
      <c r="AE251" s="80"/>
      <c r="AF251" s="80"/>
      <c r="AG251" s="81"/>
      <c r="AH251" s="79"/>
      <c r="AI251" s="78" t="str">
        <f aca="false">IF(E251="","",(V251&lt;&gt;"")+(AA251&lt;&gt;"")+(AF251&lt;&gt;""))</f>
        <v/>
      </c>
      <c r="AJ251" s="82" t="str">
        <f aca="false">IF(AF251&lt;&gt;"",AF251,IF(AA251&lt;&gt;"",AA251,IF(V251&lt;&gt;"",V251,"")))</f>
        <v/>
      </c>
      <c r="AK251" s="83" t="str">
        <f aca="false">IF(E251="","",IF(P251="","À SOUDER",IF(S251="","VT EN ATTENTE",IF(S251="R","VT REJETÉ – À REPRENDRE",IF(AJ251="","À RADIOGRAPHIER",IF(AJ251="A","ACCEPTÉ",IF(AJ251="NX","NX – RT À REFAIRE",IF(IF(AI251=1,X251,IF(AI251=2,AC251,""))="A","RÉPARÉ – À RADIOGRAPHIER",IF(IF(AI251=1,X251,IF(AI251=2,AC251,""))="R","VT REJETÉ – À REPRENDRE",IF(AJ251="CO","COUPE – À RESOUDER","À RÉPARER"))))))))))</f>
        <v/>
      </c>
      <c r="AL251" s="82" t="str">
        <f aca="false">IF(AND(ISNUMBER(P251),OR(AK251="À RADIOGRAPHIER",AK251="RÉPARÉ – À RADIOGRAPHIER",AK251="NX – RT À REFAIRE",AK251="À RÉPARER",AK251="COUPE – À RESOUDER",AK251="VT REJETÉ – À REPRENDRE")),MAX(0,'PROGRAMME RT'!$C$4-P251),"")</f>
        <v/>
      </c>
      <c r="AM251" s="78" t="n">
        <f aca="false">IF(AND(OR(AK251="À RADIOGRAPHIER",AK251="RÉPARÉ – À RADIOGRAPHIER",AK251="NX – RT À REFAIRE"),OR('PROGRAMME RT'!$D$5="TOUTES",B251='PROGRAMME RT'!$D$5)),1,0)</f>
        <v>0</v>
      </c>
      <c r="AN251" s="78" t="str">
        <f aca="false">IF(AM251=1,SUM(AM$7:AM251),"")</f>
        <v/>
      </c>
      <c r="AO251" s="78" t="n">
        <f aca="false">IF(AND(OR(AK251="À RÉPARER",AK251="COUPE – À RESOUDER",AK251="VT REJETÉ – À REPRENDRE"),OR(RÉPARATIONS!$D$5="TOUTES",B251=RÉPARATIONS!$D$5)),1,0)</f>
        <v>0</v>
      </c>
      <c r="AP251" s="78" t="str">
        <f aca="false">IF(AO251=1,SUM(AO$7:AO251),"")</f>
        <v/>
      </c>
    </row>
    <row r="252" customFormat="false" ht="15" hidden="false" customHeight="false" outlineLevel="0" collapsed="false">
      <c r="A252" s="78" t="str">
        <f aca="false">IF(E252="","",ROW()-6)</f>
        <v/>
      </c>
      <c r="B252" s="79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1"/>
      <c r="Q252" s="81"/>
      <c r="R252" s="80"/>
      <c r="S252" s="80"/>
      <c r="T252" s="81"/>
      <c r="U252" s="80"/>
      <c r="V252" s="80"/>
      <c r="W252" s="80"/>
      <c r="X252" s="80"/>
      <c r="Y252" s="81"/>
      <c r="Z252" s="80"/>
      <c r="AA252" s="80"/>
      <c r="AB252" s="80"/>
      <c r="AC252" s="80"/>
      <c r="AD252" s="81"/>
      <c r="AE252" s="80"/>
      <c r="AF252" s="80"/>
      <c r="AG252" s="81"/>
      <c r="AH252" s="79"/>
      <c r="AI252" s="78" t="str">
        <f aca="false">IF(E252="","",(V252&lt;&gt;"")+(AA252&lt;&gt;"")+(AF252&lt;&gt;""))</f>
        <v/>
      </c>
      <c r="AJ252" s="82" t="str">
        <f aca="false">IF(AF252&lt;&gt;"",AF252,IF(AA252&lt;&gt;"",AA252,IF(V252&lt;&gt;"",V252,"")))</f>
        <v/>
      </c>
      <c r="AK252" s="83" t="str">
        <f aca="false">IF(E252="","",IF(P252="","À SOUDER",IF(S252="","VT EN ATTENTE",IF(S252="R","VT REJETÉ – À REPRENDRE",IF(AJ252="","À RADIOGRAPHIER",IF(AJ252="A","ACCEPTÉ",IF(AJ252="NX","NX – RT À REFAIRE",IF(IF(AI252=1,X252,IF(AI252=2,AC252,""))="A","RÉPARÉ – À RADIOGRAPHIER",IF(IF(AI252=1,X252,IF(AI252=2,AC252,""))="R","VT REJETÉ – À REPRENDRE",IF(AJ252="CO","COUPE – À RESOUDER","À RÉPARER"))))))))))</f>
        <v/>
      </c>
      <c r="AL252" s="82" t="str">
        <f aca="false">IF(AND(ISNUMBER(P252),OR(AK252="À RADIOGRAPHIER",AK252="RÉPARÉ – À RADIOGRAPHIER",AK252="NX – RT À REFAIRE",AK252="À RÉPARER",AK252="COUPE – À RESOUDER",AK252="VT REJETÉ – À REPRENDRE")),MAX(0,'PROGRAMME RT'!$C$4-P252),"")</f>
        <v/>
      </c>
      <c r="AM252" s="78" t="n">
        <f aca="false">IF(AND(OR(AK252="À RADIOGRAPHIER",AK252="RÉPARÉ – À RADIOGRAPHIER",AK252="NX – RT À REFAIRE"),OR('PROGRAMME RT'!$D$5="TOUTES",B252='PROGRAMME RT'!$D$5)),1,0)</f>
        <v>0</v>
      </c>
      <c r="AN252" s="78" t="str">
        <f aca="false">IF(AM252=1,SUM(AM$7:AM252),"")</f>
        <v/>
      </c>
      <c r="AO252" s="78" t="n">
        <f aca="false">IF(AND(OR(AK252="À RÉPARER",AK252="COUPE – À RESOUDER",AK252="VT REJETÉ – À REPRENDRE"),OR(RÉPARATIONS!$D$5="TOUTES",B252=RÉPARATIONS!$D$5)),1,0)</f>
        <v>0</v>
      </c>
      <c r="AP252" s="78" t="str">
        <f aca="false">IF(AO252=1,SUM(AO$7:AO252),"")</f>
        <v/>
      </c>
    </row>
    <row r="253" customFormat="false" ht="15" hidden="false" customHeight="false" outlineLevel="0" collapsed="false">
      <c r="A253" s="78" t="str">
        <f aca="false">IF(E253="","",ROW()-6)</f>
        <v/>
      </c>
      <c r="B253" s="79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1"/>
      <c r="Q253" s="81"/>
      <c r="R253" s="80"/>
      <c r="S253" s="80"/>
      <c r="T253" s="81"/>
      <c r="U253" s="80"/>
      <c r="V253" s="80"/>
      <c r="W253" s="80"/>
      <c r="X253" s="80"/>
      <c r="Y253" s="81"/>
      <c r="Z253" s="80"/>
      <c r="AA253" s="80"/>
      <c r="AB253" s="80"/>
      <c r="AC253" s="80"/>
      <c r="AD253" s="81"/>
      <c r="AE253" s="80"/>
      <c r="AF253" s="80"/>
      <c r="AG253" s="81"/>
      <c r="AH253" s="79"/>
      <c r="AI253" s="78" t="str">
        <f aca="false">IF(E253="","",(V253&lt;&gt;"")+(AA253&lt;&gt;"")+(AF253&lt;&gt;""))</f>
        <v/>
      </c>
      <c r="AJ253" s="82" t="str">
        <f aca="false">IF(AF253&lt;&gt;"",AF253,IF(AA253&lt;&gt;"",AA253,IF(V253&lt;&gt;"",V253,"")))</f>
        <v/>
      </c>
      <c r="AK253" s="83" t="str">
        <f aca="false">IF(E253="","",IF(P253="","À SOUDER",IF(S253="","VT EN ATTENTE",IF(S253="R","VT REJETÉ – À REPRENDRE",IF(AJ253="","À RADIOGRAPHIER",IF(AJ253="A","ACCEPTÉ",IF(AJ253="NX","NX – RT À REFAIRE",IF(IF(AI253=1,X253,IF(AI253=2,AC253,""))="A","RÉPARÉ – À RADIOGRAPHIER",IF(IF(AI253=1,X253,IF(AI253=2,AC253,""))="R","VT REJETÉ – À REPRENDRE",IF(AJ253="CO","COUPE – À RESOUDER","À RÉPARER"))))))))))</f>
        <v/>
      </c>
      <c r="AL253" s="82" t="str">
        <f aca="false">IF(AND(ISNUMBER(P253),OR(AK253="À RADIOGRAPHIER",AK253="RÉPARÉ – À RADIOGRAPHIER",AK253="NX – RT À REFAIRE",AK253="À RÉPARER",AK253="COUPE – À RESOUDER",AK253="VT REJETÉ – À REPRENDRE")),MAX(0,'PROGRAMME RT'!$C$4-P253),"")</f>
        <v/>
      </c>
      <c r="AM253" s="78" t="n">
        <f aca="false">IF(AND(OR(AK253="À RADIOGRAPHIER",AK253="RÉPARÉ – À RADIOGRAPHIER",AK253="NX – RT À REFAIRE"),OR('PROGRAMME RT'!$D$5="TOUTES",B253='PROGRAMME RT'!$D$5)),1,0)</f>
        <v>0</v>
      </c>
      <c r="AN253" s="78" t="str">
        <f aca="false">IF(AM253=1,SUM(AM$7:AM253),"")</f>
        <v/>
      </c>
      <c r="AO253" s="78" t="n">
        <f aca="false">IF(AND(OR(AK253="À RÉPARER",AK253="COUPE – À RESOUDER",AK253="VT REJETÉ – À REPRENDRE"),OR(RÉPARATIONS!$D$5="TOUTES",B253=RÉPARATIONS!$D$5)),1,0)</f>
        <v>0</v>
      </c>
      <c r="AP253" s="78" t="str">
        <f aca="false">IF(AO253=1,SUM(AO$7:AO253),"")</f>
        <v/>
      </c>
    </row>
    <row r="254" customFormat="false" ht="15" hidden="false" customHeight="false" outlineLevel="0" collapsed="false">
      <c r="A254" s="78" t="str">
        <f aca="false">IF(E254="","",ROW()-6)</f>
        <v/>
      </c>
      <c r="B254" s="79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1"/>
      <c r="Q254" s="81"/>
      <c r="R254" s="80"/>
      <c r="S254" s="80"/>
      <c r="T254" s="81"/>
      <c r="U254" s="80"/>
      <c r="V254" s="80"/>
      <c r="W254" s="80"/>
      <c r="X254" s="80"/>
      <c r="Y254" s="81"/>
      <c r="Z254" s="80"/>
      <c r="AA254" s="80"/>
      <c r="AB254" s="80"/>
      <c r="AC254" s="80"/>
      <c r="AD254" s="81"/>
      <c r="AE254" s="80"/>
      <c r="AF254" s="80"/>
      <c r="AG254" s="81"/>
      <c r="AH254" s="79"/>
      <c r="AI254" s="78" t="str">
        <f aca="false">IF(E254="","",(V254&lt;&gt;"")+(AA254&lt;&gt;"")+(AF254&lt;&gt;""))</f>
        <v/>
      </c>
      <c r="AJ254" s="82" t="str">
        <f aca="false">IF(AF254&lt;&gt;"",AF254,IF(AA254&lt;&gt;"",AA254,IF(V254&lt;&gt;"",V254,"")))</f>
        <v/>
      </c>
      <c r="AK254" s="83" t="str">
        <f aca="false">IF(E254="","",IF(P254="","À SOUDER",IF(S254="","VT EN ATTENTE",IF(S254="R","VT REJETÉ – À REPRENDRE",IF(AJ254="","À RADIOGRAPHIER",IF(AJ254="A","ACCEPTÉ",IF(AJ254="NX","NX – RT À REFAIRE",IF(IF(AI254=1,X254,IF(AI254=2,AC254,""))="A","RÉPARÉ – À RADIOGRAPHIER",IF(IF(AI254=1,X254,IF(AI254=2,AC254,""))="R","VT REJETÉ – À REPRENDRE",IF(AJ254="CO","COUPE – À RESOUDER","À RÉPARER"))))))))))</f>
        <v/>
      </c>
      <c r="AL254" s="82" t="str">
        <f aca="false">IF(AND(ISNUMBER(P254),OR(AK254="À RADIOGRAPHIER",AK254="RÉPARÉ – À RADIOGRAPHIER",AK254="NX – RT À REFAIRE",AK254="À RÉPARER",AK254="COUPE – À RESOUDER",AK254="VT REJETÉ – À REPRENDRE")),MAX(0,'PROGRAMME RT'!$C$4-P254),"")</f>
        <v/>
      </c>
      <c r="AM254" s="78" t="n">
        <f aca="false">IF(AND(OR(AK254="À RADIOGRAPHIER",AK254="RÉPARÉ – À RADIOGRAPHIER",AK254="NX – RT À REFAIRE"),OR('PROGRAMME RT'!$D$5="TOUTES",B254='PROGRAMME RT'!$D$5)),1,0)</f>
        <v>0</v>
      </c>
      <c r="AN254" s="78" t="str">
        <f aca="false">IF(AM254=1,SUM(AM$7:AM254),"")</f>
        <v/>
      </c>
      <c r="AO254" s="78" t="n">
        <f aca="false">IF(AND(OR(AK254="À RÉPARER",AK254="COUPE – À RESOUDER",AK254="VT REJETÉ – À REPRENDRE"),OR(RÉPARATIONS!$D$5="TOUTES",B254=RÉPARATIONS!$D$5)),1,0)</f>
        <v>0</v>
      </c>
      <c r="AP254" s="78" t="str">
        <f aca="false">IF(AO254=1,SUM(AO$7:AO254),"")</f>
        <v/>
      </c>
    </row>
    <row r="255" customFormat="false" ht="15" hidden="false" customHeight="false" outlineLevel="0" collapsed="false">
      <c r="A255" s="78" t="str">
        <f aca="false">IF(E255="","",ROW()-6)</f>
        <v/>
      </c>
      <c r="B255" s="79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1"/>
      <c r="Q255" s="81"/>
      <c r="R255" s="80"/>
      <c r="S255" s="80"/>
      <c r="T255" s="81"/>
      <c r="U255" s="80"/>
      <c r="V255" s="80"/>
      <c r="W255" s="80"/>
      <c r="X255" s="80"/>
      <c r="Y255" s="81"/>
      <c r="Z255" s="80"/>
      <c r="AA255" s="80"/>
      <c r="AB255" s="80"/>
      <c r="AC255" s="80"/>
      <c r="AD255" s="81"/>
      <c r="AE255" s="80"/>
      <c r="AF255" s="80"/>
      <c r="AG255" s="81"/>
      <c r="AH255" s="79"/>
      <c r="AI255" s="78" t="str">
        <f aca="false">IF(E255="","",(V255&lt;&gt;"")+(AA255&lt;&gt;"")+(AF255&lt;&gt;""))</f>
        <v/>
      </c>
      <c r="AJ255" s="82" t="str">
        <f aca="false">IF(AF255&lt;&gt;"",AF255,IF(AA255&lt;&gt;"",AA255,IF(V255&lt;&gt;"",V255,"")))</f>
        <v/>
      </c>
      <c r="AK255" s="83" t="str">
        <f aca="false">IF(E255="","",IF(P255="","À SOUDER",IF(S255="","VT EN ATTENTE",IF(S255="R","VT REJETÉ – À REPRENDRE",IF(AJ255="","À RADIOGRAPHIER",IF(AJ255="A","ACCEPTÉ",IF(AJ255="NX","NX – RT À REFAIRE",IF(IF(AI255=1,X255,IF(AI255=2,AC255,""))="A","RÉPARÉ – À RADIOGRAPHIER",IF(IF(AI255=1,X255,IF(AI255=2,AC255,""))="R","VT REJETÉ – À REPRENDRE",IF(AJ255="CO","COUPE – À RESOUDER","À RÉPARER"))))))))))</f>
        <v/>
      </c>
      <c r="AL255" s="82" t="str">
        <f aca="false">IF(AND(ISNUMBER(P255),OR(AK255="À RADIOGRAPHIER",AK255="RÉPARÉ – À RADIOGRAPHIER",AK255="NX – RT À REFAIRE",AK255="À RÉPARER",AK255="COUPE – À RESOUDER",AK255="VT REJETÉ – À REPRENDRE")),MAX(0,'PROGRAMME RT'!$C$4-P255),"")</f>
        <v/>
      </c>
      <c r="AM255" s="78" t="n">
        <f aca="false">IF(AND(OR(AK255="À RADIOGRAPHIER",AK255="RÉPARÉ – À RADIOGRAPHIER",AK255="NX – RT À REFAIRE"),OR('PROGRAMME RT'!$D$5="TOUTES",B255='PROGRAMME RT'!$D$5)),1,0)</f>
        <v>0</v>
      </c>
      <c r="AN255" s="78" t="str">
        <f aca="false">IF(AM255=1,SUM(AM$7:AM255),"")</f>
        <v/>
      </c>
      <c r="AO255" s="78" t="n">
        <f aca="false">IF(AND(OR(AK255="À RÉPARER",AK255="COUPE – À RESOUDER",AK255="VT REJETÉ – À REPRENDRE"),OR(RÉPARATIONS!$D$5="TOUTES",B255=RÉPARATIONS!$D$5)),1,0)</f>
        <v>0</v>
      </c>
      <c r="AP255" s="78" t="str">
        <f aca="false">IF(AO255=1,SUM(AO$7:AO255),"")</f>
        <v/>
      </c>
    </row>
    <row r="256" customFormat="false" ht="15" hidden="false" customHeight="false" outlineLevel="0" collapsed="false">
      <c r="A256" s="78" t="str">
        <f aca="false">IF(E256="","",ROW()-6)</f>
        <v/>
      </c>
      <c r="B256" s="79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1"/>
      <c r="Q256" s="81"/>
      <c r="R256" s="80"/>
      <c r="S256" s="80"/>
      <c r="T256" s="81"/>
      <c r="U256" s="80"/>
      <c r="V256" s="80"/>
      <c r="W256" s="80"/>
      <c r="X256" s="80"/>
      <c r="Y256" s="81"/>
      <c r="Z256" s="80"/>
      <c r="AA256" s="80"/>
      <c r="AB256" s="80"/>
      <c r="AC256" s="80"/>
      <c r="AD256" s="81"/>
      <c r="AE256" s="80"/>
      <c r="AF256" s="80"/>
      <c r="AG256" s="81"/>
      <c r="AH256" s="79"/>
      <c r="AI256" s="78" t="str">
        <f aca="false">IF(E256="","",(V256&lt;&gt;"")+(AA256&lt;&gt;"")+(AF256&lt;&gt;""))</f>
        <v/>
      </c>
      <c r="AJ256" s="82" t="str">
        <f aca="false">IF(AF256&lt;&gt;"",AF256,IF(AA256&lt;&gt;"",AA256,IF(V256&lt;&gt;"",V256,"")))</f>
        <v/>
      </c>
      <c r="AK256" s="83" t="str">
        <f aca="false">IF(E256="","",IF(P256="","À SOUDER",IF(S256="","VT EN ATTENTE",IF(S256="R","VT REJETÉ – À REPRENDRE",IF(AJ256="","À RADIOGRAPHIER",IF(AJ256="A","ACCEPTÉ",IF(AJ256="NX","NX – RT À REFAIRE",IF(IF(AI256=1,X256,IF(AI256=2,AC256,""))="A","RÉPARÉ – À RADIOGRAPHIER",IF(IF(AI256=1,X256,IF(AI256=2,AC256,""))="R","VT REJETÉ – À REPRENDRE",IF(AJ256="CO","COUPE – À RESOUDER","À RÉPARER"))))))))))</f>
        <v/>
      </c>
      <c r="AL256" s="82" t="str">
        <f aca="false">IF(AND(ISNUMBER(P256),OR(AK256="À RADIOGRAPHIER",AK256="RÉPARÉ – À RADIOGRAPHIER",AK256="NX – RT À REFAIRE",AK256="À RÉPARER",AK256="COUPE – À RESOUDER",AK256="VT REJETÉ – À REPRENDRE")),MAX(0,'PROGRAMME RT'!$C$4-P256),"")</f>
        <v/>
      </c>
      <c r="AM256" s="78" t="n">
        <f aca="false">IF(AND(OR(AK256="À RADIOGRAPHIER",AK256="RÉPARÉ – À RADIOGRAPHIER",AK256="NX – RT À REFAIRE"),OR('PROGRAMME RT'!$D$5="TOUTES",B256='PROGRAMME RT'!$D$5)),1,0)</f>
        <v>0</v>
      </c>
      <c r="AN256" s="78" t="str">
        <f aca="false">IF(AM256=1,SUM(AM$7:AM256),"")</f>
        <v/>
      </c>
      <c r="AO256" s="78" t="n">
        <f aca="false">IF(AND(OR(AK256="À RÉPARER",AK256="COUPE – À RESOUDER",AK256="VT REJETÉ – À REPRENDRE"),OR(RÉPARATIONS!$D$5="TOUTES",B256=RÉPARATIONS!$D$5)),1,0)</f>
        <v>0</v>
      </c>
      <c r="AP256" s="78" t="str">
        <f aca="false">IF(AO256=1,SUM(AO$7:AO256),"")</f>
        <v/>
      </c>
    </row>
    <row r="257" customFormat="false" ht="15" hidden="false" customHeight="false" outlineLevel="0" collapsed="false">
      <c r="A257" s="78" t="str">
        <f aca="false">IF(E257="","",ROW()-6)</f>
        <v/>
      </c>
      <c r="B257" s="79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1"/>
      <c r="Q257" s="81"/>
      <c r="R257" s="80"/>
      <c r="S257" s="80"/>
      <c r="T257" s="81"/>
      <c r="U257" s="80"/>
      <c r="V257" s="80"/>
      <c r="W257" s="80"/>
      <c r="X257" s="80"/>
      <c r="Y257" s="81"/>
      <c r="Z257" s="80"/>
      <c r="AA257" s="80"/>
      <c r="AB257" s="80"/>
      <c r="AC257" s="80"/>
      <c r="AD257" s="81"/>
      <c r="AE257" s="80"/>
      <c r="AF257" s="80"/>
      <c r="AG257" s="81"/>
      <c r="AH257" s="79"/>
      <c r="AI257" s="78" t="str">
        <f aca="false">IF(E257="","",(V257&lt;&gt;"")+(AA257&lt;&gt;"")+(AF257&lt;&gt;""))</f>
        <v/>
      </c>
      <c r="AJ257" s="82" t="str">
        <f aca="false">IF(AF257&lt;&gt;"",AF257,IF(AA257&lt;&gt;"",AA257,IF(V257&lt;&gt;"",V257,"")))</f>
        <v/>
      </c>
      <c r="AK257" s="83" t="str">
        <f aca="false">IF(E257="","",IF(P257="","À SOUDER",IF(S257="","VT EN ATTENTE",IF(S257="R","VT REJETÉ – À REPRENDRE",IF(AJ257="","À RADIOGRAPHIER",IF(AJ257="A","ACCEPTÉ",IF(AJ257="NX","NX – RT À REFAIRE",IF(IF(AI257=1,X257,IF(AI257=2,AC257,""))="A","RÉPARÉ – À RADIOGRAPHIER",IF(IF(AI257=1,X257,IF(AI257=2,AC257,""))="R","VT REJETÉ – À REPRENDRE",IF(AJ257="CO","COUPE – À RESOUDER","À RÉPARER"))))))))))</f>
        <v/>
      </c>
      <c r="AL257" s="82" t="str">
        <f aca="false">IF(AND(ISNUMBER(P257),OR(AK257="À RADIOGRAPHIER",AK257="RÉPARÉ – À RADIOGRAPHIER",AK257="NX – RT À REFAIRE",AK257="À RÉPARER",AK257="COUPE – À RESOUDER",AK257="VT REJETÉ – À REPRENDRE")),MAX(0,'PROGRAMME RT'!$C$4-P257),"")</f>
        <v/>
      </c>
      <c r="AM257" s="78" t="n">
        <f aca="false">IF(AND(OR(AK257="À RADIOGRAPHIER",AK257="RÉPARÉ – À RADIOGRAPHIER",AK257="NX – RT À REFAIRE"),OR('PROGRAMME RT'!$D$5="TOUTES",B257='PROGRAMME RT'!$D$5)),1,0)</f>
        <v>0</v>
      </c>
      <c r="AN257" s="78" t="str">
        <f aca="false">IF(AM257=1,SUM(AM$7:AM257),"")</f>
        <v/>
      </c>
      <c r="AO257" s="78" t="n">
        <f aca="false">IF(AND(OR(AK257="À RÉPARER",AK257="COUPE – À RESOUDER",AK257="VT REJETÉ – À REPRENDRE"),OR(RÉPARATIONS!$D$5="TOUTES",B257=RÉPARATIONS!$D$5)),1,0)</f>
        <v>0</v>
      </c>
      <c r="AP257" s="78" t="str">
        <f aca="false">IF(AO257=1,SUM(AO$7:AO257),"")</f>
        <v/>
      </c>
    </row>
    <row r="258" customFormat="false" ht="15" hidden="false" customHeight="false" outlineLevel="0" collapsed="false">
      <c r="A258" s="78" t="str">
        <f aca="false">IF(E258="","",ROW()-6)</f>
        <v/>
      </c>
      <c r="B258" s="79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1"/>
      <c r="Q258" s="81"/>
      <c r="R258" s="80"/>
      <c r="S258" s="80"/>
      <c r="T258" s="81"/>
      <c r="U258" s="80"/>
      <c r="V258" s="80"/>
      <c r="W258" s="80"/>
      <c r="X258" s="80"/>
      <c r="Y258" s="81"/>
      <c r="Z258" s="80"/>
      <c r="AA258" s="80"/>
      <c r="AB258" s="80"/>
      <c r="AC258" s="80"/>
      <c r="AD258" s="81"/>
      <c r="AE258" s="80"/>
      <c r="AF258" s="80"/>
      <c r="AG258" s="81"/>
      <c r="AH258" s="79"/>
      <c r="AI258" s="78" t="str">
        <f aca="false">IF(E258="","",(V258&lt;&gt;"")+(AA258&lt;&gt;"")+(AF258&lt;&gt;""))</f>
        <v/>
      </c>
      <c r="AJ258" s="82" t="str">
        <f aca="false">IF(AF258&lt;&gt;"",AF258,IF(AA258&lt;&gt;"",AA258,IF(V258&lt;&gt;"",V258,"")))</f>
        <v/>
      </c>
      <c r="AK258" s="83" t="str">
        <f aca="false">IF(E258="","",IF(P258="","À SOUDER",IF(S258="","VT EN ATTENTE",IF(S258="R","VT REJETÉ – À REPRENDRE",IF(AJ258="","À RADIOGRAPHIER",IF(AJ258="A","ACCEPTÉ",IF(AJ258="NX","NX – RT À REFAIRE",IF(IF(AI258=1,X258,IF(AI258=2,AC258,""))="A","RÉPARÉ – À RADIOGRAPHIER",IF(IF(AI258=1,X258,IF(AI258=2,AC258,""))="R","VT REJETÉ – À REPRENDRE",IF(AJ258="CO","COUPE – À RESOUDER","À RÉPARER"))))))))))</f>
        <v/>
      </c>
      <c r="AL258" s="82" t="str">
        <f aca="false">IF(AND(ISNUMBER(P258),OR(AK258="À RADIOGRAPHIER",AK258="RÉPARÉ – À RADIOGRAPHIER",AK258="NX – RT À REFAIRE",AK258="À RÉPARER",AK258="COUPE – À RESOUDER",AK258="VT REJETÉ – À REPRENDRE")),MAX(0,'PROGRAMME RT'!$C$4-P258),"")</f>
        <v/>
      </c>
      <c r="AM258" s="78" t="n">
        <f aca="false">IF(AND(OR(AK258="À RADIOGRAPHIER",AK258="RÉPARÉ – À RADIOGRAPHIER",AK258="NX – RT À REFAIRE"),OR('PROGRAMME RT'!$D$5="TOUTES",B258='PROGRAMME RT'!$D$5)),1,0)</f>
        <v>0</v>
      </c>
      <c r="AN258" s="78" t="str">
        <f aca="false">IF(AM258=1,SUM(AM$7:AM258),"")</f>
        <v/>
      </c>
      <c r="AO258" s="78" t="n">
        <f aca="false">IF(AND(OR(AK258="À RÉPARER",AK258="COUPE – À RESOUDER",AK258="VT REJETÉ – À REPRENDRE"),OR(RÉPARATIONS!$D$5="TOUTES",B258=RÉPARATIONS!$D$5)),1,0)</f>
        <v>0</v>
      </c>
      <c r="AP258" s="78" t="str">
        <f aca="false">IF(AO258=1,SUM(AO$7:AO258),"")</f>
        <v/>
      </c>
    </row>
    <row r="259" customFormat="false" ht="15" hidden="false" customHeight="false" outlineLevel="0" collapsed="false">
      <c r="A259" s="78" t="str">
        <f aca="false">IF(E259="","",ROW()-6)</f>
        <v/>
      </c>
      <c r="B259" s="79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1"/>
      <c r="Q259" s="81"/>
      <c r="R259" s="80"/>
      <c r="S259" s="80"/>
      <c r="T259" s="81"/>
      <c r="U259" s="80"/>
      <c r="V259" s="80"/>
      <c r="W259" s="80"/>
      <c r="X259" s="80"/>
      <c r="Y259" s="81"/>
      <c r="Z259" s="80"/>
      <c r="AA259" s="80"/>
      <c r="AB259" s="80"/>
      <c r="AC259" s="80"/>
      <c r="AD259" s="81"/>
      <c r="AE259" s="80"/>
      <c r="AF259" s="80"/>
      <c r="AG259" s="81"/>
      <c r="AH259" s="79"/>
      <c r="AI259" s="78" t="str">
        <f aca="false">IF(E259="","",(V259&lt;&gt;"")+(AA259&lt;&gt;"")+(AF259&lt;&gt;""))</f>
        <v/>
      </c>
      <c r="AJ259" s="82" t="str">
        <f aca="false">IF(AF259&lt;&gt;"",AF259,IF(AA259&lt;&gt;"",AA259,IF(V259&lt;&gt;"",V259,"")))</f>
        <v/>
      </c>
      <c r="AK259" s="83" t="str">
        <f aca="false">IF(E259="","",IF(P259="","À SOUDER",IF(S259="","VT EN ATTENTE",IF(S259="R","VT REJETÉ – À REPRENDRE",IF(AJ259="","À RADIOGRAPHIER",IF(AJ259="A","ACCEPTÉ",IF(AJ259="NX","NX – RT À REFAIRE",IF(IF(AI259=1,X259,IF(AI259=2,AC259,""))="A","RÉPARÉ – À RADIOGRAPHIER",IF(IF(AI259=1,X259,IF(AI259=2,AC259,""))="R","VT REJETÉ – À REPRENDRE",IF(AJ259="CO","COUPE – À RESOUDER","À RÉPARER"))))))))))</f>
        <v/>
      </c>
      <c r="AL259" s="82" t="str">
        <f aca="false">IF(AND(ISNUMBER(P259),OR(AK259="À RADIOGRAPHIER",AK259="RÉPARÉ – À RADIOGRAPHIER",AK259="NX – RT À REFAIRE",AK259="À RÉPARER",AK259="COUPE – À RESOUDER",AK259="VT REJETÉ – À REPRENDRE")),MAX(0,'PROGRAMME RT'!$C$4-P259),"")</f>
        <v/>
      </c>
      <c r="AM259" s="78" t="n">
        <f aca="false">IF(AND(OR(AK259="À RADIOGRAPHIER",AK259="RÉPARÉ – À RADIOGRAPHIER",AK259="NX – RT À REFAIRE"),OR('PROGRAMME RT'!$D$5="TOUTES",B259='PROGRAMME RT'!$D$5)),1,0)</f>
        <v>0</v>
      </c>
      <c r="AN259" s="78" t="str">
        <f aca="false">IF(AM259=1,SUM(AM$7:AM259),"")</f>
        <v/>
      </c>
      <c r="AO259" s="78" t="n">
        <f aca="false">IF(AND(OR(AK259="À RÉPARER",AK259="COUPE – À RESOUDER",AK259="VT REJETÉ – À REPRENDRE"),OR(RÉPARATIONS!$D$5="TOUTES",B259=RÉPARATIONS!$D$5)),1,0)</f>
        <v>0</v>
      </c>
      <c r="AP259" s="78" t="str">
        <f aca="false">IF(AO259=1,SUM(AO$7:AO259),"")</f>
        <v/>
      </c>
    </row>
    <row r="260" customFormat="false" ht="15" hidden="false" customHeight="false" outlineLevel="0" collapsed="false">
      <c r="A260" s="78" t="str">
        <f aca="false">IF(E260="","",ROW()-6)</f>
        <v/>
      </c>
      <c r="B260" s="79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1"/>
      <c r="Q260" s="81"/>
      <c r="R260" s="80"/>
      <c r="S260" s="80"/>
      <c r="T260" s="81"/>
      <c r="U260" s="80"/>
      <c r="V260" s="80"/>
      <c r="W260" s="80"/>
      <c r="X260" s="80"/>
      <c r="Y260" s="81"/>
      <c r="Z260" s="80"/>
      <c r="AA260" s="80"/>
      <c r="AB260" s="80"/>
      <c r="AC260" s="80"/>
      <c r="AD260" s="81"/>
      <c r="AE260" s="80"/>
      <c r="AF260" s="80"/>
      <c r="AG260" s="81"/>
      <c r="AH260" s="79"/>
      <c r="AI260" s="78" t="str">
        <f aca="false">IF(E260="","",(V260&lt;&gt;"")+(AA260&lt;&gt;"")+(AF260&lt;&gt;""))</f>
        <v/>
      </c>
      <c r="AJ260" s="82" t="str">
        <f aca="false">IF(AF260&lt;&gt;"",AF260,IF(AA260&lt;&gt;"",AA260,IF(V260&lt;&gt;"",V260,"")))</f>
        <v/>
      </c>
      <c r="AK260" s="83" t="str">
        <f aca="false">IF(E260="","",IF(P260="","À SOUDER",IF(S260="","VT EN ATTENTE",IF(S260="R","VT REJETÉ – À REPRENDRE",IF(AJ260="","À RADIOGRAPHIER",IF(AJ260="A","ACCEPTÉ",IF(AJ260="NX","NX – RT À REFAIRE",IF(IF(AI260=1,X260,IF(AI260=2,AC260,""))="A","RÉPARÉ – À RADIOGRAPHIER",IF(IF(AI260=1,X260,IF(AI260=2,AC260,""))="R","VT REJETÉ – À REPRENDRE",IF(AJ260="CO","COUPE – À RESOUDER","À RÉPARER"))))))))))</f>
        <v/>
      </c>
      <c r="AL260" s="82" t="str">
        <f aca="false">IF(AND(ISNUMBER(P260),OR(AK260="À RADIOGRAPHIER",AK260="RÉPARÉ – À RADIOGRAPHIER",AK260="NX – RT À REFAIRE",AK260="À RÉPARER",AK260="COUPE – À RESOUDER",AK260="VT REJETÉ – À REPRENDRE")),MAX(0,'PROGRAMME RT'!$C$4-P260),"")</f>
        <v/>
      </c>
      <c r="AM260" s="78" t="n">
        <f aca="false">IF(AND(OR(AK260="À RADIOGRAPHIER",AK260="RÉPARÉ – À RADIOGRAPHIER",AK260="NX – RT À REFAIRE"),OR('PROGRAMME RT'!$D$5="TOUTES",B260='PROGRAMME RT'!$D$5)),1,0)</f>
        <v>0</v>
      </c>
      <c r="AN260" s="78" t="str">
        <f aca="false">IF(AM260=1,SUM(AM$7:AM260),"")</f>
        <v/>
      </c>
      <c r="AO260" s="78" t="n">
        <f aca="false">IF(AND(OR(AK260="À RÉPARER",AK260="COUPE – À RESOUDER",AK260="VT REJETÉ – À REPRENDRE"),OR(RÉPARATIONS!$D$5="TOUTES",B260=RÉPARATIONS!$D$5)),1,0)</f>
        <v>0</v>
      </c>
      <c r="AP260" s="78" t="str">
        <f aca="false">IF(AO260=1,SUM(AO$7:AO260),"")</f>
        <v/>
      </c>
    </row>
    <row r="261" customFormat="false" ht="15" hidden="false" customHeight="false" outlineLevel="0" collapsed="false">
      <c r="A261" s="78" t="str">
        <f aca="false">IF(E261="","",ROW()-6)</f>
        <v/>
      </c>
      <c r="B261" s="79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1"/>
      <c r="Q261" s="81"/>
      <c r="R261" s="80"/>
      <c r="S261" s="80"/>
      <c r="T261" s="81"/>
      <c r="U261" s="80"/>
      <c r="V261" s="80"/>
      <c r="W261" s="80"/>
      <c r="X261" s="80"/>
      <c r="Y261" s="81"/>
      <c r="Z261" s="80"/>
      <c r="AA261" s="80"/>
      <c r="AB261" s="80"/>
      <c r="AC261" s="80"/>
      <c r="AD261" s="81"/>
      <c r="AE261" s="80"/>
      <c r="AF261" s="80"/>
      <c r="AG261" s="81"/>
      <c r="AH261" s="79"/>
      <c r="AI261" s="78" t="str">
        <f aca="false">IF(E261="","",(V261&lt;&gt;"")+(AA261&lt;&gt;"")+(AF261&lt;&gt;""))</f>
        <v/>
      </c>
      <c r="AJ261" s="82" t="str">
        <f aca="false">IF(AF261&lt;&gt;"",AF261,IF(AA261&lt;&gt;"",AA261,IF(V261&lt;&gt;"",V261,"")))</f>
        <v/>
      </c>
      <c r="AK261" s="83" t="str">
        <f aca="false">IF(E261="","",IF(P261="","À SOUDER",IF(S261="","VT EN ATTENTE",IF(S261="R","VT REJETÉ – À REPRENDRE",IF(AJ261="","À RADIOGRAPHIER",IF(AJ261="A","ACCEPTÉ",IF(AJ261="NX","NX – RT À REFAIRE",IF(IF(AI261=1,X261,IF(AI261=2,AC261,""))="A","RÉPARÉ – À RADIOGRAPHIER",IF(IF(AI261=1,X261,IF(AI261=2,AC261,""))="R","VT REJETÉ – À REPRENDRE",IF(AJ261="CO","COUPE – À RESOUDER","À RÉPARER"))))))))))</f>
        <v/>
      </c>
      <c r="AL261" s="82" t="str">
        <f aca="false">IF(AND(ISNUMBER(P261),OR(AK261="À RADIOGRAPHIER",AK261="RÉPARÉ – À RADIOGRAPHIER",AK261="NX – RT À REFAIRE",AK261="À RÉPARER",AK261="COUPE – À RESOUDER",AK261="VT REJETÉ – À REPRENDRE")),MAX(0,'PROGRAMME RT'!$C$4-P261),"")</f>
        <v/>
      </c>
      <c r="AM261" s="78" t="n">
        <f aca="false">IF(AND(OR(AK261="À RADIOGRAPHIER",AK261="RÉPARÉ – À RADIOGRAPHIER",AK261="NX – RT À REFAIRE"),OR('PROGRAMME RT'!$D$5="TOUTES",B261='PROGRAMME RT'!$D$5)),1,0)</f>
        <v>0</v>
      </c>
      <c r="AN261" s="78" t="str">
        <f aca="false">IF(AM261=1,SUM(AM$7:AM261),"")</f>
        <v/>
      </c>
      <c r="AO261" s="78" t="n">
        <f aca="false">IF(AND(OR(AK261="À RÉPARER",AK261="COUPE – À RESOUDER",AK261="VT REJETÉ – À REPRENDRE"),OR(RÉPARATIONS!$D$5="TOUTES",B261=RÉPARATIONS!$D$5)),1,0)</f>
        <v>0</v>
      </c>
      <c r="AP261" s="78" t="str">
        <f aca="false">IF(AO261=1,SUM(AO$7:AO261),"")</f>
        <v/>
      </c>
    </row>
    <row r="262" customFormat="false" ht="15" hidden="false" customHeight="false" outlineLevel="0" collapsed="false">
      <c r="A262" s="78" t="str">
        <f aca="false">IF(E262="","",ROW()-6)</f>
        <v/>
      </c>
      <c r="B262" s="79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1"/>
      <c r="Q262" s="81"/>
      <c r="R262" s="80"/>
      <c r="S262" s="80"/>
      <c r="T262" s="81"/>
      <c r="U262" s="80"/>
      <c r="V262" s="80"/>
      <c r="W262" s="80"/>
      <c r="X262" s="80"/>
      <c r="Y262" s="81"/>
      <c r="Z262" s="80"/>
      <c r="AA262" s="80"/>
      <c r="AB262" s="80"/>
      <c r="AC262" s="80"/>
      <c r="AD262" s="81"/>
      <c r="AE262" s="80"/>
      <c r="AF262" s="80"/>
      <c r="AG262" s="81"/>
      <c r="AH262" s="79"/>
      <c r="AI262" s="78" t="str">
        <f aca="false">IF(E262="","",(V262&lt;&gt;"")+(AA262&lt;&gt;"")+(AF262&lt;&gt;""))</f>
        <v/>
      </c>
      <c r="AJ262" s="82" t="str">
        <f aca="false">IF(AF262&lt;&gt;"",AF262,IF(AA262&lt;&gt;"",AA262,IF(V262&lt;&gt;"",V262,"")))</f>
        <v/>
      </c>
      <c r="AK262" s="83" t="str">
        <f aca="false">IF(E262="","",IF(P262="","À SOUDER",IF(S262="","VT EN ATTENTE",IF(S262="R","VT REJETÉ – À REPRENDRE",IF(AJ262="","À RADIOGRAPHIER",IF(AJ262="A","ACCEPTÉ",IF(AJ262="NX","NX – RT À REFAIRE",IF(IF(AI262=1,X262,IF(AI262=2,AC262,""))="A","RÉPARÉ – À RADIOGRAPHIER",IF(IF(AI262=1,X262,IF(AI262=2,AC262,""))="R","VT REJETÉ – À REPRENDRE",IF(AJ262="CO","COUPE – À RESOUDER","À RÉPARER"))))))))))</f>
        <v/>
      </c>
      <c r="AL262" s="82" t="str">
        <f aca="false">IF(AND(ISNUMBER(P262),OR(AK262="À RADIOGRAPHIER",AK262="RÉPARÉ – À RADIOGRAPHIER",AK262="NX – RT À REFAIRE",AK262="À RÉPARER",AK262="COUPE – À RESOUDER",AK262="VT REJETÉ – À REPRENDRE")),MAX(0,'PROGRAMME RT'!$C$4-P262),"")</f>
        <v/>
      </c>
      <c r="AM262" s="78" t="n">
        <f aca="false">IF(AND(OR(AK262="À RADIOGRAPHIER",AK262="RÉPARÉ – À RADIOGRAPHIER",AK262="NX – RT À REFAIRE"),OR('PROGRAMME RT'!$D$5="TOUTES",B262='PROGRAMME RT'!$D$5)),1,0)</f>
        <v>0</v>
      </c>
      <c r="AN262" s="78" t="str">
        <f aca="false">IF(AM262=1,SUM(AM$7:AM262),"")</f>
        <v/>
      </c>
      <c r="AO262" s="78" t="n">
        <f aca="false">IF(AND(OR(AK262="À RÉPARER",AK262="COUPE – À RESOUDER",AK262="VT REJETÉ – À REPRENDRE"),OR(RÉPARATIONS!$D$5="TOUTES",B262=RÉPARATIONS!$D$5)),1,0)</f>
        <v>0</v>
      </c>
      <c r="AP262" s="78" t="str">
        <f aca="false">IF(AO262=1,SUM(AO$7:AO262),"")</f>
        <v/>
      </c>
    </row>
    <row r="263" customFormat="false" ht="15" hidden="false" customHeight="false" outlineLevel="0" collapsed="false">
      <c r="A263" s="78" t="str">
        <f aca="false">IF(E263="","",ROW()-6)</f>
        <v/>
      </c>
      <c r="B263" s="79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1"/>
      <c r="Q263" s="81"/>
      <c r="R263" s="80"/>
      <c r="S263" s="80"/>
      <c r="T263" s="81"/>
      <c r="U263" s="80"/>
      <c r="V263" s="80"/>
      <c r="W263" s="80"/>
      <c r="X263" s="80"/>
      <c r="Y263" s="81"/>
      <c r="Z263" s="80"/>
      <c r="AA263" s="80"/>
      <c r="AB263" s="80"/>
      <c r="AC263" s="80"/>
      <c r="AD263" s="81"/>
      <c r="AE263" s="80"/>
      <c r="AF263" s="80"/>
      <c r="AG263" s="81"/>
      <c r="AH263" s="79"/>
      <c r="AI263" s="78" t="str">
        <f aca="false">IF(E263="","",(V263&lt;&gt;"")+(AA263&lt;&gt;"")+(AF263&lt;&gt;""))</f>
        <v/>
      </c>
      <c r="AJ263" s="82" t="str">
        <f aca="false">IF(AF263&lt;&gt;"",AF263,IF(AA263&lt;&gt;"",AA263,IF(V263&lt;&gt;"",V263,"")))</f>
        <v/>
      </c>
      <c r="AK263" s="83" t="str">
        <f aca="false">IF(E263="","",IF(P263="","À SOUDER",IF(S263="","VT EN ATTENTE",IF(S263="R","VT REJETÉ – À REPRENDRE",IF(AJ263="","À RADIOGRAPHIER",IF(AJ263="A","ACCEPTÉ",IF(AJ263="NX","NX – RT À REFAIRE",IF(IF(AI263=1,X263,IF(AI263=2,AC263,""))="A","RÉPARÉ – À RADIOGRAPHIER",IF(IF(AI263=1,X263,IF(AI263=2,AC263,""))="R","VT REJETÉ – À REPRENDRE",IF(AJ263="CO","COUPE – À RESOUDER","À RÉPARER"))))))))))</f>
        <v/>
      </c>
      <c r="AL263" s="82" t="str">
        <f aca="false">IF(AND(ISNUMBER(P263),OR(AK263="À RADIOGRAPHIER",AK263="RÉPARÉ – À RADIOGRAPHIER",AK263="NX – RT À REFAIRE",AK263="À RÉPARER",AK263="COUPE – À RESOUDER",AK263="VT REJETÉ – À REPRENDRE")),MAX(0,'PROGRAMME RT'!$C$4-P263),"")</f>
        <v/>
      </c>
      <c r="AM263" s="78" t="n">
        <f aca="false">IF(AND(OR(AK263="À RADIOGRAPHIER",AK263="RÉPARÉ – À RADIOGRAPHIER",AK263="NX – RT À REFAIRE"),OR('PROGRAMME RT'!$D$5="TOUTES",B263='PROGRAMME RT'!$D$5)),1,0)</f>
        <v>0</v>
      </c>
      <c r="AN263" s="78" t="str">
        <f aca="false">IF(AM263=1,SUM(AM$7:AM263),"")</f>
        <v/>
      </c>
      <c r="AO263" s="78" t="n">
        <f aca="false">IF(AND(OR(AK263="À RÉPARER",AK263="COUPE – À RESOUDER",AK263="VT REJETÉ – À REPRENDRE"),OR(RÉPARATIONS!$D$5="TOUTES",B263=RÉPARATIONS!$D$5)),1,0)</f>
        <v>0</v>
      </c>
      <c r="AP263" s="78" t="str">
        <f aca="false">IF(AO263=1,SUM(AO$7:AO263),"")</f>
        <v/>
      </c>
    </row>
    <row r="264" customFormat="false" ht="15" hidden="false" customHeight="false" outlineLevel="0" collapsed="false">
      <c r="A264" s="78" t="str">
        <f aca="false">IF(E264="","",ROW()-6)</f>
        <v/>
      </c>
      <c r="B264" s="79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1"/>
      <c r="Q264" s="81"/>
      <c r="R264" s="80"/>
      <c r="S264" s="80"/>
      <c r="T264" s="81"/>
      <c r="U264" s="80"/>
      <c r="V264" s="80"/>
      <c r="W264" s="80"/>
      <c r="X264" s="80"/>
      <c r="Y264" s="81"/>
      <c r="Z264" s="80"/>
      <c r="AA264" s="80"/>
      <c r="AB264" s="80"/>
      <c r="AC264" s="80"/>
      <c r="AD264" s="81"/>
      <c r="AE264" s="80"/>
      <c r="AF264" s="80"/>
      <c r="AG264" s="81"/>
      <c r="AH264" s="79"/>
      <c r="AI264" s="78" t="str">
        <f aca="false">IF(E264="","",(V264&lt;&gt;"")+(AA264&lt;&gt;"")+(AF264&lt;&gt;""))</f>
        <v/>
      </c>
      <c r="AJ264" s="82" t="str">
        <f aca="false">IF(AF264&lt;&gt;"",AF264,IF(AA264&lt;&gt;"",AA264,IF(V264&lt;&gt;"",V264,"")))</f>
        <v/>
      </c>
      <c r="AK264" s="83" t="str">
        <f aca="false">IF(E264="","",IF(P264="","À SOUDER",IF(S264="","VT EN ATTENTE",IF(S264="R","VT REJETÉ – À REPRENDRE",IF(AJ264="","À RADIOGRAPHIER",IF(AJ264="A","ACCEPTÉ",IF(AJ264="NX","NX – RT À REFAIRE",IF(IF(AI264=1,X264,IF(AI264=2,AC264,""))="A","RÉPARÉ – À RADIOGRAPHIER",IF(IF(AI264=1,X264,IF(AI264=2,AC264,""))="R","VT REJETÉ – À REPRENDRE",IF(AJ264="CO","COUPE – À RESOUDER","À RÉPARER"))))))))))</f>
        <v/>
      </c>
      <c r="AL264" s="82" t="str">
        <f aca="false">IF(AND(ISNUMBER(P264),OR(AK264="À RADIOGRAPHIER",AK264="RÉPARÉ – À RADIOGRAPHIER",AK264="NX – RT À REFAIRE",AK264="À RÉPARER",AK264="COUPE – À RESOUDER",AK264="VT REJETÉ – À REPRENDRE")),MAX(0,'PROGRAMME RT'!$C$4-P264),"")</f>
        <v/>
      </c>
      <c r="AM264" s="78" t="n">
        <f aca="false">IF(AND(OR(AK264="À RADIOGRAPHIER",AK264="RÉPARÉ – À RADIOGRAPHIER",AK264="NX – RT À REFAIRE"),OR('PROGRAMME RT'!$D$5="TOUTES",B264='PROGRAMME RT'!$D$5)),1,0)</f>
        <v>0</v>
      </c>
      <c r="AN264" s="78" t="str">
        <f aca="false">IF(AM264=1,SUM(AM$7:AM264),"")</f>
        <v/>
      </c>
      <c r="AO264" s="78" t="n">
        <f aca="false">IF(AND(OR(AK264="À RÉPARER",AK264="COUPE – À RESOUDER",AK264="VT REJETÉ – À REPRENDRE"),OR(RÉPARATIONS!$D$5="TOUTES",B264=RÉPARATIONS!$D$5)),1,0)</f>
        <v>0</v>
      </c>
      <c r="AP264" s="78" t="str">
        <f aca="false">IF(AO264=1,SUM(AO$7:AO264),"")</f>
        <v/>
      </c>
    </row>
    <row r="265" customFormat="false" ht="15" hidden="false" customHeight="false" outlineLevel="0" collapsed="false">
      <c r="A265" s="78" t="str">
        <f aca="false">IF(E265="","",ROW()-6)</f>
        <v/>
      </c>
      <c r="B265" s="79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1"/>
      <c r="Q265" s="81"/>
      <c r="R265" s="80"/>
      <c r="S265" s="80"/>
      <c r="T265" s="81"/>
      <c r="U265" s="80"/>
      <c r="V265" s="80"/>
      <c r="W265" s="80"/>
      <c r="X265" s="80"/>
      <c r="Y265" s="81"/>
      <c r="Z265" s="80"/>
      <c r="AA265" s="80"/>
      <c r="AB265" s="80"/>
      <c r="AC265" s="80"/>
      <c r="AD265" s="81"/>
      <c r="AE265" s="80"/>
      <c r="AF265" s="80"/>
      <c r="AG265" s="81"/>
      <c r="AH265" s="79"/>
      <c r="AI265" s="78" t="str">
        <f aca="false">IF(E265="","",(V265&lt;&gt;"")+(AA265&lt;&gt;"")+(AF265&lt;&gt;""))</f>
        <v/>
      </c>
      <c r="AJ265" s="82" t="str">
        <f aca="false">IF(AF265&lt;&gt;"",AF265,IF(AA265&lt;&gt;"",AA265,IF(V265&lt;&gt;"",V265,"")))</f>
        <v/>
      </c>
      <c r="AK265" s="83" t="str">
        <f aca="false">IF(E265="","",IF(P265="","À SOUDER",IF(S265="","VT EN ATTENTE",IF(S265="R","VT REJETÉ – À REPRENDRE",IF(AJ265="","À RADIOGRAPHIER",IF(AJ265="A","ACCEPTÉ",IF(AJ265="NX","NX – RT À REFAIRE",IF(IF(AI265=1,X265,IF(AI265=2,AC265,""))="A","RÉPARÉ – À RADIOGRAPHIER",IF(IF(AI265=1,X265,IF(AI265=2,AC265,""))="R","VT REJETÉ – À REPRENDRE",IF(AJ265="CO","COUPE – À RESOUDER","À RÉPARER"))))))))))</f>
        <v/>
      </c>
      <c r="AL265" s="82" t="str">
        <f aca="false">IF(AND(ISNUMBER(P265),OR(AK265="À RADIOGRAPHIER",AK265="RÉPARÉ – À RADIOGRAPHIER",AK265="NX – RT À REFAIRE",AK265="À RÉPARER",AK265="COUPE – À RESOUDER",AK265="VT REJETÉ – À REPRENDRE")),MAX(0,'PROGRAMME RT'!$C$4-P265),"")</f>
        <v/>
      </c>
      <c r="AM265" s="78" t="n">
        <f aca="false">IF(AND(OR(AK265="À RADIOGRAPHIER",AK265="RÉPARÉ – À RADIOGRAPHIER",AK265="NX – RT À REFAIRE"),OR('PROGRAMME RT'!$D$5="TOUTES",B265='PROGRAMME RT'!$D$5)),1,0)</f>
        <v>0</v>
      </c>
      <c r="AN265" s="78" t="str">
        <f aca="false">IF(AM265=1,SUM(AM$7:AM265),"")</f>
        <v/>
      </c>
      <c r="AO265" s="78" t="n">
        <f aca="false">IF(AND(OR(AK265="À RÉPARER",AK265="COUPE – À RESOUDER",AK265="VT REJETÉ – À REPRENDRE"),OR(RÉPARATIONS!$D$5="TOUTES",B265=RÉPARATIONS!$D$5)),1,0)</f>
        <v>0</v>
      </c>
      <c r="AP265" s="78" t="str">
        <f aca="false">IF(AO265=1,SUM(AO$7:AO265),"")</f>
        <v/>
      </c>
    </row>
    <row r="266" customFormat="false" ht="15" hidden="false" customHeight="false" outlineLevel="0" collapsed="false">
      <c r="A266" s="78" t="str">
        <f aca="false">IF(E266="","",ROW()-6)</f>
        <v/>
      </c>
      <c r="B266" s="79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1"/>
      <c r="Q266" s="81"/>
      <c r="R266" s="80"/>
      <c r="S266" s="80"/>
      <c r="T266" s="81"/>
      <c r="U266" s="80"/>
      <c r="V266" s="80"/>
      <c r="W266" s="80"/>
      <c r="X266" s="80"/>
      <c r="Y266" s="81"/>
      <c r="Z266" s="80"/>
      <c r="AA266" s="80"/>
      <c r="AB266" s="80"/>
      <c r="AC266" s="80"/>
      <c r="AD266" s="81"/>
      <c r="AE266" s="80"/>
      <c r="AF266" s="80"/>
      <c r="AG266" s="81"/>
      <c r="AH266" s="79"/>
      <c r="AI266" s="78" t="str">
        <f aca="false">IF(E266="","",(V266&lt;&gt;"")+(AA266&lt;&gt;"")+(AF266&lt;&gt;""))</f>
        <v/>
      </c>
      <c r="AJ266" s="82" t="str">
        <f aca="false">IF(AF266&lt;&gt;"",AF266,IF(AA266&lt;&gt;"",AA266,IF(V266&lt;&gt;"",V266,"")))</f>
        <v/>
      </c>
      <c r="AK266" s="83" t="str">
        <f aca="false">IF(E266="","",IF(P266="","À SOUDER",IF(S266="","VT EN ATTENTE",IF(S266="R","VT REJETÉ – À REPRENDRE",IF(AJ266="","À RADIOGRAPHIER",IF(AJ266="A","ACCEPTÉ",IF(AJ266="NX","NX – RT À REFAIRE",IF(IF(AI266=1,X266,IF(AI266=2,AC266,""))="A","RÉPARÉ – À RADIOGRAPHIER",IF(IF(AI266=1,X266,IF(AI266=2,AC266,""))="R","VT REJETÉ – À REPRENDRE",IF(AJ266="CO","COUPE – À RESOUDER","À RÉPARER"))))))))))</f>
        <v/>
      </c>
      <c r="AL266" s="82" t="str">
        <f aca="false">IF(AND(ISNUMBER(P266),OR(AK266="À RADIOGRAPHIER",AK266="RÉPARÉ – À RADIOGRAPHIER",AK266="NX – RT À REFAIRE",AK266="À RÉPARER",AK266="COUPE – À RESOUDER",AK266="VT REJETÉ – À REPRENDRE")),MAX(0,'PROGRAMME RT'!$C$4-P266),"")</f>
        <v/>
      </c>
      <c r="AM266" s="78" t="n">
        <f aca="false">IF(AND(OR(AK266="À RADIOGRAPHIER",AK266="RÉPARÉ – À RADIOGRAPHIER",AK266="NX – RT À REFAIRE"),OR('PROGRAMME RT'!$D$5="TOUTES",B266='PROGRAMME RT'!$D$5)),1,0)</f>
        <v>0</v>
      </c>
      <c r="AN266" s="78" t="str">
        <f aca="false">IF(AM266=1,SUM(AM$7:AM266),"")</f>
        <v/>
      </c>
      <c r="AO266" s="78" t="n">
        <f aca="false">IF(AND(OR(AK266="À RÉPARER",AK266="COUPE – À RESOUDER",AK266="VT REJETÉ – À REPRENDRE"),OR(RÉPARATIONS!$D$5="TOUTES",B266=RÉPARATIONS!$D$5)),1,0)</f>
        <v>0</v>
      </c>
      <c r="AP266" s="78" t="str">
        <f aca="false">IF(AO266=1,SUM(AO$7:AO266),"")</f>
        <v/>
      </c>
    </row>
    <row r="267" customFormat="false" ht="15" hidden="false" customHeight="false" outlineLevel="0" collapsed="false">
      <c r="A267" s="78" t="str">
        <f aca="false">IF(E267="","",ROW()-6)</f>
        <v/>
      </c>
      <c r="B267" s="79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1"/>
      <c r="Q267" s="81"/>
      <c r="R267" s="80"/>
      <c r="S267" s="80"/>
      <c r="T267" s="81"/>
      <c r="U267" s="80"/>
      <c r="V267" s="80"/>
      <c r="W267" s="80"/>
      <c r="X267" s="80"/>
      <c r="Y267" s="81"/>
      <c r="Z267" s="80"/>
      <c r="AA267" s="80"/>
      <c r="AB267" s="80"/>
      <c r="AC267" s="80"/>
      <c r="AD267" s="81"/>
      <c r="AE267" s="80"/>
      <c r="AF267" s="80"/>
      <c r="AG267" s="81"/>
      <c r="AH267" s="79"/>
      <c r="AI267" s="78" t="str">
        <f aca="false">IF(E267="","",(V267&lt;&gt;"")+(AA267&lt;&gt;"")+(AF267&lt;&gt;""))</f>
        <v/>
      </c>
      <c r="AJ267" s="82" t="str">
        <f aca="false">IF(AF267&lt;&gt;"",AF267,IF(AA267&lt;&gt;"",AA267,IF(V267&lt;&gt;"",V267,"")))</f>
        <v/>
      </c>
      <c r="AK267" s="83" t="str">
        <f aca="false">IF(E267="","",IF(P267="","À SOUDER",IF(S267="","VT EN ATTENTE",IF(S267="R","VT REJETÉ – À REPRENDRE",IF(AJ267="","À RADIOGRAPHIER",IF(AJ267="A","ACCEPTÉ",IF(AJ267="NX","NX – RT À REFAIRE",IF(IF(AI267=1,X267,IF(AI267=2,AC267,""))="A","RÉPARÉ – À RADIOGRAPHIER",IF(IF(AI267=1,X267,IF(AI267=2,AC267,""))="R","VT REJETÉ – À REPRENDRE",IF(AJ267="CO","COUPE – À RESOUDER","À RÉPARER"))))))))))</f>
        <v/>
      </c>
      <c r="AL267" s="82" t="str">
        <f aca="false">IF(AND(ISNUMBER(P267),OR(AK267="À RADIOGRAPHIER",AK267="RÉPARÉ – À RADIOGRAPHIER",AK267="NX – RT À REFAIRE",AK267="À RÉPARER",AK267="COUPE – À RESOUDER",AK267="VT REJETÉ – À REPRENDRE")),MAX(0,'PROGRAMME RT'!$C$4-P267),"")</f>
        <v/>
      </c>
      <c r="AM267" s="78" t="n">
        <f aca="false">IF(AND(OR(AK267="À RADIOGRAPHIER",AK267="RÉPARÉ – À RADIOGRAPHIER",AK267="NX – RT À REFAIRE"),OR('PROGRAMME RT'!$D$5="TOUTES",B267='PROGRAMME RT'!$D$5)),1,0)</f>
        <v>0</v>
      </c>
      <c r="AN267" s="78" t="str">
        <f aca="false">IF(AM267=1,SUM(AM$7:AM267),"")</f>
        <v/>
      </c>
      <c r="AO267" s="78" t="n">
        <f aca="false">IF(AND(OR(AK267="À RÉPARER",AK267="COUPE – À RESOUDER",AK267="VT REJETÉ – À REPRENDRE"),OR(RÉPARATIONS!$D$5="TOUTES",B267=RÉPARATIONS!$D$5)),1,0)</f>
        <v>0</v>
      </c>
      <c r="AP267" s="78" t="str">
        <f aca="false">IF(AO267=1,SUM(AO$7:AO267),"")</f>
        <v/>
      </c>
    </row>
    <row r="268" customFormat="false" ht="15" hidden="false" customHeight="false" outlineLevel="0" collapsed="false">
      <c r="A268" s="78" t="str">
        <f aca="false">IF(E268="","",ROW()-6)</f>
        <v/>
      </c>
      <c r="B268" s="79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1"/>
      <c r="Q268" s="81"/>
      <c r="R268" s="80"/>
      <c r="S268" s="80"/>
      <c r="T268" s="81"/>
      <c r="U268" s="80"/>
      <c r="V268" s="80"/>
      <c r="W268" s="80"/>
      <c r="X268" s="80"/>
      <c r="Y268" s="81"/>
      <c r="Z268" s="80"/>
      <c r="AA268" s="80"/>
      <c r="AB268" s="80"/>
      <c r="AC268" s="80"/>
      <c r="AD268" s="81"/>
      <c r="AE268" s="80"/>
      <c r="AF268" s="80"/>
      <c r="AG268" s="81"/>
      <c r="AH268" s="79"/>
      <c r="AI268" s="78" t="str">
        <f aca="false">IF(E268="","",(V268&lt;&gt;"")+(AA268&lt;&gt;"")+(AF268&lt;&gt;""))</f>
        <v/>
      </c>
      <c r="AJ268" s="82" t="str">
        <f aca="false">IF(AF268&lt;&gt;"",AF268,IF(AA268&lt;&gt;"",AA268,IF(V268&lt;&gt;"",V268,"")))</f>
        <v/>
      </c>
      <c r="AK268" s="83" t="str">
        <f aca="false">IF(E268="","",IF(P268="","À SOUDER",IF(S268="","VT EN ATTENTE",IF(S268="R","VT REJETÉ – À REPRENDRE",IF(AJ268="","À RADIOGRAPHIER",IF(AJ268="A","ACCEPTÉ",IF(AJ268="NX","NX – RT À REFAIRE",IF(IF(AI268=1,X268,IF(AI268=2,AC268,""))="A","RÉPARÉ – À RADIOGRAPHIER",IF(IF(AI268=1,X268,IF(AI268=2,AC268,""))="R","VT REJETÉ – À REPRENDRE",IF(AJ268="CO","COUPE – À RESOUDER","À RÉPARER"))))))))))</f>
        <v/>
      </c>
      <c r="AL268" s="82" t="str">
        <f aca="false">IF(AND(ISNUMBER(P268),OR(AK268="À RADIOGRAPHIER",AK268="RÉPARÉ – À RADIOGRAPHIER",AK268="NX – RT À REFAIRE",AK268="À RÉPARER",AK268="COUPE – À RESOUDER",AK268="VT REJETÉ – À REPRENDRE")),MAX(0,'PROGRAMME RT'!$C$4-P268),"")</f>
        <v/>
      </c>
      <c r="AM268" s="78" t="n">
        <f aca="false">IF(AND(OR(AK268="À RADIOGRAPHIER",AK268="RÉPARÉ – À RADIOGRAPHIER",AK268="NX – RT À REFAIRE"),OR('PROGRAMME RT'!$D$5="TOUTES",B268='PROGRAMME RT'!$D$5)),1,0)</f>
        <v>0</v>
      </c>
      <c r="AN268" s="78" t="str">
        <f aca="false">IF(AM268=1,SUM(AM$7:AM268),"")</f>
        <v/>
      </c>
      <c r="AO268" s="78" t="n">
        <f aca="false">IF(AND(OR(AK268="À RÉPARER",AK268="COUPE – À RESOUDER",AK268="VT REJETÉ – À REPRENDRE"),OR(RÉPARATIONS!$D$5="TOUTES",B268=RÉPARATIONS!$D$5)),1,0)</f>
        <v>0</v>
      </c>
      <c r="AP268" s="78" t="str">
        <f aca="false">IF(AO268=1,SUM(AO$7:AO268),"")</f>
        <v/>
      </c>
    </row>
    <row r="269" customFormat="false" ht="15" hidden="false" customHeight="false" outlineLevel="0" collapsed="false">
      <c r="A269" s="78" t="str">
        <f aca="false">IF(E269="","",ROW()-6)</f>
        <v/>
      </c>
      <c r="B269" s="79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1"/>
      <c r="Q269" s="81"/>
      <c r="R269" s="80"/>
      <c r="S269" s="80"/>
      <c r="T269" s="81"/>
      <c r="U269" s="80"/>
      <c r="V269" s="80"/>
      <c r="W269" s="80"/>
      <c r="X269" s="80"/>
      <c r="Y269" s="81"/>
      <c r="Z269" s="80"/>
      <c r="AA269" s="80"/>
      <c r="AB269" s="80"/>
      <c r="AC269" s="80"/>
      <c r="AD269" s="81"/>
      <c r="AE269" s="80"/>
      <c r="AF269" s="80"/>
      <c r="AG269" s="81"/>
      <c r="AH269" s="79"/>
      <c r="AI269" s="78" t="str">
        <f aca="false">IF(E269="","",(V269&lt;&gt;"")+(AA269&lt;&gt;"")+(AF269&lt;&gt;""))</f>
        <v/>
      </c>
      <c r="AJ269" s="82" t="str">
        <f aca="false">IF(AF269&lt;&gt;"",AF269,IF(AA269&lt;&gt;"",AA269,IF(V269&lt;&gt;"",V269,"")))</f>
        <v/>
      </c>
      <c r="AK269" s="83" t="str">
        <f aca="false">IF(E269="","",IF(P269="","À SOUDER",IF(S269="","VT EN ATTENTE",IF(S269="R","VT REJETÉ – À REPRENDRE",IF(AJ269="","À RADIOGRAPHIER",IF(AJ269="A","ACCEPTÉ",IF(AJ269="NX","NX – RT À REFAIRE",IF(IF(AI269=1,X269,IF(AI269=2,AC269,""))="A","RÉPARÉ – À RADIOGRAPHIER",IF(IF(AI269=1,X269,IF(AI269=2,AC269,""))="R","VT REJETÉ – À REPRENDRE",IF(AJ269="CO","COUPE – À RESOUDER","À RÉPARER"))))))))))</f>
        <v/>
      </c>
      <c r="AL269" s="82" t="str">
        <f aca="false">IF(AND(ISNUMBER(P269),OR(AK269="À RADIOGRAPHIER",AK269="RÉPARÉ – À RADIOGRAPHIER",AK269="NX – RT À REFAIRE",AK269="À RÉPARER",AK269="COUPE – À RESOUDER",AK269="VT REJETÉ – À REPRENDRE")),MAX(0,'PROGRAMME RT'!$C$4-P269),"")</f>
        <v/>
      </c>
      <c r="AM269" s="78" t="n">
        <f aca="false">IF(AND(OR(AK269="À RADIOGRAPHIER",AK269="RÉPARÉ – À RADIOGRAPHIER",AK269="NX – RT À REFAIRE"),OR('PROGRAMME RT'!$D$5="TOUTES",B269='PROGRAMME RT'!$D$5)),1,0)</f>
        <v>0</v>
      </c>
      <c r="AN269" s="78" t="str">
        <f aca="false">IF(AM269=1,SUM(AM$7:AM269),"")</f>
        <v/>
      </c>
      <c r="AO269" s="78" t="n">
        <f aca="false">IF(AND(OR(AK269="À RÉPARER",AK269="COUPE – À RESOUDER",AK269="VT REJETÉ – À REPRENDRE"),OR(RÉPARATIONS!$D$5="TOUTES",B269=RÉPARATIONS!$D$5)),1,0)</f>
        <v>0</v>
      </c>
      <c r="AP269" s="78" t="str">
        <f aca="false">IF(AO269=1,SUM(AO$7:AO269),"")</f>
        <v/>
      </c>
    </row>
    <row r="270" customFormat="false" ht="15" hidden="false" customHeight="false" outlineLevel="0" collapsed="false">
      <c r="A270" s="78" t="str">
        <f aca="false">IF(E270="","",ROW()-6)</f>
        <v/>
      </c>
      <c r="B270" s="79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1"/>
      <c r="Q270" s="81"/>
      <c r="R270" s="80"/>
      <c r="S270" s="80"/>
      <c r="T270" s="81"/>
      <c r="U270" s="80"/>
      <c r="V270" s="80"/>
      <c r="W270" s="80"/>
      <c r="X270" s="80"/>
      <c r="Y270" s="81"/>
      <c r="Z270" s="80"/>
      <c r="AA270" s="80"/>
      <c r="AB270" s="80"/>
      <c r="AC270" s="80"/>
      <c r="AD270" s="81"/>
      <c r="AE270" s="80"/>
      <c r="AF270" s="80"/>
      <c r="AG270" s="81"/>
      <c r="AH270" s="79"/>
      <c r="AI270" s="78" t="str">
        <f aca="false">IF(E270="","",(V270&lt;&gt;"")+(AA270&lt;&gt;"")+(AF270&lt;&gt;""))</f>
        <v/>
      </c>
      <c r="AJ270" s="82" t="str">
        <f aca="false">IF(AF270&lt;&gt;"",AF270,IF(AA270&lt;&gt;"",AA270,IF(V270&lt;&gt;"",V270,"")))</f>
        <v/>
      </c>
      <c r="AK270" s="83" t="str">
        <f aca="false">IF(E270="","",IF(P270="","À SOUDER",IF(S270="","VT EN ATTENTE",IF(S270="R","VT REJETÉ – À REPRENDRE",IF(AJ270="","À RADIOGRAPHIER",IF(AJ270="A","ACCEPTÉ",IF(AJ270="NX","NX – RT À REFAIRE",IF(IF(AI270=1,X270,IF(AI270=2,AC270,""))="A","RÉPARÉ – À RADIOGRAPHIER",IF(IF(AI270=1,X270,IF(AI270=2,AC270,""))="R","VT REJETÉ – À REPRENDRE",IF(AJ270="CO","COUPE – À RESOUDER","À RÉPARER"))))))))))</f>
        <v/>
      </c>
      <c r="AL270" s="82" t="str">
        <f aca="false">IF(AND(ISNUMBER(P270),OR(AK270="À RADIOGRAPHIER",AK270="RÉPARÉ – À RADIOGRAPHIER",AK270="NX – RT À REFAIRE",AK270="À RÉPARER",AK270="COUPE – À RESOUDER",AK270="VT REJETÉ – À REPRENDRE")),MAX(0,'PROGRAMME RT'!$C$4-P270),"")</f>
        <v/>
      </c>
      <c r="AM270" s="78" t="n">
        <f aca="false">IF(AND(OR(AK270="À RADIOGRAPHIER",AK270="RÉPARÉ – À RADIOGRAPHIER",AK270="NX – RT À REFAIRE"),OR('PROGRAMME RT'!$D$5="TOUTES",B270='PROGRAMME RT'!$D$5)),1,0)</f>
        <v>0</v>
      </c>
      <c r="AN270" s="78" t="str">
        <f aca="false">IF(AM270=1,SUM(AM$7:AM270),"")</f>
        <v/>
      </c>
      <c r="AO270" s="78" t="n">
        <f aca="false">IF(AND(OR(AK270="À RÉPARER",AK270="COUPE – À RESOUDER",AK270="VT REJETÉ – À REPRENDRE"),OR(RÉPARATIONS!$D$5="TOUTES",B270=RÉPARATIONS!$D$5)),1,0)</f>
        <v>0</v>
      </c>
      <c r="AP270" s="78" t="str">
        <f aca="false">IF(AO270=1,SUM(AO$7:AO270),"")</f>
        <v/>
      </c>
    </row>
    <row r="271" customFormat="false" ht="15" hidden="false" customHeight="false" outlineLevel="0" collapsed="false">
      <c r="A271" s="78" t="str">
        <f aca="false">IF(E271="","",ROW()-6)</f>
        <v/>
      </c>
      <c r="B271" s="79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1"/>
      <c r="Q271" s="81"/>
      <c r="R271" s="80"/>
      <c r="S271" s="80"/>
      <c r="T271" s="81"/>
      <c r="U271" s="80"/>
      <c r="V271" s="80"/>
      <c r="W271" s="80"/>
      <c r="X271" s="80"/>
      <c r="Y271" s="81"/>
      <c r="Z271" s="80"/>
      <c r="AA271" s="80"/>
      <c r="AB271" s="80"/>
      <c r="AC271" s="80"/>
      <c r="AD271" s="81"/>
      <c r="AE271" s="80"/>
      <c r="AF271" s="80"/>
      <c r="AG271" s="81"/>
      <c r="AH271" s="79"/>
      <c r="AI271" s="78" t="str">
        <f aca="false">IF(E271="","",(V271&lt;&gt;"")+(AA271&lt;&gt;"")+(AF271&lt;&gt;""))</f>
        <v/>
      </c>
      <c r="AJ271" s="82" t="str">
        <f aca="false">IF(AF271&lt;&gt;"",AF271,IF(AA271&lt;&gt;"",AA271,IF(V271&lt;&gt;"",V271,"")))</f>
        <v/>
      </c>
      <c r="AK271" s="83" t="str">
        <f aca="false">IF(E271="","",IF(P271="","À SOUDER",IF(S271="","VT EN ATTENTE",IF(S271="R","VT REJETÉ – À REPRENDRE",IF(AJ271="","À RADIOGRAPHIER",IF(AJ271="A","ACCEPTÉ",IF(AJ271="NX","NX – RT À REFAIRE",IF(IF(AI271=1,X271,IF(AI271=2,AC271,""))="A","RÉPARÉ – À RADIOGRAPHIER",IF(IF(AI271=1,X271,IF(AI271=2,AC271,""))="R","VT REJETÉ – À REPRENDRE",IF(AJ271="CO","COUPE – À RESOUDER","À RÉPARER"))))))))))</f>
        <v/>
      </c>
      <c r="AL271" s="82" t="str">
        <f aca="false">IF(AND(ISNUMBER(P271),OR(AK271="À RADIOGRAPHIER",AK271="RÉPARÉ – À RADIOGRAPHIER",AK271="NX – RT À REFAIRE",AK271="À RÉPARER",AK271="COUPE – À RESOUDER",AK271="VT REJETÉ – À REPRENDRE")),MAX(0,'PROGRAMME RT'!$C$4-P271),"")</f>
        <v/>
      </c>
      <c r="AM271" s="78" t="n">
        <f aca="false">IF(AND(OR(AK271="À RADIOGRAPHIER",AK271="RÉPARÉ – À RADIOGRAPHIER",AK271="NX – RT À REFAIRE"),OR('PROGRAMME RT'!$D$5="TOUTES",B271='PROGRAMME RT'!$D$5)),1,0)</f>
        <v>0</v>
      </c>
      <c r="AN271" s="78" t="str">
        <f aca="false">IF(AM271=1,SUM(AM$7:AM271),"")</f>
        <v/>
      </c>
      <c r="AO271" s="78" t="n">
        <f aca="false">IF(AND(OR(AK271="À RÉPARER",AK271="COUPE – À RESOUDER",AK271="VT REJETÉ – À REPRENDRE"),OR(RÉPARATIONS!$D$5="TOUTES",B271=RÉPARATIONS!$D$5)),1,0)</f>
        <v>0</v>
      </c>
      <c r="AP271" s="78" t="str">
        <f aca="false">IF(AO271=1,SUM(AO$7:AO271),"")</f>
        <v/>
      </c>
    </row>
    <row r="272" customFormat="false" ht="15" hidden="false" customHeight="false" outlineLevel="0" collapsed="false">
      <c r="A272" s="78" t="str">
        <f aca="false">IF(E272="","",ROW()-6)</f>
        <v/>
      </c>
      <c r="B272" s="79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1"/>
      <c r="Q272" s="81"/>
      <c r="R272" s="80"/>
      <c r="S272" s="80"/>
      <c r="T272" s="81"/>
      <c r="U272" s="80"/>
      <c r="V272" s="80"/>
      <c r="W272" s="80"/>
      <c r="X272" s="80"/>
      <c r="Y272" s="81"/>
      <c r="Z272" s="80"/>
      <c r="AA272" s="80"/>
      <c r="AB272" s="80"/>
      <c r="AC272" s="80"/>
      <c r="AD272" s="81"/>
      <c r="AE272" s="80"/>
      <c r="AF272" s="80"/>
      <c r="AG272" s="81"/>
      <c r="AH272" s="79"/>
      <c r="AI272" s="78" t="str">
        <f aca="false">IF(E272="","",(V272&lt;&gt;"")+(AA272&lt;&gt;"")+(AF272&lt;&gt;""))</f>
        <v/>
      </c>
      <c r="AJ272" s="82" t="str">
        <f aca="false">IF(AF272&lt;&gt;"",AF272,IF(AA272&lt;&gt;"",AA272,IF(V272&lt;&gt;"",V272,"")))</f>
        <v/>
      </c>
      <c r="AK272" s="83" t="str">
        <f aca="false">IF(E272="","",IF(P272="","À SOUDER",IF(S272="","VT EN ATTENTE",IF(S272="R","VT REJETÉ – À REPRENDRE",IF(AJ272="","À RADIOGRAPHIER",IF(AJ272="A","ACCEPTÉ",IF(AJ272="NX","NX – RT À REFAIRE",IF(IF(AI272=1,X272,IF(AI272=2,AC272,""))="A","RÉPARÉ – À RADIOGRAPHIER",IF(IF(AI272=1,X272,IF(AI272=2,AC272,""))="R","VT REJETÉ – À REPRENDRE",IF(AJ272="CO","COUPE – À RESOUDER","À RÉPARER"))))))))))</f>
        <v/>
      </c>
      <c r="AL272" s="82" t="str">
        <f aca="false">IF(AND(ISNUMBER(P272),OR(AK272="À RADIOGRAPHIER",AK272="RÉPARÉ – À RADIOGRAPHIER",AK272="NX – RT À REFAIRE",AK272="À RÉPARER",AK272="COUPE – À RESOUDER",AK272="VT REJETÉ – À REPRENDRE")),MAX(0,'PROGRAMME RT'!$C$4-P272),"")</f>
        <v/>
      </c>
      <c r="AM272" s="78" t="n">
        <f aca="false">IF(AND(OR(AK272="À RADIOGRAPHIER",AK272="RÉPARÉ – À RADIOGRAPHIER",AK272="NX – RT À REFAIRE"),OR('PROGRAMME RT'!$D$5="TOUTES",B272='PROGRAMME RT'!$D$5)),1,0)</f>
        <v>0</v>
      </c>
      <c r="AN272" s="78" t="str">
        <f aca="false">IF(AM272=1,SUM(AM$7:AM272),"")</f>
        <v/>
      </c>
      <c r="AO272" s="78" t="n">
        <f aca="false">IF(AND(OR(AK272="À RÉPARER",AK272="COUPE – À RESOUDER",AK272="VT REJETÉ – À REPRENDRE"),OR(RÉPARATIONS!$D$5="TOUTES",B272=RÉPARATIONS!$D$5)),1,0)</f>
        <v>0</v>
      </c>
      <c r="AP272" s="78" t="str">
        <f aca="false">IF(AO272=1,SUM(AO$7:AO272),"")</f>
        <v/>
      </c>
    </row>
    <row r="273" customFormat="false" ht="15" hidden="false" customHeight="false" outlineLevel="0" collapsed="false">
      <c r="A273" s="78" t="str">
        <f aca="false">IF(E273="","",ROW()-6)</f>
        <v/>
      </c>
      <c r="B273" s="79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1"/>
      <c r="Q273" s="81"/>
      <c r="R273" s="80"/>
      <c r="S273" s="80"/>
      <c r="T273" s="81"/>
      <c r="U273" s="80"/>
      <c r="V273" s="80"/>
      <c r="W273" s="80"/>
      <c r="X273" s="80"/>
      <c r="Y273" s="81"/>
      <c r="Z273" s="80"/>
      <c r="AA273" s="80"/>
      <c r="AB273" s="80"/>
      <c r="AC273" s="80"/>
      <c r="AD273" s="81"/>
      <c r="AE273" s="80"/>
      <c r="AF273" s="80"/>
      <c r="AG273" s="81"/>
      <c r="AH273" s="79"/>
      <c r="AI273" s="78" t="str">
        <f aca="false">IF(E273="","",(V273&lt;&gt;"")+(AA273&lt;&gt;"")+(AF273&lt;&gt;""))</f>
        <v/>
      </c>
      <c r="AJ273" s="82" t="str">
        <f aca="false">IF(AF273&lt;&gt;"",AF273,IF(AA273&lt;&gt;"",AA273,IF(V273&lt;&gt;"",V273,"")))</f>
        <v/>
      </c>
      <c r="AK273" s="83" t="str">
        <f aca="false">IF(E273="","",IF(P273="","À SOUDER",IF(S273="","VT EN ATTENTE",IF(S273="R","VT REJETÉ – À REPRENDRE",IF(AJ273="","À RADIOGRAPHIER",IF(AJ273="A","ACCEPTÉ",IF(AJ273="NX","NX – RT À REFAIRE",IF(IF(AI273=1,X273,IF(AI273=2,AC273,""))="A","RÉPARÉ – À RADIOGRAPHIER",IF(IF(AI273=1,X273,IF(AI273=2,AC273,""))="R","VT REJETÉ – À REPRENDRE",IF(AJ273="CO","COUPE – À RESOUDER","À RÉPARER"))))))))))</f>
        <v/>
      </c>
      <c r="AL273" s="82" t="str">
        <f aca="false">IF(AND(ISNUMBER(P273),OR(AK273="À RADIOGRAPHIER",AK273="RÉPARÉ – À RADIOGRAPHIER",AK273="NX – RT À REFAIRE",AK273="À RÉPARER",AK273="COUPE – À RESOUDER",AK273="VT REJETÉ – À REPRENDRE")),MAX(0,'PROGRAMME RT'!$C$4-P273),"")</f>
        <v/>
      </c>
      <c r="AM273" s="78" t="n">
        <f aca="false">IF(AND(OR(AK273="À RADIOGRAPHIER",AK273="RÉPARÉ – À RADIOGRAPHIER",AK273="NX – RT À REFAIRE"),OR('PROGRAMME RT'!$D$5="TOUTES",B273='PROGRAMME RT'!$D$5)),1,0)</f>
        <v>0</v>
      </c>
      <c r="AN273" s="78" t="str">
        <f aca="false">IF(AM273=1,SUM(AM$7:AM273),"")</f>
        <v/>
      </c>
      <c r="AO273" s="78" t="n">
        <f aca="false">IF(AND(OR(AK273="À RÉPARER",AK273="COUPE – À RESOUDER",AK273="VT REJETÉ – À REPRENDRE"),OR(RÉPARATIONS!$D$5="TOUTES",B273=RÉPARATIONS!$D$5)),1,0)</f>
        <v>0</v>
      </c>
      <c r="AP273" s="78" t="str">
        <f aca="false">IF(AO273=1,SUM(AO$7:AO273),"")</f>
        <v/>
      </c>
    </row>
    <row r="274" customFormat="false" ht="15" hidden="false" customHeight="false" outlineLevel="0" collapsed="false">
      <c r="A274" s="78" t="str">
        <f aca="false">IF(E274="","",ROW()-6)</f>
        <v/>
      </c>
      <c r="B274" s="79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1"/>
      <c r="Q274" s="81"/>
      <c r="R274" s="80"/>
      <c r="S274" s="80"/>
      <c r="T274" s="81"/>
      <c r="U274" s="80"/>
      <c r="V274" s="80"/>
      <c r="W274" s="80"/>
      <c r="X274" s="80"/>
      <c r="Y274" s="81"/>
      <c r="Z274" s="80"/>
      <c r="AA274" s="80"/>
      <c r="AB274" s="80"/>
      <c r="AC274" s="80"/>
      <c r="AD274" s="81"/>
      <c r="AE274" s="80"/>
      <c r="AF274" s="80"/>
      <c r="AG274" s="81"/>
      <c r="AH274" s="79"/>
      <c r="AI274" s="78" t="str">
        <f aca="false">IF(E274="","",(V274&lt;&gt;"")+(AA274&lt;&gt;"")+(AF274&lt;&gt;""))</f>
        <v/>
      </c>
      <c r="AJ274" s="82" t="str">
        <f aca="false">IF(AF274&lt;&gt;"",AF274,IF(AA274&lt;&gt;"",AA274,IF(V274&lt;&gt;"",V274,"")))</f>
        <v/>
      </c>
      <c r="AK274" s="83" t="str">
        <f aca="false">IF(E274="","",IF(P274="","À SOUDER",IF(S274="","VT EN ATTENTE",IF(S274="R","VT REJETÉ – À REPRENDRE",IF(AJ274="","À RADIOGRAPHIER",IF(AJ274="A","ACCEPTÉ",IF(AJ274="NX","NX – RT À REFAIRE",IF(IF(AI274=1,X274,IF(AI274=2,AC274,""))="A","RÉPARÉ – À RADIOGRAPHIER",IF(IF(AI274=1,X274,IF(AI274=2,AC274,""))="R","VT REJETÉ – À REPRENDRE",IF(AJ274="CO","COUPE – À RESOUDER","À RÉPARER"))))))))))</f>
        <v/>
      </c>
      <c r="AL274" s="82" t="str">
        <f aca="false">IF(AND(ISNUMBER(P274),OR(AK274="À RADIOGRAPHIER",AK274="RÉPARÉ – À RADIOGRAPHIER",AK274="NX – RT À REFAIRE",AK274="À RÉPARER",AK274="COUPE – À RESOUDER",AK274="VT REJETÉ – À REPRENDRE")),MAX(0,'PROGRAMME RT'!$C$4-P274),"")</f>
        <v/>
      </c>
      <c r="AM274" s="78" t="n">
        <f aca="false">IF(AND(OR(AK274="À RADIOGRAPHIER",AK274="RÉPARÉ – À RADIOGRAPHIER",AK274="NX – RT À REFAIRE"),OR('PROGRAMME RT'!$D$5="TOUTES",B274='PROGRAMME RT'!$D$5)),1,0)</f>
        <v>0</v>
      </c>
      <c r="AN274" s="78" t="str">
        <f aca="false">IF(AM274=1,SUM(AM$7:AM274),"")</f>
        <v/>
      </c>
      <c r="AO274" s="78" t="n">
        <f aca="false">IF(AND(OR(AK274="À RÉPARER",AK274="COUPE – À RESOUDER",AK274="VT REJETÉ – À REPRENDRE"),OR(RÉPARATIONS!$D$5="TOUTES",B274=RÉPARATIONS!$D$5)),1,0)</f>
        <v>0</v>
      </c>
      <c r="AP274" s="78" t="str">
        <f aca="false">IF(AO274=1,SUM(AO$7:AO274),"")</f>
        <v/>
      </c>
    </row>
    <row r="275" customFormat="false" ht="15" hidden="false" customHeight="false" outlineLevel="0" collapsed="false">
      <c r="A275" s="78" t="str">
        <f aca="false">IF(E275="","",ROW()-6)</f>
        <v/>
      </c>
      <c r="B275" s="79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1"/>
      <c r="Q275" s="81"/>
      <c r="R275" s="80"/>
      <c r="S275" s="80"/>
      <c r="T275" s="81"/>
      <c r="U275" s="80"/>
      <c r="V275" s="80"/>
      <c r="W275" s="80"/>
      <c r="X275" s="80"/>
      <c r="Y275" s="81"/>
      <c r="Z275" s="80"/>
      <c r="AA275" s="80"/>
      <c r="AB275" s="80"/>
      <c r="AC275" s="80"/>
      <c r="AD275" s="81"/>
      <c r="AE275" s="80"/>
      <c r="AF275" s="80"/>
      <c r="AG275" s="81"/>
      <c r="AH275" s="79"/>
      <c r="AI275" s="78" t="str">
        <f aca="false">IF(E275="","",(V275&lt;&gt;"")+(AA275&lt;&gt;"")+(AF275&lt;&gt;""))</f>
        <v/>
      </c>
      <c r="AJ275" s="82" t="str">
        <f aca="false">IF(AF275&lt;&gt;"",AF275,IF(AA275&lt;&gt;"",AA275,IF(V275&lt;&gt;"",V275,"")))</f>
        <v/>
      </c>
      <c r="AK275" s="83" t="str">
        <f aca="false">IF(E275="","",IF(P275="","À SOUDER",IF(S275="","VT EN ATTENTE",IF(S275="R","VT REJETÉ – À REPRENDRE",IF(AJ275="","À RADIOGRAPHIER",IF(AJ275="A","ACCEPTÉ",IF(AJ275="NX","NX – RT À REFAIRE",IF(IF(AI275=1,X275,IF(AI275=2,AC275,""))="A","RÉPARÉ – À RADIOGRAPHIER",IF(IF(AI275=1,X275,IF(AI275=2,AC275,""))="R","VT REJETÉ – À REPRENDRE",IF(AJ275="CO","COUPE – À RESOUDER","À RÉPARER"))))))))))</f>
        <v/>
      </c>
      <c r="AL275" s="82" t="str">
        <f aca="false">IF(AND(ISNUMBER(P275),OR(AK275="À RADIOGRAPHIER",AK275="RÉPARÉ – À RADIOGRAPHIER",AK275="NX – RT À REFAIRE",AK275="À RÉPARER",AK275="COUPE – À RESOUDER",AK275="VT REJETÉ – À REPRENDRE")),MAX(0,'PROGRAMME RT'!$C$4-P275),"")</f>
        <v/>
      </c>
      <c r="AM275" s="78" t="n">
        <f aca="false">IF(AND(OR(AK275="À RADIOGRAPHIER",AK275="RÉPARÉ – À RADIOGRAPHIER",AK275="NX – RT À REFAIRE"),OR('PROGRAMME RT'!$D$5="TOUTES",B275='PROGRAMME RT'!$D$5)),1,0)</f>
        <v>0</v>
      </c>
      <c r="AN275" s="78" t="str">
        <f aca="false">IF(AM275=1,SUM(AM$7:AM275),"")</f>
        <v/>
      </c>
      <c r="AO275" s="78" t="n">
        <f aca="false">IF(AND(OR(AK275="À RÉPARER",AK275="COUPE – À RESOUDER",AK275="VT REJETÉ – À REPRENDRE"),OR(RÉPARATIONS!$D$5="TOUTES",B275=RÉPARATIONS!$D$5)),1,0)</f>
        <v>0</v>
      </c>
      <c r="AP275" s="78" t="str">
        <f aca="false">IF(AO275=1,SUM(AO$7:AO275),"")</f>
        <v/>
      </c>
    </row>
    <row r="276" customFormat="false" ht="15" hidden="false" customHeight="false" outlineLevel="0" collapsed="false">
      <c r="A276" s="78" t="str">
        <f aca="false">IF(E276="","",ROW()-6)</f>
        <v/>
      </c>
      <c r="B276" s="79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1"/>
      <c r="Q276" s="81"/>
      <c r="R276" s="80"/>
      <c r="S276" s="80"/>
      <c r="T276" s="81"/>
      <c r="U276" s="80"/>
      <c r="V276" s="80"/>
      <c r="W276" s="80"/>
      <c r="X276" s="80"/>
      <c r="Y276" s="81"/>
      <c r="Z276" s="80"/>
      <c r="AA276" s="80"/>
      <c r="AB276" s="80"/>
      <c r="AC276" s="80"/>
      <c r="AD276" s="81"/>
      <c r="AE276" s="80"/>
      <c r="AF276" s="80"/>
      <c r="AG276" s="81"/>
      <c r="AH276" s="79"/>
      <c r="AI276" s="78" t="str">
        <f aca="false">IF(E276="","",(V276&lt;&gt;"")+(AA276&lt;&gt;"")+(AF276&lt;&gt;""))</f>
        <v/>
      </c>
      <c r="AJ276" s="82" t="str">
        <f aca="false">IF(AF276&lt;&gt;"",AF276,IF(AA276&lt;&gt;"",AA276,IF(V276&lt;&gt;"",V276,"")))</f>
        <v/>
      </c>
      <c r="AK276" s="83" t="str">
        <f aca="false">IF(E276="","",IF(P276="","À SOUDER",IF(S276="","VT EN ATTENTE",IF(S276="R","VT REJETÉ – À REPRENDRE",IF(AJ276="","À RADIOGRAPHIER",IF(AJ276="A","ACCEPTÉ",IF(AJ276="NX","NX – RT À REFAIRE",IF(IF(AI276=1,X276,IF(AI276=2,AC276,""))="A","RÉPARÉ – À RADIOGRAPHIER",IF(IF(AI276=1,X276,IF(AI276=2,AC276,""))="R","VT REJETÉ – À REPRENDRE",IF(AJ276="CO","COUPE – À RESOUDER","À RÉPARER"))))))))))</f>
        <v/>
      </c>
      <c r="AL276" s="82" t="str">
        <f aca="false">IF(AND(ISNUMBER(P276),OR(AK276="À RADIOGRAPHIER",AK276="RÉPARÉ – À RADIOGRAPHIER",AK276="NX – RT À REFAIRE",AK276="À RÉPARER",AK276="COUPE – À RESOUDER",AK276="VT REJETÉ – À REPRENDRE")),MAX(0,'PROGRAMME RT'!$C$4-P276),"")</f>
        <v/>
      </c>
      <c r="AM276" s="78" t="n">
        <f aca="false">IF(AND(OR(AK276="À RADIOGRAPHIER",AK276="RÉPARÉ – À RADIOGRAPHIER",AK276="NX – RT À REFAIRE"),OR('PROGRAMME RT'!$D$5="TOUTES",B276='PROGRAMME RT'!$D$5)),1,0)</f>
        <v>0</v>
      </c>
      <c r="AN276" s="78" t="str">
        <f aca="false">IF(AM276=1,SUM(AM$7:AM276),"")</f>
        <v/>
      </c>
      <c r="AO276" s="78" t="n">
        <f aca="false">IF(AND(OR(AK276="À RÉPARER",AK276="COUPE – À RESOUDER",AK276="VT REJETÉ – À REPRENDRE"),OR(RÉPARATIONS!$D$5="TOUTES",B276=RÉPARATIONS!$D$5)),1,0)</f>
        <v>0</v>
      </c>
      <c r="AP276" s="78" t="str">
        <f aca="false">IF(AO276=1,SUM(AO$7:AO276),"")</f>
        <v/>
      </c>
    </row>
    <row r="277" customFormat="false" ht="15" hidden="false" customHeight="false" outlineLevel="0" collapsed="false">
      <c r="A277" s="78" t="str">
        <f aca="false">IF(E277="","",ROW()-6)</f>
        <v/>
      </c>
      <c r="B277" s="79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1"/>
      <c r="Q277" s="81"/>
      <c r="R277" s="80"/>
      <c r="S277" s="80"/>
      <c r="T277" s="81"/>
      <c r="U277" s="80"/>
      <c r="V277" s="80"/>
      <c r="W277" s="80"/>
      <c r="X277" s="80"/>
      <c r="Y277" s="81"/>
      <c r="Z277" s="80"/>
      <c r="AA277" s="80"/>
      <c r="AB277" s="80"/>
      <c r="AC277" s="80"/>
      <c r="AD277" s="81"/>
      <c r="AE277" s="80"/>
      <c r="AF277" s="80"/>
      <c r="AG277" s="81"/>
      <c r="AH277" s="79"/>
      <c r="AI277" s="78" t="str">
        <f aca="false">IF(E277="","",(V277&lt;&gt;"")+(AA277&lt;&gt;"")+(AF277&lt;&gt;""))</f>
        <v/>
      </c>
      <c r="AJ277" s="82" t="str">
        <f aca="false">IF(AF277&lt;&gt;"",AF277,IF(AA277&lt;&gt;"",AA277,IF(V277&lt;&gt;"",V277,"")))</f>
        <v/>
      </c>
      <c r="AK277" s="83" t="str">
        <f aca="false">IF(E277="","",IF(P277="","À SOUDER",IF(S277="","VT EN ATTENTE",IF(S277="R","VT REJETÉ – À REPRENDRE",IF(AJ277="","À RADIOGRAPHIER",IF(AJ277="A","ACCEPTÉ",IF(AJ277="NX","NX – RT À REFAIRE",IF(IF(AI277=1,X277,IF(AI277=2,AC277,""))="A","RÉPARÉ – À RADIOGRAPHIER",IF(IF(AI277=1,X277,IF(AI277=2,AC277,""))="R","VT REJETÉ – À REPRENDRE",IF(AJ277="CO","COUPE – À RESOUDER","À RÉPARER"))))))))))</f>
        <v/>
      </c>
      <c r="AL277" s="82" t="str">
        <f aca="false">IF(AND(ISNUMBER(P277),OR(AK277="À RADIOGRAPHIER",AK277="RÉPARÉ – À RADIOGRAPHIER",AK277="NX – RT À REFAIRE",AK277="À RÉPARER",AK277="COUPE – À RESOUDER",AK277="VT REJETÉ – À REPRENDRE")),MAX(0,'PROGRAMME RT'!$C$4-P277),"")</f>
        <v/>
      </c>
      <c r="AM277" s="78" t="n">
        <f aca="false">IF(AND(OR(AK277="À RADIOGRAPHIER",AK277="RÉPARÉ – À RADIOGRAPHIER",AK277="NX – RT À REFAIRE"),OR('PROGRAMME RT'!$D$5="TOUTES",B277='PROGRAMME RT'!$D$5)),1,0)</f>
        <v>0</v>
      </c>
      <c r="AN277" s="78" t="str">
        <f aca="false">IF(AM277=1,SUM(AM$7:AM277),"")</f>
        <v/>
      </c>
      <c r="AO277" s="78" t="n">
        <f aca="false">IF(AND(OR(AK277="À RÉPARER",AK277="COUPE – À RESOUDER",AK277="VT REJETÉ – À REPRENDRE"),OR(RÉPARATIONS!$D$5="TOUTES",B277=RÉPARATIONS!$D$5)),1,0)</f>
        <v>0</v>
      </c>
      <c r="AP277" s="78" t="str">
        <f aca="false">IF(AO277=1,SUM(AO$7:AO277),"")</f>
        <v/>
      </c>
    </row>
    <row r="278" customFormat="false" ht="15" hidden="false" customHeight="false" outlineLevel="0" collapsed="false">
      <c r="A278" s="78" t="str">
        <f aca="false">IF(E278="","",ROW()-6)</f>
        <v/>
      </c>
      <c r="B278" s="79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1"/>
      <c r="Q278" s="81"/>
      <c r="R278" s="80"/>
      <c r="S278" s="80"/>
      <c r="T278" s="81"/>
      <c r="U278" s="80"/>
      <c r="V278" s="80"/>
      <c r="W278" s="80"/>
      <c r="X278" s="80"/>
      <c r="Y278" s="81"/>
      <c r="Z278" s="80"/>
      <c r="AA278" s="80"/>
      <c r="AB278" s="80"/>
      <c r="AC278" s="80"/>
      <c r="AD278" s="81"/>
      <c r="AE278" s="80"/>
      <c r="AF278" s="80"/>
      <c r="AG278" s="81"/>
      <c r="AH278" s="79"/>
      <c r="AI278" s="78" t="str">
        <f aca="false">IF(E278="","",(V278&lt;&gt;"")+(AA278&lt;&gt;"")+(AF278&lt;&gt;""))</f>
        <v/>
      </c>
      <c r="AJ278" s="82" t="str">
        <f aca="false">IF(AF278&lt;&gt;"",AF278,IF(AA278&lt;&gt;"",AA278,IF(V278&lt;&gt;"",V278,"")))</f>
        <v/>
      </c>
      <c r="AK278" s="83" t="str">
        <f aca="false">IF(E278="","",IF(P278="","À SOUDER",IF(S278="","VT EN ATTENTE",IF(S278="R","VT REJETÉ – À REPRENDRE",IF(AJ278="","À RADIOGRAPHIER",IF(AJ278="A","ACCEPTÉ",IF(AJ278="NX","NX – RT À REFAIRE",IF(IF(AI278=1,X278,IF(AI278=2,AC278,""))="A","RÉPARÉ – À RADIOGRAPHIER",IF(IF(AI278=1,X278,IF(AI278=2,AC278,""))="R","VT REJETÉ – À REPRENDRE",IF(AJ278="CO","COUPE – À RESOUDER","À RÉPARER"))))))))))</f>
        <v/>
      </c>
      <c r="AL278" s="82" t="str">
        <f aca="false">IF(AND(ISNUMBER(P278),OR(AK278="À RADIOGRAPHIER",AK278="RÉPARÉ – À RADIOGRAPHIER",AK278="NX – RT À REFAIRE",AK278="À RÉPARER",AK278="COUPE – À RESOUDER",AK278="VT REJETÉ – À REPRENDRE")),MAX(0,'PROGRAMME RT'!$C$4-P278),"")</f>
        <v/>
      </c>
      <c r="AM278" s="78" t="n">
        <f aca="false">IF(AND(OR(AK278="À RADIOGRAPHIER",AK278="RÉPARÉ – À RADIOGRAPHIER",AK278="NX – RT À REFAIRE"),OR('PROGRAMME RT'!$D$5="TOUTES",B278='PROGRAMME RT'!$D$5)),1,0)</f>
        <v>0</v>
      </c>
      <c r="AN278" s="78" t="str">
        <f aca="false">IF(AM278=1,SUM(AM$7:AM278),"")</f>
        <v/>
      </c>
      <c r="AO278" s="78" t="n">
        <f aca="false">IF(AND(OR(AK278="À RÉPARER",AK278="COUPE – À RESOUDER",AK278="VT REJETÉ – À REPRENDRE"),OR(RÉPARATIONS!$D$5="TOUTES",B278=RÉPARATIONS!$D$5)),1,0)</f>
        <v>0</v>
      </c>
      <c r="AP278" s="78" t="str">
        <f aca="false">IF(AO278=1,SUM(AO$7:AO278),"")</f>
        <v/>
      </c>
    </row>
    <row r="279" customFormat="false" ht="15" hidden="false" customHeight="false" outlineLevel="0" collapsed="false">
      <c r="A279" s="78" t="str">
        <f aca="false">IF(E279="","",ROW()-6)</f>
        <v/>
      </c>
      <c r="B279" s="79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1"/>
      <c r="Q279" s="81"/>
      <c r="R279" s="80"/>
      <c r="S279" s="80"/>
      <c r="T279" s="81"/>
      <c r="U279" s="80"/>
      <c r="V279" s="80"/>
      <c r="W279" s="80"/>
      <c r="X279" s="80"/>
      <c r="Y279" s="81"/>
      <c r="Z279" s="80"/>
      <c r="AA279" s="80"/>
      <c r="AB279" s="80"/>
      <c r="AC279" s="80"/>
      <c r="AD279" s="81"/>
      <c r="AE279" s="80"/>
      <c r="AF279" s="80"/>
      <c r="AG279" s="81"/>
      <c r="AH279" s="79"/>
      <c r="AI279" s="78" t="str">
        <f aca="false">IF(E279="","",(V279&lt;&gt;"")+(AA279&lt;&gt;"")+(AF279&lt;&gt;""))</f>
        <v/>
      </c>
      <c r="AJ279" s="82" t="str">
        <f aca="false">IF(AF279&lt;&gt;"",AF279,IF(AA279&lt;&gt;"",AA279,IF(V279&lt;&gt;"",V279,"")))</f>
        <v/>
      </c>
      <c r="AK279" s="83" t="str">
        <f aca="false">IF(E279="","",IF(P279="","À SOUDER",IF(S279="","VT EN ATTENTE",IF(S279="R","VT REJETÉ – À REPRENDRE",IF(AJ279="","À RADIOGRAPHIER",IF(AJ279="A","ACCEPTÉ",IF(AJ279="NX","NX – RT À REFAIRE",IF(IF(AI279=1,X279,IF(AI279=2,AC279,""))="A","RÉPARÉ – À RADIOGRAPHIER",IF(IF(AI279=1,X279,IF(AI279=2,AC279,""))="R","VT REJETÉ – À REPRENDRE",IF(AJ279="CO","COUPE – À RESOUDER","À RÉPARER"))))))))))</f>
        <v/>
      </c>
      <c r="AL279" s="82" t="str">
        <f aca="false">IF(AND(ISNUMBER(P279),OR(AK279="À RADIOGRAPHIER",AK279="RÉPARÉ – À RADIOGRAPHIER",AK279="NX – RT À REFAIRE",AK279="À RÉPARER",AK279="COUPE – À RESOUDER",AK279="VT REJETÉ – À REPRENDRE")),MAX(0,'PROGRAMME RT'!$C$4-P279),"")</f>
        <v/>
      </c>
      <c r="AM279" s="78" t="n">
        <f aca="false">IF(AND(OR(AK279="À RADIOGRAPHIER",AK279="RÉPARÉ – À RADIOGRAPHIER",AK279="NX – RT À REFAIRE"),OR('PROGRAMME RT'!$D$5="TOUTES",B279='PROGRAMME RT'!$D$5)),1,0)</f>
        <v>0</v>
      </c>
      <c r="AN279" s="78" t="str">
        <f aca="false">IF(AM279=1,SUM(AM$7:AM279),"")</f>
        <v/>
      </c>
      <c r="AO279" s="78" t="n">
        <f aca="false">IF(AND(OR(AK279="À RÉPARER",AK279="COUPE – À RESOUDER",AK279="VT REJETÉ – À REPRENDRE"),OR(RÉPARATIONS!$D$5="TOUTES",B279=RÉPARATIONS!$D$5)),1,0)</f>
        <v>0</v>
      </c>
      <c r="AP279" s="78" t="str">
        <f aca="false">IF(AO279=1,SUM(AO$7:AO279),"")</f>
        <v/>
      </c>
    </row>
    <row r="280" customFormat="false" ht="15" hidden="false" customHeight="false" outlineLevel="0" collapsed="false">
      <c r="A280" s="78" t="str">
        <f aca="false">IF(E280="","",ROW()-6)</f>
        <v/>
      </c>
      <c r="B280" s="79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1"/>
      <c r="Q280" s="81"/>
      <c r="R280" s="80"/>
      <c r="S280" s="80"/>
      <c r="T280" s="81"/>
      <c r="U280" s="80"/>
      <c r="V280" s="80"/>
      <c r="W280" s="80"/>
      <c r="X280" s="80"/>
      <c r="Y280" s="81"/>
      <c r="Z280" s="80"/>
      <c r="AA280" s="80"/>
      <c r="AB280" s="80"/>
      <c r="AC280" s="80"/>
      <c r="AD280" s="81"/>
      <c r="AE280" s="80"/>
      <c r="AF280" s="80"/>
      <c r="AG280" s="81"/>
      <c r="AH280" s="79"/>
      <c r="AI280" s="78" t="str">
        <f aca="false">IF(E280="","",(V280&lt;&gt;"")+(AA280&lt;&gt;"")+(AF280&lt;&gt;""))</f>
        <v/>
      </c>
      <c r="AJ280" s="82" t="str">
        <f aca="false">IF(AF280&lt;&gt;"",AF280,IF(AA280&lt;&gt;"",AA280,IF(V280&lt;&gt;"",V280,"")))</f>
        <v/>
      </c>
      <c r="AK280" s="83" t="str">
        <f aca="false">IF(E280="","",IF(P280="","À SOUDER",IF(S280="","VT EN ATTENTE",IF(S280="R","VT REJETÉ – À REPRENDRE",IF(AJ280="","À RADIOGRAPHIER",IF(AJ280="A","ACCEPTÉ",IF(AJ280="NX","NX – RT À REFAIRE",IF(IF(AI280=1,X280,IF(AI280=2,AC280,""))="A","RÉPARÉ – À RADIOGRAPHIER",IF(IF(AI280=1,X280,IF(AI280=2,AC280,""))="R","VT REJETÉ – À REPRENDRE",IF(AJ280="CO","COUPE – À RESOUDER","À RÉPARER"))))))))))</f>
        <v/>
      </c>
      <c r="AL280" s="82" t="str">
        <f aca="false">IF(AND(ISNUMBER(P280),OR(AK280="À RADIOGRAPHIER",AK280="RÉPARÉ – À RADIOGRAPHIER",AK280="NX – RT À REFAIRE",AK280="À RÉPARER",AK280="COUPE – À RESOUDER",AK280="VT REJETÉ – À REPRENDRE")),MAX(0,'PROGRAMME RT'!$C$4-P280),"")</f>
        <v/>
      </c>
      <c r="AM280" s="78" t="n">
        <f aca="false">IF(AND(OR(AK280="À RADIOGRAPHIER",AK280="RÉPARÉ – À RADIOGRAPHIER",AK280="NX – RT À REFAIRE"),OR('PROGRAMME RT'!$D$5="TOUTES",B280='PROGRAMME RT'!$D$5)),1,0)</f>
        <v>0</v>
      </c>
      <c r="AN280" s="78" t="str">
        <f aca="false">IF(AM280=1,SUM(AM$7:AM280),"")</f>
        <v/>
      </c>
      <c r="AO280" s="78" t="n">
        <f aca="false">IF(AND(OR(AK280="À RÉPARER",AK280="COUPE – À RESOUDER",AK280="VT REJETÉ – À REPRENDRE"),OR(RÉPARATIONS!$D$5="TOUTES",B280=RÉPARATIONS!$D$5)),1,0)</f>
        <v>0</v>
      </c>
      <c r="AP280" s="78" t="str">
        <f aca="false">IF(AO280=1,SUM(AO$7:AO280),"")</f>
        <v/>
      </c>
    </row>
    <row r="281" customFormat="false" ht="15" hidden="false" customHeight="false" outlineLevel="0" collapsed="false">
      <c r="A281" s="78" t="str">
        <f aca="false">IF(E281="","",ROW()-6)</f>
        <v/>
      </c>
      <c r="B281" s="79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1"/>
      <c r="Q281" s="81"/>
      <c r="R281" s="80"/>
      <c r="S281" s="80"/>
      <c r="T281" s="81"/>
      <c r="U281" s="80"/>
      <c r="V281" s="80"/>
      <c r="W281" s="80"/>
      <c r="X281" s="80"/>
      <c r="Y281" s="81"/>
      <c r="Z281" s="80"/>
      <c r="AA281" s="80"/>
      <c r="AB281" s="80"/>
      <c r="AC281" s="80"/>
      <c r="AD281" s="81"/>
      <c r="AE281" s="80"/>
      <c r="AF281" s="80"/>
      <c r="AG281" s="81"/>
      <c r="AH281" s="79"/>
      <c r="AI281" s="78" t="str">
        <f aca="false">IF(E281="","",(V281&lt;&gt;"")+(AA281&lt;&gt;"")+(AF281&lt;&gt;""))</f>
        <v/>
      </c>
      <c r="AJ281" s="82" t="str">
        <f aca="false">IF(AF281&lt;&gt;"",AF281,IF(AA281&lt;&gt;"",AA281,IF(V281&lt;&gt;"",V281,"")))</f>
        <v/>
      </c>
      <c r="AK281" s="83" t="str">
        <f aca="false">IF(E281="","",IF(P281="","À SOUDER",IF(S281="","VT EN ATTENTE",IF(S281="R","VT REJETÉ – À REPRENDRE",IF(AJ281="","À RADIOGRAPHIER",IF(AJ281="A","ACCEPTÉ",IF(AJ281="NX","NX – RT À REFAIRE",IF(IF(AI281=1,X281,IF(AI281=2,AC281,""))="A","RÉPARÉ – À RADIOGRAPHIER",IF(IF(AI281=1,X281,IF(AI281=2,AC281,""))="R","VT REJETÉ – À REPRENDRE",IF(AJ281="CO","COUPE – À RESOUDER","À RÉPARER"))))))))))</f>
        <v/>
      </c>
      <c r="AL281" s="82" t="str">
        <f aca="false">IF(AND(ISNUMBER(P281),OR(AK281="À RADIOGRAPHIER",AK281="RÉPARÉ – À RADIOGRAPHIER",AK281="NX – RT À REFAIRE",AK281="À RÉPARER",AK281="COUPE – À RESOUDER",AK281="VT REJETÉ – À REPRENDRE")),MAX(0,'PROGRAMME RT'!$C$4-P281),"")</f>
        <v/>
      </c>
      <c r="AM281" s="78" t="n">
        <f aca="false">IF(AND(OR(AK281="À RADIOGRAPHIER",AK281="RÉPARÉ – À RADIOGRAPHIER",AK281="NX – RT À REFAIRE"),OR('PROGRAMME RT'!$D$5="TOUTES",B281='PROGRAMME RT'!$D$5)),1,0)</f>
        <v>0</v>
      </c>
      <c r="AN281" s="78" t="str">
        <f aca="false">IF(AM281=1,SUM(AM$7:AM281),"")</f>
        <v/>
      </c>
      <c r="AO281" s="78" t="n">
        <f aca="false">IF(AND(OR(AK281="À RÉPARER",AK281="COUPE – À RESOUDER",AK281="VT REJETÉ – À REPRENDRE"),OR(RÉPARATIONS!$D$5="TOUTES",B281=RÉPARATIONS!$D$5)),1,0)</f>
        <v>0</v>
      </c>
      <c r="AP281" s="78" t="str">
        <f aca="false">IF(AO281=1,SUM(AO$7:AO281),"")</f>
        <v/>
      </c>
    </row>
    <row r="282" customFormat="false" ht="15" hidden="false" customHeight="false" outlineLevel="0" collapsed="false">
      <c r="A282" s="78" t="str">
        <f aca="false">IF(E282="","",ROW()-6)</f>
        <v/>
      </c>
      <c r="B282" s="79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1"/>
      <c r="Q282" s="81"/>
      <c r="R282" s="80"/>
      <c r="S282" s="80"/>
      <c r="T282" s="81"/>
      <c r="U282" s="80"/>
      <c r="V282" s="80"/>
      <c r="W282" s="80"/>
      <c r="X282" s="80"/>
      <c r="Y282" s="81"/>
      <c r="Z282" s="80"/>
      <c r="AA282" s="80"/>
      <c r="AB282" s="80"/>
      <c r="AC282" s="80"/>
      <c r="AD282" s="81"/>
      <c r="AE282" s="80"/>
      <c r="AF282" s="80"/>
      <c r="AG282" s="81"/>
      <c r="AH282" s="79"/>
      <c r="AI282" s="78" t="str">
        <f aca="false">IF(E282="","",(V282&lt;&gt;"")+(AA282&lt;&gt;"")+(AF282&lt;&gt;""))</f>
        <v/>
      </c>
      <c r="AJ282" s="82" t="str">
        <f aca="false">IF(AF282&lt;&gt;"",AF282,IF(AA282&lt;&gt;"",AA282,IF(V282&lt;&gt;"",V282,"")))</f>
        <v/>
      </c>
      <c r="AK282" s="83" t="str">
        <f aca="false">IF(E282="","",IF(P282="","À SOUDER",IF(S282="","VT EN ATTENTE",IF(S282="R","VT REJETÉ – À REPRENDRE",IF(AJ282="","À RADIOGRAPHIER",IF(AJ282="A","ACCEPTÉ",IF(AJ282="NX","NX – RT À REFAIRE",IF(IF(AI282=1,X282,IF(AI282=2,AC282,""))="A","RÉPARÉ – À RADIOGRAPHIER",IF(IF(AI282=1,X282,IF(AI282=2,AC282,""))="R","VT REJETÉ – À REPRENDRE",IF(AJ282="CO","COUPE – À RESOUDER","À RÉPARER"))))))))))</f>
        <v/>
      </c>
      <c r="AL282" s="82" t="str">
        <f aca="false">IF(AND(ISNUMBER(P282),OR(AK282="À RADIOGRAPHIER",AK282="RÉPARÉ – À RADIOGRAPHIER",AK282="NX – RT À REFAIRE",AK282="À RÉPARER",AK282="COUPE – À RESOUDER",AK282="VT REJETÉ – À REPRENDRE")),MAX(0,'PROGRAMME RT'!$C$4-P282),"")</f>
        <v/>
      </c>
      <c r="AM282" s="78" t="n">
        <f aca="false">IF(AND(OR(AK282="À RADIOGRAPHIER",AK282="RÉPARÉ – À RADIOGRAPHIER",AK282="NX – RT À REFAIRE"),OR('PROGRAMME RT'!$D$5="TOUTES",B282='PROGRAMME RT'!$D$5)),1,0)</f>
        <v>0</v>
      </c>
      <c r="AN282" s="78" t="str">
        <f aca="false">IF(AM282=1,SUM(AM$7:AM282),"")</f>
        <v/>
      </c>
      <c r="AO282" s="78" t="n">
        <f aca="false">IF(AND(OR(AK282="À RÉPARER",AK282="COUPE – À RESOUDER",AK282="VT REJETÉ – À REPRENDRE"),OR(RÉPARATIONS!$D$5="TOUTES",B282=RÉPARATIONS!$D$5)),1,0)</f>
        <v>0</v>
      </c>
      <c r="AP282" s="78" t="str">
        <f aca="false">IF(AO282=1,SUM(AO$7:AO282),"")</f>
        <v/>
      </c>
    </row>
    <row r="283" customFormat="false" ht="15" hidden="false" customHeight="false" outlineLevel="0" collapsed="false">
      <c r="A283" s="78" t="str">
        <f aca="false">IF(E283="","",ROW()-6)</f>
        <v/>
      </c>
      <c r="B283" s="79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1"/>
      <c r="Q283" s="81"/>
      <c r="R283" s="80"/>
      <c r="S283" s="80"/>
      <c r="T283" s="81"/>
      <c r="U283" s="80"/>
      <c r="V283" s="80"/>
      <c r="W283" s="80"/>
      <c r="X283" s="80"/>
      <c r="Y283" s="81"/>
      <c r="Z283" s="80"/>
      <c r="AA283" s="80"/>
      <c r="AB283" s="80"/>
      <c r="AC283" s="80"/>
      <c r="AD283" s="81"/>
      <c r="AE283" s="80"/>
      <c r="AF283" s="80"/>
      <c r="AG283" s="81"/>
      <c r="AH283" s="79"/>
      <c r="AI283" s="78" t="str">
        <f aca="false">IF(E283="","",(V283&lt;&gt;"")+(AA283&lt;&gt;"")+(AF283&lt;&gt;""))</f>
        <v/>
      </c>
      <c r="AJ283" s="82" t="str">
        <f aca="false">IF(AF283&lt;&gt;"",AF283,IF(AA283&lt;&gt;"",AA283,IF(V283&lt;&gt;"",V283,"")))</f>
        <v/>
      </c>
      <c r="AK283" s="83" t="str">
        <f aca="false">IF(E283="","",IF(P283="","À SOUDER",IF(S283="","VT EN ATTENTE",IF(S283="R","VT REJETÉ – À REPRENDRE",IF(AJ283="","À RADIOGRAPHIER",IF(AJ283="A","ACCEPTÉ",IF(AJ283="NX","NX – RT À REFAIRE",IF(IF(AI283=1,X283,IF(AI283=2,AC283,""))="A","RÉPARÉ – À RADIOGRAPHIER",IF(IF(AI283=1,X283,IF(AI283=2,AC283,""))="R","VT REJETÉ – À REPRENDRE",IF(AJ283="CO","COUPE – À RESOUDER","À RÉPARER"))))))))))</f>
        <v/>
      </c>
      <c r="AL283" s="82" t="str">
        <f aca="false">IF(AND(ISNUMBER(P283),OR(AK283="À RADIOGRAPHIER",AK283="RÉPARÉ – À RADIOGRAPHIER",AK283="NX – RT À REFAIRE",AK283="À RÉPARER",AK283="COUPE – À RESOUDER",AK283="VT REJETÉ – À REPRENDRE")),MAX(0,'PROGRAMME RT'!$C$4-P283),"")</f>
        <v/>
      </c>
      <c r="AM283" s="78" t="n">
        <f aca="false">IF(AND(OR(AK283="À RADIOGRAPHIER",AK283="RÉPARÉ – À RADIOGRAPHIER",AK283="NX – RT À REFAIRE"),OR('PROGRAMME RT'!$D$5="TOUTES",B283='PROGRAMME RT'!$D$5)),1,0)</f>
        <v>0</v>
      </c>
      <c r="AN283" s="78" t="str">
        <f aca="false">IF(AM283=1,SUM(AM$7:AM283),"")</f>
        <v/>
      </c>
      <c r="AO283" s="78" t="n">
        <f aca="false">IF(AND(OR(AK283="À RÉPARER",AK283="COUPE – À RESOUDER",AK283="VT REJETÉ – À REPRENDRE"),OR(RÉPARATIONS!$D$5="TOUTES",B283=RÉPARATIONS!$D$5)),1,0)</f>
        <v>0</v>
      </c>
      <c r="AP283" s="78" t="str">
        <f aca="false">IF(AO283=1,SUM(AO$7:AO283),"")</f>
        <v/>
      </c>
    </row>
    <row r="284" customFormat="false" ht="15" hidden="false" customHeight="false" outlineLevel="0" collapsed="false">
      <c r="A284" s="78" t="str">
        <f aca="false">IF(E284="","",ROW()-6)</f>
        <v/>
      </c>
      <c r="B284" s="79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1"/>
      <c r="Q284" s="81"/>
      <c r="R284" s="80"/>
      <c r="S284" s="80"/>
      <c r="T284" s="81"/>
      <c r="U284" s="80"/>
      <c r="V284" s="80"/>
      <c r="W284" s="80"/>
      <c r="X284" s="80"/>
      <c r="Y284" s="81"/>
      <c r="Z284" s="80"/>
      <c r="AA284" s="80"/>
      <c r="AB284" s="80"/>
      <c r="AC284" s="80"/>
      <c r="AD284" s="81"/>
      <c r="AE284" s="80"/>
      <c r="AF284" s="80"/>
      <c r="AG284" s="81"/>
      <c r="AH284" s="79"/>
      <c r="AI284" s="78" t="str">
        <f aca="false">IF(E284="","",(V284&lt;&gt;"")+(AA284&lt;&gt;"")+(AF284&lt;&gt;""))</f>
        <v/>
      </c>
      <c r="AJ284" s="82" t="str">
        <f aca="false">IF(AF284&lt;&gt;"",AF284,IF(AA284&lt;&gt;"",AA284,IF(V284&lt;&gt;"",V284,"")))</f>
        <v/>
      </c>
      <c r="AK284" s="83" t="str">
        <f aca="false">IF(E284="","",IF(P284="","À SOUDER",IF(S284="","VT EN ATTENTE",IF(S284="R","VT REJETÉ – À REPRENDRE",IF(AJ284="","À RADIOGRAPHIER",IF(AJ284="A","ACCEPTÉ",IF(AJ284="NX","NX – RT À REFAIRE",IF(IF(AI284=1,X284,IF(AI284=2,AC284,""))="A","RÉPARÉ – À RADIOGRAPHIER",IF(IF(AI284=1,X284,IF(AI284=2,AC284,""))="R","VT REJETÉ – À REPRENDRE",IF(AJ284="CO","COUPE – À RESOUDER","À RÉPARER"))))))))))</f>
        <v/>
      </c>
      <c r="AL284" s="82" t="str">
        <f aca="false">IF(AND(ISNUMBER(P284),OR(AK284="À RADIOGRAPHIER",AK284="RÉPARÉ – À RADIOGRAPHIER",AK284="NX – RT À REFAIRE",AK284="À RÉPARER",AK284="COUPE – À RESOUDER",AK284="VT REJETÉ – À REPRENDRE")),MAX(0,'PROGRAMME RT'!$C$4-P284),"")</f>
        <v/>
      </c>
      <c r="AM284" s="78" t="n">
        <f aca="false">IF(AND(OR(AK284="À RADIOGRAPHIER",AK284="RÉPARÉ – À RADIOGRAPHIER",AK284="NX – RT À REFAIRE"),OR('PROGRAMME RT'!$D$5="TOUTES",B284='PROGRAMME RT'!$D$5)),1,0)</f>
        <v>0</v>
      </c>
      <c r="AN284" s="78" t="str">
        <f aca="false">IF(AM284=1,SUM(AM$7:AM284),"")</f>
        <v/>
      </c>
      <c r="AO284" s="78" t="n">
        <f aca="false">IF(AND(OR(AK284="À RÉPARER",AK284="COUPE – À RESOUDER",AK284="VT REJETÉ – À REPRENDRE"),OR(RÉPARATIONS!$D$5="TOUTES",B284=RÉPARATIONS!$D$5)),1,0)</f>
        <v>0</v>
      </c>
      <c r="AP284" s="78" t="str">
        <f aca="false">IF(AO284=1,SUM(AO$7:AO284),"")</f>
        <v/>
      </c>
    </row>
    <row r="285" customFormat="false" ht="15" hidden="false" customHeight="false" outlineLevel="0" collapsed="false">
      <c r="A285" s="78" t="str">
        <f aca="false">IF(E285="","",ROW()-6)</f>
        <v/>
      </c>
      <c r="B285" s="79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1"/>
      <c r="Q285" s="81"/>
      <c r="R285" s="80"/>
      <c r="S285" s="80"/>
      <c r="T285" s="81"/>
      <c r="U285" s="80"/>
      <c r="V285" s="80"/>
      <c r="W285" s="80"/>
      <c r="X285" s="80"/>
      <c r="Y285" s="81"/>
      <c r="Z285" s="80"/>
      <c r="AA285" s="80"/>
      <c r="AB285" s="80"/>
      <c r="AC285" s="80"/>
      <c r="AD285" s="81"/>
      <c r="AE285" s="80"/>
      <c r="AF285" s="80"/>
      <c r="AG285" s="81"/>
      <c r="AH285" s="79"/>
      <c r="AI285" s="78" t="str">
        <f aca="false">IF(E285="","",(V285&lt;&gt;"")+(AA285&lt;&gt;"")+(AF285&lt;&gt;""))</f>
        <v/>
      </c>
      <c r="AJ285" s="82" t="str">
        <f aca="false">IF(AF285&lt;&gt;"",AF285,IF(AA285&lt;&gt;"",AA285,IF(V285&lt;&gt;"",V285,"")))</f>
        <v/>
      </c>
      <c r="AK285" s="83" t="str">
        <f aca="false">IF(E285="","",IF(P285="","À SOUDER",IF(S285="","VT EN ATTENTE",IF(S285="R","VT REJETÉ – À REPRENDRE",IF(AJ285="","À RADIOGRAPHIER",IF(AJ285="A","ACCEPTÉ",IF(AJ285="NX","NX – RT À REFAIRE",IF(IF(AI285=1,X285,IF(AI285=2,AC285,""))="A","RÉPARÉ – À RADIOGRAPHIER",IF(IF(AI285=1,X285,IF(AI285=2,AC285,""))="R","VT REJETÉ – À REPRENDRE",IF(AJ285="CO","COUPE – À RESOUDER","À RÉPARER"))))))))))</f>
        <v/>
      </c>
      <c r="AL285" s="82" t="str">
        <f aca="false">IF(AND(ISNUMBER(P285),OR(AK285="À RADIOGRAPHIER",AK285="RÉPARÉ – À RADIOGRAPHIER",AK285="NX – RT À REFAIRE",AK285="À RÉPARER",AK285="COUPE – À RESOUDER",AK285="VT REJETÉ – À REPRENDRE")),MAX(0,'PROGRAMME RT'!$C$4-P285),"")</f>
        <v/>
      </c>
      <c r="AM285" s="78" t="n">
        <f aca="false">IF(AND(OR(AK285="À RADIOGRAPHIER",AK285="RÉPARÉ – À RADIOGRAPHIER",AK285="NX – RT À REFAIRE"),OR('PROGRAMME RT'!$D$5="TOUTES",B285='PROGRAMME RT'!$D$5)),1,0)</f>
        <v>0</v>
      </c>
      <c r="AN285" s="78" t="str">
        <f aca="false">IF(AM285=1,SUM(AM$7:AM285),"")</f>
        <v/>
      </c>
      <c r="AO285" s="78" t="n">
        <f aca="false">IF(AND(OR(AK285="À RÉPARER",AK285="COUPE – À RESOUDER",AK285="VT REJETÉ – À REPRENDRE"),OR(RÉPARATIONS!$D$5="TOUTES",B285=RÉPARATIONS!$D$5)),1,0)</f>
        <v>0</v>
      </c>
      <c r="AP285" s="78" t="str">
        <f aca="false">IF(AO285=1,SUM(AO$7:AO285),"")</f>
        <v/>
      </c>
    </row>
    <row r="286" customFormat="false" ht="15" hidden="false" customHeight="false" outlineLevel="0" collapsed="false">
      <c r="A286" s="78" t="str">
        <f aca="false">IF(E286="","",ROW()-6)</f>
        <v/>
      </c>
      <c r="B286" s="79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1"/>
      <c r="Q286" s="81"/>
      <c r="R286" s="80"/>
      <c r="S286" s="80"/>
      <c r="T286" s="81"/>
      <c r="U286" s="80"/>
      <c r="V286" s="80"/>
      <c r="W286" s="80"/>
      <c r="X286" s="80"/>
      <c r="Y286" s="81"/>
      <c r="Z286" s="80"/>
      <c r="AA286" s="80"/>
      <c r="AB286" s="80"/>
      <c r="AC286" s="80"/>
      <c r="AD286" s="81"/>
      <c r="AE286" s="80"/>
      <c r="AF286" s="80"/>
      <c r="AG286" s="81"/>
      <c r="AH286" s="79"/>
      <c r="AI286" s="78" t="str">
        <f aca="false">IF(E286="","",(V286&lt;&gt;"")+(AA286&lt;&gt;"")+(AF286&lt;&gt;""))</f>
        <v/>
      </c>
      <c r="AJ286" s="82" t="str">
        <f aca="false">IF(AF286&lt;&gt;"",AF286,IF(AA286&lt;&gt;"",AA286,IF(V286&lt;&gt;"",V286,"")))</f>
        <v/>
      </c>
      <c r="AK286" s="83" t="str">
        <f aca="false">IF(E286="","",IF(P286="","À SOUDER",IF(S286="","VT EN ATTENTE",IF(S286="R","VT REJETÉ – À REPRENDRE",IF(AJ286="","À RADIOGRAPHIER",IF(AJ286="A","ACCEPTÉ",IF(AJ286="NX","NX – RT À REFAIRE",IF(IF(AI286=1,X286,IF(AI286=2,AC286,""))="A","RÉPARÉ – À RADIOGRAPHIER",IF(IF(AI286=1,X286,IF(AI286=2,AC286,""))="R","VT REJETÉ – À REPRENDRE",IF(AJ286="CO","COUPE – À RESOUDER","À RÉPARER"))))))))))</f>
        <v/>
      </c>
      <c r="AL286" s="82" t="str">
        <f aca="false">IF(AND(ISNUMBER(P286),OR(AK286="À RADIOGRAPHIER",AK286="RÉPARÉ – À RADIOGRAPHIER",AK286="NX – RT À REFAIRE",AK286="À RÉPARER",AK286="COUPE – À RESOUDER",AK286="VT REJETÉ – À REPRENDRE")),MAX(0,'PROGRAMME RT'!$C$4-P286),"")</f>
        <v/>
      </c>
      <c r="AM286" s="78" t="n">
        <f aca="false">IF(AND(OR(AK286="À RADIOGRAPHIER",AK286="RÉPARÉ – À RADIOGRAPHIER",AK286="NX – RT À REFAIRE"),OR('PROGRAMME RT'!$D$5="TOUTES",B286='PROGRAMME RT'!$D$5)),1,0)</f>
        <v>0</v>
      </c>
      <c r="AN286" s="78" t="str">
        <f aca="false">IF(AM286=1,SUM(AM$7:AM286),"")</f>
        <v/>
      </c>
      <c r="AO286" s="78" t="n">
        <f aca="false">IF(AND(OR(AK286="À RÉPARER",AK286="COUPE – À RESOUDER",AK286="VT REJETÉ – À REPRENDRE"),OR(RÉPARATIONS!$D$5="TOUTES",B286=RÉPARATIONS!$D$5)),1,0)</f>
        <v>0</v>
      </c>
      <c r="AP286" s="78" t="str">
        <f aca="false">IF(AO286=1,SUM(AO$7:AO286),"")</f>
        <v/>
      </c>
    </row>
    <row r="287" customFormat="false" ht="15" hidden="false" customHeight="false" outlineLevel="0" collapsed="false">
      <c r="A287" s="78" t="str">
        <f aca="false">IF(E287="","",ROW()-6)</f>
        <v/>
      </c>
      <c r="B287" s="79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1"/>
      <c r="Q287" s="81"/>
      <c r="R287" s="80"/>
      <c r="S287" s="80"/>
      <c r="T287" s="81"/>
      <c r="U287" s="80"/>
      <c r="V287" s="80"/>
      <c r="W287" s="80"/>
      <c r="X287" s="80"/>
      <c r="Y287" s="81"/>
      <c r="Z287" s="80"/>
      <c r="AA287" s="80"/>
      <c r="AB287" s="80"/>
      <c r="AC287" s="80"/>
      <c r="AD287" s="81"/>
      <c r="AE287" s="80"/>
      <c r="AF287" s="80"/>
      <c r="AG287" s="81"/>
      <c r="AH287" s="79"/>
      <c r="AI287" s="78" t="str">
        <f aca="false">IF(E287="","",(V287&lt;&gt;"")+(AA287&lt;&gt;"")+(AF287&lt;&gt;""))</f>
        <v/>
      </c>
      <c r="AJ287" s="82" t="str">
        <f aca="false">IF(AF287&lt;&gt;"",AF287,IF(AA287&lt;&gt;"",AA287,IF(V287&lt;&gt;"",V287,"")))</f>
        <v/>
      </c>
      <c r="AK287" s="83" t="str">
        <f aca="false">IF(E287="","",IF(P287="","À SOUDER",IF(S287="","VT EN ATTENTE",IF(S287="R","VT REJETÉ – À REPRENDRE",IF(AJ287="","À RADIOGRAPHIER",IF(AJ287="A","ACCEPTÉ",IF(AJ287="NX","NX – RT À REFAIRE",IF(IF(AI287=1,X287,IF(AI287=2,AC287,""))="A","RÉPARÉ – À RADIOGRAPHIER",IF(IF(AI287=1,X287,IF(AI287=2,AC287,""))="R","VT REJETÉ – À REPRENDRE",IF(AJ287="CO","COUPE – À RESOUDER","À RÉPARER"))))))))))</f>
        <v/>
      </c>
      <c r="AL287" s="82" t="str">
        <f aca="false">IF(AND(ISNUMBER(P287),OR(AK287="À RADIOGRAPHIER",AK287="RÉPARÉ – À RADIOGRAPHIER",AK287="NX – RT À REFAIRE",AK287="À RÉPARER",AK287="COUPE – À RESOUDER",AK287="VT REJETÉ – À REPRENDRE")),MAX(0,'PROGRAMME RT'!$C$4-P287),"")</f>
        <v/>
      </c>
      <c r="AM287" s="78" t="n">
        <f aca="false">IF(AND(OR(AK287="À RADIOGRAPHIER",AK287="RÉPARÉ – À RADIOGRAPHIER",AK287="NX – RT À REFAIRE"),OR('PROGRAMME RT'!$D$5="TOUTES",B287='PROGRAMME RT'!$D$5)),1,0)</f>
        <v>0</v>
      </c>
      <c r="AN287" s="78" t="str">
        <f aca="false">IF(AM287=1,SUM(AM$7:AM287),"")</f>
        <v/>
      </c>
      <c r="AO287" s="78" t="n">
        <f aca="false">IF(AND(OR(AK287="À RÉPARER",AK287="COUPE – À RESOUDER",AK287="VT REJETÉ – À REPRENDRE"),OR(RÉPARATIONS!$D$5="TOUTES",B287=RÉPARATIONS!$D$5)),1,0)</f>
        <v>0</v>
      </c>
      <c r="AP287" s="78" t="str">
        <f aca="false">IF(AO287=1,SUM(AO$7:AO287),"")</f>
        <v/>
      </c>
    </row>
    <row r="288" customFormat="false" ht="15" hidden="false" customHeight="false" outlineLevel="0" collapsed="false">
      <c r="A288" s="78" t="str">
        <f aca="false">IF(E288="","",ROW()-6)</f>
        <v/>
      </c>
      <c r="B288" s="79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1"/>
      <c r="Q288" s="81"/>
      <c r="R288" s="80"/>
      <c r="S288" s="80"/>
      <c r="T288" s="81"/>
      <c r="U288" s="80"/>
      <c r="V288" s="80"/>
      <c r="W288" s="80"/>
      <c r="X288" s="80"/>
      <c r="Y288" s="81"/>
      <c r="Z288" s="80"/>
      <c r="AA288" s="80"/>
      <c r="AB288" s="80"/>
      <c r="AC288" s="80"/>
      <c r="AD288" s="81"/>
      <c r="AE288" s="80"/>
      <c r="AF288" s="80"/>
      <c r="AG288" s="81"/>
      <c r="AH288" s="79"/>
      <c r="AI288" s="78" t="str">
        <f aca="false">IF(E288="","",(V288&lt;&gt;"")+(AA288&lt;&gt;"")+(AF288&lt;&gt;""))</f>
        <v/>
      </c>
      <c r="AJ288" s="82" t="str">
        <f aca="false">IF(AF288&lt;&gt;"",AF288,IF(AA288&lt;&gt;"",AA288,IF(V288&lt;&gt;"",V288,"")))</f>
        <v/>
      </c>
      <c r="AK288" s="83" t="str">
        <f aca="false">IF(E288="","",IF(P288="","À SOUDER",IF(S288="","VT EN ATTENTE",IF(S288="R","VT REJETÉ – À REPRENDRE",IF(AJ288="","À RADIOGRAPHIER",IF(AJ288="A","ACCEPTÉ",IF(AJ288="NX","NX – RT À REFAIRE",IF(IF(AI288=1,X288,IF(AI288=2,AC288,""))="A","RÉPARÉ – À RADIOGRAPHIER",IF(IF(AI288=1,X288,IF(AI288=2,AC288,""))="R","VT REJETÉ – À REPRENDRE",IF(AJ288="CO","COUPE – À RESOUDER","À RÉPARER"))))))))))</f>
        <v/>
      </c>
      <c r="AL288" s="82" t="str">
        <f aca="false">IF(AND(ISNUMBER(P288),OR(AK288="À RADIOGRAPHIER",AK288="RÉPARÉ – À RADIOGRAPHIER",AK288="NX – RT À REFAIRE",AK288="À RÉPARER",AK288="COUPE – À RESOUDER",AK288="VT REJETÉ – À REPRENDRE")),MAX(0,'PROGRAMME RT'!$C$4-P288),"")</f>
        <v/>
      </c>
      <c r="AM288" s="78" t="n">
        <f aca="false">IF(AND(OR(AK288="À RADIOGRAPHIER",AK288="RÉPARÉ – À RADIOGRAPHIER",AK288="NX – RT À REFAIRE"),OR('PROGRAMME RT'!$D$5="TOUTES",B288='PROGRAMME RT'!$D$5)),1,0)</f>
        <v>0</v>
      </c>
      <c r="AN288" s="78" t="str">
        <f aca="false">IF(AM288=1,SUM(AM$7:AM288),"")</f>
        <v/>
      </c>
      <c r="AO288" s="78" t="n">
        <f aca="false">IF(AND(OR(AK288="À RÉPARER",AK288="COUPE – À RESOUDER",AK288="VT REJETÉ – À REPRENDRE"),OR(RÉPARATIONS!$D$5="TOUTES",B288=RÉPARATIONS!$D$5)),1,0)</f>
        <v>0</v>
      </c>
      <c r="AP288" s="78" t="str">
        <f aca="false">IF(AO288=1,SUM(AO$7:AO288),"")</f>
        <v/>
      </c>
    </row>
    <row r="289" customFormat="false" ht="15" hidden="false" customHeight="false" outlineLevel="0" collapsed="false">
      <c r="A289" s="78" t="str">
        <f aca="false">IF(E289="","",ROW()-6)</f>
        <v/>
      </c>
      <c r="B289" s="79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1"/>
      <c r="Q289" s="81"/>
      <c r="R289" s="80"/>
      <c r="S289" s="80"/>
      <c r="T289" s="81"/>
      <c r="U289" s="80"/>
      <c r="V289" s="80"/>
      <c r="W289" s="80"/>
      <c r="X289" s="80"/>
      <c r="Y289" s="81"/>
      <c r="Z289" s="80"/>
      <c r="AA289" s="80"/>
      <c r="AB289" s="80"/>
      <c r="AC289" s="80"/>
      <c r="AD289" s="81"/>
      <c r="AE289" s="80"/>
      <c r="AF289" s="80"/>
      <c r="AG289" s="81"/>
      <c r="AH289" s="79"/>
      <c r="AI289" s="78" t="str">
        <f aca="false">IF(E289="","",(V289&lt;&gt;"")+(AA289&lt;&gt;"")+(AF289&lt;&gt;""))</f>
        <v/>
      </c>
      <c r="AJ289" s="82" t="str">
        <f aca="false">IF(AF289&lt;&gt;"",AF289,IF(AA289&lt;&gt;"",AA289,IF(V289&lt;&gt;"",V289,"")))</f>
        <v/>
      </c>
      <c r="AK289" s="83" t="str">
        <f aca="false">IF(E289="","",IF(P289="","À SOUDER",IF(S289="","VT EN ATTENTE",IF(S289="R","VT REJETÉ – À REPRENDRE",IF(AJ289="","À RADIOGRAPHIER",IF(AJ289="A","ACCEPTÉ",IF(AJ289="NX","NX – RT À REFAIRE",IF(IF(AI289=1,X289,IF(AI289=2,AC289,""))="A","RÉPARÉ – À RADIOGRAPHIER",IF(IF(AI289=1,X289,IF(AI289=2,AC289,""))="R","VT REJETÉ – À REPRENDRE",IF(AJ289="CO","COUPE – À RESOUDER","À RÉPARER"))))))))))</f>
        <v/>
      </c>
      <c r="AL289" s="82" t="str">
        <f aca="false">IF(AND(ISNUMBER(P289),OR(AK289="À RADIOGRAPHIER",AK289="RÉPARÉ – À RADIOGRAPHIER",AK289="NX – RT À REFAIRE",AK289="À RÉPARER",AK289="COUPE – À RESOUDER",AK289="VT REJETÉ – À REPRENDRE")),MAX(0,'PROGRAMME RT'!$C$4-P289),"")</f>
        <v/>
      </c>
      <c r="AM289" s="78" t="n">
        <f aca="false">IF(AND(OR(AK289="À RADIOGRAPHIER",AK289="RÉPARÉ – À RADIOGRAPHIER",AK289="NX – RT À REFAIRE"),OR('PROGRAMME RT'!$D$5="TOUTES",B289='PROGRAMME RT'!$D$5)),1,0)</f>
        <v>0</v>
      </c>
      <c r="AN289" s="78" t="str">
        <f aca="false">IF(AM289=1,SUM(AM$7:AM289),"")</f>
        <v/>
      </c>
      <c r="AO289" s="78" t="n">
        <f aca="false">IF(AND(OR(AK289="À RÉPARER",AK289="COUPE – À RESOUDER",AK289="VT REJETÉ – À REPRENDRE"),OR(RÉPARATIONS!$D$5="TOUTES",B289=RÉPARATIONS!$D$5)),1,0)</f>
        <v>0</v>
      </c>
      <c r="AP289" s="78" t="str">
        <f aca="false">IF(AO289=1,SUM(AO$7:AO289),"")</f>
        <v/>
      </c>
    </row>
    <row r="290" customFormat="false" ht="15" hidden="false" customHeight="false" outlineLevel="0" collapsed="false">
      <c r="A290" s="78" t="str">
        <f aca="false">IF(E290="","",ROW()-6)</f>
        <v/>
      </c>
      <c r="B290" s="79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1"/>
      <c r="Q290" s="81"/>
      <c r="R290" s="80"/>
      <c r="S290" s="80"/>
      <c r="T290" s="81"/>
      <c r="U290" s="80"/>
      <c r="V290" s="80"/>
      <c r="W290" s="80"/>
      <c r="X290" s="80"/>
      <c r="Y290" s="81"/>
      <c r="Z290" s="80"/>
      <c r="AA290" s="80"/>
      <c r="AB290" s="80"/>
      <c r="AC290" s="80"/>
      <c r="AD290" s="81"/>
      <c r="AE290" s="80"/>
      <c r="AF290" s="80"/>
      <c r="AG290" s="81"/>
      <c r="AH290" s="79"/>
      <c r="AI290" s="78" t="str">
        <f aca="false">IF(E290="","",(V290&lt;&gt;"")+(AA290&lt;&gt;"")+(AF290&lt;&gt;""))</f>
        <v/>
      </c>
      <c r="AJ290" s="82" t="str">
        <f aca="false">IF(AF290&lt;&gt;"",AF290,IF(AA290&lt;&gt;"",AA290,IF(V290&lt;&gt;"",V290,"")))</f>
        <v/>
      </c>
      <c r="AK290" s="83" t="str">
        <f aca="false">IF(E290="","",IF(P290="","À SOUDER",IF(S290="","VT EN ATTENTE",IF(S290="R","VT REJETÉ – À REPRENDRE",IF(AJ290="","À RADIOGRAPHIER",IF(AJ290="A","ACCEPTÉ",IF(AJ290="NX","NX – RT À REFAIRE",IF(IF(AI290=1,X290,IF(AI290=2,AC290,""))="A","RÉPARÉ – À RADIOGRAPHIER",IF(IF(AI290=1,X290,IF(AI290=2,AC290,""))="R","VT REJETÉ – À REPRENDRE",IF(AJ290="CO","COUPE – À RESOUDER","À RÉPARER"))))))))))</f>
        <v/>
      </c>
      <c r="AL290" s="82" t="str">
        <f aca="false">IF(AND(ISNUMBER(P290),OR(AK290="À RADIOGRAPHIER",AK290="RÉPARÉ – À RADIOGRAPHIER",AK290="NX – RT À REFAIRE",AK290="À RÉPARER",AK290="COUPE – À RESOUDER",AK290="VT REJETÉ – À REPRENDRE")),MAX(0,'PROGRAMME RT'!$C$4-P290),"")</f>
        <v/>
      </c>
      <c r="AM290" s="78" t="n">
        <f aca="false">IF(AND(OR(AK290="À RADIOGRAPHIER",AK290="RÉPARÉ – À RADIOGRAPHIER",AK290="NX – RT À REFAIRE"),OR('PROGRAMME RT'!$D$5="TOUTES",B290='PROGRAMME RT'!$D$5)),1,0)</f>
        <v>0</v>
      </c>
      <c r="AN290" s="78" t="str">
        <f aca="false">IF(AM290=1,SUM(AM$7:AM290),"")</f>
        <v/>
      </c>
      <c r="AO290" s="78" t="n">
        <f aca="false">IF(AND(OR(AK290="À RÉPARER",AK290="COUPE – À RESOUDER",AK290="VT REJETÉ – À REPRENDRE"),OR(RÉPARATIONS!$D$5="TOUTES",B290=RÉPARATIONS!$D$5)),1,0)</f>
        <v>0</v>
      </c>
      <c r="AP290" s="78" t="str">
        <f aca="false">IF(AO290=1,SUM(AO$7:AO290),"")</f>
        <v/>
      </c>
    </row>
    <row r="291" customFormat="false" ht="15" hidden="false" customHeight="false" outlineLevel="0" collapsed="false">
      <c r="A291" s="78" t="str">
        <f aca="false">IF(E291="","",ROW()-6)</f>
        <v/>
      </c>
      <c r="B291" s="79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1"/>
      <c r="Q291" s="81"/>
      <c r="R291" s="80"/>
      <c r="S291" s="80"/>
      <c r="T291" s="81"/>
      <c r="U291" s="80"/>
      <c r="V291" s="80"/>
      <c r="W291" s="80"/>
      <c r="X291" s="80"/>
      <c r="Y291" s="81"/>
      <c r="Z291" s="80"/>
      <c r="AA291" s="80"/>
      <c r="AB291" s="80"/>
      <c r="AC291" s="80"/>
      <c r="AD291" s="81"/>
      <c r="AE291" s="80"/>
      <c r="AF291" s="80"/>
      <c r="AG291" s="81"/>
      <c r="AH291" s="79"/>
      <c r="AI291" s="78" t="str">
        <f aca="false">IF(E291="","",(V291&lt;&gt;"")+(AA291&lt;&gt;"")+(AF291&lt;&gt;""))</f>
        <v/>
      </c>
      <c r="AJ291" s="82" t="str">
        <f aca="false">IF(AF291&lt;&gt;"",AF291,IF(AA291&lt;&gt;"",AA291,IF(V291&lt;&gt;"",V291,"")))</f>
        <v/>
      </c>
      <c r="AK291" s="83" t="str">
        <f aca="false">IF(E291="","",IF(P291="","À SOUDER",IF(S291="","VT EN ATTENTE",IF(S291="R","VT REJETÉ – À REPRENDRE",IF(AJ291="","À RADIOGRAPHIER",IF(AJ291="A","ACCEPTÉ",IF(AJ291="NX","NX – RT À REFAIRE",IF(IF(AI291=1,X291,IF(AI291=2,AC291,""))="A","RÉPARÉ – À RADIOGRAPHIER",IF(IF(AI291=1,X291,IF(AI291=2,AC291,""))="R","VT REJETÉ – À REPRENDRE",IF(AJ291="CO","COUPE – À RESOUDER","À RÉPARER"))))))))))</f>
        <v/>
      </c>
      <c r="AL291" s="82" t="str">
        <f aca="false">IF(AND(ISNUMBER(P291),OR(AK291="À RADIOGRAPHIER",AK291="RÉPARÉ – À RADIOGRAPHIER",AK291="NX – RT À REFAIRE",AK291="À RÉPARER",AK291="COUPE – À RESOUDER",AK291="VT REJETÉ – À REPRENDRE")),MAX(0,'PROGRAMME RT'!$C$4-P291),"")</f>
        <v/>
      </c>
      <c r="AM291" s="78" t="n">
        <f aca="false">IF(AND(OR(AK291="À RADIOGRAPHIER",AK291="RÉPARÉ – À RADIOGRAPHIER",AK291="NX – RT À REFAIRE"),OR('PROGRAMME RT'!$D$5="TOUTES",B291='PROGRAMME RT'!$D$5)),1,0)</f>
        <v>0</v>
      </c>
      <c r="AN291" s="78" t="str">
        <f aca="false">IF(AM291=1,SUM(AM$7:AM291),"")</f>
        <v/>
      </c>
      <c r="AO291" s="78" t="n">
        <f aca="false">IF(AND(OR(AK291="À RÉPARER",AK291="COUPE – À RESOUDER",AK291="VT REJETÉ – À REPRENDRE"),OR(RÉPARATIONS!$D$5="TOUTES",B291=RÉPARATIONS!$D$5)),1,0)</f>
        <v>0</v>
      </c>
      <c r="AP291" s="78" t="str">
        <f aca="false">IF(AO291=1,SUM(AO$7:AO291),"")</f>
        <v/>
      </c>
    </row>
    <row r="292" customFormat="false" ht="15" hidden="false" customHeight="false" outlineLevel="0" collapsed="false">
      <c r="A292" s="78" t="str">
        <f aca="false">IF(E292="","",ROW()-6)</f>
        <v/>
      </c>
      <c r="B292" s="79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1"/>
      <c r="Q292" s="81"/>
      <c r="R292" s="80"/>
      <c r="S292" s="80"/>
      <c r="T292" s="81"/>
      <c r="U292" s="80"/>
      <c r="V292" s="80"/>
      <c r="W292" s="80"/>
      <c r="X292" s="80"/>
      <c r="Y292" s="81"/>
      <c r="Z292" s="80"/>
      <c r="AA292" s="80"/>
      <c r="AB292" s="80"/>
      <c r="AC292" s="80"/>
      <c r="AD292" s="81"/>
      <c r="AE292" s="80"/>
      <c r="AF292" s="80"/>
      <c r="AG292" s="81"/>
      <c r="AH292" s="79"/>
      <c r="AI292" s="78" t="str">
        <f aca="false">IF(E292="","",(V292&lt;&gt;"")+(AA292&lt;&gt;"")+(AF292&lt;&gt;""))</f>
        <v/>
      </c>
      <c r="AJ292" s="82" t="str">
        <f aca="false">IF(AF292&lt;&gt;"",AF292,IF(AA292&lt;&gt;"",AA292,IF(V292&lt;&gt;"",V292,"")))</f>
        <v/>
      </c>
      <c r="AK292" s="83" t="str">
        <f aca="false">IF(E292="","",IF(P292="","À SOUDER",IF(S292="","VT EN ATTENTE",IF(S292="R","VT REJETÉ – À REPRENDRE",IF(AJ292="","À RADIOGRAPHIER",IF(AJ292="A","ACCEPTÉ",IF(AJ292="NX","NX – RT À REFAIRE",IF(IF(AI292=1,X292,IF(AI292=2,AC292,""))="A","RÉPARÉ – À RADIOGRAPHIER",IF(IF(AI292=1,X292,IF(AI292=2,AC292,""))="R","VT REJETÉ – À REPRENDRE",IF(AJ292="CO","COUPE – À RESOUDER","À RÉPARER"))))))))))</f>
        <v/>
      </c>
      <c r="AL292" s="82" t="str">
        <f aca="false">IF(AND(ISNUMBER(P292),OR(AK292="À RADIOGRAPHIER",AK292="RÉPARÉ – À RADIOGRAPHIER",AK292="NX – RT À REFAIRE",AK292="À RÉPARER",AK292="COUPE – À RESOUDER",AK292="VT REJETÉ – À REPRENDRE")),MAX(0,'PROGRAMME RT'!$C$4-P292),"")</f>
        <v/>
      </c>
      <c r="AM292" s="78" t="n">
        <f aca="false">IF(AND(OR(AK292="À RADIOGRAPHIER",AK292="RÉPARÉ – À RADIOGRAPHIER",AK292="NX – RT À REFAIRE"),OR('PROGRAMME RT'!$D$5="TOUTES",B292='PROGRAMME RT'!$D$5)),1,0)</f>
        <v>0</v>
      </c>
      <c r="AN292" s="78" t="str">
        <f aca="false">IF(AM292=1,SUM(AM$7:AM292),"")</f>
        <v/>
      </c>
      <c r="AO292" s="78" t="n">
        <f aca="false">IF(AND(OR(AK292="À RÉPARER",AK292="COUPE – À RESOUDER",AK292="VT REJETÉ – À REPRENDRE"),OR(RÉPARATIONS!$D$5="TOUTES",B292=RÉPARATIONS!$D$5)),1,0)</f>
        <v>0</v>
      </c>
      <c r="AP292" s="78" t="str">
        <f aca="false">IF(AO292=1,SUM(AO$7:AO292),"")</f>
        <v/>
      </c>
    </row>
    <row r="293" customFormat="false" ht="15" hidden="false" customHeight="false" outlineLevel="0" collapsed="false">
      <c r="A293" s="78" t="str">
        <f aca="false">IF(E293="","",ROW()-6)</f>
        <v/>
      </c>
      <c r="B293" s="79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1"/>
      <c r="Q293" s="81"/>
      <c r="R293" s="80"/>
      <c r="S293" s="80"/>
      <c r="T293" s="81"/>
      <c r="U293" s="80"/>
      <c r="V293" s="80"/>
      <c r="W293" s="80"/>
      <c r="X293" s="80"/>
      <c r="Y293" s="81"/>
      <c r="Z293" s="80"/>
      <c r="AA293" s="80"/>
      <c r="AB293" s="80"/>
      <c r="AC293" s="80"/>
      <c r="AD293" s="81"/>
      <c r="AE293" s="80"/>
      <c r="AF293" s="80"/>
      <c r="AG293" s="81"/>
      <c r="AH293" s="79"/>
      <c r="AI293" s="78" t="str">
        <f aca="false">IF(E293="","",(V293&lt;&gt;"")+(AA293&lt;&gt;"")+(AF293&lt;&gt;""))</f>
        <v/>
      </c>
      <c r="AJ293" s="82" t="str">
        <f aca="false">IF(AF293&lt;&gt;"",AF293,IF(AA293&lt;&gt;"",AA293,IF(V293&lt;&gt;"",V293,"")))</f>
        <v/>
      </c>
      <c r="AK293" s="83" t="str">
        <f aca="false">IF(E293="","",IF(P293="","À SOUDER",IF(S293="","VT EN ATTENTE",IF(S293="R","VT REJETÉ – À REPRENDRE",IF(AJ293="","À RADIOGRAPHIER",IF(AJ293="A","ACCEPTÉ",IF(AJ293="NX","NX – RT À REFAIRE",IF(IF(AI293=1,X293,IF(AI293=2,AC293,""))="A","RÉPARÉ – À RADIOGRAPHIER",IF(IF(AI293=1,X293,IF(AI293=2,AC293,""))="R","VT REJETÉ – À REPRENDRE",IF(AJ293="CO","COUPE – À RESOUDER","À RÉPARER"))))))))))</f>
        <v/>
      </c>
      <c r="AL293" s="82" t="str">
        <f aca="false">IF(AND(ISNUMBER(P293),OR(AK293="À RADIOGRAPHIER",AK293="RÉPARÉ – À RADIOGRAPHIER",AK293="NX – RT À REFAIRE",AK293="À RÉPARER",AK293="COUPE – À RESOUDER",AK293="VT REJETÉ – À REPRENDRE")),MAX(0,'PROGRAMME RT'!$C$4-P293),"")</f>
        <v/>
      </c>
      <c r="AM293" s="78" t="n">
        <f aca="false">IF(AND(OR(AK293="À RADIOGRAPHIER",AK293="RÉPARÉ – À RADIOGRAPHIER",AK293="NX – RT À REFAIRE"),OR('PROGRAMME RT'!$D$5="TOUTES",B293='PROGRAMME RT'!$D$5)),1,0)</f>
        <v>0</v>
      </c>
      <c r="AN293" s="78" t="str">
        <f aca="false">IF(AM293=1,SUM(AM$7:AM293),"")</f>
        <v/>
      </c>
      <c r="AO293" s="78" t="n">
        <f aca="false">IF(AND(OR(AK293="À RÉPARER",AK293="COUPE – À RESOUDER",AK293="VT REJETÉ – À REPRENDRE"),OR(RÉPARATIONS!$D$5="TOUTES",B293=RÉPARATIONS!$D$5)),1,0)</f>
        <v>0</v>
      </c>
      <c r="AP293" s="78" t="str">
        <f aca="false">IF(AO293=1,SUM(AO$7:AO293),"")</f>
        <v/>
      </c>
    </row>
    <row r="294" customFormat="false" ht="15" hidden="false" customHeight="false" outlineLevel="0" collapsed="false">
      <c r="A294" s="78" t="str">
        <f aca="false">IF(E294="","",ROW()-6)</f>
        <v/>
      </c>
      <c r="B294" s="79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1"/>
      <c r="Q294" s="81"/>
      <c r="R294" s="80"/>
      <c r="S294" s="80"/>
      <c r="T294" s="81"/>
      <c r="U294" s="80"/>
      <c r="V294" s="80"/>
      <c r="W294" s="80"/>
      <c r="X294" s="80"/>
      <c r="Y294" s="81"/>
      <c r="Z294" s="80"/>
      <c r="AA294" s="80"/>
      <c r="AB294" s="80"/>
      <c r="AC294" s="80"/>
      <c r="AD294" s="81"/>
      <c r="AE294" s="80"/>
      <c r="AF294" s="80"/>
      <c r="AG294" s="81"/>
      <c r="AH294" s="79"/>
      <c r="AI294" s="78" t="str">
        <f aca="false">IF(E294="","",(V294&lt;&gt;"")+(AA294&lt;&gt;"")+(AF294&lt;&gt;""))</f>
        <v/>
      </c>
      <c r="AJ294" s="82" t="str">
        <f aca="false">IF(AF294&lt;&gt;"",AF294,IF(AA294&lt;&gt;"",AA294,IF(V294&lt;&gt;"",V294,"")))</f>
        <v/>
      </c>
      <c r="AK294" s="83" t="str">
        <f aca="false">IF(E294="","",IF(P294="","À SOUDER",IF(S294="","VT EN ATTENTE",IF(S294="R","VT REJETÉ – À REPRENDRE",IF(AJ294="","À RADIOGRAPHIER",IF(AJ294="A","ACCEPTÉ",IF(AJ294="NX","NX – RT À REFAIRE",IF(IF(AI294=1,X294,IF(AI294=2,AC294,""))="A","RÉPARÉ – À RADIOGRAPHIER",IF(IF(AI294=1,X294,IF(AI294=2,AC294,""))="R","VT REJETÉ – À REPRENDRE",IF(AJ294="CO","COUPE – À RESOUDER","À RÉPARER"))))))))))</f>
        <v/>
      </c>
      <c r="AL294" s="82" t="str">
        <f aca="false">IF(AND(ISNUMBER(P294),OR(AK294="À RADIOGRAPHIER",AK294="RÉPARÉ – À RADIOGRAPHIER",AK294="NX – RT À REFAIRE",AK294="À RÉPARER",AK294="COUPE – À RESOUDER",AK294="VT REJETÉ – À REPRENDRE")),MAX(0,'PROGRAMME RT'!$C$4-P294),"")</f>
        <v/>
      </c>
      <c r="AM294" s="78" t="n">
        <f aca="false">IF(AND(OR(AK294="À RADIOGRAPHIER",AK294="RÉPARÉ – À RADIOGRAPHIER",AK294="NX – RT À REFAIRE"),OR('PROGRAMME RT'!$D$5="TOUTES",B294='PROGRAMME RT'!$D$5)),1,0)</f>
        <v>0</v>
      </c>
      <c r="AN294" s="78" t="str">
        <f aca="false">IF(AM294=1,SUM(AM$7:AM294),"")</f>
        <v/>
      </c>
      <c r="AO294" s="78" t="n">
        <f aca="false">IF(AND(OR(AK294="À RÉPARER",AK294="COUPE – À RESOUDER",AK294="VT REJETÉ – À REPRENDRE"),OR(RÉPARATIONS!$D$5="TOUTES",B294=RÉPARATIONS!$D$5)),1,0)</f>
        <v>0</v>
      </c>
      <c r="AP294" s="78" t="str">
        <f aca="false">IF(AO294=1,SUM(AO$7:AO294),"")</f>
        <v/>
      </c>
    </row>
    <row r="295" customFormat="false" ht="15" hidden="false" customHeight="false" outlineLevel="0" collapsed="false">
      <c r="A295" s="78" t="str">
        <f aca="false">IF(E295="","",ROW()-6)</f>
        <v/>
      </c>
      <c r="B295" s="79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1"/>
      <c r="Q295" s="81"/>
      <c r="R295" s="80"/>
      <c r="S295" s="80"/>
      <c r="T295" s="81"/>
      <c r="U295" s="80"/>
      <c r="V295" s="80"/>
      <c r="W295" s="80"/>
      <c r="X295" s="80"/>
      <c r="Y295" s="81"/>
      <c r="Z295" s="80"/>
      <c r="AA295" s="80"/>
      <c r="AB295" s="80"/>
      <c r="AC295" s="80"/>
      <c r="AD295" s="81"/>
      <c r="AE295" s="80"/>
      <c r="AF295" s="80"/>
      <c r="AG295" s="81"/>
      <c r="AH295" s="79"/>
      <c r="AI295" s="78" t="str">
        <f aca="false">IF(E295="","",(V295&lt;&gt;"")+(AA295&lt;&gt;"")+(AF295&lt;&gt;""))</f>
        <v/>
      </c>
      <c r="AJ295" s="82" t="str">
        <f aca="false">IF(AF295&lt;&gt;"",AF295,IF(AA295&lt;&gt;"",AA295,IF(V295&lt;&gt;"",V295,"")))</f>
        <v/>
      </c>
      <c r="AK295" s="83" t="str">
        <f aca="false">IF(E295="","",IF(P295="","À SOUDER",IF(S295="","VT EN ATTENTE",IF(S295="R","VT REJETÉ – À REPRENDRE",IF(AJ295="","À RADIOGRAPHIER",IF(AJ295="A","ACCEPTÉ",IF(AJ295="NX","NX – RT À REFAIRE",IF(IF(AI295=1,X295,IF(AI295=2,AC295,""))="A","RÉPARÉ – À RADIOGRAPHIER",IF(IF(AI295=1,X295,IF(AI295=2,AC295,""))="R","VT REJETÉ – À REPRENDRE",IF(AJ295="CO","COUPE – À RESOUDER","À RÉPARER"))))))))))</f>
        <v/>
      </c>
      <c r="AL295" s="82" t="str">
        <f aca="false">IF(AND(ISNUMBER(P295),OR(AK295="À RADIOGRAPHIER",AK295="RÉPARÉ – À RADIOGRAPHIER",AK295="NX – RT À REFAIRE",AK295="À RÉPARER",AK295="COUPE – À RESOUDER",AK295="VT REJETÉ – À REPRENDRE")),MAX(0,'PROGRAMME RT'!$C$4-P295),"")</f>
        <v/>
      </c>
      <c r="AM295" s="78" t="n">
        <f aca="false">IF(AND(OR(AK295="À RADIOGRAPHIER",AK295="RÉPARÉ – À RADIOGRAPHIER",AK295="NX – RT À REFAIRE"),OR('PROGRAMME RT'!$D$5="TOUTES",B295='PROGRAMME RT'!$D$5)),1,0)</f>
        <v>0</v>
      </c>
      <c r="AN295" s="78" t="str">
        <f aca="false">IF(AM295=1,SUM(AM$7:AM295),"")</f>
        <v/>
      </c>
      <c r="AO295" s="78" t="n">
        <f aca="false">IF(AND(OR(AK295="À RÉPARER",AK295="COUPE – À RESOUDER",AK295="VT REJETÉ – À REPRENDRE"),OR(RÉPARATIONS!$D$5="TOUTES",B295=RÉPARATIONS!$D$5)),1,0)</f>
        <v>0</v>
      </c>
      <c r="AP295" s="78" t="str">
        <f aca="false">IF(AO295=1,SUM(AO$7:AO295),"")</f>
        <v/>
      </c>
    </row>
    <row r="296" customFormat="false" ht="15" hidden="false" customHeight="false" outlineLevel="0" collapsed="false">
      <c r="A296" s="78" t="str">
        <f aca="false">IF(E296="","",ROW()-6)</f>
        <v/>
      </c>
      <c r="B296" s="79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1"/>
      <c r="Q296" s="81"/>
      <c r="R296" s="80"/>
      <c r="S296" s="80"/>
      <c r="T296" s="81"/>
      <c r="U296" s="80"/>
      <c r="V296" s="80"/>
      <c r="W296" s="80"/>
      <c r="X296" s="80"/>
      <c r="Y296" s="81"/>
      <c r="Z296" s="80"/>
      <c r="AA296" s="80"/>
      <c r="AB296" s="80"/>
      <c r="AC296" s="80"/>
      <c r="AD296" s="81"/>
      <c r="AE296" s="80"/>
      <c r="AF296" s="80"/>
      <c r="AG296" s="81"/>
      <c r="AH296" s="79"/>
      <c r="AI296" s="78" t="str">
        <f aca="false">IF(E296="","",(V296&lt;&gt;"")+(AA296&lt;&gt;"")+(AF296&lt;&gt;""))</f>
        <v/>
      </c>
      <c r="AJ296" s="82" t="str">
        <f aca="false">IF(AF296&lt;&gt;"",AF296,IF(AA296&lt;&gt;"",AA296,IF(V296&lt;&gt;"",V296,"")))</f>
        <v/>
      </c>
      <c r="AK296" s="83" t="str">
        <f aca="false">IF(E296="","",IF(P296="","À SOUDER",IF(S296="","VT EN ATTENTE",IF(S296="R","VT REJETÉ – À REPRENDRE",IF(AJ296="","À RADIOGRAPHIER",IF(AJ296="A","ACCEPTÉ",IF(AJ296="NX","NX – RT À REFAIRE",IF(IF(AI296=1,X296,IF(AI296=2,AC296,""))="A","RÉPARÉ – À RADIOGRAPHIER",IF(IF(AI296=1,X296,IF(AI296=2,AC296,""))="R","VT REJETÉ – À REPRENDRE",IF(AJ296="CO","COUPE – À RESOUDER","À RÉPARER"))))))))))</f>
        <v/>
      </c>
      <c r="AL296" s="82" t="str">
        <f aca="false">IF(AND(ISNUMBER(P296),OR(AK296="À RADIOGRAPHIER",AK296="RÉPARÉ – À RADIOGRAPHIER",AK296="NX – RT À REFAIRE",AK296="À RÉPARER",AK296="COUPE – À RESOUDER",AK296="VT REJETÉ – À REPRENDRE")),MAX(0,'PROGRAMME RT'!$C$4-P296),"")</f>
        <v/>
      </c>
      <c r="AM296" s="78" t="n">
        <f aca="false">IF(AND(OR(AK296="À RADIOGRAPHIER",AK296="RÉPARÉ – À RADIOGRAPHIER",AK296="NX – RT À REFAIRE"),OR('PROGRAMME RT'!$D$5="TOUTES",B296='PROGRAMME RT'!$D$5)),1,0)</f>
        <v>0</v>
      </c>
      <c r="AN296" s="78" t="str">
        <f aca="false">IF(AM296=1,SUM(AM$7:AM296),"")</f>
        <v/>
      </c>
      <c r="AO296" s="78" t="n">
        <f aca="false">IF(AND(OR(AK296="À RÉPARER",AK296="COUPE – À RESOUDER",AK296="VT REJETÉ – À REPRENDRE"),OR(RÉPARATIONS!$D$5="TOUTES",B296=RÉPARATIONS!$D$5)),1,0)</f>
        <v>0</v>
      </c>
      <c r="AP296" s="78" t="str">
        <f aca="false">IF(AO296=1,SUM(AO$7:AO296),"")</f>
        <v/>
      </c>
    </row>
    <row r="297" customFormat="false" ht="15" hidden="false" customHeight="false" outlineLevel="0" collapsed="false">
      <c r="A297" s="78" t="str">
        <f aca="false">IF(E297="","",ROW()-6)</f>
        <v/>
      </c>
      <c r="B297" s="79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1"/>
      <c r="Q297" s="81"/>
      <c r="R297" s="80"/>
      <c r="S297" s="80"/>
      <c r="T297" s="81"/>
      <c r="U297" s="80"/>
      <c r="V297" s="80"/>
      <c r="W297" s="80"/>
      <c r="X297" s="80"/>
      <c r="Y297" s="81"/>
      <c r="Z297" s="80"/>
      <c r="AA297" s="80"/>
      <c r="AB297" s="80"/>
      <c r="AC297" s="80"/>
      <c r="AD297" s="81"/>
      <c r="AE297" s="80"/>
      <c r="AF297" s="80"/>
      <c r="AG297" s="81"/>
      <c r="AH297" s="79"/>
      <c r="AI297" s="78" t="str">
        <f aca="false">IF(E297="","",(V297&lt;&gt;"")+(AA297&lt;&gt;"")+(AF297&lt;&gt;""))</f>
        <v/>
      </c>
      <c r="AJ297" s="82" t="str">
        <f aca="false">IF(AF297&lt;&gt;"",AF297,IF(AA297&lt;&gt;"",AA297,IF(V297&lt;&gt;"",V297,"")))</f>
        <v/>
      </c>
      <c r="AK297" s="83" t="str">
        <f aca="false">IF(E297="","",IF(P297="","À SOUDER",IF(S297="","VT EN ATTENTE",IF(S297="R","VT REJETÉ – À REPRENDRE",IF(AJ297="","À RADIOGRAPHIER",IF(AJ297="A","ACCEPTÉ",IF(AJ297="NX","NX – RT À REFAIRE",IF(IF(AI297=1,X297,IF(AI297=2,AC297,""))="A","RÉPARÉ – À RADIOGRAPHIER",IF(IF(AI297=1,X297,IF(AI297=2,AC297,""))="R","VT REJETÉ – À REPRENDRE",IF(AJ297="CO","COUPE – À RESOUDER","À RÉPARER"))))))))))</f>
        <v/>
      </c>
      <c r="AL297" s="82" t="str">
        <f aca="false">IF(AND(ISNUMBER(P297),OR(AK297="À RADIOGRAPHIER",AK297="RÉPARÉ – À RADIOGRAPHIER",AK297="NX – RT À REFAIRE",AK297="À RÉPARER",AK297="COUPE – À RESOUDER",AK297="VT REJETÉ – À REPRENDRE")),MAX(0,'PROGRAMME RT'!$C$4-P297),"")</f>
        <v/>
      </c>
      <c r="AM297" s="78" t="n">
        <f aca="false">IF(AND(OR(AK297="À RADIOGRAPHIER",AK297="RÉPARÉ – À RADIOGRAPHIER",AK297="NX – RT À REFAIRE"),OR('PROGRAMME RT'!$D$5="TOUTES",B297='PROGRAMME RT'!$D$5)),1,0)</f>
        <v>0</v>
      </c>
      <c r="AN297" s="78" t="str">
        <f aca="false">IF(AM297=1,SUM(AM$7:AM297),"")</f>
        <v/>
      </c>
      <c r="AO297" s="78" t="n">
        <f aca="false">IF(AND(OR(AK297="À RÉPARER",AK297="COUPE – À RESOUDER",AK297="VT REJETÉ – À REPRENDRE"),OR(RÉPARATIONS!$D$5="TOUTES",B297=RÉPARATIONS!$D$5)),1,0)</f>
        <v>0</v>
      </c>
      <c r="AP297" s="78" t="str">
        <f aca="false">IF(AO297=1,SUM(AO$7:AO297),"")</f>
        <v/>
      </c>
    </row>
    <row r="298" customFormat="false" ht="15" hidden="false" customHeight="false" outlineLevel="0" collapsed="false">
      <c r="A298" s="78" t="str">
        <f aca="false">IF(E298="","",ROW()-6)</f>
        <v/>
      </c>
      <c r="B298" s="79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1"/>
      <c r="Q298" s="81"/>
      <c r="R298" s="80"/>
      <c r="S298" s="80"/>
      <c r="T298" s="81"/>
      <c r="U298" s="80"/>
      <c r="V298" s="80"/>
      <c r="W298" s="80"/>
      <c r="X298" s="80"/>
      <c r="Y298" s="81"/>
      <c r="Z298" s="80"/>
      <c r="AA298" s="80"/>
      <c r="AB298" s="80"/>
      <c r="AC298" s="80"/>
      <c r="AD298" s="81"/>
      <c r="AE298" s="80"/>
      <c r="AF298" s="80"/>
      <c r="AG298" s="81"/>
      <c r="AH298" s="79"/>
      <c r="AI298" s="78" t="str">
        <f aca="false">IF(E298="","",(V298&lt;&gt;"")+(AA298&lt;&gt;"")+(AF298&lt;&gt;""))</f>
        <v/>
      </c>
      <c r="AJ298" s="82" t="str">
        <f aca="false">IF(AF298&lt;&gt;"",AF298,IF(AA298&lt;&gt;"",AA298,IF(V298&lt;&gt;"",V298,"")))</f>
        <v/>
      </c>
      <c r="AK298" s="83" t="str">
        <f aca="false">IF(E298="","",IF(P298="","À SOUDER",IF(S298="","VT EN ATTENTE",IF(S298="R","VT REJETÉ – À REPRENDRE",IF(AJ298="","À RADIOGRAPHIER",IF(AJ298="A","ACCEPTÉ",IF(AJ298="NX","NX – RT À REFAIRE",IF(IF(AI298=1,X298,IF(AI298=2,AC298,""))="A","RÉPARÉ – À RADIOGRAPHIER",IF(IF(AI298=1,X298,IF(AI298=2,AC298,""))="R","VT REJETÉ – À REPRENDRE",IF(AJ298="CO","COUPE – À RESOUDER","À RÉPARER"))))))))))</f>
        <v/>
      </c>
      <c r="AL298" s="82" t="str">
        <f aca="false">IF(AND(ISNUMBER(P298),OR(AK298="À RADIOGRAPHIER",AK298="RÉPARÉ – À RADIOGRAPHIER",AK298="NX – RT À REFAIRE",AK298="À RÉPARER",AK298="COUPE – À RESOUDER",AK298="VT REJETÉ – À REPRENDRE")),MAX(0,'PROGRAMME RT'!$C$4-P298),"")</f>
        <v/>
      </c>
      <c r="AM298" s="78" t="n">
        <f aca="false">IF(AND(OR(AK298="À RADIOGRAPHIER",AK298="RÉPARÉ – À RADIOGRAPHIER",AK298="NX – RT À REFAIRE"),OR('PROGRAMME RT'!$D$5="TOUTES",B298='PROGRAMME RT'!$D$5)),1,0)</f>
        <v>0</v>
      </c>
      <c r="AN298" s="78" t="str">
        <f aca="false">IF(AM298=1,SUM(AM$7:AM298),"")</f>
        <v/>
      </c>
      <c r="AO298" s="78" t="n">
        <f aca="false">IF(AND(OR(AK298="À RÉPARER",AK298="COUPE – À RESOUDER",AK298="VT REJETÉ – À REPRENDRE"),OR(RÉPARATIONS!$D$5="TOUTES",B298=RÉPARATIONS!$D$5)),1,0)</f>
        <v>0</v>
      </c>
      <c r="AP298" s="78" t="str">
        <f aca="false">IF(AO298=1,SUM(AO$7:AO298),"")</f>
        <v/>
      </c>
    </row>
    <row r="299" customFormat="false" ht="15" hidden="false" customHeight="false" outlineLevel="0" collapsed="false">
      <c r="A299" s="78" t="str">
        <f aca="false">IF(E299="","",ROW()-6)</f>
        <v/>
      </c>
      <c r="B299" s="79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1"/>
      <c r="Q299" s="81"/>
      <c r="R299" s="80"/>
      <c r="S299" s="80"/>
      <c r="T299" s="81"/>
      <c r="U299" s="80"/>
      <c r="V299" s="80"/>
      <c r="W299" s="80"/>
      <c r="X299" s="80"/>
      <c r="Y299" s="81"/>
      <c r="Z299" s="80"/>
      <c r="AA299" s="80"/>
      <c r="AB299" s="80"/>
      <c r="AC299" s="80"/>
      <c r="AD299" s="81"/>
      <c r="AE299" s="80"/>
      <c r="AF299" s="80"/>
      <c r="AG299" s="81"/>
      <c r="AH299" s="79"/>
      <c r="AI299" s="78" t="str">
        <f aca="false">IF(E299="","",(V299&lt;&gt;"")+(AA299&lt;&gt;"")+(AF299&lt;&gt;""))</f>
        <v/>
      </c>
      <c r="AJ299" s="82" t="str">
        <f aca="false">IF(AF299&lt;&gt;"",AF299,IF(AA299&lt;&gt;"",AA299,IF(V299&lt;&gt;"",V299,"")))</f>
        <v/>
      </c>
      <c r="AK299" s="83" t="str">
        <f aca="false">IF(E299="","",IF(P299="","À SOUDER",IF(S299="","VT EN ATTENTE",IF(S299="R","VT REJETÉ – À REPRENDRE",IF(AJ299="","À RADIOGRAPHIER",IF(AJ299="A","ACCEPTÉ",IF(AJ299="NX","NX – RT À REFAIRE",IF(IF(AI299=1,X299,IF(AI299=2,AC299,""))="A","RÉPARÉ – À RADIOGRAPHIER",IF(IF(AI299=1,X299,IF(AI299=2,AC299,""))="R","VT REJETÉ – À REPRENDRE",IF(AJ299="CO","COUPE – À RESOUDER","À RÉPARER"))))))))))</f>
        <v/>
      </c>
      <c r="AL299" s="82" t="str">
        <f aca="false">IF(AND(ISNUMBER(P299),OR(AK299="À RADIOGRAPHIER",AK299="RÉPARÉ – À RADIOGRAPHIER",AK299="NX – RT À REFAIRE",AK299="À RÉPARER",AK299="COUPE – À RESOUDER",AK299="VT REJETÉ – À REPRENDRE")),MAX(0,'PROGRAMME RT'!$C$4-P299),"")</f>
        <v/>
      </c>
      <c r="AM299" s="78" t="n">
        <f aca="false">IF(AND(OR(AK299="À RADIOGRAPHIER",AK299="RÉPARÉ – À RADIOGRAPHIER",AK299="NX – RT À REFAIRE"),OR('PROGRAMME RT'!$D$5="TOUTES",B299='PROGRAMME RT'!$D$5)),1,0)</f>
        <v>0</v>
      </c>
      <c r="AN299" s="78" t="str">
        <f aca="false">IF(AM299=1,SUM(AM$7:AM299),"")</f>
        <v/>
      </c>
      <c r="AO299" s="78" t="n">
        <f aca="false">IF(AND(OR(AK299="À RÉPARER",AK299="COUPE – À RESOUDER",AK299="VT REJETÉ – À REPRENDRE"),OR(RÉPARATIONS!$D$5="TOUTES",B299=RÉPARATIONS!$D$5)),1,0)</f>
        <v>0</v>
      </c>
      <c r="AP299" s="78" t="str">
        <f aca="false">IF(AO299=1,SUM(AO$7:AO299),"")</f>
        <v/>
      </c>
    </row>
    <row r="300" customFormat="false" ht="15" hidden="false" customHeight="false" outlineLevel="0" collapsed="false">
      <c r="A300" s="78" t="str">
        <f aca="false">IF(E300="","",ROW()-6)</f>
        <v/>
      </c>
      <c r="B300" s="79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1"/>
      <c r="Q300" s="81"/>
      <c r="R300" s="80"/>
      <c r="S300" s="80"/>
      <c r="T300" s="81"/>
      <c r="U300" s="80"/>
      <c r="V300" s="80"/>
      <c r="W300" s="80"/>
      <c r="X300" s="80"/>
      <c r="Y300" s="81"/>
      <c r="Z300" s="80"/>
      <c r="AA300" s="80"/>
      <c r="AB300" s="80"/>
      <c r="AC300" s="80"/>
      <c r="AD300" s="81"/>
      <c r="AE300" s="80"/>
      <c r="AF300" s="80"/>
      <c r="AG300" s="81"/>
      <c r="AH300" s="79"/>
      <c r="AI300" s="78" t="str">
        <f aca="false">IF(E300="","",(V300&lt;&gt;"")+(AA300&lt;&gt;"")+(AF300&lt;&gt;""))</f>
        <v/>
      </c>
      <c r="AJ300" s="82" t="str">
        <f aca="false">IF(AF300&lt;&gt;"",AF300,IF(AA300&lt;&gt;"",AA300,IF(V300&lt;&gt;"",V300,"")))</f>
        <v/>
      </c>
      <c r="AK300" s="83" t="str">
        <f aca="false">IF(E300="","",IF(P300="","À SOUDER",IF(S300="","VT EN ATTENTE",IF(S300="R","VT REJETÉ – À REPRENDRE",IF(AJ300="","À RADIOGRAPHIER",IF(AJ300="A","ACCEPTÉ",IF(AJ300="NX","NX – RT À REFAIRE",IF(IF(AI300=1,X300,IF(AI300=2,AC300,""))="A","RÉPARÉ – À RADIOGRAPHIER",IF(IF(AI300=1,X300,IF(AI300=2,AC300,""))="R","VT REJETÉ – À REPRENDRE",IF(AJ300="CO","COUPE – À RESOUDER","À RÉPARER"))))))))))</f>
        <v/>
      </c>
      <c r="AL300" s="82" t="str">
        <f aca="false">IF(AND(ISNUMBER(P300),OR(AK300="À RADIOGRAPHIER",AK300="RÉPARÉ – À RADIOGRAPHIER",AK300="NX – RT À REFAIRE",AK300="À RÉPARER",AK300="COUPE – À RESOUDER",AK300="VT REJETÉ – À REPRENDRE")),MAX(0,'PROGRAMME RT'!$C$4-P300),"")</f>
        <v/>
      </c>
      <c r="AM300" s="78" t="n">
        <f aca="false">IF(AND(OR(AK300="À RADIOGRAPHIER",AK300="RÉPARÉ – À RADIOGRAPHIER",AK300="NX – RT À REFAIRE"),OR('PROGRAMME RT'!$D$5="TOUTES",B300='PROGRAMME RT'!$D$5)),1,0)</f>
        <v>0</v>
      </c>
      <c r="AN300" s="78" t="str">
        <f aca="false">IF(AM300=1,SUM(AM$7:AM300),"")</f>
        <v/>
      </c>
      <c r="AO300" s="78" t="n">
        <f aca="false">IF(AND(OR(AK300="À RÉPARER",AK300="COUPE – À RESOUDER",AK300="VT REJETÉ – À REPRENDRE"),OR(RÉPARATIONS!$D$5="TOUTES",B300=RÉPARATIONS!$D$5)),1,0)</f>
        <v>0</v>
      </c>
      <c r="AP300" s="78" t="str">
        <f aca="false">IF(AO300=1,SUM(AO$7:AO300),"")</f>
        <v/>
      </c>
    </row>
    <row r="301" customFormat="false" ht="15" hidden="false" customHeight="false" outlineLevel="0" collapsed="false">
      <c r="A301" s="78" t="str">
        <f aca="false">IF(E301="","",ROW()-6)</f>
        <v/>
      </c>
      <c r="B301" s="79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1"/>
      <c r="Q301" s="81"/>
      <c r="R301" s="80"/>
      <c r="S301" s="80"/>
      <c r="T301" s="81"/>
      <c r="U301" s="80"/>
      <c r="V301" s="80"/>
      <c r="W301" s="80"/>
      <c r="X301" s="80"/>
      <c r="Y301" s="81"/>
      <c r="Z301" s="80"/>
      <c r="AA301" s="80"/>
      <c r="AB301" s="80"/>
      <c r="AC301" s="80"/>
      <c r="AD301" s="81"/>
      <c r="AE301" s="80"/>
      <c r="AF301" s="80"/>
      <c r="AG301" s="81"/>
      <c r="AH301" s="79"/>
      <c r="AI301" s="78" t="str">
        <f aca="false">IF(E301="","",(V301&lt;&gt;"")+(AA301&lt;&gt;"")+(AF301&lt;&gt;""))</f>
        <v/>
      </c>
      <c r="AJ301" s="82" t="str">
        <f aca="false">IF(AF301&lt;&gt;"",AF301,IF(AA301&lt;&gt;"",AA301,IF(V301&lt;&gt;"",V301,"")))</f>
        <v/>
      </c>
      <c r="AK301" s="83" t="str">
        <f aca="false">IF(E301="","",IF(P301="","À SOUDER",IF(S301="","VT EN ATTENTE",IF(S301="R","VT REJETÉ – À REPRENDRE",IF(AJ301="","À RADIOGRAPHIER",IF(AJ301="A","ACCEPTÉ",IF(AJ301="NX","NX – RT À REFAIRE",IF(IF(AI301=1,X301,IF(AI301=2,AC301,""))="A","RÉPARÉ – À RADIOGRAPHIER",IF(IF(AI301=1,X301,IF(AI301=2,AC301,""))="R","VT REJETÉ – À REPRENDRE",IF(AJ301="CO","COUPE – À RESOUDER","À RÉPARER"))))))))))</f>
        <v/>
      </c>
      <c r="AL301" s="82" t="str">
        <f aca="false">IF(AND(ISNUMBER(P301),OR(AK301="À RADIOGRAPHIER",AK301="RÉPARÉ – À RADIOGRAPHIER",AK301="NX – RT À REFAIRE",AK301="À RÉPARER",AK301="COUPE – À RESOUDER",AK301="VT REJETÉ – À REPRENDRE")),MAX(0,'PROGRAMME RT'!$C$4-P301),"")</f>
        <v/>
      </c>
      <c r="AM301" s="78" t="n">
        <f aca="false">IF(AND(OR(AK301="À RADIOGRAPHIER",AK301="RÉPARÉ – À RADIOGRAPHIER",AK301="NX – RT À REFAIRE"),OR('PROGRAMME RT'!$D$5="TOUTES",B301='PROGRAMME RT'!$D$5)),1,0)</f>
        <v>0</v>
      </c>
      <c r="AN301" s="78" t="str">
        <f aca="false">IF(AM301=1,SUM(AM$7:AM301),"")</f>
        <v/>
      </c>
      <c r="AO301" s="78" t="n">
        <f aca="false">IF(AND(OR(AK301="À RÉPARER",AK301="COUPE – À RESOUDER",AK301="VT REJETÉ – À REPRENDRE"),OR(RÉPARATIONS!$D$5="TOUTES",B301=RÉPARATIONS!$D$5)),1,0)</f>
        <v>0</v>
      </c>
      <c r="AP301" s="78" t="str">
        <f aca="false">IF(AO301=1,SUM(AO$7:AO301),"")</f>
        <v/>
      </c>
    </row>
    <row r="302" customFormat="false" ht="15" hidden="false" customHeight="false" outlineLevel="0" collapsed="false">
      <c r="A302" s="78" t="str">
        <f aca="false">IF(E302="","",ROW()-6)</f>
        <v/>
      </c>
      <c r="B302" s="79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1"/>
      <c r="Q302" s="81"/>
      <c r="R302" s="80"/>
      <c r="S302" s="80"/>
      <c r="T302" s="81"/>
      <c r="U302" s="80"/>
      <c r="V302" s="80"/>
      <c r="W302" s="80"/>
      <c r="X302" s="80"/>
      <c r="Y302" s="81"/>
      <c r="Z302" s="80"/>
      <c r="AA302" s="80"/>
      <c r="AB302" s="80"/>
      <c r="AC302" s="80"/>
      <c r="AD302" s="81"/>
      <c r="AE302" s="80"/>
      <c r="AF302" s="80"/>
      <c r="AG302" s="81"/>
      <c r="AH302" s="79"/>
      <c r="AI302" s="78" t="str">
        <f aca="false">IF(E302="","",(V302&lt;&gt;"")+(AA302&lt;&gt;"")+(AF302&lt;&gt;""))</f>
        <v/>
      </c>
      <c r="AJ302" s="82" t="str">
        <f aca="false">IF(AF302&lt;&gt;"",AF302,IF(AA302&lt;&gt;"",AA302,IF(V302&lt;&gt;"",V302,"")))</f>
        <v/>
      </c>
      <c r="AK302" s="83" t="str">
        <f aca="false">IF(E302="","",IF(P302="","À SOUDER",IF(S302="","VT EN ATTENTE",IF(S302="R","VT REJETÉ – À REPRENDRE",IF(AJ302="","À RADIOGRAPHIER",IF(AJ302="A","ACCEPTÉ",IF(AJ302="NX","NX – RT À REFAIRE",IF(IF(AI302=1,X302,IF(AI302=2,AC302,""))="A","RÉPARÉ – À RADIOGRAPHIER",IF(IF(AI302=1,X302,IF(AI302=2,AC302,""))="R","VT REJETÉ – À REPRENDRE",IF(AJ302="CO","COUPE – À RESOUDER","À RÉPARER"))))))))))</f>
        <v/>
      </c>
      <c r="AL302" s="82" t="str">
        <f aca="false">IF(AND(ISNUMBER(P302),OR(AK302="À RADIOGRAPHIER",AK302="RÉPARÉ – À RADIOGRAPHIER",AK302="NX – RT À REFAIRE",AK302="À RÉPARER",AK302="COUPE – À RESOUDER",AK302="VT REJETÉ – À REPRENDRE")),MAX(0,'PROGRAMME RT'!$C$4-P302),"")</f>
        <v/>
      </c>
      <c r="AM302" s="78" t="n">
        <f aca="false">IF(AND(OR(AK302="À RADIOGRAPHIER",AK302="RÉPARÉ – À RADIOGRAPHIER",AK302="NX – RT À REFAIRE"),OR('PROGRAMME RT'!$D$5="TOUTES",B302='PROGRAMME RT'!$D$5)),1,0)</f>
        <v>0</v>
      </c>
      <c r="AN302" s="78" t="str">
        <f aca="false">IF(AM302=1,SUM(AM$7:AM302),"")</f>
        <v/>
      </c>
      <c r="AO302" s="78" t="n">
        <f aca="false">IF(AND(OR(AK302="À RÉPARER",AK302="COUPE – À RESOUDER",AK302="VT REJETÉ – À REPRENDRE"),OR(RÉPARATIONS!$D$5="TOUTES",B302=RÉPARATIONS!$D$5)),1,0)</f>
        <v>0</v>
      </c>
      <c r="AP302" s="78" t="str">
        <f aca="false">IF(AO302=1,SUM(AO$7:AO302),"")</f>
        <v/>
      </c>
    </row>
    <row r="303" customFormat="false" ht="15" hidden="false" customHeight="false" outlineLevel="0" collapsed="false">
      <c r="A303" s="78" t="str">
        <f aca="false">IF(E303="","",ROW()-6)</f>
        <v/>
      </c>
      <c r="B303" s="79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1"/>
      <c r="Q303" s="81"/>
      <c r="R303" s="80"/>
      <c r="S303" s="80"/>
      <c r="T303" s="81"/>
      <c r="U303" s="80"/>
      <c r="V303" s="80"/>
      <c r="W303" s="80"/>
      <c r="X303" s="80"/>
      <c r="Y303" s="81"/>
      <c r="Z303" s="80"/>
      <c r="AA303" s="80"/>
      <c r="AB303" s="80"/>
      <c r="AC303" s="80"/>
      <c r="AD303" s="81"/>
      <c r="AE303" s="80"/>
      <c r="AF303" s="80"/>
      <c r="AG303" s="81"/>
      <c r="AH303" s="79"/>
      <c r="AI303" s="78" t="str">
        <f aca="false">IF(E303="","",(V303&lt;&gt;"")+(AA303&lt;&gt;"")+(AF303&lt;&gt;""))</f>
        <v/>
      </c>
      <c r="AJ303" s="82" t="str">
        <f aca="false">IF(AF303&lt;&gt;"",AF303,IF(AA303&lt;&gt;"",AA303,IF(V303&lt;&gt;"",V303,"")))</f>
        <v/>
      </c>
      <c r="AK303" s="83" t="str">
        <f aca="false">IF(E303="","",IF(P303="","À SOUDER",IF(S303="","VT EN ATTENTE",IF(S303="R","VT REJETÉ – À REPRENDRE",IF(AJ303="","À RADIOGRAPHIER",IF(AJ303="A","ACCEPTÉ",IF(AJ303="NX","NX – RT À REFAIRE",IF(IF(AI303=1,X303,IF(AI303=2,AC303,""))="A","RÉPARÉ – À RADIOGRAPHIER",IF(IF(AI303=1,X303,IF(AI303=2,AC303,""))="R","VT REJETÉ – À REPRENDRE",IF(AJ303="CO","COUPE – À RESOUDER","À RÉPARER"))))))))))</f>
        <v/>
      </c>
      <c r="AL303" s="82" t="str">
        <f aca="false">IF(AND(ISNUMBER(P303),OR(AK303="À RADIOGRAPHIER",AK303="RÉPARÉ – À RADIOGRAPHIER",AK303="NX – RT À REFAIRE",AK303="À RÉPARER",AK303="COUPE – À RESOUDER",AK303="VT REJETÉ – À REPRENDRE")),MAX(0,'PROGRAMME RT'!$C$4-P303),"")</f>
        <v/>
      </c>
      <c r="AM303" s="78" t="n">
        <f aca="false">IF(AND(OR(AK303="À RADIOGRAPHIER",AK303="RÉPARÉ – À RADIOGRAPHIER",AK303="NX – RT À REFAIRE"),OR('PROGRAMME RT'!$D$5="TOUTES",B303='PROGRAMME RT'!$D$5)),1,0)</f>
        <v>0</v>
      </c>
      <c r="AN303" s="78" t="str">
        <f aca="false">IF(AM303=1,SUM(AM$7:AM303),"")</f>
        <v/>
      </c>
      <c r="AO303" s="78" t="n">
        <f aca="false">IF(AND(OR(AK303="À RÉPARER",AK303="COUPE – À RESOUDER",AK303="VT REJETÉ – À REPRENDRE"),OR(RÉPARATIONS!$D$5="TOUTES",B303=RÉPARATIONS!$D$5)),1,0)</f>
        <v>0</v>
      </c>
      <c r="AP303" s="78" t="str">
        <f aca="false">IF(AO303=1,SUM(AO$7:AO303),"")</f>
        <v/>
      </c>
    </row>
    <row r="304" customFormat="false" ht="15" hidden="false" customHeight="false" outlineLevel="0" collapsed="false">
      <c r="A304" s="78" t="str">
        <f aca="false">IF(E304="","",ROW()-6)</f>
        <v/>
      </c>
      <c r="B304" s="79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1"/>
      <c r="Q304" s="81"/>
      <c r="R304" s="80"/>
      <c r="S304" s="80"/>
      <c r="T304" s="81"/>
      <c r="U304" s="80"/>
      <c r="V304" s="80"/>
      <c r="W304" s="80"/>
      <c r="X304" s="80"/>
      <c r="Y304" s="81"/>
      <c r="Z304" s="80"/>
      <c r="AA304" s="80"/>
      <c r="AB304" s="80"/>
      <c r="AC304" s="80"/>
      <c r="AD304" s="81"/>
      <c r="AE304" s="80"/>
      <c r="AF304" s="80"/>
      <c r="AG304" s="81"/>
      <c r="AH304" s="79"/>
      <c r="AI304" s="78" t="str">
        <f aca="false">IF(E304="","",(V304&lt;&gt;"")+(AA304&lt;&gt;"")+(AF304&lt;&gt;""))</f>
        <v/>
      </c>
      <c r="AJ304" s="82" t="str">
        <f aca="false">IF(AF304&lt;&gt;"",AF304,IF(AA304&lt;&gt;"",AA304,IF(V304&lt;&gt;"",V304,"")))</f>
        <v/>
      </c>
      <c r="AK304" s="83" t="str">
        <f aca="false">IF(E304="","",IF(P304="","À SOUDER",IF(S304="","VT EN ATTENTE",IF(S304="R","VT REJETÉ – À REPRENDRE",IF(AJ304="","À RADIOGRAPHIER",IF(AJ304="A","ACCEPTÉ",IF(AJ304="NX","NX – RT À REFAIRE",IF(IF(AI304=1,X304,IF(AI304=2,AC304,""))="A","RÉPARÉ – À RADIOGRAPHIER",IF(IF(AI304=1,X304,IF(AI304=2,AC304,""))="R","VT REJETÉ – À REPRENDRE",IF(AJ304="CO","COUPE – À RESOUDER","À RÉPARER"))))))))))</f>
        <v/>
      </c>
      <c r="AL304" s="82" t="str">
        <f aca="false">IF(AND(ISNUMBER(P304),OR(AK304="À RADIOGRAPHIER",AK304="RÉPARÉ – À RADIOGRAPHIER",AK304="NX – RT À REFAIRE",AK304="À RÉPARER",AK304="COUPE – À RESOUDER",AK304="VT REJETÉ – À REPRENDRE")),MAX(0,'PROGRAMME RT'!$C$4-P304),"")</f>
        <v/>
      </c>
      <c r="AM304" s="78" t="n">
        <f aca="false">IF(AND(OR(AK304="À RADIOGRAPHIER",AK304="RÉPARÉ – À RADIOGRAPHIER",AK304="NX – RT À REFAIRE"),OR('PROGRAMME RT'!$D$5="TOUTES",B304='PROGRAMME RT'!$D$5)),1,0)</f>
        <v>0</v>
      </c>
      <c r="AN304" s="78" t="str">
        <f aca="false">IF(AM304=1,SUM(AM$7:AM304),"")</f>
        <v/>
      </c>
      <c r="AO304" s="78" t="n">
        <f aca="false">IF(AND(OR(AK304="À RÉPARER",AK304="COUPE – À RESOUDER",AK304="VT REJETÉ – À REPRENDRE"),OR(RÉPARATIONS!$D$5="TOUTES",B304=RÉPARATIONS!$D$5)),1,0)</f>
        <v>0</v>
      </c>
      <c r="AP304" s="78" t="str">
        <f aca="false">IF(AO304=1,SUM(AO$7:AO304),"")</f>
        <v/>
      </c>
    </row>
    <row r="305" customFormat="false" ht="15" hidden="false" customHeight="false" outlineLevel="0" collapsed="false">
      <c r="A305" s="78" t="str">
        <f aca="false">IF(E305="","",ROW()-6)</f>
        <v/>
      </c>
      <c r="B305" s="79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1"/>
      <c r="Q305" s="81"/>
      <c r="R305" s="80"/>
      <c r="S305" s="80"/>
      <c r="T305" s="81"/>
      <c r="U305" s="80"/>
      <c r="V305" s="80"/>
      <c r="W305" s="80"/>
      <c r="X305" s="80"/>
      <c r="Y305" s="81"/>
      <c r="Z305" s="80"/>
      <c r="AA305" s="80"/>
      <c r="AB305" s="80"/>
      <c r="AC305" s="80"/>
      <c r="AD305" s="81"/>
      <c r="AE305" s="80"/>
      <c r="AF305" s="80"/>
      <c r="AG305" s="81"/>
      <c r="AH305" s="79"/>
      <c r="AI305" s="78" t="str">
        <f aca="false">IF(E305="","",(V305&lt;&gt;"")+(AA305&lt;&gt;"")+(AF305&lt;&gt;""))</f>
        <v/>
      </c>
      <c r="AJ305" s="82" t="str">
        <f aca="false">IF(AF305&lt;&gt;"",AF305,IF(AA305&lt;&gt;"",AA305,IF(V305&lt;&gt;"",V305,"")))</f>
        <v/>
      </c>
      <c r="AK305" s="83" t="str">
        <f aca="false">IF(E305="","",IF(P305="","À SOUDER",IF(S305="","VT EN ATTENTE",IF(S305="R","VT REJETÉ – À REPRENDRE",IF(AJ305="","À RADIOGRAPHIER",IF(AJ305="A","ACCEPTÉ",IF(AJ305="NX","NX – RT À REFAIRE",IF(IF(AI305=1,X305,IF(AI305=2,AC305,""))="A","RÉPARÉ – À RADIOGRAPHIER",IF(IF(AI305=1,X305,IF(AI305=2,AC305,""))="R","VT REJETÉ – À REPRENDRE",IF(AJ305="CO","COUPE – À RESOUDER","À RÉPARER"))))))))))</f>
        <v/>
      </c>
      <c r="AL305" s="82" t="str">
        <f aca="false">IF(AND(ISNUMBER(P305),OR(AK305="À RADIOGRAPHIER",AK305="RÉPARÉ – À RADIOGRAPHIER",AK305="NX – RT À REFAIRE",AK305="À RÉPARER",AK305="COUPE – À RESOUDER",AK305="VT REJETÉ – À REPRENDRE")),MAX(0,'PROGRAMME RT'!$C$4-P305),"")</f>
        <v/>
      </c>
      <c r="AM305" s="78" t="n">
        <f aca="false">IF(AND(OR(AK305="À RADIOGRAPHIER",AK305="RÉPARÉ – À RADIOGRAPHIER",AK305="NX – RT À REFAIRE"),OR('PROGRAMME RT'!$D$5="TOUTES",B305='PROGRAMME RT'!$D$5)),1,0)</f>
        <v>0</v>
      </c>
      <c r="AN305" s="78" t="str">
        <f aca="false">IF(AM305=1,SUM(AM$7:AM305),"")</f>
        <v/>
      </c>
      <c r="AO305" s="78" t="n">
        <f aca="false">IF(AND(OR(AK305="À RÉPARER",AK305="COUPE – À RESOUDER",AK305="VT REJETÉ – À REPRENDRE"),OR(RÉPARATIONS!$D$5="TOUTES",B305=RÉPARATIONS!$D$5)),1,0)</f>
        <v>0</v>
      </c>
      <c r="AP305" s="78" t="str">
        <f aca="false">IF(AO305=1,SUM(AO$7:AO305),"")</f>
        <v/>
      </c>
    </row>
    <row r="306" customFormat="false" ht="15" hidden="false" customHeight="false" outlineLevel="0" collapsed="false">
      <c r="A306" s="78" t="str">
        <f aca="false">IF(E306="","",ROW()-6)</f>
        <v/>
      </c>
      <c r="B306" s="79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1"/>
      <c r="Q306" s="81"/>
      <c r="R306" s="80"/>
      <c r="S306" s="80"/>
      <c r="T306" s="81"/>
      <c r="U306" s="80"/>
      <c r="V306" s="80"/>
      <c r="W306" s="80"/>
      <c r="X306" s="80"/>
      <c r="Y306" s="81"/>
      <c r="Z306" s="80"/>
      <c r="AA306" s="80"/>
      <c r="AB306" s="80"/>
      <c r="AC306" s="80"/>
      <c r="AD306" s="81"/>
      <c r="AE306" s="80"/>
      <c r="AF306" s="80"/>
      <c r="AG306" s="81"/>
      <c r="AH306" s="79"/>
      <c r="AI306" s="78" t="str">
        <f aca="false">IF(E306="","",(V306&lt;&gt;"")+(AA306&lt;&gt;"")+(AF306&lt;&gt;""))</f>
        <v/>
      </c>
      <c r="AJ306" s="82" t="str">
        <f aca="false">IF(AF306&lt;&gt;"",AF306,IF(AA306&lt;&gt;"",AA306,IF(V306&lt;&gt;"",V306,"")))</f>
        <v/>
      </c>
      <c r="AK306" s="83" t="str">
        <f aca="false">IF(E306="","",IF(P306="","À SOUDER",IF(S306="","VT EN ATTENTE",IF(S306="R","VT REJETÉ – À REPRENDRE",IF(AJ306="","À RADIOGRAPHIER",IF(AJ306="A","ACCEPTÉ",IF(AJ306="NX","NX – RT À REFAIRE",IF(IF(AI306=1,X306,IF(AI306=2,AC306,""))="A","RÉPARÉ – À RADIOGRAPHIER",IF(IF(AI306=1,X306,IF(AI306=2,AC306,""))="R","VT REJETÉ – À REPRENDRE",IF(AJ306="CO","COUPE – À RESOUDER","À RÉPARER"))))))))))</f>
        <v/>
      </c>
      <c r="AL306" s="82" t="str">
        <f aca="false">IF(AND(ISNUMBER(P306),OR(AK306="À RADIOGRAPHIER",AK306="RÉPARÉ – À RADIOGRAPHIER",AK306="NX – RT À REFAIRE",AK306="À RÉPARER",AK306="COUPE – À RESOUDER",AK306="VT REJETÉ – À REPRENDRE")),MAX(0,'PROGRAMME RT'!$C$4-P306),"")</f>
        <v/>
      </c>
      <c r="AM306" s="78" t="n">
        <f aca="false">IF(AND(OR(AK306="À RADIOGRAPHIER",AK306="RÉPARÉ – À RADIOGRAPHIER",AK306="NX – RT À REFAIRE"),OR('PROGRAMME RT'!$D$5="TOUTES",B306='PROGRAMME RT'!$D$5)),1,0)</f>
        <v>0</v>
      </c>
      <c r="AN306" s="78" t="str">
        <f aca="false">IF(AM306=1,SUM(AM$7:AM306),"")</f>
        <v/>
      </c>
      <c r="AO306" s="78" t="n">
        <f aca="false">IF(AND(OR(AK306="À RÉPARER",AK306="COUPE – À RESOUDER",AK306="VT REJETÉ – À REPRENDRE"),OR(RÉPARATIONS!$D$5="TOUTES",B306=RÉPARATIONS!$D$5)),1,0)</f>
        <v>0</v>
      </c>
      <c r="AP306" s="78" t="str">
        <f aca="false">IF(AO306=1,SUM(AO$7:AO306),"")</f>
        <v/>
      </c>
    </row>
    <row r="307" customFormat="false" ht="15" hidden="false" customHeight="false" outlineLevel="0" collapsed="false">
      <c r="A307" s="78" t="str">
        <f aca="false">IF(E307="","",ROW()-6)</f>
        <v/>
      </c>
      <c r="B307" s="79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1"/>
      <c r="Q307" s="81"/>
      <c r="R307" s="80"/>
      <c r="S307" s="80"/>
      <c r="T307" s="81"/>
      <c r="U307" s="80"/>
      <c r="V307" s="80"/>
      <c r="W307" s="80"/>
      <c r="X307" s="80"/>
      <c r="Y307" s="81"/>
      <c r="Z307" s="80"/>
      <c r="AA307" s="80"/>
      <c r="AB307" s="80"/>
      <c r="AC307" s="80"/>
      <c r="AD307" s="81"/>
      <c r="AE307" s="80"/>
      <c r="AF307" s="80"/>
      <c r="AG307" s="81"/>
      <c r="AH307" s="79"/>
      <c r="AI307" s="78" t="str">
        <f aca="false">IF(E307="","",(V307&lt;&gt;"")+(AA307&lt;&gt;"")+(AF307&lt;&gt;""))</f>
        <v/>
      </c>
      <c r="AJ307" s="82" t="str">
        <f aca="false">IF(AF307&lt;&gt;"",AF307,IF(AA307&lt;&gt;"",AA307,IF(V307&lt;&gt;"",V307,"")))</f>
        <v/>
      </c>
      <c r="AK307" s="83" t="str">
        <f aca="false">IF(E307="","",IF(P307="","À SOUDER",IF(S307="","VT EN ATTENTE",IF(S307="R","VT REJETÉ – À REPRENDRE",IF(AJ307="","À RADIOGRAPHIER",IF(AJ307="A","ACCEPTÉ",IF(AJ307="NX","NX – RT À REFAIRE",IF(IF(AI307=1,X307,IF(AI307=2,AC307,""))="A","RÉPARÉ – À RADIOGRAPHIER",IF(IF(AI307=1,X307,IF(AI307=2,AC307,""))="R","VT REJETÉ – À REPRENDRE",IF(AJ307="CO","COUPE – À RESOUDER","À RÉPARER"))))))))))</f>
        <v/>
      </c>
      <c r="AL307" s="82" t="str">
        <f aca="false">IF(AND(ISNUMBER(P307),OR(AK307="À RADIOGRAPHIER",AK307="RÉPARÉ – À RADIOGRAPHIER",AK307="NX – RT À REFAIRE",AK307="À RÉPARER",AK307="COUPE – À RESOUDER",AK307="VT REJETÉ – À REPRENDRE")),MAX(0,'PROGRAMME RT'!$C$4-P307),"")</f>
        <v/>
      </c>
      <c r="AM307" s="78" t="n">
        <f aca="false">IF(AND(OR(AK307="À RADIOGRAPHIER",AK307="RÉPARÉ – À RADIOGRAPHIER",AK307="NX – RT À REFAIRE"),OR('PROGRAMME RT'!$D$5="TOUTES",B307='PROGRAMME RT'!$D$5)),1,0)</f>
        <v>0</v>
      </c>
      <c r="AN307" s="78" t="str">
        <f aca="false">IF(AM307=1,SUM(AM$7:AM307),"")</f>
        <v/>
      </c>
      <c r="AO307" s="78" t="n">
        <f aca="false">IF(AND(OR(AK307="À RÉPARER",AK307="COUPE – À RESOUDER",AK307="VT REJETÉ – À REPRENDRE"),OR(RÉPARATIONS!$D$5="TOUTES",B307=RÉPARATIONS!$D$5)),1,0)</f>
        <v>0</v>
      </c>
      <c r="AP307" s="78" t="str">
        <f aca="false">IF(AO307=1,SUM(AO$7:AO307),"")</f>
        <v/>
      </c>
    </row>
    <row r="308" customFormat="false" ht="15" hidden="false" customHeight="false" outlineLevel="0" collapsed="false">
      <c r="A308" s="78" t="str">
        <f aca="false">IF(E308="","",ROW()-6)</f>
        <v/>
      </c>
      <c r="B308" s="79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1"/>
      <c r="Q308" s="81"/>
      <c r="R308" s="80"/>
      <c r="S308" s="80"/>
      <c r="T308" s="81"/>
      <c r="U308" s="80"/>
      <c r="V308" s="80"/>
      <c r="W308" s="80"/>
      <c r="X308" s="80"/>
      <c r="Y308" s="81"/>
      <c r="Z308" s="80"/>
      <c r="AA308" s="80"/>
      <c r="AB308" s="80"/>
      <c r="AC308" s="80"/>
      <c r="AD308" s="81"/>
      <c r="AE308" s="80"/>
      <c r="AF308" s="80"/>
      <c r="AG308" s="81"/>
      <c r="AH308" s="79"/>
      <c r="AI308" s="78" t="str">
        <f aca="false">IF(E308="","",(V308&lt;&gt;"")+(AA308&lt;&gt;"")+(AF308&lt;&gt;""))</f>
        <v/>
      </c>
      <c r="AJ308" s="82" t="str">
        <f aca="false">IF(AF308&lt;&gt;"",AF308,IF(AA308&lt;&gt;"",AA308,IF(V308&lt;&gt;"",V308,"")))</f>
        <v/>
      </c>
      <c r="AK308" s="83" t="str">
        <f aca="false">IF(E308="","",IF(P308="","À SOUDER",IF(S308="","VT EN ATTENTE",IF(S308="R","VT REJETÉ – À REPRENDRE",IF(AJ308="","À RADIOGRAPHIER",IF(AJ308="A","ACCEPTÉ",IF(AJ308="NX","NX – RT À REFAIRE",IF(IF(AI308=1,X308,IF(AI308=2,AC308,""))="A","RÉPARÉ – À RADIOGRAPHIER",IF(IF(AI308=1,X308,IF(AI308=2,AC308,""))="R","VT REJETÉ – À REPRENDRE",IF(AJ308="CO","COUPE – À RESOUDER","À RÉPARER"))))))))))</f>
        <v/>
      </c>
      <c r="AL308" s="82" t="str">
        <f aca="false">IF(AND(ISNUMBER(P308),OR(AK308="À RADIOGRAPHIER",AK308="RÉPARÉ – À RADIOGRAPHIER",AK308="NX – RT À REFAIRE",AK308="À RÉPARER",AK308="COUPE – À RESOUDER",AK308="VT REJETÉ – À REPRENDRE")),MAX(0,'PROGRAMME RT'!$C$4-P308),"")</f>
        <v/>
      </c>
      <c r="AM308" s="78" t="n">
        <f aca="false">IF(AND(OR(AK308="À RADIOGRAPHIER",AK308="RÉPARÉ – À RADIOGRAPHIER",AK308="NX – RT À REFAIRE"),OR('PROGRAMME RT'!$D$5="TOUTES",B308='PROGRAMME RT'!$D$5)),1,0)</f>
        <v>0</v>
      </c>
      <c r="AN308" s="78" t="str">
        <f aca="false">IF(AM308=1,SUM(AM$7:AM308),"")</f>
        <v/>
      </c>
      <c r="AO308" s="78" t="n">
        <f aca="false">IF(AND(OR(AK308="À RÉPARER",AK308="COUPE – À RESOUDER",AK308="VT REJETÉ – À REPRENDRE"),OR(RÉPARATIONS!$D$5="TOUTES",B308=RÉPARATIONS!$D$5)),1,0)</f>
        <v>0</v>
      </c>
      <c r="AP308" s="78" t="str">
        <f aca="false">IF(AO308=1,SUM(AO$7:AO308),"")</f>
        <v/>
      </c>
    </row>
    <row r="309" customFormat="false" ht="15" hidden="false" customHeight="false" outlineLevel="0" collapsed="false">
      <c r="A309" s="78" t="str">
        <f aca="false">IF(E309="","",ROW()-6)</f>
        <v/>
      </c>
      <c r="B309" s="79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1"/>
      <c r="Q309" s="81"/>
      <c r="R309" s="80"/>
      <c r="S309" s="80"/>
      <c r="T309" s="81"/>
      <c r="U309" s="80"/>
      <c r="V309" s="80"/>
      <c r="W309" s="80"/>
      <c r="X309" s="80"/>
      <c r="Y309" s="81"/>
      <c r="Z309" s="80"/>
      <c r="AA309" s="80"/>
      <c r="AB309" s="80"/>
      <c r="AC309" s="80"/>
      <c r="AD309" s="81"/>
      <c r="AE309" s="80"/>
      <c r="AF309" s="80"/>
      <c r="AG309" s="81"/>
      <c r="AH309" s="79"/>
      <c r="AI309" s="78" t="str">
        <f aca="false">IF(E309="","",(V309&lt;&gt;"")+(AA309&lt;&gt;"")+(AF309&lt;&gt;""))</f>
        <v/>
      </c>
      <c r="AJ309" s="82" t="str">
        <f aca="false">IF(AF309&lt;&gt;"",AF309,IF(AA309&lt;&gt;"",AA309,IF(V309&lt;&gt;"",V309,"")))</f>
        <v/>
      </c>
      <c r="AK309" s="83" t="str">
        <f aca="false">IF(E309="","",IF(P309="","À SOUDER",IF(S309="","VT EN ATTENTE",IF(S309="R","VT REJETÉ – À REPRENDRE",IF(AJ309="","À RADIOGRAPHIER",IF(AJ309="A","ACCEPTÉ",IF(AJ309="NX","NX – RT À REFAIRE",IF(IF(AI309=1,X309,IF(AI309=2,AC309,""))="A","RÉPARÉ – À RADIOGRAPHIER",IF(IF(AI309=1,X309,IF(AI309=2,AC309,""))="R","VT REJETÉ – À REPRENDRE",IF(AJ309="CO","COUPE – À RESOUDER","À RÉPARER"))))))))))</f>
        <v/>
      </c>
      <c r="AL309" s="82" t="str">
        <f aca="false">IF(AND(ISNUMBER(P309),OR(AK309="À RADIOGRAPHIER",AK309="RÉPARÉ – À RADIOGRAPHIER",AK309="NX – RT À REFAIRE",AK309="À RÉPARER",AK309="COUPE – À RESOUDER",AK309="VT REJETÉ – À REPRENDRE")),MAX(0,'PROGRAMME RT'!$C$4-P309),"")</f>
        <v/>
      </c>
      <c r="AM309" s="78" t="n">
        <f aca="false">IF(AND(OR(AK309="À RADIOGRAPHIER",AK309="RÉPARÉ – À RADIOGRAPHIER",AK309="NX – RT À REFAIRE"),OR('PROGRAMME RT'!$D$5="TOUTES",B309='PROGRAMME RT'!$D$5)),1,0)</f>
        <v>0</v>
      </c>
      <c r="AN309" s="78" t="str">
        <f aca="false">IF(AM309=1,SUM(AM$7:AM309),"")</f>
        <v/>
      </c>
      <c r="AO309" s="78" t="n">
        <f aca="false">IF(AND(OR(AK309="À RÉPARER",AK309="COUPE – À RESOUDER",AK309="VT REJETÉ – À REPRENDRE"),OR(RÉPARATIONS!$D$5="TOUTES",B309=RÉPARATIONS!$D$5)),1,0)</f>
        <v>0</v>
      </c>
      <c r="AP309" s="78" t="str">
        <f aca="false">IF(AO309=1,SUM(AO$7:AO309),"")</f>
        <v/>
      </c>
    </row>
    <row r="310" customFormat="false" ht="15" hidden="false" customHeight="false" outlineLevel="0" collapsed="false">
      <c r="A310" s="78" t="str">
        <f aca="false">IF(E310="","",ROW()-6)</f>
        <v/>
      </c>
      <c r="B310" s="79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1"/>
      <c r="Q310" s="81"/>
      <c r="R310" s="80"/>
      <c r="S310" s="80"/>
      <c r="T310" s="81"/>
      <c r="U310" s="80"/>
      <c r="V310" s="80"/>
      <c r="W310" s="80"/>
      <c r="X310" s="80"/>
      <c r="Y310" s="81"/>
      <c r="Z310" s="80"/>
      <c r="AA310" s="80"/>
      <c r="AB310" s="80"/>
      <c r="AC310" s="80"/>
      <c r="AD310" s="81"/>
      <c r="AE310" s="80"/>
      <c r="AF310" s="80"/>
      <c r="AG310" s="81"/>
      <c r="AH310" s="79"/>
      <c r="AI310" s="78" t="str">
        <f aca="false">IF(E310="","",(V310&lt;&gt;"")+(AA310&lt;&gt;"")+(AF310&lt;&gt;""))</f>
        <v/>
      </c>
      <c r="AJ310" s="82" t="str">
        <f aca="false">IF(AF310&lt;&gt;"",AF310,IF(AA310&lt;&gt;"",AA310,IF(V310&lt;&gt;"",V310,"")))</f>
        <v/>
      </c>
      <c r="AK310" s="83" t="str">
        <f aca="false">IF(E310="","",IF(P310="","À SOUDER",IF(S310="","VT EN ATTENTE",IF(S310="R","VT REJETÉ – À REPRENDRE",IF(AJ310="","À RADIOGRAPHIER",IF(AJ310="A","ACCEPTÉ",IF(AJ310="NX","NX – RT À REFAIRE",IF(IF(AI310=1,X310,IF(AI310=2,AC310,""))="A","RÉPARÉ – À RADIOGRAPHIER",IF(IF(AI310=1,X310,IF(AI310=2,AC310,""))="R","VT REJETÉ – À REPRENDRE",IF(AJ310="CO","COUPE – À RESOUDER","À RÉPARER"))))))))))</f>
        <v/>
      </c>
      <c r="AL310" s="82" t="str">
        <f aca="false">IF(AND(ISNUMBER(P310),OR(AK310="À RADIOGRAPHIER",AK310="RÉPARÉ – À RADIOGRAPHIER",AK310="NX – RT À REFAIRE",AK310="À RÉPARER",AK310="COUPE – À RESOUDER",AK310="VT REJETÉ – À REPRENDRE")),MAX(0,'PROGRAMME RT'!$C$4-P310),"")</f>
        <v/>
      </c>
      <c r="AM310" s="78" t="n">
        <f aca="false">IF(AND(OR(AK310="À RADIOGRAPHIER",AK310="RÉPARÉ – À RADIOGRAPHIER",AK310="NX – RT À REFAIRE"),OR('PROGRAMME RT'!$D$5="TOUTES",B310='PROGRAMME RT'!$D$5)),1,0)</f>
        <v>0</v>
      </c>
      <c r="AN310" s="78" t="str">
        <f aca="false">IF(AM310=1,SUM(AM$7:AM310),"")</f>
        <v/>
      </c>
      <c r="AO310" s="78" t="n">
        <f aca="false">IF(AND(OR(AK310="À RÉPARER",AK310="COUPE – À RESOUDER",AK310="VT REJETÉ – À REPRENDRE"),OR(RÉPARATIONS!$D$5="TOUTES",B310=RÉPARATIONS!$D$5)),1,0)</f>
        <v>0</v>
      </c>
      <c r="AP310" s="78" t="str">
        <f aca="false">IF(AO310=1,SUM(AO$7:AO310),"")</f>
        <v/>
      </c>
    </row>
    <row r="311" customFormat="false" ht="15" hidden="false" customHeight="false" outlineLevel="0" collapsed="false">
      <c r="A311" s="78" t="str">
        <f aca="false">IF(E311="","",ROW()-6)</f>
        <v/>
      </c>
      <c r="B311" s="79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1"/>
      <c r="Q311" s="81"/>
      <c r="R311" s="80"/>
      <c r="S311" s="80"/>
      <c r="T311" s="81"/>
      <c r="U311" s="80"/>
      <c r="V311" s="80"/>
      <c r="W311" s="80"/>
      <c r="X311" s="80"/>
      <c r="Y311" s="81"/>
      <c r="Z311" s="80"/>
      <c r="AA311" s="80"/>
      <c r="AB311" s="80"/>
      <c r="AC311" s="80"/>
      <c r="AD311" s="81"/>
      <c r="AE311" s="80"/>
      <c r="AF311" s="80"/>
      <c r="AG311" s="81"/>
      <c r="AH311" s="79"/>
      <c r="AI311" s="78" t="str">
        <f aca="false">IF(E311="","",(V311&lt;&gt;"")+(AA311&lt;&gt;"")+(AF311&lt;&gt;""))</f>
        <v/>
      </c>
      <c r="AJ311" s="82" t="str">
        <f aca="false">IF(AF311&lt;&gt;"",AF311,IF(AA311&lt;&gt;"",AA311,IF(V311&lt;&gt;"",V311,"")))</f>
        <v/>
      </c>
      <c r="AK311" s="83" t="str">
        <f aca="false">IF(E311="","",IF(P311="","À SOUDER",IF(S311="","VT EN ATTENTE",IF(S311="R","VT REJETÉ – À REPRENDRE",IF(AJ311="","À RADIOGRAPHIER",IF(AJ311="A","ACCEPTÉ",IF(AJ311="NX","NX – RT À REFAIRE",IF(IF(AI311=1,X311,IF(AI311=2,AC311,""))="A","RÉPARÉ – À RADIOGRAPHIER",IF(IF(AI311=1,X311,IF(AI311=2,AC311,""))="R","VT REJETÉ – À REPRENDRE",IF(AJ311="CO","COUPE – À RESOUDER","À RÉPARER"))))))))))</f>
        <v/>
      </c>
      <c r="AL311" s="82" t="str">
        <f aca="false">IF(AND(ISNUMBER(P311),OR(AK311="À RADIOGRAPHIER",AK311="RÉPARÉ – À RADIOGRAPHIER",AK311="NX – RT À REFAIRE",AK311="À RÉPARER",AK311="COUPE – À RESOUDER",AK311="VT REJETÉ – À REPRENDRE")),MAX(0,'PROGRAMME RT'!$C$4-P311),"")</f>
        <v/>
      </c>
      <c r="AM311" s="78" t="n">
        <f aca="false">IF(AND(OR(AK311="À RADIOGRAPHIER",AK311="RÉPARÉ – À RADIOGRAPHIER",AK311="NX – RT À REFAIRE"),OR('PROGRAMME RT'!$D$5="TOUTES",B311='PROGRAMME RT'!$D$5)),1,0)</f>
        <v>0</v>
      </c>
      <c r="AN311" s="78" t="str">
        <f aca="false">IF(AM311=1,SUM(AM$7:AM311),"")</f>
        <v/>
      </c>
      <c r="AO311" s="78" t="n">
        <f aca="false">IF(AND(OR(AK311="À RÉPARER",AK311="COUPE – À RESOUDER",AK311="VT REJETÉ – À REPRENDRE"),OR(RÉPARATIONS!$D$5="TOUTES",B311=RÉPARATIONS!$D$5)),1,0)</f>
        <v>0</v>
      </c>
      <c r="AP311" s="78" t="str">
        <f aca="false">IF(AO311=1,SUM(AO$7:AO311),"")</f>
        <v/>
      </c>
    </row>
    <row r="312" customFormat="false" ht="15" hidden="false" customHeight="false" outlineLevel="0" collapsed="false">
      <c r="A312" s="78" t="str">
        <f aca="false">IF(E312="","",ROW()-6)</f>
        <v/>
      </c>
      <c r="B312" s="79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1"/>
      <c r="Q312" s="81"/>
      <c r="R312" s="80"/>
      <c r="S312" s="80"/>
      <c r="T312" s="81"/>
      <c r="U312" s="80"/>
      <c r="V312" s="80"/>
      <c r="W312" s="80"/>
      <c r="X312" s="80"/>
      <c r="Y312" s="81"/>
      <c r="Z312" s="80"/>
      <c r="AA312" s="80"/>
      <c r="AB312" s="80"/>
      <c r="AC312" s="80"/>
      <c r="AD312" s="81"/>
      <c r="AE312" s="80"/>
      <c r="AF312" s="80"/>
      <c r="AG312" s="81"/>
      <c r="AH312" s="79"/>
      <c r="AI312" s="78" t="str">
        <f aca="false">IF(E312="","",(V312&lt;&gt;"")+(AA312&lt;&gt;"")+(AF312&lt;&gt;""))</f>
        <v/>
      </c>
      <c r="AJ312" s="82" t="str">
        <f aca="false">IF(AF312&lt;&gt;"",AF312,IF(AA312&lt;&gt;"",AA312,IF(V312&lt;&gt;"",V312,"")))</f>
        <v/>
      </c>
      <c r="AK312" s="83" t="str">
        <f aca="false">IF(E312="","",IF(P312="","À SOUDER",IF(S312="","VT EN ATTENTE",IF(S312="R","VT REJETÉ – À REPRENDRE",IF(AJ312="","À RADIOGRAPHIER",IF(AJ312="A","ACCEPTÉ",IF(AJ312="NX","NX – RT À REFAIRE",IF(IF(AI312=1,X312,IF(AI312=2,AC312,""))="A","RÉPARÉ – À RADIOGRAPHIER",IF(IF(AI312=1,X312,IF(AI312=2,AC312,""))="R","VT REJETÉ – À REPRENDRE",IF(AJ312="CO","COUPE – À RESOUDER","À RÉPARER"))))))))))</f>
        <v/>
      </c>
      <c r="AL312" s="82" t="str">
        <f aca="false">IF(AND(ISNUMBER(P312),OR(AK312="À RADIOGRAPHIER",AK312="RÉPARÉ – À RADIOGRAPHIER",AK312="NX – RT À REFAIRE",AK312="À RÉPARER",AK312="COUPE – À RESOUDER",AK312="VT REJETÉ – À REPRENDRE")),MAX(0,'PROGRAMME RT'!$C$4-P312),"")</f>
        <v/>
      </c>
      <c r="AM312" s="78" t="n">
        <f aca="false">IF(AND(OR(AK312="À RADIOGRAPHIER",AK312="RÉPARÉ – À RADIOGRAPHIER",AK312="NX – RT À REFAIRE"),OR('PROGRAMME RT'!$D$5="TOUTES",B312='PROGRAMME RT'!$D$5)),1,0)</f>
        <v>0</v>
      </c>
      <c r="AN312" s="78" t="str">
        <f aca="false">IF(AM312=1,SUM(AM$7:AM312),"")</f>
        <v/>
      </c>
      <c r="AO312" s="78" t="n">
        <f aca="false">IF(AND(OR(AK312="À RÉPARER",AK312="COUPE – À RESOUDER",AK312="VT REJETÉ – À REPRENDRE"),OR(RÉPARATIONS!$D$5="TOUTES",B312=RÉPARATIONS!$D$5)),1,0)</f>
        <v>0</v>
      </c>
      <c r="AP312" s="78" t="str">
        <f aca="false">IF(AO312=1,SUM(AO$7:AO312),"")</f>
        <v/>
      </c>
    </row>
    <row r="313" customFormat="false" ht="15" hidden="false" customHeight="false" outlineLevel="0" collapsed="false">
      <c r="A313" s="78" t="str">
        <f aca="false">IF(E313="","",ROW()-6)</f>
        <v/>
      </c>
      <c r="B313" s="79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1"/>
      <c r="Q313" s="81"/>
      <c r="R313" s="80"/>
      <c r="S313" s="80"/>
      <c r="T313" s="81"/>
      <c r="U313" s="80"/>
      <c r="V313" s="80"/>
      <c r="W313" s="80"/>
      <c r="X313" s="80"/>
      <c r="Y313" s="81"/>
      <c r="Z313" s="80"/>
      <c r="AA313" s="80"/>
      <c r="AB313" s="80"/>
      <c r="AC313" s="80"/>
      <c r="AD313" s="81"/>
      <c r="AE313" s="80"/>
      <c r="AF313" s="80"/>
      <c r="AG313" s="81"/>
      <c r="AH313" s="79"/>
      <c r="AI313" s="78" t="str">
        <f aca="false">IF(E313="","",(V313&lt;&gt;"")+(AA313&lt;&gt;"")+(AF313&lt;&gt;""))</f>
        <v/>
      </c>
      <c r="AJ313" s="82" t="str">
        <f aca="false">IF(AF313&lt;&gt;"",AF313,IF(AA313&lt;&gt;"",AA313,IF(V313&lt;&gt;"",V313,"")))</f>
        <v/>
      </c>
      <c r="AK313" s="83" t="str">
        <f aca="false">IF(E313="","",IF(P313="","À SOUDER",IF(S313="","VT EN ATTENTE",IF(S313="R","VT REJETÉ – À REPRENDRE",IF(AJ313="","À RADIOGRAPHIER",IF(AJ313="A","ACCEPTÉ",IF(AJ313="NX","NX – RT À REFAIRE",IF(IF(AI313=1,X313,IF(AI313=2,AC313,""))="A","RÉPARÉ – À RADIOGRAPHIER",IF(IF(AI313=1,X313,IF(AI313=2,AC313,""))="R","VT REJETÉ – À REPRENDRE",IF(AJ313="CO","COUPE – À RESOUDER","À RÉPARER"))))))))))</f>
        <v/>
      </c>
      <c r="AL313" s="82" t="str">
        <f aca="false">IF(AND(ISNUMBER(P313),OR(AK313="À RADIOGRAPHIER",AK313="RÉPARÉ – À RADIOGRAPHIER",AK313="NX – RT À REFAIRE",AK313="À RÉPARER",AK313="COUPE – À RESOUDER",AK313="VT REJETÉ – À REPRENDRE")),MAX(0,'PROGRAMME RT'!$C$4-P313),"")</f>
        <v/>
      </c>
      <c r="AM313" s="78" t="n">
        <f aca="false">IF(AND(OR(AK313="À RADIOGRAPHIER",AK313="RÉPARÉ – À RADIOGRAPHIER",AK313="NX – RT À REFAIRE"),OR('PROGRAMME RT'!$D$5="TOUTES",B313='PROGRAMME RT'!$D$5)),1,0)</f>
        <v>0</v>
      </c>
      <c r="AN313" s="78" t="str">
        <f aca="false">IF(AM313=1,SUM(AM$7:AM313),"")</f>
        <v/>
      </c>
      <c r="AO313" s="78" t="n">
        <f aca="false">IF(AND(OR(AK313="À RÉPARER",AK313="COUPE – À RESOUDER",AK313="VT REJETÉ – À REPRENDRE"),OR(RÉPARATIONS!$D$5="TOUTES",B313=RÉPARATIONS!$D$5)),1,0)</f>
        <v>0</v>
      </c>
      <c r="AP313" s="78" t="str">
        <f aca="false">IF(AO313=1,SUM(AO$7:AO313),"")</f>
        <v/>
      </c>
    </row>
    <row r="314" customFormat="false" ht="15" hidden="false" customHeight="false" outlineLevel="0" collapsed="false">
      <c r="A314" s="78" t="str">
        <f aca="false">IF(E314="","",ROW()-6)</f>
        <v/>
      </c>
      <c r="B314" s="79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1"/>
      <c r="Q314" s="81"/>
      <c r="R314" s="80"/>
      <c r="S314" s="80"/>
      <c r="T314" s="81"/>
      <c r="U314" s="80"/>
      <c r="V314" s="80"/>
      <c r="W314" s="80"/>
      <c r="X314" s="80"/>
      <c r="Y314" s="81"/>
      <c r="Z314" s="80"/>
      <c r="AA314" s="80"/>
      <c r="AB314" s="80"/>
      <c r="AC314" s="80"/>
      <c r="AD314" s="81"/>
      <c r="AE314" s="80"/>
      <c r="AF314" s="80"/>
      <c r="AG314" s="81"/>
      <c r="AH314" s="79"/>
      <c r="AI314" s="78" t="str">
        <f aca="false">IF(E314="","",(V314&lt;&gt;"")+(AA314&lt;&gt;"")+(AF314&lt;&gt;""))</f>
        <v/>
      </c>
      <c r="AJ314" s="82" t="str">
        <f aca="false">IF(AF314&lt;&gt;"",AF314,IF(AA314&lt;&gt;"",AA314,IF(V314&lt;&gt;"",V314,"")))</f>
        <v/>
      </c>
      <c r="AK314" s="83" t="str">
        <f aca="false">IF(E314="","",IF(P314="","À SOUDER",IF(S314="","VT EN ATTENTE",IF(S314="R","VT REJETÉ – À REPRENDRE",IF(AJ314="","À RADIOGRAPHIER",IF(AJ314="A","ACCEPTÉ",IF(AJ314="NX","NX – RT À REFAIRE",IF(IF(AI314=1,X314,IF(AI314=2,AC314,""))="A","RÉPARÉ – À RADIOGRAPHIER",IF(IF(AI314=1,X314,IF(AI314=2,AC314,""))="R","VT REJETÉ – À REPRENDRE",IF(AJ314="CO","COUPE – À RESOUDER","À RÉPARER"))))))))))</f>
        <v/>
      </c>
      <c r="AL314" s="82" t="str">
        <f aca="false">IF(AND(ISNUMBER(P314),OR(AK314="À RADIOGRAPHIER",AK314="RÉPARÉ – À RADIOGRAPHIER",AK314="NX – RT À REFAIRE",AK314="À RÉPARER",AK314="COUPE – À RESOUDER",AK314="VT REJETÉ – À REPRENDRE")),MAX(0,'PROGRAMME RT'!$C$4-P314),"")</f>
        <v/>
      </c>
      <c r="AM314" s="78" t="n">
        <f aca="false">IF(AND(OR(AK314="À RADIOGRAPHIER",AK314="RÉPARÉ – À RADIOGRAPHIER",AK314="NX – RT À REFAIRE"),OR('PROGRAMME RT'!$D$5="TOUTES",B314='PROGRAMME RT'!$D$5)),1,0)</f>
        <v>0</v>
      </c>
      <c r="AN314" s="78" t="str">
        <f aca="false">IF(AM314=1,SUM(AM$7:AM314),"")</f>
        <v/>
      </c>
      <c r="AO314" s="78" t="n">
        <f aca="false">IF(AND(OR(AK314="À RÉPARER",AK314="COUPE – À RESOUDER",AK314="VT REJETÉ – À REPRENDRE"),OR(RÉPARATIONS!$D$5="TOUTES",B314=RÉPARATIONS!$D$5)),1,0)</f>
        <v>0</v>
      </c>
      <c r="AP314" s="78" t="str">
        <f aca="false">IF(AO314=1,SUM(AO$7:AO314),"")</f>
        <v/>
      </c>
    </row>
    <row r="315" customFormat="false" ht="15" hidden="false" customHeight="false" outlineLevel="0" collapsed="false">
      <c r="A315" s="78" t="str">
        <f aca="false">IF(E315="","",ROW()-6)</f>
        <v/>
      </c>
      <c r="B315" s="79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1"/>
      <c r="Q315" s="81"/>
      <c r="R315" s="80"/>
      <c r="S315" s="80"/>
      <c r="T315" s="81"/>
      <c r="U315" s="80"/>
      <c r="V315" s="80"/>
      <c r="W315" s="80"/>
      <c r="X315" s="80"/>
      <c r="Y315" s="81"/>
      <c r="Z315" s="80"/>
      <c r="AA315" s="80"/>
      <c r="AB315" s="80"/>
      <c r="AC315" s="80"/>
      <c r="AD315" s="81"/>
      <c r="AE315" s="80"/>
      <c r="AF315" s="80"/>
      <c r="AG315" s="81"/>
      <c r="AH315" s="79"/>
      <c r="AI315" s="78" t="str">
        <f aca="false">IF(E315="","",(V315&lt;&gt;"")+(AA315&lt;&gt;"")+(AF315&lt;&gt;""))</f>
        <v/>
      </c>
      <c r="AJ315" s="82" t="str">
        <f aca="false">IF(AF315&lt;&gt;"",AF315,IF(AA315&lt;&gt;"",AA315,IF(V315&lt;&gt;"",V315,"")))</f>
        <v/>
      </c>
      <c r="AK315" s="83" t="str">
        <f aca="false">IF(E315="","",IF(P315="","À SOUDER",IF(S315="","VT EN ATTENTE",IF(S315="R","VT REJETÉ – À REPRENDRE",IF(AJ315="","À RADIOGRAPHIER",IF(AJ315="A","ACCEPTÉ",IF(AJ315="NX","NX – RT À REFAIRE",IF(IF(AI315=1,X315,IF(AI315=2,AC315,""))="A","RÉPARÉ – À RADIOGRAPHIER",IF(IF(AI315=1,X315,IF(AI315=2,AC315,""))="R","VT REJETÉ – À REPRENDRE",IF(AJ315="CO","COUPE – À RESOUDER","À RÉPARER"))))))))))</f>
        <v/>
      </c>
      <c r="AL315" s="82" t="str">
        <f aca="false">IF(AND(ISNUMBER(P315),OR(AK315="À RADIOGRAPHIER",AK315="RÉPARÉ – À RADIOGRAPHIER",AK315="NX – RT À REFAIRE",AK315="À RÉPARER",AK315="COUPE – À RESOUDER",AK315="VT REJETÉ – À REPRENDRE")),MAX(0,'PROGRAMME RT'!$C$4-P315),"")</f>
        <v/>
      </c>
      <c r="AM315" s="78" t="n">
        <f aca="false">IF(AND(OR(AK315="À RADIOGRAPHIER",AK315="RÉPARÉ – À RADIOGRAPHIER",AK315="NX – RT À REFAIRE"),OR('PROGRAMME RT'!$D$5="TOUTES",B315='PROGRAMME RT'!$D$5)),1,0)</f>
        <v>0</v>
      </c>
      <c r="AN315" s="78" t="str">
        <f aca="false">IF(AM315=1,SUM(AM$7:AM315),"")</f>
        <v/>
      </c>
      <c r="AO315" s="78" t="n">
        <f aca="false">IF(AND(OR(AK315="À RÉPARER",AK315="COUPE – À RESOUDER",AK315="VT REJETÉ – À REPRENDRE"),OR(RÉPARATIONS!$D$5="TOUTES",B315=RÉPARATIONS!$D$5)),1,0)</f>
        <v>0</v>
      </c>
      <c r="AP315" s="78" t="str">
        <f aca="false">IF(AO315=1,SUM(AO$7:AO315),"")</f>
        <v/>
      </c>
    </row>
    <row r="316" customFormat="false" ht="15" hidden="false" customHeight="false" outlineLevel="0" collapsed="false">
      <c r="A316" s="78" t="str">
        <f aca="false">IF(E316="","",ROW()-6)</f>
        <v/>
      </c>
      <c r="B316" s="79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1"/>
      <c r="Q316" s="81"/>
      <c r="R316" s="80"/>
      <c r="S316" s="80"/>
      <c r="T316" s="81"/>
      <c r="U316" s="80"/>
      <c r="V316" s="80"/>
      <c r="W316" s="80"/>
      <c r="X316" s="80"/>
      <c r="Y316" s="81"/>
      <c r="Z316" s="80"/>
      <c r="AA316" s="80"/>
      <c r="AB316" s="80"/>
      <c r="AC316" s="80"/>
      <c r="AD316" s="81"/>
      <c r="AE316" s="80"/>
      <c r="AF316" s="80"/>
      <c r="AG316" s="81"/>
      <c r="AH316" s="79"/>
      <c r="AI316" s="78" t="str">
        <f aca="false">IF(E316="","",(V316&lt;&gt;"")+(AA316&lt;&gt;"")+(AF316&lt;&gt;""))</f>
        <v/>
      </c>
      <c r="AJ316" s="82" t="str">
        <f aca="false">IF(AF316&lt;&gt;"",AF316,IF(AA316&lt;&gt;"",AA316,IF(V316&lt;&gt;"",V316,"")))</f>
        <v/>
      </c>
      <c r="AK316" s="83" t="str">
        <f aca="false">IF(E316="","",IF(P316="","À SOUDER",IF(S316="","VT EN ATTENTE",IF(S316="R","VT REJETÉ – À REPRENDRE",IF(AJ316="","À RADIOGRAPHIER",IF(AJ316="A","ACCEPTÉ",IF(AJ316="NX","NX – RT À REFAIRE",IF(IF(AI316=1,X316,IF(AI316=2,AC316,""))="A","RÉPARÉ – À RADIOGRAPHIER",IF(IF(AI316=1,X316,IF(AI316=2,AC316,""))="R","VT REJETÉ – À REPRENDRE",IF(AJ316="CO","COUPE – À RESOUDER","À RÉPARER"))))))))))</f>
        <v/>
      </c>
      <c r="AL316" s="82" t="str">
        <f aca="false">IF(AND(ISNUMBER(P316),OR(AK316="À RADIOGRAPHIER",AK316="RÉPARÉ – À RADIOGRAPHIER",AK316="NX – RT À REFAIRE",AK316="À RÉPARER",AK316="COUPE – À RESOUDER",AK316="VT REJETÉ – À REPRENDRE")),MAX(0,'PROGRAMME RT'!$C$4-P316),"")</f>
        <v/>
      </c>
      <c r="AM316" s="78" t="n">
        <f aca="false">IF(AND(OR(AK316="À RADIOGRAPHIER",AK316="RÉPARÉ – À RADIOGRAPHIER",AK316="NX – RT À REFAIRE"),OR('PROGRAMME RT'!$D$5="TOUTES",B316='PROGRAMME RT'!$D$5)),1,0)</f>
        <v>0</v>
      </c>
      <c r="AN316" s="78" t="str">
        <f aca="false">IF(AM316=1,SUM(AM$7:AM316),"")</f>
        <v/>
      </c>
      <c r="AO316" s="78" t="n">
        <f aca="false">IF(AND(OR(AK316="À RÉPARER",AK316="COUPE – À RESOUDER",AK316="VT REJETÉ – À REPRENDRE"),OR(RÉPARATIONS!$D$5="TOUTES",B316=RÉPARATIONS!$D$5)),1,0)</f>
        <v>0</v>
      </c>
      <c r="AP316" s="78" t="str">
        <f aca="false">IF(AO316=1,SUM(AO$7:AO316),"")</f>
        <v/>
      </c>
    </row>
    <row r="317" customFormat="false" ht="15" hidden="false" customHeight="false" outlineLevel="0" collapsed="false">
      <c r="A317" s="78" t="str">
        <f aca="false">IF(E317="","",ROW()-6)</f>
        <v/>
      </c>
      <c r="B317" s="79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1"/>
      <c r="Q317" s="81"/>
      <c r="R317" s="80"/>
      <c r="S317" s="80"/>
      <c r="T317" s="81"/>
      <c r="U317" s="80"/>
      <c r="V317" s="80"/>
      <c r="W317" s="80"/>
      <c r="X317" s="80"/>
      <c r="Y317" s="81"/>
      <c r="Z317" s="80"/>
      <c r="AA317" s="80"/>
      <c r="AB317" s="80"/>
      <c r="AC317" s="80"/>
      <c r="AD317" s="81"/>
      <c r="AE317" s="80"/>
      <c r="AF317" s="80"/>
      <c r="AG317" s="81"/>
      <c r="AH317" s="79"/>
      <c r="AI317" s="78" t="str">
        <f aca="false">IF(E317="","",(V317&lt;&gt;"")+(AA317&lt;&gt;"")+(AF317&lt;&gt;""))</f>
        <v/>
      </c>
      <c r="AJ317" s="82" t="str">
        <f aca="false">IF(AF317&lt;&gt;"",AF317,IF(AA317&lt;&gt;"",AA317,IF(V317&lt;&gt;"",V317,"")))</f>
        <v/>
      </c>
      <c r="AK317" s="83" t="str">
        <f aca="false">IF(E317="","",IF(P317="","À SOUDER",IF(S317="","VT EN ATTENTE",IF(S317="R","VT REJETÉ – À REPRENDRE",IF(AJ317="","À RADIOGRAPHIER",IF(AJ317="A","ACCEPTÉ",IF(AJ317="NX","NX – RT À REFAIRE",IF(IF(AI317=1,X317,IF(AI317=2,AC317,""))="A","RÉPARÉ – À RADIOGRAPHIER",IF(IF(AI317=1,X317,IF(AI317=2,AC317,""))="R","VT REJETÉ – À REPRENDRE",IF(AJ317="CO","COUPE – À RESOUDER","À RÉPARER"))))))))))</f>
        <v/>
      </c>
      <c r="AL317" s="82" t="str">
        <f aca="false">IF(AND(ISNUMBER(P317),OR(AK317="À RADIOGRAPHIER",AK317="RÉPARÉ – À RADIOGRAPHIER",AK317="NX – RT À REFAIRE",AK317="À RÉPARER",AK317="COUPE – À RESOUDER",AK317="VT REJETÉ – À REPRENDRE")),MAX(0,'PROGRAMME RT'!$C$4-P317),"")</f>
        <v/>
      </c>
      <c r="AM317" s="78" t="n">
        <f aca="false">IF(AND(OR(AK317="À RADIOGRAPHIER",AK317="RÉPARÉ – À RADIOGRAPHIER",AK317="NX – RT À REFAIRE"),OR('PROGRAMME RT'!$D$5="TOUTES",B317='PROGRAMME RT'!$D$5)),1,0)</f>
        <v>0</v>
      </c>
      <c r="AN317" s="78" t="str">
        <f aca="false">IF(AM317=1,SUM(AM$7:AM317),"")</f>
        <v/>
      </c>
      <c r="AO317" s="78" t="n">
        <f aca="false">IF(AND(OR(AK317="À RÉPARER",AK317="COUPE – À RESOUDER",AK317="VT REJETÉ – À REPRENDRE"),OR(RÉPARATIONS!$D$5="TOUTES",B317=RÉPARATIONS!$D$5)),1,0)</f>
        <v>0</v>
      </c>
      <c r="AP317" s="78" t="str">
        <f aca="false">IF(AO317=1,SUM(AO$7:AO317),"")</f>
        <v/>
      </c>
    </row>
    <row r="318" customFormat="false" ht="15" hidden="false" customHeight="false" outlineLevel="0" collapsed="false">
      <c r="A318" s="78" t="str">
        <f aca="false">IF(E318="","",ROW()-6)</f>
        <v/>
      </c>
      <c r="B318" s="79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1"/>
      <c r="Q318" s="81"/>
      <c r="R318" s="80"/>
      <c r="S318" s="80"/>
      <c r="T318" s="81"/>
      <c r="U318" s="80"/>
      <c r="V318" s="80"/>
      <c r="W318" s="80"/>
      <c r="X318" s="80"/>
      <c r="Y318" s="81"/>
      <c r="Z318" s="80"/>
      <c r="AA318" s="80"/>
      <c r="AB318" s="80"/>
      <c r="AC318" s="80"/>
      <c r="AD318" s="81"/>
      <c r="AE318" s="80"/>
      <c r="AF318" s="80"/>
      <c r="AG318" s="81"/>
      <c r="AH318" s="79"/>
      <c r="AI318" s="78" t="str">
        <f aca="false">IF(E318="","",(V318&lt;&gt;"")+(AA318&lt;&gt;"")+(AF318&lt;&gt;""))</f>
        <v/>
      </c>
      <c r="AJ318" s="82" t="str">
        <f aca="false">IF(AF318&lt;&gt;"",AF318,IF(AA318&lt;&gt;"",AA318,IF(V318&lt;&gt;"",V318,"")))</f>
        <v/>
      </c>
      <c r="AK318" s="83" t="str">
        <f aca="false">IF(E318="","",IF(P318="","À SOUDER",IF(S318="","VT EN ATTENTE",IF(S318="R","VT REJETÉ – À REPRENDRE",IF(AJ318="","À RADIOGRAPHIER",IF(AJ318="A","ACCEPTÉ",IF(AJ318="NX","NX – RT À REFAIRE",IF(IF(AI318=1,X318,IF(AI318=2,AC318,""))="A","RÉPARÉ – À RADIOGRAPHIER",IF(IF(AI318=1,X318,IF(AI318=2,AC318,""))="R","VT REJETÉ – À REPRENDRE",IF(AJ318="CO","COUPE – À RESOUDER","À RÉPARER"))))))))))</f>
        <v/>
      </c>
      <c r="AL318" s="82" t="str">
        <f aca="false">IF(AND(ISNUMBER(P318),OR(AK318="À RADIOGRAPHIER",AK318="RÉPARÉ – À RADIOGRAPHIER",AK318="NX – RT À REFAIRE",AK318="À RÉPARER",AK318="COUPE – À RESOUDER",AK318="VT REJETÉ – À REPRENDRE")),MAX(0,'PROGRAMME RT'!$C$4-P318),"")</f>
        <v/>
      </c>
      <c r="AM318" s="78" t="n">
        <f aca="false">IF(AND(OR(AK318="À RADIOGRAPHIER",AK318="RÉPARÉ – À RADIOGRAPHIER",AK318="NX – RT À REFAIRE"),OR('PROGRAMME RT'!$D$5="TOUTES",B318='PROGRAMME RT'!$D$5)),1,0)</f>
        <v>0</v>
      </c>
      <c r="AN318" s="78" t="str">
        <f aca="false">IF(AM318=1,SUM(AM$7:AM318),"")</f>
        <v/>
      </c>
      <c r="AO318" s="78" t="n">
        <f aca="false">IF(AND(OR(AK318="À RÉPARER",AK318="COUPE – À RESOUDER",AK318="VT REJETÉ – À REPRENDRE"),OR(RÉPARATIONS!$D$5="TOUTES",B318=RÉPARATIONS!$D$5)),1,0)</f>
        <v>0</v>
      </c>
      <c r="AP318" s="78" t="str">
        <f aca="false">IF(AO318=1,SUM(AO$7:AO318),"")</f>
        <v/>
      </c>
    </row>
    <row r="319" customFormat="false" ht="15" hidden="false" customHeight="false" outlineLevel="0" collapsed="false">
      <c r="A319" s="78" t="str">
        <f aca="false">IF(E319="","",ROW()-6)</f>
        <v/>
      </c>
      <c r="B319" s="79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1"/>
      <c r="Q319" s="81"/>
      <c r="R319" s="80"/>
      <c r="S319" s="80"/>
      <c r="T319" s="81"/>
      <c r="U319" s="80"/>
      <c r="V319" s="80"/>
      <c r="W319" s="80"/>
      <c r="X319" s="80"/>
      <c r="Y319" s="81"/>
      <c r="Z319" s="80"/>
      <c r="AA319" s="80"/>
      <c r="AB319" s="80"/>
      <c r="AC319" s="80"/>
      <c r="AD319" s="81"/>
      <c r="AE319" s="80"/>
      <c r="AF319" s="80"/>
      <c r="AG319" s="81"/>
      <c r="AH319" s="79"/>
      <c r="AI319" s="78" t="str">
        <f aca="false">IF(E319="","",(V319&lt;&gt;"")+(AA319&lt;&gt;"")+(AF319&lt;&gt;""))</f>
        <v/>
      </c>
      <c r="AJ319" s="82" t="str">
        <f aca="false">IF(AF319&lt;&gt;"",AF319,IF(AA319&lt;&gt;"",AA319,IF(V319&lt;&gt;"",V319,"")))</f>
        <v/>
      </c>
      <c r="AK319" s="83" t="str">
        <f aca="false">IF(E319="","",IF(P319="","À SOUDER",IF(S319="","VT EN ATTENTE",IF(S319="R","VT REJETÉ – À REPRENDRE",IF(AJ319="","À RADIOGRAPHIER",IF(AJ319="A","ACCEPTÉ",IF(AJ319="NX","NX – RT À REFAIRE",IF(IF(AI319=1,X319,IF(AI319=2,AC319,""))="A","RÉPARÉ – À RADIOGRAPHIER",IF(IF(AI319=1,X319,IF(AI319=2,AC319,""))="R","VT REJETÉ – À REPRENDRE",IF(AJ319="CO","COUPE – À RESOUDER","À RÉPARER"))))))))))</f>
        <v/>
      </c>
      <c r="AL319" s="82" t="str">
        <f aca="false">IF(AND(ISNUMBER(P319),OR(AK319="À RADIOGRAPHIER",AK319="RÉPARÉ – À RADIOGRAPHIER",AK319="NX – RT À REFAIRE",AK319="À RÉPARER",AK319="COUPE – À RESOUDER",AK319="VT REJETÉ – À REPRENDRE")),MAX(0,'PROGRAMME RT'!$C$4-P319),"")</f>
        <v/>
      </c>
      <c r="AM319" s="78" t="n">
        <f aca="false">IF(AND(OR(AK319="À RADIOGRAPHIER",AK319="RÉPARÉ – À RADIOGRAPHIER",AK319="NX – RT À REFAIRE"),OR('PROGRAMME RT'!$D$5="TOUTES",B319='PROGRAMME RT'!$D$5)),1,0)</f>
        <v>0</v>
      </c>
      <c r="AN319" s="78" t="str">
        <f aca="false">IF(AM319=1,SUM(AM$7:AM319),"")</f>
        <v/>
      </c>
      <c r="AO319" s="78" t="n">
        <f aca="false">IF(AND(OR(AK319="À RÉPARER",AK319="COUPE – À RESOUDER",AK319="VT REJETÉ – À REPRENDRE"),OR(RÉPARATIONS!$D$5="TOUTES",B319=RÉPARATIONS!$D$5)),1,0)</f>
        <v>0</v>
      </c>
      <c r="AP319" s="78" t="str">
        <f aca="false">IF(AO319=1,SUM(AO$7:AO319),"")</f>
        <v/>
      </c>
    </row>
    <row r="320" customFormat="false" ht="15" hidden="false" customHeight="false" outlineLevel="0" collapsed="false">
      <c r="A320" s="78" t="str">
        <f aca="false">IF(E320="","",ROW()-6)</f>
        <v/>
      </c>
      <c r="B320" s="79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1"/>
      <c r="Q320" s="81"/>
      <c r="R320" s="80"/>
      <c r="S320" s="80"/>
      <c r="T320" s="81"/>
      <c r="U320" s="80"/>
      <c r="V320" s="80"/>
      <c r="W320" s="80"/>
      <c r="X320" s="80"/>
      <c r="Y320" s="81"/>
      <c r="Z320" s="80"/>
      <c r="AA320" s="80"/>
      <c r="AB320" s="80"/>
      <c r="AC320" s="80"/>
      <c r="AD320" s="81"/>
      <c r="AE320" s="80"/>
      <c r="AF320" s="80"/>
      <c r="AG320" s="81"/>
      <c r="AH320" s="79"/>
      <c r="AI320" s="78" t="str">
        <f aca="false">IF(E320="","",(V320&lt;&gt;"")+(AA320&lt;&gt;"")+(AF320&lt;&gt;""))</f>
        <v/>
      </c>
      <c r="AJ320" s="82" t="str">
        <f aca="false">IF(AF320&lt;&gt;"",AF320,IF(AA320&lt;&gt;"",AA320,IF(V320&lt;&gt;"",V320,"")))</f>
        <v/>
      </c>
      <c r="AK320" s="83" t="str">
        <f aca="false">IF(E320="","",IF(P320="","À SOUDER",IF(S320="","VT EN ATTENTE",IF(S320="R","VT REJETÉ – À REPRENDRE",IF(AJ320="","À RADIOGRAPHIER",IF(AJ320="A","ACCEPTÉ",IF(AJ320="NX","NX – RT À REFAIRE",IF(IF(AI320=1,X320,IF(AI320=2,AC320,""))="A","RÉPARÉ – À RADIOGRAPHIER",IF(IF(AI320=1,X320,IF(AI320=2,AC320,""))="R","VT REJETÉ – À REPRENDRE",IF(AJ320="CO","COUPE – À RESOUDER","À RÉPARER"))))))))))</f>
        <v/>
      </c>
      <c r="AL320" s="82" t="str">
        <f aca="false">IF(AND(ISNUMBER(P320),OR(AK320="À RADIOGRAPHIER",AK320="RÉPARÉ – À RADIOGRAPHIER",AK320="NX – RT À REFAIRE",AK320="À RÉPARER",AK320="COUPE – À RESOUDER",AK320="VT REJETÉ – À REPRENDRE")),MAX(0,'PROGRAMME RT'!$C$4-P320),"")</f>
        <v/>
      </c>
      <c r="AM320" s="78" t="n">
        <f aca="false">IF(AND(OR(AK320="À RADIOGRAPHIER",AK320="RÉPARÉ – À RADIOGRAPHIER",AK320="NX – RT À REFAIRE"),OR('PROGRAMME RT'!$D$5="TOUTES",B320='PROGRAMME RT'!$D$5)),1,0)</f>
        <v>0</v>
      </c>
      <c r="AN320" s="78" t="str">
        <f aca="false">IF(AM320=1,SUM(AM$7:AM320),"")</f>
        <v/>
      </c>
      <c r="AO320" s="78" t="n">
        <f aca="false">IF(AND(OR(AK320="À RÉPARER",AK320="COUPE – À RESOUDER",AK320="VT REJETÉ – À REPRENDRE"),OR(RÉPARATIONS!$D$5="TOUTES",B320=RÉPARATIONS!$D$5)),1,0)</f>
        <v>0</v>
      </c>
      <c r="AP320" s="78" t="str">
        <f aca="false">IF(AO320=1,SUM(AO$7:AO320),"")</f>
        <v/>
      </c>
    </row>
    <row r="321" customFormat="false" ht="15" hidden="false" customHeight="false" outlineLevel="0" collapsed="false">
      <c r="A321" s="78" t="str">
        <f aca="false">IF(E321="","",ROW()-6)</f>
        <v/>
      </c>
      <c r="B321" s="79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1"/>
      <c r="Q321" s="81"/>
      <c r="R321" s="80"/>
      <c r="S321" s="80"/>
      <c r="T321" s="81"/>
      <c r="U321" s="80"/>
      <c r="V321" s="80"/>
      <c r="W321" s="80"/>
      <c r="X321" s="80"/>
      <c r="Y321" s="81"/>
      <c r="Z321" s="80"/>
      <c r="AA321" s="80"/>
      <c r="AB321" s="80"/>
      <c r="AC321" s="80"/>
      <c r="AD321" s="81"/>
      <c r="AE321" s="80"/>
      <c r="AF321" s="80"/>
      <c r="AG321" s="81"/>
      <c r="AH321" s="79"/>
      <c r="AI321" s="78" t="str">
        <f aca="false">IF(E321="","",(V321&lt;&gt;"")+(AA321&lt;&gt;"")+(AF321&lt;&gt;""))</f>
        <v/>
      </c>
      <c r="AJ321" s="82" t="str">
        <f aca="false">IF(AF321&lt;&gt;"",AF321,IF(AA321&lt;&gt;"",AA321,IF(V321&lt;&gt;"",V321,"")))</f>
        <v/>
      </c>
      <c r="AK321" s="83" t="str">
        <f aca="false">IF(E321="","",IF(P321="","À SOUDER",IF(S321="","VT EN ATTENTE",IF(S321="R","VT REJETÉ – À REPRENDRE",IF(AJ321="","À RADIOGRAPHIER",IF(AJ321="A","ACCEPTÉ",IF(AJ321="NX","NX – RT À REFAIRE",IF(IF(AI321=1,X321,IF(AI321=2,AC321,""))="A","RÉPARÉ – À RADIOGRAPHIER",IF(IF(AI321=1,X321,IF(AI321=2,AC321,""))="R","VT REJETÉ – À REPRENDRE",IF(AJ321="CO","COUPE – À RESOUDER","À RÉPARER"))))))))))</f>
        <v/>
      </c>
      <c r="AL321" s="82" t="str">
        <f aca="false">IF(AND(ISNUMBER(P321),OR(AK321="À RADIOGRAPHIER",AK321="RÉPARÉ – À RADIOGRAPHIER",AK321="NX – RT À REFAIRE",AK321="À RÉPARER",AK321="COUPE – À RESOUDER",AK321="VT REJETÉ – À REPRENDRE")),MAX(0,'PROGRAMME RT'!$C$4-P321),"")</f>
        <v/>
      </c>
      <c r="AM321" s="78" t="n">
        <f aca="false">IF(AND(OR(AK321="À RADIOGRAPHIER",AK321="RÉPARÉ – À RADIOGRAPHIER",AK321="NX – RT À REFAIRE"),OR('PROGRAMME RT'!$D$5="TOUTES",B321='PROGRAMME RT'!$D$5)),1,0)</f>
        <v>0</v>
      </c>
      <c r="AN321" s="78" t="str">
        <f aca="false">IF(AM321=1,SUM(AM$7:AM321),"")</f>
        <v/>
      </c>
      <c r="AO321" s="78" t="n">
        <f aca="false">IF(AND(OR(AK321="À RÉPARER",AK321="COUPE – À RESOUDER",AK321="VT REJETÉ – À REPRENDRE"),OR(RÉPARATIONS!$D$5="TOUTES",B321=RÉPARATIONS!$D$5)),1,0)</f>
        <v>0</v>
      </c>
      <c r="AP321" s="78" t="str">
        <f aca="false">IF(AO321=1,SUM(AO$7:AO321),"")</f>
        <v/>
      </c>
    </row>
    <row r="322" customFormat="false" ht="15" hidden="false" customHeight="false" outlineLevel="0" collapsed="false">
      <c r="A322" s="78" t="str">
        <f aca="false">IF(E322="","",ROW()-6)</f>
        <v/>
      </c>
      <c r="B322" s="79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1"/>
      <c r="Q322" s="81"/>
      <c r="R322" s="80"/>
      <c r="S322" s="80"/>
      <c r="T322" s="81"/>
      <c r="U322" s="80"/>
      <c r="V322" s="80"/>
      <c r="W322" s="80"/>
      <c r="X322" s="80"/>
      <c r="Y322" s="81"/>
      <c r="Z322" s="80"/>
      <c r="AA322" s="80"/>
      <c r="AB322" s="80"/>
      <c r="AC322" s="80"/>
      <c r="AD322" s="81"/>
      <c r="AE322" s="80"/>
      <c r="AF322" s="80"/>
      <c r="AG322" s="81"/>
      <c r="AH322" s="79"/>
      <c r="AI322" s="78" t="str">
        <f aca="false">IF(E322="","",(V322&lt;&gt;"")+(AA322&lt;&gt;"")+(AF322&lt;&gt;""))</f>
        <v/>
      </c>
      <c r="AJ322" s="82" t="str">
        <f aca="false">IF(AF322&lt;&gt;"",AF322,IF(AA322&lt;&gt;"",AA322,IF(V322&lt;&gt;"",V322,"")))</f>
        <v/>
      </c>
      <c r="AK322" s="83" t="str">
        <f aca="false">IF(E322="","",IF(P322="","À SOUDER",IF(S322="","VT EN ATTENTE",IF(S322="R","VT REJETÉ – À REPRENDRE",IF(AJ322="","À RADIOGRAPHIER",IF(AJ322="A","ACCEPTÉ",IF(AJ322="NX","NX – RT À REFAIRE",IF(IF(AI322=1,X322,IF(AI322=2,AC322,""))="A","RÉPARÉ – À RADIOGRAPHIER",IF(IF(AI322=1,X322,IF(AI322=2,AC322,""))="R","VT REJETÉ – À REPRENDRE",IF(AJ322="CO","COUPE – À RESOUDER","À RÉPARER"))))))))))</f>
        <v/>
      </c>
      <c r="AL322" s="82" t="str">
        <f aca="false">IF(AND(ISNUMBER(P322),OR(AK322="À RADIOGRAPHIER",AK322="RÉPARÉ – À RADIOGRAPHIER",AK322="NX – RT À REFAIRE",AK322="À RÉPARER",AK322="COUPE – À RESOUDER",AK322="VT REJETÉ – À REPRENDRE")),MAX(0,'PROGRAMME RT'!$C$4-P322),"")</f>
        <v/>
      </c>
      <c r="AM322" s="78" t="n">
        <f aca="false">IF(AND(OR(AK322="À RADIOGRAPHIER",AK322="RÉPARÉ – À RADIOGRAPHIER",AK322="NX – RT À REFAIRE"),OR('PROGRAMME RT'!$D$5="TOUTES",B322='PROGRAMME RT'!$D$5)),1,0)</f>
        <v>0</v>
      </c>
      <c r="AN322" s="78" t="str">
        <f aca="false">IF(AM322=1,SUM(AM$7:AM322),"")</f>
        <v/>
      </c>
      <c r="AO322" s="78" t="n">
        <f aca="false">IF(AND(OR(AK322="À RÉPARER",AK322="COUPE – À RESOUDER",AK322="VT REJETÉ – À REPRENDRE"),OR(RÉPARATIONS!$D$5="TOUTES",B322=RÉPARATIONS!$D$5)),1,0)</f>
        <v>0</v>
      </c>
      <c r="AP322" s="78" t="str">
        <f aca="false">IF(AO322=1,SUM(AO$7:AO322),"")</f>
        <v/>
      </c>
    </row>
    <row r="323" customFormat="false" ht="15" hidden="false" customHeight="false" outlineLevel="0" collapsed="false">
      <c r="A323" s="78" t="str">
        <f aca="false">IF(E323="","",ROW()-6)</f>
        <v/>
      </c>
      <c r="B323" s="79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1"/>
      <c r="Q323" s="81"/>
      <c r="R323" s="80"/>
      <c r="S323" s="80"/>
      <c r="T323" s="81"/>
      <c r="U323" s="80"/>
      <c r="V323" s="80"/>
      <c r="W323" s="80"/>
      <c r="X323" s="80"/>
      <c r="Y323" s="81"/>
      <c r="Z323" s="80"/>
      <c r="AA323" s="80"/>
      <c r="AB323" s="80"/>
      <c r="AC323" s="80"/>
      <c r="AD323" s="81"/>
      <c r="AE323" s="80"/>
      <c r="AF323" s="80"/>
      <c r="AG323" s="81"/>
      <c r="AH323" s="79"/>
      <c r="AI323" s="78" t="str">
        <f aca="false">IF(E323="","",(V323&lt;&gt;"")+(AA323&lt;&gt;"")+(AF323&lt;&gt;""))</f>
        <v/>
      </c>
      <c r="AJ323" s="82" t="str">
        <f aca="false">IF(AF323&lt;&gt;"",AF323,IF(AA323&lt;&gt;"",AA323,IF(V323&lt;&gt;"",V323,"")))</f>
        <v/>
      </c>
      <c r="AK323" s="83" t="str">
        <f aca="false">IF(E323="","",IF(P323="","À SOUDER",IF(S323="","VT EN ATTENTE",IF(S323="R","VT REJETÉ – À REPRENDRE",IF(AJ323="","À RADIOGRAPHIER",IF(AJ323="A","ACCEPTÉ",IF(AJ323="NX","NX – RT À REFAIRE",IF(IF(AI323=1,X323,IF(AI323=2,AC323,""))="A","RÉPARÉ – À RADIOGRAPHIER",IF(IF(AI323=1,X323,IF(AI323=2,AC323,""))="R","VT REJETÉ – À REPRENDRE",IF(AJ323="CO","COUPE – À RESOUDER","À RÉPARER"))))))))))</f>
        <v/>
      </c>
      <c r="AL323" s="82" t="str">
        <f aca="false">IF(AND(ISNUMBER(P323),OR(AK323="À RADIOGRAPHIER",AK323="RÉPARÉ – À RADIOGRAPHIER",AK323="NX – RT À REFAIRE",AK323="À RÉPARER",AK323="COUPE – À RESOUDER",AK323="VT REJETÉ – À REPRENDRE")),MAX(0,'PROGRAMME RT'!$C$4-P323),"")</f>
        <v/>
      </c>
      <c r="AM323" s="78" t="n">
        <f aca="false">IF(AND(OR(AK323="À RADIOGRAPHIER",AK323="RÉPARÉ – À RADIOGRAPHIER",AK323="NX – RT À REFAIRE"),OR('PROGRAMME RT'!$D$5="TOUTES",B323='PROGRAMME RT'!$D$5)),1,0)</f>
        <v>0</v>
      </c>
      <c r="AN323" s="78" t="str">
        <f aca="false">IF(AM323=1,SUM(AM$7:AM323),"")</f>
        <v/>
      </c>
      <c r="AO323" s="78" t="n">
        <f aca="false">IF(AND(OR(AK323="À RÉPARER",AK323="COUPE – À RESOUDER",AK323="VT REJETÉ – À REPRENDRE"),OR(RÉPARATIONS!$D$5="TOUTES",B323=RÉPARATIONS!$D$5)),1,0)</f>
        <v>0</v>
      </c>
      <c r="AP323" s="78" t="str">
        <f aca="false">IF(AO323=1,SUM(AO$7:AO323),"")</f>
        <v/>
      </c>
    </row>
    <row r="324" customFormat="false" ht="15" hidden="false" customHeight="false" outlineLevel="0" collapsed="false">
      <c r="A324" s="78" t="str">
        <f aca="false">IF(E324="","",ROW()-6)</f>
        <v/>
      </c>
      <c r="B324" s="79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1"/>
      <c r="Q324" s="81"/>
      <c r="R324" s="80"/>
      <c r="S324" s="80"/>
      <c r="T324" s="81"/>
      <c r="U324" s="80"/>
      <c r="V324" s="80"/>
      <c r="W324" s="80"/>
      <c r="X324" s="80"/>
      <c r="Y324" s="81"/>
      <c r="Z324" s="80"/>
      <c r="AA324" s="80"/>
      <c r="AB324" s="80"/>
      <c r="AC324" s="80"/>
      <c r="AD324" s="81"/>
      <c r="AE324" s="80"/>
      <c r="AF324" s="80"/>
      <c r="AG324" s="81"/>
      <c r="AH324" s="79"/>
      <c r="AI324" s="78" t="str">
        <f aca="false">IF(E324="","",(V324&lt;&gt;"")+(AA324&lt;&gt;"")+(AF324&lt;&gt;""))</f>
        <v/>
      </c>
      <c r="AJ324" s="82" t="str">
        <f aca="false">IF(AF324&lt;&gt;"",AF324,IF(AA324&lt;&gt;"",AA324,IF(V324&lt;&gt;"",V324,"")))</f>
        <v/>
      </c>
      <c r="AK324" s="83" t="str">
        <f aca="false">IF(E324="","",IF(P324="","À SOUDER",IF(S324="","VT EN ATTENTE",IF(S324="R","VT REJETÉ – À REPRENDRE",IF(AJ324="","À RADIOGRAPHIER",IF(AJ324="A","ACCEPTÉ",IF(AJ324="NX","NX – RT À REFAIRE",IF(IF(AI324=1,X324,IF(AI324=2,AC324,""))="A","RÉPARÉ – À RADIOGRAPHIER",IF(IF(AI324=1,X324,IF(AI324=2,AC324,""))="R","VT REJETÉ – À REPRENDRE",IF(AJ324="CO","COUPE – À RESOUDER","À RÉPARER"))))))))))</f>
        <v/>
      </c>
      <c r="AL324" s="82" t="str">
        <f aca="false">IF(AND(ISNUMBER(P324),OR(AK324="À RADIOGRAPHIER",AK324="RÉPARÉ – À RADIOGRAPHIER",AK324="NX – RT À REFAIRE",AK324="À RÉPARER",AK324="COUPE – À RESOUDER",AK324="VT REJETÉ – À REPRENDRE")),MAX(0,'PROGRAMME RT'!$C$4-P324),"")</f>
        <v/>
      </c>
      <c r="AM324" s="78" t="n">
        <f aca="false">IF(AND(OR(AK324="À RADIOGRAPHIER",AK324="RÉPARÉ – À RADIOGRAPHIER",AK324="NX – RT À REFAIRE"),OR('PROGRAMME RT'!$D$5="TOUTES",B324='PROGRAMME RT'!$D$5)),1,0)</f>
        <v>0</v>
      </c>
      <c r="AN324" s="78" t="str">
        <f aca="false">IF(AM324=1,SUM(AM$7:AM324),"")</f>
        <v/>
      </c>
      <c r="AO324" s="78" t="n">
        <f aca="false">IF(AND(OR(AK324="À RÉPARER",AK324="COUPE – À RESOUDER",AK324="VT REJETÉ – À REPRENDRE"),OR(RÉPARATIONS!$D$5="TOUTES",B324=RÉPARATIONS!$D$5)),1,0)</f>
        <v>0</v>
      </c>
      <c r="AP324" s="78" t="str">
        <f aca="false">IF(AO324=1,SUM(AO$7:AO324),"")</f>
        <v/>
      </c>
    </row>
    <row r="325" customFormat="false" ht="15" hidden="false" customHeight="false" outlineLevel="0" collapsed="false">
      <c r="A325" s="78" t="str">
        <f aca="false">IF(E325="","",ROW()-6)</f>
        <v/>
      </c>
      <c r="B325" s="79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1"/>
      <c r="Q325" s="81"/>
      <c r="R325" s="80"/>
      <c r="S325" s="80"/>
      <c r="T325" s="81"/>
      <c r="U325" s="80"/>
      <c r="V325" s="80"/>
      <c r="W325" s="80"/>
      <c r="X325" s="80"/>
      <c r="Y325" s="81"/>
      <c r="Z325" s="80"/>
      <c r="AA325" s="80"/>
      <c r="AB325" s="80"/>
      <c r="AC325" s="80"/>
      <c r="AD325" s="81"/>
      <c r="AE325" s="80"/>
      <c r="AF325" s="80"/>
      <c r="AG325" s="81"/>
      <c r="AH325" s="79"/>
      <c r="AI325" s="78" t="str">
        <f aca="false">IF(E325="","",(V325&lt;&gt;"")+(AA325&lt;&gt;"")+(AF325&lt;&gt;""))</f>
        <v/>
      </c>
      <c r="AJ325" s="82" t="str">
        <f aca="false">IF(AF325&lt;&gt;"",AF325,IF(AA325&lt;&gt;"",AA325,IF(V325&lt;&gt;"",V325,"")))</f>
        <v/>
      </c>
      <c r="AK325" s="83" t="str">
        <f aca="false">IF(E325="","",IF(P325="","À SOUDER",IF(S325="","VT EN ATTENTE",IF(S325="R","VT REJETÉ – À REPRENDRE",IF(AJ325="","À RADIOGRAPHIER",IF(AJ325="A","ACCEPTÉ",IF(AJ325="NX","NX – RT À REFAIRE",IF(IF(AI325=1,X325,IF(AI325=2,AC325,""))="A","RÉPARÉ – À RADIOGRAPHIER",IF(IF(AI325=1,X325,IF(AI325=2,AC325,""))="R","VT REJETÉ – À REPRENDRE",IF(AJ325="CO","COUPE – À RESOUDER","À RÉPARER"))))))))))</f>
        <v/>
      </c>
      <c r="AL325" s="82" t="str">
        <f aca="false">IF(AND(ISNUMBER(P325),OR(AK325="À RADIOGRAPHIER",AK325="RÉPARÉ – À RADIOGRAPHIER",AK325="NX – RT À REFAIRE",AK325="À RÉPARER",AK325="COUPE – À RESOUDER",AK325="VT REJETÉ – À REPRENDRE")),MAX(0,'PROGRAMME RT'!$C$4-P325),"")</f>
        <v/>
      </c>
      <c r="AM325" s="78" t="n">
        <f aca="false">IF(AND(OR(AK325="À RADIOGRAPHIER",AK325="RÉPARÉ – À RADIOGRAPHIER",AK325="NX – RT À REFAIRE"),OR('PROGRAMME RT'!$D$5="TOUTES",B325='PROGRAMME RT'!$D$5)),1,0)</f>
        <v>0</v>
      </c>
      <c r="AN325" s="78" t="str">
        <f aca="false">IF(AM325=1,SUM(AM$7:AM325),"")</f>
        <v/>
      </c>
      <c r="AO325" s="78" t="n">
        <f aca="false">IF(AND(OR(AK325="À RÉPARER",AK325="COUPE – À RESOUDER",AK325="VT REJETÉ – À REPRENDRE"),OR(RÉPARATIONS!$D$5="TOUTES",B325=RÉPARATIONS!$D$5)),1,0)</f>
        <v>0</v>
      </c>
      <c r="AP325" s="78" t="str">
        <f aca="false">IF(AO325=1,SUM(AO$7:AO325),"")</f>
        <v/>
      </c>
    </row>
    <row r="326" customFormat="false" ht="15" hidden="false" customHeight="false" outlineLevel="0" collapsed="false">
      <c r="A326" s="78" t="str">
        <f aca="false">IF(E326="","",ROW()-6)</f>
        <v/>
      </c>
      <c r="B326" s="79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1"/>
      <c r="Q326" s="81"/>
      <c r="R326" s="80"/>
      <c r="S326" s="80"/>
      <c r="T326" s="81"/>
      <c r="U326" s="80"/>
      <c r="V326" s="80"/>
      <c r="W326" s="80"/>
      <c r="X326" s="80"/>
      <c r="Y326" s="81"/>
      <c r="Z326" s="80"/>
      <c r="AA326" s="80"/>
      <c r="AB326" s="80"/>
      <c r="AC326" s="80"/>
      <c r="AD326" s="81"/>
      <c r="AE326" s="80"/>
      <c r="AF326" s="80"/>
      <c r="AG326" s="81"/>
      <c r="AH326" s="79"/>
      <c r="AI326" s="78" t="str">
        <f aca="false">IF(E326="","",(V326&lt;&gt;"")+(AA326&lt;&gt;"")+(AF326&lt;&gt;""))</f>
        <v/>
      </c>
      <c r="AJ326" s="82" t="str">
        <f aca="false">IF(AF326&lt;&gt;"",AF326,IF(AA326&lt;&gt;"",AA326,IF(V326&lt;&gt;"",V326,"")))</f>
        <v/>
      </c>
      <c r="AK326" s="83" t="str">
        <f aca="false">IF(E326="","",IF(P326="","À SOUDER",IF(S326="","VT EN ATTENTE",IF(S326="R","VT REJETÉ – À REPRENDRE",IF(AJ326="","À RADIOGRAPHIER",IF(AJ326="A","ACCEPTÉ",IF(AJ326="NX","NX – RT À REFAIRE",IF(IF(AI326=1,X326,IF(AI326=2,AC326,""))="A","RÉPARÉ – À RADIOGRAPHIER",IF(IF(AI326=1,X326,IF(AI326=2,AC326,""))="R","VT REJETÉ – À REPRENDRE",IF(AJ326="CO","COUPE – À RESOUDER","À RÉPARER"))))))))))</f>
        <v/>
      </c>
      <c r="AL326" s="82" t="str">
        <f aca="false">IF(AND(ISNUMBER(P326),OR(AK326="À RADIOGRAPHIER",AK326="RÉPARÉ – À RADIOGRAPHIER",AK326="NX – RT À REFAIRE",AK326="À RÉPARER",AK326="COUPE – À RESOUDER",AK326="VT REJETÉ – À REPRENDRE")),MAX(0,'PROGRAMME RT'!$C$4-P326),"")</f>
        <v/>
      </c>
      <c r="AM326" s="78" t="n">
        <f aca="false">IF(AND(OR(AK326="À RADIOGRAPHIER",AK326="RÉPARÉ – À RADIOGRAPHIER",AK326="NX – RT À REFAIRE"),OR('PROGRAMME RT'!$D$5="TOUTES",B326='PROGRAMME RT'!$D$5)),1,0)</f>
        <v>0</v>
      </c>
      <c r="AN326" s="78" t="str">
        <f aca="false">IF(AM326=1,SUM(AM$7:AM326),"")</f>
        <v/>
      </c>
      <c r="AO326" s="78" t="n">
        <f aca="false">IF(AND(OR(AK326="À RÉPARER",AK326="COUPE – À RESOUDER",AK326="VT REJETÉ – À REPRENDRE"),OR(RÉPARATIONS!$D$5="TOUTES",B326=RÉPARATIONS!$D$5)),1,0)</f>
        <v>0</v>
      </c>
      <c r="AP326" s="78" t="str">
        <f aca="false">IF(AO326=1,SUM(AO$7:AO326),"")</f>
        <v/>
      </c>
    </row>
    <row r="327" customFormat="false" ht="15" hidden="false" customHeight="false" outlineLevel="0" collapsed="false">
      <c r="A327" s="78" t="str">
        <f aca="false">IF(E327="","",ROW()-6)</f>
        <v/>
      </c>
      <c r="B327" s="79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1"/>
      <c r="Q327" s="81"/>
      <c r="R327" s="80"/>
      <c r="S327" s="80"/>
      <c r="T327" s="81"/>
      <c r="U327" s="80"/>
      <c r="V327" s="80"/>
      <c r="W327" s="80"/>
      <c r="X327" s="80"/>
      <c r="Y327" s="81"/>
      <c r="Z327" s="80"/>
      <c r="AA327" s="80"/>
      <c r="AB327" s="80"/>
      <c r="AC327" s="80"/>
      <c r="AD327" s="81"/>
      <c r="AE327" s="80"/>
      <c r="AF327" s="80"/>
      <c r="AG327" s="81"/>
      <c r="AH327" s="79"/>
      <c r="AI327" s="78" t="str">
        <f aca="false">IF(E327="","",(V327&lt;&gt;"")+(AA327&lt;&gt;"")+(AF327&lt;&gt;""))</f>
        <v/>
      </c>
      <c r="AJ327" s="82" t="str">
        <f aca="false">IF(AF327&lt;&gt;"",AF327,IF(AA327&lt;&gt;"",AA327,IF(V327&lt;&gt;"",V327,"")))</f>
        <v/>
      </c>
      <c r="AK327" s="83" t="str">
        <f aca="false">IF(E327="","",IF(P327="","À SOUDER",IF(S327="","VT EN ATTENTE",IF(S327="R","VT REJETÉ – À REPRENDRE",IF(AJ327="","À RADIOGRAPHIER",IF(AJ327="A","ACCEPTÉ",IF(AJ327="NX","NX – RT À REFAIRE",IF(IF(AI327=1,X327,IF(AI327=2,AC327,""))="A","RÉPARÉ – À RADIOGRAPHIER",IF(IF(AI327=1,X327,IF(AI327=2,AC327,""))="R","VT REJETÉ – À REPRENDRE",IF(AJ327="CO","COUPE – À RESOUDER","À RÉPARER"))))))))))</f>
        <v/>
      </c>
      <c r="AL327" s="82" t="str">
        <f aca="false">IF(AND(ISNUMBER(P327),OR(AK327="À RADIOGRAPHIER",AK327="RÉPARÉ – À RADIOGRAPHIER",AK327="NX – RT À REFAIRE",AK327="À RÉPARER",AK327="COUPE – À RESOUDER",AK327="VT REJETÉ – À REPRENDRE")),MAX(0,'PROGRAMME RT'!$C$4-P327),"")</f>
        <v/>
      </c>
      <c r="AM327" s="78" t="n">
        <f aca="false">IF(AND(OR(AK327="À RADIOGRAPHIER",AK327="RÉPARÉ – À RADIOGRAPHIER",AK327="NX – RT À REFAIRE"),OR('PROGRAMME RT'!$D$5="TOUTES",B327='PROGRAMME RT'!$D$5)),1,0)</f>
        <v>0</v>
      </c>
      <c r="AN327" s="78" t="str">
        <f aca="false">IF(AM327=1,SUM(AM$7:AM327),"")</f>
        <v/>
      </c>
      <c r="AO327" s="78" t="n">
        <f aca="false">IF(AND(OR(AK327="À RÉPARER",AK327="COUPE – À RESOUDER",AK327="VT REJETÉ – À REPRENDRE"),OR(RÉPARATIONS!$D$5="TOUTES",B327=RÉPARATIONS!$D$5)),1,0)</f>
        <v>0</v>
      </c>
      <c r="AP327" s="78" t="str">
        <f aca="false">IF(AO327=1,SUM(AO$7:AO327),"")</f>
        <v/>
      </c>
    </row>
    <row r="328" customFormat="false" ht="15" hidden="false" customHeight="false" outlineLevel="0" collapsed="false">
      <c r="A328" s="78" t="str">
        <f aca="false">IF(E328="","",ROW()-6)</f>
        <v/>
      </c>
      <c r="B328" s="79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1"/>
      <c r="Q328" s="81"/>
      <c r="R328" s="80"/>
      <c r="S328" s="80"/>
      <c r="T328" s="81"/>
      <c r="U328" s="80"/>
      <c r="V328" s="80"/>
      <c r="W328" s="80"/>
      <c r="X328" s="80"/>
      <c r="Y328" s="81"/>
      <c r="Z328" s="80"/>
      <c r="AA328" s="80"/>
      <c r="AB328" s="80"/>
      <c r="AC328" s="80"/>
      <c r="AD328" s="81"/>
      <c r="AE328" s="80"/>
      <c r="AF328" s="80"/>
      <c r="AG328" s="81"/>
      <c r="AH328" s="79"/>
      <c r="AI328" s="78" t="str">
        <f aca="false">IF(E328="","",(V328&lt;&gt;"")+(AA328&lt;&gt;"")+(AF328&lt;&gt;""))</f>
        <v/>
      </c>
      <c r="AJ328" s="82" t="str">
        <f aca="false">IF(AF328&lt;&gt;"",AF328,IF(AA328&lt;&gt;"",AA328,IF(V328&lt;&gt;"",V328,"")))</f>
        <v/>
      </c>
      <c r="AK328" s="83" t="str">
        <f aca="false">IF(E328="","",IF(P328="","À SOUDER",IF(S328="","VT EN ATTENTE",IF(S328="R","VT REJETÉ – À REPRENDRE",IF(AJ328="","À RADIOGRAPHIER",IF(AJ328="A","ACCEPTÉ",IF(AJ328="NX","NX – RT À REFAIRE",IF(IF(AI328=1,X328,IF(AI328=2,AC328,""))="A","RÉPARÉ – À RADIOGRAPHIER",IF(IF(AI328=1,X328,IF(AI328=2,AC328,""))="R","VT REJETÉ – À REPRENDRE",IF(AJ328="CO","COUPE – À RESOUDER","À RÉPARER"))))))))))</f>
        <v/>
      </c>
      <c r="AL328" s="82" t="str">
        <f aca="false">IF(AND(ISNUMBER(P328),OR(AK328="À RADIOGRAPHIER",AK328="RÉPARÉ – À RADIOGRAPHIER",AK328="NX – RT À REFAIRE",AK328="À RÉPARER",AK328="COUPE – À RESOUDER",AK328="VT REJETÉ – À REPRENDRE")),MAX(0,'PROGRAMME RT'!$C$4-P328),"")</f>
        <v/>
      </c>
      <c r="AM328" s="78" t="n">
        <f aca="false">IF(AND(OR(AK328="À RADIOGRAPHIER",AK328="RÉPARÉ – À RADIOGRAPHIER",AK328="NX – RT À REFAIRE"),OR('PROGRAMME RT'!$D$5="TOUTES",B328='PROGRAMME RT'!$D$5)),1,0)</f>
        <v>0</v>
      </c>
      <c r="AN328" s="78" t="str">
        <f aca="false">IF(AM328=1,SUM(AM$7:AM328),"")</f>
        <v/>
      </c>
      <c r="AO328" s="78" t="n">
        <f aca="false">IF(AND(OR(AK328="À RÉPARER",AK328="COUPE – À RESOUDER",AK328="VT REJETÉ – À REPRENDRE"),OR(RÉPARATIONS!$D$5="TOUTES",B328=RÉPARATIONS!$D$5)),1,0)</f>
        <v>0</v>
      </c>
      <c r="AP328" s="78" t="str">
        <f aca="false">IF(AO328=1,SUM(AO$7:AO328),"")</f>
        <v/>
      </c>
    </row>
    <row r="329" customFormat="false" ht="15" hidden="false" customHeight="false" outlineLevel="0" collapsed="false">
      <c r="A329" s="78" t="str">
        <f aca="false">IF(E329="","",ROW()-6)</f>
        <v/>
      </c>
      <c r="B329" s="79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1"/>
      <c r="Q329" s="81"/>
      <c r="R329" s="80"/>
      <c r="S329" s="80"/>
      <c r="T329" s="81"/>
      <c r="U329" s="80"/>
      <c r="V329" s="80"/>
      <c r="W329" s="80"/>
      <c r="X329" s="80"/>
      <c r="Y329" s="81"/>
      <c r="Z329" s="80"/>
      <c r="AA329" s="80"/>
      <c r="AB329" s="80"/>
      <c r="AC329" s="80"/>
      <c r="AD329" s="81"/>
      <c r="AE329" s="80"/>
      <c r="AF329" s="80"/>
      <c r="AG329" s="81"/>
      <c r="AH329" s="79"/>
      <c r="AI329" s="78" t="str">
        <f aca="false">IF(E329="","",(V329&lt;&gt;"")+(AA329&lt;&gt;"")+(AF329&lt;&gt;""))</f>
        <v/>
      </c>
      <c r="AJ329" s="82" t="str">
        <f aca="false">IF(AF329&lt;&gt;"",AF329,IF(AA329&lt;&gt;"",AA329,IF(V329&lt;&gt;"",V329,"")))</f>
        <v/>
      </c>
      <c r="AK329" s="83" t="str">
        <f aca="false">IF(E329="","",IF(P329="","À SOUDER",IF(S329="","VT EN ATTENTE",IF(S329="R","VT REJETÉ – À REPRENDRE",IF(AJ329="","À RADIOGRAPHIER",IF(AJ329="A","ACCEPTÉ",IF(AJ329="NX","NX – RT À REFAIRE",IF(IF(AI329=1,X329,IF(AI329=2,AC329,""))="A","RÉPARÉ – À RADIOGRAPHIER",IF(IF(AI329=1,X329,IF(AI329=2,AC329,""))="R","VT REJETÉ – À REPRENDRE",IF(AJ329="CO","COUPE – À RESOUDER","À RÉPARER"))))))))))</f>
        <v/>
      </c>
      <c r="AL329" s="82" t="str">
        <f aca="false">IF(AND(ISNUMBER(P329),OR(AK329="À RADIOGRAPHIER",AK329="RÉPARÉ – À RADIOGRAPHIER",AK329="NX – RT À REFAIRE",AK329="À RÉPARER",AK329="COUPE – À RESOUDER",AK329="VT REJETÉ – À REPRENDRE")),MAX(0,'PROGRAMME RT'!$C$4-P329),"")</f>
        <v/>
      </c>
      <c r="AM329" s="78" t="n">
        <f aca="false">IF(AND(OR(AK329="À RADIOGRAPHIER",AK329="RÉPARÉ – À RADIOGRAPHIER",AK329="NX – RT À REFAIRE"),OR('PROGRAMME RT'!$D$5="TOUTES",B329='PROGRAMME RT'!$D$5)),1,0)</f>
        <v>0</v>
      </c>
      <c r="AN329" s="78" t="str">
        <f aca="false">IF(AM329=1,SUM(AM$7:AM329),"")</f>
        <v/>
      </c>
      <c r="AO329" s="78" t="n">
        <f aca="false">IF(AND(OR(AK329="À RÉPARER",AK329="COUPE – À RESOUDER",AK329="VT REJETÉ – À REPRENDRE"),OR(RÉPARATIONS!$D$5="TOUTES",B329=RÉPARATIONS!$D$5)),1,0)</f>
        <v>0</v>
      </c>
      <c r="AP329" s="78" t="str">
        <f aca="false">IF(AO329=1,SUM(AO$7:AO329),"")</f>
        <v/>
      </c>
    </row>
    <row r="330" customFormat="false" ht="15" hidden="false" customHeight="false" outlineLevel="0" collapsed="false">
      <c r="A330" s="78" t="str">
        <f aca="false">IF(E330="","",ROW()-6)</f>
        <v/>
      </c>
      <c r="B330" s="79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1"/>
      <c r="Q330" s="81"/>
      <c r="R330" s="80"/>
      <c r="S330" s="80"/>
      <c r="T330" s="81"/>
      <c r="U330" s="80"/>
      <c r="V330" s="80"/>
      <c r="W330" s="80"/>
      <c r="X330" s="80"/>
      <c r="Y330" s="81"/>
      <c r="Z330" s="80"/>
      <c r="AA330" s="80"/>
      <c r="AB330" s="80"/>
      <c r="AC330" s="80"/>
      <c r="AD330" s="81"/>
      <c r="AE330" s="80"/>
      <c r="AF330" s="80"/>
      <c r="AG330" s="81"/>
      <c r="AH330" s="79"/>
      <c r="AI330" s="78" t="str">
        <f aca="false">IF(E330="","",(V330&lt;&gt;"")+(AA330&lt;&gt;"")+(AF330&lt;&gt;""))</f>
        <v/>
      </c>
      <c r="AJ330" s="82" t="str">
        <f aca="false">IF(AF330&lt;&gt;"",AF330,IF(AA330&lt;&gt;"",AA330,IF(V330&lt;&gt;"",V330,"")))</f>
        <v/>
      </c>
      <c r="AK330" s="83" t="str">
        <f aca="false">IF(E330="","",IF(P330="","À SOUDER",IF(S330="","VT EN ATTENTE",IF(S330="R","VT REJETÉ – À REPRENDRE",IF(AJ330="","À RADIOGRAPHIER",IF(AJ330="A","ACCEPTÉ",IF(AJ330="NX","NX – RT À REFAIRE",IF(IF(AI330=1,X330,IF(AI330=2,AC330,""))="A","RÉPARÉ – À RADIOGRAPHIER",IF(IF(AI330=1,X330,IF(AI330=2,AC330,""))="R","VT REJETÉ – À REPRENDRE",IF(AJ330="CO","COUPE – À RESOUDER","À RÉPARER"))))))))))</f>
        <v/>
      </c>
      <c r="AL330" s="82" t="str">
        <f aca="false">IF(AND(ISNUMBER(P330),OR(AK330="À RADIOGRAPHIER",AK330="RÉPARÉ – À RADIOGRAPHIER",AK330="NX – RT À REFAIRE",AK330="À RÉPARER",AK330="COUPE – À RESOUDER",AK330="VT REJETÉ – À REPRENDRE")),MAX(0,'PROGRAMME RT'!$C$4-P330),"")</f>
        <v/>
      </c>
      <c r="AM330" s="78" t="n">
        <f aca="false">IF(AND(OR(AK330="À RADIOGRAPHIER",AK330="RÉPARÉ – À RADIOGRAPHIER",AK330="NX – RT À REFAIRE"),OR('PROGRAMME RT'!$D$5="TOUTES",B330='PROGRAMME RT'!$D$5)),1,0)</f>
        <v>0</v>
      </c>
      <c r="AN330" s="78" t="str">
        <f aca="false">IF(AM330=1,SUM(AM$7:AM330),"")</f>
        <v/>
      </c>
      <c r="AO330" s="78" t="n">
        <f aca="false">IF(AND(OR(AK330="À RÉPARER",AK330="COUPE – À RESOUDER",AK330="VT REJETÉ – À REPRENDRE"),OR(RÉPARATIONS!$D$5="TOUTES",B330=RÉPARATIONS!$D$5)),1,0)</f>
        <v>0</v>
      </c>
      <c r="AP330" s="78" t="str">
        <f aca="false">IF(AO330=1,SUM(AO$7:AO330),"")</f>
        <v/>
      </c>
    </row>
    <row r="331" customFormat="false" ht="15" hidden="false" customHeight="false" outlineLevel="0" collapsed="false">
      <c r="A331" s="78" t="str">
        <f aca="false">IF(E331="","",ROW()-6)</f>
        <v/>
      </c>
      <c r="B331" s="79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1"/>
      <c r="Q331" s="81"/>
      <c r="R331" s="80"/>
      <c r="S331" s="80"/>
      <c r="T331" s="81"/>
      <c r="U331" s="80"/>
      <c r="V331" s="80"/>
      <c r="W331" s="80"/>
      <c r="X331" s="80"/>
      <c r="Y331" s="81"/>
      <c r="Z331" s="80"/>
      <c r="AA331" s="80"/>
      <c r="AB331" s="80"/>
      <c r="AC331" s="80"/>
      <c r="AD331" s="81"/>
      <c r="AE331" s="80"/>
      <c r="AF331" s="80"/>
      <c r="AG331" s="81"/>
      <c r="AH331" s="79"/>
      <c r="AI331" s="78" t="str">
        <f aca="false">IF(E331="","",(V331&lt;&gt;"")+(AA331&lt;&gt;"")+(AF331&lt;&gt;""))</f>
        <v/>
      </c>
      <c r="AJ331" s="82" t="str">
        <f aca="false">IF(AF331&lt;&gt;"",AF331,IF(AA331&lt;&gt;"",AA331,IF(V331&lt;&gt;"",V331,"")))</f>
        <v/>
      </c>
      <c r="AK331" s="83" t="str">
        <f aca="false">IF(E331="","",IF(P331="","À SOUDER",IF(S331="","VT EN ATTENTE",IF(S331="R","VT REJETÉ – À REPRENDRE",IF(AJ331="","À RADIOGRAPHIER",IF(AJ331="A","ACCEPTÉ",IF(AJ331="NX","NX – RT À REFAIRE",IF(IF(AI331=1,X331,IF(AI331=2,AC331,""))="A","RÉPARÉ – À RADIOGRAPHIER",IF(IF(AI331=1,X331,IF(AI331=2,AC331,""))="R","VT REJETÉ – À REPRENDRE",IF(AJ331="CO","COUPE – À RESOUDER","À RÉPARER"))))))))))</f>
        <v/>
      </c>
      <c r="AL331" s="82" t="str">
        <f aca="false">IF(AND(ISNUMBER(P331),OR(AK331="À RADIOGRAPHIER",AK331="RÉPARÉ – À RADIOGRAPHIER",AK331="NX – RT À REFAIRE",AK331="À RÉPARER",AK331="COUPE – À RESOUDER",AK331="VT REJETÉ – À REPRENDRE")),MAX(0,'PROGRAMME RT'!$C$4-P331),"")</f>
        <v/>
      </c>
      <c r="AM331" s="78" t="n">
        <f aca="false">IF(AND(OR(AK331="À RADIOGRAPHIER",AK331="RÉPARÉ – À RADIOGRAPHIER",AK331="NX – RT À REFAIRE"),OR('PROGRAMME RT'!$D$5="TOUTES",B331='PROGRAMME RT'!$D$5)),1,0)</f>
        <v>0</v>
      </c>
      <c r="AN331" s="78" t="str">
        <f aca="false">IF(AM331=1,SUM(AM$7:AM331),"")</f>
        <v/>
      </c>
      <c r="AO331" s="78" t="n">
        <f aca="false">IF(AND(OR(AK331="À RÉPARER",AK331="COUPE – À RESOUDER",AK331="VT REJETÉ – À REPRENDRE"),OR(RÉPARATIONS!$D$5="TOUTES",B331=RÉPARATIONS!$D$5)),1,0)</f>
        <v>0</v>
      </c>
      <c r="AP331" s="78" t="str">
        <f aca="false">IF(AO331=1,SUM(AO$7:AO331),"")</f>
        <v/>
      </c>
    </row>
    <row r="332" customFormat="false" ht="15" hidden="false" customHeight="false" outlineLevel="0" collapsed="false">
      <c r="A332" s="78" t="str">
        <f aca="false">IF(E332="","",ROW()-6)</f>
        <v/>
      </c>
      <c r="B332" s="79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1"/>
      <c r="Q332" s="81"/>
      <c r="R332" s="80"/>
      <c r="S332" s="80"/>
      <c r="T332" s="81"/>
      <c r="U332" s="80"/>
      <c r="V332" s="80"/>
      <c r="W332" s="80"/>
      <c r="X332" s="80"/>
      <c r="Y332" s="81"/>
      <c r="Z332" s="80"/>
      <c r="AA332" s="80"/>
      <c r="AB332" s="80"/>
      <c r="AC332" s="80"/>
      <c r="AD332" s="81"/>
      <c r="AE332" s="80"/>
      <c r="AF332" s="80"/>
      <c r="AG332" s="81"/>
      <c r="AH332" s="79"/>
      <c r="AI332" s="78" t="str">
        <f aca="false">IF(E332="","",(V332&lt;&gt;"")+(AA332&lt;&gt;"")+(AF332&lt;&gt;""))</f>
        <v/>
      </c>
      <c r="AJ332" s="82" t="str">
        <f aca="false">IF(AF332&lt;&gt;"",AF332,IF(AA332&lt;&gt;"",AA332,IF(V332&lt;&gt;"",V332,"")))</f>
        <v/>
      </c>
      <c r="AK332" s="83" t="str">
        <f aca="false">IF(E332="","",IF(P332="","À SOUDER",IF(S332="","VT EN ATTENTE",IF(S332="R","VT REJETÉ – À REPRENDRE",IF(AJ332="","À RADIOGRAPHIER",IF(AJ332="A","ACCEPTÉ",IF(AJ332="NX","NX – RT À REFAIRE",IF(IF(AI332=1,X332,IF(AI332=2,AC332,""))="A","RÉPARÉ – À RADIOGRAPHIER",IF(IF(AI332=1,X332,IF(AI332=2,AC332,""))="R","VT REJETÉ – À REPRENDRE",IF(AJ332="CO","COUPE – À RESOUDER","À RÉPARER"))))))))))</f>
        <v/>
      </c>
      <c r="AL332" s="82" t="str">
        <f aca="false">IF(AND(ISNUMBER(P332),OR(AK332="À RADIOGRAPHIER",AK332="RÉPARÉ – À RADIOGRAPHIER",AK332="NX – RT À REFAIRE",AK332="À RÉPARER",AK332="COUPE – À RESOUDER",AK332="VT REJETÉ – À REPRENDRE")),MAX(0,'PROGRAMME RT'!$C$4-P332),"")</f>
        <v/>
      </c>
      <c r="AM332" s="78" t="n">
        <f aca="false">IF(AND(OR(AK332="À RADIOGRAPHIER",AK332="RÉPARÉ – À RADIOGRAPHIER",AK332="NX – RT À REFAIRE"),OR('PROGRAMME RT'!$D$5="TOUTES",B332='PROGRAMME RT'!$D$5)),1,0)</f>
        <v>0</v>
      </c>
      <c r="AN332" s="78" t="str">
        <f aca="false">IF(AM332=1,SUM(AM$7:AM332),"")</f>
        <v/>
      </c>
      <c r="AO332" s="78" t="n">
        <f aca="false">IF(AND(OR(AK332="À RÉPARER",AK332="COUPE – À RESOUDER",AK332="VT REJETÉ – À REPRENDRE"),OR(RÉPARATIONS!$D$5="TOUTES",B332=RÉPARATIONS!$D$5)),1,0)</f>
        <v>0</v>
      </c>
      <c r="AP332" s="78" t="str">
        <f aca="false">IF(AO332=1,SUM(AO$7:AO332),"")</f>
        <v/>
      </c>
    </row>
    <row r="333" customFormat="false" ht="15" hidden="false" customHeight="false" outlineLevel="0" collapsed="false">
      <c r="A333" s="78" t="str">
        <f aca="false">IF(E333="","",ROW()-6)</f>
        <v/>
      </c>
      <c r="B333" s="79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1"/>
      <c r="Q333" s="81"/>
      <c r="R333" s="80"/>
      <c r="S333" s="80"/>
      <c r="T333" s="81"/>
      <c r="U333" s="80"/>
      <c r="V333" s="80"/>
      <c r="W333" s="80"/>
      <c r="X333" s="80"/>
      <c r="Y333" s="81"/>
      <c r="Z333" s="80"/>
      <c r="AA333" s="80"/>
      <c r="AB333" s="80"/>
      <c r="AC333" s="80"/>
      <c r="AD333" s="81"/>
      <c r="AE333" s="80"/>
      <c r="AF333" s="80"/>
      <c r="AG333" s="81"/>
      <c r="AH333" s="79"/>
      <c r="AI333" s="78" t="str">
        <f aca="false">IF(E333="","",(V333&lt;&gt;"")+(AA333&lt;&gt;"")+(AF333&lt;&gt;""))</f>
        <v/>
      </c>
      <c r="AJ333" s="82" t="str">
        <f aca="false">IF(AF333&lt;&gt;"",AF333,IF(AA333&lt;&gt;"",AA333,IF(V333&lt;&gt;"",V333,"")))</f>
        <v/>
      </c>
      <c r="AK333" s="83" t="str">
        <f aca="false">IF(E333="","",IF(P333="","À SOUDER",IF(S333="","VT EN ATTENTE",IF(S333="R","VT REJETÉ – À REPRENDRE",IF(AJ333="","À RADIOGRAPHIER",IF(AJ333="A","ACCEPTÉ",IF(AJ333="NX","NX – RT À REFAIRE",IF(IF(AI333=1,X333,IF(AI333=2,AC333,""))="A","RÉPARÉ – À RADIOGRAPHIER",IF(IF(AI333=1,X333,IF(AI333=2,AC333,""))="R","VT REJETÉ – À REPRENDRE",IF(AJ333="CO","COUPE – À RESOUDER","À RÉPARER"))))))))))</f>
        <v/>
      </c>
      <c r="AL333" s="82" t="str">
        <f aca="false">IF(AND(ISNUMBER(P333),OR(AK333="À RADIOGRAPHIER",AK333="RÉPARÉ – À RADIOGRAPHIER",AK333="NX – RT À REFAIRE",AK333="À RÉPARER",AK333="COUPE – À RESOUDER",AK333="VT REJETÉ – À REPRENDRE")),MAX(0,'PROGRAMME RT'!$C$4-P333),"")</f>
        <v/>
      </c>
      <c r="AM333" s="78" t="n">
        <f aca="false">IF(AND(OR(AK333="À RADIOGRAPHIER",AK333="RÉPARÉ – À RADIOGRAPHIER",AK333="NX – RT À REFAIRE"),OR('PROGRAMME RT'!$D$5="TOUTES",B333='PROGRAMME RT'!$D$5)),1,0)</f>
        <v>0</v>
      </c>
      <c r="AN333" s="78" t="str">
        <f aca="false">IF(AM333=1,SUM(AM$7:AM333),"")</f>
        <v/>
      </c>
      <c r="AO333" s="78" t="n">
        <f aca="false">IF(AND(OR(AK333="À RÉPARER",AK333="COUPE – À RESOUDER",AK333="VT REJETÉ – À REPRENDRE"),OR(RÉPARATIONS!$D$5="TOUTES",B333=RÉPARATIONS!$D$5)),1,0)</f>
        <v>0</v>
      </c>
      <c r="AP333" s="78" t="str">
        <f aca="false">IF(AO333=1,SUM(AO$7:AO333),"")</f>
        <v/>
      </c>
    </row>
    <row r="334" customFormat="false" ht="15" hidden="false" customHeight="false" outlineLevel="0" collapsed="false">
      <c r="A334" s="78" t="str">
        <f aca="false">IF(E334="","",ROW()-6)</f>
        <v/>
      </c>
      <c r="B334" s="79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1"/>
      <c r="Q334" s="81"/>
      <c r="R334" s="80"/>
      <c r="S334" s="80"/>
      <c r="T334" s="81"/>
      <c r="U334" s="80"/>
      <c r="V334" s="80"/>
      <c r="W334" s="80"/>
      <c r="X334" s="80"/>
      <c r="Y334" s="81"/>
      <c r="Z334" s="80"/>
      <c r="AA334" s="80"/>
      <c r="AB334" s="80"/>
      <c r="AC334" s="80"/>
      <c r="AD334" s="81"/>
      <c r="AE334" s="80"/>
      <c r="AF334" s="80"/>
      <c r="AG334" s="81"/>
      <c r="AH334" s="79"/>
      <c r="AI334" s="78" t="str">
        <f aca="false">IF(E334="","",(V334&lt;&gt;"")+(AA334&lt;&gt;"")+(AF334&lt;&gt;""))</f>
        <v/>
      </c>
      <c r="AJ334" s="82" t="str">
        <f aca="false">IF(AF334&lt;&gt;"",AF334,IF(AA334&lt;&gt;"",AA334,IF(V334&lt;&gt;"",V334,"")))</f>
        <v/>
      </c>
      <c r="AK334" s="83" t="str">
        <f aca="false">IF(E334="","",IF(P334="","À SOUDER",IF(S334="","VT EN ATTENTE",IF(S334="R","VT REJETÉ – À REPRENDRE",IF(AJ334="","À RADIOGRAPHIER",IF(AJ334="A","ACCEPTÉ",IF(AJ334="NX","NX – RT À REFAIRE",IF(IF(AI334=1,X334,IF(AI334=2,AC334,""))="A","RÉPARÉ – À RADIOGRAPHIER",IF(IF(AI334=1,X334,IF(AI334=2,AC334,""))="R","VT REJETÉ – À REPRENDRE",IF(AJ334="CO","COUPE – À RESOUDER","À RÉPARER"))))))))))</f>
        <v/>
      </c>
      <c r="AL334" s="82" t="str">
        <f aca="false">IF(AND(ISNUMBER(P334),OR(AK334="À RADIOGRAPHIER",AK334="RÉPARÉ – À RADIOGRAPHIER",AK334="NX – RT À REFAIRE",AK334="À RÉPARER",AK334="COUPE – À RESOUDER",AK334="VT REJETÉ – À REPRENDRE")),MAX(0,'PROGRAMME RT'!$C$4-P334),"")</f>
        <v/>
      </c>
      <c r="AM334" s="78" t="n">
        <f aca="false">IF(AND(OR(AK334="À RADIOGRAPHIER",AK334="RÉPARÉ – À RADIOGRAPHIER",AK334="NX – RT À REFAIRE"),OR('PROGRAMME RT'!$D$5="TOUTES",B334='PROGRAMME RT'!$D$5)),1,0)</f>
        <v>0</v>
      </c>
      <c r="AN334" s="78" t="str">
        <f aca="false">IF(AM334=1,SUM(AM$7:AM334),"")</f>
        <v/>
      </c>
      <c r="AO334" s="78" t="n">
        <f aca="false">IF(AND(OR(AK334="À RÉPARER",AK334="COUPE – À RESOUDER",AK334="VT REJETÉ – À REPRENDRE"),OR(RÉPARATIONS!$D$5="TOUTES",B334=RÉPARATIONS!$D$5)),1,0)</f>
        <v>0</v>
      </c>
      <c r="AP334" s="78" t="str">
        <f aca="false">IF(AO334=1,SUM(AO$7:AO334),"")</f>
        <v/>
      </c>
    </row>
    <row r="335" customFormat="false" ht="15" hidden="false" customHeight="false" outlineLevel="0" collapsed="false">
      <c r="A335" s="78" t="str">
        <f aca="false">IF(E335="","",ROW()-6)</f>
        <v/>
      </c>
      <c r="B335" s="79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1"/>
      <c r="Q335" s="81"/>
      <c r="R335" s="80"/>
      <c r="S335" s="80"/>
      <c r="T335" s="81"/>
      <c r="U335" s="80"/>
      <c r="V335" s="80"/>
      <c r="W335" s="80"/>
      <c r="X335" s="80"/>
      <c r="Y335" s="81"/>
      <c r="Z335" s="80"/>
      <c r="AA335" s="80"/>
      <c r="AB335" s="80"/>
      <c r="AC335" s="80"/>
      <c r="AD335" s="81"/>
      <c r="AE335" s="80"/>
      <c r="AF335" s="80"/>
      <c r="AG335" s="81"/>
      <c r="AH335" s="79"/>
      <c r="AI335" s="78" t="str">
        <f aca="false">IF(E335="","",(V335&lt;&gt;"")+(AA335&lt;&gt;"")+(AF335&lt;&gt;""))</f>
        <v/>
      </c>
      <c r="AJ335" s="82" t="str">
        <f aca="false">IF(AF335&lt;&gt;"",AF335,IF(AA335&lt;&gt;"",AA335,IF(V335&lt;&gt;"",V335,"")))</f>
        <v/>
      </c>
      <c r="AK335" s="83" t="str">
        <f aca="false">IF(E335="","",IF(P335="","À SOUDER",IF(S335="","VT EN ATTENTE",IF(S335="R","VT REJETÉ – À REPRENDRE",IF(AJ335="","À RADIOGRAPHIER",IF(AJ335="A","ACCEPTÉ",IF(AJ335="NX","NX – RT À REFAIRE",IF(IF(AI335=1,X335,IF(AI335=2,AC335,""))="A","RÉPARÉ – À RADIOGRAPHIER",IF(IF(AI335=1,X335,IF(AI335=2,AC335,""))="R","VT REJETÉ – À REPRENDRE",IF(AJ335="CO","COUPE – À RESOUDER","À RÉPARER"))))))))))</f>
        <v/>
      </c>
      <c r="AL335" s="82" t="str">
        <f aca="false">IF(AND(ISNUMBER(P335),OR(AK335="À RADIOGRAPHIER",AK335="RÉPARÉ – À RADIOGRAPHIER",AK335="NX – RT À REFAIRE",AK335="À RÉPARER",AK335="COUPE – À RESOUDER",AK335="VT REJETÉ – À REPRENDRE")),MAX(0,'PROGRAMME RT'!$C$4-P335),"")</f>
        <v/>
      </c>
      <c r="AM335" s="78" t="n">
        <f aca="false">IF(AND(OR(AK335="À RADIOGRAPHIER",AK335="RÉPARÉ – À RADIOGRAPHIER",AK335="NX – RT À REFAIRE"),OR('PROGRAMME RT'!$D$5="TOUTES",B335='PROGRAMME RT'!$D$5)),1,0)</f>
        <v>0</v>
      </c>
      <c r="AN335" s="78" t="str">
        <f aca="false">IF(AM335=1,SUM(AM$7:AM335),"")</f>
        <v/>
      </c>
      <c r="AO335" s="78" t="n">
        <f aca="false">IF(AND(OR(AK335="À RÉPARER",AK335="COUPE – À RESOUDER",AK335="VT REJETÉ – À REPRENDRE"),OR(RÉPARATIONS!$D$5="TOUTES",B335=RÉPARATIONS!$D$5)),1,0)</f>
        <v>0</v>
      </c>
      <c r="AP335" s="78" t="str">
        <f aca="false">IF(AO335=1,SUM(AO$7:AO335),"")</f>
        <v/>
      </c>
    </row>
    <row r="336" customFormat="false" ht="15" hidden="false" customHeight="false" outlineLevel="0" collapsed="false">
      <c r="A336" s="78" t="str">
        <f aca="false">IF(E336="","",ROW()-6)</f>
        <v/>
      </c>
      <c r="B336" s="79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1"/>
      <c r="Q336" s="81"/>
      <c r="R336" s="80"/>
      <c r="S336" s="80"/>
      <c r="T336" s="81"/>
      <c r="U336" s="80"/>
      <c r="V336" s="80"/>
      <c r="W336" s="80"/>
      <c r="X336" s="80"/>
      <c r="Y336" s="81"/>
      <c r="Z336" s="80"/>
      <c r="AA336" s="80"/>
      <c r="AB336" s="80"/>
      <c r="AC336" s="80"/>
      <c r="AD336" s="81"/>
      <c r="AE336" s="80"/>
      <c r="AF336" s="80"/>
      <c r="AG336" s="81"/>
      <c r="AH336" s="79"/>
      <c r="AI336" s="78" t="str">
        <f aca="false">IF(E336="","",(V336&lt;&gt;"")+(AA336&lt;&gt;"")+(AF336&lt;&gt;""))</f>
        <v/>
      </c>
      <c r="AJ336" s="82" t="str">
        <f aca="false">IF(AF336&lt;&gt;"",AF336,IF(AA336&lt;&gt;"",AA336,IF(V336&lt;&gt;"",V336,"")))</f>
        <v/>
      </c>
      <c r="AK336" s="83" t="str">
        <f aca="false">IF(E336="","",IF(P336="","À SOUDER",IF(S336="","VT EN ATTENTE",IF(S336="R","VT REJETÉ – À REPRENDRE",IF(AJ336="","À RADIOGRAPHIER",IF(AJ336="A","ACCEPTÉ",IF(AJ336="NX","NX – RT À REFAIRE",IF(IF(AI336=1,X336,IF(AI336=2,AC336,""))="A","RÉPARÉ – À RADIOGRAPHIER",IF(IF(AI336=1,X336,IF(AI336=2,AC336,""))="R","VT REJETÉ – À REPRENDRE",IF(AJ336="CO","COUPE – À RESOUDER","À RÉPARER"))))))))))</f>
        <v/>
      </c>
      <c r="AL336" s="82" t="str">
        <f aca="false">IF(AND(ISNUMBER(P336),OR(AK336="À RADIOGRAPHIER",AK336="RÉPARÉ – À RADIOGRAPHIER",AK336="NX – RT À REFAIRE",AK336="À RÉPARER",AK336="COUPE – À RESOUDER",AK336="VT REJETÉ – À REPRENDRE")),MAX(0,'PROGRAMME RT'!$C$4-P336),"")</f>
        <v/>
      </c>
      <c r="AM336" s="78" t="n">
        <f aca="false">IF(AND(OR(AK336="À RADIOGRAPHIER",AK336="RÉPARÉ – À RADIOGRAPHIER",AK336="NX – RT À REFAIRE"),OR('PROGRAMME RT'!$D$5="TOUTES",B336='PROGRAMME RT'!$D$5)),1,0)</f>
        <v>0</v>
      </c>
      <c r="AN336" s="78" t="str">
        <f aca="false">IF(AM336=1,SUM(AM$7:AM336),"")</f>
        <v/>
      </c>
      <c r="AO336" s="78" t="n">
        <f aca="false">IF(AND(OR(AK336="À RÉPARER",AK336="COUPE – À RESOUDER",AK336="VT REJETÉ – À REPRENDRE"),OR(RÉPARATIONS!$D$5="TOUTES",B336=RÉPARATIONS!$D$5)),1,0)</f>
        <v>0</v>
      </c>
      <c r="AP336" s="78" t="str">
        <f aca="false">IF(AO336=1,SUM(AO$7:AO336),"")</f>
        <v/>
      </c>
    </row>
    <row r="337" customFormat="false" ht="15" hidden="false" customHeight="false" outlineLevel="0" collapsed="false">
      <c r="A337" s="78" t="str">
        <f aca="false">IF(E337="","",ROW()-6)</f>
        <v/>
      </c>
      <c r="B337" s="79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1"/>
      <c r="Q337" s="81"/>
      <c r="R337" s="80"/>
      <c r="S337" s="80"/>
      <c r="T337" s="81"/>
      <c r="U337" s="80"/>
      <c r="V337" s="80"/>
      <c r="W337" s="80"/>
      <c r="X337" s="80"/>
      <c r="Y337" s="81"/>
      <c r="Z337" s="80"/>
      <c r="AA337" s="80"/>
      <c r="AB337" s="80"/>
      <c r="AC337" s="80"/>
      <c r="AD337" s="81"/>
      <c r="AE337" s="80"/>
      <c r="AF337" s="80"/>
      <c r="AG337" s="81"/>
      <c r="AH337" s="79"/>
      <c r="AI337" s="78" t="str">
        <f aca="false">IF(E337="","",(V337&lt;&gt;"")+(AA337&lt;&gt;"")+(AF337&lt;&gt;""))</f>
        <v/>
      </c>
      <c r="AJ337" s="82" t="str">
        <f aca="false">IF(AF337&lt;&gt;"",AF337,IF(AA337&lt;&gt;"",AA337,IF(V337&lt;&gt;"",V337,"")))</f>
        <v/>
      </c>
      <c r="AK337" s="83" t="str">
        <f aca="false">IF(E337="","",IF(P337="","À SOUDER",IF(S337="","VT EN ATTENTE",IF(S337="R","VT REJETÉ – À REPRENDRE",IF(AJ337="","À RADIOGRAPHIER",IF(AJ337="A","ACCEPTÉ",IF(AJ337="NX","NX – RT À REFAIRE",IF(IF(AI337=1,X337,IF(AI337=2,AC337,""))="A","RÉPARÉ – À RADIOGRAPHIER",IF(IF(AI337=1,X337,IF(AI337=2,AC337,""))="R","VT REJETÉ – À REPRENDRE",IF(AJ337="CO","COUPE – À RESOUDER","À RÉPARER"))))))))))</f>
        <v/>
      </c>
      <c r="AL337" s="82" t="str">
        <f aca="false">IF(AND(ISNUMBER(P337),OR(AK337="À RADIOGRAPHIER",AK337="RÉPARÉ – À RADIOGRAPHIER",AK337="NX – RT À REFAIRE",AK337="À RÉPARER",AK337="COUPE – À RESOUDER",AK337="VT REJETÉ – À REPRENDRE")),MAX(0,'PROGRAMME RT'!$C$4-P337),"")</f>
        <v/>
      </c>
      <c r="AM337" s="78" t="n">
        <f aca="false">IF(AND(OR(AK337="À RADIOGRAPHIER",AK337="RÉPARÉ – À RADIOGRAPHIER",AK337="NX – RT À REFAIRE"),OR('PROGRAMME RT'!$D$5="TOUTES",B337='PROGRAMME RT'!$D$5)),1,0)</f>
        <v>0</v>
      </c>
      <c r="AN337" s="78" t="str">
        <f aca="false">IF(AM337=1,SUM(AM$7:AM337),"")</f>
        <v/>
      </c>
      <c r="AO337" s="78" t="n">
        <f aca="false">IF(AND(OR(AK337="À RÉPARER",AK337="COUPE – À RESOUDER",AK337="VT REJETÉ – À REPRENDRE"),OR(RÉPARATIONS!$D$5="TOUTES",B337=RÉPARATIONS!$D$5)),1,0)</f>
        <v>0</v>
      </c>
      <c r="AP337" s="78" t="str">
        <f aca="false">IF(AO337=1,SUM(AO$7:AO337),"")</f>
        <v/>
      </c>
    </row>
    <row r="338" customFormat="false" ht="15" hidden="false" customHeight="false" outlineLevel="0" collapsed="false">
      <c r="A338" s="78" t="str">
        <f aca="false">IF(E338="","",ROW()-6)</f>
        <v/>
      </c>
      <c r="B338" s="79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1"/>
      <c r="Q338" s="81"/>
      <c r="R338" s="80"/>
      <c r="S338" s="80"/>
      <c r="T338" s="81"/>
      <c r="U338" s="80"/>
      <c r="V338" s="80"/>
      <c r="W338" s="80"/>
      <c r="X338" s="80"/>
      <c r="Y338" s="81"/>
      <c r="Z338" s="80"/>
      <c r="AA338" s="80"/>
      <c r="AB338" s="80"/>
      <c r="AC338" s="80"/>
      <c r="AD338" s="81"/>
      <c r="AE338" s="80"/>
      <c r="AF338" s="80"/>
      <c r="AG338" s="81"/>
      <c r="AH338" s="79"/>
      <c r="AI338" s="78" t="str">
        <f aca="false">IF(E338="","",(V338&lt;&gt;"")+(AA338&lt;&gt;"")+(AF338&lt;&gt;""))</f>
        <v/>
      </c>
      <c r="AJ338" s="82" t="str">
        <f aca="false">IF(AF338&lt;&gt;"",AF338,IF(AA338&lt;&gt;"",AA338,IF(V338&lt;&gt;"",V338,"")))</f>
        <v/>
      </c>
      <c r="AK338" s="83" t="str">
        <f aca="false">IF(E338="","",IF(P338="","À SOUDER",IF(S338="","VT EN ATTENTE",IF(S338="R","VT REJETÉ – À REPRENDRE",IF(AJ338="","À RADIOGRAPHIER",IF(AJ338="A","ACCEPTÉ",IF(AJ338="NX","NX – RT À REFAIRE",IF(IF(AI338=1,X338,IF(AI338=2,AC338,""))="A","RÉPARÉ – À RADIOGRAPHIER",IF(IF(AI338=1,X338,IF(AI338=2,AC338,""))="R","VT REJETÉ – À REPRENDRE",IF(AJ338="CO","COUPE – À RESOUDER","À RÉPARER"))))))))))</f>
        <v/>
      </c>
      <c r="AL338" s="82" t="str">
        <f aca="false">IF(AND(ISNUMBER(P338),OR(AK338="À RADIOGRAPHIER",AK338="RÉPARÉ – À RADIOGRAPHIER",AK338="NX – RT À REFAIRE",AK338="À RÉPARER",AK338="COUPE – À RESOUDER",AK338="VT REJETÉ – À REPRENDRE")),MAX(0,'PROGRAMME RT'!$C$4-P338),"")</f>
        <v/>
      </c>
      <c r="AM338" s="78" t="n">
        <f aca="false">IF(AND(OR(AK338="À RADIOGRAPHIER",AK338="RÉPARÉ – À RADIOGRAPHIER",AK338="NX – RT À REFAIRE"),OR('PROGRAMME RT'!$D$5="TOUTES",B338='PROGRAMME RT'!$D$5)),1,0)</f>
        <v>0</v>
      </c>
      <c r="AN338" s="78" t="str">
        <f aca="false">IF(AM338=1,SUM(AM$7:AM338),"")</f>
        <v/>
      </c>
      <c r="AO338" s="78" t="n">
        <f aca="false">IF(AND(OR(AK338="À RÉPARER",AK338="COUPE – À RESOUDER",AK338="VT REJETÉ – À REPRENDRE"),OR(RÉPARATIONS!$D$5="TOUTES",B338=RÉPARATIONS!$D$5)),1,0)</f>
        <v>0</v>
      </c>
      <c r="AP338" s="78" t="str">
        <f aca="false">IF(AO338=1,SUM(AO$7:AO338),"")</f>
        <v/>
      </c>
    </row>
    <row r="339" customFormat="false" ht="15" hidden="false" customHeight="false" outlineLevel="0" collapsed="false">
      <c r="A339" s="78" t="str">
        <f aca="false">IF(E339="","",ROW()-6)</f>
        <v/>
      </c>
      <c r="B339" s="79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1"/>
      <c r="Q339" s="81"/>
      <c r="R339" s="80"/>
      <c r="S339" s="80"/>
      <c r="T339" s="81"/>
      <c r="U339" s="80"/>
      <c r="V339" s="80"/>
      <c r="W339" s="80"/>
      <c r="X339" s="80"/>
      <c r="Y339" s="81"/>
      <c r="Z339" s="80"/>
      <c r="AA339" s="80"/>
      <c r="AB339" s="80"/>
      <c r="AC339" s="80"/>
      <c r="AD339" s="81"/>
      <c r="AE339" s="80"/>
      <c r="AF339" s="80"/>
      <c r="AG339" s="81"/>
      <c r="AH339" s="79"/>
      <c r="AI339" s="78" t="str">
        <f aca="false">IF(E339="","",(V339&lt;&gt;"")+(AA339&lt;&gt;"")+(AF339&lt;&gt;""))</f>
        <v/>
      </c>
      <c r="AJ339" s="82" t="str">
        <f aca="false">IF(AF339&lt;&gt;"",AF339,IF(AA339&lt;&gt;"",AA339,IF(V339&lt;&gt;"",V339,"")))</f>
        <v/>
      </c>
      <c r="AK339" s="83" t="str">
        <f aca="false">IF(E339="","",IF(P339="","À SOUDER",IF(S339="","VT EN ATTENTE",IF(S339="R","VT REJETÉ – À REPRENDRE",IF(AJ339="","À RADIOGRAPHIER",IF(AJ339="A","ACCEPTÉ",IF(AJ339="NX","NX – RT À REFAIRE",IF(IF(AI339=1,X339,IF(AI339=2,AC339,""))="A","RÉPARÉ – À RADIOGRAPHIER",IF(IF(AI339=1,X339,IF(AI339=2,AC339,""))="R","VT REJETÉ – À REPRENDRE",IF(AJ339="CO","COUPE – À RESOUDER","À RÉPARER"))))))))))</f>
        <v/>
      </c>
      <c r="AL339" s="82" t="str">
        <f aca="false">IF(AND(ISNUMBER(P339),OR(AK339="À RADIOGRAPHIER",AK339="RÉPARÉ – À RADIOGRAPHIER",AK339="NX – RT À REFAIRE",AK339="À RÉPARER",AK339="COUPE – À RESOUDER",AK339="VT REJETÉ – À REPRENDRE")),MAX(0,'PROGRAMME RT'!$C$4-P339),"")</f>
        <v/>
      </c>
      <c r="AM339" s="78" t="n">
        <f aca="false">IF(AND(OR(AK339="À RADIOGRAPHIER",AK339="RÉPARÉ – À RADIOGRAPHIER",AK339="NX – RT À REFAIRE"),OR('PROGRAMME RT'!$D$5="TOUTES",B339='PROGRAMME RT'!$D$5)),1,0)</f>
        <v>0</v>
      </c>
      <c r="AN339" s="78" t="str">
        <f aca="false">IF(AM339=1,SUM(AM$7:AM339),"")</f>
        <v/>
      </c>
      <c r="AO339" s="78" t="n">
        <f aca="false">IF(AND(OR(AK339="À RÉPARER",AK339="COUPE – À RESOUDER",AK339="VT REJETÉ – À REPRENDRE"),OR(RÉPARATIONS!$D$5="TOUTES",B339=RÉPARATIONS!$D$5)),1,0)</f>
        <v>0</v>
      </c>
      <c r="AP339" s="78" t="str">
        <f aca="false">IF(AO339=1,SUM(AO$7:AO339),"")</f>
        <v/>
      </c>
    </row>
    <row r="340" customFormat="false" ht="15" hidden="false" customHeight="false" outlineLevel="0" collapsed="false">
      <c r="A340" s="78" t="str">
        <f aca="false">IF(E340="","",ROW()-6)</f>
        <v/>
      </c>
      <c r="B340" s="79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1"/>
      <c r="Q340" s="81"/>
      <c r="R340" s="80"/>
      <c r="S340" s="80"/>
      <c r="T340" s="81"/>
      <c r="U340" s="80"/>
      <c r="V340" s="80"/>
      <c r="W340" s="80"/>
      <c r="X340" s="80"/>
      <c r="Y340" s="81"/>
      <c r="Z340" s="80"/>
      <c r="AA340" s="80"/>
      <c r="AB340" s="80"/>
      <c r="AC340" s="80"/>
      <c r="AD340" s="81"/>
      <c r="AE340" s="80"/>
      <c r="AF340" s="80"/>
      <c r="AG340" s="81"/>
      <c r="AH340" s="79"/>
      <c r="AI340" s="78" t="str">
        <f aca="false">IF(E340="","",(V340&lt;&gt;"")+(AA340&lt;&gt;"")+(AF340&lt;&gt;""))</f>
        <v/>
      </c>
      <c r="AJ340" s="82" t="str">
        <f aca="false">IF(AF340&lt;&gt;"",AF340,IF(AA340&lt;&gt;"",AA340,IF(V340&lt;&gt;"",V340,"")))</f>
        <v/>
      </c>
      <c r="AK340" s="83" t="str">
        <f aca="false">IF(E340="","",IF(P340="","À SOUDER",IF(S340="","VT EN ATTENTE",IF(S340="R","VT REJETÉ – À REPRENDRE",IF(AJ340="","À RADIOGRAPHIER",IF(AJ340="A","ACCEPTÉ",IF(AJ340="NX","NX – RT À REFAIRE",IF(IF(AI340=1,X340,IF(AI340=2,AC340,""))="A","RÉPARÉ – À RADIOGRAPHIER",IF(IF(AI340=1,X340,IF(AI340=2,AC340,""))="R","VT REJETÉ – À REPRENDRE",IF(AJ340="CO","COUPE – À RESOUDER","À RÉPARER"))))))))))</f>
        <v/>
      </c>
      <c r="AL340" s="82" t="str">
        <f aca="false">IF(AND(ISNUMBER(P340),OR(AK340="À RADIOGRAPHIER",AK340="RÉPARÉ – À RADIOGRAPHIER",AK340="NX – RT À REFAIRE",AK340="À RÉPARER",AK340="COUPE – À RESOUDER",AK340="VT REJETÉ – À REPRENDRE")),MAX(0,'PROGRAMME RT'!$C$4-P340),"")</f>
        <v/>
      </c>
      <c r="AM340" s="78" t="n">
        <f aca="false">IF(AND(OR(AK340="À RADIOGRAPHIER",AK340="RÉPARÉ – À RADIOGRAPHIER",AK340="NX – RT À REFAIRE"),OR('PROGRAMME RT'!$D$5="TOUTES",B340='PROGRAMME RT'!$D$5)),1,0)</f>
        <v>0</v>
      </c>
      <c r="AN340" s="78" t="str">
        <f aca="false">IF(AM340=1,SUM(AM$7:AM340),"")</f>
        <v/>
      </c>
      <c r="AO340" s="78" t="n">
        <f aca="false">IF(AND(OR(AK340="À RÉPARER",AK340="COUPE – À RESOUDER",AK340="VT REJETÉ – À REPRENDRE"),OR(RÉPARATIONS!$D$5="TOUTES",B340=RÉPARATIONS!$D$5)),1,0)</f>
        <v>0</v>
      </c>
      <c r="AP340" s="78" t="str">
        <f aca="false">IF(AO340=1,SUM(AO$7:AO340),"")</f>
        <v/>
      </c>
    </row>
    <row r="341" customFormat="false" ht="15" hidden="false" customHeight="false" outlineLevel="0" collapsed="false">
      <c r="A341" s="78" t="str">
        <f aca="false">IF(E341="","",ROW()-6)</f>
        <v/>
      </c>
      <c r="B341" s="79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1"/>
      <c r="Q341" s="81"/>
      <c r="R341" s="80"/>
      <c r="S341" s="80"/>
      <c r="T341" s="81"/>
      <c r="U341" s="80"/>
      <c r="V341" s="80"/>
      <c r="W341" s="80"/>
      <c r="X341" s="80"/>
      <c r="Y341" s="81"/>
      <c r="Z341" s="80"/>
      <c r="AA341" s="80"/>
      <c r="AB341" s="80"/>
      <c r="AC341" s="80"/>
      <c r="AD341" s="81"/>
      <c r="AE341" s="80"/>
      <c r="AF341" s="80"/>
      <c r="AG341" s="81"/>
      <c r="AH341" s="79"/>
      <c r="AI341" s="78" t="str">
        <f aca="false">IF(E341="","",(V341&lt;&gt;"")+(AA341&lt;&gt;"")+(AF341&lt;&gt;""))</f>
        <v/>
      </c>
      <c r="AJ341" s="82" t="str">
        <f aca="false">IF(AF341&lt;&gt;"",AF341,IF(AA341&lt;&gt;"",AA341,IF(V341&lt;&gt;"",V341,"")))</f>
        <v/>
      </c>
      <c r="AK341" s="83" t="str">
        <f aca="false">IF(E341="","",IF(P341="","À SOUDER",IF(S341="","VT EN ATTENTE",IF(S341="R","VT REJETÉ – À REPRENDRE",IF(AJ341="","À RADIOGRAPHIER",IF(AJ341="A","ACCEPTÉ",IF(AJ341="NX","NX – RT À REFAIRE",IF(IF(AI341=1,X341,IF(AI341=2,AC341,""))="A","RÉPARÉ – À RADIOGRAPHIER",IF(IF(AI341=1,X341,IF(AI341=2,AC341,""))="R","VT REJETÉ – À REPRENDRE",IF(AJ341="CO","COUPE – À RESOUDER","À RÉPARER"))))))))))</f>
        <v/>
      </c>
      <c r="AL341" s="82" t="str">
        <f aca="false">IF(AND(ISNUMBER(P341),OR(AK341="À RADIOGRAPHIER",AK341="RÉPARÉ – À RADIOGRAPHIER",AK341="NX – RT À REFAIRE",AK341="À RÉPARER",AK341="COUPE – À RESOUDER",AK341="VT REJETÉ – À REPRENDRE")),MAX(0,'PROGRAMME RT'!$C$4-P341),"")</f>
        <v/>
      </c>
      <c r="AM341" s="78" t="n">
        <f aca="false">IF(AND(OR(AK341="À RADIOGRAPHIER",AK341="RÉPARÉ – À RADIOGRAPHIER",AK341="NX – RT À REFAIRE"),OR('PROGRAMME RT'!$D$5="TOUTES",B341='PROGRAMME RT'!$D$5)),1,0)</f>
        <v>0</v>
      </c>
      <c r="AN341" s="78" t="str">
        <f aca="false">IF(AM341=1,SUM(AM$7:AM341),"")</f>
        <v/>
      </c>
      <c r="AO341" s="78" t="n">
        <f aca="false">IF(AND(OR(AK341="À RÉPARER",AK341="COUPE – À RESOUDER",AK341="VT REJETÉ – À REPRENDRE"),OR(RÉPARATIONS!$D$5="TOUTES",B341=RÉPARATIONS!$D$5)),1,0)</f>
        <v>0</v>
      </c>
      <c r="AP341" s="78" t="str">
        <f aca="false">IF(AO341=1,SUM(AO$7:AO341),"")</f>
        <v/>
      </c>
    </row>
    <row r="342" customFormat="false" ht="15" hidden="false" customHeight="false" outlineLevel="0" collapsed="false">
      <c r="A342" s="78" t="str">
        <f aca="false">IF(E342="","",ROW()-6)</f>
        <v/>
      </c>
      <c r="B342" s="79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1"/>
      <c r="Q342" s="81"/>
      <c r="R342" s="80"/>
      <c r="S342" s="80"/>
      <c r="T342" s="81"/>
      <c r="U342" s="80"/>
      <c r="V342" s="80"/>
      <c r="W342" s="80"/>
      <c r="X342" s="80"/>
      <c r="Y342" s="81"/>
      <c r="Z342" s="80"/>
      <c r="AA342" s="80"/>
      <c r="AB342" s="80"/>
      <c r="AC342" s="80"/>
      <c r="AD342" s="81"/>
      <c r="AE342" s="80"/>
      <c r="AF342" s="80"/>
      <c r="AG342" s="81"/>
      <c r="AH342" s="79"/>
      <c r="AI342" s="78" t="str">
        <f aca="false">IF(E342="","",(V342&lt;&gt;"")+(AA342&lt;&gt;"")+(AF342&lt;&gt;""))</f>
        <v/>
      </c>
      <c r="AJ342" s="82" t="str">
        <f aca="false">IF(AF342&lt;&gt;"",AF342,IF(AA342&lt;&gt;"",AA342,IF(V342&lt;&gt;"",V342,"")))</f>
        <v/>
      </c>
      <c r="AK342" s="83" t="str">
        <f aca="false">IF(E342="","",IF(P342="","À SOUDER",IF(S342="","VT EN ATTENTE",IF(S342="R","VT REJETÉ – À REPRENDRE",IF(AJ342="","À RADIOGRAPHIER",IF(AJ342="A","ACCEPTÉ",IF(AJ342="NX","NX – RT À REFAIRE",IF(IF(AI342=1,X342,IF(AI342=2,AC342,""))="A","RÉPARÉ – À RADIOGRAPHIER",IF(IF(AI342=1,X342,IF(AI342=2,AC342,""))="R","VT REJETÉ – À REPRENDRE",IF(AJ342="CO","COUPE – À RESOUDER","À RÉPARER"))))))))))</f>
        <v/>
      </c>
      <c r="AL342" s="82" t="str">
        <f aca="false">IF(AND(ISNUMBER(P342),OR(AK342="À RADIOGRAPHIER",AK342="RÉPARÉ – À RADIOGRAPHIER",AK342="NX – RT À REFAIRE",AK342="À RÉPARER",AK342="COUPE – À RESOUDER",AK342="VT REJETÉ – À REPRENDRE")),MAX(0,'PROGRAMME RT'!$C$4-P342),"")</f>
        <v/>
      </c>
      <c r="AM342" s="78" t="n">
        <f aca="false">IF(AND(OR(AK342="À RADIOGRAPHIER",AK342="RÉPARÉ – À RADIOGRAPHIER",AK342="NX – RT À REFAIRE"),OR('PROGRAMME RT'!$D$5="TOUTES",B342='PROGRAMME RT'!$D$5)),1,0)</f>
        <v>0</v>
      </c>
      <c r="AN342" s="78" t="str">
        <f aca="false">IF(AM342=1,SUM(AM$7:AM342),"")</f>
        <v/>
      </c>
      <c r="AO342" s="78" t="n">
        <f aca="false">IF(AND(OR(AK342="À RÉPARER",AK342="COUPE – À RESOUDER",AK342="VT REJETÉ – À REPRENDRE"),OR(RÉPARATIONS!$D$5="TOUTES",B342=RÉPARATIONS!$D$5)),1,0)</f>
        <v>0</v>
      </c>
      <c r="AP342" s="78" t="str">
        <f aca="false">IF(AO342=1,SUM(AO$7:AO342),"")</f>
        <v/>
      </c>
    </row>
    <row r="343" customFormat="false" ht="15" hidden="false" customHeight="false" outlineLevel="0" collapsed="false">
      <c r="A343" s="78" t="str">
        <f aca="false">IF(E343="","",ROW()-6)</f>
        <v/>
      </c>
      <c r="B343" s="79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1"/>
      <c r="Q343" s="81"/>
      <c r="R343" s="80"/>
      <c r="S343" s="80"/>
      <c r="T343" s="81"/>
      <c r="U343" s="80"/>
      <c r="V343" s="80"/>
      <c r="W343" s="80"/>
      <c r="X343" s="80"/>
      <c r="Y343" s="81"/>
      <c r="Z343" s="80"/>
      <c r="AA343" s="80"/>
      <c r="AB343" s="80"/>
      <c r="AC343" s="80"/>
      <c r="AD343" s="81"/>
      <c r="AE343" s="80"/>
      <c r="AF343" s="80"/>
      <c r="AG343" s="81"/>
      <c r="AH343" s="79"/>
      <c r="AI343" s="78" t="str">
        <f aca="false">IF(E343="","",(V343&lt;&gt;"")+(AA343&lt;&gt;"")+(AF343&lt;&gt;""))</f>
        <v/>
      </c>
      <c r="AJ343" s="82" t="str">
        <f aca="false">IF(AF343&lt;&gt;"",AF343,IF(AA343&lt;&gt;"",AA343,IF(V343&lt;&gt;"",V343,"")))</f>
        <v/>
      </c>
      <c r="AK343" s="83" t="str">
        <f aca="false">IF(E343="","",IF(P343="","À SOUDER",IF(S343="","VT EN ATTENTE",IF(S343="R","VT REJETÉ – À REPRENDRE",IF(AJ343="","À RADIOGRAPHIER",IF(AJ343="A","ACCEPTÉ",IF(AJ343="NX","NX – RT À REFAIRE",IF(IF(AI343=1,X343,IF(AI343=2,AC343,""))="A","RÉPARÉ – À RADIOGRAPHIER",IF(IF(AI343=1,X343,IF(AI343=2,AC343,""))="R","VT REJETÉ – À REPRENDRE",IF(AJ343="CO","COUPE – À RESOUDER","À RÉPARER"))))))))))</f>
        <v/>
      </c>
      <c r="AL343" s="82" t="str">
        <f aca="false">IF(AND(ISNUMBER(P343),OR(AK343="À RADIOGRAPHIER",AK343="RÉPARÉ – À RADIOGRAPHIER",AK343="NX – RT À REFAIRE",AK343="À RÉPARER",AK343="COUPE – À RESOUDER",AK343="VT REJETÉ – À REPRENDRE")),MAX(0,'PROGRAMME RT'!$C$4-P343),"")</f>
        <v/>
      </c>
      <c r="AM343" s="78" t="n">
        <f aca="false">IF(AND(OR(AK343="À RADIOGRAPHIER",AK343="RÉPARÉ – À RADIOGRAPHIER",AK343="NX – RT À REFAIRE"),OR('PROGRAMME RT'!$D$5="TOUTES",B343='PROGRAMME RT'!$D$5)),1,0)</f>
        <v>0</v>
      </c>
      <c r="AN343" s="78" t="str">
        <f aca="false">IF(AM343=1,SUM(AM$7:AM343),"")</f>
        <v/>
      </c>
      <c r="AO343" s="78" t="n">
        <f aca="false">IF(AND(OR(AK343="À RÉPARER",AK343="COUPE – À RESOUDER",AK343="VT REJETÉ – À REPRENDRE"),OR(RÉPARATIONS!$D$5="TOUTES",B343=RÉPARATIONS!$D$5)),1,0)</f>
        <v>0</v>
      </c>
      <c r="AP343" s="78" t="str">
        <f aca="false">IF(AO343=1,SUM(AO$7:AO343),"")</f>
        <v/>
      </c>
    </row>
    <row r="344" customFormat="false" ht="15" hidden="false" customHeight="false" outlineLevel="0" collapsed="false">
      <c r="A344" s="78" t="str">
        <f aca="false">IF(E344="","",ROW()-6)</f>
        <v/>
      </c>
      <c r="B344" s="79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1"/>
      <c r="Q344" s="81"/>
      <c r="R344" s="80"/>
      <c r="S344" s="80"/>
      <c r="T344" s="81"/>
      <c r="U344" s="80"/>
      <c r="V344" s="80"/>
      <c r="W344" s="80"/>
      <c r="X344" s="80"/>
      <c r="Y344" s="81"/>
      <c r="Z344" s="80"/>
      <c r="AA344" s="80"/>
      <c r="AB344" s="80"/>
      <c r="AC344" s="80"/>
      <c r="AD344" s="81"/>
      <c r="AE344" s="80"/>
      <c r="AF344" s="80"/>
      <c r="AG344" s="81"/>
      <c r="AH344" s="79"/>
      <c r="AI344" s="78" t="str">
        <f aca="false">IF(E344="","",(V344&lt;&gt;"")+(AA344&lt;&gt;"")+(AF344&lt;&gt;""))</f>
        <v/>
      </c>
      <c r="AJ344" s="82" t="str">
        <f aca="false">IF(AF344&lt;&gt;"",AF344,IF(AA344&lt;&gt;"",AA344,IF(V344&lt;&gt;"",V344,"")))</f>
        <v/>
      </c>
      <c r="AK344" s="83" t="str">
        <f aca="false">IF(E344="","",IF(P344="","À SOUDER",IF(S344="","VT EN ATTENTE",IF(S344="R","VT REJETÉ – À REPRENDRE",IF(AJ344="","À RADIOGRAPHIER",IF(AJ344="A","ACCEPTÉ",IF(AJ344="NX","NX – RT À REFAIRE",IF(IF(AI344=1,X344,IF(AI344=2,AC344,""))="A","RÉPARÉ – À RADIOGRAPHIER",IF(IF(AI344=1,X344,IF(AI344=2,AC344,""))="R","VT REJETÉ – À REPRENDRE",IF(AJ344="CO","COUPE – À RESOUDER","À RÉPARER"))))))))))</f>
        <v/>
      </c>
      <c r="AL344" s="82" t="str">
        <f aca="false">IF(AND(ISNUMBER(P344),OR(AK344="À RADIOGRAPHIER",AK344="RÉPARÉ – À RADIOGRAPHIER",AK344="NX – RT À REFAIRE",AK344="À RÉPARER",AK344="COUPE – À RESOUDER",AK344="VT REJETÉ – À REPRENDRE")),MAX(0,'PROGRAMME RT'!$C$4-P344),"")</f>
        <v/>
      </c>
      <c r="AM344" s="78" t="n">
        <f aca="false">IF(AND(OR(AK344="À RADIOGRAPHIER",AK344="RÉPARÉ – À RADIOGRAPHIER",AK344="NX – RT À REFAIRE"),OR('PROGRAMME RT'!$D$5="TOUTES",B344='PROGRAMME RT'!$D$5)),1,0)</f>
        <v>0</v>
      </c>
      <c r="AN344" s="78" t="str">
        <f aca="false">IF(AM344=1,SUM(AM$7:AM344),"")</f>
        <v/>
      </c>
      <c r="AO344" s="78" t="n">
        <f aca="false">IF(AND(OR(AK344="À RÉPARER",AK344="COUPE – À RESOUDER",AK344="VT REJETÉ – À REPRENDRE"),OR(RÉPARATIONS!$D$5="TOUTES",B344=RÉPARATIONS!$D$5)),1,0)</f>
        <v>0</v>
      </c>
      <c r="AP344" s="78" t="str">
        <f aca="false">IF(AO344=1,SUM(AO$7:AO344),"")</f>
        <v/>
      </c>
    </row>
    <row r="345" customFormat="false" ht="15" hidden="false" customHeight="false" outlineLevel="0" collapsed="false">
      <c r="A345" s="78" t="str">
        <f aca="false">IF(E345="","",ROW()-6)</f>
        <v/>
      </c>
      <c r="B345" s="79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1"/>
      <c r="Q345" s="81"/>
      <c r="R345" s="80"/>
      <c r="S345" s="80"/>
      <c r="T345" s="81"/>
      <c r="U345" s="80"/>
      <c r="V345" s="80"/>
      <c r="W345" s="80"/>
      <c r="X345" s="80"/>
      <c r="Y345" s="81"/>
      <c r="Z345" s="80"/>
      <c r="AA345" s="80"/>
      <c r="AB345" s="80"/>
      <c r="AC345" s="80"/>
      <c r="AD345" s="81"/>
      <c r="AE345" s="80"/>
      <c r="AF345" s="80"/>
      <c r="AG345" s="81"/>
      <c r="AH345" s="79"/>
      <c r="AI345" s="78" t="str">
        <f aca="false">IF(E345="","",(V345&lt;&gt;"")+(AA345&lt;&gt;"")+(AF345&lt;&gt;""))</f>
        <v/>
      </c>
      <c r="AJ345" s="82" t="str">
        <f aca="false">IF(AF345&lt;&gt;"",AF345,IF(AA345&lt;&gt;"",AA345,IF(V345&lt;&gt;"",V345,"")))</f>
        <v/>
      </c>
      <c r="AK345" s="83" t="str">
        <f aca="false">IF(E345="","",IF(P345="","À SOUDER",IF(S345="","VT EN ATTENTE",IF(S345="R","VT REJETÉ – À REPRENDRE",IF(AJ345="","À RADIOGRAPHIER",IF(AJ345="A","ACCEPTÉ",IF(AJ345="NX","NX – RT À REFAIRE",IF(IF(AI345=1,X345,IF(AI345=2,AC345,""))="A","RÉPARÉ – À RADIOGRAPHIER",IF(IF(AI345=1,X345,IF(AI345=2,AC345,""))="R","VT REJETÉ – À REPRENDRE",IF(AJ345="CO","COUPE – À RESOUDER","À RÉPARER"))))))))))</f>
        <v/>
      </c>
      <c r="AL345" s="82" t="str">
        <f aca="false">IF(AND(ISNUMBER(P345),OR(AK345="À RADIOGRAPHIER",AK345="RÉPARÉ – À RADIOGRAPHIER",AK345="NX – RT À REFAIRE",AK345="À RÉPARER",AK345="COUPE – À RESOUDER",AK345="VT REJETÉ – À REPRENDRE")),MAX(0,'PROGRAMME RT'!$C$4-P345),"")</f>
        <v/>
      </c>
      <c r="AM345" s="78" t="n">
        <f aca="false">IF(AND(OR(AK345="À RADIOGRAPHIER",AK345="RÉPARÉ – À RADIOGRAPHIER",AK345="NX – RT À REFAIRE"),OR('PROGRAMME RT'!$D$5="TOUTES",B345='PROGRAMME RT'!$D$5)),1,0)</f>
        <v>0</v>
      </c>
      <c r="AN345" s="78" t="str">
        <f aca="false">IF(AM345=1,SUM(AM$7:AM345),"")</f>
        <v/>
      </c>
      <c r="AO345" s="78" t="n">
        <f aca="false">IF(AND(OR(AK345="À RÉPARER",AK345="COUPE – À RESOUDER",AK345="VT REJETÉ – À REPRENDRE"),OR(RÉPARATIONS!$D$5="TOUTES",B345=RÉPARATIONS!$D$5)),1,0)</f>
        <v>0</v>
      </c>
      <c r="AP345" s="78" t="str">
        <f aca="false">IF(AO345=1,SUM(AO$7:AO345),"")</f>
        <v/>
      </c>
    </row>
    <row r="346" customFormat="false" ht="15" hidden="false" customHeight="false" outlineLevel="0" collapsed="false">
      <c r="A346" s="78" t="str">
        <f aca="false">IF(E346="","",ROW()-6)</f>
        <v/>
      </c>
      <c r="B346" s="79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1"/>
      <c r="Q346" s="81"/>
      <c r="R346" s="80"/>
      <c r="S346" s="80"/>
      <c r="T346" s="81"/>
      <c r="U346" s="80"/>
      <c r="V346" s="80"/>
      <c r="W346" s="80"/>
      <c r="X346" s="80"/>
      <c r="Y346" s="81"/>
      <c r="Z346" s="80"/>
      <c r="AA346" s="80"/>
      <c r="AB346" s="80"/>
      <c r="AC346" s="80"/>
      <c r="AD346" s="81"/>
      <c r="AE346" s="80"/>
      <c r="AF346" s="80"/>
      <c r="AG346" s="81"/>
      <c r="AH346" s="79"/>
      <c r="AI346" s="78" t="str">
        <f aca="false">IF(E346="","",(V346&lt;&gt;"")+(AA346&lt;&gt;"")+(AF346&lt;&gt;""))</f>
        <v/>
      </c>
      <c r="AJ346" s="82" t="str">
        <f aca="false">IF(AF346&lt;&gt;"",AF346,IF(AA346&lt;&gt;"",AA346,IF(V346&lt;&gt;"",V346,"")))</f>
        <v/>
      </c>
      <c r="AK346" s="83" t="str">
        <f aca="false">IF(E346="","",IF(P346="","À SOUDER",IF(S346="","VT EN ATTENTE",IF(S346="R","VT REJETÉ – À REPRENDRE",IF(AJ346="","À RADIOGRAPHIER",IF(AJ346="A","ACCEPTÉ",IF(AJ346="NX","NX – RT À REFAIRE",IF(IF(AI346=1,X346,IF(AI346=2,AC346,""))="A","RÉPARÉ – À RADIOGRAPHIER",IF(IF(AI346=1,X346,IF(AI346=2,AC346,""))="R","VT REJETÉ – À REPRENDRE",IF(AJ346="CO","COUPE – À RESOUDER","À RÉPARER"))))))))))</f>
        <v/>
      </c>
      <c r="AL346" s="82" t="str">
        <f aca="false">IF(AND(ISNUMBER(P346),OR(AK346="À RADIOGRAPHIER",AK346="RÉPARÉ – À RADIOGRAPHIER",AK346="NX – RT À REFAIRE",AK346="À RÉPARER",AK346="COUPE – À RESOUDER",AK346="VT REJETÉ – À REPRENDRE")),MAX(0,'PROGRAMME RT'!$C$4-P346),"")</f>
        <v/>
      </c>
      <c r="AM346" s="78" t="n">
        <f aca="false">IF(AND(OR(AK346="À RADIOGRAPHIER",AK346="RÉPARÉ – À RADIOGRAPHIER",AK346="NX – RT À REFAIRE"),OR('PROGRAMME RT'!$D$5="TOUTES",B346='PROGRAMME RT'!$D$5)),1,0)</f>
        <v>0</v>
      </c>
      <c r="AN346" s="78" t="str">
        <f aca="false">IF(AM346=1,SUM(AM$7:AM346),"")</f>
        <v/>
      </c>
      <c r="AO346" s="78" t="n">
        <f aca="false">IF(AND(OR(AK346="À RÉPARER",AK346="COUPE – À RESOUDER",AK346="VT REJETÉ – À REPRENDRE"),OR(RÉPARATIONS!$D$5="TOUTES",B346=RÉPARATIONS!$D$5)),1,0)</f>
        <v>0</v>
      </c>
      <c r="AP346" s="78" t="str">
        <f aca="false">IF(AO346=1,SUM(AO$7:AO346),"")</f>
        <v/>
      </c>
    </row>
    <row r="347" customFormat="false" ht="15" hidden="false" customHeight="false" outlineLevel="0" collapsed="false">
      <c r="A347" s="78" t="str">
        <f aca="false">IF(E347="","",ROW()-6)</f>
        <v/>
      </c>
      <c r="B347" s="79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1"/>
      <c r="Q347" s="81"/>
      <c r="R347" s="80"/>
      <c r="S347" s="80"/>
      <c r="T347" s="81"/>
      <c r="U347" s="80"/>
      <c r="V347" s="80"/>
      <c r="W347" s="80"/>
      <c r="X347" s="80"/>
      <c r="Y347" s="81"/>
      <c r="Z347" s="80"/>
      <c r="AA347" s="80"/>
      <c r="AB347" s="80"/>
      <c r="AC347" s="80"/>
      <c r="AD347" s="81"/>
      <c r="AE347" s="80"/>
      <c r="AF347" s="80"/>
      <c r="AG347" s="81"/>
      <c r="AH347" s="79"/>
      <c r="AI347" s="78" t="str">
        <f aca="false">IF(E347="","",(V347&lt;&gt;"")+(AA347&lt;&gt;"")+(AF347&lt;&gt;""))</f>
        <v/>
      </c>
      <c r="AJ347" s="82" t="str">
        <f aca="false">IF(AF347&lt;&gt;"",AF347,IF(AA347&lt;&gt;"",AA347,IF(V347&lt;&gt;"",V347,"")))</f>
        <v/>
      </c>
      <c r="AK347" s="83" t="str">
        <f aca="false">IF(E347="","",IF(P347="","À SOUDER",IF(S347="","VT EN ATTENTE",IF(S347="R","VT REJETÉ – À REPRENDRE",IF(AJ347="","À RADIOGRAPHIER",IF(AJ347="A","ACCEPTÉ",IF(AJ347="NX","NX – RT À REFAIRE",IF(IF(AI347=1,X347,IF(AI347=2,AC347,""))="A","RÉPARÉ – À RADIOGRAPHIER",IF(IF(AI347=1,X347,IF(AI347=2,AC347,""))="R","VT REJETÉ – À REPRENDRE",IF(AJ347="CO","COUPE – À RESOUDER","À RÉPARER"))))))))))</f>
        <v/>
      </c>
      <c r="AL347" s="82" t="str">
        <f aca="false">IF(AND(ISNUMBER(P347),OR(AK347="À RADIOGRAPHIER",AK347="RÉPARÉ – À RADIOGRAPHIER",AK347="NX – RT À REFAIRE",AK347="À RÉPARER",AK347="COUPE – À RESOUDER",AK347="VT REJETÉ – À REPRENDRE")),MAX(0,'PROGRAMME RT'!$C$4-P347),"")</f>
        <v/>
      </c>
      <c r="AM347" s="78" t="n">
        <f aca="false">IF(AND(OR(AK347="À RADIOGRAPHIER",AK347="RÉPARÉ – À RADIOGRAPHIER",AK347="NX – RT À REFAIRE"),OR('PROGRAMME RT'!$D$5="TOUTES",B347='PROGRAMME RT'!$D$5)),1,0)</f>
        <v>0</v>
      </c>
      <c r="AN347" s="78" t="str">
        <f aca="false">IF(AM347=1,SUM(AM$7:AM347),"")</f>
        <v/>
      </c>
      <c r="AO347" s="78" t="n">
        <f aca="false">IF(AND(OR(AK347="À RÉPARER",AK347="COUPE – À RESOUDER",AK347="VT REJETÉ – À REPRENDRE"),OR(RÉPARATIONS!$D$5="TOUTES",B347=RÉPARATIONS!$D$5)),1,0)</f>
        <v>0</v>
      </c>
      <c r="AP347" s="78" t="str">
        <f aca="false">IF(AO347=1,SUM(AO$7:AO347),"")</f>
        <v/>
      </c>
    </row>
    <row r="348" customFormat="false" ht="15" hidden="false" customHeight="false" outlineLevel="0" collapsed="false">
      <c r="A348" s="78" t="str">
        <f aca="false">IF(E348="","",ROW()-6)</f>
        <v/>
      </c>
      <c r="B348" s="79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1"/>
      <c r="Q348" s="81"/>
      <c r="R348" s="80"/>
      <c r="S348" s="80"/>
      <c r="T348" s="81"/>
      <c r="U348" s="80"/>
      <c r="V348" s="80"/>
      <c r="W348" s="80"/>
      <c r="X348" s="80"/>
      <c r="Y348" s="81"/>
      <c r="Z348" s="80"/>
      <c r="AA348" s="80"/>
      <c r="AB348" s="80"/>
      <c r="AC348" s="80"/>
      <c r="AD348" s="81"/>
      <c r="AE348" s="80"/>
      <c r="AF348" s="80"/>
      <c r="AG348" s="81"/>
      <c r="AH348" s="79"/>
      <c r="AI348" s="78" t="str">
        <f aca="false">IF(E348="","",(V348&lt;&gt;"")+(AA348&lt;&gt;"")+(AF348&lt;&gt;""))</f>
        <v/>
      </c>
      <c r="AJ348" s="82" t="str">
        <f aca="false">IF(AF348&lt;&gt;"",AF348,IF(AA348&lt;&gt;"",AA348,IF(V348&lt;&gt;"",V348,"")))</f>
        <v/>
      </c>
      <c r="AK348" s="83" t="str">
        <f aca="false">IF(E348="","",IF(P348="","À SOUDER",IF(S348="","VT EN ATTENTE",IF(S348="R","VT REJETÉ – À REPRENDRE",IF(AJ348="","À RADIOGRAPHIER",IF(AJ348="A","ACCEPTÉ",IF(AJ348="NX","NX – RT À REFAIRE",IF(IF(AI348=1,X348,IF(AI348=2,AC348,""))="A","RÉPARÉ – À RADIOGRAPHIER",IF(IF(AI348=1,X348,IF(AI348=2,AC348,""))="R","VT REJETÉ – À REPRENDRE",IF(AJ348="CO","COUPE – À RESOUDER","À RÉPARER"))))))))))</f>
        <v/>
      </c>
      <c r="AL348" s="82" t="str">
        <f aca="false">IF(AND(ISNUMBER(P348),OR(AK348="À RADIOGRAPHIER",AK348="RÉPARÉ – À RADIOGRAPHIER",AK348="NX – RT À REFAIRE",AK348="À RÉPARER",AK348="COUPE – À RESOUDER",AK348="VT REJETÉ – À REPRENDRE")),MAX(0,'PROGRAMME RT'!$C$4-P348),"")</f>
        <v/>
      </c>
      <c r="AM348" s="78" t="n">
        <f aca="false">IF(AND(OR(AK348="À RADIOGRAPHIER",AK348="RÉPARÉ – À RADIOGRAPHIER",AK348="NX – RT À REFAIRE"),OR('PROGRAMME RT'!$D$5="TOUTES",B348='PROGRAMME RT'!$D$5)),1,0)</f>
        <v>0</v>
      </c>
      <c r="AN348" s="78" t="str">
        <f aca="false">IF(AM348=1,SUM(AM$7:AM348),"")</f>
        <v/>
      </c>
      <c r="AO348" s="78" t="n">
        <f aca="false">IF(AND(OR(AK348="À RÉPARER",AK348="COUPE – À RESOUDER",AK348="VT REJETÉ – À REPRENDRE"),OR(RÉPARATIONS!$D$5="TOUTES",B348=RÉPARATIONS!$D$5)),1,0)</f>
        <v>0</v>
      </c>
      <c r="AP348" s="78" t="str">
        <f aca="false">IF(AO348=1,SUM(AO$7:AO348),"")</f>
        <v/>
      </c>
    </row>
    <row r="349" customFormat="false" ht="15" hidden="false" customHeight="false" outlineLevel="0" collapsed="false">
      <c r="A349" s="78" t="str">
        <f aca="false">IF(E349="","",ROW()-6)</f>
        <v/>
      </c>
      <c r="B349" s="79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1"/>
      <c r="Q349" s="81"/>
      <c r="R349" s="80"/>
      <c r="S349" s="80"/>
      <c r="T349" s="81"/>
      <c r="U349" s="80"/>
      <c r="V349" s="80"/>
      <c r="W349" s="80"/>
      <c r="X349" s="80"/>
      <c r="Y349" s="81"/>
      <c r="Z349" s="80"/>
      <c r="AA349" s="80"/>
      <c r="AB349" s="80"/>
      <c r="AC349" s="80"/>
      <c r="AD349" s="81"/>
      <c r="AE349" s="80"/>
      <c r="AF349" s="80"/>
      <c r="AG349" s="81"/>
      <c r="AH349" s="79"/>
      <c r="AI349" s="78" t="str">
        <f aca="false">IF(E349="","",(V349&lt;&gt;"")+(AA349&lt;&gt;"")+(AF349&lt;&gt;""))</f>
        <v/>
      </c>
      <c r="AJ349" s="82" t="str">
        <f aca="false">IF(AF349&lt;&gt;"",AF349,IF(AA349&lt;&gt;"",AA349,IF(V349&lt;&gt;"",V349,"")))</f>
        <v/>
      </c>
      <c r="AK349" s="83" t="str">
        <f aca="false">IF(E349="","",IF(P349="","À SOUDER",IF(S349="","VT EN ATTENTE",IF(S349="R","VT REJETÉ – À REPRENDRE",IF(AJ349="","À RADIOGRAPHIER",IF(AJ349="A","ACCEPTÉ",IF(AJ349="NX","NX – RT À REFAIRE",IF(IF(AI349=1,X349,IF(AI349=2,AC349,""))="A","RÉPARÉ – À RADIOGRAPHIER",IF(IF(AI349=1,X349,IF(AI349=2,AC349,""))="R","VT REJETÉ – À REPRENDRE",IF(AJ349="CO","COUPE – À RESOUDER","À RÉPARER"))))))))))</f>
        <v/>
      </c>
      <c r="AL349" s="82" t="str">
        <f aca="false">IF(AND(ISNUMBER(P349),OR(AK349="À RADIOGRAPHIER",AK349="RÉPARÉ – À RADIOGRAPHIER",AK349="NX – RT À REFAIRE",AK349="À RÉPARER",AK349="COUPE – À RESOUDER",AK349="VT REJETÉ – À REPRENDRE")),MAX(0,'PROGRAMME RT'!$C$4-P349),"")</f>
        <v/>
      </c>
      <c r="AM349" s="78" t="n">
        <f aca="false">IF(AND(OR(AK349="À RADIOGRAPHIER",AK349="RÉPARÉ – À RADIOGRAPHIER",AK349="NX – RT À REFAIRE"),OR('PROGRAMME RT'!$D$5="TOUTES",B349='PROGRAMME RT'!$D$5)),1,0)</f>
        <v>0</v>
      </c>
      <c r="AN349" s="78" t="str">
        <f aca="false">IF(AM349=1,SUM(AM$7:AM349),"")</f>
        <v/>
      </c>
      <c r="AO349" s="78" t="n">
        <f aca="false">IF(AND(OR(AK349="À RÉPARER",AK349="COUPE – À RESOUDER",AK349="VT REJETÉ – À REPRENDRE"),OR(RÉPARATIONS!$D$5="TOUTES",B349=RÉPARATIONS!$D$5)),1,0)</f>
        <v>0</v>
      </c>
      <c r="AP349" s="78" t="str">
        <f aca="false">IF(AO349=1,SUM(AO$7:AO349),"")</f>
        <v/>
      </c>
    </row>
    <row r="350" customFormat="false" ht="15" hidden="false" customHeight="false" outlineLevel="0" collapsed="false">
      <c r="A350" s="78" t="str">
        <f aca="false">IF(E350="","",ROW()-6)</f>
        <v/>
      </c>
      <c r="B350" s="79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1"/>
      <c r="Q350" s="81"/>
      <c r="R350" s="80"/>
      <c r="S350" s="80"/>
      <c r="T350" s="81"/>
      <c r="U350" s="80"/>
      <c r="V350" s="80"/>
      <c r="W350" s="80"/>
      <c r="X350" s="80"/>
      <c r="Y350" s="81"/>
      <c r="Z350" s="80"/>
      <c r="AA350" s="80"/>
      <c r="AB350" s="80"/>
      <c r="AC350" s="80"/>
      <c r="AD350" s="81"/>
      <c r="AE350" s="80"/>
      <c r="AF350" s="80"/>
      <c r="AG350" s="81"/>
      <c r="AH350" s="79"/>
      <c r="AI350" s="78" t="str">
        <f aca="false">IF(E350="","",(V350&lt;&gt;"")+(AA350&lt;&gt;"")+(AF350&lt;&gt;""))</f>
        <v/>
      </c>
      <c r="AJ350" s="82" t="str">
        <f aca="false">IF(AF350&lt;&gt;"",AF350,IF(AA350&lt;&gt;"",AA350,IF(V350&lt;&gt;"",V350,"")))</f>
        <v/>
      </c>
      <c r="AK350" s="83" t="str">
        <f aca="false">IF(E350="","",IF(P350="","À SOUDER",IF(S350="","VT EN ATTENTE",IF(S350="R","VT REJETÉ – À REPRENDRE",IF(AJ350="","À RADIOGRAPHIER",IF(AJ350="A","ACCEPTÉ",IF(AJ350="NX","NX – RT À REFAIRE",IF(IF(AI350=1,X350,IF(AI350=2,AC350,""))="A","RÉPARÉ – À RADIOGRAPHIER",IF(IF(AI350=1,X350,IF(AI350=2,AC350,""))="R","VT REJETÉ – À REPRENDRE",IF(AJ350="CO","COUPE – À RESOUDER","À RÉPARER"))))))))))</f>
        <v/>
      </c>
      <c r="AL350" s="82" t="str">
        <f aca="false">IF(AND(ISNUMBER(P350),OR(AK350="À RADIOGRAPHIER",AK350="RÉPARÉ – À RADIOGRAPHIER",AK350="NX – RT À REFAIRE",AK350="À RÉPARER",AK350="COUPE – À RESOUDER",AK350="VT REJETÉ – À REPRENDRE")),MAX(0,'PROGRAMME RT'!$C$4-P350),"")</f>
        <v/>
      </c>
      <c r="AM350" s="78" t="n">
        <f aca="false">IF(AND(OR(AK350="À RADIOGRAPHIER",AK350="RÉPARÉ – À RADIOGRAPHIER",AK350="NX – RT À REFAIRE"),OR('PROGRAMME RT'!$D$5="TOUTES",B350='PROGRAMME RT'!$D$5)),1,0)</f>
        <v>0</v>
      </c>
      <c r="AN350" s="78" t="str">
        <f aca="false">IF(AM350=1,SUM(AM$7:AM350),"")</f>
        <v/>
      </c>
      <c r="AO350" s="78" t="n">
        <f aca="false">IF(AND(OR(AK350="À RÉPARER",AK350="COUPE – À RESOUDER",AK350="VT REJETÉ – À REPRENDRE"),OR(RÉPARATIONS!$D$5="TOUTES",B350=RÉPARATIONS!$D$5)),1,0)</f>
        <v>0</v>
      </c>
      <c r="AP350" s="78" t="str">
        <f aca="false">IF(AO350=1,SUM(AO$7:AO350),"")</f>
        <v/>
      </c>
    </row>
    <row r="351" customFormat="false" ht="15" hidden="false" customHeight="false" outlineLevel="0" collapsed="false">
      <c r="A351" s="78" t="str">
        <f aca="false">IF(E351="","",ROW()-6)</f>
        <v/>
      </c>
      <c r="B351" s="79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1"/>
      <c r="Q351" s="81"/>
      <c r="R351" s="80"/>
      <c r="S351" s="80"/>
      <c r="T351" s="81"/>
      <c r="U351" s="80"/>
      <c r="V351" s="80"/>
      <c r="W351" s="80"/>
      <c r="X351" s="80"/>
      <c r="Y351" s="81"/>
      <c r="Z351" s="80"/>
      <c r="AA351" s="80"/>
      <c r="AB351" s="80"/>
      <c r="AC351" s="80"/>
      <c r="AD351" s="81"/>
      <c r="AE351" s="80"/>
      <c r="AF351" s="80"/>
      <c r="AG351" s="81"/>
      <c r="AH351" s="79"/>
      <c r="AI351" s="78" t="str">
        <f aca="false">IF(E351="","",(V351&lt;&gt;"")+(AA351&lt;&gt;"")+(AF351&lt;&gt;""))</f>
        <v/>
      </c>
      <c r="AJ351" s="82" t="str">
        <f aca="false">IF(AF351&lt;&gt;"",AF351,IF(AA351&lt;&gt;"",AA351,IF(V351&lt;&gt;"",V351,"")))</f>
        <v/>
      </c>
      <c r="AK351" s="83" t="str">
        <f aca="false">IF(E351="","",IF(P351="","À SOUDER",IF(S351="","VT EN ATTENTE",IF(S351="R","VT REJETÉ – À REPRENDRE",IF(AJ351="","À RADIOGRAPHIER",IF(AJ351="A","ACCEPTÉ",IF(AJ351="NX","NX – RT À REFAIRE",IF(IF(AI351=1,X351,IF(AI351=2,AC351,""))="A","RÉPARÉ – À RADIOGRAPHIER",IF(IF(AI351=1,X351,IF(AI351=2,AC351,""))="R","VT REJETÉ – À REPRENDRE",IF(AJ351="CO","COUPE – À RESOUDER","À RÉPARER"))))))))))</f>
        <v/>
      </c>
      <c r="AL351" s="82" t="str">
        <f aca="false">IF(AND(ISNUMBER(P351),OR(AK351="À RADIOGRAPHIER",AK351="RÉPARÉ – À RADIOGRAPHIER",AK351="NX – RT À REFAIRE",AK351="À RÉPARER",AK351="COUPE – À RESOUDER",AK351="VT REJETÉ – À REPRENDRE")),MAX(0,'PROGRAMME RT'!$C$4-P351),"")</f>
        <v/>
      </c>
      <c r="AM351" s="78" t="n">
        <f aca="false">IF(AND(OR(AK351="À RADIOGRAPHIER",AK351="RÉPARÉ – À RADIOGRAPHIER",AK351="NX – RT À REFAIRE"),OR('PROGRAMME RT'!$D$5="TOUTES",B351='PROGRAMME RT'!$D$5)),1,0)</f>
        <v>0</v>
      </c>
      <c r="AN351" s="78" t="str">
        <f aca="false">IF(AM351=1,SUM(AM$7:AM351),"")</f>
        <v/>
      </c>
      <c r="AO351" s="78" t="n">
        <f aca="false">IF(AND(OR(AK351="À RÉPARER",AK351="COUPE – À RESOUDER",AK351="VT REJETÉ – À REPRENDRE"),OR(RÉPARATIONS!$D$5="TOUTES",B351=RÉPARATIONS!$D$5)),1,0)</f>
        <v>0</v>
      </c>
      <c r="AP351" s="78" t="str">
        <f aca="false">IF(AO351=1,SUM(AO$7:AO351),"")</f>
        <v/>
      </c>
    </row>
    <row r="352" customFormat="false" ht="15" hidden="false" customHeight="false" outlineLevel="0" collapsed="false">
      <c r="A352" s="78" t="str">
        <f aca="false">IF(E352="","",ROW()-6)</f>
        <v/>
      </c>
      <c r="B352" s="79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1"/>
      <c r="Q352" s="81"/>
      <c r="R352" s="80"/>
      <c r="S352" s="80"/>
      <c r="T352" s="81"/>
      <c r="U352" s="80"/>
      <c r="V352" s="80"/>
      <c r="W352" s="80"/>
      <c r="X352" s="80"/>
      <c r="Y352" s="81"/>
      <c r="Z352" s="80"/>
      <c r="AA352" s="80"/>
      <c r="AB352" s="80"/>
      <c r="AC352" s="80"/>
      <c r="AD352" s="81"/>
      <c r="AE352" s="80"/>
      <c r="AF352" s="80"/>
      <c r="AG352" s="81"/>
      <c r="AH352" s="79"/>
      <c r="AI352" s="78" t="str">
        <f aca="false">IF(E352="","",(V352&lt;&gt;"")+(AA352&lt;&gt;"")+(AF352&lt;&gt;""))</f>
        <v/>
      </c>
      <c r="AJ352" s="82" t="str">
        <f aca="false">IF(AF352&lt;&gt;"",AF352,IF(AA352&lt;&gt;"",AA352,IF(V352&lt;&gt;"",V352,"")))</f>
        <v/>
      </c>
      <c r="AK352" s="83" t="str">
        <f aca="false">IF(E352="","",IF(P352="","À SOUDER",IF(S352="","VT EN ATTENTE",IF(S352="R","VT REJETÉ – À REPRENDRE",IF(AJ352="","À RADIOGRAPHIER",IF(AJ352="A","ACCEPTÉ",IF(AJ352="NX","NX – RT À REFAIRE",IF(IF(AI352=1,X352,IF(AI352=2,AC352,""))="A","RÉPARÉ – À RADIOGRAPHIER",IF(IF(AI352=1,X352,IF(AI352=2,AC352,""))="R","VT REJETÉ – À REPRENDRE",IF(AJ352="CO","COUPE – À RESOUDER","À RÉPARER"))))))))))</f>
        <v/>
      </c>
      <c r="AL352" s="82" t="str">
        <f aca="false">IF(AND(ISNUMBER(P352),OR(AK352="À RADIOGRAPHIER",AK352="RÉPARÉ – À RADIOGRAPHIER",AK352="NX – RT À REFAIRE",AK352="À RÉPARER",AK352="COUPE – À RESOUDER",AK352="VT REJETÉ – À REPRENDRE")),MAX(0,'PROGRAMME RT'!$C$4-P352),"")</f>
        <v/>
      </c>
      <c r="AM352" s="78" t="n">
        <f aca="false">IF(AND(OR(AK352="À RADIOGRAPHIER",AK352="RÉPARÉ – À RADIOGRAPHIER",AK352="NX – RT À REFAIRE"),OR('PROGRAMME RT'!$D$5="TOUTES",B352='PROGRAMME RT'!$D$5)),1,0)</f>
        <v>0</v>
      </c>
      <c r="AN352" s="78" t="str">
        <f aca="false">IF(AM352=1,SUM(AM$7:AM352),"")</f>
        <v/>
      </c>
      <c r="AO352" s="78" t="n">
        <f aca="false">IF(AND(OR(AK352="À RÉPARER",AK352="COUPE – À RESOUDER",AK352="VT REJETÉ – À REPRENDRE"),OR(RÉPARATIONS!$D$5="TOUTES",B352=RÉPARATIONS!$D$5)),1,0)</f>
        <v>0</v>
      </c>
      <c r="AP352" s="78" t="str">
        <f aca="false">IF(AO352=1,SUM(AO$7:AO352),"")</f>
        <v/>
      </c>
    </row>
    <row r="353" customFormat="false" ht="15" hidden="false" customHeight="false" outlineLevel="0" collapsed="false">
      <c r="A353" s="78" t="str">
        <f aca="false">IF(E353="","",ROW()-6)</f>
        <v/>
      </c>
      <c r="B353" s="79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1"/>
      <c r="Q353" s="81"/>
      <c r="R353" s="80"/>
      <c r="S353" s="80"/>
      <c r="T353" s="81"/>
      <c r="U353" s="80"/>
      <c r="V353" s="80"/>
      <c r="W353" s="80"/>
      <c r="X353" s="80"/>
      <c r="Y353" s="81"/>
      <c r="Z353" s="80"/>
      <c r="AA353" s="80"/>
      <c r="AB353" s="80"/>
      <c r="AC353" s="80"/>
      <c r="AD353" s="81"/>
      <c r="AE353" s="80"/>
      <c r="AF353" s="80"/>
      <c r="AG353" s="81"/>
      <c r="AH353" s="79"/>
      <c r="AI353" s="78" t="str">
        <f aca="false">IF(E353="","",(V353&lt;&gt;"")+(AA353&lt;&gt;"")+(AF353&lt;&gt;""))</f>
        <v/>
      </c>
      <c r="AJ353" s="82" t="str">
        <f aca="false">IF(AF353&lt;&gt;"",AF353,IF(AA353&lt;&gt;"",AA353,IF(V353&lt;&gt;"",V353,"")))</f>
        <v/>
      </c>
      <c r="AK353" s="83" t="str">
        <f aca="false">IF(E353="","",IF(P353="","À SOUDER",IF(S353="","VT EN ATTENTE",IF(S353="R","VT REJETÉ – À REPRENDRE",IF(AJ353="","À RADIOGRAPHIER",IF(AJ353="A","ACCEPTÉ",IF(AJ353="NX","NX – RT À REFAIRE",IF(IF(AI353=1,X353,IF(AI353=2,AC353,""))="A","RÉPARÉ – À RADIOGRAPHIER",IF(IF(AI353=1,X353,IF(AI353=2,AC353,""))="R","VT REJETÉ – À REPRENDRE",IF(AJ353="CO","COUPE – À RESOUDER","À RÉPARER"))))))))))</f>
        <v/>
      </c>
      <c r="AL353" s="82" t="str">
        <f aca="false">IF(AND(ISNUMBER(P353),OR(AK353="À RADIOGRAPHIER",AK353="RÉPARÉ – À RADIOGRAPHIER",AK353="NX – RT À REFAIRE",AK353="À RÉPARER",AK353="COUPE – À RESOUDER",AK353="VT REJETÉ – À REPRENDRE")),MAX(0,'PROGRAMME RT'!$C$4-P353),"")</f>
        <v/>
      </c>
      <c r="AM353" s="78" t="n">
        <f aca="false">IF(AND(OR(AK353="À RADIOGRAPHIER",AK353="RÉPARÉ – À RADIOGRAPHIER",AK353="NX – RT À REFAIRE"),OR('PROGRAMME RT'!$D$5="TOUTES",B353='PROGRAMME RT'!$D$5)),1,0)</f>
        <v>0</v>
      </c>
      <c r="AN353" s="78" t="str">
        <f aca="false">IF(AM353=1,SUM(AM$7:AM353),"")</f>
        <v/>
      </c>
      <c r="AO353" s="78" t="n">
        <f aca="false">IF(AND(OR(AK353="À RÉPARER",AK353="COUPE – À RESOUDER",AK353="VT REJETÉ – À REPRENDRE"),OR(RÉPARATIONS!$D$5="TOUTES",B353=RÉPARATIONS!$D$5)),1,0)</f>
        <v>0</v>
      </c>
      <c r="AP353" s="78" t="str">
        <f aca="false">IF(AO353=1,SUM(AO$7:AO353),"")</f>
        <v/>
      </c>
    </row>
    <row r="354" customFormat="false" ht="15" hidden="false" customHeight="false" outlineLevel="0" collapsed="false">
      <c r="A354" s="78" t="str">
        <f aca="false">IF(E354="","",ROW()-6)</f>
        <v/>
      </c>
      <c r="B354" s="79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1"/>
      <c r="Q354" s="81"/>
      <c r="R354" s="80"/>
      <c r="S354" s="80"/>
      <c r="T354" s="81"/>
      <c r="U354" s="80"/>
      <c r="V354" s="80"/>
      <c r="W354" s="80"/>
      <c r="X354" s="80"/>
      <c r="Y354" s="81"/>
      <c r="Z354" s="80"/>
      <c r="AA354" s="80"/>
      <c r="AB354" s="80"/>
      <c r="AC354" s="80"/>
      <c r="AD354" s="81"/>
      <c r="AE354" s="80"/>
      <c r="AF354" s="80"/>
      <c r="AG354" s="81"/>
      <c r="AH354" s="79"/>
      <c r="AI354" s="78" t="str">
        <f aca="false">IF(E354="","",(V354&lt;&gt;"")+(AA354&lt;&gt;"")+(AF354&lt;&gt;""))</f>
        <v/>
      </c>
      <c r="AJ354" s="82" t="str">
        <f aca="false">IF(AF354&lt;&gt;"",AF354,IF(AA354&lt;&gt;"",AA354,IF(V354&lt;&gt;"",V354,"")))</f>
        <v/>
      </c>
      <c r="AK354" s="83" t="str">
        <f aca="false">IF(E354="","",IF(P354="","À SOUDER",IF(S354="","VT EN ATTENTE",IF(S354="R","VT REJETÉ – À REPRENDRE",IF(AJ354="","À RADIOGRAPHIER",IF(AJ354="A","ACCEPTÉ",IF(AJ354="NX","NX – RT À REFAIRE",IF(IF(AI354=1,X354,IF(AI354=2,AC354,""))="A","RÉPARÉ – À RADIOGRAPHIER",IF(IF(AI354=1,X354,IF(AI354=2,AC354,""))="R","VT REJETÉ – À REPRENDRE",IF(AJ354="CO","COUPE – À RESOUDER","À RÉPARER"))))))))))</f>
        <v/>
      </c>
      <c r="AL354" s="82" t="str">
        <f aca="false">IF(AND(ISNUMBER(P354),OR(AK354="À RADIOGRAPHIER",AK354="RÉPARÉ – À RADIOGRAPHIER",AK354="NX – RT À REFAIRE",AK354="À RÉPARER",AK354="COUPE – À RESOUDER",AK354="VT REJETÉ – À REPRENDRE")),MAX(0,'PROGRAMME RT'!$C$4-P354),"")</f>
        <v/>
      </c>
      <c r="AM354" s="78" t="n">
        <f aca="false">IF(AND(OR(AK354="À RADIOGRAPHIER",AK354="RÉPARÉ – À RADIOGRAPHIER",AK354="NX – RT À REFAIRE"),OR('PROGRAMME RT'!$D$5="TOUTES",B354='PROGRAMME RT'!$D$5)),1,0)</f>
        <v>0</v>
      </c>
      <c r="AN354" s="78" t="str">
        <f aca="false">IF(AM354=1,SUM(AM$7:AM354),"")</f>
        <v/>
      </c>
      <c r="AO354" s="78" t="n">
        <f aca="false">IF(AND(OR(AK354="À RÉPARER",AK354="COUPE – À RESOUDER",AK354="VT REJETÉ – À REPRENDRE"),OR(RÉPARATIONS!$D$5="TOUTES",B354=RÉPARATIONS!$D$5)),1,0)</f>
        <v>0</v>
      </c>
      <c r="AP354" s="78" t="str">
        <f aca="false">IF(AO354=1,SUM(AO$7:AO354),"")</f>
        <v/>
      </c>
    </row>
    <row r="355" customFormat="false" ht="15" hidden="false" customHeight="false" outlineLevel="0" collapsed="false">
      <c r="A355" s="78" t="str">
        <f aca="false">IF(E355="","",ROW()-6)</f>
        <v/>
      </c>
      <c r="B355" s="79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1"/>
      <c r="Q355" s="81"/>
      <c r="R355" s="80"/>
      <c r="S355" s="80"/>
      <c r="T355" s="81"/>
      <c r="U355" s="80"/>
      <c r="V355" s="80"/>
      <c r="W355" s="80"/>
      <c r="X355" s="80"/>
      <c r="Y355" s="81"/>
      <c r="Z355" s="80"/>
      <c r="AA355" s="80"/>
      <c r="AB355" s="80"/>
      <c r="AC355" s="80"/>
      <c r="AD355" s="81"/>
      <c r="AE355" s="80"/>
      <c r="AF355" s="80"/>
      <c r="AG355" s="81"/>
      <c r="AH355" s="79"/>
      <c r="AI355" s="78" t="str">
        <f aca="false">IF(E355="","",(V355&lt;&gt;"")+(AA355&lt;&gt;"")+(AF355&lt;&gt;""))</f>
        <v/>
      </c>
      <c r="AJ355" s="82" t="str">
        <f aca="false">IF(AF355&lt;&gt;"",AF355,IF(AA355&lt;&gt;"",AA355,IF(V355&lt;&gt;"",V355,"")))</f>
        <v/>
      </c>
      <c r="AK355" s="83" t="str">
        <f aca="false">IF(E355="","",IF(P355="","À SOUDER",IF(S355="","VT EN ATTENTE",IF(S355="R","VT REJETÉ – À REPRENDRE",IF(AJ355="","À RADIOGRAPHIER",IF(AJ355="A","ACCEPTÉ",IF(AJ355="NX","NX – RT À REFAIRE",IF(IF(AI355=1,X355,IF(AI355=2,AC355,""))="A","RÉPARÉ – À RADIOGRAPHIER",IF(IF(AI355=1,X355,IF(AI355=2,AC355,""))="R","VT REJETÉ – À REPRENDRE",IF(AJ355="CO","COUPE – À RESOUDER","À RÉPARER"))))))))))</f>
        <v/>
      </c>
      <c r="AL355" s="82" t="str">
        <f aca="false">IF(AND(ISNUMBER(P355),OR(AK355="À RADIOGRAPHIER",AK355="RÉPARÉ – À RADIOGRAPHIER",AK355="NX – RT À REFAIRE",AK355="À RÉPARER",AK355="COUPE – À RESOUDER",AK355="VT REJETÉ – À REPRENDRE")),MAX(0,'PROGRAMME RT'!$C$4-P355),"")</f>
        <v/>
      </c>
      <c r="AM355" s="78" t="n">
        <f aca="false">IF(AND(OR(AK355="À RADIOGRAPHIER",AK355="RÉPARÉ – À RADIOGRAPHIER",AK355="NX – RT À REFAIRE"),OR('PROGRAMME RT'!$D$5="TOUTES",B355='PROGRAMME RT'!$D$5)),1,0)</f>
        <v>0</v>
      </c>
      <c r="AN355" s="78" t="str">
        <f aca="false">IF(AM355=1,SUM(AM$7:AM355),"")</f>
        <v/>
      </c>
      <c r="AO355" s="78" t="n">
        <f aca="false">IF(AND(OR(AK355="À RÉPARER",AK355="COUPE – À RESOUDER",AK355="VT REJETÉ – À REPRENDRE"),OR(RÉPARATIONS!$D$5="TOUTES",B355=RÉPARATIONS!$D$5)),1,0)</f>
        <v>0</v>
      </c>
      <c r="AP355" s="78" t="str">
        <f aca="false">IF(AO355=1,SUM(AO$7:AO355),"")</f>
        <v/>
      </c>
    </row>
    <row r="356" customFormat="false" ht="15" hidden="false" customHeight="false" outlineLevel="0" collapsed="false">
      <c r="A356" s="78" t="str">
        <f aca="false">IF(E356="","",ROW()-6)</f>
        <v/>
      </c>
      <c r="B356" s="79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1"/>
      <c r="Q356" s="81"/>
      <c r="R356" s="80"/>
      <c r="S356" s="80"/>
      <c r="T356" s="81"/>
      <c r="U356" s="80"/>
      <c r="V356" s="80"/>
      <c r="W356" s="80"/>
      <c r="X356" s="80"/>
      <c r="Y356" s="81"/>
      <c r="Z356" s="80"/>
      <c r="AA356" s="80"/>
      <c r="AB356" s="80"/>
      <c r="AC356" s="80"/>
      <c r="AD356" s="81"/>
      <c r="AE356" s="80"/>
      <c r="AF356" s="80"/>
      <c r="AG356" s="81"/>
      <c r="AH356" s="79"/>
      <c r="AI356" s="78" t="str">
        <f aca="false">IF(E356="","",(V356&lt;&gt;"")+(AA356&lt;&gt;"")+(AF356&lt;&gt;""))</f>
        <v/>
      </c>
      <c r="AJ356" s="82" t="str">
        <f aca="false">IF(AF356&lt;&gt;"",AF356,IF(AA356&lt;&gt;"",AA356,IF(V356&lt;&gt;"",V356,"")))</f>
        <v/>
      </c>
      <c r="AK356" s="83" t="str">
        <f aca="false">IF(E356="","",IF(P356="","À SOUDER",IF(S356="","VT EN ATTENTE",IF(S356="R","VT REJETÉ – À REPRENDRE",IF(AJ356="","À RADIOGRAPHIER",IF(AJ356="A","ACCEPTÉ",IF(AJ356="NX","NX – RT À REFAIRE",IF(IF(AI356=1,X356,IF(AI356=2,AC356,""))="A","RÉPARÉ – À RADIOGRAPHIER",IF(IF(AI356=1,X356,IF(AI356=2,AC356,""))="R","VT REJETÉ – À REPRENDRE",IF(AJ356="CO","COUPE – À RESOUDER","À RÉPARER"))))))))))</f>
        <v/>
      </c>
      <c r="AL356" s="82" t="str">
        <f aca="false">IF(AND(ISNUMBER(P356),OR(AK356="À RADIOGRAPHIER",AK356="RÉPARÉ – À RADIOGRAPHIER",AK356="NX – RT À REFAIRE",AK356="À RÉPARER",AK356="COUPE – À RESOUDER",AK356="VT REJETÉ – À REPRENDRE")),MAX(0,'PROGRAMME RT'!$C$4-P356),"")</f>
        <v/>
      </c>
      <c r="AM356" s="78" t="n">
        <f aca="false">IF(AND(OR(AK356="À RADIOGRAPHIER",AK356="RÉPARÉ – À RADIOGRAPHIER",AK356="NX – RT À REFAIRE"),OR('PROGRAMME RT'!$D$5="TOUTES",B356='PROGRAMME RT'!$D$5)),1,0)</f>
        <v>0</v>
      </c>
      <c r="AN356" s="78" t="str">
        <f aca="false">IF(AM356=1,SUM(AM$7:AM356),"")</f>
        <v/>
      </c>
      <c r="AO356" s="78" t="n">
        <f aca="false">IF(AND(OR(AK356="À RÉPARER",AK356="COUPE – À RESOUDER",AK356="VT REJETÉ – À REPRENDRE"),OR(RÉPARATIONS!$D$5="TOUTES",B356=RÉPARATIONS!$D$5)),1,0)</f>
        <v>0</v>
      </c>
      <c r="AP356" s="78" t="str">
        <f aca="false">IF(AO356=1,SUM(AO$7:AO356),"")</f>
        <v/>
      </c>
    </row>
    <row r="357" customFormat="false" ht="15" hidden="false" customHeight="false" outlineLevel="0" collapsed="false">
      <c r="A357" s="78" t="str">
        <f aca="false">IF(E357="","",ROW()-6)</f>
        <v/>
      </c>
      <c r="B357" s="79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1"/>
      <c r="Q357" s="81"/>
      <c r="R357" s="80"/>
      <c r="S357" s="80"/>
      <c r="T357" s="81"/>
      <c r="U357" s="80"/>
      <c r="V357" s="80"/>
      <c r="W357" s="80"/>
      <c r="X357" s="80"/>
      <c r="Y357" s="81"/>
      <c r="Z357" s="80"/>
      <c r="AA357" s="80"/>
      <c r="AB357" s="80"/>
      <c r="AC357" s="80"/>
      <c r="AD357" s="81"/>
      <c r="AE357" s="80"/>
      <c r="AF357" s="80"/>
      <c r="AG357" s="81"/>
      <c r="AH357" s="79"/>
      <c r="AI357" s="78" t="str">
        <f aca="false">IF(E357="","",(V357&lt;&gt;"")+(AA357&lt;&gt;"")+(AF357&lt;&gt;""))</f>
        <v/>
      </c>
      <c r="AJ357" s="82" t="str">
        <f aca="false">IF(AF357&lt;&gt;"",AF357,IF(AA357&lt;&gt;"",AA357,IF(V357&lt;&gt;"",V357,"")))</f>
        <v/>
      </c>
      <c r="AK357" s="83" t="str">
        <f aca="false">IF(E357="","",IF(P357="","À SOUDER",IF(S357="","VT EN ATTENTE",IF(S357="R","VT REJETÉ – À REPRENDRE",IF(AJ357="","À RADIOGRAPHIER",IF(AJ357="A","ACCEPTÉ",IF(AJ357="NX","NX – RT À REFAIRE",IF(IF(AI357=1,X357,IF(AI357=2,AC357,""))="A","RÉPARÉ – À RADIOGRAPHIER",IF(IF(AI357=1,X357,IF(AI357=2,AC357,""))="R","VT REJETÉ – À REPRENDRE",IF(AJ357="CO","COUPE – À RESOUDER","À RÉPARER"))))))))))</f>
        <v/>
      </c>
      <c r="AL357" s="82" t="str">
        <f aca="false">IF(AND(ISNUMBER(P357),OR(AK357="À RADIOGRAPHIER",AK357="RÉPARÉ – À RADIOGRAPHIER",AK357="NX – RT À REFAIRE",AK357="À RÉPARER",AK357="COUPE – À RESOUDER",AK357="VT REJETÉ – À REPRENDRE")),MAX(0,'PROGRAMME RT'!$C$4-P357),"")</f>
        <v/>
      </c>
      <c r="AM357" s="78" t="n">
        <f aca="false">IF(AND(OR(AK357="À RADIOGRAPHIER",AK357="RÉPARÉ – À RADIOGRAPHIER",AK357="NX – RT À REFAIRE"),OR('PROGRAMME RT'!$D$5="TOUTES",B357='PROGRAMME RT'!$D$5)),1,0)</f>
        <v>0</v>
      </c>
      <c r="AN357" s="78" t="str">
        <f aca="false">IF(AM357=1,SUM(AM$7:AM357),"")</f>
        <v/>
      </c>
      <c r="AO357" s="78" t="n">
        <f aca="false">IF(AND(OR(AK357="À RÉPARER",AK357="COUPE – À RESOUDER",AK357="VT REJETÉ – À REPRENDRE"),OR(RÉPARATIONS!$D$5="TOUTES",B357=RÉPARATIONS!$D$5)),1,0)</f>
        <v>0</v>
      </c>
      <c r="AP357" s="78" t="str">
        <f aca="false">IF(AO357=1,SUM(AO$7:AO357),"")</f>
        <v/>
      </c>
    </row>
    <row r="358" customFormat="false" ht="15" hidden="false" customHeight="false" outlineLevel="0" collapsed="false">
      <c r="A358" s="78" t="str">
        <f aca="false">IF(E358="","",ROW()-6)</f>
        <v/>
      </c>
      <c r="B358" s="79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1"/>
      <c r="Q358" s="81"/>
      <c r="R358" s="80"/>
      <c r="S358" s="80"/>
      <c r="T358" s="81"/>
      <c r="U358" s="80"/>
      <c r="V358" s="80"/>
      <c r="W358" s="80"/>
      <c r="X358" s="80"/>
      <c r="Y358" s="81"/>
      <c r="Z358" s="80"/>
      <c r="AA358" s="80"/>
      <c r="AB358" s="80"/>
      <c r="AC358" s="80"/>
      <c r="AD358" s="81"/>
      <c r="AE358" s="80"/>
      <c r="AF358" s="80"/>
      <c r="AG358" s="81"/>
      <c r="AH358" s="79"/>
      <c r="AI358" s="78" t="str">
        <f aca="false">IF(E358="","",(V358&lt;&gt;"")+(AA358&lt;&gt;"")+(AF358&lt;&gt;""))</f>
        <v/>
      </c>
      <c r="AJ358" s="82" t="str">
        <f aca="false">IF(AF358&lt;&gt;"",AF358,IF(AA358&lt;&gt;"",AA358,IF(V358&lt;&gt;"",V358,"")))</f>
        <v/>
      </c>
      <c r="AK358" s="83" t="str">
        <f aca="false">IF(E358="","",IF(P358="","À SOUDER",IF(S358="","VT EN ATTENTE",IF(S358="R","VT REJETÉ – À REPRENDRE",IF(AJ358="","À RADIOGRAPHIER",IF(AJ358="A","ACCEPTÉ",IF(AJ358="NX","NX – RT À REFAIRE",IF(IF(AI358=1,X358,IF(AI358=2,AC358,""))="A","RÉPARÉ – À RADIOGRAPHIER",IF(IF(AI358=1,X358,IF(AI358=2,AC358,""))="R","VT REJETÉ – À REPRENDRE",IF(AJ358="CO","COUPE – À RESOUDER","À RÉPARER"))))))))))</f>
        <v/>
      </c>
      <c r="AL358" s="82" t="str">
        <f aca="false">IF(AND(ISNUMBER(P358),OR(AK358="À RADIOGRAPHIER",AK358="RÉPARÉ – À RADIOGRAPHIER",AK358="NX – RT À REFAIRE",AK358="À RÉPARER",AK358="COUPE – À RESOUDER",AK358="VT REJETÉ – À REPRENDRE")),MAX(0,'PROGRAMME RT'!$C$4-P358),"")</f>
        <v/>
      </c>
      <c r="AM358" s="78" t="n">
        <f aca="false">IF(AND(OR(AK358="À RADIOGRAPHIER",AK358="RÉPARÉ – À RADIOGRAPHIER",AK358="NX – RT À REFAIRE"),OR('PROGRAMME RT'!$D$5="TOUTES",B358='PROGRAMME RT'!$D$5)),1,0)</f>
        <v>0</v>
      </c>
      <c r="AN358" s="78" t="str">
        <f aca="false">IF(AM358=1,SUM(AM$7:AM358),"")</f>
        <v/>
      </c>
      <c r="AO358" s="78" t="n">
        <f aca="false">IF(AND(OR(AK358="À RÉPARER",AK358="COUPE – À RESOUDER",AK358="VT REJETÉ – À REPRENDRE"),OR(RÉPARATIONS!$D$5="TOUTES",B358=RÉPARATIONS!$D$5)),1,0)</f>
        <v>0</v>
      </c>
      <c r="AP358" s="78" t="str">
        <f aca="false">IF(AO358=1,SUM(AO$7:AO358),"")</f>
        <v/>
      </c>
    </row>
    <row r="359" customFormat="false" ht="15" hidden="false" customHeight="false" outlineLevel="0" collapsed="false">
      <c r="A359" s="78" t="str">
        <f aca="false">IF(E359="","",ROW()-6)</f>
        <v/>
      </c>
      <c r="B359" s="79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1"/>
      <c r="Q359" s="81"/>
      <c r="R359" s="80"/>
      <c r="S359" s="80"/>
      <c r="T359" s="81"/>
      <c r="U359" s="80"/>
      <c r="V359" s="80"/>
      <c r="W359" s="80"/>
      <c r="X359" s="80"/>
      <c r="Y359" s="81"/>
      <c r="Z359" s="80"/>
      <c r="AA359" s="80"/>
      <c r="AB359" s="80"/>
      <c r="AC359" s="80"/>
      <c r="AD359" s="81"/>
      <c r="AE359" s="80"/>
      <c r="AF359" s="80"/>
      <c r="AG359" s="81"/>
      <c r="AH359" s="79"/>
      <c r="AI359" s="78" t="str">
        <f aca="false">IF(E359="","",(V359&lt;&gt;"")+(AA359&lt;&gt;"")+(AF359&lt;&gt;""))</f>
        <v/>
      </c>
      <c r="AJ359" s="82" t="str">
        <f aca="false">IF(AF359&lt;&gt;"",AF359,IF(AA359&lt;&gt;"",AA359,IF(V359&lt;&gt;"",V359,"")))</f>
        <v/>
      </c>
      <c r="AK359" s="83" t="str">
        <f aca="false">IF(E359="","",IF(P359="","À SOUDER",IF(S359="","VT EN ATTENTE",IF(S359="R","VT REJETÉ – À REPRENDRE",IF(AJ359="","À RADIOGRAPHIER",IF(AJ359="A","ACCEPTÉ",IF(AJ359="NX","NX – RT À REFAIRE",IF(IF(AI359=1,X359,IF(AI359=2,AC359,""))="A","RÉPARÉ – À RADIOGRAPHIER",IF(IF(AI359=1,X359,IF(AI359=2,AC359,""))="R","VT REJETÉ – À REPRENDRE",IF(AJ359="CO","COUPE – À RESOUDER","À RÉPARER"))))))))))</f>
        <v/>
      </c>
      <c r="AL359" s="82" t="str">
        <f aca="false">IF(AND(ISNUMBER(P359),OR(AK359="À RADIOGRAPHIER",AK359="RÉPARÉ – À RADIOGRAPHIER",AK359="NX – RT À REFAIRE",AK359="À RÉPARER",AK359="COUPE – À RESOUDER",AK359="VT REJETÉ – À REPRENDRE")),MAX(0,'PROGRAMME RT'!$C$4-P359),"")</f>
        <v/>
      </c>
      <c r="AM359" s="78" t="n">
        <f aca="false">IF(AND(OR(AK359="À RADIOGRAPHIER",AK359="RÉPARÉ – À RADIOGRAPHIER",AK359="NX – RT À REFAIRE"),OR('PROGRAMME RT'!$D$5="TOUTES",B359='PROGRAMME RT'!$D$5)),1,0)</f>
        <v>0</v>
      </c>
      <c r="AN359" s="78" t="str">
        <f aca="false">IF(AM359=1,SUM(AM$7:AM359),"")</f>
        <v/>
      </c>
      <c r="AO359" s="78" t="n">
        <f aca="false">IF(AND(OR(AK359="À RÉPARER",AK359="COUPE – À RESOUDER",AK359="VT REJETÉ – À REPRENDRE"),OR(RÉPARATIONS!$D$5="TOUTES",B359=RÉPARATIONS!$D$5)),1,0)</f>
        <v>0</v>
      </c>
      <c r="AP359" s="78" t="str">
        <f aca="false">IF(AO359=1,SUM(AO$7:AO359),"")</f>
        <v/>
      </c>
    </row>
    <row r="360" customFormat="false" ht="15" hidden="false" customHeight="false" outlineLevel="0" collapsed="false">
      <c r="A360" s="78" t="str">
        <f aca="false">IF(E360="","",ROW()-6)</f>
        <v/>
      </c>
      <c r="B360" s="79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1"/>
      <c r="Q360" s="81"/>
      <c r="R360" s="80"/>
      <c r="S360" s="80"/>
      <c r="T360" s="81"/>
      <c r="U360" s="80"/>
      <c r="V360" s="80"/>
      <c r="W360" s="80"/>
      <c r="X360" s="80"/>
      <c r="Y360" s="81"/>
      <c r="Z360" s="80"/>
      <c r="AA360" s="80"/>
      <c r="AB360" s="80"/>
      <c r="AC360" s="80"/>
      <c r="AD360" s="81"/>
      <c r="AE360" s="80"/>
      <c r="AF360" s="80"/>
      <c r="AG360" s="81"/>
      <c r="AH360" s="79"/>
      <c r="AI360" s="78" t="str">
        <f aca="false">IF(E360="","",(V360&lt;&gt;"")+(AA360&lt;&gt;"")+(AF360&lt;&gt;""))</f>
        <v/>
      </c>
      <c r="AJ360" s="82" t="str">
        <f aca="false">IF(AF360&lt;&gt;"",AF360,IF(AA360&lt;&gt;"",AA360,IF(V360&lt;&gt;"",V360,"")))</f>
        <v/>
      </c>
      <c r="AK360" s="83" t="str">
        <f aca="false">IF(E360="","",IF(P360="","À SOUDER",IF(S360="","VT EN ATTENTE",IF(S360="R","VT REJETÉ – À REPRENDRE",IF(AJ360="","À RADIOGRAPHIER",IF(AJ360="A","ACCEPTÉ",IF(AJ360="NX","NX – RT À REFAIRE",IF(IF(AI360=1,X360,IF(AI360=2,AC360,""))="A","RÉPARÉ – À RADIOGRAPHIER",IF(IF(AI360=1,X360,IF(AI360=2,AC360,""))="R","VT REJETÉ – À REPRENDRE",IF(AJ360="CO","COUPE – À RESOUDER","À RÉPARER"))))))))))</f>
        <v/>
      </c>
      <c r="AL360" s="82" t="str">
        <f aca="false">IF(AND(ISNUMBER(P360),OR(AK360="À RADIOGRAPHIER",AK360="RÉPARÉ – À RADIOGRAPHIER",AK360="NX – RT À REFAIRE",AK360="À RÉPARER",AK360="COUPE – À RESOUDER",AK360="VT REJETÉ – À REPRENDRE")),MAX(0,'PROGRAMME RT'!$C$4-P360),"")</f>
        <v/>
      </c>
      <c r="AM360" s="78" t="n">
        <f aca="false">IF(AND(OR(AK360="À RADIOGRAPHIER",AK360="RÉPARÉ – À RADIOGRAPHIER",AK360="NX – RT À REFAIRE"),OR('PROGRAMME RT'!$D$5="TOUTES",B360='PROGRAMME RT'!$D$5)),1,0)</f>
        <v>0</v>
      </c>
      <c r="AN360" s="78" t="str">
        <f aca="false">IF(AM360=1,SUM(AM$7:AM360),"")</f>
        <v/>
      </c>
      <c r="AO360" s="78" t="n">
        <f aca="false">IF(AND(OR(AK360="À RÉPARER",AK360="COUPE – À RESOUDER",AK360="VT REJETÉ – À REPRENDRE"),OR(RÉPARATIONS!$D$5="TOUTES",B360=RÉPARATIONS!$D$5)),1,0)</f>
        <v>0</v>
      </c>
      <c r="AP360" s="78" t="str">
        <f aca="false">IF(AO360=1,SUM(AO$7:AO360),"")</f>
        <v/>
      </c>
    </row>
    <row r="361" customFormat="false" ht="15" hidden="false" customHeight="false" outlineLevel="0" collapsed="false">
      <c r="A361" s="78" t="str">
        <f aca="false">IF(E361="","",ROW()-6)</f>
        <v/>
      </c>
      <c r="B361" s="79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1"/>
      <c r="Q361" s="81"/>
      <c r="R361" s="80"/>
      <c r="S361" s="80"/>
      <c r="T361" s="81"/>
      <c r="U361" s="80"/>
      <c r="V361" s="80"/>
      <c r="W361" s="80"/>
      <c r="X361" s="80"/>
      <c r="Y361" s="81"/>
      <c r="Z361" s="80"/>
      <c r="AA361" s="80"/>
      <c r="AB361" s="80"/>
      <c r="AC361" s="80"/>
      <c r="AD361" s="81"/>
      <c r="AE361" s="80"/>
      <c r="AF361" s="80"/>
      <c r="AG361" s="81"/>
      <c r="AH361" s="79"/>
      <c r="AI361" s="78" t="str">
        <f aca="false">IF(E361="","",(V361&lt;&gt;"")+(AA361&lt;&gt;"")+(AF361&lt;&gt;""))</f>
        <v/>
      </c>
      <c r="AJ361" s="82" t="str">
        <f aca="false">IF(AF361&lt;&gt;"",AF361,IF(AA361&lt;&gt;"",AA361,IF(V361&lt;&gt;"",V361,"")))</f>
        <v/>
      </c>
      <c r="AK361" s="83" t="str">
        <f aca="false">IF(E361="","",IF(P361="","À SOUDER",IF(S361="","VT EN ATTENTE",IF(S361="R","VT REJETÉ – À REPRENDRE",IF(AJ361="","À RADIOGRAPHIER",IF(AJ361="A","ACCEPTÉ",IF(AJ361="NX","NX – RT À REFAIRE",IF(IF(AI361=1,X361,IF(AI361=2,AC361,""))="A","RÉPARÉ – À RADIOGRAPHIER",IF(IF(AI361=1,X361,IF(AI361=2,AC361,""))="R","VT REJETÉ – À REPRENDRE",IF(AJ361="CO","COUPE – À RESOUDER","À RÉPARER"))))))))))</f>
        <v/>
      </c>
      <c r="AL361" s="82" t="str">
        <f aca="false">IF(AND(ISNUMBER(P361),OR(AK361="À RADIOGRAPHIER",AK361="RÉPARÉ – À RADIOGRAPHIER",AK361="NX – RT À REFAIRE",AK361="À RÉPARER",AK361="COUPE – À RESOUDER",AK361="VT REJETÉ – À REPRENDRE")),MAX(0,'PROGRAMME RT'!$C$4-P361),"")</f>
        <v/>
      </c>
      <c r="AM361" s="78" t="n">
        <f aca="false">IF(AND(OR(AK361="À RADIOGRAPHIER",AK361="RÉPARÉ – À RADIOGRAPHIER",AK361="NX – RT À REFAIRE"),OR('PROGRAMME RT'!$D$5="TOUTES",B361='PROGRAMME RT'!$D$5)),1,0)</f>
        <v>0</v>
      </c>
      <c r="AN361" s="78" t="str">
        <f aca="false">IF(AM361=1,SUM(AM$7:AM361),"")</f>
        <v/>
      </c>
      <c r="AO361" s="78" t="n">
        <f aca="false">IF(AND(OR(AK361="À RÉPARER",AK361="COUPE – À RESOUDER",AK361="VT REJETÉ – À REPRENDRE"),OR(RÉPARATIONS!$D$5="TOUTES",B361=RÉPARATIONS!$D$5)),1,0)</f>
        <v>0</v>
      </c>
      <c r="AP361" s="78" t="str">
        <f aca="false">IF(AO361=1,SUM(AO$7:AO361),"")</f>
        <v/>
      </c>
    </row>
    <row r="362" customFormat="false" ht="15" hidden="false" customHeight="false" outlineLevel="0" collapsed="false">
      <c r="A362" s="78" t="str">
        <f aca="false">IF(E362="","",ROW()-6)</f>
        <v/>
      </c>
      <c r="B362" s="79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1"/>
      <c r="Q362" s="81"/>
      <c r="R362" s="80"/>
      <c r="S362" s="80"/>
      <c r="T362" s="81"/>
      <c r="U362" s="80"/>
      <c r="V362" s="80"/>
      <c r="W362" s="80"/>
      <c r="X362" s="80"/>
      <c r="Y362" s="81"/>
      <c r="Z362" s="80"/>
      <c r="AA362" s="80"/>
      <c r="AB362" s="80"/>
      <c r="AC362" s="80"/>
      <c r="AD362" s="81"/>
      <c r="AE362" s="80"/>
      <c r="AF362" s="80"/>
      <c r="AG362" s="81"/>
      <c r="AH362" s="79"/>
      <c r="AI362" s="78" t="str">
        <f aca="false">IF(E362="","",(V362&lt;&gt;"")+(AA362&lt;&gt;"")+(AF362&lt;&gt;""))</f>
        <v/>
      </c>
      <c r="AJ362" s="82" t="str">
        <f aca="false">IF(AF362&lt;&gt;"",AF362,IF(AA362&lt;&gt;"",AA362,IF(V362&lt;&gt;"",V362,"")))</f>
        <v/>
      </c>
      <c r="AK362" s="83" t="str">
        <f aca="false">IF(E362="","",IF(P362="","À SOUDER",IF(S362="","VT EN ATTENTE",IF(S362="R","VT REJETÉ – À REPRENDRE",IF(AJ362="","À RADIOGRAPHIER",IF(AJ362="A","ACCEPTÉ",IF(AJ362="NX","NX – RT À REFAIRE",IF(IF(AI362=1,X362,IF(AI362=2,AC362,""))="A","RÉPARÉ – À RADIOGRAPHIER",IF(IF(AI362=1,X362,IF(AI362=2,AC362,""))="R","VT REJETÉ – À REPRENDRE",IF(AJ362="CO","COUPE – À RESOUDER","À RÉPARER"))))))))))</f>
        <v/>
      </c>
      <c r="AL362" s="82" t="str">
        <f aca="false">IF(AND(ISNUMBER(P362),OR(AK362="À RADIOGRAPHIER",AK362="RÉPARÉ – À RADIOGRAPHIER",AK362="NX – RT À REFAIRE",AK362="À RÉPARER",AK362="COUPE – À RESOUDER",AK362="VT REJETÉ – À REPRENDRE")),MAX(0,'PROGRAMME RT'!$C$4-P362),"")</f>
        <v/>
      </c>
      <c r="AM362" s="78" t="n">
        <f aca="false">IF(AND(OR(AK362="À RADIOGRAPHIER",AK362="RÉPARÉ – À RADIOGRAPHIER",AK362="NX – RT À REFAIRE"),OR('PROGRAMME RT'!$D$5="TOUTES",B362='PROGRAMME RT'!$D$5)),1,0)</f>
        <v>0</v>
      </c>
      <c r="AN362" s="78" t="str">
        <f aca="false">IF(AM362=1,SUM(AM$7:AM362),"")</f>
        <v/>
      </c>
      <c r="AO362" s="78" t="n">
        <f aca="false">IF(AND(OR(AK362="À RÉPARER",AK362="COUPE – À RESOUDER",AK362="VT REJETÉ – À REPRENDRE"),OR(RÉPARATIONS!$D$5="TOUTES",B362=RÉPARATIONS!$D$5)),1,0)</f>
        <v>0</v>
      </c>
      <c r="AP362" s="78" t="str">
        <f aca="false">IF(AO362=1,SUM(AO$7:AO362),"")</f>
        <v/>
      </c>
    </row>
    <row r="363" customFormat="false" ht="15" hidden="false" customHeight="false" outlineLevel="0" collapsed="false">
      <c r="A363" s="78" t="str">
        <f aca="false">IF(E363="","",ROW()-6)</f>
        <v/>
      </c>
      <c r="B363" s="79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1"/>
      <c r="Q363" s="81"/>
      <c r="R363" s="80"/>
      <c r="S363" s="80"/>
      <c r="T363" s="81"/>
      <c r="U363" s="80"/>
      <c r="V363" s="80"/>
      <c r="W363" s="80"/>
      <c r="X363" s="80"/>
      <c r="Y363" s="81"/>
      <c r="Z363" s="80"/>
      <c r="AA363" s="80"/>
      <c r="AB363" s="80"/>
      <c r="AC363" s="80"/>
      <c r="AD363" s="81"/>
      <c r="AE363" s="80"/>
      <c r="AF363" s="80"/>
      <c r="AG363" s="81"/>
      <c r="AH363" s="79"/>
      <c r="AI363" s="78" t="str">
        <f aca="false">IF(E363="","",(V363&lt;&gt;"")+(AA363&lt;&gt;"")+(AF363&lt;&gt;""))</f>
        <v/>
      </c>
      <c r="AJ363" s="82" t="str">
        <f aca="false">IF(AF363&lt;&gt;"",AF363,IF(AA363&lt;&gt;"",AA363,IF(V363&lt;&gt;"",V363,"")))</f>
        <v/>
      </c>
      <c r="AK363" s="83" t="str">
        <f aca="false">IF(E363="","",IF(P363="","À SOUDER",IF(S363="","VT EN ATTENTE",IF(S363="R","VT REJETÉ – À REPRENDRE",IF(AJ363="","À RADIOGRAPHIER",IF(AJ363="A","ACCEPTÉ",IF(AJ363="NX","NX – RT À REFAIRE",IF(IF(AI363=1,X363,IF(AI363=2,AC363,""))="A","RÉPARÉ – À RADIOGRAPHIER",IF(IF(AI363=1,X363,IF(AI363=2,AC363,""))="R","VT REJETÉ – À REPRENDRE",IF(AJ363="CO","COUPE – À RESOUDER","À RÉPARER"))))))))))</f>
        <v/>
      </c>
      <c r="AL363" s="82" t="str">
        <f aca="false">IF(AND(ISNUMBER(P363),OR(AK363="À RADIOGRAPHIER",AK363="RÉPARÉ – À RADIOGRAPHIER",AK363="NX – RT À REFAIRE",AK363="À RÉPARER",AK363="COUPE – À RESOUDER",AK363="VT REJETÉ – À REPRENDRE")),MAX(0,'PROGRAMME RT'!$C$4-P363),"")</f>
        <v/>
      </c>
      <c r="AM363" s="78" t="n">
        <f aca="false">IF(AND(OR(AK363="À RADIOGRAPHIER",AK363="RÉPARÉ – À RADIOGRAPHIER",AK363="NX – RT À REFAIRE"),OR('PROGRAMME RT'!$D$5="TOUTES",B363='PROGRAMME RT'!$D$5)),1,0)</f>
        <v>0</v>
      </c>
      <c r="AN363" s="78" t="str">
        <f aca="false">IF(AM363=1,SUM(AM$7:AM363),"")</f>
        <v/>
      </c>
      <c r="AO363" s="78" t="n">
        <f aca="false">IF(AND(OR(AK363="À RÉPARER",AK363="COUPE – À RESOUDER",AK363="VT REJETÉ – À REPRENDRE"),OR(RÉPARATIONS!$D$5="TOUTES",B363=RÉPARATIONS!$D$5)),1,0)</f>
        <v>0</v>
      </c>
      <c r="AP363" s="78" t="str">
        <f aca="false">IF(AO363=1,SUM(AO$7:AO363),"")</f>
        <v/>
      </c>
    </row>
    <row r="364" customFormat="false" ht="15" hidden="false" customHeight="false" outlineLevel="0" collapsed="false">
      <c r="A364" s="78" t="str">
        <f aca="false">IF(E364="","",ROW()-6)</f>
        <v/>
      </c>
      <c r="B364" s="79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1"/>
      <c r="Q364" s="81"/>
      <c r="R364" s="80"/>
      <c r="S364" s="80"/>
      <c r="T364" s="81"/>
      <c r="U364" s="80"/>
      <c r="V364" s="80"/>
      <c r="W364" s="80"/>
      <c r="X364" s="80"/>
      <c r="Y364" s="81"/>
      <c r="Z364" s="80"/>
      <c r="AA364" s="80"/>
      <c r="AB364" s="80"/>
      <c r="AC364" s="80"/>
      <c r="AD364" s="81"/>
      <c r="AE364" s="80"/>
      <c r="AF364" s="80"/>
      <c r="AG364" s="81"/>
      <c r="AH364" s="79"/>
      <c r="AI364" s="78" t="str">
        <f aca="false">IF(E364="","",(V364&lt;&gt;"")+(AA364&lt;&gt;"")+(AF364&lt;&gt;""))</f>
        <v/>
      </c>
      <c r="AJ364" s="82" t="str">
        <f aca="false">IF(AF364&lt;&gt;"",AF364,IF(AA364&lt;&gt;"",AA364,IF(V364&lt;&gt;"",V364,"")))</f>
        <v/>
      </c>
      <c r="AK364" s="83" t="str">
        <f aca="false">IF(E364="","",IF(P364="","À SOUDER",IF(S364="","VT EN ATTENTE",IF(S364="R","VT REJETÉ – À REPRENDRE",IF(AJ364="","À RADIOGRAPHIER",IF(AJ364="A","ACCEPTÉ",IF(AJ364="NX","NX – RT À REFAIRE",IF(IF(AI364=1,X364,IF(AI364=2,AC364,""))="A","RÉPARÉ – À RADIOGRAPHIER",IF(IF(AI364=1,X364,IF(AI364=2,AC364,""))="R","VT REJETÉ – À REPRENDRE",IF(AJ364="CO","COUPE – À RESOUDER","À RÉPARER"))))))))))</f>
        <v/>
      </c>
      <c r="AL364" s="82" t="str">
        <f aca="false">IF(AND(ISNUMBER(P364),OR(AK364="À RADIOGRAPHIER",AK364="RÉPARÉ – À RADIOGRAPHIER",AK364="NX – RT À REFAIRE",AK364="À RÉPARER",AK364="COUPE – À RESOUDER",AK364="VT REJETÉ – À REPRENDRE")),MAX(0,'PROGRAMME RT'!$C$4-P364),"")</f>
        <v/>
      </c>
      <c r="AM364" s="78" t="n">
        <f aca="false">IF(AND(OR(AK364="À RADIOGRAPHIER",AK364="RÉPARÉ – À RADIOGRAPHIER",AK364="NX – RT À REFAIRE"),OR('PROGRAMME RT'!$D$5="TOUTES",B364='PROGRAMME RT'!$D$5)),1,0)</f>
        <v>0</v>
      </c>
      <c r="AN364" s="78" t="str">
        <f aca="false">IF(AM364=1,SUM(AM$7:AM364),"")</f>
        <v/>
      </c>
      <c r="AO364" s="78" t="n">
        <f aca="false">IF(AND(OR(AK364="À RÉPARER",AK364="COUPE – À RESOUDER",AK364="VT REJETÉ – À REPRENDRE"),OR(RÉPARATIONS!$D$5="TOUTES",B364=RÉPARATIONS!$D$5)),1,0)</f>
        <v>0</v>
      </c>
      <c r="AP364" s="78" t="str">
        <f aca="false">IF(AO364=1,SUM(AO$7:AO364),"")</f>
        <v/>
      </c>
    </row>
    <row r="365" customFormat="false" ht="15" hidden="false" customHeight="false" outlineLevel="0" collapsed="false">
      <c r="A365" s="78" t="str">
        <f aca="false">IF(E365="","",ROW()-6)</f>
        <v/>
      </c>
      <c r="B365" s="79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1"/>
      <c r="Q365" s="81"/>
      <c r="R365" s="80"/>
      <c r="S365" s="80"/>
      <c r="T365" s="81"/>
      <c r="U365" s="80"/>
      <c r="V365" s="80"/>
      <c r="W365" s="80"/>
      <c r="X365" s="80"/>
      <c r="Y365" s="81"/>
      <c r="Z365" s="80"/>
      <c r="AA365" s="80"/>
      <c r="AB365" s="80"/>
      <c r="AC365" s="80"/>
      <c r="AD365" s="81"/>
      <c r="AE365" s="80"/>
      <c r="AF365" s="80"/>
      <c r="AG365" s="81"/>
      <c r="AH365" s="79"/>
      <c r="AI365" s="78" t="str">
        <f aca="false">IF(E365="","",(V365&lt;&gt;"")+(AA365&lt;&gt;"")+(AF365&lt;&gt;""))</f>
        <v/>
      </c>
      <c r="AJ365" s="82" t="str">
        <f aca="false">IF(AF365&lt;&gt;"",AF365,IF(AA365&lt;&gt;"",AA365,IF(V365&lt;&gt;"",V365,"")))</f>
        <v/>
      </c>
      <c r="AK365" s="83" t="str">
        <f aca="false">IF(E365="","",IF(P365="","À SOUDER",IF(S365="","VT EN ATTENTE",IF(S365="R","VT REJETÉ – À REPRENDRE",IF(AJ365="","À RADIOGRAPHIER",IF(AJ365="A","ACCEPTÉ",IF(AJ365="NX","NX – RT À REFAIRE",IF(IF(AI365=1,X365,IF(AI365=2,AC365,""))="A","RÉPARÉ – À RADIOGRAPHIER",IF(IF(AI365=1,X365,IF(AI365=2,AC365,""))="R","VT REJETÉ – À REPRENDRE",IF(AJ365="CO","COUPE – À RESOUDER","À RÉPARER"))))))))))</f>
        <v/>
      </c>
      <c r="AL365" s="82" t="str">
        <f aca="false">IF(AND(ISNUMBER(P365),OR(AK365="À RADIOGRAPHIER",AK365="RÉPARÉ – À RADIOGRAPHIER",AK365="NX – RT À REFAIRE",AK365="À RÉPARER",AK365="COUPE – À RESOUDER",AK365="VT REJETÉ – À REPRENDRE")),MAX(0,'PROGRAMME RT'!$C$4-P365),"")</f>
        <v/>
      </c>
      <c r="AM365" s="78" t="n">
        <f aca="false">IF(AND(OR(AK365="À RADIOGRAPHIER",AK365="RÉPARÉ – À RADIOGRAPHIER",AK365="NX – RT À REFAIRE"),OR('PROGRAMME RT'!$D$5="TOUTES",B365='PROGRAMME RT'!$D$5)),1,0)</f>
        <v>0</v>
      </c>
      <c r="AN365" s="78" t="str">
        <f aca="false">IF(AM365=1,SUM(AM$7:AM365),"")</f>
        <v/>
      </c>
      <c r="AO365" s="78" t="n">
        <f aca="false">IF(AND(OR(AK365="À RÉPARER",AK365="COUPE – À RESOUDER",AK365="VT REJETÉ – À REPRENDRE"),OR(RÉPARATIONS!$D$5="TOUTES",B365=RÉPARATIONS!$D$5)),1,0)</f>
        <v>0</v>
      </c>
      <c r="AP365" s="78" t="str">
        <f aca="false">IF(AO365=1,SUM(AO$7:AO365),"")</f>
        <v/>
      </c>
    </row>
    <row r="366" customFormat="false" ht="15" hidden="false" customHeight="false" outlineLevel="0" collapsed="false">
      <c r="A366" s="78" t="str">
        <f aca="false">IF(E366="","",ROW()-6)</f>
        <v/>
      </c>
      <c r="B366" s="79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1"/>
      <c r="Q366" s="81"/>
      <c r="R366" s="80"/>
      <c r="S366" s="80"/>
      <c r="T366" s="81"/>
      <c r="U366" s="80"/>
      <c r="V366" s="80"/>
      <c r="W366" s="80"/>
      <c r="X366" s="80"/>
      <c r="Y366" s="81"/>
      <c r="Z366" s="80"/>
      <c r="AA366" s="80"/>
      <c r="AB366" s="80"/>
      <c r="AC366" s="80"/>
      <c r="AD366" s="81"/>
      <c r="AE366" s="80"/>
      <c r="AF366" s="80"/>
      <c r="AG366" s="81"/>
      <c r="AH366" s="79"/>
      <c r="AI366" s="78" t="str">
        <f aca="false">IF(E366="","",(V366&lt;&gt;"")+(AA366&lt;&gt;"")+(AF366&lt;&gt;""))</f>
        <v/>
      </c>
      <c r="AJ366" s="82" t="str">
        <f aca="false">IF(AF366&lt;&gt;"",AF366,IF(AA366&lt;&gt;"",AA366,IF(V366&lt;&gt;"",V366,"")))</f>
        <v/>
      </c>
      <c r="AK366" s="83" t="str">
        <f aca="false">IF(E366="","",IF(P366="","À SOUDER",IF(S366="","VT EN ATTENTE",IF(S366="R","VT REJETÉ – À REPRENDRE",IF(AJ366="","À RADIOGRAPHIER",IF(AJ366="A","ACCEPTÉ",IF(AJ366="NX","NX – RT À REFAIRE",IF(IF(AI366=1,X366,IF(AI366=2,AC366,""))="A","RÉPARÉ – À RADIOGRAPHIER",IF(IF(AI366=1,X366,IF(AI366=2,AC366,""))="R","VT REJETÉ – À REPRENDRE",IF(AJ366="CO","COUPE – À RESOUDER","À RÉPARER"))))))))))</f>
        <v/>
      </c>
      <c r="AL366" s="82" t="str">
        <f aca="false">IF(AND(ISNUMBER(P366),OR(AK366="À RADIOGRAPHIER",AK366="RÉPARÉ – À RADIOGRAPHIER",AK366="NX – RT À REFAIRE",AK366="À RÉPARER",AK366="COUPE – À RESOUDER",AK366="VT REJETÉ – À REPRENDRE")),MAX(0,'PROGRAMME RT'!$C$4-P366),"")</f>
        <v/>
      </c>
      <c r="AM366" s="78" t="n">
        <f aca="false">IF(AND(OR(AK366="À RADIOGRAPHIER",AK366="RÉPARÉ – À RADIOGRAPHIER",AK366="NX – RT À REFAIRE"),OR('PROGRAMME RT'!$D$5="TOUTES",B366='PROGRAMME RT'!$D$5)),1,0)</f>
        <v>0</v>
      </c>
      <c r="AN366" s="78" t="str">
        <f aca="false">IF(AM366=1,SUM(AM$7:AM366),"")</f>
        <v/>
      </c>
      <c r="AO366" s="78" t="n">
        <f aca="false">IF(AND(OR(AK366="À RÉPARER",AK366="COUPE – À RESOUDER",AK366="VT REJETÉ – À REPRENDRE"),OR(RÉPARATIONS!$D$5="TOUTES",B366=RÉPARATIONS!$D$5)),1,0)</f>
        <v>0</v>
      </c>
      <c r="AP366" s="78" t="str">
        <f aca="false">IF(AO366=1,SUM(AO$7:AO366),"")</f>
        <v/>
      </c>
    </row>
    <row r="367" customFormat="false" ht="15" hidden="false" customHeight="false" outlineLevel="0" collapsed="false">
      <c r="A367" s="78" t="str">
        <f aca="false">IF(E367="","",ROW()-6)</f>
        <v/>
      </c>
      <c r="B367" s="79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1"/>
      <c r="Q367" s="81"/>
      <c r="R367" s="80"/>
      <c r="S367" s="80"/>
      <c r="T367" s="81"/>
      <c r="U367" s="80"/>
      <c r="V367" s="80"/>
      <c r="W367" s="80"/>
      <c r="X367" s="80"/>
      <c r="Y367" s="81"/>
      <c r="Z367" s="80"/>
      <c r="AA367" s="80"/>
      <c r="AB367" s="80"/>
      <c r="AC367" s="80"/>
      <c r="AD367" s="81"/>
      <c r="AE367" s="80"/>
      <c r="AF367" s="80"/>
      <c r="AG367" s="81"/>
      <c r="AH367" s="79"/>
      <c r="AI367" s="78" t="str">
        <f aca="false">IF(E367="","",(V367&lt;&gt;"")+(AA367&lt;&gt;"")+(AF367&lt;&gt;""))</f>
        <v/>
      </c>
      <c r="AJ367" s="82" t="str">
        <f aca="false">IF(AF367&lt;&gt;"",AF367,IF(AA367&lt;&gt;"",AA367,IF(V367&lt;&gt;"",V367,"")))</f>
        <v/>
      </c>
      <c r="AK367" s="83" t="str">
        <f aca="false">IF(E367="","",IF(P367="","À SOUDER",IF(S367="","VT EN ATTENTE",IF(S367="R","VT REJETÉ – À REPRENDRE",IF(AJ367="","À RADIOGRAPHIER",IF(AJ367="A","ACCEPTÉ",IF(AJ367="NX","NX – RT À REFAIRE",IF(IF(AI367=1,X367,IF(AI367=2,AC367,""))="A","RÉPARÉ – À RADIOGRAPHIER",IF(IF(AI367=1,X367,IF(AI367=2,AC367,""))="R","VT REJETÉ – À REPRENDRE",IF(AJ367="CO","COUPE – À RESOUDER","À RÉPARER"))))))))))</f>
        <v/>
      </c>
      <c r="AL367" s="82" t="str">
        <f aca="false">IF(AND(ISNUMBER(P367),OR(AK367="À RADIOGRAPHIER",AK367="RÉPARÉ – À RADIOGRAPHIER",AK367="NX – RT À REFAIRE",AK367="À RÉPARER",AK367="COUPE – À RESOUDER",AK367="VT REJETÉ – À REPRENDRE")),MAX(0,'PROGRAMME RT'!$C$4-P367),"")</f>
        <v/>
      </c>
      <c r="AM367" s="78" t="n">
        <f aca="false">IF(AND(OR(AK367="À RADIOGRAPHIER",AK367="RÉPARÉ – À RADIOGRAPHIER",AK367="NX – RT À REFAIRE"),OR('PROGRAMME RT'!$D$5="TOUTES",B367='PROGRAMME RT'!$D$5)),1,0)</f>
        <v>0</v>
      </c>
      <c r="AN367" s="78" t="str">
        <f aca="false">IF(AM367=1,SUM(AM$7:AM367),"")</f>
        <v/>
      </c>
      <c r="AO367" s="78" t="n">
        <f aca="false">IF(AND(OR(AK367="À RÉPARER",AK367="COUPE – À RESOUDER",AK367="VT REJETÉ – À REPRENDRE"),OR(RÉPARATIONS!$D$5="TOUTES",B367=RÉPARATIONS!$D$5)),1,0)</f>
        <v>0</v>
      </c>
      <c r="AP367" s="78" t="str">
        <f aca="false">IF(AO367=1,SUM(AO$7:AO367),"")</f>
        <v/>
      </c>
    </row>
    <row r="368" customFormat="false" ht="15" hidden="false" customHeight="false" outlineLevel="0" collapsed="false">
      <c r="A368" s="78" t="str">
        <f aca="false">IF(E368="","",ROW()-6)</f>
        <v/>
      </c>
      <c r="B368" s="79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1"/>
      <c r="Q368" s="81"/>
      <c r="R368" s="80"/>
      <c r="S368" s="80"/>
      <c r="T368" s="81"/>
      <c r="U368" s="80"/>
      <c r="V368" s="80"/>
      <c r="W368" s="80"/>
      <c r="X368" s="80"/>
      <c r="Y368" s="81"/>
      <c r="Z368" s="80"/>
      <c r="AA368" s="80"/>
      <c r="AB368" s="80"/>
      <c r="AC368" s="80"/>
      <c r="AD368" s="81"/>
      <c r="AE368" s="80"/>
      <c r="AF368" s="80"/>
      <c r="AG368" s="81"/>
      <c r="AH368" s="79"/>
      <c r="AI368" s="78" t="str">
        <f aca="false">IF(E368="","",(V368&lt;&gt;"")+(AA368&lt;&gt;"")+(AF368&lt;&gt;""))</f>
        <v/>
      </c>
      <c r="AJ368" s="82" t="str">
        <f aca="false">IF(AF368&lt;&gt;"",AF368,IF(AA368&lt;&gt;"",AA368,IF(V368&lt;&gt;"",V368,"")))</f>
        <v/>
      </c>
      <c r="AK368" s="83" t="str">
        <f aca="false">IF(E368="","",IF(P368="","À SOUDER",IF(S368="","VT EN ATTENTE",IF(S368="R","VT REJETÉ – À REPRENDRE",IF(AJ368="","À RADIOGRAPHIER",IF(AJ368="A","ACCEPTÉ",IF(AJ368="NX","NX – RT À REFAIRE",IF(IF(AI368=1,X368,IF(AI368=2,AC368,""))="A","RÉPARÉ – À RADIOGRAPHIER",IF(IF(AI368=1,X368,IF(AI368=2,AC368,""))="R","VT REJETÉ – À REPRENDRE",IF(AJ368="CO","COUPE – À RESOUDER","À RÉPARER"))))))))))</f>
        <v/>
      </c>
      <c r="AL368" s="82" t="str">
        <f aca="false">IF(AND(ISNUMBER(P368),OR(AK368="À RADIOGRAPHIER",AK368="RÉPARÉ – À RADIOGRAPHIER",AK368="NX – RT À REFAIRE",AK368="À RÉPARER",AK368="COUPE – À RESOUDER",AK368="VT REJETÉ – À REPRENDRE")),MAX(0,'PROGRAMME RT'!$C$4-P368),"")</f>
        <v/>
      </c>
      <c r="AM368" s="78" t="n">
        <f aca="false">IF(AND(OR(AK368="À RADIOGRAPHIER",AK368="RÉPARÉ – À RADIOGRAPHIER",AK368="NX – RT À REFAIRE"),OR('PROGRAMME RT'!$D$5="TOUTES",B368='PROGRAMME RT'!$D$5)),1,0)</f>
        <v>0</v>
      </c>
      <c r="AN368" s="78" t="str">
        <f aca="false">IF(AM368=1,SUM(AM$7:AM368),"")</f>
        <v/>
      </c>
      <c r="AO368" s="78" t="n">
        <f aca="false">IF(AND(OR(AK368="À RÉPARER",AK368="COUPE – À RESOUDER",AK368="VT REJETÉ – À REPRENDRE"),OR(RÉPARATIONS!$D$5="TOUTES",B368=RÉPARATIONS!$D$5)),1,0)</f>
        <v>0</v>
      </c>
      <c r="AP368" s="78" t="str">
        <f aca="false">IF(AO368=1,SUM(AO$7:AO368),"")</f>
        <v/>
      </c>
    </row>
    <row r="369" customFormat="false" ht="15" hidden="false" customHeight="false" outlineLevel="0" collapsed="false">
      <c r="A369" s="78" t="str">
        <f aca="false">IF(E369="","",ROW()-6)</f>
        <v/>
      </c>
      <c r="B369" s="79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1"/>
      <c r="Q369" s="81"/>
      <c r="R369" s="80"/>
      <c r="S369" s="80"/>
      <c r="T369" s="81"/>
      <c r="U369" s="80"/>
      <c r="V369" s="80"/>
      <c r="W369" s="80"/>
      <c r="X369" s="80"/>
      <c r="Y369" s="81"/>
      <c r="Z369" s="80"/>
      <c r="AA369" s="80"/>
      <c r="AB369" s="80"/>
      <c r="AC369" s="80"/>
      <c r="AD369" s="81"/>
      <c r="AE369" s="80"/>
      <c r="AF369" s="80"/>
      <c r="AG369" s="81"/>
      <c r="AH369" s="79"/>
      <c r="AI369" s="78" t="str">
        <f aca="false">IF(E369="","",(V369&lt;&gt;"")+(AA369&lt;&gt;"")+(AF369&lt;&gt;""))</f>
        <v/>
      </c>
      <c r="AJ369" s="82" t="str">
        <f aca="false">IF(AF369&lt;&gt;"",AF369,IF(AA369&lt;&gt;"",AA369,IF(V369&lt;&gt;"",V369,"")))</f>
        <v/>
      </c>
      <c r="AK369" s="83" t="str">
        <f aca="false">IF(E369="","",IF(P369="","À SOUDER",IF(S369="","VT EN ATTENTE",IF(S369="R","VT REJETÉ – À REPRENDRE",IF(AJ369="","À RADIOGRAPHIER",IF(AJ369="A","ACCEPTÉ",IF(AJ369="NX","NX – RT À REFAIRE",IF(IF(AI369=1,X369,IF(AI369=2,AC369,""))="A","RÉPARÉ – À RADIOGRAPHIER",IF(IF(AI369=1,X369,IF(AI369=2,AC369,""))="R","VT REJETÉ – À REPRENDRE",IF(AJ369="CO","COUPE – À RESOUDER","À RÉPARER"))))))))))</f>
        <v/>
      </c>
      <c r="AL369" s="82" t="str">
        <f aca="false">IF(AND(ISNUMBER(P369),OR(AK369="À RADIOGRAPHIER",AK369="RÉPARÉ – À RADIOGRAPHIER",AK369="NX – RT À REFAIRE",AK369="À RÉPARER",AK369="COUPE – À RESOUDER",AK369="VT REJETÉ – À REPRENDRE")),MAX(0,'PROGRAMME RT'!$C$4-P369),"")</f>
        <v/>
      </c>
      <c r="AM369" s="78" t="n">
        <f aca="false">IF(AND(OR(AK369="À RADIOGRAPHIER",AK369="RÉPARÉ – À RADIOGRAPHIER",AK369="NX – RT À REFAIRE"),OR('PROGRAMME RT'!$D$5="TOUTES",B369='PROGRAMME RT'!$D$5)),1,0)</f>
        <v>0</v>
      </c>
      <c r="AN369" s="78" t="str">
        <f aca="false">IF(AM369=1,SUM(AM$7:AM369),"")</f>
        <v/>
      </c>
      <c r="AO369" s="78" t="n">
        <f aca="false">IF(AND(OR(AK369="À RÉPARER",AK369="COUPE – À RESOUDER",AK369="VT REJETÉ – À REPRENDRE"),OR(RÉPARATIONS!$D$5="TOUTES",B369=RÉPARATIONS!$D$5)),1,0)</f>
        <v>0</v>
      </c>
      <c r="AP369" s="78" t="str">
        <f aca="false">IF(AO369=1,SUM(AO$7:AO369),"")</f>
        <v/>
      </c>
    </row>
    <row r="370" customFormat="false" ht="15" hidden="false" customHeight="false" outlineLevel="0" collapsed="false">
      <c r="A370" s="78" t="str">
        <f aca="false">IF(E370="","",ROW()-6)</f>
        <v/>
      </c>
      <c r="B370" s="79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1"/>
      <c r="Q370" s="81"/>
      <c r="R370" s="80"/>
      <c r="S370" s="80"/>
      <c r="T370" s="81"/>
      <c r="U370" s="80"/>
      <c r="V370" s="80"/>
      <c r="W370" s="80"/>
      <c r="X370" s="80"/>
      <c r="Y370" s="81"/>
      <c r="Z370" s="80"/>
      <c r="AA370" s="80"/>
      <c r="AB370" s="80"/>
      <c r="AC370" s="80"/>
      <c r="AD370" s="81"/>
      <c r="AE370" s="80"/>
      <c r="AF370" s="80"/>
      <c r="AG370" s="81"/>
      <c r="AH370" s="79"/>
      <c r="AI370" s="78" t="str">
        <f aca="false">IF(E370="","",(V370&lt;&gt;"")+(AA370&lt;&gt;"")+(AF370&lt;&gt;""))</f>
        <v/>
      </c>
      <c r="AJ370" s="82" t="str">
        <f aca="false">IF(AF370&lt;&gt;"",AF370,IF(AA370&lt;&gt;"",AA370,IF(V370&lt;&gt;"",V370,"")))</f>
        <v/>
      </c>
      <c r="AK370" s="83" t="str">
        <f aca="false">IF(E370="","",IF(P370="","À SOUDER",IF(S370="","VT EN ATTENTE",IF(S370="R","VT REJETÉ – À REPRENDRE",IF(AJ370="","À RADIOGRAPHIER",IF(AJ370="A","ACCEPTÉ",IF(AJ370="NX","NX – RT À REFAIRE",IF(IF(AI370=1,X370,IF(AI370=2,AC370,""))="A","RÉPARÉ – À RADIOGRAPHIER",IF(IF(AI370=1,X370,IF(AI370=2,AC370,""))="R","VT REJETÉ – À REPRENDRE",IF(AJ370="CO","COUPE – À RESOUDER","À RÉPARER"))))))))))</f>
        <v/>
      </c>
      <c r="AL370" s="82" t="str">
        <f aca="false">IF(AND(ISNUMBER(P370),OR(AK370="À RADIOGRAPHIER",AK370="RÉPARÉ – À RADIOGRAPHIER",AK370="NX – RT À REFAIRE",AK370="À RÉPARER",AK370="COUPE – À RESOUDER",AK370="VT REJETÉ – À REPRENDRE")),MAX(0,'PROGRAMME RT'!$C$4-P370),"")</f>
        <v/>
      </c>
      <c r="AM370" s="78" t="n">
        <f aca="false">IF(AND(OR(AK370="À RADIOGRAPHIER",AK370="RÉPARÉ – À RADIOGRAPHIER",AK370="NX – RT À REFAIRE"),OR('PROGRAMME RT'!$D$5="TOUTES",B370='PROGRAMME RT'!$D$5)),1,0)</f>
        <v>0</v>
      </c>
      <c r="AN370" s="78" t="str">
        <f aca="false">IF(AM370=1,SUM(AM$7:AM370),"")</f>
        <v/>
      </c>
      <c r="AO370" s="78" t="n">
        <f aca="false">IF(AND(OR(AK370="À RÉPARER",AK370="COUPE – À RESOUDER",AK370="VT REJETÉ – À REPRENDRE"),OR(RÉPARATIONS!$D$5="TOUTES",B370=RÉPARATIONS!$D$5)),1,0)</f>
        <v>0</v>
      </c>
      <c r="AP370" s="78" t="str">
        <f aca="false">IF(AO370=1,SUM(AO$7:AO370),"")</f>
        <v/>
      </c>
    </row>
    <row r="371" customFormat="false" ht="15" hidden="false" customHeight="false" outlineLevel="0" collapsed="false">
      <c r="A371" s="78" t="str">
        <f aca="false">IF(E371="","",ROW()-6)</f>
        <v/>
      </c>
      <c r="B371" s="79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1"/>
      <c r="Q371" s="81"/>
      <c r="R371" s="80"/>
      <c r="S371" s="80"/>
      <c r="T371" s="81"/>
      <c r="U371" s="80"/>
      <c r="V371" s="80"/>
      <c r="W371" s="80"/>
      <c r="X371" s="80"/>
      <c r="Y371" s="81"/>
      <c r="Z371" s="80"/>
      <c r="AA371" s="80"/>
      <c r="AB371" s="80"/>
      <c r="AC371" s="80"/>
      <c r="AD371" s="81"/>
      <c r="AE371" s="80"/>
      <c r="AF371" s="80"/>
      <c r="AG371" s="81"/>
      <c r="AH371" s="79"/>
      <c r="AI371" s="78" t="str">
        <f aca="false">IF(E371="","",(V371&lt;&gt;"")+(AA371&lt;&gt;"")+(AF371&lt;&gt;""))</f>
        <v/>
      </c>
      <c r="AJ371" s="82" t="str">
        <f aca="false">IF(AF371&lt;&gt;"",AF371,IF(AA371&lt;&gt;"",AA371,IF(V371&lt;&gt;"",V371,"")))</f>
        <v/>
      </c>
      <c r="AK371" s="83" t="str">
        <f aca="false">IF(E371="","",IF(P371="","À SOUDER",IF(S371="","VT EN ATTENTE",IF(S371="R","VT REJETÉ – À REPRENDRE",IF(AJ371="","À RADIOGRAPHIER",IF(AJ371="A","ACCEPTÉ",IF(AJ371="NX","NX – RT À REFAIRE",IF(IF(AI371=1,X371,IF(AI371=2,AC371,""))="A","RÉPARÉ – À RADIOGRAPHIER",IF(IF(AI371=1,X371,IF(AI371=2,AC371,""))="R","VT REJETÉ – À REPRENDRE",IF(AJ371="CO","COUPE – À RESOUDER","À RÉPARER"))))))))))</f>
        <v/>
      </c>
      <c r="AL371" s="82" t="str">
        <f aca="false">IF(AND(ISNUMBER(P371),OR(AK371="À RADIOGRAPHIER",AK371="RÉPARÉ – À RADIOGRAPHIER",AK371="NX – RT À REFAIRE",AK371="À RÉPARER",AK371="COUPE – À RESOUDER",AK371="VT REJETÉ – À REPRENDRE")),MAX(0,'PROGRAMME RT'!$C$4-P371),"")</f>
        <v/>
      </c>
      <c r="AM371" s="78" t="n">
        <f aca="false">IF(AND(OR(AK371="À RADIOGRAPHIER",AK371="RÉPARÉ – À RADIOGRAPHIER",AK371="NX – RT À REFAIRE"),OR('PROGRAMME RT'!$D$5="TOUTES",B371='PROGRAMME RT'!$D$5)),1,0)</f>
        <v>0</v>
      </c>
      <c r="AN371" s="78" t="str">
        <f aca="false">IF(AM371=1,SUM(AM$7:AM371),"")</f>
        <v/>
      </c>
      <c r="AO371" s="78" t="n">
        <f aca="false">IF(AND(OR(AK371="À RÉPARER",AK371="COUPE – À RESOUDER",AK371="VT REJETÉ – À REPRENDRE"),OR(RÉPARATIONS!$D$5="TOUTES",B371=RÉPARATIONS!$D$5)),1,0)</f>
        <v>0</v>
      </c>
      <c r="AP371" s="78" t="str">
        <f aca="false">IF(AO371=1,SUM(AO$7:AO371),"")</f>
        <v/>
      </c>
    </row>
    <row r="372" customFormat="false" ht="15" hidden="false" customHeight="false" outlineLevel="0" collapsed="false">
      <c r="A372" s="78" t="str">
        <f aca="false">IF(E372="","",ROW()-6)</f>
        <v/>
      </c>
      <c r="B372" s="79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1"/>
      <c r="Q372" s="81"/>
      <c r="R372" s="80"/>
      <c r="S372" s="80"/>
      <c r="T372" s="81"/>
      <c r="U372" s="80"/>
      <c r="V372" s="80"/>
      <c r="W372" s="80"/>
      <c r="X372" s="80"/>
      <c r="Y372" s="81"/>
      <c r="Z372" s="80"/>
      <c r="AA372" s="80"/>
      <c r="AB372" s="80"/>
      <c r="AC372" s="80"/>
      <c r="AD372" s="81"/>
      <c r="AE372" s="80"/>
      <c r="AF372" s="80"/>
      <c r="AG372" s="81"/>
      <c r="AH372" s="79"/>
      <c r="AI372" s="78" t="str">
        <f aca="false">IF(E372="","",(V372&lt;&gt;"")+(AA372&lt;&gt;"")+(AF372&lt;&gt;""))</f>
        <v/>
      </c>
      <c r="AJ372" s="82" t="str">
        <f aca="false">IF(AF372&lt;&gt;"",AF372,IF(AA372&lt;&gt;"",AA372,IF(V372&lt;&gt;"",V372,"")))</f>
        <v/>
      </c>
      <c r="AK372" s="83" t="str">
        <f aca="false">IF(E372="","",IF(P372="","À SOUDER",IF(S372="","VT EN ATTENTE",IF(S372="R","VT REJETÉ – À REPRENDRE",IF(AJ372="","À RADIOGRAPHIER",IF(AJ372="A","ACCEPTÉ",IF(AJ372="NX","NX – RT À REFAIRE",IF(IF(AI372=1,X372,IF(AI372=2,AC372,""))="A","RÉPARÉ – À RADIOGRAPHIER",IF(IF(AI372=1,X372,IF(AI372=2,AC372,""))="R","VT REJETÉ – À REPRENDRE",IF(AJ372="CO","COUPE – À RESOUDER","À RÉPARER"))))))))))</f>
        <v/>
      </c>
      <c r="AL372" s="82" t="str">
        <f aca="false">IF(AND(ISNUMBER(P372),OR(AK372="À RADIOGRAPHIER",AK372="RÉPARÉ – À RADIOGRAPHIER",AK372="NX – RT À REFAIRE",AK372="À RÉPARER",AK372="COUPE – À RESOUDER",AK372="VT REJETÉ – À REPRENDRE")),MAX(0,'PROGRAMME RT'!$C$4-P372),"")</f>
        <v/>
      </c>
      <c r="AM372" s="78" t="n">
        <f aca="false">IF(AND(OR(AK372="À RADIOGRAPHIER",AK372="RÉPARÉ – À RADIOGRAPHIER",AK372="NX – RT À REFAIRE"),OR('PROGRAMME RT'!$D$5="TOUTES",B372='PROGRAMME RT'!$D$5)),1,0)</f>
        <v>0</v>
      </c>
      <c r="AN372" s="78" t="str">
        <f aca="false">IF(AM372=1,SUM(AM$7:AM372),"")</f>
        <v/>
      </c>
      <c r="AO372" s="78" t="n">
        <f aca="false">IF(AND(OR(AK372="À RÉPARER",AK372="COUPE – À RESOUDER",AK372="VT REJETÉ – À REPRENDRE"),OR(RÉPARATIONS!$D$5="TOUTES",B372=RÉPARATIONS!$D$5)),1,0)</f>
        <v>0</v>
      </c>
      <c r="AP372" s="78" t="str">
        <f aca="false">IF(AO372=1,SUM(AO$7:AO372),"")</f>
        <v/>
      </c>
    </row>
    <row r="373" customFormat="false" ht="15" hidden="false" customHeight="false" outlineLevel="0" collapsed="false">
      <c r="A373" s="78" t="str">
        <f aca="false">IF(E373="","",ROW()-6)</f>
        <v/>
      </c>
      <c r="B373" s="79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1"/>
      <c r="Q373" s="81"/>
      <c r="R373" s="80"/>
      <c r="S373" s="80"/>
      <c r="T373" s="81"/>
      <c r="U373" s="80"/>
      <c r="V373" s="80"/>
      <c r="W373" s="80"/>
      <c r="X373" s="80"/>
      <c r="Y373" s="81"/>
      <c r="Z373" s="80"/>
      <c r="AA373" s="80"/>
      <c r="AB373" s="80"/>
      <c r="AC373" s="80"/>
      <c r="AD373" s="81"/>
      <c r="AE373" s="80"/>
      <c r="AF373" s="80"/>
      <c r="AG373" s="81"/>
      <c r="AH373" s="79"/>
      <c r="AI373" s="78" t="str">
        <f aca="false">IF(E373="","",(V373&lt;&gt;"")+(AA373&lt;&gt;"")+(AF373&lt;&gt;""))</f>
        <v/>
      </c>
      <c r="AJ373" s="82" t="str">
        <f aca="false">IF(AF373&lt;&gt;"",AF373,IF(AA373&lt;&gt;"",AA373,IF(V373&lt;&gt;"",V373,"")))</f>
        <v/>
      </c>
      <c r="AK373" s="83" t="str">
        <f aca="false">IF(E373="","",IF(P373="","À SOUDER",IF(S373="","VT EN ATTENTE",IF(S373="R","VT REJETÉ – À REPRENDRE",IF(AJ373="","À RADIOGRAPHIER",IF(AJ373="A","ACCEPTÉ",IF(AJ373="NX","NX – RT À REFAIRE",IF(IF(AI373=1,X373,IF(AI373=2,AC373,""))="A","RÉPARÉ – À RADIOGRAPHIER",IF(IF(AI373=1,X373,IF(AI373=2,AC373,""))="R","VT REJETÉ – À REPRENDRE",IF(AJ373="CO","COUPE – À RESOUDER","À RÉPARER"))))))))))</f>
        <v/>
      </c>
      <c r="AL373" s="82" t="str">
        <f aca="false">IF(AND(ISNUMBER(P373),OR(AK373="À RADIOGRAPHIER",AK373="RÉPARÉ – À RADIOGRAPHIER",AK373="NX – RT À REFAIRE",AK373="À RÉPARER",AK373="COUPE – À RESOUDER",AK373="VT REJETÉ – À REPRENDRE")),MAX(0,'PROGRAMME RT'!$C$4-P373),"")</f>
        <v/>
      </c>
      <c r="AM373" s="78" t="n">
        <f aca="false">IF(AND(OR(AK373="À RADIOGRAPHIER",AK373="RÉPARÉ – À RADIOGRAPHIER",AK373="NX – RT À REFAIRE"),OR('PROGRAMME RT'!$D$5="TOUTES",B373='PROGRAMME RT'!$D$5)),1,0)</f>
        <v>0</v>
      </c>
      <c r="AN373" s="78" t="str">
        <f aca="false">IF(AM373=1,SUM(AM$7:AM373),"")</f>
        <v/>
      </c>
      <c r="AO373" s="78" t="n">
        <f aca="false">IF(AND(OR(AK373="À RÉPARER",AK373="COUPE – À RESOUDER",AK373="VT REJETÉ – À REPRENDRE"),OR(RÉPARATIONS!$D$5="TOUTES",B373=RÉPARATIONS!$D$5)),1,0)</f>
        <v>0</v>
      </c>
      <c r="AP373" s="78" t="str">
        <f aca="false">IF(AO373=1,SUM(AO$7:AO373),"")</f>
        <v/>
      </c>
    </row>
    <row r="374" customFormat="false" ht="15" hidden="false" customHeight="false" outlineLevel="0" collapsed="false">
      <c r="A374" s="78" t="str">
        <f aca="false">IF(E374="","",ROW()-6)</f>
        <v/>
      </c>
      <c r="B374" s="79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1"/>
      <c r="Q374" s="81"/>
      <c r="R374" s="80"/>
      <c r="S374" s="80"/>
      <c r="T374" s="81"/>
      <c r="U374" s="80"/>
      <c r="V374" s="80"/>
      <c r="W374" s="80"/>
      <c r="X374" s="80"/>
      <c r="Y374" s="81"/>
      <c r="Z374" s="80"/>
      <c r="AA374" s="80"/>
      <c r="AB374" s="80"/>
      <c r="AC374" s="80"/>
      <c r="AD374" s="81"/>
      <c r="AE374" s="80"/>
      <c r="AF374" s="80"/>
      <c r="AG374" s="81"/>
      <c r="AH374" s="79"/>
      <c r="AI374" s="78" t="str">
        <f aca="false">IF(E374="","",(V374&lt;&gt;"")+(AA374&lt;&gt;"")+(AF374&lt;&gt;""))</f>
        <v/>
      </c>
      <c r="AJ374" s="82" t="str">
        <f aca="false">IF(AF374&lt;&gt;"",AF374,IF(AA374&lt;&gt;"",AA374,IF(V374&lt;&gt;"",V374,"")))</f>
        <v/>
      </c>
      <c r="AK374" s="83" t="str">
        <f aca="false">IF(E374="","",IF(P374="","À SOUDER",IF(S374="","VT EN ATTENTE",IF(S374="R","VT REJETÉ – À REPRENDRE",IF(AJ374="","À RADIOGRAPHIER",IF(AJ374="A","ACCEPTÉ",IF(AJ374="NX","NX – RT À REFAIRE",IF(IF(AI374=1,X374,IF(AI374=2,AC374,""))="A","RÉPARÉ – À RADIOGRAPHIER",IF(IF(AI374=1,X374,IF(AI374=2,AC374,""))="R","VT REJETÉ – À REPRENDRE",IF(AJ374="CO","COUPE – À RESOUDER","À RÉPARER"))))))))))</f>
        <v/>
      </c>
      <c r="AL374" s="82" t="str">
        <f aca="false">IF(AND(ISNUMBER(P374),OR(AK374="À RADIOGRAPHIER",AK374="RÉPARÉ – À RADIOGRAPHIER",AK374="NX – RT À REFAIRE",AK374="À RÉPARER",AK374="COUPE – À RESOUDER",AK374="VT REJETÉ – À REPRENDRE")),MAX(0,'PROGRAMME RT'!$C$4-P374),"")</f>
        <v/>
      </c>
      <c r="AM374" s="78" t="n">
        <f aca="false">IF(AND(OR(AK374="À RADIOGRAPHIER",AK374="RÉPARÉ – À RADIOGRAPHIER",AK374="NX – RT À REFAIRE"),OR('PROGRAMME RT'!$D$5="TOUTES",B374='PROGRAMME RT'!$D$5)),1,0)</f>
        <v>0</v>
      </c>
      <c r="AN374" s="78" t="str">
        <f aca="false">IF(AM374=1,SUM(AM$7:AM374),"")</f>
        <v/>
      </c>
      <c r="AO374" s="78" t="n">
        <f aca="false">IF(AND(OR(AK374="À RÉPARER",AK374="COUPE – À RESOUDER",AK374="VT REJETÉ – À REPRENDRE"),OR(RÉPARATIONS!$D$5="TOUTES",B374=RÉPARATIONS!$D$5)),1,0)</f>
        <v>0</v>
      </c>
      <c r="AP374" s="78" t="str">
        <f aca="false">IF(AO374=1,SUM(AO$7:AO374),"")</f>
        <v/>
      </c>
    </row>
    <row r="375" customFormat="false" ht="15" hidden="false" customHeight="false" outlineLevel="0" collapsed="false">
      <c r="A375" s="78" t="str">
        <f aca="false">IF(E375="","",ROW()-6)</f>
        <v/>
      </c>
      <c r="B375" s="79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1"/>
      <c r="Q375" s="81"/>
      <c r="R375" s="80"/>
      <c r="S375" s="80"/>
      <c r="T375" s="81"/>
      <c r="U375" s="80"/>
      <c r="V375" s="80"/>
      <c r="W375" s="80"/>
      <c r="X375" s="80"/>
      <c r="Y375" s="81"/>
      <c r="Z375" s="80"/>
      <c r="AA375" s="80"/>
      <c r="AB375" s="80"/>
      <c r="AC375" s="80"/>
      <c r="AD375" s="81"/>
      <c r="AE375" s="80"/>
      <c r="AF375" s="80"/>
      <c r="AG375" s="81"/>
      <c r="AH375" s="79"/>
      <c r="AI375" s="78" t="str">
        <f aca="false">IF(E375="","",(V375&lt;&gt;"")+(AA375&lt;&gt;"")+(AF375&lt;&gt;""))</f>
        <v/>
      </c>
      <c r="AJ375" s="82" t="str">
        <f aca="false">IF(AF375&lt;&gt;"",AF375,IF(AA375&lt;&gt;"",AA375,IF(V375&lt;&gt;"",V375,"")))</f>
        <v/>
      </c>
      <c r="AK375" s="83" t="str">
        <f aca="false">IF(E375="","",IF(P375="","À SOUDER",IF(S375="","VT EN ATTENTE",IF(S375="R","VT REJETÉ – À REPRENDRE",IF(AJ375="","À RADIOGRAPHIER",IF(AJ375="A","ACCEPTÉ",IF(AJ375="NX","NX – RT À REFAIRE",IF(IF(AI375=1,X375,IF(AI375=2,AC375,""))="A","RÉPARÉ – À RADIOGRAPHIER",IF(IF(AI375=1,X375,IF(AI375=2,AC375,""))="R","VT REJETÉ – À REPRENDRE",IF(AJ375="CO","COUPE – À RESOUDER","À RÉPARER"))))))))))</f>
        <v/>
      </c>
      <c r="AL375" s="82" t="str">
        <f aca="false">IF(AND(ISNUMBER(P375),OR(AK375="À RADIOGRAPHIER",AK375="RÉPARÉ – À RADIOGRAPHIER",AK375="NX – RT À REFAIRE",AK375="À RÉPARER",AK375="COUPE – À RESOUDER",AK375="VT REJETÉ – À REPRENDRE")),MAX(0,'PROGRAMME RT'!$C$4-P375),"")</f>
        <v/>
      </c>
      <c r="AM375" s="78" t="n">
        <f aca="false">IF(AND(OR(AK375="À RADIOGRAPHIER",AK375="RÉPARÉ – À RADIOGRAPHIER",AK375="NX – RT À REFAIRE"),OR('PROGRAMME RT'!$D$5="TOUTES",B375='PROGRAMME RT'!$D$5)),1,0)</f>
        <v>0</v>
      </c>
      <c r="AN375" s="78" t="str">
        <f aca="false">IF(AM375=1,SUM(AM$7:AM375),"")</f>
        <v/>
      </c>
      <c r="AO375" s="78" t="n">
        <f aca="false">IF(AND(OR(AK375="À RÉPARER",AK375="COUPE – À RESOUDER",AK375="VT REJETÉ – À REPRENDRE"),OR(RÉPARATIONS!$D$5="TOUTES",B375=RÉPARATIONS!$D$5)),1,0)</f>
        <v>0</v>
      </c>
      <c r="AP375" s="78" t="str">
        <f aca="false">IF(AO375=1,SUM(AO$7:AO375),"")</f>
        <v/>
      </c>
    </row>
    <row r="376" customFormat="false" ht="15" hidden="false" customHeight="false" outlineLevel="0" collapsed="false">
      <c r="A376" s="78" t="str">
        <f aca="false">IF(E376="","",ROW()-6)</f>
        <v/>
      </c>
      <c r="B376" s="79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1"/>
      <c r="Q376" s="81"/>
      <c r="R376" s="80"/>
      <c r="S376" s="80"/>
      <c r="T376" s="81"/>
      <c r="U376" s="80"/>
      <c r="V376" s="80"/>
      <c r="W376" s="80"/>
      <c r="X376" s="80"/>
      <c r="Y376" s="81"/>
      <c r="Z376" s="80"/>
      <c r="AA376" s="80"/>
      <c r="AB376" s="80"/>
      <c r="AC376" s="80"/>
      <c r="AD376" s="81"/>
      <c r="AE376" s="80"/>
      <c r="AF376" s="80"/>
      <c r="AG376" s="81"/>
      <c r="AH376" s="79"/>
      <c r="AI376" s="78" t="str">
        <f aca="false">IF(E376="","",(V376&lt;&gt;"")+(AA376&lt;&gt;"")+(AF376&lt;&gt;""))</f>
        <v/>
      </c>
      <c r="AJ376" s="82" t="str">
        <f aca="false">IF(AF376&lt;&gt;"",AF376,IF(AA376&lt;&gt;"",AA376,IF(V376&lt;&gt;"",V376,"")))</f>
        <v/>
      </c>
      <c r="AK376" s="83" t="str">
        <f aca="false">IF(E376="","",IF(P376="","À SOUDER",IF(S376="","VT EN ATTENTE",IF(S376="R","VT REJETÉ – À REPRENDRE",IF(AJ376="","À RADIOGRAPHIER",IF(AJ376="A","ACCEPTÉ",IF(AJ376="NX","NX – RT À REFAIRE",IF(IF(AI376=1,X376,IF(AI376=2,AC376,""))="A","RÉPARÉ – À RADIOGRAPHIER",IF(IF(AI376=1,X376,IF(AI376=2,AC376,""))="R","VT REJETÉ – À REPRENDRE",IF(AJ376="CO","COUPE – À RESOUDER","À RÉPARER"))))))))))</f>
        <v/>
      </c>
      <c r="AL376" s="82" t="str">
        <f aca="false">IF(AND(ISNUMBER(P376),OR(AK376="À RADIOGRAPHIER",AK376="RÉPARÉ – À RADIOGRAPHIER",AK376="NX – RT À REFAIRE",AK376="À RÉPARER",AK376="COUPE – À RESOUDER",AK376="VT REJETÉ – À REPRENDRE")),MAX(0,'PROGRAMME RT'!$C$4-P376),"")</f>
        <v/>
      </c>
      <c r="AM376" s="78" t="n">
        <f aca="false">IF(AND(OR(AK376="À RADIOGRAPHIER",AK376="RÉPARÉ – À RADIOGRAPHIER",AK376="NX – RT À REFAIRE"),OR('PROGRAMME RT'!$D$5="TOUTES",B376='PROGRAMME RT'!$D$5)),1,0)</f>
        <v>0</v>
      </c>
      <c r="AN376" s="78" t="str">
        <f aca="false">IF(AM376=1,SUM(AM$7:AM376),"")</f>
        <v/>
      </c>
      <c r="AO376" s="78" t="n">
        <f aca="false">IF(AND(OR(AK376="À RÉPARER",AK376="COUPE – À RESOUDER",AK376="VT REJETÉ – À REPRENDRE"),OR(RÉPARATIONS!$D$5="TOUTES",B376=RÉPARATIONS!$D$5)),1,0)</f>
        <v>0</v>
      </c>
      <c r="AP376" s="78" t="str">
        <f aca="false">IF(AO376=1,SUM(AO$7:AO376),"")</f>
        <v/>
      </c>
    </row>
    <row r="377" customFormat="false" ht="15" hidden="false" customHeight="false" outlineLevel="0" collapsed="false">
      <c r="A377" s="78" t="str">
        <f aca="false">IF(E377="","",ROW()-6)</f>
        <v/>
      </c>
      <c r="B377" s="79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1"/>
      <c r="Q377" s="81"/>
      <c r="R377" s="80"/>
      <c r="S377" s="80"/>
      <c r="T377" s="81"/>
      <c r="U377" s="80"/>
      <c r="V377" s="80"/>
      <c r="W377" s="80"/>
      <c r="X377" s="80"/>
      <c r="Y377" s="81"/>
      <c r="Z377" s="80"/>
      <c r="AA377" s="80"/>
      <c r="AB377" s="80"/>
      <c r="AC377" s="80"/>
      <c r="AD377" s="81"/>
      <c r="AE377" s="80"/>
      <c r="AF377" s="80"/>
      <c r="AG377" s="81"/>
      <c r="AH377" s="79"/>
      <c r="AI377" s="78" t="str">
        <f aca="false">IF(E377="","",(V377&lt;&gt;"")+(AA377&lt;&gt;"")+(AF377&lt;&gt;""))</f>
        <v/>
      </c>
      <c r="AJ377" s="82" t="str">
        <f aca="false">IF(AF377&lt;&gt;"",AF377,IF(AA377&lt;&gt;"",AA377,IF(V377&lt;&gt;"",V377,"")))</f>
        <v/>
      </c>
      <c r="AK377" s="83" t="str">
        <f aca="false">IF(E377="","",IF(P377="","À SOUDER",IF(S377="","VT EN ATTENTE",IF(S377="R","VT REJETÉ – À REPRENDRE",IF(AJ377="","À RADIOGRAPHIER",IF(AJ377="A","ACCEPTÉ",IF(AJ377="NX","NX – RT À REFAIRE",IF(IF(AI377=1,X377,IF(AI377=2,AC377,""))="A","RÉPARÉ – À RADIOGRAPHIER",IF(IF(AI377=1,X377,IF(AI377=2,AC377,""))="R","VT REJETÉ – À REPRENDRE",IF(AJ377="CO","COUPE – À RESOUDER","À RÉPARER"))))))))))</f>
        <v/>
      </c>
      <c r="AL377" s="82" t="str">
        <f aca="false">IF(AND(ISNUMBER(P377),OR(AK377="À RADIOGRAPHIER",AK377="RÉPARÉ – À RADIOGRAPHIER",AK377="NX – RT À REFAIRE",AK377="À RÉPARER",AK377="COUPE – À RESOUDER",AK377="VT REJETÉ – À REPRENDRE")),MAX(0,'PROGRAMME RT'!$C$4-P377),"")</f>
        <v/>
      </c>
      <c r="AM377" s="78" t="n">
        <f aca="false">IF(AND(OR(AK377="À RADIOGRAPHIER",AK377="RÉPARÉ – À RADIOGRAPHIER",AK377="NX – RT À REFAIRE"),OR('PROGRAMME RT'!$D$5="TOUTES",B377='PROGRAMME RT'!$D$5)),1,0)</f>
        <v>0</v>
      </c>
      <c r="AN377" s="78" t="str">
        <f aca="false">IF(AM377=1,SUM(AM$7:AM377),"")</f>
        <v/>
      </c>
      <c r="AO377" s="78" t="n">
        <f aca="false">IF(AND(OR(AK377="À RÉPARER",AK377="COUPE – À RESOUDER",AK377="VT REJETÉ – À REPRENDRE"),OR(RÉPARATIONS!$D$5="TOUTES",B377=RÉPARATIONS!$D$5)),1,0)</f>
        <v>0</v>
      </c>
      <c r="AP377" s="78" t="str">
        <f aca="false">IF(AO377=1,SUM(AO$7:AO377),"")</f>
        <v/>
      </c>
    </row>
    <row r="378" customFormat="false" ht="15" hidden="false" customHeight="false" outlineLevel="0" collapsed="false">
      <c r="A378" s="78" t="str">
        <f aca="false">IF(E378="","",ROW()-6)</f>
        <v/>
      </c>
      <c r="B378" s="79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1"/>
      <c r="Q378" s="81"/>
      <c r="R378" s="80"/>
      <c r="S378" s="80"/>
      <c r="T378" s="81"/>
      <c r="U378" s="80"/>
      <c r="V378" s="80"/>
      <c r="W378" s="80"/>
      <c r="X378" s="80"/>
      <c r="Y378" s="81"/>
      <c r="Z378" s="80"/>
      <c r="AA378" s="80"/>
      <c r="AB378" s="80"/>
      <c r="AC378" s="80"/>
      <c r="AD378" s="81"/>
      <c r="AE378" s="80"/>
      <c r="AF378" s="80"/>
      <c r="AG378" s="81"/>
      <c r="AH378" s="79"/>
      <c r="AI378" s="78" t="str">
        <f aca="false">IF(E378="","",(V378&lt;&gt;"")+(AA378&lt;&gt;"")+(AF378&lt;&gt;""))</f>
        <v/>
      </c>
      <c r="AJ378" s="82" t="str">
        <f aca="false">IF(AF378&lt;&gt;"",AF378,IF(AA378&lt;&gt;"",AA378,IF(V378&lt;&gt;"",V378,"")))</f>
        <v/>
      </c>
      <c r="AK378" s="83" t="str">
        <f aca="false">IF(E378="","",IF(P378="","À SOUDER",IF(S378="","VT EN ATTENTE",IF(S378="R","VT REJETÉ – À REPRENDRE",IF(AJ378="","À RADIOGRAPHIER",IF(AJ378="A","ACCEPTÉ",IF(AJ378="NX","NX – RT À REFAIRE",IF(IF(AI378=1,X378,IF(AI378=2,AC378,""))="A","RÉPARÉ – À RADIOGRAPHIER",IF(IF(AI378=1,X378,IF(AI378=2,AC378,""))="R","VT REJETÉ – À REPRENDRE",IF(AJ378="CO","COUPE – À RESOUDER","À RÉPARER"))))))))))</f>
        <v/>
      </c>
      <c r="AL378" s="82" t="str">
        <f aca="false">IF(AND(ISNUMBER(P378),OR(AK378="À RADIOGRAPHIER",AK378="RÉPARÉ – À RADIOGRAPHIER",AK378="NX – RT À REFAIRE",AK378="À RÉPARER",AK378="COUPE – À RESOUDER",AK378="VT REJETÉ – À REPRENDRE")),MAX(0,'PROGRAMME RT'!$C$4-P378),"")</f>
        <v/>
      </c>
      <c r="AM378" s="78" t="n">
        <f aca="false">IF(AND(OR(AK378="À RADIOGRAPHIER",AK378="RÉPARÉ – À RADIOGRAPHIER",AK378="NX – RT À REFAIRE"),OR('PROGRAMME RT'!$D$5="TOUTES",B378='PROGRAMME RT'!$D$5)),1,0)</f>
        <v>0</v>
      </c>
      <c r="AN378" s="78" t="str">
        <f aca="false">IF(AM378=1,SUM(AM$7:AM378),"")</f>
        <v/>
      </c>
      <c r="AO378" s="78" t="n">
        <f aca="false">IF(AND(OR(AK378="À RÉPARER",AK378="COUPE – À RESOUDER",AK378="VT REJETÉ – À REPRENDRE"),OR(RÉPARATIONS!$D$5="TOUTES",B378=RÉPARATIONS!$D$5)),1,0)</f>
        <v>0</v>
      </c>
      <c r="AP378" s="78" t="str">
        <f aca="false">IF(AO378=1,SUM(AO$7:AO378),"")</f>
        <v/>
      </c>
    </row>
    <row r="379" customFormat="false" ht="15" hidden="false" customHeight="false" outlineLevel="0" collapsed="false">
      <c r="A379" s="78" t="str">
        <f aca="false">IF(E379="","",ROW()-6)</f>
        <v/>
      </c>
      <c r="B379" s="79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1"/>
      <c r="Q379" s="81"/>
      <c r="R379" s="80"/>
      <c r="S379" s="80"/>
      <c r="T379" s="81"/>
      <c r="U379" s="80"/>
      <c r="V379" s="80"/>
      <c r="W379" s="80"/>
      <c r="X379" s="80"/>
      <c r="Y379" s="81"/>
      <c r="Z379" s="80"/>
      <c r="AA379" s="80"/>
      <c r="AB379" s="80"/>
      <c r="AC379" s="80"/>
      <c r="AD379" s="81"/>
      <c r="AE379" s="80"/>
      <c r="AF379" s="80"/>
      <c r="AG379" s="81"/>
      <c r="AH379" s="79"/>
      <c r="AI379" s="78" t="str">
        <f aca="false">IF(E379="","",(V379&lt;&gt;"")+(AA379&lt;&gt;"")+(AF379&lt;&gt;""))</f>
        <v/>
      </c>
      <c r="AJ379" s="82" t="str">
        <f aca="false">IF(AF379&lt;&gt;"",AF379,IF(AA379&lt;&gt;"",AA379,IF(V379&lt;&gt;"",V379,"")))</f>
        <v/>
      </c>
      <c r="AK379" s="83" t="str">
        <f aca="false">IF(E379="","",IF(P379="","À SOUDER",IF(S379="","VT EN ATTENTE",IF(S379="R","VT REJETÉ – À REPRENDRE",IF(AJ379="","À RADIOGRAPHIER",IF(AJ379="A","ACCEPTÉ",IF(AJ379="NX","NX – RT À REFAIRE",IF(IF(AI379=1,X379,IF(AI379=2,AC379,""))="A","RÉPARÉ – À RADIOGRAPHIER",IF(IF(AI379=1,X379,IF(AI379=2,AC379,""))="R","VT REJETÉ – À REPRENDRE",IF(AJ379="CO","COUPE – À RESOUDER","À RÉPARER"))))))))))</f>
        <v/>
      </c>
      <c r="AL379" s="82" t="str">
        <f aca="false">IF(AND(ISNUMBER(P379),OR(AK379="À RADIOGRAPHIER",AK379="RÉPARÉ – À RADIOGRAPHIER",AK379="NX – RT À REFAIRE",AK379="À RÉPARER",AK379="COUPE – À RESOUDER",AK379="VT REJETÉ – À REPRENDRE")),MAX(0,'PROGRAMME RT'!$C$4-P379),"")</f>
        <v/>
      </c>
      <c r="AM379" s="78" t="n">
        <f aca="false">IF(AND(OR(AK379="À RADIOGRAPHIER",AK379="RÉPARÉ – À RADIOGRAPHIER",AK379="NX – RT À REFAIRE"),OR('PROGRAMME RT'!$D$5="TOUTES",B379='PROGRAMME RT'!$D$5)),1,0)</f>
        <v>0</v>
      </c>
      <c r="AN379" s="78" t="str">
        <f aca="false">IF(AM379=1,SUM(AM$7:AM379),"")</f>
        <v/>
      </c>
      <c r="AO379" s="78" t="n">
        <f aca="false">IF(AND(OR(AK379="À RÉPARER",AK379="COUPE – À RESOUDER",AK379="VT REJETÉ – À REPRENDRE"),OR(RÉPARATIONS!$D$5="TOUTES",B379=RÉPARATIONS!$D$5)),1,0)</f>
        <v>0</v>
      </c>
      <c r="AP379" s="78" t="str">
        <f aca="false">IF(AO379=1,SUM(AO$7:AO379),"")</f>
        <v/>
      </c>
    </row>
    <row r="380" customFormat="false" ht="15" hidden="false" customHeight="false" outlineLevel="0" collapsed="false">
      <c r="A380" s="78" t="str">
        <f aca="false">IF(E380="","",ROW()-6)</f>
        <v/>
      </c>
      <c r="B380" s="79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1"/>
      <c r="Q380" s="81"/>
      <c r="R380" s="80"/>
      <c r="S380" s="80"/>
      <c r="T380" s="81"/>
      <c r="U380" s="80"/>
      <c r="V380" s="80"/>
      <c r="W380" s="80"/>
      <c r="X380" s="80"/>
      <c r="Y380" s="81"/>
      <c r="Z380" s="80"/>
      <c r="AA380" s="80"/>
      <c r="AB380" s="80"/>
      <c r="AC380" s="80"/>
      <c r="AD380" s="81"/>
      <c r="AE380" s="80"/>
      <c r="AF380" s="80"/>
      <c r="AG380" s="81"/>
      <c r="AH380" s="79"/>
      <c r="AI380" s="78" t="str">
        <f aca="false">IF(E380="","",(V380&lt;&gt;"")+(AA380&lt;&gt;"")+(AF380&lt;&gt;""))</f>
        <v/>
      </c>
      <c r="AJ380" s="82" t="str">
        <f aca="false">IF(AF380&lt;&gt;"",AF380,IF(AA380&lt;&gt;"",AA380,IF(V380&lt;&gt;"",V380,"")))</f>
        <v/>
      </c>
      <c r="AK380" s="83" t="str">
        <f aca="false">IF(E380="","",IF(P380="","À SOUDER",IF(S380="","VT EN ATTENTE",IF(S380="R","VT REJETÉ – À REPRENDRE",IF(AJ380="","À RADIOGRAPHIER",IF(AJ380="A","ACCEPTÉ",IF(AJ380="NX","NX – RT À REFAIRE",IF(IF(AI380=1,X380,IF(AI380=2,AC380,""))="A","RÉPARÉ – À RADIOGRAPHIER",IF(IF(AI380=1,X380,IF(AI380=2,AC380,""))="R","VT REJETÉ – À REPRENDRE",IF(AJ380="CO","COUPE – À RESOUDER","À RÉPARER"))))))))))</f>
        <v/>
      </c>
      <c r="AL380" s="82" t="str">
        <f aca="false">IF(AND(ISNUMBER(P380),OR(AK380="À RADIOGRAPHIER",AK380="RÉPARÉ – À RADIOGRAPHIER",AK380="NX – RT À REFAIRE",AK380="À RÉPARER",AK380="COUPE – À RESOUDER",AK380="VT REJETÉ – À REPRENDRE")),MAX(0,'PROGRAMME RT'!$C$4-P380),"")</f>
        <v/>
      </c>
      <c r="AM380" s="78" t="n">
        <f aca="false">IF(AND(OR(AK380="À RADIOGRAPHIER",AK380="RÉPARÉ – À RADIOGRAPHIER",AK380="NX – RT À REFAIRE"),OR('PROGRAMME RT'!$D$5="TOUTES",B380='PROGRAMME RT'!$D$5)),1,0)</f>
        <v>0</v>
      </c>
      <c r="AN380" s="78" t="str">
        <f aca="false">IF(AM380=1,SUM(AM$7:AM380),"")</f>
        <v/>
      </c>
      <c r="AO380" s="78" t="n">
        <f aca="false">IF(AND(OR(AK380="À RÉPARER",AK380="COUPE – À RESOUDER",AK380="VT REJETÉ – À REPRENDRE"),OR(RÉPARATIONS!$D$5="TOUTES",B380=RÉPARATIONS!$D$5)),1,0)</f>
        <v>0</v>
      </c>
      <c r="AP380" s="78" t="str">
        <f aca="false">IF(AO380=1,SUM(AO$7:AO380),"")</f>
        <v/>
      </c>
    </row>
    <row r="381" customFormat="false" ht="15" hidden="false" customHeight="false" outlineLevel="0" collapsed="false">
      <c r="A381" s="78" t="str">
        <f aca="false">IF(E381="","",ROW()-6)</f>
        <v/>
      </c>
      <c r="B381" s="79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1"/>
      <c r="Q381" s="81"/>
      <c r="R381" s="80"/>
      <c r="S381" s="80"/>
      <c r="T381" s="81"/>
      <c r="U381" s="80"/>
      <c r="V381" s="80"/>
      <c r="W381" s="80"/>
      <c r="X381" s="80"/>
      <c r="Y381" s="81"/>
      <c r="Z381" s="80"/>
      <c r="AA381" s="80"/>
      <c r="AB381" s="80"/>
      <c r="AC381" s="80"/>
      <c r="AD381" s="81"/>
      <c r="AE381" s="80"/>
      <c r="AF381" s="80"/>
      <c r="AG381" s="81"/>
      <c r="AH381" s="79"/>
      <c r="AI381" s="78" t="str">
        <f aca="false">IF(E381="","",(V381&lt;&gt;"")+(AA381&lt;&gt;"")+(AF381&lt;&gt;""))</f>
        <v/>
      </c>
      <c r="AJ381" s="82" t="str">
        <f aca="false">IF(AF381&lt;&gt;"",AF381,IF(AA381&lt;&gt;"",AA381,IF(V381&lt;&gt;"",V381,"")))</f>
        <v/>
      </c>
      <c r="AK381" s="83" t="str">
        <f aca="false">IF(E381="","",IF(P381="","À SOUDER",IF(S381="","VT EN ATTENTE",IF(S381="R","VT REJETÉ – À REPRENDRE",IF(AJ381="","À RADIOGRAPHIER",IF(AJ381="A","ACCEPTÉ",IF(AJ381="NX","NX – RT À REFAIRE",IF(IF(AI381=1,X381,IF(AI381=2,AC381,""))="A","RÉPARÉ – À RADIOGRAPHIER",IF(IF(AI381=1,X381,IF(AI381=2,AC381,""))="R","VT REJETÉ – À REPRENDRE",IF(AJ381="CO","COUPE – À RESOUDER","À RÉPARER"))))))))))</f>
        <v/>
      </c>
      <c r="AL381" s="82" t="str">
        <f aca="false">IF(AND(ISNUMBER(P381),OR(AK381="À RADIOGRAPHIER",AK381="RÉPARÉ – À RADIOGRAPHIER",AK381="NX – RT À REFAIRE",AK381="À RÉPARER",AK381="COUPE – À RESOUDER",AK381="VT REJETÉ – À REPRENDRE")),MAX(0,'PROGRAMME RT'!$C$4-P381),"")</f>
        <v/>
      </c>
      <c r="AM381" s="78" t="n">
        <f aca="false">IF(AND(OR(AK381="À RADIOGRAPHIER",AK381="RÉPARÉ – À RADIOGRAPHIER",AK381="NX – RT À REFAIRE"),OR('PROGRAMME RT'!$D$5="TOUTES",B381='PROGRAMME RT'!$D$5)),1,0)</f>
        <v>0</v>
      </c>
      <c r="AN381" s="78" t="str">
        <f aca="false">IF(AM381=1,SUM(AM$7:AM381),"")</f>
        <v/>
      </c>
      <c r="AO381" s="78" t="n">
        <f aca="false">IF(AND(OR(AK381="À RÉPARER",AK381="COUPE – À RESOUDER",AK381="VT REJETÉ – À REPRENDRE"),OR(RÉPARATIONS!$D$5="TOUTES",B381=RÉPARATIONS!$D$5)),1,0)</f>
        <v>0</v>
      </c>
      <c r="AP381" s="78" t="str">
        <f aca="false">IF(AO381=1,SUM(AO$7:AO381),"")</f>
        <v/>
      </c>
    </row>
    <row r="382" customFormat="false" ht="15" hidden="false" customHeight="false" outlineLevel="0" collapsed="false">
      <c r="A382" s="78" t="str">
        <f aca="false">IF(E382="","",ROW()-6)</f>
        <v/>
      </c>
      <c r="B382" s="79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1"/>
      <c r="Q382" s="81"/>
      <c r="R382" s="80"/>
      <c r="S382" s="80"/>
      <c r="T382" s="81"/>
      <c r="U382" s="80"/>
      <c r="V382" s="80"/>
      <c r="W382" s="80"/>
      <c r="X382" s="80"/>
      <c r="Y382" s="81"/>
      <c r="Z382" s="80"/>
      <c r="AA382" s="80"/>
      <c r="AB382" s="80"/>
      <c r="AC382" s="80"/>
      <c r="AD382" s="81"/>
      <c r="AE382" s="80"/>
      <c r="AF382" s="80"/>
      <c r="AG382" s="81"/>
      <c r="AH382" s="79"/>
      <c r="AI382" s="78" t="str">
        <f aca="false">IF(E382="","",(V382&lt;&gt;"")+(AA382&lt;&gt;"")+(AF382&lt;&gt;""))</f>
        <v/>
      </c>
      <c r="AJ382" s="82" t="str">
        <f aca="false">IF(AF382&lt;&gt;"",AF382,IF(AA382&lt;&gt;"",AA382,IF(V382&lt;&gt;"",V382,"")))</f>
        <v/>
      </c>
      <c r="AK382" s="83" t="str">
        <f aca="false">IF(E382="","",IF(P382="","À SOUDER",IF(S382="","VT EN ATTENTE",IF(S382="R","VT REJETÉ – À REPRENDRE",IF(AJ382="","À RADIOGRAPHIER",IF(AJ382="A","ACCEPTÉ",IF(AJ382="NX","NX – RT À REFAIRE",IF(IF(AI382=1,X382,IF(AI382=2,AC382,""))="A","RÉPARÉ – À RADIOGRAPHIER",IF(IF(AI382=1,X382,IF(AI382=2,AC382,""))="R","VT REJETÉ – À REPRENDRE",IF(AJ382="CO","COUPE – À RESOUDER","À RÉPARER"))))))))))</f>
        <v/>
      </c>
      <c r="AL382" s="82" t="str">
        <f aca="false">IF(AND(ISNUMBER(P382),OR(AK382="À RADIOGRAPHIER",AK382="RÉPARÉ – À RADIOGRAPHIER",AK382="NX – RT À REFAIRE",AK382="À RÉPARER",AK382="COUPE – À RESOUDER",AK382="VT REJETÉ – À REPRENDRE")),MAX(0,'PROGRAMME RT'!$C$4-P382),"")</f>
        <v/>
      </c>
      <c r="AM382" s="78" t="n">
        <f aca="false">IF(AND(OR(AK382="À RADIOGRAPHIER",AK382="RÉPARÉ – À RADIOGRAPHIER",AK382="NX – RT À REFAIRE"),OR('PROGRAMME RT'!$D$5="TOUTES",B382='PROGRAMME RT'!$D$5)),1,0)</f>
        <v>0</v>
      </c>
      <c r="AN382" s="78" t="str">
        <f aca="false">IF(AM382=1,SUM(AM$7:AM382),"")</f>
        <v/>
      </c>
      <c r="AO382" s="78" t="n">
        <f aca="false">IF(AND(OR(AK382="À RÉPARER",AK382="COUPE – À RESOUDER",AK382="VT REJETÉ – À REPRENDRE"),OR(RÉPARATIONS!$D$5="TOUTES",B382=RÉPARATIONS!$D$5)),1,0)</f>
        <v>0</v>
      </c>
      <c r="AP382" s="78" t="str">
        <f aca="false">IF(AO382=1,SUM(AO$7:AO382),"")</f>
        <v/>
      </c>
    </row>
    <row r="383" customFormat="false" ht="15" hidden="false" customHeight="false" outlineLevel="0" collapsed="false">
      <c r="A383" s="78" t="str">
        <f aca="false">IF(E383="","",ROW()-6)</f>
        <v/>
      </c>
      <c r="B383" s="79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1"/>
      <c r="Q383" s="81"/>
      <c r="R383" s="80"/>
      <c r="S383" s="80"/>
      <c r="T383" s="81"/>
      <c r="U383" s="80"/>
      <c r="V383" s="80"/>
      <c r="W383" s="80"/>
      <c r="X383" s="80"/>
      <c r="Y383" s="81"/>
      <c r="Z383" s="80"/>
      <c r="AA383" s="80"/>
      <c r="AB383" s="80"/>
      <c r="AC383" s="80"/>
      <c r="AD383" s="81"/>
      <c r="AE383" s="80"/>
      <c r="AF383" s="80"/>
      <c r="AG383" s="81"/>
      <c r="AH383" s="79"/>
      <c r="AI383" s="78" t="str">
        <f aca="false">IF(E383="","",(V383&lt;&gt;"")+(AA383&lt;&gt;"")+(AF383&lt;&gt;""))</f>
        <v/>
      </c>
      <c r="AJ383" s="82" t="str">
        <f aca="false">IF(AF383&lt;&gt;"",AF383,IF(AA383&lt;&gt;"",AA383,IF(V383&lt;&gt;"",V383,"")))</f>
        <v/>
      </c>
      <c r="AK383" s="83" t="str">
        <f aca="false">IF(E383="","",IF(P383="","À SOUDER",IF(S383="","VT EN ATTENTE",IF(S383="R","VT REJETÉ – À REPRENDRE",IF(AJ383="","À RADIOGRAPHIER",IF(AJ383="A","ACCEPTÉ",IF(AJ383="NX","NX – RT À REFAIRE",IF(IF(AI383=1,X383,IF(AI383=2,AC383,""))="A","RÉPARÉ – À RADIOGRAPHIER",IF(IF(AI383=1,X383,IF(AI383=2,AC383,""))="R","VT REJETÉ – À REPRENDRE",IF(AJ383="CO","COUPE – À RESOUDER","À RÉPARER"))))))))))</f>
        <v/>
      </c>
      <c r="AL383" s="82" t="str">
        <f aca="false">IF(AND(ISNUMBER(P383),OR(AK383="À RADIOGRAPHIER",AK383="RÉPARÉ – À RADIOGRAPHIER",AK383="NX – RT À REFAIRE",AK383="À RÉPARER",AK383="COUPE – À RESOUDER",AK383="VT REJETÉ – À REPRENDRE")),MAX(0,'PROGRAMME RT'!$C$4-P383),"")</f>
        <v/>
      </c>
      <c r="AM383" s="78" t="n">
        <f aca="false">IF(AND(OR(AK383="À RADIOGRAPHIER",AK383="RÉPARÉ – À RADIOGRAPHIER",AK383="NX – RT À REFAIRE"),OR('PROGRAMME RT'!$D$5="TOUTES",B383='PROGRAMME RT'!$D$5)),1,0)</f>
        <v>0</v>
      </c>
      <c r="AN383" s="78" t="str">
        <f aca="false">IF(AM383=1,SUM(AM$7:AM383),"")</f>
        <v/>
      </c>
      <c r="AO383" s="78" t="n">
        <f aca="false">IF(AND(OR(AK383="À RÉPARER",AK383="COUPE – À RESOUDER",AK383="VT REJETÉ – À REPRENDRE"),OR(RÉPARATIONS!$D$5="TOUTES",B383=RÉPARATIONS!$D$5)),1,0)</f>
        <v>0</v>
      </c>
      <c r="AP383" s="78" t="str">
        <f aca="false">IF(AO383=1,SUM(AO$7:AO383),"")</f>
        <v/>
      </c>
    </row>
    <row r="384" customFormat="false" ht="15" hidden="false" customHeight="false" outlineLevel="0" collapsed="false">
      <c r="A384" s="78" t="str">
        <f aca="false">IF(E384="","",ROW()-6)</f>
        <v/>
      </c>
      <c r="B384" s="79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1"/>
      <c r="Q384" s="81"/>
      <c r="R384" s="80"/>
      <c r="S384" s="80"/>
      <c r="T384" s="81"/>
      <c r="U384" s="80"/>
      <c r="V384" s="80"/>
      <c r="W384" s="80"/>
      <c r="X384" s="80"/>
      <c r="Y384" s="81"/>
      <c r="Z384" s="80"/>
      <c r="AA384" s="80"/>
      <c r="AB384" s="80"/>
      <c r="AC384" s="80"/>
      <c r="AD384" s="81"/>
      <c r="AE384" s="80"/>
      <c r="AF384" s="80"/>
      <c r="AG384" s="81"/>
      <c r="AH384" s="79"/>
      <c r="AI384" s="78" t="str">
        <f aca="false">IF(E384="","",(V384&lt;&gt;"")+(AA384&lt;&gt;"")+(AF384&lt;&gt;""))</f>
        <v/>
      </c>
      <c r="AJ384" s="82" t="str">
        <f aca="false">IF(AF384&lt;&gt;"",AF384,IF(AA384&lt;&gt;"",AA384,IF(V384&lt;&gt;"",V384,"")))</f>
        <v/>
      </c>
      <c r="AK384" s="83" t="str">
        <f aca="false">IF(E384="","",IF(P384="","À SOUDER",IF(S384="","VT EN ATTENTE",IF(S384="R","VT REJETÉ – À REPRENDRE",IF(AJ384="","À RADIOGRAPHIER",IF(AJ384="A","ACCEPTÉ",IF(AJ384="NX","NX – RT À REFAIRE",IF(IF(AI384=1,X384,IF(AI384=2,AC384,""))="A","RÉPARÉ – À RADIOGRAPHIER",IF(IF(AI384=1,X384,IF(AI384=2,AC384,""))="R","VT REJETÉ – À REPRENDRE",IF(AJ384="CO","COUPE – À RESOUDER","À RÉPARER"))))))))))</f>
        <v/>
      </c>
      <c r="AL384" s="82" t="str">
        <f aca="false">IF(AND(ISNUMBER(P384),OR(AK384="À RADIOGRAPHIER",AK384="RÉPARÉ – À RADIOGRAPHIER",AK384="NX – RT À REFAIRE",AK384="À RÉPARER",AK384="COUPE – À RESOUDER",AK384="VT REJETÉ – À REPRENDRE")),MAX(0,'PROGRAMME RT'!$C$4-P384),"")</f>
        <v/>
      </c>
      <c r="AM384" s="78" t="n">
        <f aca="false">IF(AND(OR(AK384="À RADIOGRAPHIER",AK384="RÉPARÉ – À RADIOGRAPHIER",AK384="NX – RT À REFAIRE"),OR('PROGRAMME RT'!$D$5="TOUTES",B384='PROGRAMME RT'!$D$5)),1,0)</f>
        <v>0</v>
      </c>
      <c r="AN384" s="78" t="str">
        <f aca="false">IF(AM384=1,SUM(AM$7:AM384),"")</f>
        <v/>
      </c>
      <c r="AO384" s="78" t="n">
        <f aca="false">IF(AND(OR(AK384="À RÉPARER",AK384="COUPE – À RESOUDER",AK384="VT REJETÉ – À REPRENDRE"),OR(RÉPARATIONS!$D$5="TOUTES",B384=RÉPARATIONS!$D$5)),1,0)</f>
        <v>0</v>
      </c>
      <c r="AP384" s="78" t="str">
        <f aca="false">IF(AO384=1,SUM(AO$7:AO384),"")</f>
        <v/>
      </c>
    </row>
    <row r="385" customFormat="false" ht="15" hidden="false" customHeight="false" outlineLevel="0" collapsed="false">
      <c r="A385" s="78" t="str">
        <f aca="false">IF(E385="","",ROW()-6)</f>
        <v/>
      </c>
      <c r="B385" s="79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1"/>
      <c r="Q385" s="81"/>
      <c r="R385" s="80"/>
      <c r="S385" s="80"/>
      <c r="T385" s="81"/>
      <c r="U385" s="80"/>
      <c r="V385" s="80"/>
      <c r="W385" s="80"/>
      <c r="X385" s="80"/>
      <c r="Y385" s="81"/>
      <c r="Z385" s="80"/>
      <c r="AA385" s="80"/>
      <c r="AB385" s="80"/>
      <c r="AC385" s="80"/>
      <c r="AD385" s="81"/>
      <c r="AE385" s="80"/>
      <c r="AF385" s="80"/>
      <c r="AG385" s="81"/>
      <c r="AH385" s="79"/>
      <c r="AI385" s="78" t="str">
        <f aca="false">IF(E385="","",(V385&lt;&gt;"")+(AA385&lt;&gt;"")+(AF385&lt;&gt;""))</f>
        <v/>
      </c>
      <c r="AJ385" s="82" t="str">
        <f aca="false">IF(AF385&lt;&gt;"",AF385,IF(AA385&lt;&gt;"",AA385,IF(V385&lt;&gt;"",V385,"")))</f>
        <v/>
      </c>
      <c r="AK385" s="83" t="str">
        <f aca="false">IF(E385="","",IF(P385="","À SOUDER",IF(S385="","VT EN ATTENTE",IF(S385="R","VT REJETÉ – À REPRENDRE",IF(AJ385="","À RADIOGRAPHIER",IF(AJ385="A","ACCEPTÉ",IF(AJ385="NX","NX – RT À REFAIRE",IF(IF(AI385=1,X385,IF(AI385=2,AC385,""))="A","RÉPARÉ – À RADIOGRAPHIER",IF(IF(AI385=1,X385,IF(AI385=2,AC385,""))="R","VT REJETÉ – À REPRENDRE",IF(AJ385="CO","COUPE – À RESOUDER","À RÉPARER"))))))))))</f>
        <v/>
      </c>
      <c r="AL385" s="82" t="str">
        <f aca="false">IF(AND(ISNUMBER(P385),OR(AK385="À RADIOGRAPHIER",AK385="RÉPARÉ – À RADIOGRAPHIER",AK385="NX – RT À REFAIRE",AK385="À RÉPARER",AK385="COUPE – À RESOUDER",AK385="VT REJETÉ – À REPRENDRE")),MAX(0,'PROGRAMME RT'!$C$4-P385),"")</f>
        <v/>
      </c>
      <c r="AM385" s="78" t="n">
        <f aca="false">IF(AND(OR(AK385="À RADIOGRAPHIER",AK385="RÉPARÉ – À RADIOGRAPHIER",AK385="NX – RT À REFAIRE"),OR('PROGRAMME RT'!$D$5="TOUTES",B385='PROGRAMME RT'!$D$5)),1,0)</f>
        <v>0</v>
      </c>
      <c r="AN385" s="78" t="str">
        <f aca="false">IF(AM385=1,SUM(AM$7:AM385),"")</f>
        <v/>
      </c>
      <c r="AO385" s="78" t="n">
        <f aca="false">IF(AND(OR(AK385="À RÉPARER",AK385="COUPE – À RESOUDER",AK385="VT REJETÉ – À REPRENDRE"),OR(RÉPARATIONS!$D$5="TOUTES",B385=RÉPARATIONS!$D$5)),1,0)</f>
        <v>0</v>
      </c>
      <c r="AP385" s="78" t="str">
        <f aca="false">IF(AO385=1,SUM(AO$7:AO385),"")</f>
        <v/>
      </c>
    </row>
    <row r="386" customFormat="false" ht="15" hidden="false" customHeight="false" outlineLevel="0" collapsed="false">
      <c r="A386" s="78" t="str">
        <f aca="false">IF(E386="","",ROW()-6)</f>
        <v/>
      </c>
      <c r="B386" s="79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1"/>
      <c r="Q386" s="81"/>
      <c r="R386" s="80"/>
      <c r="S386" s="80"/>
      <c r="T386" s="81"/>
      <c r="U386" s="80"/>
      <c r="V386" s="80"/>
      <c r="W386" s="80"/>
      <c r="X386" s="80"/>
      <c r="Y386" s="81"/>
      <c r="Z386" s="80"/>
      <c r="AA386" s="80"/>
      <c r="AB386" s="80"/>
      <c r="AC386" s="80"/>
      <c r="AD386" s="81"/>
      <c r="AE386" s="80"/>
      <c r="AF386" s="80"/>
      <c r="AG386" s="81"/>
      <c r="AH386" s="79"/>
      <c r="AI386" s="78" t="str">
        <f aca="false">IF(E386="","",(V386&lt;&gt;"")+(AA386&lt;&gt;"")+(AF386&lt;&gt;""))</f>
        <v/>
      </c>
      <c r="AJ386" s="82" t="str">
        <f aca="false">IF(AF386&lt;&gt;"",AF386,IF(AA386&lt;&gt;"",AA386,IF(V386&lt;&gt;"",V386,"")))</f>
        <v/>
      </c>
      <c r="AK386" s="83" t="str">
        <f aca="false">IF(E386="","",IF(P386="","À SOUDER",IF(S386="","VT EN ATTENTE",IF(S386="R","VT REJETÉ – À REPRENDRE",IF(AJ386="","À RADIOGRAPHIER",IF(AJ386="A","ACCEPTÉ",IF(AJ386="NX","NX – RT À REFAIRE",IF(IF(AI386=1,X386,IF(AI386=2,AC386,""))="A","RÉPARÉ – À RADIOGRAPHIER",IF(IF(AI386=1,X386,IF(AI386=2,AC386,""))="R","VT REJETÉ – À REPRENDRE",IF(AJ386="CO","COUPE – À RESOUDER","À RÉPARER"))))))))))</f>
        <v/>
      </c>
      <c r="AL386" s="82" t="str">
        <f aca="false">IF(AND(ISNUMBER(P386),OR(AK386="À RADIOGRAPHIER",AK386="RÉPARÉ – À RADIOGRAPHIER",AK386="NX – RT À REFAIRE",AK386="À RÉPARER",AK386="COUPE – À RESOUDER",AK386="VT REJETÉ – À REPRENDRE")),MAX(0,'PROGRAMME RT'!$C$4-P386),"")</f>
        <v/>
      </c>
      <c r="AM386" s="78" t="n">
        <f aca="false">IF(AND(OR(AK386="À RADIOGRAPHIER",AK386="RÉPARÉ – À RADIOGRAPHIER",AK386="NX – RT À REFAIRE"),OR('PROGRAMME RT'!$D$5="TOUTES",B386='PROGRAMME RT'!$D$5)),1,0)</f>
        <v>0</v>
      </c>
      <c r="AN386" s="78" t="str">
        <f aca="false">IF(AM386=1,SUM(AM$7:AM386),"")</f>
        <v/>
      </c>
      <c r="AO386" s="78" t="n">
        <f aca="false">IF(AND(OR(AK386="À RÉPARER",AK386="COUPE – À RESOUDER",AK386="VT REJETÉ – À REPRENDRE"),OR(RÉPARATIONS!$D$5="TOUTES",B386=RÉPARATIONS!$D$5)),1,0)</f>
        <v>0</v>
      </c>
      <c r="AP386" s="78" t="str">
        <f aca="false">IF(AO386=1,SUM(AO$7:AO386),"")</f>
        <v/>
      </c>
    </row>
    <row r="387" customFormat="false" ht="15" hidden="false" customHeight="false" outlineLevel="0" collapsed="false">
      <c r="A387" s="78" t="str">
        <f aca="false">IF(E387="","",ROW()-6)</f>
        <v/>
      </c>
      <c r="B387" s="79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1"/>
      <c r="Q387" s="81"/>
      <c r="R387" s="80"/>
      <c r="S387" s="80"/>
      <c r="T387" s="81"/>
      <c r="U387" s="80"/>
      <c r="V387" s="80"/>
      <c r="W387" s="80"/>
      <c r="X387" s="80"/>
      <c r="Y387" s="81"/>
      <c r="Z387" s="80"/>
      <c r="AA387" s="80"/>
      <c r="AB387" s="80"/>
      <c r="AC387" s="80"/>
      <c r="AD387" s="81"/>
      <c r="AE387" s="80"/>
      <c r="AF387" s="80"/>
      <c r="AG387" s="81"/>
      <c r="AH387" s="79"/>
      <c r="AI387" s="78" t="str">
        <f aca="false">IF(E387="","",(V387&lt;&gt;"")+(AA387&lt;&gt;"")+(AF387&lt;&gt;""))</f>
        <v/>
      </c>
      <c r="AJ387" s="82" t="str">
        <f aca="false">IF(AF387&lt;&gt;"",AF387,IF(AA387&lt;&gt;"",AA387,IF(V387&lt;&gt;"",V387,"")))</f>
        <v/>
      </c>
      <c r="AK387" s="83" t="str">
        <f aca="false">IF(E387="","",IF(P387="","À SOUDER",IF(S387="","VT EN ATTENTE",IF(S387="R","VT REJETÉ – À REPRENDRE",IF(AJ387="","À RADIOGRAPHIER",IF(AJ387="A","ACCEPTÉ",IF(AJ387="NX","NX – RT À REFAIRE",IF(IF(AI387=1,X387,IF(AI387=2,AC387,""))="A","RÉPARÉ – À RADIOGRAPHIER",IF(IF(AI387=1,X387,IF(AI387=2,AC387,""))="R","VT REJETÉ – À REPRENDRE",IF(AJ387="CO","COUPE – À RESOUDER","À RÉPARER"))))))))))</f>
        <v/>
      </c>
      <c r="AL387" s="82" t="str">
        <f aca="false">IF(AND(ISNUMBER(P387),OR(AK387="À RADIOGRAPHIER",AK387="RÉPARÉ – À RADIOGRAPHIER",AK387="NX – RT À REFAIRE",AK387="À RÉPARER",AK387="COUPE – À RESOUDER",AK387="VT REJETÉ – À REPRENDRE")),MAX(0,'PROGRAMME RT'!$C$4-P387),"")</f>
        <v/>
      </c>
      <c r="AM387" s="78" t="n">
        <f aca="false">IF(AND(OR(AK387="À RADIOGRAPHIER",AK387="RÉPARÉ – À RADIOGRAPHIER",AK387="NX – RT À REFAIRE"),OR('PROGRAMME RT'!$D$5="TOUTES",B387='PROGRAMME RT'!$D$5)),1,0)</f>
        <v>0</v>
      </c>
      <c r="AN387" s="78" t="str">
        <f aca="false">IF(AM387=1,SUM(AM$7:AM387),"")</f>
        <v/>
      </c>
      <c r="AO387" s="78" t="n">
        <f aca="false">IF(AND(OR(AK387="À RÉPARER",AK387="COUPE – À RESOUDER",AK387="VT REJETÉ – À REPRENDRE"),OR(RÉPARATIONS!$D$5="TOUTES",B387=RÉPARATIONS!$D$5)),1,0)</f>
        <v>0</v>
      </c>
      <c r="AP387" s="78" t="str">
        <f aca="false">IF(AO387=1,SUM(AO$7:AO387),"")</f>
        <v/>
      </c>
    </row>
    <row r="388" customFormat="false" ht="15" hidden="false" customHeight="false" outlineLevel="0" collapsed="false">
      <c r="A388" s="78" t="str">
        <f aca="false">IF(E388="","",ROW()-6)</f>
        <v/>
      </c>
      <c r="B388" s="79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1"/>
      <c r="Q388" s="81"/>
      <c r="R388" s="80"/>
      <c r="S388" s="80"/>
      <c r="T388" s="81"/>
      <c r="U388" s="80"/>
      <c r="V388" s="80"/>
      <c r="W388" s="80"/>
      <c r="X388" s="80"/>
      <c r="Y388" s="81"/>
      <c r="Z388" s="80"/>
      <c r="AA388" s="80"/>
      <c r="AB388" s="80"/>
      <c r="AC388" s="80"/>
      <c r="AD388" s="81"/>
      <c r="AE388" s="80"/>
      <c r="AF388" s="80"/>
      <c r="AG388" s="81"/>
      <c r="AH388" s="79"/>
      <c r="AI388" s="78" t="str">
        <f aca="false">IF(E388="","",(V388&lt;&gt;"")+(AA388&lt;&gt;"")+(AF388&lt;&gt;""))</f>
        <v/>
      </c>
      <c r="AJ388" s="82" t="str">
        <f aca="false">IF(AF388&lt;&gt;"",AF388,IF(AA388&lt;&gt;"",AA388,IF(V388&lt;&gt;"",V388,"")))</f>
        <v/>
      </c>
      <c r="AK388" s="83" t="str">
        <f aca="false">IF(E388="","",IF(P388="","À SOUDER",IF(S388="","VT EN ATTENTE",IF(S388="R","VT REJETÉ – À REPRENDRE",IF(AJ388="","À RADIOGRAPHIER",IF(AJ388="A","ACCEPTÉ",IF(AJ388="NX","NX – RT À REFAIRE",IF(IF(AI388=1,X388,IF(AI388=2,AC388,""))="A","RÉPARÉ – À RADIOGRAPHIER",IF(IF(AI388=1,X388,IF(AI388=2,AC388,""))="R","VT REJETÉ – À REPRENDRE",IF(AJ388="CO","COUPE – À RESOUDER","À RÉPARER"))))))))))</f>
        <v/>
      </c>
      <c r="AL388" s="82" t="str">
        <f aca="false">IF(AND(ISNUMBER(P388),OR(AK388="À RADIOGRAPHIER",AK388="RÉPARÉ – À RADIOGRAPHIER",AK388="NX – RT À REFAIRE",AK388="À RÉPARER",AK388="COUPE – À RESOUDER",AK388="VT REJETÉ – À REPRENDRE")),MAX(0,'PROGRAMME RT'!$C$4-P388),"")</f>
        <v/>
      </c>
      <c r="AM388" s="78" t="n">
        <f aca="false">IF(AND(OR(AK388="À RADIOGRAPHIER",AK388="RÉPARÉ – À RADIOGRAPHIER",AK388="NX – RT À REFAIRE"),OR('PROGRAMME RT'!$D$5="TOUTES",B388='PROGRAMME RT'!$D$5)),1,0)</f>
        <v>0</v>
      </c>
      <c r="AN388" s="78" t="str">
        <f aca="false">IF(AM388=1,SUM(AM$7:AM388),"")</f>
        <v/>
      </c>
      <c r="AO388" s="78" t="n">
        <f aca="false">IF(AND(OR(AK388="À RÉPARER",AK388="COUPE – À RESOUDER",AK388="VT REJETÉ – À REPRENDRE"),OR(RÉPARATIONS!$D$5="TOUTES",B388=RÉPARATIONS!$D$5)),1,0)</f>
        <v>0</v>
      </c>
      <c r="AP388" s="78" t="str">
        <f aca="false">IF(AO388=1,SUM(AO$7:AO388),"")</f>
        <v/>
      </c>
    </row>
    <row r="389" customFormat="false" ht="15" hidden="false" customHeight="false" outlineLevel="0" collapsed="false">
      <c r="A389" s="78" t="str">
        <f aca="false">IF(E389="","",ROW()-6)</f>
        <v/>
      </c>
      <c r="B389" s="79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1"/>
      <c r="Q389" s="81"/>
      <c r="R389" s="80"/>
      <c r="S389" s="80"/>
      <c r="T389" s="81"/>
      <c r="U389" s="80"/>
      <c r="V389" s="80"/>
      <c r="W389" s="80"/>
      <c r="X389" s="80"/>
      <c r="Y389" s="81"/>
      <c r="Z389" s="80"/>
      <c r="AA389" s="80"/>
      <c r="AB389" s="80"/>
      <c r="AC389" s="80"/>
      <c r="AD389" s="81"/>
      <c r="AE389" s="80"/>
      <c r="AF389" s="80"/>
      <c r="AG389" s="81"/>
      <c r="AH389" s="79"/>
      <c r="AI389" s="78" t="str">
        <f aca="false">IF(E389="","",(V389&lt;&gt;"")+(AA389&lt;&gt;"")+(AF389&lt;&gt;""))</f>
        <v/>
      </c>
      <c r="AJ389" s="82" t="str">
        <f aca="false">IF(AF389&lt;&gt;"",AF389,IF(AA389&lt;&gt;"",AA389,IF(V389&lt;&gt;"",V389,"")))</f>
        <v/>
      </c>
      <c r="AK389" s="83" t="str">
        <f aca="false">IF(E389="","",IF(P389="","À SOUDER",IF(S389="","VT EN ATTENTE",IF(S389="R","VT REJETÉ – À REPRENDRE",IF(AJ389="","À RADIOGRAPHIER",IF(AJ389="A","ACCEPTÉ",IF(AJ389="NX","NX – RT À REFAIRE",IF(IF(AI389=1,X389,IF(AI389=2,AC389,""))="A","RÉPARÉ – À RADIOGRAPHIER",IF(IF(AI389=1,X389,IF(AI389=2,AC389,""))="R","VT REJETÉ – À REPRENDRE",IF(AJ389="CO","COUPE – À RESOUDER","À RÉPARER"))))))))))</f>
        <v/>
      </c>
      <c r="AL389" s="82" t="str">
        <f aca="false">IF(AND(ISNUMBER(P389),OR(AK389="À RADIOGRAPHIER",AK389="RÉPARÉ – À RADIOGRAPHIER",AK389="NX – RT À REFAIRE",AK389="À RÉPARER",AK389="COUPE – À RESOUDER",AK389="VT REJETÉ – À REPRENDRE")),MAX(0,'PROGRAMME RT'!$C$4-P389),"")</f>
        <v/>
      </c>
      <c r="AM389" s="78" t="n">
        <f aca="false">IF(AND(OR(AK389="À RADIOGRAPHIER",AK389="RÉPARÉ – À RADIOGRAPHIER",AK389="NX – RT À REFAIRE"),OR('PROGRAMME RT'!$D$5="TOUTES",B389='PROGRAMME RT'!$D$5)),1,0)</f>
        <v>0</v>
      </c>
      <c r="AN389" s="78" t="str">
        <f aca="false">IF(AM389=1,SUM(AM$7:AM389),"")</f>
        <v/>
      </c>
      <c r="AO389" s="78" t="n">
        <f aca="false">IF(AND(OR(AK389="À RÉPARER",AK389="COUPE – À RESOUDER",AK389="VT REJETÉ – À REPRENDRE"),OR(RÉPARATIONS!$D$5="TOUTES",B389=RÉPARATIONS!$D$5)),1,0)</f>
        <v>0</v>
      </c>
      <c r="AP389" s="78" t="str">
        <f aca="false">IF(AO389=1,SUM(AO$7:AO389),"")</f>
        <v/>
      </c>
    </row>
    <row r="390" customFormat="false" ht="15" hidden="false" customHeight="false" outlineLevel="0" collapsed="false">
      <c r="A390" s="78" t="str">
        <f aca="false">IF(E390="","",ROW()-6)</f>
        <v/>
      </c>
      <c r="B390" s="79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1"/>
      <c r="Q390" s="81"/>
      <c r="R390" s="80"/>
      <c r="S390" s="80"/>
      <c r="T390" s="81"/>
      <c r="U390" s="80"/>
      <c r="V390" s="80"/>
      <c r="W390" s="80"/>
      <c r="X390" s="80"/>
      <c r="Y390" s="81"/>
      <c r="Z390" s="80"/>
      <c r="AA390" s="80"/>
      <c r="AB390" s="80"/>
      <c r="AC390" s="80"/>
      <c r="AD390" s="81"/>
      <c r="AE390" s="80"/>
      <c r="AF390" s="80"/>
      <c r="AG390" s="81"/>
      <c r="AH390" s="79"/>
      <c r="AI390" s="78" t="str">
        <f aca="false">IF(E390="","",(V390&lt;&gt;"")+(AA390&lt;&gt;"")+(AF390&lt;&gt;""))</f>
        <v/>
      </c>
      <c r="AJ390" s="82" t="str">
        <f aca="false">IF(AF390&lt;&gt;"",AF390,IF(AA390&lt;&gt;"",AA390,IF(V390&lt;&gt;"",V390,"")))</f>
        <v/>
      </c>
      <c r="AK390" s="83" t="str">
        <f aca="false">IF(E390="","",IF(P390="","À SOUDER",IF(S390="","VT EN ATTENTE",IF(S390="R","VT REJETÉ – À REPRENDRE",IF(AJ390="","À RADIOGRAPHIER",IF(AJ390="A","ACCEPTÉ",IF(AJ390="NX","NX – RT À REFAIRE",IF(IF(AI390=1,X390,IF(AI390=2,AC390,""))="A","RÉPARÉ – À RADIOGRAPHIER",IF(IF(AI390=1,X390,IF(AI390=2,AC390,""))="R","VT REJETÉ – À REPRENDRE",IF(AJ390="CO","COUPE – À RESOUDER","À RÉPARER"))))))))))</f>
        <v/>
      </c>
      <c r="AL390" s="82" t="str">
        <f aca="false">IF(AND(ISNUMBER(P390),OR(AK390="À RADIOGRAPHIER",AK390="RÉPARÉ – À RADIOGRAPHIER",AK390="NX – RT À REFAIRE",AK390="À RÉPARER",AK390="COUPE – À RESOUDER",AK390="VT REJETÉ – À REPRENDRE")),MAX(0,'PROGRAMME RT'!$C$4-P390),"")</f>
        <v/>
      </c>
      <c r="AM390" s="78" t="n">
        <f aca="false">IF(AND(OR(AK390="À RADIOGRAPHIER",AK390="RÉPARÉ – À RADIOGRAPHIER",AK390="NX – RT À REFAIRE"),OR('PROGRAMME RT'!$D$5="TOUTES",B390='PROGRAMME RT'!$D$5)),1,0)</f>
        <v>0</v>
      </c>
      <c r="AN390" s="78" t="str">
        <f aca="false">IF(AM390=1,SUM(AM$7:AM390),"")</f>
        <v/>
      </c>
      <c r="AO390" s="78" t="n">
        <f aca="false">IF(AND(OR(AK390="À RÉPARER",AK390="COUPE – À RESOUDER",AK390="VT REJETÉ – À REPRENDRE"),OR(RÉPARATIONS!$D$5="TOUTES",B390=RÉPARATIONS!$D$5)),1,0)</f>
        <v>0</v>
      </c>
      <c r="AP390" s="78" t="str">
        <f aca="false">IF(AO390=1,SUM(AO$7:AO390),"")</f>
        <v/>
      </c>
    </row>
    <row r="391" customFormat="false" ht="15" hidden="false" customHeight="false" outlineLevel="0" collapsed="false">
      <c r="A391" s="78" t="str">
        <f aca="false">IF(E391="","",ROW()-6)</f>
        <v/>
      </c>
      <c r="B391" s="79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1"/>
      <c r="Q391" s="81"/>
      <c r="R391" s="80"/>
      <c r="S391" s="80"/>
      <c r="T391" s="81"/>
      <c r="U391" s="80"/>
      <c r="V391" s="80"/>
      <c r="W391" s="80"/>
      <c r="X391" s="80"/>
      <c r="Y391" s="81"/>
      <c r="Z391" s="80"/>
      <c r="AA391" s="80"/>
      <c r="AB391" s="80"/>
      <c r="AC391" s="80"/>
      <c r="AD391" s="81"/>
      <c r="AE391" s="80"/>
      <c r="AF391" s="80"/>
      <c r="AG391" s="81"/>
      <c r="AH391" s="79"/>
      <c r="AI391" s="78" t="str">
        <f aca="false">IF(E391="","",(V391&lt;&gt;"")+(AA391&lt;&gt;"")+(AF391&lt;&gt;""))</f>
        <v/>
      </c>
      <c r="AJ391" s="82" t="str">
        <f aca="false">IF(AF391&lt;&gt;"",AF391,IF(AA391&lt;&gt;"",AA391,IF(V391&lt;&gt;"",V391,"")))</f>
        <v/>
      </c>
      <c r="AK391" s="83" t="str">
        <f aca="false">IF(E391="","",IF(P391="","À SOUDER",IF(S391="","VT EN ATTENTE",IF(S391="R","VT REJETÉ – À REPRENDRE",IF(AJ391="","À RADIOGRAPHIER",IF(AJ391="A","ACCEPTÉ",IF(AJ391="NX","NX – RT À REFAIRE",IF(IF(AI391=1,X391,IF(AI391=2,AC391,""))="A","RÉPARÉ – À RADIOGRAPHIER",IF(IF(AI391=1,X391,IF(AI391=2,AC391,""))="R","VT REJETÉ – À REPRENDRE",IF(AJ391="CO","COUPE – À RESOUDER","À RÉPARER"))))))))))</f>
        <v/>
      </c>
      <c r="AL391" s="82" t="str">
        <f aca="false">IF(AND(ISNUMBER(P391),OR(AK391="À RADIOGRAPHIER",AK391="RÉPARÉ – À RADIOGRAPHIER",AK391="NX – RT À REFAIRE",AK391="À RÉPARER",AK391="COUPE – À RESOUDER",AK391="VT REJETÉ – À REPRENDRE")),MAX(0,'PROGRAMME RT'!$C$4-P391),"")</f>
        <v/>
      </c>
      <c r="AM391" s="78" t="n">
        <f aca="false">IF(AND(OR(AK391="À RADIOGRAPHIER",AK391="RÉPARÉ – À RADIOGRAPHIER",AK391="NX – RT À REFAIRE"),OR('PROGRAMME RT'!$D$5="TOUTES",B391='PROGRAMME RT'!$D$5)),1,0)</f>
        <v>0</v>
      </c>
      <c r="AN391" s="78" t="str">
        <f aca="false">IF(AM391=1,SUM(AM$7:AM391),"")</f>
        <v/>
      </c>
      <c r="AO391" s="78" t="n">
        <f aca="false">IF(AND(OR(AK391="À RÉPARER",AK391="COUPE – À RESOUDER",AK391="VT REJETÉ – À REPRENDRE"),OR(RÉPARATIONS!$D$5="TOUTES",B391=RÉPARATIONS!$D$5)),1,0)</f>
        <v>0</v>
      </c>
      <c r="AP391" s="78" t="str">
        <f aca="false">IF(AO391=1,SUM(AO$7:AO391),"")</f>
        <v/>
      </c>
    </row>
    <row r="392" customFormat="false" ht="15" hidden="false" customHeight="false" outlineLevel="0" collapsed="false">
      <c r="A392" s="78" t="str">
        <f aca="false">IF(E392="","",ROW()-6)</f>
        <v/>
      </c>
      <c r="B392" s="79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1"/>
      <c r="Q392" s="81"/>
      <c r="R392" s="80"/>
      <c r="S392" s="80"/>
      <c r="T392" s="81"/>
      <c r="U392" s="80"/>
      <c r="V392" s="80"/>
      <c r="W392" s="80"/>
      <c r="X392" s="80"/>
      <c r="Y392" s="81"/>
      <c r="Z392" s="80"/>
      <c r="AA392" s="80"/>
      <c r="AB392" s="80"/>
      <c r="AC392" s="80"/>
      <c r="AD392" s="81"/>
      <c r="AE392" s="80"/>
      <c r="AF392" s="80"/>
      <c r="AG392" s="81"/>
      <c r="AH392" s="79"/>
      <c r="AI392" s="78" t="str">
        <f aca="false">IF(E392="","",(V392&lt;&gt;"")+(AA392&lt;&gt;"")+(AF392&lt;&gt;""))</f>
        <v/>
      </c>
      <c r="AJ392" s="82" t="str">
        <f aca="false">IF(AF392&lt;&gt;"",AF392,IF(AA392&lt;&gt;"",AA392,IF(V392&lt;&gt;"",V392,"")))</f>
        <v/>
      </c>
      <c r="AK392" s="83" t="str">
        <f aca="false">IF(E392="","",IF(P392="","À SOUDER",IF(S392="","VT EN ATTENTE",IF(S392="R","VT REJETÉ – À REPRENDRE",IF(AJ392="","À RADIOGRAPHIER",IF(AJ392="A","ACCEPTÉ",IF(AJ392="NX","NX – RT À REFAIRE",IF(IF(AI392=1,X392,IF(AI392=2,AC392,""))="A","RÉPARÉ – À RADIOGRAPHIER",IF(IF(AI392=1,X392,IF(AI392=2,AC392,""))="R","VT REJETÉ – À REPRENDRE",IF(AJ392="CO","COUPE – À RESOUDER","À RÉPARER"))))))))))</f>
        <v/>
      </c>
      <c r="AL392" s="82" t="str">
        <f aca="false">IF(AND(ISNUMBER(P392),OR(AK392="À RADIOGRAPHIER",AK392="RÉPARÉ – À RADIOGRAPHIER",AK392="NX – RT À REFAIRE",AK392="À RÉPARER",AK392="COUPE – À RESOUDER",AK392="VT REJETÉ – À REPRENDRE")),MAX(0,'PROGRAMME RT'!$C$4-P392),"")</f>
        <v/>
      </c>
      <c r="AM392" s="78" t="n">
        <f aca="false">IF(AND(OR(AK392="À RADIOGRAPHIER",AK392="RÉPARÉ – À RADIOGRAPHIER",AK392="NX – RT À REFAIRE"),OR('PROGRAMME RT'!$D$5="TOUTES",B392='PROGRAMME RT'!$D$5)),1,0)</f>
        <v>0</v>
      </c>
      <c r="AN392" s="78" t="str">
        <f aca="false">IF(AM392=1,SUM(AM$7:AM392),"")</f>
        <v/>
      </c>
      <c r="AO392" s="78" t="n">
        <f aca="false">IF(AND(OR(AK392="À RÉPARER",AK392="COUPE – À RESOUDER",AK392="VT REJETÉ – À REPRENDRE"),OR(RÉPARATIONS!$D$5="TOUTES",B392=RÉPARATIONS!$D$5)),1,0)</f>
        <v>0</v>
      </c>
      <c r="AP392" s="78" t="str">
        <f aca="false">IF(AO392=1,SUM(AO$7:AO392),"")</f>
        <v/>
      </c>
    </row>
    <row r="393" customFormat="false" ht="15" hidden="false" customHeight="false" outlineLevel="0" collapsed="false">
      <c r="A393" s="78" t="str">
        <f aca="false">IF(E393="","",ROW()-6)</f>
        <v/>
      </c>
      <c r="B393" s="79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1"/>
      <c r="Q393" s="81"/>
      <c r="R393" s="80"/>
      <c r="S393" s="80"/>
      <c r="T393" s="81"/>
      <c r="U393" s="80"/>
      <c r="V393" s="80"/>
      <c r="W393" s="80"/>
      <c r="X393" s="80"/>
      <c r="Y393" s="81"/>
      <c r="Z393" s="80"/>
      <c r="AA393" s="80"/>
      <c r="AB393" s="80"/>
      <c r="AC393" s="80"/>
      <c r="AD393" s="81"/>
      <c r="AE393" s="80"/>
      <c r="AF393" s="80"/>
      <c r="AG393" s="81"/>
      <c r="AH393" s="79"/>
      <c r="AI393" s="78" t="str">
        <f aca="false">IF(E393="","",(V393&lt;&gt;"")+(AA393&lt;&gt;"")+(AF393&lt;&gt;""))</f>
        <v/>
      </c>
      <c r="AJ393" s="82" t="str">
        <f aca="false">IF(AF393&lt;&gt;"",AF393,IF(AA393&lt;&gt;"",AA393,IF(V393&lt;&gt;"",V393,"")))</f>
        <v/>
      </c>
      <c r="AK393" s="83" t="str">
        <f aca="false">IF(E393="","",IF(P393="","À SOUDER",IF(S393="","VT EN ATTENTE",IF(S393="R","VT REJETÉ – À REPRENDRE",IF(AJ393="","À RADIOGRAPHIER",IF(AJ393="A","ACCEPTÉ",IF(AJ393="NX","NX – RT À REFAIRE",IF(IF(AI393=1,X393,IF(AI393=2,AC393,""))="A","RÉPARÉ – À RADIOGRAPHIER",IF(IF(AI393=1,X393,IF(AI393=2,AC393,""))="R","VT REJETÉ – À REPRENDRE",IF(AJ393="CO","COUPE – À RESOUDER","À RÉPARER"))))))))))</f>
        <v/>
      </c>
      <c r="AL393" s="82" t="str">
        <f aca="false">IF(AND(ISNUMBER(P393),OR(AK393="À RADIOGRAPHIER",AK393="RÉPARÉ – À RADIOGRAPHIER",AK393="NX – RT À REFAIRE",AK393="À RÉPARER",AK393="COUPE – À RESOUDER",AK393="VT REJETÉ – À REPRENDRE")),MAX(0,'PROGRAMME RT'!$C$4-P393),"")</f>
        <v/>
      </c>
      <c r="AM393" s="78" t="n">
        <f aca="false">IF(AND(OR(AK393="À RADIOGRAPHIER",AK393="RÉPARÉ – À RADIOGRAPHIER",AK393="NX – RT À REFAIRE"),OR('PROGRAMME RT'!$D$5="TOUTES",B393='PROGRAMME RT'!$D$5)),1,0)</f>
        <v>0</v>
      </c>
      <c r="AN393" s="78" t="str">
        <f aca="false">IF(AM393=1,SUM(AM$7:AM393),"")</f>
        <v/>
      </c>
      <c r="AO393" s="78" t="n">
        <f aca="false">IF(AND(OR(AK393="À RÉPARER",AK393="COUPE – À RESOUDER",AK393="VT REJETÉ – À REPRENDRE"),OR(RÉPARATIONS!$D$5="TOUTES",B393=RÉPARATIONS!$D$5)),1,0)</f>
        <v>0</v>
      </c>
      <c r="AP393" s="78" t="str">
        <f aca="false">IF(AO393=1,SUM(AO$7:AO393),"")</f>
        <v/>
      </c>
    </row>
    <row r="394" customFormat="false" ht="15" hidden="false" customHeight="false" outlineLevel="0" collapsed="false">
      <c r="A394" s="78" t="str">
        <f aca="false">IF(E394="","",ROW()-6)</f>
        <v/>
      </c>
      <c r="B394" s="79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1"/>
      <c r="Q394" s="81"/>
      <c r="R394" s="80"/>
      <c r="S394" s="80"/>
      <c r="T394" s="81"/>
      <c r="U394" s="80"/>
      <c r="V394" s="80"/>
      <c r="W394" s="80"/>
      <c r="X394" s="80"/>
      <c r="Y394" s="81"/>
      <c r="Z394" s="80"/>
      <c r="AA394" s="80"/>
      <c r="AB394" s="80"/>
      <c r="AC394" s="80"/>
      <c r="AD394" s="81"/>
      <c r="AE394" s="80"/>
      <c r="AF394" s="80"/>
      <c r="AG394" s="81"/>
      <c r="AH394" s="79"/>
      <c r="AI394" s="78" t="str">
        <f aca="false">IF(E394="","",(V394&lt;&gt;"")+(AA394&lt;&gt;"")+(AF394&lt;&gt;""))</f>
        <v/>
      </c>
      <c r="AJ394" s="82" t="str">
        <f aca="false">IF(AF394&lt;&gt;"",AF394,IF(AA394&lt;&gt;"",AA394,IF(V394&lt;&gt;"",V394,"")))</f>
        <v/>
      </c>
      <c r="AK394" s="83" t="str">
        <f aca="false">IF(E394="","",IF(P394="","À SOUDER",IF(S394="","VT EN ATTENTE",IF(S394="R","VT REJETÉ – À REPRENDRE",IF(AJ394="","À RADIOGRAPHIER",IF(AJ394="A","ACCEPTÉ",IF(AJ394="NX","NX – RT À REFAIRE",IF(IF(AI394=1,X394,IF(AI394=2,AC394,""))="A","RÉPARÉ – À RADIOGRAPHIER",IF(IF(AI394=1,X394,IF(AI394=2,AC394,""))="R","VT REJETÉ – À REPRENDRE",IF(AJ394="CO","COUPE – À RESOUDER","À RÉPARER"))))))))))</f>
        <v/>
      </c>
      <c r="AL394" s="82" t="str">
        <f aca="false">IF(AND(ISNUMBER(P394),OR(AK394="À RADIOGRAPHIER",AK394="RÉPARÉ – À RADIOGRAPHIER",AK394="NX – RT À REFAIRE",AK394="À RÉPARER",AK394="COUPE – À RESOUDER",AK394="VT REJETÉ – À REPRENDRE")),MAX(0,'PROGRAMME RT'!$C$4-P394),"")</f>
        <v/>
      </c>
      <c r="AM394" s="78" t="n">
        <f aca="false">IF(AND(OR(AK394="À RADIOGRAPHIER",AK394="RÉPARÉ – À RADIOGRAPHIER",AK394="NX – RT À REFAIRE"),OR('PROGRAMME RT'!$D$5="TOUTES",B394='PROGRAMME RT'!$D$5)),1,0)</f>
        <v>0</v>
      </c>
      <c r="AN394" s="78" t="str">
        <f aca="false">IF(AM394=1,SUM(AM$7:AM394),"")</f>
        <v/>
      </c>
      <c r="AO394" s="78" t="n">
        <f aca="false">IF(AND(OR(AK394="À RÉPARER",AK394="COUPE – À RESOUDER",AK394="VT REJETÉ – À REPRENDRE"),OR(RÉPARATIONS!$D$5="TOUTES",B394=RÉPARATIONS!$D$5)),1,0)</f>
        <v>0</v>
      </c>
      <c r="AP394" s="78" t="str">
        <f aca="false">IF(AO394=1,SUM(AO$7:AO394),"")</f>
        <v/>
      </c>
    </row>
    <row r="395" customFormat="false" ht="15" hidden="false" customHeight="false" outlineLevel="0" collapsed="false">
      <c r="A395" s="78" t="str">
        <f aca="false">IF(E395="","",ROW()-6)</f>
        <v/>
      </c>
      <c r="B395" s="79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1"/>
      <c r="Q395" s="81"/>
      <c r="R395" s="80"/>
      <c r="S395" s="80"/>
      <c r="T395" s="81"/>
      <c r="U395" s="80"/>
      <c r="V395" s="80"/>
      <c r="W395" s="80"/>
      <c r="X395" s="80"/>
      <c r="Y395" s="81"/>
      <c r="Z395" s="80"/>
      <c r="AA395" s="80"/>
      <c r="AB395" s="80"/>
      <c r="AC395" s="80"/>
      <c r="AD395" s="81"/>
      <c r="AE395" s="80"/>
      <c r="AF395" s="80"/>
      <c r="AG395" s="81"/>
      <c r="AH395" s="79"/>
      <c r="AI395" s="78" t="str">
        <f aca="false">IF(E395="","",(V395&lt;&gt;"")+(AA395&lt;&gt;"")+(AF395&lt;&gt;""))</f>
        <v/>
      </c>
      <c r="AJ395" s="82" t="str">
        <f aca="false">IF(AF395&lt;&gt;"",AF395,IF(AA395&lt;&gt;"",AA395,IF(V395&lt;&gt;"",V395,"")))</f>
        <v/>
      </c>
      <c r="AK395" s="83" t="str">
        <f aca="false">IF(E395="","",IF(P395="","À SOUDER",IF(S395="","VT EN ATTENTE",IF(S395="R","VT REJETÉ – À REPRENDRE",IF(AJ395="","À RADIOGRAPHIER",IF(AJ395="A","ACCEPTÉ",IF(AJ395="NX","NX – RT À REFAIRE",IF(IF(AI395=1,X395,IF(AI395=2,AC395,""))="A","RÉPARÉ – À RADIOGRAPHIER",IF(IF(AI395=1,X395,IF(AI395=2,AC395,""))="R","VT REJETÉ – À REPRENDRE",IF(AJ395="CO","COUPE – À RESOUDER","À RÉPARER"))))))))))</f>
        <v/>
      </c>
      <c r="AL395" s="82" t="str">
        <f aca="false">IF(AND(ISNUMBER(P395),OR(AK395="À RADIOGRAPHIER",AK395="RÉPARÉ – À RADIOGRAPHIER",AK395="NX – RT À REFAIRE",AK395="À RÉPARER",AK395="COUPE – À RESOUDER",AK395="VT REJETÉ – À REPRENDRE")),MAX(0,'PROGRAMME RT'!$C$4-P395),"")</f>
        <v/>
      </c>
      <c r="AM395" s="78" t="n">
        <f aca="false">IF(AND(OR(AK395="À RADIOGRAPHIER",AK395="RÉPARÉ – À RADIOGRAPHIER",AK395="NX – RT À REFAIRE"),OR('PROGRAMME RT'!$D$5="TOUTES",B395='PROGRAMME RT'!$D$5)),1,0)</f>
        <v>0</v>
      </c>
      <c r="AN395" s="78" t="str">
        <f aca="false">IF(AM395=1,SUM(AM$7:AM395),"")</f>
        <v/>
      </c>
      <c r="AO395" s="78" t="n">
        <f aca="false">IF(AND(OR(AK395="À RÉPARER",AK395="COUPE – À RESOUDER",AK395="VT REJETÉ – À REPRENDRE"),OR(RÉPARATIONS!$D$5="TOUTES",B395=RÉPARATIONS!$D$5)),1,0)</f>
        <v>0</v>
      </c>
      <c r="AP395" s="78" t="str">
        <f aca="false">IF(AO395=1,SUM(AO$7:AO395),"")</f>
        <v/>
      </c>
    </row>
    <row r="396" customFormat="false" ht="15" hidden="false" customHeight="false" outlineLevel="0" collapsed="false">
      <c r="A396" s="78" t="str">
        <f aca="false">IF(E396="","",ROW()-6)</f>
        <v/>
      </c>
      <c r="B396" s="79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1"/>
      <c r="Q396" s="81"/>
      <c r="R396" s="80"/>
      <c r="S396" s="80"/>
      <c r="T396" s="81"/>
      <c r="U396" s="80"/>
      <c r="V396" s="80"/>
      <c r="W396" s="80"/>
      <c r="X396" s="80"/>
      <c r="Y396" s="81"/>
      <c r="Z396" s="80"/>
      <c r="AA396" s="80"/>
      <c r="AB396" s="80"/>
      <c r="AC396" s="80"/>
      <c r="AD396" s="81"/>
      <c r="AE396" s="80"/>
      <c r="AF396" s="80"/>
      <c r="AG396" s="81"/>
      <c r="AH396" s="79"/>
      <c r="AI396" s="78" t="str">
        <f aca="false">IF(E396="","",(V396&lt;&gt;"")+(AA396&lt;&gt;"")+(AF396&lt;&gt;""))</f>
        <v/>
      </c>
      <c r="AJ396" s="82" t="str">
        <f aca="false">IF(AF396&lt;&gt;"",AF396,IF(AA396&lt;&gt;"",AA396,IF(V396&lt;&gt;"",V396,"")))</f>
        <v/>
      </c>
      <c r="AK396" s="83" t="str">
        <f aca="false">IF(E396="","",IF(P396="","À SOUDER",IF(S396="","VT EN ATTENTE",IF(S396="R","VT REJETÉ – À REPRENDRE",IF(AJ396="","À RADIOGRAPHIER",IF(AJ396="A","ACCEPTÉ",IF(AJ396="NX","NX – RT À REFAIRE",IF(IF(AI396=1,X396,IF(AI396=2,AC396,""))="A","RÉPARÉ – À RADIOGRAPHIER",IF(IF(AI396=1,X396,IF(AI396=2,AC396,""))="R","VT REJETÉ – À REPRENDRE",IF(AJ396="CO","COUPE – À RESOUDER","À RÉPARER"))))))))))</f>
        <v/>
      </c>
      <c r="AL396" s="82" t="str">
        <f aca="false">IF(AND(ISNUMBER(P396),OR(AK396="À RADIOGRAPHIER",AK396="RÉPARÉ – À RADIOGRAPHIER",AK396="NX – RT À REFAIRE",AK396="À RÉPARER",AK396="COUPE – À RESOUDER",AK396="VT REJETÉ – À REPRENDRE")),MAX(0,'PROGRAMME RT'!$C$4-P396),"")</f>
        <v/>
      </c>
      <c r="AM396" s="78" t="n">
        <f aca="false">IF(AND(OR(AK396="À RADIOGRAPHIER",AK396="RÉPARÉ – À RADIOGRAPHIER",AK396="NX – RT À REFAIRE"),OR('PROGRAMME RT'!$D$5="TOUTES",B396='PROGRAMME RT'!$D$5)),1,0)</f>
        <v>0</v>
      </c>
      <c r="AN396" s="78" t="str">
        <f aca="false">IF(AM396=1,SUM(AM$7:AM396),"")</f>
        <v/>
      </c>
      <c r="AO396" s="78" t="n">
        <f aca="false">IF(AND(OR(AK396="À RÉPARER",AK396="COUPE – À RESOUDER",AK396="VT REJETÉ – À REPRENDRE"),OR(RÉPARATIONS!$D$5="TOUTES",B396=RÉPARATIONS!$D$5)),1,0)</f>
        <v>0</v>
      </c>
      <c r="AP396" s="78" t="str">
        <f aca="false">IF(AO396=1,SUM(AO$7:AO396),"")</f>
        <v/>
      </c>
    </row>
    <row r="397" customFormat="false" ht="15" hidden="false" customHeight="false" outlineLevel="0" collapsed="false">
      <c r="A397" s="78" t="str">
        <f aca="false">IF(E397="","",ROW()-6)</f>
        <v/>
      </c>
      <c r="B397" s="79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1"/>
      <c r="Q397" s="81"/>
      <c r="R397" s="80"/>
      <c r="S397" s="80"/>
      <c r="T397" s="81"/>
      <c r="U397" s="80"/>
      <c r="V397" s="80"/>
      <c r="W397" s="80"/>
      <c r="X397" s="80"/>
      <c r="Y397" s="81"/>
      <c r="Z397" s="80"/>
      <c r="AA397" s="80"/>
      <c r="AB397" s="80"/>
      <c r="AC397" s="80"/>
      <c r="AD397" s="81"/>
      <c r="AE397" s="80"/>
      <c r="AF397" s="80"/>
      <c r="AG397" s="81"/>
      <c r="AH397" s="79"/>
      <c r="AI397" s="78" t="str">
        <f aca="false">IF(E397="","",(V397&lt;&gt;"")+(AA397&lt;&gt;"")+(AF397&lt;&gt;""))</f>
        <v/>
      </c>
      <c r="AJ397" s="82" t="str">
        <f aca="false">IF(AF397&lt;&gt;"",AF397,IF(AA397&lt;&gt;"",AA397,IF(V397&lt;&gt;"",V397,"")))</f>
        <v/>
      </c>
      <c r="AK397" s="83" t="str">
        <f aca="false">IF(E397="","",IF(P397="","À SOUDER",IF(S397="","VT EN ATTENTE",IF(S397="R","VT REJETÉ – À REPRENDRE",IF(AJ397="","À RADIOGRAPHIER",IF(AJ397="A","ACCEPTÉ",IF(AJ397="NX","NX – RT À REFAIRE",IF(IF(AI397=1,X397,IF(AI397=2,AC397,""))="A","RÉPARÉ – À RADIOGRAPHIER",IF(IF(AI397=1,X397,IF(AI397=2,AC397,""))="R","VT REJETÉ – À REPRENDRE",IF(AJ397="CO","COUPE – À RESOUDER","À RÉPARER"))))))))))</f>
        <v/>
      </c>
      <c r="AL397" s="82" t="str">
        <f aca="false">IF(AND(ISNUMBER(P397),OR(AK397="À RADIOGRAPHIER",AK397="RÉPARÉ – À RADIOGRAPHIER",AK397="NX – RT À REFAIRE",AK397="À RÉPARER",AK397="COUPE – À RESOUDER",AK397="VT REJETÉ – À REPRENDRE")),MAX(0,'PROGRAMME RT'!$C$4-P397),"")</f>
        <v/>
      </c>
      <c r="AM397" s="78" t="n">
        <f aca="false">IF(AND(OR(AK397="À RADIOGRAPHIER",AK397="RÉPARÉ – À RADIOGRAPHIER",AK397="NX – RT À REFAIRE"),OR('PROGRAMME RT'!$D$5="TOUTES",B397='PROGRAMME RT'!$D$5)),1,0)</f>
        <v>0</v>
      </c>
      <c r="AN397" s="78" t="str">
        <f aca="false">IF(AM397=1,SUM(AM$7:AM397),"")</f>
        <v/>
      </c>
      <c r="AO397" s="78" t="n">
        <f aca="false">IF(AND(OR(AK397="À RÉPARER",AK397="COUPE – À RESOUDER",AK397="VT REJETÉ – À REPRENDRE"),OR(RÉPARATIONS!$D$5="TOUTES",B397=RÉPARATIONS!$D$5)),1,0)</f>
        <v>0</v>
      </c>
      <c r="AP397" s="78" t="str">
        <f aca="false">IF(AO397=1,SUM(AO$7:AO397),"")</f>
        <v/>
      </c>
    </row>
    <row r="398" customFormat="false" ht="15" hidden="false" customHeight="false" outlineLevel="0" collapsed="false">
      <c r="A398" s="78" t="str">
        <f aca="false">IF(E398="","",ROW()-6)</f>
        <v/>
      </c>
      <c r="B398" s="79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1"/>
      <c r="Q398" s="81"/>
      <c r="R398" s="80"/>
      <c r="S398" s="80"/>
      <c r="T398" s="81"/>
      <c r="U398" s="80"/>
      <c r="V398" s="80"/>
      <c r="W398" s="80"/>
      <c r="X398" s="80"/>
      <c r="Y398" s="81"/>
      <c r="Z398" s="80"/>
      <c r="AA398" s="80"/>
      <c r="AB398" s="80"/>
      <c r="AC398" s="80"/>
      <c r="AD398" s="81"/>
      <c r="AE398" s="80"/>
      <c r="AF398" s="80"/>
      <c r="AG398" s="81"/>
      <c r="AH398" s="79"/>
      <c r="AI398" s="78" t="str">
        <f aca="false">IF(E398="","",(V398&lt;&gt;"")+(AA398&lt;&gt;"")+(AF398&lt;&gt;""))</f>
        <v/>
      </c>
      <c r="AJ398" s="82" t="str">
        <f aca="false">IF(AF398&lt;&gt;"",AF398,IF(AA398&lt;&gt;"",AA398,IF(V398&lt;&gt;"",V398,"")))</f>
        <v/>
      </c>
      <c r="AK398" s="83" t="str">
        <f aca="false">IF(E398="","",IF(P398="","À SOUDER",IF(S398="","VT EN ATTENTE",IF(S398="R","VT REJETÉ – À REPRENDRE",IF(AJ398="","À RADIOGRAPHIER",IF(AJ398="A","ACCEPTÉ",IF(AJ398="NX","NX – RT À REFAIRE",IF(IF(AI398=1,X398,IF(AI398=2,AC398,""))="A","RÉPARÉ – À RADIOGRAPHIER",IF(IF(AI398=1,X398,IF(AI398=2,AC398,""))="R","VT REJETÉ – À REPRENDRE",IF(AJ398="CO","COUPE – À RESOUDER","À RÉPARER"))))))))))</f>
        <v/>
      </c>
      <c r="AL398" s="82" t="str">
        <f aca="false">IF(AND(ISNUMBER(P398),OR(AK398="À RADIOGRAPHIER",AK398="RÉPARÉ – À RADIOGRAPHIER",AK398="NX – RT À REFAIRE",AK398="À RÉPARER",AK398="COUPE – À RESOUDER",AK398="VT REJETÉ – À REPRENDRE")),MAX(0,'PROGRAMME RT'!$C$4-P398),"")</f>
        <v/>
      </c>
      <c r="AM398" s="78" t="n">
        <f aca="false">IF(AND(OR(AK398="À RADIOGRAPHIER",AK398="RÉPARÉ – À RADIOGRAPHIER",AK398="NX – RT À REFAIRE"),OR('PROGRAMME RT'!$D$5="TOUTES",B398='PROGRAMME RT'!$D$5)),1,0)</f>
        <v>0</v>
      </c>
      <c r="AN398" s="78" t="str">
        <f aca="false">IF(AM398=1,SUM(AM$7:AM398),"")</f>
        <v/>
      </c>
      <c r="AO398" s="78" t="n">
        <f aca="false">IF(AND(OR(AK398="À RÉPARER",AK398="COUPE – À RESOUDER",AK398="VT REJETÉ – À REPRENDRE"),OR(RÉPARATIONS!$D$5="TOUTES",B398=RÉPARATIONS!$D$5)),1,0)</f>
        <v>0</v>
      </c>
      <c r="AP398" s="78" t="str">
        <f aca="false">IF(AO398=1,SUM(AO$7:AO398),"")</f>
        <v/>
      </c>
    </row>
    <row r="399" customFormat="false" ht="15" hidden="false" customHeight="false" outlineLevel="0" collapsed="false">
      <c r="A399" s="78" t="str">
        <f aca="false">IF(E399="","",ROW()-6)</f>
        <v/>
      </c>
      <c r="B399" s="79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1"/>
      <c r="Q399" s="81"/>
      <c r="R399" s="80"/>
      <c r="S399" s="80"/>
      <c r="T399" s="81"/>
      <c r="U399" s="80"/>
      <c r="V399" s="80"/>
      <c r="W399" s="80"/>
      <c r="X399" s="80"/>
      <c r="Y399" s="81"/>
      <c r="Z399" s="80"/>
      <c r="AA399" s="80"/>
      <c r="AB399" s="80"/>
      <c r="AC399" s="80"/>
      <c r="AD399" s="81"/>
      <c r="AE399" s="80"/>
      <c r="AF399" s="80"/>
      <c r="AG399" s="81"/>
      <c r="AH399" s="79"/>
      <c r="AI399" s="78" t="str">
        <f aca="false">IF(E399="","",(V399&lt;&gt;"")+(AA399&lt;&gt;"")+(AF399&lt;&gt;""))</f>
        <v/>
      </c>
      <c r="AJ399" s="82" t="str">
        <f aca="false">IF(AF399&lt;&gt;"",AF399,IF(AA399&lt;&gt;"",AA399,IF(V399&lt;&gt;"",V399,"")))</f>
        <v/>
      </c>
      <c r="AK399" s="83" t="str">
        <f aca="false">IF(E399="","",IF(P399="","À SOUDER",IF(S399="","VT EN ATTENTE",IF(S399="R","VT REJETÉ – À REPRENDRE",IF(AJ399="","À RADIOGRAPHIER",IF(AJ399="A","ACCEPTÉ",IF(AJ399="NX","NX – RT À REFAIRE",IF(IF(AI399=1,X399,IF(AI399=2,AC399,""))="A","RÉPARÉ – À RADIOGRAPHIER",IF(IF(AI399=1,X399,IF(AI399=2,AC399,""))="R","VT REJETÉ – À REPRENDRE",IF(AJ399="CO","COUPE – À RESOUDER","À RÉPARER"))))))))))</f>
        <v/>
      </c>
      <c r="AL399" s="82" t="str">
        <f aca="false">IF(AND(ISNUMBER(P399),OR(AK399="À RADIOGRAPHIER",AK399="RÉPARÉ – À RADIOGRAPHIER",AK399="NX – RT À REFAIRE",AK399="À RÉPARER",AK399="COUPE – À RESOUDER",AK399="VT REJETÉ – À REPRENDRE")),MAX(0,'PROGRAMME RT'!$C$4-P399),"")</f>
        <v/>
      </c>
      <c r="AM399" s="78" t="n">
        <f aca="false">IF(AND(OR(AK399="À RADIOGRAPHIER",AK399="RÉPARÉ – À RADIOGRAPHIER",AK399="NX – RT À REFAIRE"),OR('PROGRAMME RT'!$D$5="TOUTES",B399='PROGRAMME RT'!$D$5)),1,0)</f>
        <v>0</v>
      </c>
      <c r="AN399" s="78" t="str">
        <f aca="false">IF(AM399=1,SUM(AM$7:AM399),"")</f>
        <v/>
      </c>
      <c r="AO399" s="78" t="n">
        <f aca="false">IF(AND(OR(AK399="À RÉPARER",AK399="COUPE – À RESOUDER",AK399="VT REJETÉ – À REPRENDRE"),OR(RÉPARATIONS!$D$5="TOUTES",B399=RÉPARATIONS!$D$5)),1,0)</f>
        <v>0</v>
      </c>
      <c r="AP399" s="78" t="str">
        <f aca="false">IF(AO399=1,SUM(AO$7:AO399),"")</f>
        <v/>
      </c>
    </row>
    <row r="400" customFormat="false" ht="15" hidden="false" customHeight="false" outlineLevel="0" collapsed="false">
      <c r="A400" s="78" t="str">
        <f aca="false">IF(E400="","",ROW()-6)</f>
        <v/>
      </c>
      <c r="B400" s="79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1"/>
      <c r="Q400" s="81"/>
      <c r="R400" s="80"/>
      <c r="S400" s="80"/>
      <c r="T400" s="81"/>
      <c r="U400" s="80"/>
      <c r="V400" s="80"/>
      <c r="W400" s="80"/>
      <c r="X400" s="80"/>
      <c r="Y400" s="81"/>
      <c r="Z400" s="80"/>
      <c r="AA400" s="80"/>
      <c r="AB400" s="80"/>
      <c r="AC400" s="80"/>
      <c r="AD400" s="81"/>
      <c r="AE400" s="80"/>
      <c r="AF400" s="80"/>
      <c r="AG400" s="81"/>
      <c r="AH400" s="79"/>
      <c r="AI400" s="78" t="str">
        <f aca="false">IF(E400="","",(V400&lt;&gt;"")+(AA400&lt;&gt;"")+(AF400&lt;&gt;""))</f>
        <v/>
      </c>
      <c r="AJ400" s="82" t="str">
        <f aca="false">IF(AF400&lt;&gt;"",AF400,IF(AA400&lt;&gt;"",AA400,IF(V400&lt;&gt;"",V400,"")))</f>
        <v/>
      </c>
      <c r="AK400" s="83" t="str">
        <f aca="false">IF(E400="","",IF(P400="","À SOUDER",IF(S400="","VT EN ATTENTE",IF(S400="R","VT REJETÉ – À REPRENDRE",IF(AJ400="","À RADIOGRAPHIER",IF(AJ400="A","ACCEPTÉ",IF(AJ400="NX","NX – RT À REFAIRE",IF(IF(AI400=1,X400,IF(AI400=2,AC400,""))="A","RÉPARÉ – À RADIOGRAPHIER",IF(IF(AI400=1,X400,IF(AI400=2,AC400,""))="R","VT REJETÉ – À REPRENDRE",IF(AJ400="CO","COUPE – À RESOUDER","À RÉPARER"))))))))))</f>
        <v/>
      </c>
      <c r="AL400" s="82" t="str">
        <f aca="false">IF(AND(ISNUMBER(P400),OR(AK400="À RADIOGRAPHIER",AK400="RÉPARÉ – À RADIOGRAPHIER",AK400="NX – RT À REFAIRE",AK400="À RÉPARER",AK400="COUPE – À RESOUDER",AK400="VT REJETÉ – À REPRENDRE")),MAX(0,'PROGRAMME RT'!$C$4-P400),"")</f>
        <v/>
      </c>
      <c r="AM400" s="78" t="n">
        <f aca="false">IF(AND(OR(AK400="À RADIOGRAPHIER",AK400="RÉPARÉ – À RADIOGRAPHIER",AK400="NX – RT À REFAIRE"),OR('PROGRAMME RT'!$D$5="TOUTES",B400='PROGRAMME RT'!$D$5)),1,0)</f>
        <v>0</v>
      </c>
      <c r="AN400" s="78" t="str">
        <f aca="false">IF(AM400=1,SUM(AM$7:AM400),"")</f>
        <v/>
      </c>
      <c r="AO400" s="78" t="n">
        <f aca="false">IF(AND(OR(AK400="À RÉPARER",AK400="COUPE – À RESOUDER",AK400="VT REJETÉ – À REPRENDRE"),OR(RÉPARATIONS!$D$5="TOUTES",B400=RÉPARATIONS!$D$5)),1,0)</f>
        <v>0</v>
      </c>
      <c r="AP400" s="78" t="str">
        <f aca="false">IF(AO400=1,SUM(AO$7:AO400),"")</f>
        <v/>
      </c>
    </row>
    <row r="401" customFormat="false" ht="15" hidden="false" customHeight="false" outlineLevel="0" collapsed="false">
      <c r="A401" s="78" t="str">
        <f aca="false">IF(E401="","",ROW()-6)</f>
        <v/>
      </c>
      <c r="B401" s="79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1"/>
      <c r="Q401" s="81"/>
      <c r="R401" s="80"/>
      <c r="S401" s="80"/>
      <c r="T401" s="81"/>
      <c r="U401" s="80"/>
      <c r="V401" s="80"/>
      <c r="W401" s="80"/>
      <c r="X401" s="80"/>
      <c r="Y401" s="81"/>
      <c r="Z401" s="80"/>
      <c r="AA401" s="80"/>
      <c r="AB401" s="80"/>
      <c r="AC401" s="80"/>
      <c r="AD401" s="81"/>
      <c r="AE401" s="80"/>
      <c r="AF401" s="80"/>
      <c r="AG401" s="81"/>
      <c r="AH401" s="79"/>
      <c r="AI401" s="78" t="str">
        <f aca="false">IF(E401="","",(V401&lt;&gt;"")+(AA401&lt;&gt;"")+(AF401&lt;&gt;""))</f>
        <v/>
      </c>
      <c r="AJ401" s="82" t="str">
        <f aca="false">IF(AF401&lt;&gt;"",AF401,IF(AA401&lt;&gt;"",AA401,IF(V401&lt;&gt;"",V401,"")))</f>
        <v/>
      </c>
      <c r="AK401" s="83" t="str">
        <f aca="false">IF(E401="","",IF(P401="","À SOUDER",IF(S401="","VT EN ATTENTE",IF(S401="R","VT REJETÉ – À REPRENDRE",IF(AJ401="","À RADIOGRAPHIER",IF(AJ401="A","ACCEPTÉ",IF(AJ401="NX","NX – RT À REFAIRE",IF(IF(AI401=1,X401,IF(AI401=2,AC401,""))="A","RÉPARÉ – À RADIOGRAPHIER",IF(IF(AI401=1,X401,IF(AI401=2,AC401,""))="R","VT REJETÉ – À REPRENDRE",IF(AJ401="CO","COUPE – À RESOUDER","À RÉPARER"))))))))))</f>
        <v/>
      </c>
      <c r="AL401" s="82" t="str">
        <f aca="false">IF(AND(ISNUMBER(P401),OR(AK401="À RADIOGRAPHIER",AK401="RÉPARÉ – À RADIOGRAPHIER",AK401="NX – RT À REFAIRE",AK401="À RÉPARER",AK401="COUPE – À RESOUDER",AK401="VT REJETÉ – À REPRENDRE")),MAX(0,'PROGRAMME RT'!$C$4-P401),"")</f>
        <v/>
      </c>
      <c r="AM401" s="78" t="n">
        <f aca="false">IF(AND(OR(AK401="À RADIOGRAPHIER",AK401="RÉPARÉ – À RADIOGRAPHIER",AK401="NX – RT À REFAIRE"),OR('PROGRAMME RT'!$D$5="TOUTES",B401='PROGRAMME RT'!$D$5)),1,0)</f>
        <v>0</v>
      </c>
      <c r="AN401" s="78" t="str">
        <f aca="false">IF(AM401=1,SUM(AM$7:AM401),"")</f>
        <v/>
      </c>
      <c r="AO401" s="78" t="n">
        <f aca="false">IF(AND(OR(AK401="À RÉPARER",AK401="COUPE – À RESOUDER",AK401="VT REJETÉ – À REPRENDRE"),OR(RÉPARATIONS!$D$5="TOUTES",B401=RÉPARATIONS!$D$5)),1,0)</f>
        <v>0</v>
      </c>
      <c r="AP401" s="78" t="str">
        <f aca="false">IF(AO401=1,SUM(AO$7:AO401),"")</f>
        <v/>
      </c>
    </row>
    <row r="402" customFormat="false" ht="15" hidden="false" customHeight="false" outlineLevel="0" collapsed="false">
      <c r="A402" s="78" t="str">
        <f aca="false">IF(E402="","",ROW()-6)</f>
        <v/>
      </c>
      <c r="B402" s="79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1"/>
      <c r="Q402" s="81"/>
      <c r="R402" s="80"/>
      <c r="S402" s="80"/>
      <c r="T402" s="81"/>
      <c r="U402" s="80"/>
      <c r="V402" s="80"/>
      <c r="W402" s="80"/>
      <c r="X402" s="80"/>
      <c r="Y402" s="81"/>
      <c r="Z402" s="80"/>
      <c r="AA402" s="80"/>
      <c r="AB402" s="80"/>
      <c r="AC402" s="80"/>
      <c r="AD402" s="81"/>
      <c r="AE402" s="80"/>
      <c r="AF402" s="80"/>
      <c r="AG402" s="81"/>
      <c r="AH402" s="79"/>
      <c r="AI402" s="78" t="str">
        <f aca="false">IF(E402="","",(V402&lt;&gt;"")+(AA402&lt;&gt;"")+(AF402&lt;&gt;""))</f>
        <v/>
      </c>
      <c r="AJ402" s="82" t="str">
        <f aca="false">IF(AF402&lt;&gt;"",AF402,IF(AA402&lt;&gt;"",AA402,IF(V402&lt;&gt;"",V402,"")))</f>
        <v/>
      </c>
      <c r="AK402" s="83" t="str">
        <f aca="false">IF(E402="","",IF(P402="","À SOUDER",IF(S402="","VT EN ATTENTE",IF(S402="R","VT REJETÉ – À REPRENDRE",IF(AJ402="","À RADIOGRAPHIER",IF(AJ402="A","ACCEPTÉ",IF(AJ402="NX","NX – RT À REFAIRE",IF(IF(AI402=1,X402,IF(AI402=2,AC402,""))="A","RÉPARÉ – À RADIOGRAPHIER",IF(IF(AI402=1,X402,IF(AI402=2,AC402,""))="R","VT REJETÉ – À REPRENDRE",IF(AJ402="CO","COUPE – À RESOUDER","À RÉPARER"))))))))))</f>
        <v/>
      </c>
      <c r="AL402" s="82" t="str">
        <f aca="false">IF(AND(ISNUMBER(P402),OR(AK402="À RADIOGRAPHIER",AK402="RÉPARÉ – À RADIOGRAPHIER",AK402="NX – RT À REFAIRE",AK402="À RÉPARER",AK402="COUPE – À RESOUDER",AK402="VT REJETÉ – À REPRENDRE")),MAX(0,'PROGRAMME RT'!$C$4-P402),"")</f>
        <v/>
      </c>
      <c r="AM402" s="78" t="n">
        <f aca="false">IF(AND(OR(AK402="À RADIOGRAPHIER",AK402="RÉPARÉ – À RADIOGRAPHIER",AK402="NX – RT À REFAIRE"),OR('PROGRAMME RT'!$D$5="TOUTES",B402='PROGRAMME RT'!$D$5)),1,0)</f>
        <v>0</v>
      </c>
      <c r="AN402" s="78" t="str">
        <f aca="false">IF(AM402=1,SUM(AM$7:AM402),"")</f>
        <v/>
      </c>
      <c r="AO402" s="78" t="n">
        <f aca="false">IF(AND(OR(AK402="À RÉPARER",AK402="COUPE – À RESOUDER",AK402="VT REJETÉ – À REPRENDRE"),OR(RÉPARATIONS!$D$5="TOUTES",B402=RÉPARATIONS!$D$5)),1,0)</f>
        <v>0</v>
      </c>
      <c r="AP402" s="78" t="str">
        <f aca="false">IF(AO402=1,SUM(AO$7:AO402),"")</f>
        <v/>
      </c>
    </row>
    <row r="403" customFormat="false" ht="15" hidden="false" customHeight="false" outlineLevel="0" collapsed="false">
      <c r="A403" s="78" t="str">
        <f aca="false">IF(E403="","",ROW()-6)</f>
        <v/>
      </c>
      <c r="B403" s="79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1"/>
      <c r="Q403" s="81"/>
      <c r="R403" s="80"/>
      <c r="S403" s="80"/>
      <c r="T403" s="81"/>
      <c r="U403" s="80"/>
      <c r="V403" s="80"/>
      <c r="W403" s="80"/>
      <c r="X403" s="80"/>
      <c r="Y403" s="81"/>
      <c r="Z403" s="80"/>
      <c r="AA403" s="80"/>
      <c r="AB403" s="80"/>
      <c r="AC403" s="80"/>
      <c r="AD403" s="81"/>
      <c r="AE403" s="80"/>
      <c r="AF403" s="80"/>
      <c r="AG403" s="81"/>
      <c r="AH403" s="79"/>
      <c r="AI403" s="78" t="str">
        <f aca="false">IF(E403="","",(V403&lt;&gt;"")+(AA403&lt;&gt;"")+(AF403&lt;&gt;""))</f>
        <v/>
      </c>
      <c r="AJ403" s="82" t="str">
        <f aca="false">IF(AF403&lt;&gt;"",AF403,IF(AA403&lt;&gt;"",AA403,IF(V403&lt;&gt;"",V403,"")))</f>
        <v/>
      </c>
      <c r="AK403" s="83" t="str">
        <f aca="false">IF(E403="","",IF(P403="","À SOUDER",IF(S403="","VT EN ATTENTE",IF(S403="R","VT REJETÉ – À REPRENDRE",IF(AJ403="","À RADIOGRAPHIER",IF(AJ403="A","ACCEPTÉ",IF(AJ403="NX","NX – RT À REFAIRE",IF(IF(AI403=1,X403,IF(AI403=2,AC403,""))="A","RÉPARÉ – À RADIOGRAPHIER",IF(IF(AI403=1,X403,IF(AI403=2,AC403,""))="R","VT REJETÉ – À REPRENDRE",IF(AJ403="CO","COUPE – À RESOUDER","À RÉPARER"))))))))))</f>
        <v/>
      </c>
      <c r="AL403" s="82" t="str">
        <f aca="false">IF(AND(ISNUMBER(P403),OR(AK403="À RADIOGRAPHIER",AK403="RÉPARÉ – À RADIOGRAPHIER",AK403="NX – RT À REFAIRE",AK403="À RÉPARER",AK403="COUPE – À RESOUDER",AK403="VT REJETÉ – À REPRENDRE")),MAX(0,'PROGRAMME RT'!$C$4-P403),"")</f>
        <v/>
      </c>
      <c r="AM403" s="78" t="n">
        <f aca="false">IF(AND(OR(AK403="À RADIOGRAPHIER",AK403="RÉPARÉ – À RADIOGRAPHIER",AK403="NX – RT À REFAIRE"),OR('PROGRAMME RT'!$D$5="TOUTES",B403='PROGRAMME RT'!$D$5)),1,0)</f>
        <v>0</v>
      </c>
      <c r="AN403" s="78" t="str">
        <f aca="false">IF(AM403=1,SUM(AM$7:AM403),"")</f>
        <v/>
      </c>
      <c r="AO403" s="78" t="n">
        <f aca="false">IF(AND(OR(AK403="À RÉPARER",AK403="COUPE – À RESOUDER",AK403="VT REJETÉ – À REPRENDRE"),OR(RÉPARATIONS!$D$5="TOUTES",B403=RÉPARATIONS!$D$5)),1,0)</f>
        <v>0</v>
      </c>
      <c r="AP403" s="78" t="str">
        <f aca="false">IF(AO403=1,SUM(AO$7:AO403),"")</f>
        <v/>
      </c>
    </row>
    <row r="404" customFormat="false" ht="15" hidden="false" customHeight="false" outlineLevel="0" collapsed="false">
      <c r="A404" s="78" t="str">
        <f aca="false">IF(E404="","",ROW()-6)</f>
        <v/>
      </c>
      <c r="B404" s="79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1"/>
      <c r="Q404" s="81"/>
      <c r="R404" s="80"/>
      <c r="S404" s="80"/>
      <c r="T404" s="81"/>
      <c r="U404" s="80"/>
      <c r="V404" s="80"/>
      <c r="W404" s="80"/>
      <c r="X404" s="80"/>
      <c r="Y404" s="81"/>
      <c r="Z404" s="80"/>
      <c r="AA404" s="80"/>
      <c r="AB404" s="80"/>
      <c r="AC404" s="80"/>
      <c r="AD404" s="81"/>
      <c r="AE404" s="80"/>
      <c r="AF404" s="80"/>
      <c r="AG404" s="81"/>
      <c r="AH404" s="79"/>
      <c r="AI404" s="78" t="str">
        <f aca="false">IF(E404="","",(V404&lt;&gt;"")+(AA404&lt;&gt;"")+(AF404&lt;&gt;""))</f>
        <v/>
      </c>
      <c r="AJ404" s="82" t="str">
        <f aca="false">IF(AF404&lt;&gt;"",AF404,IF(AA404&lt;&gt;"",AA404,IF(V404&lt;&gt;"",V404,"")))</f>
        <v/>
      </c>
      <c r="AK404" s="83" t="str">
        <f aca="false">IF(E404="","",IF(P404="","À SOUDER",IF(S404="","VT EN ATTENTE",IF(S404="R","VT REJETÉ – À REPRENDRE",IF(AJ404="","À RADIOGRAPHIER",IF(AJ404="A","ACCEPTÉ",IF(AJ404="NX","NX – RT À REFAIRE",IF(IF(AI404=1,X404,IF(AI404=2,AC404,""))="A","RÉPARÉ – À RADIOGRAPHIER",IF(IF(AI404=1,X404,IF(AI404=2,AC404,""))="R","VT REJETÉ – À REPRENDRE",IF(AJ404="CO","COUPE – À RESOUDER","À RÉPARER"))))))))))</f>
        <v/>
      </c>
      <c r="AL404" s="82" t="str">
        <f aca="false">IF(AND(ISNUMBER(P404),OR(AK404="À RADIOGRAPHIER",AK404="RÉPARÉ – À RADIOGRAPHIER",AK404="NX – RT À REFAIRE",AK404="À RÉPARER",AK404="COUPE – À RESOUDER",AK404="VT REJETÉ – À REPRENDRE")),MAX(0,'PROGRAMME RT'!$C$4-P404),"")</f>
        <v/>
      </c>
      <c r="AM404" s="78" t="n">
        <f aca="false">IF(AND(OR(AK404="À RADIOGRAPHIER",AK404="RÉPARÉ – À RADIOGRAPHIER",AK404="NX – RT À REFAIRE"),OR('PROGRAMME RT'!$D$5="TOUTES",B404='PROGRAMME RT'!$D$5)),1,0)</f>
        <v>0</v>
      </c>
      <c r="AN404" s="78" t="str">
        <f aca="false">IF(AM404=1,SUM(AM$7:AM404),"")</f>
        <v/>
      </c>
      <c r="AO404" s="78" t="n">
        <f aca="false">IF(AND(OR(AK404="À RÉPARER",AK404="COUPE – À RESOUDER",AK404="VT REJETÉ – À REPRENDRE"),OR(RÉPARATIONS!$D$5="TOUTES",B404=RÉPARATIONS!$D$5)),1,0)</f>
        <v>0</v>
      </c>
      <c r="AP404" s="78" t="str">
        <f aca="false">IF(AO404=1,SUM(AO$7:AO404),"")</f>
        <v/>
      </c>
    </row>
    <row r="405" customFormat="false" ht="15" hidden="false" customHeight="false" outlineLevel="0" collapsed="false">
      <c r="A405" s="78" t="str">
        <f aca="false">IF(E405="","",ROW()-6)</f>
        <v/>
      </c>
      <c r="B405" s="79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1"/>
      <c r="Q405" s="81"/>
      <c r="R405" s="80"/>
      <c r="S405" s="80"/>
      <c r="T405" s="81"/>
      <c r="U405" s="80"/>
      <c r="V405" s="80"/>
      <c r="W405" s="80"/>
      <c r="X405" s="80"/>
      <c r="Y405" s="81"/>
      <c r="Z405" s="80"/>
      <c r="AA405" s="80"/>
      <c r="AB405" s="80"/>
      <c r="AC405" s="80"/>
      <c r="AD405" s="81"/>
      <c r="AE405" s="80"/>
      <c r="AF405" s="80"/>
      <c r="AG405" s="81"/>
      <c r="AH405" s="79"/>
      <c r="AI405" s="78" t="str">
        <f aca="false">IF(E405="","",(V405&lt;&gt;"")+(AA405&lt;&gt;"")+(AF405&lt;&gt;""))</f>
        <v/>
      </c>
      <c r="AJ405" s="82" t="str">
        <f aca="false">IF(AF405&lt;&gt;"",AF405,IF(AA405&lt;&gt;"",AA405,IF(V405&lt;&gt;"",V405,"")))</f>
        <v/>
      </c>
      <c r="AK405" s="83" t="str">
        <f aca="false">IF(E405="","",IF(P405="","À SOUDER",IF(S405="","VT EN ATTENTE",IF(S405="R","VT REJETÉ – À REPRENDRE",IF(AJ405="","À RADIOGRAPHIER",IF(AJ405="A","ACCEPTÉ",IF(AJ405="NX","NX – RT À REFAIRE",IF(IF(AI405=1,X405,IF(AI405=2,AC405,""))="A","RÉPARÉ – À RADIOGRAPHIER",IF(IF(AI405=1,X405,IF(AI405=2,AC405,""))="R","VT REJETÉ – À REPRENDRE",IF(AJ405="CO","COUPE – À RESOUDER","À RÉPARER"))))))))))</f>
        <v/>
      </c>
      <c r="AL405" s="82" t="str">
        <f aca="false">IF(AND(ISNUMBER(P405),OR(AK405="À RADIOGRAPHIER",AK405="RÉPARÉ – À RADIOGRAPHIER",AK405="NX – RT À REFAIRE",AK405="À RÉPARER",AK405="COUPE – À RESOUDER",AK405="VT REJETÉ – À REPRENDRE")),MAX(0,'PROGRAMME RT'!$C$4-P405),"")</f>
        <v/>
      </c>
      <c r="AM405" s="78" t="n">
        <f aca="false">IF(AND(OR(AK405="À RADIOGRAPHIER",AK405="RÉPARÉ – À RADIOGRAPHIER",AK405="NX – RT À REFAIRE"),OR('PROGRAMME RT'!$D$5="TOUTES",B405='PROGRAMME RT'!$D$5)),1,0)</f>
        <v>0</v>
      </c>
      <c r="AN405" s="78" t="str">
        <f aca="false">IF(AM405=1,SUM(AM$7:AM405),"")</f>
        <v/>
      </c>
      <c r="AO405" s="78" t="n">
        <f aca="false">IF(AND(OR(AK405="À RÉPARER",AK405="COUPE – À RESOUDER",AK405="VT REJETÉ – À REPRENDRE"),OR(RÉPARATIONS!$D$5="TOUTES",B405=RÉPARATIONS!$D$5)),1,0)</f>
        <v>0</v>
      </c>
      <c r="AP405" s="78" t="str">
        <f aca="false">IF(AO405=1,SUM(AO$7:AO405),"")</f>
        <v/>
      </c>
    </row>
    <row r="406" customFormat="false" ht="15" hidden="false" customHeight="false" outlineLevel="0" collapsed="false">
      <c r="A406" s="78" t="str">
        <f aca="false">IF(E406="","",ROW()-6)</f>
        <v/>
      </c>
      <c r="B406" s="79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1"/>
      <c r="Q406" s="81"/>
      <c r="R406" s="80"/>
      <c r="S406" s="80"/>
      <c r="T406" s="81"/>
      <c r="U406" s="80"/>
      <c r="V406" s="80"/>
      <c r="W406" s="80"/>
      <c r="X406" s="80"/>
      <c r="Y406" s="81"/>
      <c r="Z406" s="80"/>
      <c r="AA406" s="80"/>
      <c r="AB406" s="80"/>
      <c r="AC406" s="80"/>
      <c r="AD406" s="81"/>
      <c r="AE406" s="80"/>
      <c r="AF406" s="80"/>
      <c r="AG406" s="81"/>
      <c r="AH406" s="79"/>
      <c r="AI406" s="78" t="str">
        <f aca="false">IF(E406="","",(V406&lt;&gt;"")+(AA406&lt;&gt;"")+(AF406&lt;&gt;""))</f>
        <v/>
      </c>
      <c r="AJ406" s="82" t="str">
        <f aca="false">IF(AF406&lt;&gt;"",AF406,IF(AA406&lt;&gt;"",AA406,IF(V406&lt;&gt;"",V406,"")))</f>
        <v/>
      </c>
      <c r="AK406" s="83" t="str">
        <f aca="false">IF(E406="","",IF(P406="","À SOUDER",IF(S406="","VT EN ATTENTE",IF(S406="R","VT REJETÉ – À REPRENDRE",IF(AJ406="","À RADIOGRAPHIER",IF(AJ406="A","ACCEPTÉ",IF(AJ406="NX","NX – RT À REFAIRE",IF(IF(AI406=1,X406,IF(AI406=2,AC406,""))="A","RÉPARÉ – À RADIOGRAPHIER",IF(IF(AI406=1,X406,IF(AI406=2,AC406,""))="R","VT REJETÉ – À REPRENDRE",IF(AJ406="CO","COUPE – À RESOUDER","À RÉPARER"))))))))))</f>
        <v/>
      </c>
      <c r="AL406" s="82" t="str">
        <f aca="false">IF(AND(ISNUMBER(P406),OR(AK406="À RADIOGRAPHIER",AK406="RÉPARÉ – À RADIOGRAPHIER",AK406="NX – RT À REFAIRE",AK406="À RÉPARER",AK406="COUPE – À RESOUDER",AK406="VT REJETÉ – À REPRENDRE")),MAX(0,'PROGRAMME RT'!$C$4-P406),"")</f>
        <v/>
      </c>
      <c r="AM406" s="78" t="n">
        <f aca="false">IF(AND(OR(AK406="À RADIOGRAPHIER",AK406="RÉPARÉ – À RADIOGRAPHIER",AK406="NX – RT À REFAIRE"),OR('PROGRAMME RT'!$D$5="TOUTES",B406='PROGRAMME RT'!$D$5)),1,0)</f>
        <v>0</v>
      </c>
      <c r="AN406" s="78" t="str">
        <f aca="false">IF(AM406=1,SUM(AM$7:AM406),"")</f>
        <v/>
      </c>
      <c r="AO406" s="78" t="n">
        <f aca="false">IF(AND(OR(AK406="À RÉPARER",AK406="COUPE – À RESOUDER",AK406="VT REJETÉ – À REPRENDRE"),OR(RÉPARATIONS!$D$5="TOUTES",B406=RÉPARATIONS!$D$5)),1,0)</f>
        <v>0</v>
      </c>
      <c r="AP406" s="78" t="str">
        <f aca="false">IF(AO406=1,SUM(AO$7:AO406),"")</f>
        <v/>
      </c>
    </row>
    <row r="407" customFormat="false" ht="15" hidden="false" customHeight="false" outlineLevel="0" collapsed="false">
      <c r="A407" s="78" t="str">
        <f aca="false">IF(E407="","",ROW()-6)</f>
        <v/>
      </c>
      <c r="B407" s="79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1"/>
      <c r="Q407" s="81"/>
      <c r="R407" s="80"/>
      <c r="S407" s="80"/>
      <c r="T407" s="81"/>
      <c r="U407" s="80"/>
      <c r="V407" s="80"/>
      <c r="W407" s="80"/>
      <c r="X407" s="80"/>
      <c r="Y407" s="81"/>
      <c r="Z407" s="80"/>
      <c r="AA407" s="80"/>
      <c r="AB407" s="80"/>
      <c r="AC407" s="80"/>
      <c r="AD407" s="81"/>
      <c r="AE407" s="80"/>
      <c r="AF407" s="80"/>
      <c r="AG407" s="81"/>
      <c r="AH407" s="79"/>
      <c r="AI407" s="78" t="str">
        <f aca="false">IF(E407="","",(V407&lt;&gt;"")+(AA407&lt;&gt;"")+(AF407&lt;&gt;""))</f>
        <v/>
      </c>
      <c r="AJ407" s="82" t="str">
        <f aca="false">IF(AF407&lt;&gt;"",AF407,IF(AA407&lt;&gt;"",AA407,IF(V407&lt;&gt;"",V407,"")))</f>
        <v/>
      </c>
      <c r="AK407" s="83" t="str">
        <f aca="false">IF(E407="","",IF(P407="","À SOUDER",IF(S407="","VT EN ATTENTE",IF(S407="R","VT REJETÉ – À REPRENDRE",IF(AJ407="","À RADIOGRAPHIER",IF(AJ407="A","ACCEPTÉ",IF(AJ407="NX","NX – RT À REFAIRE",IF(IF(AI407=1,X407,IF(AI407=2,AC407,""))="A","RÉPARÉ – À RADIOGRAPHIER",IF(IF(AI407=1,X407,IF(AI407=2,AC407,""))="R","VT REJETÉ – À REPRENDRE",IF(AJ407="CO","COUPE – À RESOUDER","À RÉPARER"))))))))))</f>
        <v/>
      </c>
      <c r="AL407" s="82" t="str">
        <f aca="false">IF(AND(ISNUMBER(P407),OR(AK407="À RADIOGRAPHIER",AK407="RÉPARÉ – À RADIOGRAPHIER",AK407="NX – RT À REFAIRE",AK407="À RÉPARER",AK407="COUPE – À RESOUDER",AK407="VT REJETÉ – À REPRENDRE")),MAX(0,'PROGRAMME RT'!$C$4-P407),"")</f>
        <v/>
      </c>
      <c r="AM407" s="78" t="n">
        <f aca="false">IF(AND(OR(AK407="À RADIOGRAPHIER",AK407="RÉPARÉ – À RADIOGRAPHIER",AK407="NX – RT À REFAIRE"),OR('PROGRAMME RT'!$D$5="TOUTES",B407='PROGRAMME RT'!$D$5)),1,0)</f>
        <v>0</v>
      </c>
      <c r="AN407" s="78" t="str">
        <f aca="false">IF(AM407=1,SUM(AM$7:AM407),"")</f>
        <v/>
      </c>
      <c r="AO407" s="78" t="n">
        <f aca="false">IF(AND(OR(AK407="À RÉPARER",AK407="COUPE – À RESOUDER",AK407="VT REJETÉ – À REPRENDRE"),OR(RÉPARATIONS!$D$5="TOUTES",B407=RÉPARATIONS!$D$5)),1,0)</f>
        <v>0</v>
      </c>
      <c r="AP407" s="78" t="str">
        <f aca="false">IF(AO407=1,SUM(AO$7:AO407),"")</f>
        <v/>
      </c>
    </row>
    <row r="408" customFormat="false" ht="15" hidden="false" customHeight="false" outlineLevel="0" collapsed="false">
      <c r="A408" s="78" t="str">
        <f aca="false">IF(E408="","",ROW()-6)</f>
        <v/>
      </c>
      <c r="B408" s="79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1"/>
      <c r="Q408" s="81"/>
      <c r="R408" s="80"/>
      <c r="S408" s="80"/>
      <c r="T408" s="81"/>
      <c r="U408" s="80"/>
      <c r="V408" s="80"/>
      <c r="W408" s="80"/>
      <c r="X408" s="80"/>
      <c r="Y408" s="81"/>
      <c r="Z408" s="80"/>
      <c r="AA408" s="80"/>
      <c r="AB408" s="80"/>
      <c r="AC408" s="80"/>
      <c r="AD408" s="81"/>
      <c r="AE408" s="80"/>
      <c r="AF408" s="80"/>
      <c r="AG408" s="81"/>
      <c r="AH408" s="79"/>
      <c r="AI408" s="78" t="str">
        <f aca="false">IF(E408="","",(V408&lt;&gt;"")+(AA408&lt;&gt;"")+(AF408&lt;&gt;""))</f>
        <v/>
      </c>
      <c r="AJ408" s="82" t="str">
        <f aca="false">IF(AF408&lt;&gt;"",AF408,IF(AA408&lt;&gt;"",AA408,IF(V408&lt;&gt;"",V408,"")))</f>
        <v/>
      </c>
      <c r="AK408" s="83" t="str">
        <f aca="false">IF(E408="","",IF(P408="","À SOUDER",IF(S408="","VT EN ATTENTE",IF(S408="R","VT REJETÉ – À REPRENDRE",IF(AJ408="","À RADIOGRAPHIER",IF(AJ408="A","ACCEPTÉ",IF(AJ408="NX","NX – RT À REFAIRE",IF(IF(AI408=1,X408,IF(AI408=2,AC408,""))="A","RÉPARÉ – À RADIOGRAPHIER",IF(IF(AI408=1,X408,IF(AI408=2,AC408,""))="R","VT REJETÉ – À REPRENDRE",IF(AJ408="CO","COUPE – À RESOUDER","À RÉPARER"))))))))))</f>
        <v/>
      </c>
      <c r="AL408" s="82" t="str">
        <f aca="false">IF(AND(ISNUMBER(P408),OR(AK408="À RADIOGRAPHIER",AK408="RÉPARÉ – À RADIOGRAPHIER",AK408="NX – RT À REFAIRE",AK408="À RÉPARER",AK408="COUPE – À RESOUDER",AK408="VT REJETÉ – À REPRENDRE")),MAX(0,'PROGRAMME RT'!$C$4-P408),"")</f>
        <v/>
      </c>
      <c r="AM408" s="78" t="n">
        <f aca="false">IF(AND(OR(AK408="À RADIOGRAPHIER",AK408="RÉPARÉ – À RADIOGRAPHIER",AK408="NX – RT À REFAIRE"),OR('PROGRAMME RT'!$D$5="TOUTES",B408='PROGRAMME RT'!$D$5)),1,0)</f>
        <v>0</v>
      </c>
      <c r="AN408" s="78" t="str">
        <f aca="false">IF(AM408=1,SUM(AM$7:AM408),"")</f>
        <v/>
      </c>
      <c r="AO408" s="78" t="n">
        <f aca="false">IF(AND(OR(AK408="À RÉPARER",AK408="COUPE – À RESOUDER",AK408="VT REJETÉ – À REPRENDRE"),OR(RÉPARATIONS!$D$5="TOUTES",B408=RÉPARATIONS!$D$5)),1,0)</f>
        <v>0</v>
      </c>
      <c r="AP408" s="78" t="str">
        <f aca="false">IF(AO408=1,SUM(AO$7:AO408),"")</f>
        <v/>
      </c>
    </row>
    <row r="409" customFormat="false" ht="15" hidden="false" customHeight="false" outlineLevel="0" collapsed="false">
      <c r="A409" s="78" t="str">
        <f aca="false">IF(E409="","",ROW()-6)</f>
        <v/>
      </c>
      <c r="B409" s="79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1"/>
      <c r="Q409" s="81"/>
      <c r="R409" s="80"/>
      <c r="S409" s="80"/>
      <c r="T409" s="81"/>
      <c r="U409" s="80"/>
      <c r="V409" s="80"/>
      <c r="W409" s="80"/>
      <c r="X409" s="80"/>
      <c r="Y409" s="81"/>
      <c r="Z409" s="80"/>
      <c r="AA409" s="80"/>
      <c r="AB409" s="80"/>
      <c r="AC409" s="80"/>
      <c r="AD409" s="81"/>
      <c r="AE409" s="80"/>
      <c r="AF409" s="80"/>
      <c r="AG409" s="81"/>
      <c r="AH409" s="79"/>
      <c r="AI409" s="78" t="str">
        <f aca="false">IF(E409="","",(V409&lt;&gt;"")+(AA409&lt;&gt;"")+(AF409&lt;&gt;""))</f>
        <v/>
      </c>
      <c r="AJ409" s="82" t="str">
        <f aca="false">IF(AF409&lt;&gt;"",AF409,IF(AA409&lt;&gt;"",AA409,IF(V409&lt;&gt;"",V409,"")))</f>
        <v/>
      </c>
      <c r="AK409" s="83" t="str">
        <f aca="false">IF(E409="","",IF(P409="","À SOUDER",IF(S409="","VT EN ATTENTE",IF(S409="R","VT REJETÉ – À REPRENDRE",IF(AJ409="","À RADIOGRAPHIER",IF(AJ409="A","ACCEPTÉ",IF(AJ409="NX","NX – RT À REFAIRE",IF(IF(AI409=1,X409,IF(AI409=2,AC409,""))="A","RÉPARÉ – À RADIOGRAPHIER",IF(IF(AI409=1,X409,IF(AI409=2,AC409,""))="R","VT REJETÉ – À REPRENDRE",IF(AJ409="CO","COUPE – À RESOUDER","À RÉPARER"))))))))))</f>
        <v/>
      </c>
      <c r="AL409" s="82" t="str">
        <f aca="false">IF(AND(ISNUMBER(P409),OR(AK409="À RADIOGRAPHIER",AK409="RÉPARÉ – À RADIOGRAPHIER",AK409="NX – RT À REFAIRE",AK409="À RÉPARER",AK409="COUPE – À RESOUDER",AK409="VT REJETÉ – À REPRENDRE")),MAX(0,'PROGRAMME RT'!$C$4-P409),"")</f>
        <v/>
      </c>
      <c r="AM409" s="78" t="n">
        <f aca="false">IF(AND(OR(AK409="À RADIOGRAPHIER",AK409="RÉPARÉ – À RADIOGRAPHIER",AK409="NX – RT À REFAIRE"),OR('PROGRAMME RT'!$D$5="TOUTES",B409='PROGRAMME RT'!$D$5)),1,0)</f>
        <v>0</v>
      </c>
      <c r="AN409" s="78" t="str">
        <f aca="false">IF(AM409=1,SUM(AM$7:AM409),"")</f>
        <v/>
      </c>
      <c r="AO409" s="78" t="n">
        <f aca="false">IF(AND(OR(AK409="À RÉPARER",AK409="COUPE – À RESOUDER",AK409="VT REJETÉ – À REPRENDRE"),OR(RÉPARATIONS!$D$5="TOUTES",B409=RÉPARATIONS!$D$5)),1,0)</f>
        <v>0</v>
      </c>
      <c r="AP409" s="78" t="str">
        <f aca="false">IF(AO409=1,SUM(AO$7:AO409),"")</f>
        <v/>
      </c>
    </row>
    <row r="410" customFormat="false" ht="15" hidden="false" customHeight="false" outlineLevel="0" collapsed="false">
      <c r="A410" s="78" t="str">
        <f aca="false">IF(E410="","",ROW()-6)</f>
        <v/>
      </c>
      <c r="B410" s="79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1"/>
      <c r="Q410" s="81"/>
      <c r="R410" s="80"/>
      <c r="S410" s="80"/>
      <c r="T410" s="81"/>
      <c r="U410" s="80"/>
      <c r="V410" s="80"/>
      <c r="W410" s="80"/>
      <c r="X410" s="80"/>
      <c r="Y410" s="81"/>
      <c r="Z410" s="80"/>
      <c r="AA410" s="80"/>
      <c r="AB410" s="80"/>
      <c r="AC410" s="80"/>
      <c r="AD410" s="81"/>
      <c r="AE410" s="80"/>
      <c r="AF410" s="80"/>
      <c r="AG410" s="81"/>
      <c r="AH410" s="79"/>
      <c r="AI410" s="78" t="str">
        <f aca="false">IF(E410="","",(V410&lt;&gt;"")+(AA410&lt;&gt;"")+(AF410&lt;&gt;""))</f>
        <v/>
      </c>
      <c r="AJ410" s="82" t="str">
        <f aca="false">IF(AF410&lt;&gt;"",AF410,IF(AA410&lt;&gt;"",AA410,IF(V410&lt;&gt;"",V410,"")))</f>
        <v/>
      </c>
      <c r="AK410" s="83" t="str">
        <f aca="false">IF(E410="","",IF(P410="","À SOUDER",IF(S410="","VT EN ATTENTE",IF(S410="R","VT REJETÉ – À REPRENDRE",IF(AJ410="","À RADIOGRAPHIER",IF(AJ410="A","ACCEPTÉ",IF(AJ410="NX","NX – RT À REFAIRE",IF(IF(AI410=1,X410,IF(AI410=2,AC410,""))="A","RÉPARÉ – À RADIOGRAPHIER",IF(IF(AI410=1,X410,IF(AI410=2,AC410,""))="R","VT REJETÉ – À REPRENDRE",IF(AJ410="CO","COUPE – À RESOUDER","À RÉPARER"))))))))))</f>
        <v/>
      </c>
      <c r="AL410" s="82" t="str">
        <f aca="false">IF(AND(ISNUMBER(P410),OR(AK410="À RADIOGRAPHIER",AK410="RÉPARÉ – À RADIOGRAPHIER",AK410="NX – RT À REFAIRE",AK410="À RÉPARER",AK410="COUPE – À RESOUDER",AK410="VT REJETÉ – À REPRENDRE")),MAX(0,'PROGRAMME RT'!$C$4-P410),"")</f>
        <v/>
      </c>
      <c r="AM410" s="78" t="n">
        <f aca="false">IF(AND(OR(AK410="À RADIOGRAPHIER",AK410="RÉPARÉ – À RADIOGRAPHIER",AK410="NX – RT À REFAIRE"),OR('PROGRAMME RT'!$D$5="TOUTES",B410='PROGRAMME RT'!$D$5)),1,0)</f>
        <v>0</v>
      </c>
      <c r="AN410" s="78" t="str">
        <f aca="false">IF(AM410=1,SUM(AM$7:AM410),"")</f>
        <v/>
      </c>
      <c r="AO410" s="78" t="n">
        <f aca="false">IF(AND(OR(AK410="À RÉPARER",AK410="COUPE – À RESOUDER",AK410="VT REJETÉ – À REPRENDRE"),OR(RÉPARATIONS!$D$5="TOUTES",B410=RÉPARATIONS!$D$5)),1,0)</f>
        <v>0</v>
      </c>
      <c r="AP410" s="78" t="str">
        <f aca="false">IF(AO410=1,SUM(AO$7:AO410),"")</f>
        <v/>
      </c>
    </row>
    <row r="411" customFormat="false" ht="15" hidden="false" customHeight="false" outlineLevel="0" collapsed="false">
      <c r="A411" s="78" t="str">
        <f aca="false">IF(E411="","",ROW()-6)</f>
        <v/>
      </c>
      <c r="B411" s="79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1"/>
      <c r="Q411" s="81"/>
      <c r="R411" s="80"/>
      <c r="S411" s="80"/>
      <c r="T411" s="81"/>
      <c r="U411" s="80"/>
      <c r="V411" s="80"/>
      <c r="W411" s="80"/>
      <c r="X411" s="80"/>
      <c r="Y411" s="81"/>
      <c r="Z411" s="80"/>
      <c r="AA411" s="80"/>
      <c r="AB411" s="80"/>
      <c r="AC411" s="80"/>
      <c r="AD411" s="81"/>
      <c r="AE411" s="80"/>
      <c r="AF411" s="80"/>
      <c r="AG411" s="81"/>
      <c r="AH411" s="79"/>
      <c r="AI411" s="78" t="str">
        <f aca="false">IF(E411="","",(V411&lt;&gt;"")+(AA411&lt;&gt;"")+(AF411&lt;&gt;""))</f>
        <v/>
      </c>
      <c r="AJ411" s="82" t="str">
        <f aca="false">IF(AF411&lt;&gt;"",AF411,IF(AA411&lt;&gt;"",AA411,IF(V411&lt;&gt;"",V411,"")))</f>
        <v/>
      </c>
      <c r="AK411" s="83" t="str">
        <f aca="false">IF(E411="","",IF(P411="","À SOUDER",IF(S411="","VT EN ATTENTE",IF(S411="R","VT REJETÉ – À REPRENDRE",IF(AJ411="","À RADIOGRAPHIER",IF(AJ411="A","ACCEPTÉ",IF(AJ411="NX","NX – RT À REFAIRE",IF(IF(AI411=1,X411,IF(AI411=2,AC411,""))="A","RÉPARÉ – À RADIOGRAPHIER",IF(IF(AI411=1,X411,IF(AI411=2,AC411,""))="R","VT REJETÉ – À REPRENDRE",IF(AJ411="CO","COUPE – À RESOUDER","À RÉPARER"))))))))))</f>
        <v/>
      </c>
      <c r="AL411" s="82" t="str">
        <f aca="false">IF(AND(ISNUMBER(P411),OR(AK411="À RADIOGRAPHIER",AK411="RÉPARÉ – À RADIOGRAPHIER",AK411="NX – RT À REFAIRE",AK411="À RÉPARER",AK411="COUPE – À RESOUDER",AK411="VT REJETÉ – À REPRENDRE")),MAX(0,'PROGRAMME RT'!$C$4-P411),"")</f>
        <v/>
      </c>
      <c r="AM411" s="78" t="n">
        <f aca="false">IF(AND(OR(AK411="À RADIOGRAPHIER",AK411="RÉPARÉ – À RADIOGRAPHIER",AK411="NX – RT À REFAIRE"),OR('PROGRAMME RT'!$D$5="TOUTES",B411='PROGRAMME RT'!$D$5)),1,0)</f>
        <v>0</v>
      </c>
      <c r="AN411" s="78" t="str">
        <f aca="false">IF(AM411=1,SUM(AM$7:AM411),"")</f>
        <v/>
      </c>
      <c r="AO411" s="78" t="n">
        <f aca="false">IF(AND(OR(AK411="À RÉPARER",AK411="COUPE – À RESOUDER",AK411="VT REJETÉ – À REPRENDRE"),OR(RÉPARATIONS!$D$5="TOUTES",B411=RÉPARATIONS!$D$5)),1,0)</f>
        <v>0</v>
      </c>
      <c r="AP411" s="78" t="str">
        <f aca="false">IF(AO411=1,SUM(AO$7:AO411),"")</f>
        <v/>
      </c>
    </row>
    <row r="412" customFormat="false" ht="15" hidden="false" customHeight="false" outlineLevel="0" collapsed="false">
      <c r="A412" s="78" t="str">
        <f aca="false">IF(E412="","",ROW()-6)</f>
        <v/>
      </c>
      <c r="B412" s="79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1"/>
      <c r="Q412" s="81"/>
      <c r="R412" s="80"/>
      <c r="S412" s="80"/>
      <c r="T412" s="81"/>
      <c r="U412" s="80"/>
      <c r="V412" s="80"/>
      <c r="W412" s="80"/>
      <c r="X412" s="80"/>
      <c r="Y412" s="81"/>
      <c r="Z412" s="80"/>
      <c r="AA412" s="80"/>
      <c r="AB412" s="80"/>
      <c r="AC412" s="80"/>
      <c r="AD412" s="81"/>
      <c r="AE412" s="80"/>
      <c r="AF412" s="80"/>
      <c r="AG412" s="81"/>
      <c r="AH412" s="79"/>
      <c r="AI412" s="78" t="str">
        <f aca="false">IF(E412="","",(V412&lt;&gt;"")+(AA412&lt;&gt;"")+(AF412&lt;&gt;""))</f>
        <v/>
      </c>
      <c r="AJ412" s="82" t="str">
        <f aca="false">IF(AF412&lt;&gt;"",AF412,IF(AA412&lt;&gt;"",AA412,IF(V412&lt;&gt;"",V412,"")))</f>
        <v/>
      </c>
      <c r="AK412" s="83" t="str">
        <f aca="false">IF(E412="","",IF(P412="","À SOUDER",IF(S412="","VT EN ATTENTE",IF(S412="R","VT REJETÉ – À REPRENDRE",IF(AJ412="","À RADIOGRAPHIER",IF(AJ412="A","ACCEPTÉ",IF(AJ412="NX","NX – RT À REFAIRE",IF(IF(AI412=1,X412,IF(AI412=2,AC412,""))="A","RÉPARÉ – À RADIOGRAPHIER",IF(IF(AI412=1,X412,IF(AI412=2,AC412,""))="R","VT REJETÉ – À REPRENDRE",IF(AJ412="CO","COUPE – À RESOUDER","À RÉPARER"))))))))))</f>
        <v/>
      </c>
      <c r="AL412" s="82" t="str">
        <f aca="false">IF(AND(ISNUMBER(P412),OR(AK412="À RADIOGRAPHIER",AK412="RÉPARÉ – À RADIOGRAPHIER",AK412="NX – RT À REFAIRE",AK412="À RÉPARER",AK412="COUPE – À RESOUDER",AK412="VT REJETÉ – À REPRENDRE")),MAX(0,'PROGRAMME RT'!$C$4-P412),"")</f>
        <v/>
      </c>
      <c r="AM412" s="78" t="n">
        <f aca="false">IF(AND(OR(AK412="À RADIOGRAPHIER",AK412="RÉPARÉ – À RADIOGRAPHIER",AK412="NX – RT À REFAIRE"),OR('PROGRAMME RT'!$D$5="TOUTES",B412='PROGRAMME RT'!$D$5)),1,0)</f>
        <v>0</v>
      </c>
      <c r="AN412" s="78" t="str">
        <f aca="false">IF(AM412=1,SUM(AM$7:AM412),"")</f>
        <v/>
      </c>
      <c r="AO412" s="78" t="n">
        <f aca="false">IF(AND(OR(AK412="À RÉPARER",AK412="COUPE – À RESOUDER",AK412="VT REJETÉ – À REPRENDRE"),OR(RÉPARATIONS!$D$5="TOUTES",B412=RÉPARATIONS!$D$5)),1,0)</f>
        <v>0</v>
      </c>
      <c r="AP412" s="78" t="str">
        <f aca="false">IF(AO412=1,SUM(AO$7:AO412),"")</f>
        <v/>
      </c>
    </row>
    <row r="413" customFormat="false" ht="15" hidden="false" customHeight="false" outlineLevel="0" collapsed="false">
      <c r="A413" s="78" t="str">
        <f aca="false">IF(E413="","",ROW()-6)</f>
        <v/>
      </c>
      <c r="B413" s="79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1"/>
      <c r="Q413" s="81"/>
      <c r="R413" s="80"/>
      <c r="S413" s="80"/>
      <c r="T413" s="81"/>
      <c r="U413" s="80"/>
      <c r="V413" s="80"/>
      <c r="W413" s="80"/>
      <c r="X413" s="80"/>
      <c r="Y413" s="81"/>
      <c r="Z413" s="80"/>
      <c r="AA413" s="80"/>
      <c r="AB413" s="80"/>
      <c r="AC413" s="80"/>
      <c r="AD413" s="81"/>
      <c r="AE413" s="80"/>
      <c r="AF413" s="80"/>
      <c r="AG413" s="81"/>
      <c r="AH413" s="79"/>
      <c r="AI413" s="78" t="str">
        <f aca="false">IF(E413="","",(V413&lt;&gt;"")+(AA413&lt;&gt;"")+(AF413&lt;&gt;""))</f>
        <v/>
      </c>
      <c r="AJ413" s="82" t="str">
        <f aca="false">IF(AF413&lt;&gt;"",AF413,IF(AA413&lt;&gt;"",AA413,IF(V413&lt;&gt;"",V413,"")))</f>
        <v/>
      </c>
      <c r="AK413" s="83" t="str">
        <f aca="false">IF(E413="","",IF(P413="","À SOUDER",IF(S413="","VT EN ATTENTE",IF(S413="R","VT REJETÉ – À REPRENDRE",IF(AJ413="","À RADIOGRAPHIER",IF(AJ413="A","ACCEPTÉ",IF(AJ413="NX","NX – RT À REFAIRE",IF(IF(AI413=1,X413,IF(AI413=2,AC413,""))="A","RÉPARÉ – À RADIOGRAPHIER",IF(IF(AI413=1,X413,IF(AI413=2,AC413,""))="R","VT REJETÉ – À REPRENDRE",IF(AJ413="CO","COUPE – À RESOUDER","À RÉPARER"))))))))))</f>
        <v/>
      </c>
      <c r="AL413" s="82" t="str">
        <f aca="false">IF(AND(ISNUMBER(P413),OR(AK413="À RADIOGRAPHIER",AK413="RÉPARÉ – À RADIOGRAPHIER",AK413="NX – RT À REFAIRE",AK413="À RÉPARER",AK413="COUPE – À RESOUDER",AK413="VT REJETÉ – À REPRENDRE")),MAX(0,'PROGRAMME RT'!$C$4-P413),"")</f>
        <v/>
      </c>
      <c r="AM413" s="78" t="n">
        <f aca="false">IF(AND(OR(AK413="À RADIOGRAPHIER",AK413="RÉPARÉ – À RADIOGRAPHIER",AK413="NX – RT À REFAIRE"),OR('PROGRAMME RT'!$D$5="TOUTES",B413='PROGRAMME RT'!$D$5)),1,0)</f>
        <v>0</v>
      </c>
      <c r="AN413" s="78" t="str">
        <f aca="false">IF(AM413=1,SUM(AM$7:AM413),"")</f>
        <v/>
      </c>
      <c r="AO413" s="78" t="n">
        <f aca="false">IF(AND(OR(AK413="À RÉPARER",AK413="COUPE – À RESOUDER",AK413="VT REJETÉ – À REPRENDRE"),OR(RÉPARATIONS!$D$5="TOUTES",B413=RÉPARATIONS!$D$5)),1,0)</f>
        <v>0</v>
      </c>
      <c r="AP413" s="78" t="str">
        <f aca="false">IF(AO413=1,SUM(AO$7:AO413),"")</f>
        <v/>
      </c>
    </row>
    <row r="414" customFormat="false" ht="15" hidden="false" customHeight="false" outlineLevel="0" collapsed="false">
      <c r="A414" s="78" t="str">
        <f aca="false">IF(E414="","",ROW()-6)</f>
        <v/>
      </c>
      <c r="B414" s="79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1"/>
      <c r="Q414" s="81"/>
      <c r="R414" s="80"/>
      <c r="S414" s="80"/>
      <c r="T414" s="81"/>
      <c r="U414" s="80"/>
      <c r="V414" s="80"/>
      <c r="W414" s="80"/>
      <c r="X414" s="80"/>
      <c r="Y414" s="81"/>
      <c r="Z414" s="80"/>
      <c r="AA414" s="80"/>
      <c r="AB414" s="80"/>
      <c r="AC414" s="80"/>
      <c r="AD414" s="81"/>
      <c r="AE414" s="80"/>
      <c r="AF414" s="80"/>
      <c r="AG414" s="81"/>
      <c r="AH414" s="79"/>
      <c r="AI414" s="78" t="str">
        <f aca="false">IF(E414="","",(V414&lt;&gt;"")+(AA414&lt;&gt;"")+(AF414&lt;&gt;""))</f>
        <v/>
      </c>
      <c r="AJ414" s="82" t="str">
        <f aca="false">IF(AF414&lt;&gt;"",AF414,IF(AA414&lt;&gt;"",AA414,IF(V414&lt;&gt;"",V414,"")))</f>
        <v/>
      </c>
      <c r="AK414" s="83" t="str">
        <f aca="false">IF(E414="","",IF(P414="","À SOUDER",IF(S414="","VT EN ATTENTE",IF(S414="R","VT REJETÉ – À REPRENDRE",IF(AJ414="","À RADIOGRAPHIER",IF(AJ414="A","ACCEPTÉ",IF(AJ414="NX","NX – RT À REFAIRE",IF(IF(AI414=1,X414,IF(AI414=2,AC414,""))="A","RÉPARÉ – À RADIOGRAPHIER",IF(IF(AI414=1,X414,IF(AI414=2,AC414,""))="R","VT REJETÉ – À REPRENDRE",IF(AJ414="CO","COUPE – À RESOUDER","À RÉPARER"))))))))))</f>
        <v/>
      </c>
      <c r="AL414" s="82" t="str">
        <f aca="false">IF(AND(ISNUMBER(P414),OR(AK414="À RADIOGRAPHIER",AK414="RÉPARÉ – À RADIOGRAPHIER",AK414="NX – RT À REFAIRE",AK414="À RÉPARER",AK414="COUPE – À RESOUDER",AK414="VT REJETÉ – À REPRENDRE")),MAX(0,'PROGRAMME RT'!$C$4-P414),"")</f>
        <v/>
      </c>
      <c r="AM414" s="78" t="n">
        <f aca="false">IF(AND(OR(AK414="À RADIOGRAPHIER",AK414="RÉPARÉ – À RADIOGRAPHIER",AK414="NX – RT À REFAIRE"),OR('PROGRAMME RT'!$D$5="TOUTES",B414='PROGRAMME RT'!$D$5)),1,0)</f>
        <v>0</v>
      </c>
      <c r="AN414" s="78" t="str">
        <f aca="false">IF(AM414=1,SUM(AM$7:AM414),"")</f>
        <v/>
      </c>
      <c r="AO414" s="78" t="n">
        <f aca="false">IF(AND(OR(AK414="À RÉPARER",AK414="COUPE – À RESOUDER",AK414="VT REJETÉ – À REPRENDRE"),OR(RÉPARATIONS!$D$5="TOUTES",B414=RÉPARATIONS!$D$5)),1,0)</f>
        <v>0</v>
      </c>
      <c r="AP414" s="78" t="str">
        <f aca="false">IF(AO414=1,SUM(AO$7:AO414),"")</f>
        <v/>
      </c>
    </row>
    <row r="415" customFormat="false" ht="15" hidden="false" customHeight="false" outlineLevel="0" collapsed="false">
      <c r="A415" s="78" t="str">
        <f aca="false">IF(E415="","",ROW()-6)</f>
        <v/>
      </c>
      <c r="B415" s="79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1"/>
      <c r="Q415" s="81"/>
      <c r="R415" s="80"/>
      <c r="S415" s="80"/>
      <c r="T415" s="81"/>
      <c r="U415" s="80"/>
      <c r="V415" s="80"/>
      <c r="W415" s="80"/>
      <c r="X415" s="80"/>
      <c r="Y415" s="81"/>
      <c r="Z415" s="80"/>
      <c r="AA415" s="80"/>
      <c r="AB415" s="80"/>
      <c r="AC415" s="80"/>
      <c r="AD415" s="81"/>
      <c r="AE415" s="80"/>
      <c r="AF415" s="80"/>
      <c r="AG415" s="81"/>
      <c r="AH415" s="79"/>
      <c r="AI415" s="78" t="str">
        <f aca="false">IF(E415="","",(V415&lt;&gt;"")+(AA415&lt;&gt;"")+(AF415&lt;&gt;""))</f>
        <v/>
      </c>
      <c r="AJ415" s="82" t="str">
        <f aca="false">IF(AF415&lt;&gt;"",AF415,IF(AA415&lt;&gt;"",AA415,IF(V415&lt;&gt;"",V415,"")))</f>
        <v/>
      </c>
      <c r="AK415" s="83" t="str">
        <f aca="false">IF(E415="","",IF(P415="","À SOUDER",IF(S415="","VT EN ATTENTE",IF(S415="R","VT REJETÉ – À REPRENDRE",IF(AJ415="","À RADIOGRAPHIER",IF(AJ415="A","ACCEPTÉ",IF(AJ415="NX","NX – RT À REFAIRE",IF(IF(AI415=1,X415,IF(AI415=2,AC415,""))="A","RÉPARÉ – À RADIOGRAPHIER",IF(IF(AI415=1,X415,IF(AI415=2,AC415,""))="R","VT REJETÉ – À REPRENDRE",IF(AJ415="CO","COUPE – À RESOUDER","À RÉPARER"))))))))))</f>
        <v/>
      </c>
      <c r="AL415" s="82" t="str">
        <f aca="false">IF(AND(ISNUMBER(P415),OR(AK415="À RADIOGRAPHIER",AK415="RÉPARÉ – À RADIOGRAPHIER",AK415="NX – RT À REFAIRE",AK415="À RÉPARER",AK415="COUPE – À RESOUDER",AK415="VT REJETÉ – À REPRENDRE")),MAX(0,'PROGRAMME RT'!$C$4-P415),"")</f>
        <v/>
      </c>
      <c r="AM415" s="78" t="n">
        <f aca="false">IF(AND(OR(AK415="À RADIOGRAPHIER",AK415="RÉPARÉ – À RADIOGRAPHIER",AK415="NX – RT À REFAIRE"),OR('PROGRAMME RT'!$D$5="TOUTES",B415='PROGRAMME RT'!$D$5)),1,0)</f>
        <v>0</v>
      </c>
      <c r="AN415" s="78" t="str">
        <f aca="false">IF(AM415=1,SUM(AM$7:AM415),"")</f>
        <v/>
      </c>
      <c r="AO415" s="78" t="n">
        <f aca="false">IF(AND(OR(AK415="À RÉPARER",AK415="COUPE – À RESOUDER",AK415="VT REJETÉ – À REPRENDRE"),OR(RÉPARATIONS!$D$5="TOUTES",B415=RÉPARATIONS!$D$5)),1,0)</f>
        <v>0</v>
      </c>
      <c r="AP415" s="78" t="str">
        <f aca="false">IF(AO415=1,SUM(AO$7:AO415),"")</f>
        <v/>
      </c>
    </row>
    <row r="416" customFormat="false" ht="15" hidden="false" customHeight="false" outlineLevel="0" collapsed="false">
      <c r="A416" s="78" t="str">
        <f aca="false">IF(E416="","",ROW()-6)</f>
        <v/>
      </c>
      <c r="B416" s="79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1"/>
      <c r="Q416" s="81"/>
      <c r="R416" s="80"/>
      <c r="S416" s="80"/>
      <c r="T416" s="81"/>
      <c r="U416" s="80"/>
      <c r="V416" s="80"/>
      <c r="W416" s="80"/>
      <c r="X416" s="80"/>
      <c r="Y416" s="81"/>
      <c r="Z416" s="80"/>
      <c r="AA416" s="80"/>
      <c r="AB416" s="80"/>
      <c r="AC416" s="80"/>
      <c r="AD416" s="81"/>
      <c r="AE416" s="80"/>
      <c r="AF416" s="80"/>
      <c r="AG416" s="81"/>
      <c r="AH416" s="79"/>
      <c r="AI416" s="78" t="str">
        <f aca="false">IF(E416="","",(V416&lt;&gt;"")+(AA416&lt;&gt;"")+(AF416&lt;&gt;""))</f>
        <v/>
      </c>
      <c r="AJ416" s="82" t="str">
        <f aca="false">IF(AF416&lt;&gt;"",AF416,IF(AA416&lt;&gt;"",AA416,IF(V416&lt;&gt;"",V416,"")))</f>
        <v/>
      </c>
      <c r="AK416" s="83" t="str">
        <f aca="false">IF(E416="","",IF(P416="","À SOUDER",IF(S416="","VT EN ATTENTE",IF(S416="R","VT REJETÉ – À REPRENDRE",IF(AJ416="","À RADIOGRAPHIER",IF(AJ416="A","ACCEPTÉ",IF(AJ416="NX","NX – RT À REFAIRE",IF(IF(AI416=1,X416,IF(AI416=2,AC416,""))="A","RÉPARÉ – À RADIOGRAPHIER",IF(IF(AI416=1,X416,IF(AI416=2,AC416,""))="R","VT REJETÉ – À REPRENDRE",IF(AJ416="CO","COUPE – À RESOUDER","À RÉPARER"))))))))))</f>
        <v/>
      </c>
      <c r="AL416" s="82" t="str">
        <f aca="false">IF(AND(ISNUMBER(P416),OR(AK416="À RADIOGRAPHIER",AK416="RÉPARÉ – À RADIOGRAPHIER",AK416="NX – RT À REFAIRE",AK416="À RÉPARER",AK416="COUPE – À RESOUDER",AK416="VT REJETÉ – À REPRENDRE")),MAX(0,'PROGRAMME RT'!$C$4-P416),"")</f>
        <v/>
      </c>
      <c r="AM416" s="78" t="n">
        <f aca="false">IF(AND(OR(AK416="À RADIOGRAPHIER",AK416="RÉPARÉ – À RADIOGRAPHIER",AK416="NX – RT À REFAIRE"),OR('PROGRAMME RT'!$D$5="TOUTES",B416='PROGRAMME RT'!$D$5)),1,0)</f>
        <v>0</v>
      </c>
      <c r="AN416" s="78" t="str">
        <f aca="false">IF(AM416=1,SUM(AM$7:AM416),"")</f>
        <v/>
      </c>
      <c r="AO416" s="78" t="n">
        <f aca="false">IF(AND(OR(AK416="À RÉPARER",AK416="COUPE – À RESOUDER",AK416="VT REJETÉ – À REPRENDRE"),OR(RÉPARATIONS!$D$5="TOUTES",B416=RÉPARATIONS!$D$5)),1,0)</f>
        <v>0</v>
      </c>
      <c r="AP416" s="78" t="str">
        <f aca="false">IF(AO416=1,SUM(AO$7:AO416),"")</f>
        <v/>
      </c>
    </row>
    <row r="417" customFormat="false" ht="15" hidden="false" customHeight="false" outlineLevel="0" collapsed="false">
      <c r="A417" s="78" t="str">
        <f aca="false">IF(E417="","",ROW()-6)</f>
        <v/>
      </c>
      <c r="B417" s="79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1"/>
      <c r="Q417" s="81"/>
      <c r="R417" s="80"/>
      <c r="S417" s="80"/>
      <c r="T417" s="81"/>
      <c r="U417" s="80"/>
      <c r="V417" s="80"/>
      <c r="W417" s="80"/>
      <c r="X417" s="80"/>
      <c r="Y417" s="81"/>
      <c r="Z417" s="80"/>
      <c r="AA417" s="80"/>
      <c r="AB417" s="80"/>
      <c r="AC417" s="80"/>
      <c r="AD417" s="81"/>
      <c r="AE417" s="80"/>
      <c r="AF417" s="80"/>
      <c r="AG417" s="81"/>
      <c r="AH417" s="79"/>
      <c r="AI417" s="78" t="str">
        <f aca="false">IF(E417="","",(V417&lt;&gt;"")+(AA417&lt;&gt;"")+(AF417&lt;&gt;""))</f>
        <v/>
      </c>
      <c r="AJ417" s="82" t="str">
        <f aca="false">IF(AF417&lt;&gt;"",AF417,IF(AA417&lt;&gt;"",AA417,IF(V417&lt;&gt;"",V417,"")))</f>
        <v/>
      </c>
      <c r="AK417" s="83" t="str">
        <f aca="false">IF(E417="","",IF(P417="","À SOUDER",IF(S417="","VT EN ATTENTE",IF(S417="R","VT REJETÉ – À REPRENDRE",IF(AJ417="","À RADIOGRAPHIER",IF(AJ417="A","ACCEPTÉ",IF(AJ417="NX","NX – RT À REFAIRE",IF(IF(AI417=1,X417,IF(AI417=2,AC417,""))="A","RÉPARÉ – À RADIOGRAPHIER",IF(IF(AI417=1,X417,IF(AI417=2,AC417,""))="R","VT REJETÉ – À REPRENDRE",IF(AJ417="CO","COUPE – À RESOUDER","À RÉPARER"))))))))))</f>
        <v/>
      </c>
      <c r="AL417" s="82" t="str">
        <f aca="false">IF(AND(ISNUMBER(P417),OR(AK417="À RADIOGRAPHIER",AK417="RÉPARÉ – À RADIOGRAPHIER",AK417="NX – RT À REFAIRE",AK417="À RÉPARER",AK417="COUPE – À RESOUDER",AK417="VT REJETÉ – À REPRENDRE")),MAX(0,'PROGRAMME RT'!$C$4-P417),"")</f>
        <v/>
      </c>
      <c r="AM417" s="78" t="n">
        <f aca="false">IF(AND(OR(AK417="À RADIOGRAPHIER",AK417="RÉPARÉ – À RADIOGRAPHIER",AK417="NX – RT À REFAIRE"),OR('PROGRAMME RT'!$D$5="TOUTES",B417='PROGRAMME RT'!$D$5)),1,0)</f>
        <v>0</v>
      </c>
      <c r="AN417" s="78" t="str">
        <f aca="false">IF(AM417=1,SUM(AM$7:AM417),"")</f>
        <v/>
      </c>
      <c r="AO417" s="78" t="n">
        <f aca="false">IF(AND(OR(AK417="À RÉPARER",AK417="COUPE – À RESOUDER",AK417="VT REJETÉ – À REPRENDRE"),OR(RÉPARATIONS!$D$5="TOUTES",B417=RÉPARATIONS!$D$5)),1,0)</f>
        <v>0</v>
      </c>
      <c r="AP417" s="78" t="str">
        <f aca="false">IF(AO417=1,SUM(AO$7:AO417),"")</f>
        <v/>
      </c>
    </row>
    <row r="418" customFormat="false" ht="15" hidden="false" customHeight="false" outlineLevel="0" collapsed="false">
      <c r="A418" s="78" t="str">
        <f aca="false">IF(E418="","",ROW()-6)</f>
        <v/>
      </c>
      <c r="B418" s="79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1"/>
      <c r="Q418" s="81"/>
      <c r="R418" s="80"/>
      <c r="S418" s="80"/>
      <c r="T418" s="81"/>
      <c r="U418" s="80"/>
      <c r="V418" s="80"/>
      <c r="W418" s="80"/>
      <c r="X418" s="80"/>
      <c r="Y418" s="81"/>
      <c r="Z418" s="80"/>
      <c r="AA418" s="80"/>
      <c r="AB418" s="80"/>
      <c r="AC418" s="80"/>
      <c r="AD418" s="81"/>
      <c r="AE418" s="80"/>
      <c r="AF418" s="80"/>
      <c r="AG418" s="81"/>
      <c r="AH418" s="79"/>
      <c r="AI418" s="78" t="str">
        <f aca="false">IF(E418="","",(V418&lt;&gt;"")+(AA418&lt;&gt;"")+(AF418&lt;&gt;""))</f>
        <v/>
      </c>
      <c r="AJ418" s="82" t="str">
        <f aca="false">IF(AF418&lt;&gt;"",AF418,IF(AA418&lt;&gt;"",AA418,IF(V418&lt;&gt;"",V418,"")))</f>
        <v/>
      </c>
      <c r="AK418" s="83" t="str">
        <f aca="false">IF(E418="","",IF(P418="","À SOUDER",IF(S418="","VT EN ATTENTE",IF(S418="R","VT REJETÉ – À REPRENDRE",IF(AJ418="","À RADIOGRAPHIER",IF(AJ418="A","ACCEPTÉ",IF(AJ418="NX","NX – RT À REFAIRE",IF(IF(AI418=1,X418,IF(AI418=2,AC418,""))="A","RÉPARÉ – À RADIOGRAPHIER",IF(IF(AI418=1,X418,IF(AI418=2,AC418,""))="R","VT REJETÉ – À REPRENDRE",IF(AJ418="CO","COUPE – À RESOUDER","À RÉPARER"))))))))))</f>
        <v/>
      </c>
      <c r="AL418" s="82" t="str">
        <f aca="false">IF(AND(ISNUMBER(P418),OR(AK418="À RADIOGRAPHIER",AK418="RÉPARÉ – À RADIOGRAPHIER",AK418="NX – RT À REFAIRE",AK418="À RÉPARER",AK418="COUPE – À RESOUDER",AK418="VT REJETÉ – À REPRENDRE")),MAX(0,'PROGRAMME RT'!$C$4-P418),"")</f>
        <v/>
      </c>
      <c r="AM418" s="78" t="n">
        <f aca="false">IF(AND(OR(AK418="À RADIOGRAPHIER",AK418="RÉPARÉ – À RADIOGRAPHIER",AK418="NX – RT À REFAIRE"),OR('PROGRAMME RT'!$D$5="TOUTES",B418='PROGRAMME RT'!$D$5)),1,0)</f>
        <v>0</v>
      </c>
      <c r="AN418" s="78" t="str">
        <f aca="false">IF(AM418=1,SUM(AM$7:AM418),"")</f>
        <v/>
      </c>
      <c r="AO418" s="78" t="n">
        <f aca="false">IF(AND(OR(AK418="À RÉPARER",AK418="COUPE – À RESOUDER",AK418="VT REJETÉ – À REPRENDRE"),OR(RÉPARATIONS!$D$5="TOUTES",B418=RÉPARATIONS!$D$5)),1,0)</f>
        <v>0</v>
      </c>
      <c r="AP418" s="78" t="str">
        <f aca="false">IF(AO418=1,SUM(AO$7:AO418),"")</f>
        <v/>
      </c>
    </row>
    <row r="419" customFormat="false" ht="15" hidden="false" customHeight="false" outlineLevel="0" collapsed="false">
      <c r="A419" s="78" t="str">
        <f aca="false">IF(E419="","",ROW()-6)</f>
        <v/>
      </c>
      <c r="B419" s="79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1"/>
      <c r="Q419" s="81"/>
      <c r="R419" s="80"/>
      <c r="S419" s="80"/>
      <c r="T419" s="81"/>
      <c r="U419" s="80"/>
      <c r="V419" s="80"/>
      <c r="W419" s="80"/>
      <c r="X419" s="80"/>
      <c r="Y419" s="81"/>
      <c r="Z419" s="80"/>
      <c r="AA419" s="80"/>
      <c r="AB419" s="80"/>
      <c r="AC419" s="80"/>
      <c r="AD419" s="81"/>
      <c r="AE419" s="80"/>
      <c r="AF419" s="80"/>
      <c r="AG419" s="81"/>
      <c r="AH419" s="79"/>
      <c r="AI419" s="78" t="str">
        <f aca="false">IF(E419="","",(V419&lt;&gt;"")+(AA419&lt;&gt;"")+(AF419&lt;&gt;""))</f>
        <v/>
      </c>
      <c r="AJ419" s="82" t="str">
        <f aca="false">IF(AF419&lt;&gt;"",AF419,IF(AA419&lt;&gt;"",AA419,IF(V419&lt;&gt;"",V419,"")))</f>
        <v/>
      </c>
      <c r="AK419" s="83" t="str">
        <f aca="false">IF(E419="","",IF(P419="","À SOUDER",IF(S419="","VT EN ATTENTE",IF(S419="R","VT REJETÉ – À REPRENDRE",IF(AJ419="","À RADIOGRAPHIER",IF(AJ419="A","ACCEPTÉ",IF(AJ419="NX","NX – RT À REFAIRE",IF(IF(AI419=1,X419,IF(AI419=2,AC419,""))="A","RÉPARÉ – À RADIOGRAPHIER",IF(IF(AI419=1,X419,IF(AI419=2,AC419,""))="R","VT REJETÉ – À REPRENDRE",IF(AJ419="CO","COUPE – À RESOUDER","À RÉPARER"))))))))))</f>
        <v/>
      </c>
      <c r="AL419" s="82" t="str">
        <f aca="false">IF(AND(ISNUMBER(P419),OR(AK419="À RADIOGRAPHIER",AK419="RÉPARÉ – À RADIOGRAPHIER",AK419="NX – RT À REFAIRE",AK419="À RÉPARER",AK419="COUPE – À RESOUDER",AK419="VT REJETÉ – À REPRENDRE")),MAX(0,'PROGRAMME RT'!$C$4-P419),"")</f>
        <v/>
      </c>
      <c r="AM419" s="78" t="n">
        <f aca="false">IF(AND(OR(AK419="À RADIOGRAPHIER",AK419="RÉPARÉ – À RADIOGRAPHIER",AK419="NX – RT À REFAIRE"),OR('PROGRAMME RT'!$D$5="TOUTES",B419='PROGRAMME RT'!$D$5)),1,0)</f>
        <v>0</v>
      </c>
      <c r="AN419" s="78" t="str">
        <f aca="false">IF(AM419=1,SUM(AM$7:AM419),"")</f>
        <v/>
      </c>
      <c r="AO419" s="78" t="n">
        <f aca="false">IF(AND(OR(AK419="À RÉPARER",AK419="COUPE – À RESOUDER",AK419="VT REJETÉ – À REPRENDRE"),OR(RÉPARATIONS!$D$5="TOUTES",B419=RÉPARATIONS!$D$5)),1,0)</f>
        <v>0</v>
      </c>
      <c r="AP419" s="78" t="str">
        <f aca="false">IF(AO419=1,SUM(AO$7:AO419),"")</f>
        <v/>
      </c>
    </row>
    <row r="420" customFormat="false" ht="15" hidden="false" customHeight="false" outlineLevel="0" collapsed="false">
      <c r="A420" s="78" t="str">
        <f aca="false">IF(E420="","",ROW()-6)</f>
        <v/>
      </c>
      <c r="B420" s="79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1"/>
      <c r="Q420" s="81"/>
      <c r="R420" s="80"/>
      <c r="S420" s="80"/>
      <c r="T420" s="81"/>
      <c r="U420" s="80"/>
      <c r="V420" s="80"/>
      <c r="W420" s="80"/>
      <c r="X420" s="80"/>
      <c r="Y420" s="81"/>
      <c r="Z420" s="80"/>
      <c r="AA420" s="80"/>
      <c r="AB420" s="80"/>
      <c r="AC420" s="80"/>
      <c r="AD420" s="81"/>
      <c r="AE420" s="80"/>
      <c r="AF420" s="80"/>
      <c r="AG420" s="81"/>
      <c r="AH420" s="79"/>
      <c r="AI420" s="78" t="str">
        <f aca="false">IF(E420="","",(V420&lt;&gt;"")+(AA420&lt;&gt;"")+(AF420&lt;&gt;""))</f>
        <v/>
      </c>
      <c r="AJ420" s="82" t="str">
        <f aca="false">IF(AF420&lt;&gt;"",AF420,IF(AA420&lt;&gt;"",AA420,IF(V420&lt;&gt;"",V420,"")))</f>
        <v/>
      </c>
      <c r="AK420" s="83" t="str">
        <f aca="false">IF(E420="","",IF(P420="","À SOUDER",IF(S420="","VT EN ATTENTE",IF(S420="R","VT REJETÉ – À REPRENDRE",IF(AJ420="","À RADIOGRAPHIER",IF(AJ420="A","ACCEPTÉ",IF(AJ420="NX","NX – RT À REFAIRE",IF(IF(AI420=1,X420,IF(AI420=2,AC420,""))="A","RÉPARÉ – À RADIOGRAPHIER",IF(IF(AI420=1,X420,IF(AI420=2,AC420,""))="R","VT REJETÉ – À REPRENDRE",IF(AJ420="CO","COUPE – À RESOUDER","À RÉPARER"))))))))))</f>
        <v/>
      </c>
      <c r="AL420" s="82" t="str">
        <f aca="false">IF(AND(ISNUMBER(P420),OR(AK420="À RADIOGRAPHIER",AK420="RÉPARÉ – À RADIOGRAPHIER",AK420="NX – RT À REFAIRE",AK420="À RÉPARER",AK420="COUPE – À RESOUDER",AK420="VT REJETÉ – À REPRENDRE")),MAX(0,'PROGRAMME RT'!$C$4-P420),"")</f>
        <v/>
      </c>
      <c r="AM420" s="78" t="n">
        <f aca="false">IF(AND(OR(AK420="À RADIOGRAPHIER",AK420="RÉPARÉ – À RADIOGRAPHIER",AK420="NX – RT À REFAIRE"),OR('PROGRAMME RT'!$D$5="TOUTES",B420='PROGRAMME RT'!$D$5)),1,0)</f>
        <v>0</v>
      </c>
      <c r="AN420" s="78" t="str">
        <f aca="false">IF(AM420=1,SUM(AM$7:AM420),"")</f>
        <v/>
      </c>
      <c r="AO420" s="78" t="n">
        <f aca="false">IF(AND(OR(AK420="À RÉPARER",AK420="COUPE – À RESOUDER",AK420="VT REJETÉ – À REPRENDRE"),OR(RÉPARATIONS!$D$5="TOUTES",B420=RÉPARATIONS!$D$5)),1,0)</f>
        <v>0</v>
      </c>
      <c r="AP420" s="78" t="str">
        <f aca="false">IF(AO420=1,SUM(AO$7:AO420),"")</f>
        <v/>
      </c>
    </row>
    <row r="421" customFormat="false" ht="15" hidden="false" customHeight="false" outlineLevel="0" collapsed="false">
      <c r="A421" s="78" t="str">
        <f aca="false">IF(E421="","",ROW()-6)</f>
        <v/>
      </c>
      <c r="B421" s="79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1"/>
      <c r="Q421" s="81"/>
      <c r="R421" s="80"/>
      <c r="S421" s="80"/>
      <c r="T421" s="81"/>
      <c r="U421" s="80"/>
      <c r="V421" s="80"/>
      <c r="W421" s="80"/>
      <c r="X421" s="80"/>
      <c r="Y421" s="81"/>
      <c r="Z421" s="80"/>
      <c r="AA421" s="80"/>
      <c r="AB421" s="80"/>
      <c r="AC421" s="80"/>
      <c r="AD421" s="81"/>
      <c r="AE421" s="80"/>
      <c r="AF421" s="80"/>
      <c r="AG421" s="81"/>
      <c r="AH421" s="79"/>
      <c r="AI421" s="78" t="str">
        <f aca="false">IF(E421="","",(V421&lt;&gt;"")+(AA421&lt;&gt;"")+(AF421&lt;&gt;""))</f>
        <v/>
      </c>
      <c r="AJ421" s="82" t="str">
        <f aca="false">IF(AF421&lt;&gt;"",AF421,IF(AA421&lt;&gt;"",AA421,IF(V421&lt;&gt;"",V421,"")))</f>
        <v/>
      </c>
      <c r="AK421" s="83" t="str">
        <f aca="false">IF(E421="","",IF(P421="","À SOUDER",IF(S421="","VT EN ATTENTE",IF(S421="R","VT REJETÉ – À REPRENDRE",IF(AJ421="","À RADIOGRAPHIER",IF(AJ421="A","ACCEPTÉ",IF(AJ421="NX","NX – RT À REFAIRE",IF(IF(AI421=1,X421,IF(AI421=2,AC421,""))="A","RÉPARÉ – À RADIOGRAPHIER",IF(IF(AI421=1,X421,IF(AI421=2,AC421,""))="R","VT REJETÉ – À REPRENDRE",IF(AJ421="CO","COUPE – À RESOUDER","À RÉPARER"))))))))))</f>
        <v/>
      </c>
      <c r="AL421" s="82" t="str">
        <f aca="false">IF(AND(ISNUMBER(P421),OR(AK421="À RADIOGRAPHIER",AK421="RÉPARÉ – À RADIOGRAPHIER",AK421="NX – RT À REFAIRE",AK421="À RÉPARER",AK421="COUPE – À RESOUDER",AK421="VT REJETÉ – À REPRENDRE")),MAX(0,'PROGRAMME RT'!$C$4-P421),"")</f>
        <v/>
      </c>
      <c r="AM421" s="78" t="n">
        <f aca="false">IF(AND(OR(AK421="À RADIOGRAPHIER",AK421="RÉPARÉ – À RADIOGRAPHIER",AK421="NX – RT À REFAIRE"),OR('PROGRAMME RT'!$D$5="TOUTES",B421='PROGRAMME RT'!$D$5)),1,0)</f>
        <v>0</v>
      </c>
      <c r="AN421" s="78" t="str">
        <f aca="false">IF(AM421=1,SUM(AM$7:AM421),"")</f>
        <v/>
      </c>
      <c r="AO421" s="78" t="n">
        <f aca="false">IF(AND(OR(AK421="À RÉPARER",AK421="COUPE – À RESOUDER",AK421="VT REJETÉ – À REPRENDRE"),OR(RÉPARATIONS!$D$5="TOUTES",B421=RÉPARATIONS!$D$5)),1,0)</f>
        <v>0</v>
      </c>
      <c r="AP421" s="78" t="str">
        <f aca="false">IF(AO421=1,SUM(AO$7:AO421),"")</f>
        <v/>
      </c>
    </row>
    <row r="422" customFormat="false" ht="15" hidden="false" customHeight="false" outlineLevel="0" collapsed="false">
      <c r="A422" s="78" t="str">
        <f aca="false">IF(E422="","",ROW()-6)</f>
        <v/>
      </c>
      <c r="B422" s="79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1"/>
      <c r="Q422" s="81"/>
      <c r="R422" s="80"/>
      <c r="S422" s="80"/>
      <c r="T422" s="81"/>
      <c r="U422" s="80"/>
      <c r="V422" s="80"/>
      <c r="W422" s="80"/>
      <c r="X422" s="80"/>
      <c r="Y422" s="81"/>
      <c r="Z422" s="80"/>
      <c r="AA422" s="80"/>
      <c r="AB422" s="80"/>
      <c r="AC422" s="80"/>
      <c r="AD422" s="81"/>
      <c r="AE422" s="80"/>
      <c r="AF422" s="80"/>
      <c r="AG422" s="81"/>
      <c r="AH422" s="79"/>
      <c r="AI422" s="78" t="str">
        <f aca="false">IF(E422="","",(V422&lt;&gt;"")+(AA422&lt;&gt;"")+(AF422&lt;&gt;""))</f>
        <v/>
      </c>
      <c r="AJ422" s="82" t="str">
        <f aca="false">IF(AF422&lt;&gt;"",AF422,IF(AA422&lt;&gt;"",AA422,IF(V422&lt;&gt;"",V422,"")))</f>
        <v/>
      </c>
      <c r="AK422" s="83" t="str">
        <f aca="false">IF(E422="","",IF(P422="","À SOUDER",IF(S422="","VT EN ATTENTE",IF(S422="R","VT REJETÉ – À REPRENDRE",IF(AJ422="","À RADIOGRAPHIER",IF(AJ422="A","ACCEPTÉ",IF(AJ422="NX","NX – RT À REFAIRE",IF(IF(AI422=1,X422,IF(AI422=2,AC422,""))="A","RÉPARÉ – À RADIOGRAPHIER",IF(IF(AI422=1,X422,IF(AI422=2,AC422,""))="R","VT REJETÉ – À REPRENDRE",IF(AJ422="CO","COUPE – À RESOUDER","À RÉPARER"))))))))))</f>
        <v/>
      </c>
      <c r="AL422" s="82" t="str">
        <f aca="false">IF(AND(ISNUMBER(P422),OR(AK422="À RADIOGRAPHIER",AK422="RÉPARÉ – À RADIOGRAPHIER",AK422="NX – RT À REFAIRE",AK422="À RÉPARER",AK422="COUPE – À RESOUDER",AK422="VT REJETÉ – À REPRENDRE")),MAX(0,'PROGRAMME RT'!$C$4-P422),"")</f>
        <v/>
      </c>
      <c r="AM422" s="78" t="n">
        <f aca="false">IF(AND(OR(AK422="À RADIOGRAPHIER",AK422="RÉPARÉ – À RADIOGRAPHIER",AK422="NX – RT À REFAIRE"),OR('PROGRAMME RT'!$D$5="TOUTES",B422='PROGRAMME RT'!$D$5)),1,0)</f>
        <v>0</v>
      </c>
      <c r="AN422" s="78" t="str">
        <f aca="false">IF(AM422=1,SUM(AM$7:AM422),"")</f>
        <v/>
      </c>
      <c r="AO422" s="78" t="n">
        <f aca="false">IF(AND(OR(AK422="À RÉPARER",AK422="COUPE – À RESOUDER",AK422="VT REJETÉ – À REPRENDRE"),OR(RÉPARATIONS!$D$5="TOUTES",B422=RÉPARATIONS!$D$5)),1,0)</f>
        <v>0</v>
      </c>
      <c r="AP422" s="78" t="str">
        <f aca="false">IF(AO422=1,SUM(AO$7:AO422),"")</f>
        <v/>
      </c>
    </row>
    <row r="423" customFormat="false" ht="15" hidden="false" customHeight="false" outlineLevel="0" collapsed="false">
      <c r="A423" s="78" t="str">
        <f aca="false">IF(E423="","",ROW()-6)</f>
        <v/>
      </c>
      <c r="B423" s="79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1"/>
      <c r="Q423" s="81"/>
      <c r="R423" s="80"/>
      <c r="S423" s="80"/>
      <c r="T423" s="81"/>
      <c r="U423" s="80"/>
      <c r="V423" s="80"/>
      <c r="W423" s="80"/>
      <c r="X423" s="80"/>
      <c r="Y423" s="81"/>
      <c r="Z423" s="80"/>
      <c r="AA423" s="80"/>
      <c r="AB423" s="80"/>
      <c r="AC423" s="80"/>
      <c r="AD423" s="81"/>
      <c r="AE423" s="80"/>
      <c r="AF423" s="80"/>
      <c r="AG423" s="81"/>
      <c r="AH423" s="79"/>
      <c r="AI423" s="78" t="str">
        <f aca="false">IF(E423="","",(V423&lt;&gt;"")+(AA423&lt;&gt;"")+(AF423&lt;&gt;""))</f>
        <v/>
      </c>
      <c r="AJ423" s="82" t="str">
        <f aca="false">IF(AF423&lt;&gt;"",AF423,IF(AA423&lt;&gt;"",AA423,IF(V423&lt;&gt;"",V423,"")))</f>
        <v/>
      </c>
      <c r="AK423" s="83" t="str">
        <f aca="false">IF(E423="","",IF(P423="","À SOUDER",IF(S423="","VT EN ATTENTE",IF(S423="R","VT REJETÉ – À REPRENDRE",IF(AJ423="","À RADIOGRAPHIER",IF(AJ423="A","ACCEPTÉ",IF(AJ423="NX","NX – RT À REFAIRE",IF(IF(AI423=1,X423,IF(AI423=2,AC423,""))="A","RÉPARÉ – À RADIOGRAPHIER",IF(IF(AI423=1,X423,IF(AI423=2,AC423,""))="R","VT REJETÉ – À REPRENDRE",IF(AJ423="CO","COUPE – À RESOUDER","À RÉPARER"))))))))))</f>
        <v/>
      </c>
      <c r="AL423" s="82" t="str">
        <f aca="false">IF(AND(ISNUMBER(P423),OR(AK423="À RADIOGRAPHIER",AK423="RÉPARÉ – À RADIOGRAPHIER",AK423="NX – RT À REFAIRE",AK423="À RÉPARER",AK423="COUPE – À RESOUDER",AK423="VT REJETÉ – À REPRENDRE")),MAX(0,'PROGRAMME RT'!$C$4-P423),"")</f>
        <v/>
      </c>
      <c r="AM423" s="78" t="n">
        <f aca="false">IF(AND(OR(AK423="À RADIOGRAPHIER",AK423="RÉPARÉ – À RADIOGRAPHIER",AK423="NX – RT À REFAIRE"),OR('PROGRAMME RT'!$D$5="TOUTES",B423='PROGRAMME RT'!$D$5)),1,0)</f>
        <v>0</v>
      </c>
      <c r="AN423" s="78" t="str">
        <f aca="false">IF(AM423=1,SUM(AM$7:AM423),"")</f>
        <v/>
      </c>
      <c r="AO423" s="78" t="n">
        <f aca="false">IF(AND(OR(AK423="À RÉPARER",AK423="COUPE – À RESOUDER",AK423="VT REJETÉ – À REPRENDRE"),OR(RÉPARATIONS!$D$5="TOUTES",B423=RÉPARATIONS!$D$5)),1,0)</f>
        <v>0</v>
      </c>
      <c r="AP423" s="78" t="str">
        <f aca="false">IF(AO423=1,SUM(AO$7:AO423),"")</f>
        <v/>
      </c>
    </row>
    <row r="424" customFormat="false" ht="15" hidden="false" customHeight="false" outlineLevel="0" collapsed="false">
      <c r="A424" s="78" t="str">
        <f aca="false">IF(E424="","",ROW()-6)</f>
        <v/>
      </c>
      <c r="B424" s="79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1"/>
      <c r="Q424" s="81"/>
      <c r="R424" s="80"/>
      <c r="S424" s="80"/>
      <c r="T424" s="81"/>
      <c r="U424" s="80"/>
      <c r="V424" s="80"/>
      <c r="W424" s="80"/>
      <c r="X424" s="80"/>
      <c r="Y424" s="81"/>
      <c r="Z424" s="80"/>
      <c r="AA424" s="80"/>
      <c r="AB424" s="80"/>
      <c r="AC424" s="80"/>
      <c r="AD424" s="81"/>
      <c r="AE424" s="80"/>
      <c r="AF424" s="80"/>
      <c r="AG424" s="81"/>
      <c r="AH424" s="79"/>
      <c r="AI424" s="78" t="str">
        <f aca="false">IF(E424="","",(V424&lt;&gt;"")+(AA424&lt;&gt;"")+(AF424&lt;&gt;""))</f>
        <v/>
      </c>
      <c r="AJ424" s="82" t="str">
        <f aca="false">IF(AF424&lt;&gt;"",AF424,IF(AA424&lt;&gt;"",AA424,IF(V424&lt;&gt;"",V424,"")))</f>
        <v/>
      </c>
      <c r="AK424" s="83" t="str">
        <f aca="false">IF(E424="","",IF(P424="","À SOUDER",IF(S424="","VT EN ATTENTE",IF(S424="R","VT REJETÉ – À REPRENDRE",IF(AJ424="","À RADIOGRAPHIER",IF(AJ424="A","ACCEPTÉ",IF(AJ424="NX","NX – RT À REFAIRE",IF(IF(AI424=1,X424,IF(AI424=2,AC424,""))="A","RÉPARÉ – À RADIOGRAPHIER",IF(IF(AI424=1,X424,IF(AI424=2,AC424,""))="R","VT REJETÉ – À REPRENDRE",IF(AJ424="CO","COUPE – À RESOUDER","À RÉPARER"))))))))))</f>
        <v/>
      </c>
      <c r="AL424" s="82" t="str">
        <f aca="false">IF(AND(ISNUMBER(P424),OR(AK424="À RADIOGRAPHIER",AK424="RÉPARÉ – À RADIOGRAPHIER",AK424="NX – RT À REFAIRE",AK424="À RÉPARER",AK424="COUPE – À RESOUDER",AK424="VT REJETÉ – À REPRENDRE")),MAX(0,'PROGRAMME RT'!$C$4-P424),"")</f>
        <v/>
      </c>
      <c r="AM424" s="78" t="n">
        <f aca="false">IF(AND(OR(AK424="À RADIOGRAPHIER",AK424="RÉPARÉ – À RADIOGRAPHIER",AK424="NX – RT À REFAIRE"),OR('PROGRAMME RT'!$D$5="TOUTES",B424='PROGRAMME RT'!$D$5)),1,0)</f>
        <v>0</v>
      </c>
      <c r="AN424" s="78" t="str">
        <f aca="false">IF(AM424=1,SUM(AM$7:AM424),"")</f>
        <v/>
      </c>
      <c r="AO424" s="78" t="n">
        <f aca="false">IF(AND(OR(AK424="À RÉPARER",AK424="COUPE – À RESOUDER",AK424="VT REJETÉ – À REPRENDRE"),OR(RÉPARATIONS!$D$5="TOUTES",B424=RÉPARATIONS!$D$5)),1,0)</f>
        <v>0</v>
      </c>
      <c r="AP424" s="78" t="str">
        <f aca="false">IF(AO424=1,SUM(AO$7:AO424),"")</f>
        <v/>
      </c>
    </row>
    <row r="425" customFormat="false" ht="15" hidden="false" customHeight="false" outlineLevel="0" collapsed="false">
      <c r="A425" s="78" t="str">
        <f aca="false">IF(E425="","",ROW()-6)</f>
        <v/>
      </c>
      <c r="B425" s="79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1"/>
      <c r="Q425" s="81"/>
      <c r="R425" s="80"/>
      <c r="S425" s="80"/>
      <c r="T425" s="81"/>
      <c r="U425" s="80"/>
      <c r="V425" s="80"/>
      <c r="W425" s="80"/>
      <c r="X425" s="80"/>
      <c r="Y425" s="81"/>
      <c r="Z425" s="80"/>
      <c r="AA425" s="80"/>
      <c r="AB425" s="80"/>
      <c r="AC425" s="80"/>
      <c r="AD425" s="81"/>
      <c r="AE425" s="80"/>
      <c r="AF425" s="80"/>
      <c r="AG425" s="81"/>
      <c r="AH425" s="79"/>
      <c r="AI425" s="78" t="str">
        <f aca="false">IF(E425="","",(V425&lt;&gt;"")+(AA425&lt;&gt;"")+(AF425&lt;&gt;""))</f>
        <v/>
      </c>
      <c r="AJ425" s="82" t="str">
        <f aca="false">IF(AF425&lt;&gt;"",AF425,IF(AA425&lt;&gt;"",AA425,IF(V425&lt;&gt;"",V425,"")))</f>
        <v/>
      </c>
      <c r="AK425" s="83" t="str">
        <f aca="false">IF(E425="","",IF(P425="","À SOUDER",IF(S425="","VT EN ATTENTE",IF(S425="R","VT REJETÉ – À REPRENDRE",IF(AJ425="","À RADIOGRAPHIER",IF(AJ425="A","ACCEPTÉ",IF(AJ425="NX","NX – RT À REFAIRE",IF(IF(AI425=1,X425,IF(AI425=2,AC425,""))="A","RÉPARÉ – À RADIOGRAPHIER",IF(IF(AI425=1,X425,IF(AI425=2,AC425,""))="R","VT REJETÉ – À REPRENDRE",IF(AJ425="CO","COUPE – À RESOUDER","À RÉPARER"))))))))))</f>
        <v/>
      </c>
      <c r="AL425" s="82" t="str">
        <f aca="false">IF(AND(ISNUMBER(P425),OR(AK425="À RADIOGRAPHIER",AK425="RÉPARÉ – À RADIOGRAPHIER",AK425="NX – RT À REFAIRE",AK425="À RÉPARER",AK425="COUPE – À RESOUDER",AK425="VT REJETÉ – À REPRENDRE")),MAX(0,'PROGRAMME RT'!$C$4-P425),"")</f>
        <v/>
      </c>
      <c r="AM425" s="78" t="n">
        <f aca="false">IF(AND(OR(AK425="À RADIOGRAPHIER",AK425="RÉPARÉ – À RADIOGRAPHIER",AK425="NX – RT À REFAIRE"),OR('PROGRAMME RT'!$D$5="TOUTES",B425='PROGRAMME RT'!$D$5)),1,0)</f>
        <v>0</v>
      </c>
      <c r="AN425" s="78" t="str">
        <f aca="false">IF(AM425=1,SUM(AM$7:AM425),"")</f>
        <v/>
      </c>
      <c r="AO425" s="78" t="n">
        <f aca="false">IF(AND(OR(AK425="À RÉPARER",AK425="COUPE – À RESOUDER",AK425="VT REJETÉ – À REPRENDRE"),OR(RÉPARATIONS!$D$5="TOUTES",B425=RÉPARATIONS!$D$5)),1,0)</f>
        <v>0</v>
      </c>
      <c r="AP425" s="78" t="str">
        <f aca="false">IF(AO425=1,SUM(AO$7:AO425),"")</f>
        <v/>
      </c>
    </row>
    <row r="426" customFormat="false" ht="15" hidden="false" customHeight="false" outlineLevel="0" collapsed="false">
      <c r="A426" s="78" t="str">
        <f aca="false">IF(E426="","",ROW()-6)</f>
        <v/>
      </c>
      <c r="B426" s="79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1"/>
      <c r="Q426" s="81"/>
      <c r="R426" s="80"/>
      <c r="S426" s="80"/>
      <c r="T426" s="81"/>
      <c r="U426" s="80"/>
      <c r="V426" s="80"/>
      <c r="W426" s="80"/>
      <c r="X426" s="80"/>
      <c r="Y426" s="81"/>
      <c r="Z426" s="80"/>
      <c r="AA426" s="80"/>
      <c r="AB426" s="80"/>
      <c r="AC426" s="80"/>
      <c r="AD426" s="81"/>
      <c r="AE426" s="80"/>
      <c r="AF426" s="80"/>
      <c r="AG426" s="81"/>
      <c r="AH426" s="79"/>
      <c r="AI426" s="78" t="str">
        <f aca="false">IF(E426="","",(V426&lt;&gt;"")+(AA426&lt;&gt;"")+(AF426&lt;&gt;""))</f>
        <v/>
      </c>
      <c r="AJ426" s="82" t="str">
        <f aca="false">IF(AF426&lt;&gt;"",AF426,IF(AA426&lt;&gt;"",AA426,IF(V426&lt;&gt;"",V426,"")))</f>
        <v/>
      </c>
      <c r="AK426" s="83" t="str">
        <f aca="false">IF(E426="","",IF(P426="","À SOUDER",IF(S426="","VT EN ATTENTE",IF(S426="R","VT REJETÉ – À REPRENDRE",IF(AJ426="","À RADIOGRAPHIER",IF(AJ426="A","ACCEPTÉ",IF(AJ426="NX","NX – RT À REFAIRE",IF(IF(AI426=1,X426,IF(AI426=2,AC426,""))="A","RÉPARÉ – À RADIOGRAPHIER",IF(IF(AI426=1,X426,IF(AI426=2,AC426,""))="R","VT REJETÉ – À REPRENDRE",IF(AJ426="CO","COUPE – À RESOUDER","À RÉPARER"))))))))))</f>
        <v/>
      </c>
      <c r="AL426" s="82" t="str">
        <f aca="false">IF(AND(ISNUMBER(P426),OR(AK426="À RADIOGRAPHIER",AK426="RÉPARÉ – À RADIOGRAPHIER",AK426="NX – RT À REFAIRE",AK426="À RÉPARER",AK426="COUPE – À RESOUDER",AK426="VT REJETÉ – À REPRENDRE")),MAX(0,'PROGRAMME RT'!$C$4-P426),"")</f>
        <v/>
      </c>
      <c r="AM426" s="78" t="n">
        <f aca="false">IF(AND(OR(AK426="À RADIOGRAPHIER",AK426="RÉPARÉ – À RADIOGRAPHIER",AK426="NX – RT À REFAIRE"),OR('PROGRAMME RT'!$D$5="TOUTES",B426='PROGRAMME RT'!$D$5)),1,0)</f>
        <v>0</v>
      </c>
      <c r="AN426" s="78" t="str">
        <f aca="false">IF(AM426=1,SUM(AM$7:AM426),"")</f>
        <v/>
      </c>
      <c r="AO426" s="78" t="n">
        <f aca="false">IF(AND(OR(AK426="À RÉPARER",AK426="COUPE – À RESOUDER",AK426="VT REJETÉ – À REPRENDRE"),OR(RÉPARATIONS!$D$5="TOUTES",B426=RÉPARATIONS!$D$5)),1,0)</f>
        <v>0</v>
      </c>
      <c r="AP426" s="78" t="str">
        <f aca="false">IF(AO426=1,SUM(AO$7:AO426),"")</f>
        <v/>
      </c>
    </row>
    <row r="427" customFormat="false" ht="15" hidden="false" customHeight="false" outlineLevel="0" collapsed="false">
      <c r="A427" s="78" t="str">
        <f aca="false">IF(E427="","",ROW()-6)</f>
        <v/>
      </c>
      <c r="B427" s="79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1"/>
      <c r="Q427" s="81"/>
      <c r="R427" s="80"/>
      <c r="S427" s="80"/>
      <c r="T427" s="81"/>
      <c r="U427" s="80"/>
      <c r="V427" s="80"/>
      <c r="W427" s="80"/>
      <c r="X427" s="80"/>
      <c r="Y427" s="81"/>
      <c r="Z427" s="80"/>
      <c r="AA427" s="80"/>
      <c r="AB427" s="80"/>
      <c r="AC427" s="80"/>
      <c r="AD427" s="81"/>
      <c r="AE427" s="80"/>
      <c r="AF427" s="80"/>
      <c r="AG427" s="81"/>
      <c r="AH427" s="79"/>
      <c r="AI427" s="78" t="str">
        <f aca="false">IF(E427="","",(V427&lt;&gt;"")+(AA427&lt;&gt;"")+(AF427&lt;&gt;""))</f>
        <v/>
      </c>
      <c r="AJ427" s="82" t="str">
        <f aca="false">IF(AF427&lt;&gt;"",AF427,IF(AA427&lt;&gt;"",AA427,IF(V427&lt;&gt;"",V427,"")))</f>
        <v/>
      </c>
      <c r="AK427" s="83" t="str">
        <f aca="false">IF(E427="","",IF(P427="","À SOUDER",IF(S427="","VT EN ATTENTE",IF(S427="R","VT REJETÉ – À REPRENDRE",IF(AJ427="","À RADIOGRAPHIER",IF(AJ427="A","ACCEPTÉ",IF(AJ427="NX","NX – RT À REFAIRE",IF(IF(AI427=1,X427,IF(AI427=2,AC427,""))="A","RÉPARÉ – À RADIOGRAPHIER",IF(IF(AI427=1,X427,IF(AI427=2,AC427,""))="R","VT REJETÉ – À REPRENDRE",IF(AJ427="CO","COUPE – À RESOUDER","À RÉPARER"))))))))))</f>
        <v/>
      </c>
      <c r="AL427" s="82" t="str">
        <f aca="false">IF(AND(ISNUMBER(P427),OR(AK427="À RADIOGRAPHIER",AK427="RÉPARÉ – À RADIOGRAPHIER",AK427="NX – RT À REFAIRE",AK427="À RÉPARER",AK427="COUPE – À RESOUDER",AK427="VT REJETÉ – À REPRENDRE")),MAX(0,'PROGRAMME RT'!$C$4-P427),"")</f>
        <v/>
      </c>
      <c r="AM427" s="78" t="n">
        <f aca="false">IF(AND(OR(AK427="À RADIOGRAPHIER",AK427="RÉPARÉ – À RADIOGRAPHIER",AK427="NX – RT À REFAIRE"),OR('PROGRAMME RT'!$D$5="TOUTES",B427='PROGRAMME RT'!$D$5)),1,0)</f>
        <v>0</v>
      </c>
      <c r="AN427" s="78" t="str">
        <f aca="false">IF(AM427=1,SUM(AM$7:AM427),"")</f>
        <v/>
      </c>
      <c r="AO427" s="78" t="n">
        <f aca="false">IF(AND(OR(AK427="À RÉPARER",AK427="COUPE – À RESOUDER",AK427="VT REJETÉ – À REPRENDRE"),OR(RÉPARATIONS!$D$5="TOUTES",B427=RÉPARATIONS!$D$5)),1,0)</f>
        <v>0</v>
      </c>
      <c r="AP427" s="78" t="str">
        <f aca="false">IF(AO427=1,SUM(AO$7:AO427),"")</f>
        <v/>
      </c>
    </row>
    <row r="428" customFormat="false" ht="15" hidden="false" customHeight="false" outlineLevel="0" collapsed="false">
      <c r="A428" s="78" t="str">
        <f aca="false">IF(E428="","",ROW()-6)</f>
        <v/>
      </c>
      <c r="B428" s="79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1"/>
      <c r="Q428" s="81"/>
      <c r="R428" s="80"/>
      <c r="S428" s="80"/>
      <c r="T428" s="81"/>
      <c r="U428" s="80"/>
      <c r="V428" s="80"/>
      <c r="W428" s="80"/>
      <c r="X428" s="80"/>
      <c r="Y428" s="81"/>
      <c r="Z428" s="80"/>
      <c r="AA428" s="80"/>
      <c r="AB428" s="80"/>
      <c r="AC428" s="80"/>
      <c r="AD428" s="81"/>
      <c r="AE428" s="80"/>
      <c r="AF428" s="80"/>
      <c r="AG428" s="81"/>
      <c r="AH428" s="79"/>
      <c r="AI428" s="78" t="str">
        <f aca="false">IF(E428="","",(V428&lt;&gt;"")+(AA428&lt;&gt;"")+(AF428&lt;&gt;""))</f>
        <v/>
      </c>
      <c r="AJ428" s="82" t="str">
        <f aca="false">IF(AF428&lt;&gt;"",AF428,IF(AA428&lt;&gt;"",AA428,IF(V428&lt;&gt;"",V428,"")))</f>
        <v/>
      </c>
      <c r="AK428" s="83" t="str">
        <f aca="false">IF(E428="","",IF(P428="","À SOUDER",IF(S428="","VT EN ATTENTE",IF(S428="R","VT REJETÉ – À REPRENDRE",IF(AJ428="","À RADIOGRAPHIER",IF(AJ428="A","ACCEPTÉ",IF(AJ428="NX","NX – RT À REFAIRE",IF(IF(AI428=1,X428,IF(AI428=2,AC428,""))="A","RÉPARÉ – À RADIOGRAPHIER",IF(IF(AI428=1,X428,IF(AI428=2,AC428,""))="R","VT REJETÉ – À REPRENDRE",IF(AJ428="CO","COUPE – À RESOUDER","À RÉPARER"))))))))))</f>
        <v/>
      </c>
      <c r="AL428" s="82" t="str">
        <f aca="false">IF(AND(ISNUMBER(P428),OR(AK428="À RADIOGRAPHIER",AK428="RÉPARÉ – À RADIOGRAPHIER",AK428="NX – RT À REFAIRE",AK428="À RÉPARER",AK428="COUPE – À RESOUDER",AK428="VT REJETÉ – À REPRENDRE")),MAX(0,'PROGRAMME RT'!$C$4-P428),"")</f>
        <v/>
      </c>
      <c r="AM428" s="78" t="n">
        <f aca="false">IF(AND(OR(AK428="À RADIOGRAPHIER",AK428="RÉPARÉ – À RADIOGRAPHIER",AK428="NX – RT À REFAIRE"),OR('PROGRAMME RT'!$D$5="TOUTES",B428='PROGRAMME RT'!$D$5)),1,0)</f>
        <v>0</v>
      </c>
      <c r="AN428" s="78" t="str">
        <f aca="false">IF(AM428=1,SUM(AM$7:AM428),"")</f>
        <v/>
      </c>
      <c r="AO428" s="78" t="n">
        <f aca="false">IF(AND(OR(AK428="À RÉPARER",AK428="COUPE – À RESOUDER",AK428="VT REJETÉ – À REPRENDRE"),OR(RÉPARATIONS!$D$5="TOUTES",B428=RÉPARATIONS!$D$5)),1,0)</f>
        <v>0</v>
      </c>
      <c r="AP428" s="78" t="str">
        <f aca="false">IF(AO428=1,SUM(AO$7:AO428),"")</f>
        <v/>
      </c>
    </row>
    <row r="429" customFormat="false" ht="15" hidden="false" customHeight="false" outlineLevel="0" collapsed="false">
      <c r="A429" s="78" t="str">
        <f aca="false">IF(E429="","",ROW()-6)</f>
        <v/>
      </c>
      <c r="B429" s="79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1"/>
      <c r="Q429" s="81"/>
      <c r="R429" s="80"/>
      <c r="S429" s="80"/>
      <c r="T429" s="81"/>
      <c r="U429" s="80"/>
      <c r="V429" s="80"/>
      <c r="W429" s="80"/>
      <c r="X429" s="80"/>
      <c r="Y429" s="81"/>
      <c r="Z429" s="80"/>
      <c r="AA429" s="80"/>
      <c r="AB429" s="80"/>
      <c r="AC429" s="80"/>
      <c r="AD429" s="81"/>
      <c r="AE429" s="80"/>
      <c r="AF429" s="80"/>
      <c r="AG429" s="81"/>
      <c r="AH429" s="79"/>
      <c r="AI429" s="78" t="str">
        <f aca="false">IF(E429="","",(V429&lt;&gt;"")+(AA429&lt;&gt;"")+(AF429&lt;&gt;""))</f>
        <v/>
      </c>
      <c r="AJ429" s="82" t="str">
        <f aca="false">IF(AF429&lt;&gt;"",AF429,IF(AA429&lt;&gt;"",AA429,IF(V429&lt;&gt;"",V429,"")))</f>
        <v/>
      </c>
      <c r="AK429" s="83" t="str">
        <f aca="false">IF(E429="","",IF(P429="","À SOUDER",IF(S429="","VT EN ATTENTE",IF(S429="R","VT REJETÉ – À REPRENDRE",IF(AJ429="","À RADIOGRAPHIER",IF(AJ429="A","ACCEPTÉ",IF(AJ429="NX","NX – RT À REFAIRE",IF(IF(AI429=1,X429,IF(AI429=2,AC429,""))="A","RÉPARÉ – À RADIOGRAPHIER",IF(IF(AI429=1,X429,IF(AI429=2,AC429,""))="R","VT REJETÉ – À REPRENDRE",IF(AJ429="CO","COUPE – À RESOUDER","À RÉPARER"))))))))))</f>
        <v/>
      </c>
      <c r="AL429" s="82" t="str">
        <f aca="false">IF(AND(ISNUMBER(P429),OR(AK429="À RADIOGRAPHIER",AK429="RÉPARÉ – À RADIOGRAPHIER",AK429="NX – RT À REFAIRE",AK429="À RÉPARER",AK429="COUPE – À RESOUDER",AK429="VT REJETÉ – À REPRENDRE")),MAX(0,'PROGRAMME RT'!$C$4-P429),"")</f>
        <v/>
      </c>
      <c r="AM429" s="78" t="n">
        <f aca="false">IF(AND(OR(AK429="À RADIOGRAPHIER",AK429="RÉPARÉ – À RADIOGRAPHIER",AK429="NX – RT À REFAIRE"),OR('PROGRAMME RT'!$D$5="TOUTES",B429='PROGRAMME RT'!$D$5)),1,0)</f>
        <v>0</v>
      </c>
      <c r="AN429" s="78" t="str">
        <f aca="false">IF(AM429=1,SUM(AM$7:AM429),"")</f>
        <v/>
      </c>
      <c r="AO429" s="78" t="n">
        <f aca="false">IF(AND(OR(AK429="À RÉPARER",AK429="COUPE – À RESOUDER",AK429="VT REJETÉ – À REPRENDRE"),OR(RÉPARATIONS!$D$5="TOUTES",B429=RÉPARATIONS!$D$5)),1,0)</f>
        <v>0</v>
      </c>
      <c r="AP429" s="78" t="str">
        <f aca="false">IF(AO429=1,SUM(AO$7:AO429),"")</f>
        <v/>
      </c>
    </row>
    <row r="430" customFormat="false" ht="15" hidden="false" customHeight="false" outlineLevel="0" collapsed="false">
      <c r="A430" s="78" t="str">
        <f aca="false">IF(E430="","",ROW()-6)</f>
        <v/>
      </c>
      <c r="B430" s="79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1"/>
      <c r="Q430" s="81"/>
      <c r="R430" s="80"/>
      <c r="S430" s="80"/>
      <c r="T430" s="81"/>
      <c r="U430" s="80"/>
      <c r="V430" s="80"/>
      <c r="W430" s="80"/>
      <c r="X430" s="80"/>
      <c r="Y430" s="81"/>
      <c r="Z430" s="80"/>
      <c r="AA430" s="80"/>
      <c r="AB430" s="80"/>
      <c r="AC430" s="80"/>
      <c r="AD430" s="81"/>
      <c r="AE430" s="80"/>
      <c r="AF430" s="80"/>
      <c r="AG430" s="81"/>
      <c r="AH430" s="79"/>
      <c r="AI430" s="78" t="str">
        <f aca="false">IF(E430="","",(V430&lt;&gt;"")+(AA430&lt;&gt;"")+(AF430&lt;&gt;""))</f>
        <v/>
      </c>
      <c r="AJ430" s="82" t="str">
        <f aca="false">IF(AF430&lt;&gt;"",AF430,IF(AA430&lt;&gt;"",AA430,IF(V430&lt;&gt;"",V430,"")))</f>
        <v/>
      </c>
      <c r="AK430" s="83" t="str">
        <f aca="false">IF(E430="","",IF(P430="","À SOUDER",IF(S430="","VT EN ATTENTE",IF(S430="R","VT REJETÉ – À REPRENDRE",IF(AJ430="","À RADIOGRAPHIER",IF(AJ430="A","ACCEPTÉ",IF(AJ430="NX","NX – RT À REFAIRE",IF(IF(AI430=1,X430,IF(AI430=2,AC430,""))="A","RÉPARÉ – À RADIOGRAPHIER",IF(IF(AI430=1,X430,IF(AI430=2,AC430,""))="R","VT REJETÉ – À REPRENDRE",IF(AJ430="CO","COUPE – À RESOUDER","À RÉPARER"))))))))))</f>
        <v/>
      </c>
      <c r="AL430" s="82" t="str">
        <f aca="false">IF(AND(ISNUMBER(P430),OR(AK430="À RADIOGRAPHIER",AK430="RÉPARÉ – À RADIOGRAPHIER",AK430="NX – RT À REFAIRE",AK430="À RÉPARER",AK430="COUPE – À RESOUDER",AK430="VT REJETÉ – À REPRENDRE")),MAX(0,'PROGRAMME RT'!$C$4-P430),"")</f>
        <v/>
      </c>
      <c r="AM430" s="78" t="n">
        <f aca="false">IF(AND(OR(AK430="À RADIOGRAPHIER",AK430="RÉPARÉ – À RADIOGRAPHIER",AK430="NX – RT À REFAIRE"),OR('PROGRAMME RT'!$D$5="TOUTES",B430='PROGRAMME RT'!$D$5)),1,0)</f>
        <v>0</v>
      </c>
      <c r="AN430" s="78" t="str">
        <f aca="false">IF(AM430=1,SUM(AM$7:AM430),"")</f>
        <v/>
      </c>
      <c r="AO430" s="78" t="n">
        <f aca="false">IF(AND(OR(AK430="À RÉPARER",AK430="COUPE – À RESOUDER",AK430="VT REJETÉ – À REPRENDRE"),OR(RÉPARATIONS!$D$5="TOUTES",B430=RÉPARATIONS!$D$5)),1,0)</f>
        <v>0</v>
      </c>
      <c r="AP430" s="78" t="str">
        <f aca="false">IF(AO430=1,SUM(AO$7:AO430),"")</f>
        <v/>
      </c>
    </row>
    <row r="431" customFormat="false" ht="15" hidden="false" customHeight="false" outlineLevel="0" collapsed="false">
      <c r="A431" s="78" t="str">
        <f aca="false">IF(E431="","",ROW()-6)</f>
        <v/>
      </c>
      <c r="B431" s="79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1"/>
      <c r="Q431" s="81"/>
      <c r="R431" s="80"/>
      <c r="S431" s="80"/>
      <c r="T431" s="81"/>
      <c r="U431" s="80"/>
      <c r="V431" s="80"/>
      <c r="W431" s="80"/>
      <c r="X431" s="80"/>
      <c r="Y431" s="81"/>
      <c r="Z431" s="80"/>
      <c r="AA431" s="80"/>
      <c r="AB431" s="80"/>
      <c r="AC431" s="80"/>
      <c r="AD431" s="81"/>
      <c r="AE431" s="80"/>
      <c r="AF431" s="80"/>
      <c r="AG431" s="81"/>
      <c r="AH431" s="79"/>
      <c r="AI431" s="78" t="str">
        <f aca="false">IF(E431="","",(V431&lt;&gt;"")+(AA431&lt;&gt;"")+(AF431&lt;&gt;""))</f>
        <v/>
      </c>
      <c r="AJ431" s="82" t="str">
        <f aca="false">IF(AF431&lt;&gt;"",AF431,IF(AA431&lt;&gt;"",AA431,IF(V431&lt;&gt;"",V431,"")))</f>
        <v/>
      </c>
      <c r="AK431" s="83" t="str">
        <f aca="false">IF(E431="","",IF(P431="","À SOUDER",IF(S431="","VT EN ATTENTE",IF(S431="R","VT REJETÉ – À REPRENDRE",IF(AJ431="","À RADIOGRAPHIER",IF(AJ431="A","ACCEPTÉ",IF(AJ431="NX","NX – RT À REFAIRE",IF(IF(AI431=1,X431,IF(AI431=2,AC431,""))="A","RÉPARÉ – À RADIOGRAPHIER",IF(IF(AI431=1,X431,IF(AI431=2,AC431,""))="R","VT REJETÉ – À REPRENDRE",IF(AJ431="CO","COUPE – À RESOUDER","À RÉPARER"))))))))))</f>
        <v/>
      </c>
      <c r="AL431" s="82" t="str">
        <f aca="false">IF(AND(ISNUMBER(P431),OR(AK431="À RADIOGRAPHIER",AK431="RÉPARÉ – À RADIOGRAPHIER",AK431="NX – RT À REFAIRE",AK431="À RÉPARER",AK431="COUPE – À RESOUDER",AK431="VT REJETÉ – À REPRENDRE")),MAX(0,'PROGRAMME RT'!$C$4-P431),"")</f>
        <v/>
      </c>
      <c r="AM431" s="78" t="n">
        <f aca="false">IF(AND(OR(AK431="À RADIOGRAPHIER",AK431="RÉPARÉ – À RADIOGRAPHIER",AK431="NX – RT À REFAIRE"),OR('PROGRAMME RT'!$D$5="TOUTES",B431='PROGRAMME RT'!$D$5)),1,0)</f>
        <v>0</v>
      </c>
      <c r="AN431" s="78" t="str">
        <f aca="false">IF(AM431=1,SUM(AM$7:AM431),"")</f>
        <v/>
      </c>
      <c r="AO431" s="78" t="n">
        <f aca="false">IF(AND(OR(AK431="À RÉPARER",AK431="COUPE – À RESOUDER",AK431="VT REJETÉ – À REPRENDRE"),OR(RÉPARATIONS!$D$5="TOUTES",B431=RÉPARATIONS!$D$5)),1,0)</f>
        <v>0</v>
      </c>
      <c r="AP431" s="78" t="str">
        <f aca="false">IF(AO431=1,SUM(AO$7:AO431),"")</f>
        <v/>
      </c>
    </row>
    <row r="432" customFormat="false" ht="15" hidden="false" customHeight="false" outlineLevel="0" collapsed="false">
      <c r="A432" s="78" t="str">
        <f aca="false">IF(E432="","",ROW()-6)</f>
        <v/>
      </c>
      <c r="B432" s="79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1"/>
      <c r="Q432" s="81"/>
      <c r="R432" s="80"/>
      <c r="S432" s="80"/>
      <c r="T432" s="81"/>
      <c r="U432" s="80"/>
      <c r="V432" s="80"/>
      <c r="W432" s="80"/>
      <c r="X432" s="80"/>
      <c r="Y432" s="81"/>
      <c r="Z432" s="80"/>
      <c r="AA432" s="80"/>
      <c r="AB432" s="80"/>
      <c r="AC432" s="80"/>
      <c r="AD432" s="81"/>
      <c r="AE432" s="80"/>
      <c r="AF432" s="80"/>
      <c r="AG432" s="81"/>
      <c r="AH432" s="79"/>
      <c r="AI432" s="78" t="str">
        <f aca="false">IF(E432="","",(V432&lt;&gt;"")+(AA432&lt;&gt;"")+(AF432&lt;&gt;""))</f>
        <v/>
      </c>
      <c r="AJ432" s="82" t="str">
        <f aca="false">IF(AF432&lt;&gt;"",AF432,IF(AA432&lt;&gt;"",AA432,IF(V432&lt;&gt;"",V432,"")))</f>
        <v/>
      </c>
      <c r="AK432" s="83" t="str">
        <f aca="false">IF(E432="","",IF(P432="","À SOUDER",IF(S432="","VT EN ATTENTE",IF(S432="R","VT REJETÉ – À REPRENDRE",IF(AJ432="","À RADIOGRAPHIER",IF(AJ432="A","ACCEPTÉ",IF(AJ432="NX","NX – RT À REFAIRE",IF(IF(AI432=1,X432,IF(AI432=2,AC432,""))="A","RÉPARÉ – À RADIOGRAPHIER",IF(IF(AI432=1,X432,IF(AI432=2,AC432,""))="R","VT REJETÉ – À REPRENDRE",IF(AJ432="CO","COUPE – À RESOUDER","À RÉPARER"))))))))))</f>
        <v/>
      </c>
      <c r="AL432" s="82" t="str">
        <f aca="false">IF(AND(ISNUMBER(P432),OR(AK432="À RADIOGRAPHIER",AK432="RÉPARÉ – À RADIOGRAPHIER",AK432="NX – RT À REFAIRE",AK432="À RÉPARER",AK432="COUPE – À RESOUDER",AK432="VT REJETÉ – À REPRENDRE")),MAX(0,'PROGRAMME RT'!$C$4-P432),"")</f>
        <v/>
      </c>
      <c r="AM432" s="78" t="n">
        <f aca="false">IF(AND(OR(AK432="À RADIOGRAPHIER",AK432="RÉPARÉ – À RADIOGRAPHIER",AK432="NX – RT À REFAIRE"),OR('PROGRAMME RT'!$D$5="TOUTES",B432='PROGRAMME RT'!$D$5)),1,0)</f>
        <v>0</v>
      </c>
      <c r="AN432" s="78" t="str">
        <f aca="false">IF(AM432=1,SUM(AM$7:AM432),"")</f>
        <v/>
      </c>
      <c r="AO432" s="78" t="n">
        <f aca="false">IF(AND(OR(AK432="À RÉPARER",AK432="COUPE – À RESOUDER",AK432="VT REJETÉ – À REPRENDRE"),OR(RÉPARATIONS!$D$5="TOUTES",B432=RÉPARATIONS!$D$5)),1,0)</f>
        <v>0</v>
      </c>
      <c r="AP432" s="78" t="str">
        <f aca="false">IF(AO432=1,SUM(AO$7:AO432),"")</f>
        <v/>
      </c>
    </row>
    <row r="433" customFormat="false" ht="15" hidden="false" customHeight="false" outlineLevel="0" collapsed="false">
      <c r="A433" s="78" t="str">
        <f aca="false">IF(E433="","",ROW()-6)</f>
        <v/>
      </c>
      <c r="B433" s="79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1"/>
      <c r="Q433" s="81"/>
      <c r="R433" s="80"/>
      <c r="S433" s="80"/>
      <c r="T433" s="81"/>
      <c r="U433" s="80"/>
      <c r="V433" s="80"/>
      <c r="W433" s="80"/>
      <c r="X433" s="80"/>
      <c r="Y433" s="81"/>
      <c r="Z433" s="80"/>
      <c r="AA433" s="80"/>
      <c r="AB433" s="80"/>
      <c r="AC433" s="80"/>
      <c r="AD433" s="81"/>
      <c r="AE433" s="80"/>
      <c r="AF433" s="80"/>
      <c r="AG433" s="81"/>
      <c r="AH433" s="79"/>
      <c r="AI433" s="78" t="str">
        <f aca="false">IF(E433="","",(V433&lt;&gt;"")+(AA433&lt;&gt;"")+(AF433&lt;&gt;""))</f>
        <v/>
      </c>
      <c r="AJ433" s="82" t="str">
        <f aca="false">IF(AF433&lt;&gt;"",AF433,IF(AA433&lt;&gt;"",AA433,IF(V433&lt;&gt;"",V433,"")))</f>
        <v/>
      </c>
      <c r="AK433" s="83" t="str">
        <f aca="false">IF(E433="","",IF(P433="","À SOUDER",IF(S433="","VT EN ATTENTE",IF(S433="R","VT REJETÉ – À REPRENDRE",IF(AJ433="","À RADIOGRAPHIER",IF(AJ433="A","ACCEPTÉ",IF(AJ433="NX","NX – RT À REFAIRE",IF(IF(AI433=1,X433,IF(AI433=2,AC433,""))="A","RÉPARÉ – À RADIOGRAPHIER",IF(IF(AI433=1,X433,IF(AI433=2,AC433,""))="R","VT REJETÉ – À REPRENDRE",IF(AJ433="CO","COUPE – À RESOUDER","À RÉPARER"))))))))))</f>
        <v/>
      </c>
      <c r="AL433" s="82" t="str">
        <f aca="false">IF(AND(ISNUMBER(P433),OR(AK433="À RADIOGRAPHIER",AK433="RÉPARÉ – À RADIOGRAPHIER",AK433="NX – RT À REFAIRE",AK433="À RÉPARER",AK433="COUPE – À RESOUDER",AK433="VT REJETÉ – À REPRENDRE")),MAX(0,'PROGRAMME RT'!$C$4-P433),"")</f>
        <v/>
      </c>
      <c r="AM433" s="78" t="n">
        <f aca="false">IF(AND(OR(AK433="À RADIOGRAPHIER",AK433="RÉPARÉ – À RADIOGRAPHIER",AK433="NX – RT À REFAIRE"),OR('PROGRAMME RT'!$D$5="TOUTES",B433='PROGRAMME RT'!$D$5)),1,0)</f>
        <v>0</v>
      </c>
      <c r="AN433" s="78" t="str">
        <f aca="false">IF(AM433=1,SUM(AM$7:AM433),"")</f>
        <v/>
      </c>
      <c r="AO433" s="78" t="n">
        <f aca="false">IF(AND(OR(AK433="À RÉPARER",AK433="COUPE – À RESOUDER",AK433="VT REJETÉ – À REPRENDRE"),OR(RÉPARATIONS!$D$5="TOUTES",B433=RÉPARATIONS!$D$5)),1,0)</f>
        <v>0</v>
      </c>
      <c r="AP433" s="78" t="str">
        <f aca="false">IF(AO433=1,SUM(AO$7:AO433),"")</f>
        <v/>
      </c>
    </row>
    <row r="434" customFormat="false" ht="15" hidden="false" customHeight="false" outlineLevel="0" collapsed="false">
      <c r="A434" s="78" t="str">
        <f aca="false">IF(E434="","",ROW()-6)</f>
        <v/>
      </c>
      <c r="B434" s="79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1"/>
      <c r="Q434" s="81"/>
      <c r="R434" s="80"/>
      <c r="S434" s="80"/>
      <c r="T434" s="81"/>
      <c r="U434" s="80"/>
      <c r="V434" s="80"/>
      <c r="W434" s="80"/>
      <c r="X434" s="80"/>
      <c r="Y434" s="81"/>
      <c r="Z434" s="80"/>
      <c r="AA434" s="80"/>
      <c r="AB434" s="80"/>
      <c r="AC434" s="80"/>
      <c r="AD434" s="81"/>
      <c r="AE434" s="80"/>
      <c r="AF434" s="80"/>
      <c r="AG434" s="81"/>
      <c r="AH434" s="79"/>
      <c r="AI434" s="78" t="str">
        <f aca="false">IF(E434="","",(V434&lt;&gt;"")+(AA434&lt;&gt;"")+(AF434&lt;&gt;""))</f>
        <v/>
      </c>
      <c r="AJ434" s="82" t="str">
        <f aca="false">IF(AF434&lt;&gt;"",AF434,IF(AA434&lt;&gt;"",AA434,IF(V434&lt;&gt;"",V434,"")))</f>
        <v/>
      </c>
      <c r="AK434" s="83" t="str">
        <f aca="false">IF(E434="","",IF(P434="","À SOUDER",IF(S434="","VT EN ATTENTE",IF(S434="R","VT REJETÉ – À REPRENDRE",IF(AJ434="","À RADIOGRAPHIER",IF(AJ434="A","ACCEPTÉ",IF(AJ434="NX","NX – RT À REFAIRE",IF(IF(AI434=1,X434,IF(AI434=2,AC434,""))="A","RÉPARÉ – À RADIOGRAPHIER",IF(IF(AI434=1,X434,IF(AI434=2,AC434,""))="R","VT REJETÉ – À REPRENDRE",IF(AJ434="CO","COUPE – À RESOUDER","À RÉPARER"))))))))))</f>
        <v/>
      </c>
      <c r="AL434" s="82" t="str">
        <f aca="false">IF(AND(ISNUMBER(P434),OR(AK434="À RADIOGRAPHIER",AK434="RÉPARÉ – À RADIOGRAPHIER",AK434="NX – RT À REFAIRE",AK434="À RÉPARER",AK434="COUPE – À RESOUDER",AK434="VT REJETÉ – À REPRENDRE")),MAX(0,'PROGRAMME RT'!$C$4-P434),"")</f>
        <v/>
      </c>
      <c r="AM434" s="78" t="n">
        <f aca="false">IF(AND(OR(AK434="À RADIOGRAPHIER",AK434="RÉPARÉ – À RADIOGRAPHIER",AK434="NX – RT À REFAIRE"),OR('PROGRAMME RT'!$D$5="TOUTES",B434='PROGRAMME RT'!$D$5)),1,0)</f>
        <v>0</v>
      </c>
      <c r="AN434" s="78" t="str">
        <f aca="false">IF(AM434=1,SUM(AM$7:AM434),"")</f>
        <v/>
      </c>
      <c r="AO434" s="78" t="n">
        <f aca="false">IF(AND(OR(AK434="À RÉPARER",AK434="COUPE – À RESOUDER",AK434="VT REJETÉ – À REPRENDRE"),OR(RÉPARATIONS!$D$5="TOUTES",B434=RÉPARATIONS!$D$5)),1,0)</f>
        <v>0</v>
      </c>
      <c r="AP434" s="78" t="str">
        <f aca="false">IF(AO434=1,SUM(AO$7:AO434),"")</f>
        <v/>
      </c>
    </row>
    <row r="435" customFormat="false" ht="15" hidden="false" customHeight="false" outlineLevel="0" collapsed="false">
      <c r="A435" s="78" t="str">
        <f aca="false">IF(E435="","",ROW()-6)</f>
        <v/>
      </c>
      <c r="B435" s="79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1"/>
      <c r="Q435" s="81"/>
      <c r="R435" s="80"/>
      <c r="S435" s="80"/>
      <c r="T435" s="81"/>
      <c r="U435" s="80"/>
      <c r="V435" s="80"/>
      <c r="W435" s="80"/>
      <c r="X435" s="80"/>
      <c r="Y435" s="81"/>
      <c r="Z435" s="80"/>
      <c r="AA435" s="80"/>
      <c r="AB435" s="80"/>
      <c r="AC435" s="80"/>
      <c r="AD435" s="81"/>
      <c r="AE435" s="80"/>
      <c r="AF435" s="80"/>
      <c r="AG435" s="81"/>
      <c r="AH435" s="79"/>
      <c r="AI435" s="78" t="str">
        <f aca="false">IF(E435="","",(V435&lt;&gt;"")+(AA435&lt;&gt;"")+(AF435&lt;&gt;""))</f>
        <v/>
      </c>
      <c r="AJ435" s="82" t="str">
        <f aca="false">IF(AF435&lt;&gt;"",AF435,IF(AA435&lt;&gt;"",AA435,IF(V435&lt;&gt;"",V435,"")))</f>
        <v/>
      </c>
      <c r="AK435" s="83" t="str">
        <f aca="false">IF(E435="","",IF(P435="","À SOUDER",IF(S435="","VT EN ATTENTE",IF(S435="R","VT REJETÉ – À REPRENDRE",IF(AJ435="","À RADIOGRAPHIER",IF(AJ435="A","ACCEPTÉ",IF(AJ435="NX","NX – RT À REFAIRE",IF(IF(AI435=1,X435,IF(AI435=2,AC435,""))="A","RÉPARÉ – À RADIOGRAPHIER",IF(IF(AI435=1,X435,IF(AI435=2,AC435,""))="R","VT REJETÉ – À REPRENDRE",IF(AJ435="CO","COUPE – À RESOUDER","À RÉPARER"))))))))))</f>
        <v/>
      </c>
      <c r="AL435" s="82" t="str">
        <f aca="false">IF(AND(ISNUMBER(P435),OR(AK435="À RADIOGRAPHIER",AK435="RÉPARÉ – À RADIOGRAPHIER",AK435="NX – RT À REFAIRE",AK435="À RÉPARER",AK435="COUPE – À RESOUDER",AK435="VT REJETÉ – À REPRENDRE")),MAX(0,'PROGRAMME RT'!$C$4-P435),"")</f>
        <v/>
      </c>
      <c r="AM435" s="78" t="n">
        <f aca="false">IF(AND(OR(AK435="À RADIOGRAPHIER",AK435="RÉPARÉ – À RADIOGRAPHIER",AK435="NX – RT À REFAIRE"),OR('PROGRAMME RT'!$D$5="TOUTES",B435='PROGRAMME RT'!$D$5)),1,0)</f>
        <v>0</v>
      </c>
      <c r="AN435" s="78" t="str">
        <f aca="false">IF(AM435=1,SUM(AM$7:AM435),"")</f>
        <v/>
      </c>
      <c r="AO435" s="78" t="n">
        <f aca="false">IF(AND(OR(AK435="À RÉPARER",AK435="COUPE – À RESOUDER",AK435="VT REJETÉ – À REPRENDRE"),OR(RÉPARATIONS!$D$5="TOUTES",B435=RÉPARATIONS!$D$5)),1,0)</f>
        <v>0</v>
      </c>
      <c r="AP435" s="78" t="str">
        <f aca="false">IF(AO435=1,SUM(AO$7:AO435),"")</f>
        <v/>
      </c>
    </row>
    <row r="436" customFormat="false" ht="15" hidden="false" customHeight="false" outlineLevel="0" collapsed="false">
      <c r="A436" s="78" t="str">
        <f aca="false">IF(E436="","",ROW()-6)</f>
        <v/>
      </c>
      <c r="B436" s="79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1"/>
      <c r="Q436" s="81"/>
      <c r="R436" s="80"/>
      <c r="S436" s="80"/>
      <c r="T436" s="81"/>
      <c r="U436" s="80"/>
      <c r="V436" s="80"/>
      <c r="W436" s="80"/>
      <c r="X436" s="80"/>
      <c r="Y436" s="81"/>
      <c r="Z436" s="80"/>
      <c r="AA436" s="80"/>
      <c r="AB436" s="80"/>
      <c r="AC436" s="80"/>
      <c r="AD436" s="81"/>
      <c r="AE436" s="80"/>
      <c r="AF436" s="80"/>
      <c r="AG436" s="81"/>
      <c r="AH436" s="79"/>
      <c r="AI436" s="78" t="str">
        <f aca="false">IF(E436="","",(V436&lt;&gt;"")+(AA436&lt;&gt;"")+(AF436&lt;&gt;""))</f>
        <v/>
      </c>
      <c r="AJ436" s="82" t="str">
        <f aca="false">IF(AF436&lt;&gt;"",AF436,IF(AA436&lt;&gt;"",AA436,IF(V436&lt;&gt;"",V436,"")))</f>
        <v/>
      </c>
      <c r="AK436" s="83" t="str">
        <f aca="false">IF(E436="","",IF(P436="","À SOUDER",IF(S436="","VT EN ATTENTE",IF(S436="R","VT REJETÉ – À REPRENDRE",IF(AJ436="","À RADIOGRAPHIER",IF(AJ436="A","ACCEPTÉ",IF(AJ436="NX","NX – RT À REFAIRE",IF(IF(AI436=1,X436,IF(AI436=2,AC436,""))="A","RÉPARÉ – À RADIOGRAPHIER",IF(IF(AI436=1,X436,IF(AI436=2,AC436,""))="R","VT REJETÉ – À REPRENDRE",IF(AJ436="CO","COUPE – À RESOUDER","À RÉPARER"))))))))))</f>
        <v/>
      </c>
      <c r="AL436" s="82" t="str">
        <f aca="false">IF(AND(ISNUMBER(P436),OR(AK436="À RADIOGRAPHIER",AK436="RÉPARÉ – À RADIOGRAPHIER",AK436="NX – RT À REFAIRE",AK436="À RÉPARER",AK436="COUPE – À RESOUDER",AK436="VT REJETÉ – À REPRENDRE")),MAX(0,'PROGRAMME RT'!$C$4-P436),"")</f>
        <v/>
      </c>
      <c r="AM436" s="78" t="n">
        <f aca="false">IF(AND(OR(AK436="À RADIOGRAPHIER",AK436="RÉPARÉ – À RADIOGRAPHIER",AK436="NX – RT À REFAIRE"),OR('PROGRAMME RT'!$D$5="TOUTES",B436='PROGRAMME RT'!$D$5)),1,0)</f>
        <v>0</v>
      </c>
      <c r="AN436" s="78" t="str">
        <f aca="false">IF(AM436=1,SUM(AM$7:AM436),"")</f>
        <v/>
      </c>
      <c r="AO436" s="78" t="n">
        <f aca="false">IF(AND(OR(AK436="À RÉPARER",AK436="COUPE – À RESOUDER",AK436="VT REJETÉ – À REPRENDRE"),OR(RÉPARATIONS!$D$5="TOUTES",B436=RÉPARATIONS!$D$5)),1,0)</f>
        <v>0</v>
      </c>
      <c r="AP436" s="78" t="str">
        <f aca="false">IF(AO436=1,SUM(AO$7:AO436),"")</f>
        <v/>
      </c>
    </row>
    <row r="437" customFormat="false" ht="15" hidden="false" customHeight="false" outlineLevel="0" collapsed="false">
      <c r="A437" s="78" t="str">
        <f aca="false">IF(E437="","",ROW()-6)</f>
        <v/>
      </c>
      <c r="B437" s="79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1"/>
      <c r="Q437" s="81"/>
      <c r="R437" s="80"/>
      <c r="S437" s="80"/>
      <c r="T437" s="81"/>
      <c r="U437" s="80"/>
      <c r="V437" s="80"/>
      <c r="W437" s="80"/>
      <c r="X437" s="80"/>
      <c r="Y437" s="81"/>
      <c r="Z437" s="80"/>
      <c r="AA437" s="80"/>
      <c r="AB437" s="80"/>
      <c r="AC437" s="80"/>
      <c r="AD437" s="81"/>
      <c r="AE437" s="80"/>
      <c r="AF437" s="80"/>
      <c r="AG437" s="81"/>
      <c r="AH437" s="79"/>
      <c r="AI437" s="78" t="str">
        <f aca="false">IF(E437="","",(V437&lt;&gt;"")+(AA437&lt;&gt;"")+(AF437&lt;&gt;""))</f>
        <v/>
      </c>
      <c r="AJ437" s="82" t="str">
        <f aca="false">IF(AF437&lt;&gt;"",AF437,IF(AA437&lt;&gt;"",AA437,IF(V437&lt;&gt;"",V437,"")))</f>
        <v/>
      </c>
      <c r="AK437" s="83" t="str">
        <f aca="false">IF(E437="","",IF(P437="","À SOUDER",IF(S437="","VT EN ATTENTE",IF(S437="R","VT REJETÉ – À REPRENDRE",IF(AJ437="","À RADIOGRAPHIER",IF(AJ437="A","ACCEPTÉ",IF(AJ437="NX","NX – RT À REFAIRE",IF(IF(AI437=1,X437,IF(AI437=2,AC437,""))="A","RÉPARÉ – À RADIOGRAPHIER",IF(IF(AI437=1,X437,IF(AI437=2,AC437,""))="R","VT REJETÉ – À REPRENDRE",IF(AJ437="CO","COUPE – À RESOUDER","À RÉPARER"))))))))))</f>
        <v/>
      </c>
      <c r="AL437" s="82" t="str">
        <f aca="false">IF(AND(ISNUMBER(P437),OR(AK437="À RADIOGRAPHIER",AK437="RÉPARÉ – À RADIOGRAPHIER",AK437="NX – RT À REFAIRE",AK437="À RÉPARER",AK437="COUPE – À RESOUDER",AK437="VT REJETÉ – À REPRENDRE")),MAX(0,'PROGRAMME RT'!$C$4-P437),"")</f>
        <v/>
      </c>
      <c r="AM437" s="78" t="n">
        <f aca="false">IF(AND(OR(AK437="À RADIOGRAPHIER",AK437="RÉPARÉ – À RADIOGRAPHIER",AK437="NX – RT À REFAIRE"),OR('PROGRAMME RT'!$D$5="TOUTES",B437='PROGRAMME RT'!$D$5)),1,0)</f>
        <v>0</v>
      </c>
      <c r="AN437" s="78" t="str">
        <f aca="false">IF(AM437=1,SUM(AM$7:AM437),"")</f>
        <v/>
      </c>
      <c r="AO437" s="78" t="n">
        <f aca="false">IF(AND(OR(AK437="À RÉPARER",AK437="COUPE – À RESOUDER",AK437="VT REJETÉ – À REPRENDRE"),OR(RÉPARATIONS!$D$5="TOUTES",B437=RÉPARATIONS!$D$5)),1,0)</f>
        <v>0</v>
      </c>
      <c r="AP437" s="78" t="str">
        <f aca="false">IF(AO437=1,SUM(AO$7:AO437),"")</f>
        <v/>
      </c>
    </row>
    <row r="438" customFormat="false" ht="15" hidden="false" customHeight="false" outlineLevel="0" collapsed="false">
      <c r="A438" s="78" t="str">
        <f aca="false">IF(E438="","",ROW()-6)</f>
        <v/>
      </c>
      <c r="B438" s="79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1"/>
      <c r="Q438" s="81"/>
      <c r="R438" s="80"/>
      <c r="S438" s="80"/>
      <c r="T438" s="81"/>
      <c r="U438" s="80"/>
      <c r="V438" s="80"/>
      <c r="W438" s="80"/>
      <c r="X438" s="80"/>
      <c r="Y438" s="81"/>
      <c r="Z438" s="80"/>
      <c r="AA438" s="80"/>
      <c r="AB438" s="80"/>
      <c r="AC438" s="80"/>
      <c r="AD438" s="81"/>
      <c r="AE438" s="80"/>
      <c r="AF438" s="80"/>
      <c r="AG438" s="81"/>
      <c r="AH438" s="79"/>
      <c r="AI438" s="78" t="str">
        <f aca="false">IF(E438="","",(V438&lt;&gt;"")+(AA438&lt;&gt;"")+(AF438&lt;&gt;""))</f>
        <v/>
      </c>
      <c r="AJ438" s="82" t="str">
        <f aca="false">IF(AF438&lt;&gt;"",AF438,IF(AA438&lt;&gt;"",AA438,IF(V438&lt;&gt;"",V438,"")))</f>
        <v/>
      </c>
      <c r="AK438" s="83" t="str">
        <f aca="false">IF(E438="","",IF(P438="","À SOUDER",IF(S438="","VT EN ATTENTE",IF(S438="R","VT REJETÉ – À REPRENDRE",IF(AJ438="","À RADIOGRAPHIER",IF(AJ438="A","ACCEPTÉ",IF(AJ438="NX","NX – RT À REFAIRE",IF(IF(AI438=1,X438,IF(AI438=2,AC438,""))="A","RÉPARÉ – À RADIOGRAPHIER",IF(IF(AI438=1,X438,IF(AI438=2,AC438,""))="R","VT REJETÉ – À REPRENDRE",IF(AJ438="CO","COUPE – À RESOUDER","À RÉPARER"))))))))))</f>
        <v/>
      </c>
      <c r="AL438" s="82" t="str">
        <f aca="false">IF(AND(ISNUMBER(P438),OR(AK438="À RADIOGRAPHIER",AK438="RÉPARÉ – À RADIOGRAPHIER",AK438="NX – RT À REFAIRE",AK438="À RÉPARER",AK438="COUPE – À RESOUDER",AK438="VT REJETÉ – À REPRENDRE")),MAX(0,'PROGRAMME RT'!$C$4-P438),"")</f>
        <v/>
      </c>
      <c r="AM438" s="78" t="n">
        <f aca="false">IF(AND(OR(AK438="À RADIOGRAPHIER",AK438="RÉPARÉ – À RADIOGRAPHIER",AK438="NX – RT À REFAIRE"),OR('PROGRAMME RT'!$D$5="TOUTES",B438='PROGRAMME RT'!$D$5)),1,0)</f>
        <v>0</v>
      </c>
      <c r="AN438" s="78" t="str">
        <f aca="false">IF(AM438=1,SUM(AM$7:AM438),"")</f>
        <v/>
      </c>
      <c r="AO438" s="78" t="n">
        <f aca="false">IF(AND(OR(AK438="À RÉPARER",AK438="COUPE – À RESOUDER",AK438="VT REJETÉ – À REPRENDRE"),OR(RÉPARATIONS!$D$5="TOUTES",B438=RÉPARATIONS!$D$5)),1,0)</f>
        <v>0</v>
      </c>
      <c r="AP438" s="78" t="str">
        <f aca="false">IF(AO438=1,SUM(AO$7:AO438),"")</f>
        <v/>
      </c>
    </row>
    <row r="439" customFormat="false" ht="15" hidden="false" customHeight="false" outlineLevel="0" collapsed="false">
      <c r="A439" s="78" t="str">
        <f aca="false">IF(E439="","",ROW()-6)</f>
        <v/>
      </c>
      <c r="B439" s="79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1"/>
      <c r="Q439" s="81"/>
      <c r="R439" s="80"/>
      <c r="S439" s="80"/>
      <c r="T439" s="81"/>
      <c r="U439" s="80"/>
      <c r="V439" s="80"/>
      <c r="W439" s="80"/>
      <c r="X439" s="80"/>
      <c r="Y439" s="81"/>
      <c r="Z439" s="80"/>
      <c r="AA439" s="80"/>
      <c r="AB439" s="80"/>
      <c r="AC439" s="80"/>
      <c r="AD439" s="81"/>
      <c r="AE439" s="80"/>
      <c r="AF439" s="80"/>
      <c r="AG439" s="81"/>
      <c r="AH439" s="79"/>
      <c r="AI439" s="78" t="str">
        <f aca="false">IF(E439="","",(V439&lt;&gt;"")+(AA439&lt;&gt;"")+(AF439&lt;&gt;""))</f>
        <v/>
      </c>
      <c r="AJ439" s="82" t="str">
        <f aca="false">IF(AF439&lt;&gt;"",AF439,IF(AA439&lt;&gt;"",AA439,IF(V439&lt;&gt;"",V439,"")))</f>
        <v/>
      </c>
      <c r="AK439" s="83" t="str">
        <f aca="false">IF(E439="","",IF(P439="","À SOUDER",IF(S439="","VT EN ATTENTE",IF(S439="R","VT REJETÉ – À REPRENDRE",IF(AJ439="","À RADIOGRAPHIER",IF(AJ439="A","ACCEPTÉ",IF(AJ439="NX","NX – RT À REFAIRE",IF(IF(AI439=1,X439,IF(AI439=2,AC439,""))="A","RÉPARÉ – À RADIOGRAPHIER",IF(IF(AI439=1,X439,IF(AI439=2,AC439,""))="R","VT REJETÉ – À REPRENDRE",IF(AJ439="CO","COUPE – À RESOUDER","À RÉPARER"))))))))))</f>
        <v/>
      </c>
      <c r="AL439" s="82" t="str">
        <f aca="false">IF(AND(ISNUMBER(P439),OR(AK439="À RADIOGRAPHIER",AK439="RÉPARÉ – À RADIOGRAPHIER",AK439="NX – RT À REFAIRE",AK439="À RÉPARER",AK439="COUPE – À RESOUDER",AK439="VT REJETÉ – À REPRENDRE")),MAX(0,'PROGRAMME RT'!$C$4-P439),"")</f>
        <v/>
      </c>
      <c r="AM439" s="78" t="n">
        <f aca="false">IF(AND(OR(AK439="À RADIOGRAPHIER",AK439="RÉPARÉ – À RADIOGRAPHIER",AK439="NX – RT À REFAIRE"),OR('PROGRAMME RT'!$D$5="TOUTES",B439='PROGRAMME RT'!$D$5)),1,0)</f>
        <v>0</v>
      </c>
      <c r="AN439" s="78" t="str">
        <f aca="false">IF(AM439=1,SUM(AM$7:AM439),"")</f>
        <v/>
      </c>
      <c r="AO439" s="78" t="n">
        <f aca="false">IF(AND(OR(AK439="À RÉPARER",AK439="COUPE – À RESOUDER",AK439="VT REJETÉ – À REPRENDRE"),OR(RÉPARATIONS!$D$5="TOUTES",B439=RÉPARATIONS!$D$5)),1,0)</f>
        <v>0</v>
      </c>
      <c r="AP439" s="78" t="str">
        <f aca="false">IF(AO439=1,SUM(AO$7:AO439),"")</f>
        <v/>
      </c>
    </row>
    <row r="440" customFormat="false" ht="15" hidden="false" customHeight="false" outlineLevel="0" collapsed="false">
      <c r="A440" s="78" t="str">
        <f aca="false">IF(E440="","",ROW()-6)</f>
        <v/>
      </c>
      <c r="B440" s="79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1"/>
      <c r="Q440" s="81"/>
      <c r="R440" s="80"/>
      <c r="S440" s="80"/>
      <c r="T440" s="81"/>
      <c r="U440" s="80"/>
      <c r="V440" s="80"/>
      <c r="W440" s="80"/>
      <c r="X440" s="80"/>
      <c r="Y440" s="81"/>
      <c r="Z440" s="80"/>
      <c r="AA440" s="80"/>
      <c r="AB440" s="80"/>
      <c r="AC440" s="80"/>
      <c r="AD440" s="81"/>
      <c r="AE440" s="80"/>
      <c r="AF440" s="80"/>
      <c r="AG440" s="81"/>
      <c r="AH440" s="79"/>
      <c r="AI440" s="78" t="str">
        <f aca="false">IF(E440="","",(V440&lt;&gt;"")+(AA440&lt;&gt;"")+(AF440&lt;&gt;""))</f>
        <v/>
      </c>
      <c r="AJ440" s="82" t="str">
        <f aca="false">IF(AF440&lt;&gt;"",AF440,IF(AA440&lt;&gt;"",AA440,IF(V440&lt;&gt;"",V440,"")))</f>
        <v/>
      </c>
      <c r="AK440" s="83" t="str">
        <f aca="false">IF(E440="","",IF(P440="","À SOUDER",IF(S440="","VT EN ATTENTE",IF(S440="R","VT REJETÉ – À REPRENDRE",IF(AJ440="","À RADIOGRAPHIER",IF(AJ440="A","ACCEPTÉ",IF(AJ440="NX","NX – RT À REFAIRE",IF(IF(AI440=1,X440,IF(AI440=2,AC440,""))="A","RÉPARÉ – À RADIOGRAPHIER",IF(IF(AI440=1,X440,IF(AI440=2,AC440,""))="R","VT REJETÉ – À REPRENDRE",IF(AJ440="CO","COUPE – À RESOUDER","À RÉPARER"))))))))))</f>
        <v/>
      </c>
      <c r="AL440" s="82" t="str">
        <f aca="false">IF(AND(ISNUMBER(P440),OR(AK440="À RADIOGRAPHIER",AK440="RÉPARÉ – À RADIOGRAPHIER",AK440="NX – RT À REFAIRE",AK440="À RÉPARER",AK440="COUPE – À RESOUDER",AK440="VT REJETÉ – À REPRENDRE")),MAX(0,'PROGRAMME RT'!$C$4-P440),"")</f>
        <v/>
      </c>
      <c r="AM440" s="78" t="n">
        <f aca="false">IF(AND(OR(AK440="À RADIOGRAPHIER",AK440="RÉPARÉ – À RADIOGRAPHIER",AK440="NX – RT À REFAIRE"),OR('PROGRAMME RT'!$D$5="TOUTES",B440='PROGRAMME RT'!$D$5)),1,0)</f>
        <v>0</v>
      </c>
      <c r="AN440" s="78" t="str">
        <f aca="false">IF(AM440=1,SUM(AM$7:AM440),"")</f>
        <v/>
      </c>
      <c r="AO440" s="78" t="n">
        <f aca="false">IF(AND(OR(AK440="À RÉPARER",AK440="COUPE – À RESOUDER",AK440="VT REJETÉ – À REPRENDRE"),OR(RÉPARATIONS!$D$5="TOUTES",B440=RÉPARATIONS!$D$5)),1,0)</f>
        <v>0</v>
      </c>
      <c r="AP440" s="78" t="str">
        <f aca="false">IF(AO440=1,SUM(AO$7:AO440),"")</f>
        <v/>
      </c>
    </row>
    <row r="441" customFormat="false" ht="15" hidden="false" customHeight="false" outlineLevel="0" collapsed="false">
      <c r="A441" s="78" t="str">
        <f aca="false">IF(E441="","",ROW()-6)</f>
        <v/>
      </c>
      <c r="B441" s="79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1"/>
      <c r="Q441" s="81"/>
      <c r="R441" s="80"/>
      <c r="S441" s="80"/>
      <c r="T441" s="81"/>
      <c r="U441" s="80"/>
      <c r="V441" s="80"/>
      <c r="W441" s="80"/>
      <c r="X441" s="80"/>
      <c r="Y441" s="81"/>
      <c r="Z441" s="80"/>
      <c r="AA441" s="80"/>
      <c r="AB441" s="80"/>
      <c r="AC441" s="80"/>
      <c r="AD441" s="81"/>
      <c r="AE441" s="80"/>
      <c r="AF441" s="80"/>
      <c r="AG441" s="81"/>
      <c r="AH441" s="79"/>
      <c r="AI441" s="78" t="str">
        <f aca="false">IF(E441="","",(V441&lt;&gt;"")+(AA441&lt;&gt;"")+(AF441&lt;&gt;""))</f>
        <v/>
      </c>
      <c r="AJ441" s="82" t="str">
        <f aca="false">IF(AF441&lt;&gt;"",AF441,IF(AA441&lt;&gt;"",AA441,IF(V441&lt;&gt;"",V441,"")))</f>
        <v/>
      </c>
      <c r="AK441" s="83" t="str">
        <f aca="false">IF(E441="","",IF(P441="","À SOUDER",IF(S441="","VT EN ATTENTE",IF(S441="R","VT REJETÉ – À REPRENDRE",IF(AJ441="","À RADIOGRAPHIER",IF(AJ441="A","ACCEPTÉ",IF(AJ441="NX","NX – RT À REFAIRE",IF(IF(AI441=1,X441,IF(AI441=2,AC441,""))="A","RÉPARÉ – À RADIOGRAPHIER",IF(IF(AI441=1,X441,IF(AI441=2,AC441,""))="R","VT REJETÉ – À REPRENDRE",IF(AJ441="CO","COUPE – À RESOUDER","À RÉPARER"))))))))))</f>
        <v/>
      </c>
      <c r="AL441" s="82" t="str">
        <f aca="false">IF(AND(ISNUMBER(P441),OR(AK441="À RADIOGRAPHIER",AK441="RÉPARÉ – À RADIOGRAPHIER",AK441="NX – RT À REFAIRE",AK441="À RÉPARER",AK441="COUPE – À RESOUDER",AK441="VT REJETÉ – À REPRENDRE")),MAX(0,'PROGRAMME RT'!$C$4-P441),"")</f>
        <v/>
      </c>
      <c r="AM441" s="78" t="n">
        <f aca="false">IF(AND(OR(AK441="À RADIOGRAPHIER",AK441="RÉPARÉ – À RADIOGRAPHIER",AK441="NX – RT À REFAIRE"),OR('PROGRAMME RT'!$D$5="TOUTES",B441='PROGRAMME RT'!$D$5)),1,0)</f>
        <v>0</v>
      </c>
      <c r="AN441" s="78" t="str">
        <f aca="false">IF(AM441=1,SUM(AM$7:AM441),"")</f>
        <v/>
      </c>
      <c r="AO441" s="78" t="n">
        <f aca="false">IF(AND(OR(AK441="À RÉPARER",AK441="COUPE – À RESOUDER",AK441="VT REJETÉ – À REPRENDRE"),OR(RÉPARATIONS!$D$5="TOUTES",B441=RÉPARATIONS!$D$5)),1,0)</f>
        <v>0</v>
      </c>
      <c r="AP441" s="78" t="str">
        <f aca="false">IF(AO441=1,SUM(AO$7:AO441),"")</f>
        <v/>
      </c>
    </row>
    <row r="442" customFormat="false" ht="15" hidden="false" customHeight="false" outlineLevel="0" collapsed="false">
      <c r="A442" s="78" t="str">
        <f aca="false">IF(E442="","",ROW()-6)</f>
        <v/>
      </c>
      <c r="B442" s="79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1"/>
      <c r="Q442" s="81"/>
      <c r="R442" s="80"/>
      <c r="S442" s="80"/>
      <c r="T442" s="81"/>
      <c r="U442" s="80"/>
      <c r="V442" s="80"/>
      <c r="W442" s="80"/>
      <c r="X442" s="80"/>
      <c r="Y442" s="81"/>
      <c r="Z442" s="80"/>
      <c r="AA442" s="80"/>
      <c r="AB442" s="80"/>
      <c r="AC442" s="80"/>
      <c r="AD442" s="81"/>
      <c r="AE442" s="80"/>
      <c r="AF442" s="80"/>
      <c r="AG442" s="81"/>
      <c r="AH442" s="79"/>
      <c r="AI442" s="78" t="str">
        <f aca="false">IF(E442="","",(V442&lt;&gt;"")+(AA442&lt;&gt;"")+(AF442&lt;&gt;""))</f>
        <v/>
      </c>
      <c r="AJ442" s="82" t="str">
        <f aca="false">IF(AF442&lt;&gt;"",AF442,IF(AA442&lt;&gt;"",AA442,IF(V442&lt;&gt;"",V442,"")))</f>
        <v/>
      </c>
      <c r="AK442" s="83" t="str">
        <f aca="false">IF(E442="","",IF(P442="","À SOUDER",IF(S442="","VT EN ATTENTE",IF(S442="R","VT REJETÉ – À REPRENDRE",IF(AJ442="","À RADIOGRAPHIER",IF(AJ442="A","ACCEPTÉ",IF(AJ442="NX","NX – RT À REFAIRE",IF(IF(AI442=1,X442,IF(AI442=2,AC442,""))="A","RÉPARÉ – À RADIOGRAPHIER",IF(IF(AI442=1,X442,IF(AI442=2,AC442,""))="R","VT REJETÉ – À REPRENDRE",IF(AJ442="CO","COUPE – À RESOUDER","À RÉPARER"))))))))))</f>
        <v/>
      </c>
      <c r="AL442" s="82" t="str">
        <f aca="false">IF(AND(ISNUMBER(P442),OR(AK442="À RADIOGRAPHIER",AK442="RÉPARÉ – À RADIOGRAPHIER",AK442="NX – RT À REFAIRE",AK442="À RÉPARER",AK442="COUPE – À RESOUDER",AK442="VT REJETÉ – À REPRENDRE")),MAX(0,'PROGRAMME RT'!$C$4-P442),"")</f>
        <v/>
      </c>
      <c r="AM442" s="78" t="n">
        <f aca="false">IF(AND(OR(AK442="À RADIOGRAPHIER",AK442="RÉPARÉ – À RADIOGRAPHIER",AK442="NX – RT À REFAIRE"),OR('PROGRAMME RT'!$D$5="TOUTES",B442='PROGRAMME RT'!$D$5)),1,0)</f>
        <v>0</v>
      </c>
      <c r="AN442" s="78" t="str">
        <f aca="false">IF(AM442=1,SUM(AM$7:AM442),"")</f>
        <v/>
      </c>
      <c r="AO442" s="78" t="n">
        <f aca="false">IF(AND(OR(AK442="À RÉPARER",AK442="COUPE – À RESOUDER",AK442="VT REJETÉ – À REPRENDRE"),OR(RÉPARATIONS!$D$5="TOUTES",B442=RÉPARATIONS!$D$5)),1,0)</f>
        <v>0</v>
      </c>
      <c r="AP442" s="78" t="str">
        <f aca="false">IF(AO442=1,SUM(AO$7:AO442),"")</f>
        <v/>
      </c>
    </row>
    <row r="443" customFormat="false" ht="15" hidden="false" customHeight="false" outlineLevel="0" collapsed="false">
      <c r="A443" s="78" t="str">
        <f aca="false">IF(E443="","",ROW()-6)</f>
        <v/>
      </c>
      <c r="B443" s="79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1"/>
      <c r="Q443" s="81"/>
      <c r="R443" s="80"/>
      <c r="S443" s="80"/>
      <c r="T443" s="81"/>
      <c r="U443" s="80"/>
      <c r="V443" s="80"/>
      <c r="W443" s="80"/>
      <c r="X443" s="80"/>
      <c r="Y443" s="81"/>
      <c r="Z443" s="80"/>
      <c r="AA443" s="80"/>
      <c r="AB443" s="80"/>
      <c r="AC443" s="80"/>
      <c r="AD443" s="81"/>
      <c r="AE443" s="80"/>
      <c r="AF443" s="80"/>
      <c r="AG443" s="81"/>
      <c r="AH443" s="79"/>
      <c r="AI443" s="78" t="str">
        <f aca="false">IF(E443="","",(V443&lt;&gt;"")+(AA443&lt;&gt;"")+(AF443&lt;&gt;""))</f>
        <v/>
      </c>
      <c r="AJ443" s="82" t="str">
        <f aca="false">IF(AF443&lt;&gt;"",AF443,IF(AA443&lt;&gt;"",AA443,IF(V443&lt;&gt;"",V443,"")))</f>
        <v/>
      </c>
      <c r="AK443" s="83" t="str">
        <f aca="false">IF(E443="","",IF(P443="","À SOUDER",IF(S443="","VT EN ATTENTE",IF(S443="R","VT REJETÉ – À REPRENDRE",IF(AJ443="","À RADIOGRAPHIER",IF(AJ443="A","ACCEPTÉ",IF(AJ443="NX","NX – RT À REFAIRE",IF(IF(AI443=1,X443,IF(AI443=2,AC443,""))="A","RÉPARÉ – À RADIOGRAPHIER",IF(IF(AI443=1,X443,IF(AI443=2,AC443,""))="R","VT REJETÉ – À REPRENDRE",IF(AJ443="CO","COUPE – À RESOUDER","À RÉPARER"))))))))))</f>
        <v/>
      </c>
      <c r="AL443" s="82" t="str">
        <f aca="false">IF(AND(ISNUMBER(P443),OR(AK443="À RADIOGRAPHIER",AK443="RÉPARÉ – À RADIOGRAPHIER",AK443="NX – RT À REFAIRE",AK443="À RÉPARER",AK443="COUPE – À RESOUDER",AK443="VT REJETÉ – À REPRENDRE")),MAX(0,'PROGRAMME RT'!$C$4-P443),"")</f>
        <v/>
      </c>
      <c r="AM443" s="78" t="n">
        <f aca="false">IF(AND(OR(AK443="À RADIOGRAPHIER",AK443="RÉPARÉ – À RADIOGRAPHIER",AK443="NX – RT À REFAIRE"),OR('PROGRAMME RT'!$D$5="TOUTES",B443='PROGRAMME RT'!$D$5)),1,0)</f>
        <v>0</v>
      </c>
      <c r="AN443" s="78" t="str">
        <f aca="false">IF(AM443=1,SUM(AM$7:AM443),"")</f>
        <v/>
      </c>
      <c r="AO443" s="78" t="n">
        <f aca="false">IF(AND(OR(AK443="À RÉPARER",AK443="COUPE – À RESOUDER",AK443="VT REJETÉ – À REPRENDRE"),OR(RÉPARATIONS!$D$5="TOUTES",B443=RÉPARATIONS!$D$5)),1,0)</f>
        <v>0</v>
      </c>
      <c r="AP443" s="78" t="str">
        <f aca="false">IF(AO443=1,SUM(AO$7:AO443),"")</f>
        <v/>
      </c>
    </row>
    <row r="444" customFormat="false" ht="15" hidden="false" customHeight="false" outlineLevel="0" collapsed="false">
      <c r="A444" s="78" t="str">
        <f aca="false">IF(E444="","",ROW()-6)</f>
        <v/>
      </c>
      <c r="B444" s="79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1"/>
      <c r="Q444" s="81"/>
      <c r="R444" s="80"/>
      <c r="S444" s="80"/>
      <c r="T444" s="81"/>
      <c r="U444" s="80"/>
      <c r="V444" s="80"/>
      <c r="W444" s="80"/>
      <c r="X444" s="80"/>
      <c r="Y444" s="81"/>
      <c r="Z444" s="80"/>
      <c r="AA444" s="80"/>
      <c r="AB444" s="80"/>
      <c r="AC444" s="80"/>
      <c r="AD444" s="81"/>
      <c r="AE444" s="80"/>
      <c r="AF444" s="80"/>
      <c r="AG444" s="81"/>
      <c r="AH444" s="79"/>
      <c r="AI444" s="78" t="str">
        <f aca="false">IF(E444="","",(V444&lt;&gt;"")+(AA444&lt;&gt;"")+(AF444&lt;&gt;""))</f>
        <v/>
      </c>
      <c r="AJ444" s="82" t="str">
        <f aca="false">IF(AF444&lt;&gt;"",AF444,IF(AA444&lt;&gt;"",AA444,IF(V444&lt;&gt;"",V444,"")))</f>
        <v/>
      </c>
      <c r="AK444" s="83" t="str">
        <f aca="false">IF(E444="","",IF(P444="","À SOUDER",IF(S444="","VT EN ATTENTE",IF(S444="R","VT REJETÉ – À REPRENDRE",IF(AJ444="","À RADIOGRAPHIER",IF(AJ444="A","ACCEPTÉ",IF(AJ444="NX","NX – RT À REFAIRE",IF(IF(AI444=1,X444,IF(AI444=2,AC444,""))="A","RÉPARÉ – À RADIOGRAPHIER",IF(IF(AI444=1,X444,IF(AI444=2,AC444,""))="R","VT REJETÉ – À REPRENDRE",IF(AJ444="CO","COUPE – À RESOUDER","À RÉPARER"))))))))))</f>
        <v/>
      </c>
      <c r="AL444" s="82" t="str">
        <f aca="false">IF(AND(ISNUMBER(P444),OR(AK444="À RADIOGRAPHIER",AK444="RÉPARÉ – À RADIOGRAPHIER",AK444="NX – RT À REFAIRE",AK444="À RÉPARER",AK444="COUPE – À RESOUDER",AK444="VT REJETÉ – À REPRENDRE")),MAX(0,'PROGRAMME RT'!$C$4-P444),"")</f>
        <v/>
      </c>
      <c r="AM444" s="78" t="n">
        <f aca="false">IF(AND(OR(AK444="À RADIOGRAPHIER",AK444="RÉPARÉ – À RADIOGRAPHIER",AK444="NX – RT À REFAIRE"),OR('PROGRAMME RT'!$D$5="TOUTES",B444='PROGRAMME RT'!$D$5)),1,0)</f>
        <v>0</v>
      </c>
      <c r="AN444" s="78" t="str">
        <f aca="false">IF(AM444=1,SUM(AM$7:AM444),"")</f>
        <v/>
      </c>
      <c r="AO444" s="78" t="n">
        <f aca="false">IF(AND(OR(AK444="À RÉPARER",AK444="COUPE – À RESOUDER",AK444="VT REJETÉ – À REPRENDRE"),OR(RÉPARATIONS!$D$5="TOUTES",B444=RÉPARATIONS!$D$5)),1,0)</f>
        <v>0</v>
      </c>
      <c r="AP444" s="78" t="str">
        <f aca="false">IF(AO444=1,SUM(AO$7:AO444),"")</f>
        <v/>
      </c>
    </row>
    <row r="445" customFormat="false" ht="15" hidden="false" customHeight="false" outlineLevel="0" collapsed="false">
      <c r="A445" s="78" t="str">
        <f aca="false">IF(E445="","",ROW()-6)</f>
        <v/>
      </c>
      <c r="B445" s="79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1"/>
      <c r="Q445" s="81"/>
      <c r="R445" s="80"/>
      <c r="S445" s="80"/>
      <c r="T445" s="81"/>
      <c r="U445" s="80"/>
      <c r="V445" s="80"/>
      <c r="W445" s="80"/>
      <c r="X445" s="80"/>
      <c r="Y445" s="81"/>
      <c r="Z445" s="80"/>
      <c r="AA445" s="80"/>
      <c r="AB445" s="80"/>
      <c r="AC445" s="80"/>
      <c r="AD445" s="81"/>
      <c r="AE445" s="80"/>
      <c r="AF445" s="80"/>
      <c r="AG445" s="81"/>
      <c r="AH445" s="79"/>
      <c r="AI445" s="78" t="str">
        <f aca="false">IF(E445="","",(V445&lt;&gt;"")+(AA445&lt;&gt;"")+(AF445&lt;&gt;""))</f>
        <v/>
      </c>
      <c r="AJ445" s="82" t="str">
        <f aca="false">IF(AF445&lt;&gt;"",AF445,IF(AA445&lt;&gt;"",AA445,IF(V445&lt;&gt;"",V445,"")))</f>
        <v/>
      </c>
      <c r="AK445" s="83" t="str">
        <f aca="false">IF(E445="","",IF(P445="","À SOUDER",IF(S445="","VT EN ATTENTE",IF(S445="R","VT REJETÉ – À REPRENDRE",IF(AJ445="","À RADIOGRAPHIER",IF(AJ445="A","ACCEPTÉ",IF(AJ445="NX","NX – RT À REFAIRE",IF(IF(AI445=1,X445,IF(AI445=2,AC445,""))="A","RÉPARÉ – À RADIOGRAPHIER",IF(IF(AI445=1,X445,IF(AI445=2,AC445,""))="R","VT REJETÉ – À REPRENDRE",IF(AJ445="CO","COUPE – À RESOUDER","À RÉPARER"))))))))))</f>
        <v/>
      </c>
      <c r="AL445" s="82" t="str">
        <f aca="false">IF(AND(ISNUMBER(P445),OR(AK445="À RADIOGRAPHIER",AK445="RÉPARÉ – À RADIOGRAPHIER",AK445="NX – RT À REFAIRE",AK445="À RÉPARER",AK445="COUPE – À RESOUDER",AK445="VT REJETÉ – À REPRENDRE")),MAX(0,'PROGRAMME RT'!$C$4-P445),"")</f>
        <v/>
      </c>
      <c r="AM445" s="78" t="n">
        <f aca="false">IF(AND(OR(AK445="À RADIOGRAPHIER",AK445="RÉPARÉ – À RADIOGRAPHIER",AK445="NX – RT À REFAIRE"),OR('PROGRAMME RT'!$D$5="TOUTES",B445='PROGRAMME RT'!$D$5)),1,0)</f>
        <v>0</v>
      </c>
      <c r="AN445" s="78" t="str">
        <f aca="false">IF(AM445=1,SUM(AM$7:AM445),"")</f>
        <v/>
      </c>
      <c r="AO445" s="78" t="n">
        <f aca="false">IF(AND(OR(AK445="À RÉPARER",AK445="COUPE – À RESOUDER",AK445="VT REJETÉ – À REPRENDRE"),OR(RÉPARATIONS!$D$5="TOUTES",B445=RÉPARATIONS!$D$5)),1,0)</f>
        <v>0</v>
      </c>
      <c r="AP445" s="78" t="str">
        <f aca="false">IF(AO445=1,SUM(AO$7:AO445),"")</f>
        <v/>
      </c>
    </row>
    <row r="446" customFormat="false" ht="15" hidden="false" customHeight="false" outlineLevel="0" collapsed="false">
      <c r="A446" s="78" t="str">
        <f aca="false">IF(E446="","",ROW()-6)</f>
        <v/>
      </c>
      <c r="B446" s="79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1"/>
      <c r="Q446" s="81"/>
      <c r="R446" s="80"/>
      <c r="S446" s="80"/>
      <c r="T446" s="81"/>
      <c r="U446" s="80"/>
      <c r="V446" s="80"/>
      <c r="W446" s="80"/>
      <c r="X446" s="80"/>
      <c r="Y446" s="81"/>
      <c r="Z446" s="80"/>
      <c r="AA446" s="80"/>
      <c r="AB446" s="80"/>
      <c r="AC446" s="80"/>
      <c r="AD446" s="81"/>
      <c r="AE446" s="80"/>
      <c r="AF446" s="80"/>
      <c r="AG446" s="81"/>
      <c r="AH446" s="79"/>
      <c r="AI446" s="78" t="str">
        <f aca="false">IF(E446="","",(V446&lt;&gt;"")+(AA446&lt;&gt;"")+(AF446&lt;&gt;""))</f>
        <v/>
      </c>
      <c r="AJ446" s="82" t="str">
        <f aca="false">IF(AF446&lt;&gt;"",AF446,IF(AA446&lt;&gt;"",AA446,IF(V446&lt;&gt;"",V446,"")))</f>
        <v/>
      </c>
      <c r="AK446" s="83" t="str">
        <f aca="false">IF(E446="","",IF(P446="","À SOUDER",IF(S446="","VT EN ATTENTE",IF(S446="R","VT REJETÉ – À REPRENDRE",IF(AJ446="","À RADIOGRAPHIER",IF(AJ446="A","ACCEPTÉ",IF(AJ446="NX","NX – RT À REFAIRE",IF(IF(AI446=1,X446,IF(AI446=2,AC446,""))="A","RÉPARÉ – À RADIOGRAPHIER",IF(IF(AI446=1,X446,IF(AI446=2,AC446,""))="R","VT REJETÉ – À REPRENDRE",IF(AJ446="CO","COUPE – À RESOUDER","À RÉPARER"))))))))))</f>
        <v/>
      </c>
      <c r="AL446" s="82" t="str">
        <f aca="false">IF(AND(ISNUMBER(P446),OR(AK446="À RADIOGRAPHIER",AK446="RÉPARÉ – À RADIOGRAPHIER",AK446="NX – RT À REFAIRE",AK446="À RÉPARER",AK446="COUPE – À RESOUDER",AK446="VT REJETÉ – À REPRENDRE")),MAX(0,'PROGRAMME RT'!$C$4-P446),"")</f>
        <v/>
      </c>
      <c r="AM446" s="78" t="n">
        <f aca="false">IF(AND(OR(AK446="À RADIOGRAPHIER",AK446="RÉPARÉ – À RADIOGRAPHIER",AK446="NX – RT À REFAIRE"),OR('PROGRAMME RT'!$D$5="TOUTES",B446='PROGRAMME RT'!$D$5)),1,0)</f>
        <v>0</v>
      </c>
      <c r="AN446" s="78" t="str">
        <f aca="false">IF(AM446=1,SUM(AM$7:AM446),"")</f>
        <v/>
      </c>
      <c r="AO446" s="78" t="n">
        <f aca="false">IF(AND(OR(AK446="À RÉPARER",AK446="COUPE – À RESOUDER",AK446="VT REJETÉ – À REPRENDRE"),OR(RÉPARATIONS!$D$5="TOUTES",B446=RÉPARATIONS!$D$5)),1,0)</f>
        <v>0</v>
      </c>
      <c r="AP446" s="78" t="str">
        <f aca="false">IF(AO446=1,SUM(AO$7:AO446),"")</f>
        <v/>
      </c>
    </row>
    <row r="447" customFormat="false" ht="15" hidden="false" customHeight="false" outlineLevel="0" collapsed="false">
      <c r="A447" s="78" t="str">
        <f aca="false">IF(E447="","",ROW()-6)</f>
        <v/>
      </c>
      <c r="B447" s="79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1"/>
      <c r="Q447" s="81"/>
      <c r="R447" s="80"/>
      <c r="S447" s="80"/>
      <c r="T447" s="81"/>
      <c r="U447" s="80"/>
      <c r="V447" s="80"/>
      <c r="W447" s="80"/>
      <c r="X447" s="80"/>
      <c r="Y447" s="81"/>
      <c r="Z447" s="80"/>
      <c r="AA447" s="80"/>
      <c r="AB447" s="80"/>
      <c r="AC447" s="80"/>
      <c r="AD447" s="81"/>
      <c r="AE447" s="80"/>
      <c r="AF447" s="80"/>
      <c r="AG447" s="81"/>
      <c r="AH447" s="79"/>
      <c r="AI447" s="78" t="str">
        <f aca="false">IF(E447="","",(V447&lt;&gt;"")+(AA447&lt;&gt;"")+(AF447&lt;&gt;""))</f>
        <v/>
      </c>
      <c r="AJ447" s="82" t="str">
        <f aca="false">IF(AF447&lt;&gt;"",AF447,IF(AA447&lt;&gt;"",AA447,IF(V447&lt;&gt;"",V447,"")))</f>
        <v/>
      </c>
      <c r="AK447" s="83" t="str">
        <f aca="false">IF(E447="","",IF(P447="","À SOUDER",IF(S447="","VT EN ATTENTE",IF(S447="R","VT REJETÉ – À REPRENDRE",IF(AJ447="","À RADIOGRAPHIER",IF(AJ447="A","ACCEPTÉ",IF(AJ447="NX","NX – RT À REFAIRE",IF(IF(AI447=1,X447,IF(AI447=2,AC447,""))="A","RÉPARÉ – À RADIOGRAPHIER",IF(IF(AI447=1,X447,IF(AI447=2,AC447,""))="R","VT REJETÉ – À REPRENDRE",IF(AJ447="CO","COUPE – À RESOUDER","À RÉPARER"))))))))))</f>
        <v/>
      </c>
      <c r="AL447" s="82" t="str">
        <f aca="false">IF(AND(ISNUMBER(P447),OR(AK447="À RADIOGRAPHIER",AK447="RÉPARÉ – À RADIOGRAPHIER",AK447="NX – RT À REFAIRE",AK447="À RÉPARER",AK447="COUPE – À RESOUDER",AK447="VT REJETÉ – À REPRENDRE")),MAX(0,'PROGRAMME RT'!$C$4-P447),"")</f>
        <v/>
      </c>
      <c r="AM447" s="78" t="n">
        <f aca="false">IF(AND(OR(AK447="À RADIOGRAPHIER",AK447="RÉPARÉ – À RADIOGRAPHIER",AK447="NX – RT À REFAIRE"),OR('PROGRAMME RT'!$D$5="TOUTES",B447='PROGRAMME RT'!$D$5)),1,0)</f>
        <v>0</v>
      </c>
      <c r="AN447" s="78" t="str">
        <f aca="false">IF(AM447=1,SUM(AM$7:AM447),"")</f>
        <v/>
      </c>
      <c r="AO447" s="78" t="n">
        <f aca="false">IF(AND(OR(AK447="À RÉPARER",AK447="COUPE – À RESOUDER",AK447="VT REJETÉ – À REPRENDRE"),OR(RÉPARATIONS!$D$5="TOUTES",B447=RÉPARATIONS!$D$5)),1,0)</f>
        <v>0</v>
      </c>
      <c r="AP447" s="78" t="str">
        <f aca="false">IF(AO447=1,SUM(AO$7:AO447),"")</f>
        <v/>
      </c>
    </row>
    <row r="448" customFormat="false" ht="15" hidden="false" customHeight="false" outlineLevel="0" collapsed="false">
      <c r="A448" s="78" t="str">
        <f aca="false">IF(E448="","",ROW()-6)</f>
        <v/>
      </c>
      <c r="B448" s="79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1"/>
      <c r="Q448" s="81"/>
      <c r="R448" s="80"/>
      <c r="S448" s="80"/>
      <c r="T448" s="81"/>
      <c r="U448" s="80"/>
      <c r="V448" s="80"/>
      <c r="W448" s="80"/>
      <c r="X448" s="80"/>
      <c r="Y448" s="81"/>
      <c r="Z448" s="80"/>
      <c r="AA448" s="80"/>
      <c r="AB448" s="80"/>
      <c r="AC448" s="80"/>
      <c r="AD448" s="81"/>
      <c r="AE448" s="80"/>
      <c r="AF448" s="80"/>
      <c r="AG448" s="81"/>
      <c r="AH448" s="79"/>
      <c r="AI448" s="78" t="str">
        <f aca="false">IF(E448="","",(V448&lt;&gt;"")+(AA448&lt;&gt;"")+(AF448&lt;&gt;""))</f>
        <v/>
      </c>
      <c r="AJ448" s="82" t="str">
        <f aca="false">IF(AF448&lt;&gt;"",AF448,IF(AA448&lt;&gt;"",AA448,IF(V448&lt;&gt;"",V448,"")))</f>
        <v/>
      </c>
      <c r="AK448" s="83" t="str">
        <f aca="false">IF(E448="","",IF(P448="","À SOUDER",IF(S448="","VT EN ATTENTE",IF(S448="R","VT REJETÉ – À REPRENDRE",IF(AJ448="","À RADIOGRAPHIER",IF(AJ448="A","ACCEPTÉ",IF(AJ448="NX","NX – RT À REFAIRE",IF(IF(AI448=1,X448,IF(AI448=2,AC448,""))="A","RÉPARÉ – À RADIOGRAPHIER",IF(IF(AI448=1,X448,IF(AI448=2,AC448,""))="R","VT REJETÉ – À REPRENDRE",IF(AJ448="CO","COUPE – À RESOUDER","À RÉPARER"))))))))))</f>
        <v/>
      </c>
      <c r="AL448" s="82" t="str">
        <f aca="false">IF(AND(ISNUMBER(P448),OR(AK448="À RADIOGRAPHIER",AK448="RÉPARÉ – À RADIOGRAPHIER",AK448="NX – RT À REFAIRE",AK448="À RÉPARER",AK448="COUPE – À RESOUDER",AK448="VT REJETÉ – À REPRENDRE")),MAX(0,'PROGRAMME RT'!$C$4-P448),"")</f>
        <v/>
      </c>
      <c r="AM448" s="78" t="n">
        <f aca="false">IF(AND(OR(AK448="À RADIOGRAPHIER",AK448="RÉPARÉ – À RADIOGRAPHIER",AK448="NX – RT À REFAIRE"),OR('PROGRAMME RT'!$D$5="TOUTES",B448='PROGRAMME RT'!$D$5)),1,0)</f>
        <v>0</v>
      </c>
      <c r="AN448" s="78" t="str">
        <f aca="false">IF(AM448=1,SUM(AM$7:AM448),"")</f>
        <v/>
      </c>
      <c r="AO448" s="78" t="n">
        <f aca="false">IF(AND(OR(AK448="À RÉPARER",AK448="COUPE – À RESOUDER",AK448="VT REJETÉ – À REPRENDRE"),OR(RÉPARATIONS!$D$5="TOUTES",B448=RÉPARATIONS!$D$5)),1,0)</f>
        <v>0</v>
      </c>
      <c r="AP448" s="78" t="str">
        <f aca="false">IF(AO448=1,SUM(AO$7:AO448),"")</f>
        <v/>
      </c>
    </row>
    <row r="449" customFormat="false" ht="15" hidden="false" customHeight="false" outlineLevel="0" collapsed="false">
      <c r="A449" s="78" t="str">
        <f aca="false">IF(E449="","",ROW()-6)</f>
        <v/>
      </c>
      <c r="B449" s="79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1"/>
      <c r="Q449" s="81"/>
      <c r="R449" s="80"/>
      <c r="S449" s="80"/>
      <c r="T449" s="81"/>
      <c r="U449" s="80"/>
      <c r="V449" s="80"/>
      <c r="W449" s="80"/>
      <c r="X449" s="80"/>
      <c r="Y449" s="81"/>
      <c r="Z449" s="80"/>
      <c r="AA449" s="80"/>
      <c r="AB449" s="80"/>
      <c r="AC449" s="80"/>
      <c r="AD449" s="81"/>
      <c r="AE449" s="80"/>
      <c r="AF449" s="80"/>
      <c r="AG449" s="81"/>
      <c r="AH449" s="79"/>
      <c r="AI449" s="78" t="str">
        <f aca="false">IF(E449="","",(V449&lt;&gt;"")+(AA449&lt;&gt;"")+(AF449&lt;&gt;""))</f>
        <v/>
      </c>
      <c r="AJ449" s="82" t="str">
        <f aca="false">IF(AF449&lt;&gt;"",AF449,IF(AA449&lt;&gt;"",AA449,IF(V449&lt;&gt;"",V449,"")))</f>
        <v/>
      </c>
      <c r="AK449" s="83" t="str">
        <f aca="false">IF(E449="","",IF(P449="","À SOUDER",IF(S449="","VT EN ATTENTE",IF(S449="R","VT REJETÉ – À REPRENDRE",IF(AJ449="","À RADIOGRAPHIER",IF(AJ449="A","ACCEPTÉ",IF(AJ449="NX","NX – RT À REFAIRE",IF(IF(AI449=1,X449,IF(AI449=2,AC449,""))="A","RÉPARÉ – À RADIOGRAPHIER",IF(IF(AI449=1,X449,IF(AI449=2,AC449,""))="R","VT REJETÉ – À REPRENDRE",IF(AJ449="CO","COUPE – À RESOUDER","À RÉPARER"))))))))))</f>
        <v/>
      </c>
      <c r="AL449" s="82" t="str">
        <f aca="false">IF(AND(ISNUMBER(P449),OR(AK449="À RADIOGRAPHIER",AK449="RÉPARÉ – À RADIOGRAPHIER",AK449="NX – RT À REFAIRE",AK449="À RÉPARER",AK449="COUPE – À RESOUDER",AK449="VT REJETÉ – À REPRENDRE")),MAX(0,'PROGRAMME RT'!$C$4-P449),"")</f>
        <v/>
      </c>
      <c r="AM449" s="78" t="n">
        <f aca="false">IF(AND(OR(AK449="À RADIOGRAPHIER",AK449="RÉPARÉ – À RADIOGRAPHIER",AK449="NX – RT À REFAIRE"),OR('PROGRAMME RT'!$D$5="TOUTES",B449='PROGRAMME RT'!$D$5)),1,0)</f>
        <v>0</v>
      </c>
      <c r="AN449" s="78" t="str">
        <f aca="false">IF(AM449=1,SUM(AM$7:AM449),"")</f>
        <v/>
      </c>
      <c r="AO449" s="78" t="n">
        <f aca="false">IF(AND(OR(AK449="À RÉPARER",AK449="COUPE – À RESOUDER",AK449="VT REJETÉ – À REPRENDRE"),OR(RÉPARATIONS!$D$5="TOUTES",B449=RÉPARATIONS!$D$5)),1,0)</f>
        <v>0</v>
      </c>
      <c r="AP449" s="78" t="str">
        <f aca="false">IF(AO449=1,SUM(AO$7:AO449),"")</f>
        <v/>
      </c>
    </row>
    <row r="450" customFormat="false" ht="15" hidden="false" customHeight="false" outlineLevel="0" collapsed="false">
      <c r="A450" s="78" t="str">
        <f aca="false">IF(E450="","",ROW()-6)</f>
        <v/>
      </c>
      <c r="B450" s="79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1"/>
      <c r="Q450" s="81"/>
      <c r="R450" s="80"/>
      <c r="S450" s="80"/>
      <c r="T450" s="81"/>
      <c r="U450" s="80"/>
      <c r="V450" s="80"/>
      <c r="W450" s="80"/>
      <c r="X450" s="80"/>
      <c r="Y450" s="81"/>
      <c r="Z450" s="80"/>
      <c r="AA450" s="80"/>
      <c r="AB450" s="80"/>
      <c r="AC450" s="80"/>
      <c r="AD450" s="81"/>
      <c r="AE450" s="80"/>
      <c r="AF450" s="80"/>
      <c r="AG450" s="81"/>
      <c r="AH450" s="79"/>
      <c r="AI450" s="78" t="str">
        <f aca="false">IF(E450="","",(V450&lt;&gt;"")+(AA450&lt;&gt;"")+(AF450&lt;&gt;""))</f>
        <v/>
      </c>
      <c r="AJ450" s="82" t="str">
        <f aca="false">IF(AF450&lt;&gt;"",AF450,IF(AA450&lt;&gt;"",AA450,IF(V450&lt;&gt;"",V450,"")))</f>
        <v/>
      </c>
      <c r="AK450" s="83" t="str">
        <f aca="false">IF(E450="","",IF(P450="","À SOUDER",IF(S450="","VT EN ATTENTE",IF(S450="R","VT REJETÉ – À REPRENDRE",IF(AJ450="","À RADIOGRAPHIER",IF(AJ450="A","ACCEPTÉ",IF(AJ450="NX","NX – RT À REFAIRE",IF(IF(AI450=1,X450,IF(AI450=2,AC450,""))="A","RÉPARÉ – À RADIOGRAPHIER",IF(IF(AI450=1,X450,IF(AI450=2,AC450,""))="R","VT REJETÉ – À REPRENDRE",IF(AJ450="CO","COUPE – À RESOUDER","À RÉPARER"))))))))))</f>
        <v/>
      </c>
      <c r="AL450" s="82" t="str">
        <f aca="false">IF(AND(ISNUMBER(P450),OR(AK450="À RADIOGRAPHIER",AK450="RÉPARÉ – À RADIOGRAPHIER",AK450="NX – RT À REFAIRE",AK450="À RÉPARER",AK450="COUPE – À RESOUDER",AK450="VT REJETÉ – À REPRENDRE")),MAX(0,'PROGRAMME RT'!$C$4-P450),"")</f>
        <v/>
      </c>
      <c r="AM450" s="78" t="n">
        <f aca="false">IF(AND(OR(AK450="À RADIOGRAPHIER",AK450="RÉPARÉ – À RADIOGRAPHIER",AK450="NX – RT À REFAIRE"),OR('PROGRAMME RT'!$D$5="TOUTES",B450='PROGRAMME RT'!$D$5)),1,0)</f>
        <v>0</v>
      </c>
      <c r="AN450" s="78" t="str">
        <f aca="false">IF(AM450=1,SUM(AM$7:AM450),"")</f>
        <v/>
      </c>
      <c r="AO450" s="78" t="n">
        <f aca="false">IF(AND(OR(AK450="À RÉPARER",AK450="COUPE – À RESOUDER",AK450="VT REJETÉ – À REPRENDRE"),OR(RÉPARATIONS!$D$5="TOUTES",B450=RÉPARATIONS!$D$5)),1,0)</f>
        <v>0</v>
      </c>
      <c r="AP450" s="78" t="str">
        <f aca="false">IF(AO450=1,SUM(AO$7:AO450),"")</f>
        <v/>
      </c>
    </row>
    <row r="451" customFormat="false" ht="15" hidden="false" customHeight="false" outlineLevel="0" collapsed="false">
      <c r="A451" s="78" t="str">
        <f aca="false">IF(E451="","",ROW()-6)</f>
        <v/>
      </c>
      <c r="B451" s="79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1"/>
      <c r="Q451" s="81"/>
      <c r="R451" s="80"/>
      <c r="S451" s="80"/>
      <c r="T451" s="81"/>
      <c r="U451" s="80"/>
      <c r="V451" s="80"/>
      <c r="W451" s="80"/>
      <c r="X451" s="80"/>
      <c r="Y451" s="81"/>
      <c r="Z451" s="80"/>
      <c r="AA451" s="80"/>
      <c r="AB451" s="80"/>
      <c r="AC451" s="80"/>
      <c r="AD451" s="81"/>
      <c r="AE451" s="80"/>
      <c r="AF451" s="80"/>
      <c r="AG451" s="81"/>
      <c r="AH451" s="79"/>
      <c r="AI451" s="78" t="str">
        <f aca="false">IF(E451="","",(V451&lt;&gt;"")+(AA451&lt;&gt;"")+(AF451&lt;&gt;""))</f>
        <v/>
      </c>
      <c r="AJ451" s="82" t="str">
        <f aca="false">IF(AF451&lt;&gt;"",AF451,IF(AA451&lt;&gt;"",AA451,IF(V451&lt;&gt;"",V451,"")))</f>
        <v/>
      </c>
      <c r="AK451" s="83" t="str">
        <f aca="false">IF(E451="","",IF(P451="","À SOUDER",IF(S451="","VT EN ATTENTE",IF(S451="R","VT REJETÉ – À REPRENDRE",IF(AJ451="","À RADIOGRAPHIER",IF(AJ451="A","ACCEPTÉ",IF(AJ451="NX","NX – RT À REFAIRE",IF(IF(AI451=1,X451,IF(AI451=2,AC451,""))="A","RÉPARÉ – À RADIOGRAPHIER",IF(IF(AI451=1,X451,IF(AI451=2,AC451,""))="R","VT REJETÉ – À REPRENDRE",IF(AJ451="CO","COUPE – À RESOUDER","À RÉPARER"))))))))))</f>
        <v/>
      </c>
      <c r="AL451" s="82" t="str">
        <f aca="false">IF(AND(ISNUMBER(P451),OR(AK451="À RADIOGRAPHIER",AK451="RÉPARÉ – À RADIOGRAPHIER",AK451="NX – RT À REFAIRE",AK451="À RÉPARER",AK451="COUPE – À RESOUDER",AK451="VT REJETÉ – À REPRENDRE")),MAX(0,'PROGRAMME RT'!$C$4-P451),"")</f>
        <v/>
      </c>
      <c r="AM451" s="78" t="n">
        <f aca="false">IF(AND(OR(AK451="À RADIOGRAPHIER",AK451="RÉPARÉ – À RADIOGRAPHIER",AK451="NX – RT À REFAIRE"),OR('PROGRAMME RT'!$D$5="TOUTES",B451='PROGRAMME RT'!$D$5)),1,0)</f>
        <v>0</v>
      </c>
      <c r="AN451" s="78" t="str">
        <f aca="false">IF(AM451=1,SUM(AM$7:AM451),"")</f>
        <v/>
      </c>
      <c r="AO451" s="78" t="n">
        <f aca="false">IF(AND(OR(AK451="À RÉPARER",AK451="COUPE – À RESOUDER",AK451="VT REJETÉ – À REPRENDRE"),OR(RÉPARATIONS!$D$5="TOUTES",B451=RÉPARATIONS!$D$5)),1,0)</f>
        <v>0</v>
      </c>
      <c r="AP451" s="78" t="str">
        <f aca="false">IF(AO451=1,SUM(AO$7:AO451),"")</f>
        <v/>
      </c>
    </row>
    <row r="452" customFormat="false" ht="15" hidden="false" customHeight="false" outlineLevel="0" collapsed="false">
      <c r="A452" s="78" t="str">
        <f aca="false">IF(E452="","",ROW()-6)</f>
        <v/>
      </c>
      <c r="B452" s="79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1"/>
      <c r="Q452" s="81"/>
      <c r="R452" s="80"/>
      <c r="S452" s="80"/>
      <c r="T452" s="81"/>
      <c r="U452" s="80"/>
      <c r="V452" s="80"/>
      <c r="W452" s="80"/>
      <c r="X452" s="80"/>
      <c r="Y452" s="81"/>
      <c r="Z452" s="80"/>
      <c r="AA452" s="80"/>
      <c r="AB452" s="80"/>
      <c r="AC452" s="80"/>
      <c r="AD452" s="81"/>
      <c r="AE452" s="80"/>
      <c r="AF452" s="80"/>
      <c r="AG452" s="81"/>
      <c r="AH452" s="79"/>
      <c r="AI452" s="78" t="str">
        <f aca="false">IF(E452="","",(V452&lt;&gt;"")+(AA452&lt;&gt;"")+(AF452&lt;&gt;""))</f>
        <v/>
      </c>
      <c r="AJ452" s="82" t="str">
        <f aca="false">IF(AF452&lt;&gt;"",AF452,IF(AA452&lt;&gt;"",AA452,IF(V452&lt;&gt;"",V452,"")))</f>
        <v/>
      </c>
      <c r="AK452" s="83" t="str">
        <f aca="false">IF(E452="","",IF(P452="","À SOUDER",IF(S452="","VT EN ATTENTE",IF(S452="R","VT REJETÉ – À REPRENDRE",IF(AJ452="","À RADIOGRAPHIER",IF(AJ452="A","ACCEPTÉ",IF(AJ452="NX","NX – RT À REFAIRE",IF(IF(AI452=1,X452,IF(AI452=2,AC452,""))="A","RÉPARÉ – À RADIOGRAPHIER",IF(IF(AI452=1,X452,IF(AI452=2,AC452,""))="R","VT REJETÉ – À REPRENDRE",IF(AJ452="CO","COUPE – À RESOUDER","À RÉPARER"))))))))))</f>
        <v/>
      </c>
      <c r="AL452" s="82" t="str">
        <f aca="false">IF(AND(ISNUMBER(P452),OR(AK452="À RADIOGRAPHIER",AK452="RÉPARÉ – À RADIOGRAPHIER",AK452="NX – RT À REFAIRE",AK452="À RÉPARER",AK452="COUPE – À RESOUDER",AK452="VT REJETÉ – À REPRENDRE")),MAX(0,'PROGRAMME RT'!$C$4-P452),"")</f>
        <v/>
      </c>
      <c r="AM452" s="78" t="n">
        <f aca="false">IF(AND(OR(AK452="À RADIOGRAPHIER",AK452="RÉPARÉ – À RADIOGRAPHIER",AK452="NX – RT À REFAIRE"),OR('PROGRAMME RT'!$D$5="TOUTES",B452='PROGRAMME RT'!$D$5)),1,0)</f>
        <v>0</v>
      </c>
      <c r="AN452" s="78" t="str">
        <f aca="false">IF(AM452=1,SUM(AM$7:AM452),"")</f>
        <v/>
      </c>
      <c r="AO452" s="78" t="n">
        <f aca="false">IF(AND(OR(AK452="À RÉPARER",AK452="COUPE – À RESOUDER",AK452="VT REJETÉ – À REPRENDRE"),OR(RÉPARATIONS!$D$5="TOUTES",B452=RÉPARATIONS!$D$5)),1,0)</f>
        <v>0</v>
      </c>
      <c r="AP452" s="78" t="str">
        <f aca="false">IF(AO452=1,SUM(AO$7:AO452),"")</f>
        <v/>
      </c>
    </row>
    <row r="453" customFormat="false" ht="15" hidden="false" customHeight="false" outlineLevel="0" collapsed="false">
      <c r="A453" s="78" t="str">
        <f aca="false">IF(E453="","",ROW()-6)</f>
        <v/>
      </c>
      <c r="B453" s="79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1"/>
      <c r="Q453" s="81"/>
      <c r="R453" s="80"/>
      <c r="S453" s="80"/>
      <c r="T453" s="81"/>
      <c r="U453" s="80"/>
      <c r="V453" s="80"/>
      <c r="W453" s="80"/>
      <c r="X453" s="80"/>
      <c r="Y453" s="81"/>
      <c r="Z453" s="80"/>
      <c r="AA453" s="80"/>
      <c r="AB453" s="80"/>
      <c r="AC453" s="80"/>
      <c r="AD453" s="81"/>
      <c r="AE453" s="80"/>
      <c r="AF453" s="80"/>
      <c r="AG453" s="81"/>
      <c r="AH453" s="79"/>
      <c r="AI453" s="78" t="str">
        <f aca="false">IF(E453="","",(V453&lt;&gt;"")+(AA453&lt;&gt;"")+(AF453&lt;&gt;""))</f>
        <v/>
      </c>
      <c r="AJ453" s="82" t="str">
        <f aca="false">IF(AF453&lt;&gt;"",AF453,IF(AA453&lt;&gt;"",AA453,IF(V453&lt;&gt;"",V453,"")))</f>
        <v/>
      </c>
      <c r="AK453" s="83" t="str">
        <f aca="false">IF(E453="","",IF(P453="","À SOUDER",IF(S453="","VT EN ATTENTE",IF(S453="R","VT REJETÉ – À REPRENDRE",IF(AJ453="","À RADIOGRAPHIER",IF(AJ453="A","ACCEPTÉ",IF(AJ453="NX","NX – RT À REFAIRE",IF(IF(AI453=1,X453,IF(AI453=2,AC453,""))="A","RÉPARÉ – À RADIOGRAPHIER",IF(IF(AI453=1,X453,IF(AI453=2,AC453,""))="R","VT REJETÉ – À REPRENDRE",IF(AJ453="CO","COUPE – À RESOUDER","À RÉPARER"))))))))))</f>
        <v/>
      </c>
      <c r="AL453" s="82" t="str">
        <f aca="false">IF(AND(ISNUMBER(P453),OR(AK453="À RADIOGRAPHIER",AK453="RÉPARÉ – À RADIOGRAPHIER",AK453="NX – RT À REFAIRE",AK453="À RÉPARER",AK453="COUPE – À RESOUDER",AK453="VT REJETÉ – À REPRENDRE")),MAX(0,'PROGRAMME RT'!$C$4-P453),"")</f>
        <v/>
      </c>
      <c r="AM453" s="78" t="n">
        <f aca="false">IF(AND(OR(AK453="À RADIOGRAPHIER",AK453="RÉPARÉ – À RADIOGRAPHIER",AK453="NX – RT À REFAIRE"),OR('PROGRAMME RT'!$D$5="TOUTES",B453='PROGRAMME RT'!$D$5)),1,0)</f>
        <v>0</v>
      </c>
      <c r="AN453" s="78" t="str">
        <f aca="false">IF(AM453=1,SUM(AM$7:AM453),"")</f>
        <v/>
      </c>
      <c r="AO453" s="78" t="n">
        <f aca="false">IF(AND(OR(AK453="À RÉPARER",AK453="COUPE – À RESOUDER",AK453="VT REJETÉ – À REPRENDRE"),OR(RÉPARATIONS!$D$5="TOUTES",B453=RÉPARATIONS!$D$5)),1,0)</f>
        <v>0</v>
      </c>
      <c r="AP453" s="78" t="str">
        <f aca="false">IF(AO453=1,SUM(AO$7:AO453),"")</f>
        <v/>
      </c>
    </row>
    <row r="454" customFormat="false" ht="15" hidden="false" customHeight="false" outlineLevel="0" collapsed="false">
      <c r="A454" s="78" t="str">
        <f aca="false">IF(E454="","",ROW()-6)</f>
        <v/>
      </c>
      <c r="B454" s="79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1"/>
      <c r="Q454" s="81"/>
      <c r="R454" s="80"/>
      <c r="S454" s="80"/>
      <c r="T454" s="81"/>
      <c r="U454" s="80"/>
      <c r="V454" s="80"/>
      <c r="W454" s="80"/>
      <c r="X454" s="80"/>
      <c r="Y454" s="81"/>
      <c r="Z454" s="80"/>
      <c r="AA454" s="80"/>
      <c r="AB454" s="80"/>
      <c r="AC454" s="80"/>
      <c r="AD454" s="81"/>
      <c r="AE454" s="80"/>
      <c r="AF454" s="80"/>
      <c r="AG454" s="81"/>
      <c r="AH454" s="79"/>
      <c r="AI454" s="78" t="str">
        <f aca="false">IF(E454="","",(V454&lt;&gt;"")+(AA454&lt;&gt;"")+(AF454&lt;&gt;""))</f>
        <v/>
      </c>
      <c r="AJ454" s="82" t="str">
        <f aca="false">IF(AF454&lt;&gt;"",AF454,IF(AA454&lt;&gt;"",AA454,IF(V454&lt;&gt;"",V454,"")))</f>
        <v/>
      </c>
      <c r="AK454" s="83" t="str">
        <f aca="false">IF(E454="","",IF(P454="","À SOUDER",IF(S454="","VT EN ATTENTE",IF(S454="R","VT REJETÉ – À REPRENDRE",IF(AJ454="","À RADIOGRAPHIER",IF(AJ454="A","ACCEPTÉ",IF(AJ454="NX","NX – RT À REFAIRE",IF(IF(AI454=1,X454,IF(AI454=2,AC454,""))="A","RÉPARÉ – À RADIOGRAPHIER",IF(IF(AI454=1,X454,IF(AI454=2,AC454,""))="R","VT REJETÉ – À REPRENDRE",IF(AJ454="CO","COUPE – À RESOUDER","À RÉPARER"))))))))))</f>
        <v/>
      </c>
      <c r="AL454" s="82" t="str">
        <f aca="false">IF(AND(ISNUMBER(P454),OR(AK454="À RADIOGRAPHIER",AK454="RÉPARÉ – À RADIOGRAPHIER",AK454="NX – RT À REFAIRE",AK454="À RÉPARER",AK454="COUPE – À RESOUDER",AK454="VT REJETÉ – À REPRENDRE")),MAX(0,'PROGRAMME RT'!$C$4-P454),"")</f>
        <v/>
      </c>
      <c r="AM454" s="78" t="n">
        <f aca="false">IF(AND(OR(AK454="À RADIOGRAPHIER",AK454="RÉPARÉ – À RADIOGRAPHIER",AK454="NX – RT À REFAIRE"),OR('PROGRAMME RT'!$D$5="TOUTES",B454='PROGRAMME RT'!$D$5)),1,0)</f>
        <v>0</v>
      </c>
      <c r="AN454" s="78" t="str">
        <f aca="false">IF(AM454=1,SUM(AM$7:AM454),"")</f>
        <v/>
      </c>
      <c r="AO454" s="78" t="n">
        <f aca="false">IF(AND(OR(AK454="À RÉPARER",AK454="COUPE – À RESOUDER",AK454="VT REJETÉ – À REPRENDRE"),OR(RÉPARATIONS!$D$5="TOUTES",B454=RÉPARATIONS!$D$5)),1,0)</f>
        <v>0</v>
      </c>
      <c r="AP454" s="78" t="str">
        <f aca="false">IF(AO454=1,SUM(AO$7:AO454),"")</f>
        <v/>
      </c>
    </row>
    <row r="455" customFormat="false" ht="15" hidden="false" customHeight="false" outlineLevel="0" collapsed="false">
      <c r="A455" s="78" t="str">
        <f aca="false">IF(E455="","",ROW()-6)</f>
        <v/>
      </c>
      <c r="B455" s="79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1"/>
      <c r="Q455" s="81"/>
      <c r="R455" s="80"/>
      <c r="S455" s="80"/>
      <c r="T455" s="81"/>
      <c r="U455" s="80"/>
      <c r="V455" s="80"/>
      <c r="W455" s="80"/>
      <c r="X455" s="80"/>
      <c r="Y455" s="81"/>
      <c r="Z455" s="80"/>
      <c r="AA455" s="80"/>
      <c r="AB455" s="80"/>
      <c r="AC455" s="80"/>
      <c r="AD455" s="81"/>
      <c r="AE455" s="80"/>
      <c r="AF455" s="80"/>
      <c r="AG455" s="81"/>
      <c r="AH455" s="79"/>
      <c r="AI455" s="78" t="str">
        <f aca="false">IF(E455="","",(V455&lt;&gt;"")+(AA455&lt;&gt;"")+(AF455&lt;&gt;""))</f>
        <v/>
      </c>
      <c r="AJ455" s="82" t="str">
        <f aca="false">IF(AF455&lt;&gt;"",AF455,IF(AA455&lt;&gt;"",AA455,IF(V455&lt;&gt;"",V455,"")))</f>
        <v/>
      </c>
      <c r="AK455" s="83" t="str">
        <f aca="false">IF(E455="","",IF(P455="","À SOUDER",IF(S455="","VT EN ATTENTE",IF(S455="R","VT REJETÉ – À REPRENDRE",IF(AJ455="","À RADIOGRAPHIER",IF(AJ455="A","ACCEPTÉ",IF(AJ455="NX","NX – RT À REFAIRE",IF(IF(AI455=1,X455,IF(AI455=2,AC455,""))="A","RÉPARÉ – À RADIOGRAPHIER",IF(IF(AI455=1,X455,IF(AI455=2,AC455,""))="R","VT REJETÉ – À REPRENDRE",IF(AJ455="CO","COUPE – À RESOUDER","À RÉPARER"))))))))))</f>
        <v/>
      </c>
      <c r="AL455" s="82" t="str">
        <f aca="false">IF(AND(ISNUMBER(P455),OR(AK455="À RADIOGRAPHIER",AK455="RÉPARÉ – À RADIOGRAPHIER",AK455="NX – RT À REFAIRE",AK455="À RÉPARER",AK455="COUPE – À RESOUDER",AK455="VT REJETÉ – À REPRENDRE")),MAX(0,'PROGRAMME RT'!$C$4-P455),"")</f>
        <v/>
      </c>
      <c r="AM455" s="78" t="n">
        <f aca="false">IF(AND(OR(AK455="À RADIOGRAPHIER",AK455="RÉPARÉ – À RADIOGRAPHIER",AK455="NX – RT À REFAIRE"),OR('PROGRAMME RT'!$D$5="TOUTES",B455='PROGRAMME RT'!$D$5)),1,0)</f>
        <v>0</v>
      </c>
      <c r="AN455" s="78" t="str">
        <f aca="false">IF(AM455=1,SUM(AM$7:AM455),"")</f>
        <v/>
      </c>
      <c r="AO455" s="78" t="n">
        <f aca="false">IF(AND(OR(AK455="À RÉPARER",AK455="COUPE – À RESOUDER",AK455="VT REJETÉ – À REPRENDRE"),OR(RÉPARATIONS!$D$5="TOUTES",B455=RÉPARATIONS!$D$5)),1,0)</f>
        <v>0</v>
      </c>
      <c r="AP455" s="78" t="str">
        <f aca="false">IF(AO455=1,SUM(AO$7:AO455),"")</f>
        <v/>
      </c>
    </row>
    <row r="456" customFormat="false" ht="15" hidden="false" customHeight="false" outlineLevel="0" collapsed="false">
      <c r="A456" s="78" t="str">
        <f aca="false">IF(E456="","",ROW()-6)</f>
        <v/>
      </c>
      <c r="B456" s="79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1"/>
      <c r="Q456" s="81"/>
      <c r="R456" s="80"/>
      <c r="S456" s="80"/>
      <c r="T456" s="81"/>
      <c r="U456" s="80"/>
      <c r="V456" s="80"/>
      <c r="W456" s="80"/>
      <c r="X456" s="80"/>
      <c r="Y456" s="81"/>
      <c r="Z456" s="80"/>
      <c r="AA456" s="80"/>
      <c r="AB456" s="80"/>
      <c r="AC456" s="80"/>
      <c r="AD456" s="81"/>
      <c r="AE456" s="80"/>
      <c r="AF456" s="80"/>
      <c r="AG456" s="81"/>
      <c r="AH456" s="79"/>
      <c r="AI456" s="78" t="str">
        <f aca="false">IF(E456="","",(V456&lt;&gt;"")+(AA456&lt;&gt;"")+(AF456&lt;&gt;""))</f>
        <v/>
      </c>
      <c r="AJ456" s="82" t="str">
        <f aca="false">IF(AF456&lt;&gt;"",AF456,IF(AA456&lt;&gt;"",AA456,IF(V456&lt;&gt;"",V456,"")))</f>
        <v/>
      </c>
      <c r="AK456" s="83" t="str">
        <f aca="false">IF(E456="","",IF(P456="","À SOUDER",IF(S456="","VT EN ATTENTE",IF(S456="R","VT REJETÉ – À REPRENDRE",IF(AJ456="","À RADIOGRAPHIER",IF(AJ456="A","ACCEPTÉ",IF(AJ456="NX","NX – RT À REFAIRE",IF(IF(AI456=1,X456,IF(AI456=2,AC456,""))="A","RÉPARÉ – À RADIOGRAPHIER",IF(IF(AI456=1,X456,IF(AI456=2,AC456,""))="R","VT REJETÉ – À REPRENDRE",IF(AJ456="CO","COUPE – À RESOUDER","À RÉPARER"))))))))))</f>
        <v/>
      </c>
      <c r="AL456" s="82" t="str">
        <f aca="false">IF(AND(ISNUMBER(P456),OR(AK456="À RADIOGRAPHIER",AK456="RÉPARÉ – À RADIOGRAPHIER",AK456="NX – RT À REFAIRE",AK456="À RÉPARER",AK456="COUPE – À RESOUDER",AK456="VT REJETÉ – À REPRENDRE")),MAX(0,'PROGRAMME RT'!$C$4-P456),"")</f>
        <v/>
      </c>
      <c r="AM456" s="78" t="n">
        <f aca="false">IF(AND(OR(AK456="À RADIOGRAPHIER",AK456="RÉPARÉ – À RADIOGRAPHIER",AK456="NX – RT À REFAIRE"),OR('PROGRAMME RT'!$D$5="TOUTES",B456='PROGRAMME RT'!$D$5)),1,0)</f>
        <v>0</v>
      </c>
      <c r="AN456" s="78" t="str">
        <f aca="false">IF(AM456=1,SUM(AM$7:AM456),"")</f>
        <v/>
      </c>
      <c r="AO456" s="78" t="n">
        <f aca="false">IF(AND(OR(AK456="À RÉPARER",AK456="COUPE – À RESOUDER",AK456="VT REJETÉ – À REPRENDRE"),OR(RÉPARATIONS!$D$5="TOUTES",B456=RÉPARATIONS!$D$5)),1,0)</f>
        <v>0</v>
      </c>
      <c r="AP456" s="78" t="str">
        <f aca="false">IF(AO456=1,SUM(AO$7:AO456),"")</f>
        <v/>
      </c>
    </row>
    <row r="457" customFormat="false" ht="15" hidden="false" customHeight="false" outlineLevel="0" collapsed="false">
      <c r="A457" s="78" t="str">
        <f aca="false">IF(E457="","",ROW()-6)</f>
        <v/>
      </c>
      <c r="B457" s="79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1"/>
      <c r="Q457" s="81"/>
      <c r="R457" s="80"/>
      <c r="S457" s="80"/>
      <c r="T457" s="81"/>
      <c r="U457" s="80"/>
      <c r="V457" s="80"/>
      <c r="W457" s="80"/>
      <c r="X457" s="80"/>
      <c r="Y457" s="81"/>
      <c r="Z457" s="80"/>
      <c r="AA457" s="80"/>
      <c r="AB457" s="80"/>
      <c r="AC457" s="80"/>
      <c r="AD457" s="81"/>
      <c r="AE457" s="80"/>
      <c r="AF457" s="80"/>
      <c r="AG457" s="81"/>
      <c r="AH457" s="79"/>
      <c r="AI457" s="78" t="str">
        <f aca="false">IF(E457="","",(V457&lt;&gt;"")+(AA457&lt;&gt;"")+(AF457&lt;&gt;""))</f>
        <v/>
      </c>
      <c r="AJ457" s="82" t="str">
        <f aca="false">IF(AF457&lt;&gt;"",AF457,IF(AA457&lt;&gt;"",AA457,IF(V457&lt;&gt;"",V457,"")))</f>
        <v/>
      </c>
      <c r="AK457" s="83" t="str">
        <f aca="false">IF(E457="","",IF(P457="","À SOUDER",IF(S457="","VT EN ATTENTE",IF(S457="R","VT REJETÉ – À REPRENDRE",IF(AJ457="","À RADIOGRAPHIER",IF(AJ457="A","ACCEPTÉ",IF(AJ457="NX","NX – RT À REFAIRE",IF(IF(AI457=1,X457,IF(AI457=2,AC457,""))="A","RÉPARÉ – À RADIOGRAPHIER",IF(IF(AI457=1,X457,IF(AI457=2,AC457,""))="R","VT REJETÉ – À REPRENDRE",IF(AJ457="CO","COUPE – À RESOUDER","À RÉPARER"))))))))))</f>
        <v/>
      </c>
      <c r="AL457" s="82" t="str">
        <f aca="false">IF(AND(ISNUMBER(P457),OR(AK457="À RADIOGRAPHIER",AK457="RÉPARÉ – À RADIOGRAPHIER",AK457="NX – RT À REFAIRE",AK457="À RÉPARER",AK457="COUPE – À RESOUDER",AK457="VT REJETÉ – À REPRENDRE")),MAX(0,'PROGRAMME RT'!$C$4-P457),"")</f>
        <v/>
      </c>
      <c r="AM457" s="78" t="n">
        <f aca="false">IF(AND(OR(AK457="À RADIOGRAPHIER",AK457="RÉPARÉ – À RADIOGRAPHIER",AK457="NX – RT À REFAIRE"),OR('PROGRAMME RT'!$D$5="TOUTES",B457='PROGRAMME RT'!$D$5)),1,0)</f>
        <v>0</v>
      </c>
      <c r="AN457" s="78" t="str">
        <f aca="false">IF(AM457=1,SUM(AM$7:AM457),"")</f>
        <v/>
      </c>
      <c r="AO457" s="78" t="n">
        <f aca="false">IF(AND(OR(AK457="À RÉPARER",AK457="COUPE – À RESOUDER",AK457="VT REJETÉ – À REPRENDRE"),OR(RÉPARATIONS!$D$5="TOUTES",B457=RÉPARATIONS!$D$5)),1,0)</f>
        <v>0</v>
      </c>
      <c r="AP457" s="78" t="str">
        <f aca="false">IF(AO457=1,SUM(AO$7:AO457),"")</f>
        <v/>
      </c>
    </row>
    <row r="458" customFormat="false" ht="15" hidden="false" customHeight="false" outlineLevel="0" collapsed="false">
      <c r="A458" s="78" t="str">
        <f aca="false">IF(E458="","",ROW()-6)</f>
        <v/>
      </c>
      <c r="B458" s="79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1"/>
      <c r="Q458" s="81"/>
      <c r="R458" s="80"/>
      <c r="S458" s="80"/>
      <c r="T458" s="81"/>
      <c r="U458" s="80"/>
      <c r="V458" s="80"/>
      <c r="W458" s="80"/>
      <c r="X458" s="80"/>
      <c r="Y458" s="81"/>
      <c r="Z458" s="80"/>
      <c r="AA458" s="80"/>
      <c r="AB458" s="80"/>
      <c r="AC458" s="80"/>
      <c r="AD458" s="81"/>
      <c r="AE458" s="80"/>
      <c r="AF458" s="80"/>
      <c r="AG458" s="81"/>
      <c r="AH458" s="79"/>
      <c r="AI458" s="78" t="str">
        <f aca="false">IF(E458="","",(V458&lt;&gt;"")+(AA458&lt;&gt;"")+(AF458&lt;&gt;""))</f>
        <v/>
      </c>
      <c r="AJ458" s="82" t="str">
        <f aca="false">IF(AF458&lt;&gt;"",AF458,IF(AA458&lt;&gt;"",AA458,IF(V458&lt;&gt;"",V458,"")))</f>
        <v/>
      </c>
      <c r="AK458" s="83" t="str">
        <f aca="false">IF(E458="","",IF(P458="","À SOUDER",IF(S458="","VT EN ATTENTE",IF(S458="R","VT REJETÉ – À REPRENDRE",IF(AJ458="","À RADIOGRAPHIER",IF(AJ458="A","ACCEPTÉ",IF(AJ458="NX","NX – RT À REFAIRE",IF(IF(AI458=1,X458,IF(AI458=2,AC458,""))="A","RÉPARÉ – À RADIOGRAPHIER",IF(IF(AI458=1,X458,IF(AI458=2,AC458,""))="R","VT REJETÉ – À REPRENDRE",IF(AJ458="CO","COUPE – À RESOUDER","À RÉPARER"))))))))))</f>
        <v/>
      </c>
      <c r="AL458" s="82" t="str">
        <f aca="false">IF(AND(ISNUMBER(P458),OR(AK458="À RADIOGRAPHIER",AK458="RÉPARÉ – À RADIOGRAPHIER",AK458="NX – RT À REFAIRE",AK458="À RÉPARER",AK458="COUPE – À RESOUDER",AK458="VT REJETÉ – À REPRENDRE")),MAX(0,'PROGRAMME RT'!$C$4-P458),"")</f>
        <v/>
      </c>
      <c r="AM458" s="78" t="n">
        <f aca="false">IF(AND(OR(AK458="À RADIOGRAPHIER",AK458="RÉPARÉ – À RADIOGRAPHIER",AK458="NX – RT À REFAIRE"),OR('PROGRAMME RT'!$D$5="TOUTES",B458='PROGRAMME RT'!$D$5)),1,0)</f>
        <v>0</v>
      </c>
      <c r="AN458" s="78" t="str">
        <f aca="false">IF(AM458=1,SUM(AM$7:AM458),"")</f>
        <v/>
      </c>
      <c r="AO458" s="78" t="n">
        <f aca="false">IF(AND(OR(AK458="À RÉPARER",AK458="COUPE – À RESOUDER",AK458="VT REJETÉ – À REPRENDRE"),OR(RÉPARATIONS!$D$5="TOUTES",B458=RÉPARATIONS!$D$5)),1,0)</f>
        <v>0</v>
      </c>
      <c r="AP458" s="78" t="str">
        <f aca="false">IF(AO458=1,SUM(AO$7:AO458),"")</f>
        <v/>
      </c>
    </row>
    <row r="459" customFormat="false" ht="15" hidden="false" customHeight="false" outlineLevel="0" collapsed="false">
      <c r="A459" s="78" t="str">
        <f aca="false">IF(E459="","",ROW()-6)</f>
        <v/>
      </c>
      <c r="B459" s="79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1"/>
      <c r="Q459" s="81"/>
      <c r="R459" s="80"/>
      <c r="S459" s="80"/>
      <c r="T459" s="81"/>
      <c r="U459" s="80"/>
      <c r="V459" s="80"/>
      <c r="W459" s="80"/>
      <c r="X459" s="80"/>
      <c r="Y459" s="81"/>
      <c r="Z459" s="80"/>
      <c r="AA459" s="80"/>
      <c r="AB459" s="80"/>
      <c r="AC459" s="80"/>
      <c r="AD459" s="81"/>
      <c r="AE459" s="80"/>
      <c r="AF459" s="80"/>
      <c r="AG459" s="81"/>
      <c r="AH459" s="79"/>
      <c r="AI459" s="78" t="str">
        <f aca="false">IF(E459="","",(V459&lt;&gt;"")+(AA459&lt;&gt;"")+(AF459&lt;&gt;""))</f>
        <v/>
      </c>
      <c r="AJ459" s="82" t="str">
        <f aca="false">IF(AF459&lt;&gt;"",AF459,IF(AA459&lt;&gt;"",AA459,IF(V459&lt;&gt;"",V459,"")))</f>
        <v/>
      </c>
      <c r="AK459" s="83" t="str">
        <f aca="false">IF(E459="","",IF(P459="","À SOUDER",IF(S459="","VT EN ATTENTE",IF(S459="R","VT REJETÉ – À REPRENDRE",IF(AJ459="","À RADIOGRAPHIER",IF(AJ459="A","ACCEPTÉ",IF(AJ459="NX","NX – RT À REFAIRE",IF(IF(AI459=1,X459,IF(AI459=2,AC459,""))="A","RÉPARÉ – À RADIOGRAPHIER",IF(IF(AI459=1,X459,IF(AI459=2,AC459,""))="R","VT REJETÉ – À REPRENDRE",IF(AJ459="CO","COUPE – À RESOUDER","À RÉPARER"))))))))))</f>
        <v/>
      </c>
      <c r="AL459" s="82" t="str">
        <f aca="false">IF(AND(ISNUMBER(P459),OR(AK459="À RADIOGRAPHIER",AK459="RÉPARÉ – À RADIOGRAPHIER",AK459="NX – RT À REFAIRE",AK459="À RÉPARER",AK459="COUPE – À RESOUDER",AK459="VT REJETÉ – À REPRENDRE")),MAX(0,'PROGRAMME RT'!$C$4-P459),"")</f>
        <v/>
      </c>
      <c r="AM459" s="78" t="n">
        <f aca="false">IF(AND(OR(AK459="À RADIOGRAPHIER",AK459="RÉPARÉ – À RADIOGRAPHIER",AK459="NX – RT À REFAIRE"),OR('PROGRAMME RT'!$D$5="TOUTES",B459='PROGRAMME RT'!$D$5)),1,0)</f>
        <v>0</v>
      </c>
      <c r="AN459" s="78" t="str">
        <f aca="false">IF(AM459=1,SUM(AM$7:AM459),"")</f>
        <v/>
      </c>
      <c r="AO459" s="78" t="n">
        <f aca="false">IF(AND(OR(AK459="À RÉPARER",AK459="COUPE – À RESOUDER",AK459="VT REJETÉ – À REPRENDRE"),OR(RÉPARATIONS!$D$5="TOUTES",B459=RÉPARATIONS!$D$5)),1,0)</f>
        <v>0</v>
      </c>
      <c r="AP459" s="78" t="str">
        <f aca="false">IF(AO459=1,SUM(AO$7:AO459),"")</f>
        <v/>
      </c>
    </row>
    <row r="460" customFormat="false" ht="15" hidden="false" customHeight="false" outlineLevel="0" collapsed="false">
      <c r="A460" s="78" t="str">
        <f aca="false">IF(E460="","",ROW()-6)</f>
        <v/>
      </c>
      <c r="B460" s="79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1"/>
      <c r="Q460" s="81"/>
      <c r="R460" s="80"/>
      <c r="S460" s="80"/>
      <c r="T460" s="81"/>
      <c r="U460" s="80"/>
      <c r="V460" s="80"/>
      <c r="W460" s="80"/>
      <c r="X460" s="80"/>
      <c r="Y460" s="81"/>
      <c r="Z460" s="80"/>
      <c r="AA460" s="80"/>
      <c r="AB460" s="80"/>
      <c r="AC460" s="80"/>
      <c r="AD460" s="81"/>
      <c r="AE460" s="80"/>
      <c r="AF460" s="80"/>
      <c r="AG460" s="81"/>
      <c r="AH460" s="79"/>
      <c r="AI460" s="78" t="str">
        <f aca="false">IF(E460="","",(V460&lt;&gt;"")+(AA460&lt;&gt;"")+(AF460&lt;&gt;""))</f>
        <v/>
      </c>
      <c r="AJ460" s="82" t="str">
        <f aca="false">IF(AF460&lt;&gt;"",AF460,IF(AA460&lt;&gt;"",AA460,IF(V460&lt;&gt;"",V460,"")))</f>
        <v/>
      </c>
      <c r="AK460" s="83" t="str">
        <f aca="false">IF(E460="","",IF(P460="","À SOUDER",IF(S460="","VT EN ATTENTE",IF(S460="R","VT REJETÉ – À REPRENDRE",IF(AJ460="","À RADIOGRAPHIER",IF(AJ460="A","ACCEPTÉ",IF(AJ460="NX","NX – RT À REFAIRE",IF(IF(AI460=1,X460,IF(AI460=2,AC460,""))="A","RÉPARÉ – À RADIOGRAPHIER",IF(IF(AI460=1,X460,IF(AI460=2,AC460,""))="R","VT REJETÉ – À REPRENDRE",IF(AJ460="CO","COUPE – À RESOUDER","À RÉPARER"))))))))))</f>
        <v/>
      </c>
      <c r="AL460" s="82" t="str">
        <f aca="false">IF(AND(ISNUMBER(P460),OR(AK460="À RADIOGRAPHIER",AK460="RÉPARÉ – À RADIOGRAPHIER",AK460="NX – RT À REFAIRE",AK460="À RÉPARER",AK460="COUPE – À RESOUDER",AK460="VT REJETÉ – À REPRENDRE")),MAX(0,'PROGRAMME RT'!$C$4-P460),"")</f>
        <v/>
      </c>
      <c r="AM460" s="78" t="n">
        <f aca="false">IF(AND(OR(AK460="À RADIOGRAPHIER",AK460="RÉPARÉ – À RADIOGRAPHIER",AK460="NX – RT À REFAIRE"),OR('PROGRAMME RT'!$D$5="TOUTES",B460='PROGRAMME RT'!$D$5)),1,0)</f>
        <v>0</v>
      </c>
      <c r="AN460" s="78" t="str">
        <f aca="false">IF(AM460=1,SUM(AM$7:AM460),"")</f>
        <v/>
      </c>
      <c r="AO460" s="78" t="n">
        <f aca="false">IF(AND(OR(AK460="À RÉPARER",AK460="COUPE – À RESOUDER",AK460="VT REJETÉ – À REPRENDRE"),OR(RÉPARATIONS!$D$5="TOUTES",B460=RÉPARATIONS!$D$5)),1,0)</f>
        <v>0</v>
      </c>
      <c r="AP460" s="78" t="str">
        <f aca="false">IF(AO460=1,SUM(AO$7:AO460),"")</f>
        <v/>
      </c>
    </row>
    <row r="461" customFormat="false" ht="15" hidden="false" customHeight="false" outlineLevel="0" collapsed="false">
      <c r="A461" s="78" t="str">
        <f aca="false">IF(E461="","",ROW()-6)</f>
        <v/>
      </c>
      <c r="B461" s="79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1"/>
      <c r="Q461" s="81"/>
      <c r="R461" s="80"/>
      <c r="S461" s="80"/>
      <c r="T461" s="81"/>
      <c r="U461" s="80"/>
      <c r="V461" s="80"/>
      <c r="W461" s="80"/>
      <c r="X461" s="80"/>
      <c r="Y461" s="81"/>
      <c r="Z461" s="80"/>
      <c r="AA461" s="80"/>
      <c r="AB461" s="80"/>
      <c r="AC461" s="80"/>
      <c r="AD461" s="81"/>
      <c r="AE461" s="80"/>
      <c r="AF461" s="80"/>
      <c r="AG461" s="81"/>
      <c r="AH461" s="79"/>
      <c r="AI461" s="78" t="str">
        <f aca="false">IF(E461="","",(V461&lt;&gt;"")+(AA461&lt;&gt;"")+(AF461&lt;&gt;""))</f>
        <v/>
      </c>
      <c r="AJ461" s="82" t="str">
        <f aca="false">IF(AF461&lt;&gt;"",AF461,IF(AA461&lt;&gt;"",AA461,IF(V461&lt;&gt;"",V461,"")))</f>
        <v/>
      </c>
      <c r="AK461" s="83" t="str">
        <f aca="false">IF(E461="","",IF(P461="","À SOUDER",IF(S461="","VT EN ATTENTE",IF(S461="R","VT REJETÉ – À REPRENDRE",IF(AJ461="","À RADIOGRAPHIER",IF(AJ461="A","ACCEPTÉ",IF(AJ461="NX","NX – RT À REFAIRE",IF(IF(AI461=1,X461,IF(AI461=2,AC461,""))="A","RÉPARÉ – À RADIOGRAPHIER",IF(IF(AI461=1,X461,IF(AI461=2,AC461,""))="R","VT REJETÉ – À REPRENDRE",IF(AJ461="CO","COUPE – À RESOUDER","À RÉPARER"))))))))))</f>
        <v/>
      </c>
      <c r="AL461" s="82" t="str">
        <f aca="false">IF(AND(ISNUMBER(P461),OR(AK461="À RADIOGRAPHIER",AK461="RÉPARÉ – À RADIOGRAPHIER",AK461="NX – RT À REFAIRE",AK461="À RÉPARER",AK461="COUPE – À RESOUDER",AK461="VT REJETÉ – À REPRENDRE")),MAX(0,'PROGRAMME RT'!$C$4-P461),"")</f>
        <v/>
      </c>
      <c r="AM461" s="78" t="n">
        <f aca="false">IF(AND(OR(AK461="À RADIOGRAPHIER",AK461="RÉPARÉ – À RADIOGRAPHIER",AK461="NX – RT À REFAIRE"),OR('PROGRAMME RT'!$D$5="TOUTES",B461='PROGRAMME RT'!$D$5)),1,0)</f>
        <v>0</v>
      </c>
      <c r="AN461" s="78" t="str">
        <f aca="false">IF(AM461=1,SUM(AM$7:AM461),"")</f>
        <v/>
      </c>
      <c r="AO461" s="78" t="n">
        <f aca="false">IF(AND(OR(AK461="À RÉPARER",AK461="COUPE – À RESOUDER",AK461="VT REJETÉ – À REPRENDRE"),OR(RÉPARATIONS!$D$5="TOUTES",B461=RÉPARATIONS!$D$5)),1,0)</f>
        <v>0</v>
      </c>
      <c r="AP461" s="78" t="str">
        <f aca="false">IF(AO461=1,SUM(AO$7:AO461),"")</f>
        <v/>
      </c>
    </row>
    <row r="462" customFormat="false" ht="15" hidden="false" customHeight="false" outlineLevel="0" collapsed="false">
      <c r="A462" s="78" t="str">
        <f aca="false">IF(E462="","",ROW()-6)</f>
        <v/>
      </c>
      <c r="B462" s="79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1"/>
      <c r="Q462" s="81"/>
      <c r="R462" s="80"/>
      <c r="S462" s="80"/>
      <c r="T462" s="81"/>
      <c r="U462" s="80"/>
      <c r="V462" s="80"/>
      <c r="W462" s="80"/>
      <c r="X462" s="80"/>
      <c r="Y462" s="81"/>
      <c r="Z462" s="80"/>
      <c r="AA462" s="80"/>
      <c r="AB462" s="80"/>
      <c r="AC462" s="80"/>
      <c r="AD462" s="81"/>
      <c r="AE462" s="80"/>
      <c r="AF462" s="80"/>
      <c r="AG462" s="81"/>
      <c r="AH462" s="79"/>
      <c r="AI462" s="78" t="str">
        <f aca="false">IF(E462="","",(V462&lt;&gt;"")+(AA462&lt;&gt;"")+(AF462&lt;&gt;""))</f>
        <v/>
      </c>
      <c r="AJ462" s="82" t="str">
        <f aca="false">IF(AF462&lt;&gt;"",AF462,IF(AA462&lt;&gt;"",AA462,IF(V462&lt;&gt;"",V462,"")))</f>
        <v/>
      </c>
      <c r="AK462" s="83" t="str">
        <f aca="false">IF(E462="","",IF(P462="","À SOUDER",IF(S462="","VT EN ATTENTE",IF(S462="R","VT REJETÉ – À REPRENDRE",IF(AJ462="","À RADIOGRAPHIER",IF(AJ462="A","ACCEPTÉ",IF(AJ462="NX","NX – RT À REFAIRE",IF(IF(AI462=1,X462,IF(AI462=2,AC462,""))="A","RÉPARÉ – À RADIOGRAPHIER",IF(IF(AI462=1,X462,IF(AI462=2,AC462,""))="R","VT REJETÉ – À REPRENDRE",IF(AJ462="CO","COUPE – À RESOUDER","À RÉPARER"))))))))))</f>
        <v/>
      </c>
      <c r="AL462" s="82" t="str">
        <f aca="false">IF(AND(ISNUMBER(P462),OR(AK462="À RADIOGRAPHIER",AK462="RÉPARÉ – À RADIOGRAPHIER",AK462="NX – RT À REFAIRE",AK462="À RÉPARER",AK462="COUPE – À RESOUDER",AK462="VT REJETÉ – À REPRENDRE")),MAX(0,'PROGRAMME RT'!$C$4-P462),"")</f>
        <v/>
      </c>
      <c r="AM462" s="78" t="n">
        <f aca="false">IF(AND(OR(AK462="À RADIOGRAPHIER",AK462="RÉPARÉ – À RADIOGRAPHIER",AK462="NX – RT À REFAIRE"),OR('PROGRAMME RT'!$D$5="TOUTES",B462='PROGRAMME RT'!$D$5)),1,0)</f>
        <v>0</v>
      </c>
      <c r="AN462" s="78" t="str">
        <f aca="false">IF(AM462=1,SUM(AM$7:AM462),"")</f>
        <v/>
      </c>
      <c r="AO462" s="78" t="n">
        <f aca="false">IF(AND(OR(AK462="À RÉPARER",AK462="COUPE – À RESOUDER",AK462="VT REJETÉ – À REPRENDRE"),OR(RÉPARATIONS!$D$5="TOUTES",B462=RÉPARATIONS!$D$5)),1,0)</f>
        <v>0</v>
      </c>
      <c r="AP462" s="78" t="str">
        <f aca="false">IF(AO462=1,SUM(AO$7:AO462),"")</f>
        <v/>
      </c>
    </row>
    <row r="463" customFormat="false" ht="15" hidden="false" customHeight="false" outlineLevel="0" collapsed="false">
      <c r="A463" s="78" t="str">
        <f aca="false">IF(E463="","",ROW()-6)</f>
        <v/>
      </c>
      <c r="B463" s="79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1"/>
      <c r="Q463" s="81"/>
      <c r="R463" s="80"/>
      <c r="S463" s="80"/>
      <c r="T463" s="81"/>
      <c r="U463" s="80"/>
      <c r="V463" s="80"/>
      <c r="W463" s="80"/>
      <c r="X463" s="80"/>
      <c r="Y463" s="81"/>
      <c r="Z463" s="80"/>
      <c r="AA463" s="80"/>
      <c r="AB463" s="80"/>
      <c r="AC463" s="80"/>
      <c r="AD463" s="81"/>
      <c r="AE463" s="80"/>
      <c r="AF463" s="80"/>
      <c r="AG463" s="81"/>
      <c r="AH463" s="79"/>
      <c r="AI463" s="78" t="str">
        <f aca="false">IF(E463="","",(V463&lt;&gt;"")+(AA463&lt;&gt;"")+(AF463&lt;&gt;""))</f>
        <v/>
      </c>
      <c r="AJ463" s="82" t="str">
        <f aca="false">IF(AF463&lt;&gt;"",AF463,IF(AA463&lt;&gt;"",AA463,IF(V463&lt;&gt;"",V463,"")))</f>
        <v/>
      </c>
      <c r="AK463" s="83" t="str">
        <f aca="false">IF(E463="","",IF(P463="","À SOUDER",IF(S463="","VT EN ATTENTE",IF(S463="R","VT REJETÉ – À REPRENDRE",IF(AJ463="","À RADIOGRAPHIER",IF(AJ463="A","ACCEPTÉ",IF(AJ463="NX","NX – RT À REFAIRE",IF(IF(AI463=1,X463,IF(AI463=2,AC463,""))="A","RÉPARÉ – À RADIOGRAPHIER",IF(IF(AI463=1,X463,IF(AI463=2,AC463,""))="R","VT REJETÉ – À REPRENDRE",IF(AJ463="CO","COUPE – À RESOUDER","À RÉPARER"))))))))))</f>
        <v/>
      </c>
      <c r="AL463" s="82" t="str">
        <f aca="false">IF(AND(ISNUMBER(P463),OR(AK463="À RADIOGRAPHIER",AK463="RÉPARÉ – À RADIOGRAPHIER",AK463="NX – RT À REFAIRE",AK463="À RÉPARER",AK463="COUPE – À RESOUDER",AK463="VT REJETÉ – À REPRENDRE")),MAX(0,'PROGRAMME RT'!$C$4-P463),"")</f>
        <v/>
      </c>
      <c r="AM463" s="78" t="n">
        <f aca="false">IF(AND(OR(AK463="À RADIOGRAPHIER",AK463="RÉPARÉ – À RADIOGRAPHIER",AK463="NX – RT À REFAIRE"),OR('PROGRAMME RT'!$D$5="TOUTES",B463='PROGRAMME RT'!$D$5)),1,0)</f>
        <v>0</v>
      </c>
      <c r="AN463" s="78" t="str">
        <f aca="false">IF(AM463=1,SUM(AM$7:AM463),"")</f>
        <v/>
      </c>
      <c r="AO463" s="78" t="n">
        <f aca="false">IF(AND(OR(AK463="À RÉPARER",AK463="COUPE – À RESOUDER",AK463="VT REJETÉ – À REPRENDRE"),OR(RÉPARATIONS!$D$5="TOUTES",B463=RÉPARATIONS!$D$5)),1,0)</f>
        <v>0</v>
      </c>
      <c r="AP463" s="78" t="str">
        <f aca="false">IF(AO463=1,SUM(AO$7:AO463),"")</f>
        <v/>
      </c>
    </row>
    <row r="464" customFormat="false" ht="15" hidden="false" customHeight="false" outlineLevel="0" collapsed="false">
      <c r="A464" s="78" t="str">
        <f aca="false">IF(E464="","",ROW()-6)</f>
        <v/>
      </c>
      <c r="B464" s="79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1"/>
      <c r="Q464" s="81"/>
      <c r="R464" s="80"/>
      <c r="S464" s="80"/>
      <c r="T464" s="81"/>
      <c r="U464" s="80"/>
      <c r="V464" s="80"/>
      <c r="W464" s="80"/>
      <c r="X464" s="80"/>
      <c r="Y464" s="81"/>
      <c r="Z464" s="80"/>
      <c r="AA464" s="80"/>
      <c r="AB464" s="80"/>
      <c r="AC464" s="80"/>
      <c r="AD464" s="81"/>
      <c r="AE464" s="80"/>
      <c r="AF464" s="80"/>
      <c r="AG464" s="81"/>
      <c r="AH464" s="79"/>
      <c r="AI464" s="78" t="str">
        <f aca="false">IF(E464="","",(V464&lt;&gt;"")+(AA464&lt;&gt;"")+(AF464&lt;&gt;""))</f>
        <v/>
      </c>
      <c r="AJ464" s="82" t="str">
        <f aca="false">IF(AF464&lt;&gt;"",AF464,IF(AA464&lt;&gt;"",AA464,IF(V464&lt;&gt;"",V464,"")))</f>
        <v/>
      </c>
      <c r="AK464" s="83" t="str">
        <f aca="false">IF(E464="","",IF(P464="","À SOUDER",IF(S464="","VT EN ATTENTE",IF(S464="R","VT REJETÉ – À REPRENDRE",IF(AJ464="","À RADIOGRAPHIER",IF(AJ464="A","ACCEPTÉ",IF(AJ464="NX","NX – RT À REFAIRE",IF(IF(AI464=1,X464,IF(AI464=2,AC464,""))="A","RÉPARÉ – À RADIOGRAPHIER",IF(IF(AI464=1,X464,IF(AI464=2,AC464,""))="R","VT REJETÉ – À REPRENDRE",IF(AJ464="CO","COUPE – À RESOUDER","À RÉPARER"))))))))))</f>
        <v/>
      </c>
      <c r="AL464" s="82" t="str">
        <f aca="false">IF(AND(ISNUMBER(P464),OR(AK464="À RADIOGRAPHIER",AK464="RÉPARÉ – À RADIOGRAPHIER",AK464="NX – RT À REFAIRE",AK464="À RÉPARER",AK464="COUPE – À RESOUDER",AK464="VT REJETÉ – À REPRENDRE")),MAX(0,'PROGRAMME RT'!$C$4-P464),"")</f>
        <v/>
      </c>
      <c r="AM464" s="78" t="n">
        <f aca="false">IF(AND(OR(AK464="À RADIOGRAPHIER",AK464="RÉPARÉ – À RADIOGRAPHIER",AK464="NX – RT À REFAIRE"),OR('PROGRAMME RT'!$D$5="TOUTES",B464='PROGRAMME RT'!$D$5)),1,0)</f>
        <v>0</v>
      </c>
      <c r="AN464" s="78" t="str">
        <f aca="false">IF(AM464=1,SUM(AM$7:AM464),"")</f>
        <v/>
      </c>
      <c r="AO464" s="78" t="n">
        <f aca="false">IF(AND(OR(AK464="À RÉPARER",AK464="COUPE – À RESOUDER",AK464="VT REJETÉ – À REPRENDRE"),OR(RÉPARATIONS!$D$5="TOUTES",B464=RÉPARATIONS!$D$5)),1,0)</f>
        <v>0</v>
      </c>
      <c r="AP464" s="78" t="str">
        <f aca="false">IF(AO464=1,SUM(AO$7:AO464),"")</f>
        <v/>
      </c>
    </row>
    <row r="465" customFormat="false" ht="15" hidden="false" customHeight="false" outlineLevel="0" collapsed="false">
      <c r="A465" s="78" t="str">
        <f aca="false">IF(E465="","",ROW()-6)</f>
        <v/>
      </c>
      <c r="B465" s="79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1"/>
      <c r="Q465" s="81"/>
      <c r="R465" s="80"/>
      <c r="S465" s="80"/>
      <c r="T465" s="81"/>
      <c r="U465" s="80"/>
      <c r="V465" s="80"/>
      <c r="W465" s="80"/>
      <c r="X465" s="80"/>
      <c r="Y465" s="81"/>
      <c r="Z465" s="80"/>
      <c r="AA465" s="80"/>
      <c r="AB465" s="80"/>
      <c r="AC465" s="80"/>
      <c r="AD465" s="81"/>
      <c r="AE465" s="80"/>
      <c r="AF465" s="80"/>
      <c r="AG465" s="81"/>
      <c r="AH465" s="79"/>
      <c r="AI465" s="78" t="str">
        <f aca="false">IF(E465="","",(V465&lt;&gt;"")+(AA465&lt;&gt;"")+(AF465&lt;&gt;""))</f>
        <v/>
      </c>
      <c r="AJ465" s="82" t="str">
        <f aca="false">IF(AF465&lt;&gt;"",AF465,IF(AA465&lt;&gt;"",AA465,IF(V465&lt;&gt;"",V465,"")))</f>
        <v/>
      </c>
      <c r="AK465" s="83" t="str">
        <f aca="false">IF(E465="","",IF(P465="","À SOUDER",IF(S465="","VT EN ATTENTE",IF(S465="R","VT REJETÉ – À REPRENDRE",IF(AJ465="","À RADIOGRAPHIER",IF(AJ465="A","ACCEPTÉ",IF(AJ465="NX","NX – RT À REFAIRE",IF(IF(AI465=1,X465,IF(AI465=2,AC465,""))="A","RÉPARÉ – À RADIOGRAPHIER",IF(IF(AI465=1,X465,IF(AI465=2,AC465,""))="R","VT REJETÉ – À REPRENDRE",IF(AJ465="CO","COUPE – À RESOUDER","À RÉPARER"))))))))))</f>
        <v/>
      </c>
      <c r="AL465" s="82" t="str">
        <f aca="false">IF(AND(ISNUMBER(P465),OR(AK465="À RADIOGRAPHIER",AK465="RÉPARÉ – À RADIOGRAPHIER",AK465="NX – RT À REFAIRE",AK465="À RÉPARER",AK465="COUPE – À RESOUDER",AK465="VT REJETÉ – À REPRENDRE")),MAX(0,'PROGRAMME RT'!$C$4-P465),"")</f>
        <v/>
      </c>
      <c r="AM465" s="78" t="n">
        <f aca="false">IF(AND(OR(AK465="À RADIOGRAPHIER",AK465="RÉPARÉ – À RADIOGRAPHIER",AK465="NX – RT À REFAIRE"),OR('PROGRAMME RT'!$D$5="TOUTES",B465='PROGRAMME RT'!$D$5)),1,0)</f>
        <v>0</v>
      </c>
      <c r="AN465" s="78" t="str">
        <f aca="false">IF(AM465=1,SUM(AM$7:AM465),"")</f>
        <v/>
      </c>
      <c r="AO465" s="78" t="n">
        <f aca="false">IF(AND(OR(AK465="À RÉPARER",AK465="COUPE – À RESOUDER",AK465="VT REJETÉ – À REPRENDRE"),OR(RÉPARATIONS!$D$5="TOUTES",B465=RÉPARATIONS!$D$5)),1,0)</f>
        <v>0</v>
      </c>
      <c r="AP465" s="78" t="str">
        <f aca="false">IF(AO465=1,SUM(AO$7:AO465),"")</f>
        <v/>
      </c>
    </row>
    <row r="466" customFormat="false" ht="15" hidden="false" customHeight="false" outlineLevel="0" collapsed="false">
      <c r="A466" s="78" t="str">
        <f aca="false">IF(E466="","",ROW()-6)</f>
        <v/>
      </c>
      <c r="B466" s="79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1"/>
      <c r="Q466" s="81"/>
      <c r="R466" s="80"/>
      <c r="S466" s="80"/>
      <c r="T466" s="81"/>
      <c r="U466" s="80"/>
      <c r="V466" s="80"/>
      <c r="W466" s="80"/>
      <c r="X466" s="80"/>
      <c r="Y466" s="81"/>
      <c r="Z466" s="80"/>
      <c r="AA466" s="80"/>
      <c r="AB466" s="80"/>
      <c r="AC466" s="80"/>
      <c r="AD466" s="81"/>
      <c r="AE466" s="80"/>
      <c r="AF466" s="80"/>
      <c r="AG466" s="81"/>
      <c r="AH466" s="79"/>
      <c r="AI466" s="78" t="str">
        <f aca="false">IF(E466="","",(V466&lt;&gt;"")+(AA466&lt;&gt;"")+(AF466&lt;&gt;""))</f>
        <v/>
      </c>
      <c r="AJ466" s="82" t="str">
        <f aca="false">IF(AF466&lt;&gt;"",AF466,IF(AA466&lt;&gt;"",AA466,IF(V466&lt;&gt;"",V466,"")))</f>
        <v/>
      </c>
      <c r="AK466" s="83" t="str">
        <f aca="false">IF(E466="","",IF(P466="","À SOUDER",IF(S466="","VT EN ATTENTE",IF(S466="R","VT REJETÉ – À REPRENDRE",IF(AJ466="","À RADIOGRAPHIER",IF(AJ466="A","ACCEPTÉ",IF(AJ466="NX","NX – RT À REFAIRE",IF(IF(AI466=1,X466,IF(AI466=2,AC466,""))="A","RÉPARÉ – À RADIOGRAPHIER",IF(IF(AI466=1,X466,IF(AI466=2,AC466,""))="R","VT REJETÉ – À REPRENDRE",IF(AJ466="CO","COUPE – À RESOUDER","À RÉPARER"))))))))))</f>
        <v/>
      </c>
      <c r="AL466" s="82" t="str">
        <f aca="false">IF(AND(ISNUMBER(P466),OR(AK466="À RADIOGRAPHIER",AK466="RÉPARÉ – À RADIOGRAPHIER",AK466="NX – RT À REFAIRE",AK466="À RÉPARER",AK466="COUPE – À RESOUDER",AK466="VT REJETÉ – À REPRENDRE")),MAX(0,'PROGRAMME RT'!$C$4-P466),"")</f>
        <v/>
      </c>
      <c r="AM466" s="78" t="n">
        <f aca="false">IF(AND(OR(AK466="À RADIOGRAPHIER",AK466="RÉPARÉ – À RADIOGRAPHIER",AK466="NX – RT À REFAIRE"),OR('PROGRAMME RT'!$D$5="TOUTES",B466='PROGRAMME RT'!$D$5)),1,0)</f>
        <v>0</v>
      </c>
      <c r="AN466" s="78" t="str">
        <f aca="false">IF(AM466=1,SUM(AM$7:AM466),"")</f>
        <v/>
      </c>
      <c r="AO466" s="78" t="n">
        <f aca="false">IF(AND(OR(AK466="À RÉPARER",AK466="COUPE – À RESOUDER",AK466="VT REJETÉ – À REPRENDRE"),OR(RÉPARATIONS!$D$5="TOUTES",B466=RÉPARATIONS!$D$5)),1,0)</f>
        <v>0</v>
      </c>
      <c r="AP466" s="78" t="str">
        <f aca="false">IF(AO466=1,SUM(AO$7:AO466),"")</f>
        <v/>
      </c>
    </row>
    <row r="467" customFormat="false" ht="15" hidden="false" customHeight="false" outlineLevel="0" collapsed="false">
      <c r="A467" s="78" t="str">
        <f aca="false">IF(E467="","",ROW()-6)</f>
        <v/>
      </c>
      <c r="B467" s="79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1"/>
      <c r="Q467" s="81"/>
      <c r="R467" s="80"/>
      <c r="S467" s="80"/>
      <c r="T467" s="81"/>
      <c r="U467" s="80"/>
      <c r="V467" s="80"/>
      <c r="W467" s="80"/>
      <c r="X467" s="80"/>
      <c r="Y467" s="81"/>
      <c r="Z467" s="80"/>
      <c r="AA467" s="80"/>
      <c r="AB467" s="80"/>
      <c r="AC467" s="80"/>
      <c r="AD467" s="81"/>
      <c r="AE467" s="80"/>
      <c r="AF467" s="80"/>
      <c r="AG467" s="81"/>
      <c r="AH467" s="79"/>
      <c r="AI467" s="78" t="str">
        <f aca="false">IF(E467="","",(V467&lt;&gt;"")+(AA467&lt;&gt;"")+(AF467&lt;&gt;""))</f>
        <v/>
      </c>
      <c r="AJ467" s="82" t="str">
        <f aca="false">IF(AF467&lt;&gt;"",AF467,IF(AA467&lt;&gt;"",AA467,IF(V467&lt;&gt;"",V467,"")))</f>
        <v/>
      </c>
      <c r="AK467" s="83" t="str">
        <f aca="false">IF(E467="","",IF(P467="","À SOUDER",IF(S467="","VT EN ATTENTE",IF(S467="R","VT REJETÉ – À REPRENDRE",IF(AJ467="","À RADIOGRAPHIER",IF(AJ467="A","ACCEPTÉ",IF(AJ467="NX","NX – RT À REFAIRE",IF(IF(AI467=1,X467,IF(AI467=2,AC467,""))="A","RÉPARÉ – À RADIOGRAPHIER",IF(IF(AI467=1,X467,IF(AI467=2,AC467,""))="R","VT REJETÉ – À REPRENDRE",IF(AJ467="CO","COUPE – À RESOUDER","À RÉPARER"))))))))))</f>
        <v/>
      </c>
      <c r="AL467" s="82" t="str">
        <f aca="false">IF(AND(ISNUMBER(P467),OR(AK467="À RADIOGRAPHIER",AK467="RÉPARÉ – À RADIOGRAPHIER",AK467="NX – RT À REFAIRE",AK467="À RÉPARER",AK467="COUPE – À RESOUDER",AK467="VT REJETÉ – À REPRENDRE")),MAX(0,'PROGRAMME RT'!$C$4-P467),"")</f>
        <v/>
      </c>
      <c r="AM467" s="78" t="n">
        <f aca="false">IF(AND(OR(AK467="À RADIOGRAPHIER",AK467="RÉPARÉ – À RADIOGRAPHIER",AK467="NX – RT À REFAIRE"),OR('PROGRAMME RT'!$D$5="TOUTES",B467='PROGRAMME RT'!$D$5)),1,0)</f>
        <v>0</v>
      </c>
      <c r="AN467" s="78" t="str">
        <f aca="false">IF(AM467=1,SUM(AM$7:AM467),"")</f>
        <v/>
      </c>
      <c r="AO467" s="78" t="n">
        <f aca="false">IF(AND(OR(AK467="À RÉPARER",AK467="COUPE – À RESOUDER",AK467="VT REJETÉ – À REPRENDRE"),OR(RÉPARATIONS!$D$5="TOUTES",B467=RÉPARATIONS!$D$5)),1,0)</f>
        <v>0</v>
      </c>
      <c r="AP467" s="78" t="str">
        <f aca="false">IF(AO467=1,SUM(AO$7:AO467),"")</f>
        <v/>
      </c>
    </row>
    <row r="468" customFormat="false" ht="15" hidden="false" customHeight="false" outlineLevel="0" collapsed="false">
      <c r="A468" s="78" t="str">
        <f aca="false">IF(E468="","",ROW()-6)</f>
        <v/>
      </c>
      <c r="B468" s="79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1"/>
      <c r="Q468" s="81"/>
      <c r="R468" s="80"/>
      <c r="S468" s="80"/>
      <c r="T468" s="81"/>
      <c r="U468" s="80"/>
      <c r="V468" s="80"/>
      <c r="W468" s="80"/>
      <c r="X468" s="80"/>
      <c r="Y468" s="81"/>
      <c r="Z468" s="80"/>
      <c r="AA468" s="80"/>
      <c r="AB468" s="80"/>
      <c r="AC468" s="80"/>
      <c r="AD468" s="81"/>
      <c r="AE468" s="80"/>
      <c r="AF468" s="80"/>
      <c r="AG468" s="81"/>
      <c r="AH468" s="79"/>
      <c r="AI468" s="78" t="str">
        <f aca="false">IF(E468="","",(V468&lt;&gt;"")+(AA468&lt;&gt;"")+(AF468&lt;&gt;""))</f>
        <v/>
      </c>
      <c r="AJ468" s="82" t="str">
        <f aca="false">IF(AF468&lt;&gt;"",AF468,IF(AA468&lt;&gt;"",AA468,IF(V468&lt;&gt;"",V468,"")))</f>
        <v/>
      </c>
      <c r="AK468" s="83" t="str">
        <f aca="false">IF(E468="","",IF(P468="","À SOUDER",IF(S468="","VT EN ATTENTE",IF(S468="R","VT REJETÉ – À REPRENDRE",IF(AJ468="","À RADIOGRAPHIER",IF(AJ468="A","ACCEPTÉ",IF(AJ468="NX","NX – RT À REFAIRE",IF(IF(AI468=1,X468,IF(AI468=2,AC468,""))="A","RÉPARÉ – À RADIOGRAPHIER",IF(IF(AI468=1,X468,IF(AI468=2,AC468,""))="R","VT REJETÉ – À REPRENDRE",IF(AJ468="CO","COUPE – À RESOUDER","À RÉPARER"))))))))))</f>
        <v/>
      </c>
      <c r="AL468" s="82" t="str">
        <f aca="false">IF(AND(ISNUMBER(P468),OR(AK468="À RADIOGRAPHIER",AK468="RÉPARÉ – À RADIOGRAPHIER",AK468="NX – RT À REFAIRE",AK468="À RÉPARER",AK468="COUPE – À RESOUDER",AK468="VT REJETÉ – À REPRENDRE")),MAX(0,'PROGRAMME RT'!$C$4-P468),"")</f>
        <v/>
      </c>
      <c r="AM468" s="78" t="n">
        <f aca="false">IF(AND(OR(AK468="À RADIOGRAPHIER",AK468="RÉPARÉ – À RADIOGRAPHIER",AK468="NX – RT À REFAIRE"),OR('PROGRAMME RT'!$D$5="TOUTES",B468='PROGRAMME RT'!$D$5)),1,0)</f>
        <v>0</v>
      </c>
      <c r="AN468" s="78" t="str">
        <f aca="false">IF(AM468=1,SUM(AM$7:AM468),"")</f>
        <v/>
      </c>
      <c r="AO468" s="78" t="n">
        <f aca="false">IF(AND(OR(AK468="À RÉPARER",AK468="COUPE – À RESOUDER",AK468="VT REJETÉ – À REPRENDRE"),OR(RÉPARATIONS!$D$5="TOUTES",B468=RÉPARATIONS!$D$5)),1,0)</f>
        <v>0</v>
      </c>
      <c r="AP468" s="78" t="str">
        <f aca="false">IF(AO468=1,SUM(AO$7:AO468),"")</f>
        <v/>
      </c>
    </row>
    <row r="469" customFormat="false" ht="15" hidden="false" customHeight="false" outlineLevel="0" collapsed="false">
      <c r="A469" s="78" t="str">
        <f aca="false">IF(E469="","",ROW()-6)</f>
        <v/>
      </c>
      <c r="B469" s="79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1"/>
      <c r="Q469" s="81"/>
      <c r="R469" s="80"/>
      <c r="S469" s="80"/>
      <c r="T469" s="81"/>
      <c r="U469" s="80"/>
      <c r="V469" s="80"/>
      <c r="W469" s="80"/>
      <c r="X469" s="80"/>
      <c r="Y469" s="81"/>
      <c r="Z469" s="80"/>
      <c r="AA469" s="80"/>
      <c r="AB469" s="80"/>
      <c r="AC469" s="80"/>
      <c r="AD469" s="81"/>
      <c r="AE469" s="80"/>
      <c r="AF469" s="80"/>
      <c r="AG469" s="81"/>
      <c r="AH469" s="79"/>
      <c r="AI469" s="78" t="str">
        <f aca="false">IF(E469="","",(V469&lt;&gt;"")+(AA469&lt;&gt;"")+(AF469&lt;&gt;""))</f>
        <v/>
      </c>
      <c r="AJ469" s="82" t="str">
        <f aca="false">IF(AF469&lt;&gt;"",AF469,IF(AA469&lt;&gt;"",AA469,IF(V469&lt;&gt;"",V469,"")))</f>
        <v/>
      </c>
      <c r="AK469" s="83" t="str">
        <f aca="false">IF(E469="","",IF(P469="","À SOUDER",IF(S469="","VT EN ATTENTE",IF(S469="R","VT REJETÉ – À REPRENDRE",IF(AJ469="","À RADIOGRAPHIER",IF(AJ469="A","ACCEPTÉ",IF(AJ469="NX","NX – RT À REFAIRE",IF(IF(AI469=1,X469,IF(AI469=2,AC469,""))="A","RÉPARÉ – À RADIOGRAPHIER",IF(IF(AI469=1,X469,IF(AI469=2,AC469,""))="R","VT REJETÉ – À REPRENDRE",IF(AJ469="CO","COUPE – À RESOUDER","À RÉPARER"))))))))))</f>
        <v/>
      </c>
      <c r="AL469" s="82" t="str">
        <f aca="false">IF(AND(ISNUMBER(P469),OR(AK469="À RADIOGRAPHIER",AK469="RÉPARÉ – À RADIOGRAPHIER",AK469="NX – RT À REFAIRE",AK469="À RÉPARER",AK469="COUPE – À RESOUDER",AK469="VT REJETÉ – À REPRENDRE")),MAX(0,'PROGRAMME RT'!$C$4-P469),"")</f>
        <v/>
      </c>
      <c r="AM469" s="78" t="n">
        <f aca="false">IF(AND(OR(AK469="À RADIOGRAPHIER",AK469="RÉPARÉ – À RADIOGRAPHIER",AK469="NX – RT À REFAIRE"),OR('PROGRAMME RT'!$D$5="TOUTES",B469='PROGRAMME RT'!$D$5)),1,0)</f>
        <v>0</v>
      </c>
      <c r="AN469" s="78" t="str">
        <f aca="false">IF(AM469=1,SUM(AM$7:AM469),"")</f>
        <v/>
      </c>
      <c r="AO469" s="78" t="n">
        <f aca="false">IF(AND(OR(AK469="À RÉPARER",AK469="COUPE – À RESOUDER",AK469="VT REJETÉ – À REPRENDRE"),OR(RÉPARATIONS!$D$5="TOUTES",B469=RÉPARATIONS!$D$5)),1,0)</f>
        <v>0</v>
      </c>
      <c r="AP469" s="78" t="str">
        <f aca="false">IF(AO469=1,SUM(AO$7:AO469),"")</f>
        <v/>
      </c>
    </row>
    <row r="470" customFormat="false" ht="15" hidden="false" customHeight="false" outlineLevel="0" collapsed="false">
      <c r="A470" s="78" t="str">
        <f aca="false">IF(E470="","",ROW()-6)</f>
        <v/>
      </c>
      <c r="B470" s="79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1"/>
      <c r="Q470" s="81"/>
      <c r="R470" s="80"/>
      <c r="S470" s="80"/>
      <c r="T470" s="81"/>
      <c r="U470" s="80"/>
      <c r="V470" s="80"/>
      <c r="W470" s="80"/>
      <c r="X470" s="80"/>
      <c r="Y470" s="81"/>
      <c r="Z470" s="80"/>
      <c r="AA470" s="80"/>
      <c r="AB470" s="80"/>
      <c r="AC470" s="80"/>
      <c r="AD470" s="81"/>
      <c r="AE470" s="80"/>
      <c r="AF470" s="80"/>
      <c r="AG470" s="81"/>
      <c r="AH470" s="79"/>
      <c r="AI470" s="78" t="str">
        <f aca="false">IF(E470="","",(V470&lt;&gt;"")+(AA470&lt;&gt;"")+(AF470&lt;&gt;""))</f>
        <v/>
      </c>
      <c r="AJ470" s="82" t="str">
        <f aca="false">IF(AF470&lt;&gt;"",AF470,IF(AA470&lt;&gt;"",AA470,IF(V470&lt;&gt;"",V470,"")))</f>
        <v/>
      </c>
      <c r="AK470" s="83" t="str">
        <f aca="false">IF(E470="","",IF(P470="","À SOUDER",IF(S470="","VT EN ATTENTE",IF(S470="R","VT REJETÉ – À REPRENDRE",IF(AJ470="","À RADIOGRAPHIER",IF(AJ470="A","ACCEPTÉ",IF(AJ470="NX","NX – RT À REFAIRE",IF(IF(AI470=1,X470,IF(AI470=2,AC470,""))="A","RÉPARÉ – À RADIOGRAPHIER",IF(IF(AI470=1,X470,IF(AI470=2,AC470,""))="R","VT REJETÉ – À REPRENDRE",IF(AJ470="CO","COUPE – À RESOUDER","À RÉPARER"))))))))))</f>
        <v/>
      </c>
      <c r="AL470" s="82" t="str">
        <f aca="false">IF(AND(ISNUMBER(P470),OR(AK470="À RADIOGRAPHIER",AK470="RÉPARÉ – À RADIOGRAPHIER",AK470="NX – RT À REFAIRE",AK470="À RÉPARER",AK470="COUPE – À RESOUDER",AK470="VT REJETÉ – À REPRENDRE")),MAX(0,'PROGRAMME RT'!$C$4-P470),"")</f>
        <v/>
      </c>
      <c r="AM470" s="78" t="n">
        <f aca="false">IF(AND(OR(AK470="À RADIOGRAPHIER",AK470="RÉPARÉ – À RADIOGRAPHIER",AK470="NX – RT À REFAIRE"),OR('PROGRAMME RT'!$D$5="TOUTES",B470='PROGRAMME RT'!$D$5)),1,0)</f>
        <v>0</v>
      </c>
      <c r="AN470" s="78" t="str">
        <f aca="false">IF(AM470=1,SUM(AM$7:AM470),"")</f>
        <v/>
      </c>
      <c r="AO470" s="78" t="n">
        <f aca="false">IF(AND(OR(AK470="À RÉPARER",AK470="COUPE – À RESOUDER",AK470="VT REJETÉ – À REPRENDRE"),OR(RÉPARATIONS!$D$5="TOUTES",B470=RÉPARATIONS!$D$5)),1,0)</f>
        <v>0</v>
      </c>
      <c r="AP470" s="78" t="str">
        <f aca="false">IF(AO470=1,SUM(AO$7:AO470),"")</f>
        <v/>
      </c>
    </row>
    <row r="471" customFormat="false" ht="15" hidden="false" customHeight="false" outlineLevel="0" collapsed="false">
      <c r="A471" s="78" t="str">
        <f aca="false">IF(E471="","",ROW()-6)</f>
        <v/>
      </c>
      <c r="B471" s="79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1"/>
      <c r="Q471" s="81"/>
      <c r="R471" s="80"/>
      <c r="S471" s="80"/>
      <c r="T471" s="81"/>
      <c r="U471" s="80"/>
      <c r="V471" s="80"/>
      <c r="W471" s="80"/>
      <c r="X471" s="80"/>
      <c r="Y471" s="81"/>
      <c r="Z471" s="80"/>
      <c r="AA471" s="80"/>
      <c r="AB471" s="80"/>
      <c r="AC471" s="80"/>
      <c r="AD471" s="81"/>
      <c r="AE471" s="80"/>
      <c r="AF471" s="80"/>
      <c r="AG471" s="81"/>
      <c r="AH471" s="79"/>
      <c r="AI471" s="78" t="str">
        <f aca="false">IF(E471="","",(V471&lt;&gt;"")+(AA471&lt;&gt;"")+(AF471&lt;&gt;""))</f>
        <v/>
      </c>
      <c r="AJ471" s="82" t="str">
        <f aca="false">IF(AF471&lt;&gt;"",AF471,IF(AA471&lt;&gt;"",AA471,IF(V471&lt;&gt;"",V471,"")))</f>
        <v/>
      </c>
      <c r="AK471" s="83" t="str">
        <f aca="false">IF(E471="","",IF(P471="","À SOUDER",IF(S471="","VT EN ATTENTE",IF(S471="R","VT REJETÉ – À REPRENDRE",IF(AJ471="","À RADIOGRAPHIER",IF(AJ471="A","ACCEPTÉ",IF(AJ471="NX","NX – RT À REFAIRE",IF(IF(AI471=1,X471,IF(AI471=2,AC471,""))="A","RÉPARÉ – À RADIOGRAPHIER",IF(IF(AI471=1,X471,IF(AI471=2,AC471,""))="R","VT REJETÉ – À REPRENDRE",IF(AJ471="CO","COUPE – À RESOUDER","À RÉPARER"))))))))))</f>
        <v/>
      </c>
      <c r="AL471" s="82" t="str">
        <f aca="false">IF(AND(ISNUMBER(P471),OR(AK471="À RADIOGRAPHIER",AK471="RÉPARÉ – À RADIOGRAPHIER",AK471="NX – RT À REFAIRE",AK471="À RÉPARER",AK471="COUPE – À RESOUDER",AK471="VT REJETÉ – À REPRENDRE")),MAX(0,'PROGRAMME RT'!$C$4-P471),"")</f>
        <v/>
      </c>
      <c r="AM471" s="78" t="n">
        <f aca="false">IF(AND(OR(AK471="À RADIOGRAPHIER",AK471="RÉPARÉ – À RADIOGRAPHIER",AK471="NX – RT À REFAIRE"),OR('PROGRAMME RT'!$D$5="TOUTES",B471='PROGRAMME RT'!$D$5)),1,0)</f>
        <v>0</v>
      </c>
      <c r="AN471" s="78" t="str">
        <f aca="false">IF(AM471=1,SUM(AM$7:AM471),"")</f>
        <v/>
      </c>
      <c r="AO471" s="78" t="n">
        <f aca="false">IF(AND(OR(AK471="À RÉPARER",AK471="COUPE – À RESOUDER",AK471="VT REJETÉ – À REPRENDRE"),OR(RÉPARATIONS!$D$5="TOUTES",B471=RÉPARATIONS!$D$5)),1,0)</f>
        <v>0</v>
      </c>
      <c r="AP471" s="78" t="str">
        <f aca="false">IF(AO471=1,SUM(AO$7:AO471),"")</f>
        <v/>
      </c>
    </row>
    <row r="472" customFormat="false" ht="15" hidden="false" customHeight="false" outlineLevel="0" collapsed="false">
      <c r="A472" s="78" t="str">
        <f aca="false">IF(E472="","",ROW()-6)</f>
        <v/>
      </c>
      <c r="B472" s="79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1"/>
      <c r="Q472" s="81"/>
      <c r="R472" s="80"/>
      <c r="S472" s="80"/>
      <c r="T472" s="81"/>
      <c r="U472" s="80"/>
      <c r="V472" s="80"/>
      <c r="W472" s="80"/>
      <c r="X472" s="80"/>
      <c r="Y472" s="81"/>
      <c r="Z472" s="80"/>
      <c r="AA472" s="80"/>
      <c r="AB472" s="80"/>
      <c r="AC472" s="80"/>
      <c r="AD472" s="81"/>
      <c r="AE472" s="80"/>
      <c r="AF472" s="80"/>
      <c r="AG472" s="81"/>
      <c r="AH472" s="79"/>
      <c r="AI472" s="78" t="str">
        <f aca="false">IF(E472="","",(V472&lt;&gt;"")+(AA472&lt;&gt;"")+(AF472&lt;&gt;""))</f>
        <v/>
      </c>
      <c r="AJ472" s="82" t="str">
        <f aca="false">IF(AF472&lt;&gt;"",AF472,IF(AA472&lt;&gt;"",AA472,IF(V472&lt;&gt;"",V472,"")))</f>
        <v/>
      </c>
      <c r="AK472" s="83" t="str">
        <f aca="false">IF(E472="","",IF(P472="","À SOUDER",IF(S472="","VT EN ATTENTE",IF(S472="R","VT REJETÉ – À REPRENDRE",IF(AJ472="","À RADIOGRAPHIER",IF(AJ472="A","ACCEPTÉ",IF(AJ472="NX","NX – RT À REFAIRE",IF(IF(AI472=1,X472,IF(AI472=2,AC472,""))="A","RÉPARÉ – À RADIOGRAPHIER",IF(IF(AI472=1,X472,IF(AI472=2,AC472,""))="R","VT REJETÉ – À REPRENDRE",IF(AJ472="CO","COUPE – À RESOUDER","À RÉPARER"))))))))))</f>
        <v/>
      </c>
      <c r="AL472" s="82" t="str">
        <f aca="false">IF(AND(ISNUMBER(P472),OR(AK472="À RADIOGRAPHIER",AK472="RÉPARÉ – À RADIOGRAPHIER",AK472="NX – RT À REFAIRE",AK472="À RÉPARER",AK472="COUPE – À RESOUDER",AK472="VT REJETÉ – À REPRENDRE")),MAX(0,'PROGRAMME RT'!$C$4-P472),"")</f>
        <v/>
      </c>
      <c r="AM472" s="78" t="n">
        <f aca="false">IF(AND(OR(AK472="À RADIOGRAPHIER",AK472="RÉPARÉ – À RADIOGRAPHIER",AK472="NX – RT À REFAIRE"),OR('PROGRAMME RT'!$D$5="TOUTES",B472='PROGRAMME RT'!$D$5)),1,0)</f>
        <v>0</v>
      </c>
      <c r="AN472" s="78" t="str">
        <f aca="false">IF(AM472=1,SUM(AM$7:AM472),"")</f>
        <v/>
      </c>
      <c r="AO472" s="78" t="n">
        <f aca="false">IF(AND(OR(AK472="À RÉPARER",AK472="COUPE – À RESOUDER",AK472="VT REJETÉ – À REPRENDRE"),OR(RÉPARATIONS!$D$5="TOUTES",B472=RÉPARATIONS!$D$5)),1,0)</f>
        <v>0</v>
      </c>
      <c r="AP472" s="78" t="str">
        <f aca="false">IF(AO472=1,SUM(AO$7:AO472),"")</f>
        <v/>
      </c>
    </row>
    <row r="473" customFormat="false" ht="15" hidden="false" customHeight="false" outlineLevel="0" collapsed="false">
      <c r="A473" s="78" t="str">
        <f aca="false">IF(E473="","",ROW()-6)</f>
        <v/>
      </c>
      <c r="B473" s="79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1"/>
      <c r="Q473" s="81"/>
      <c r="R473" s="80"/>
      <c r="S473" s="80"/>
      <c r="T473" s="81"/>
      <c r="U473" s="80"/>
      <c r="V473" s="80"/>
      <c r="W473" s="80"/>
      <c r="X473" s="80"/>
      <c r="Y473" s="81"/>
      <c r="Z473" s="80"/>
      <c r="AA473" s="80"/>
      <c r="AB473" s="80"/>
      <c r="AC473" s="80"/>
      <c r="AD473" s="81"/>
      <c r="AE473" s="80"/>
      <c r="AF473" s="80"/>
      <c r="AG473" s="81"/>
      <c r="AH473" s="79"/>
      <c r="AI473" s="78" t="str">
        <f aca="false">IF(E473="","",(V473&lt;&gt;"")+(AA473&lt;&gt;"")+(AF473&lt;&gt;""))</f>
        <v/>
      </c>
      <c r="AJ473" s="82" t="str">
        <f aca="false">IF(AF473&lt;&gt;"",AF473,IF(AA473&lt;&gt;"",AA473,IF(V473&lt;&gt;"",V473,"")))</f>
        <v/>
      </c>
      <c r="AK473" s="83" t="str">
        <f aca="false">IF(E473="","",IF(P473="","À SOUDER",IF(S473="","VT EN ATTENTE",IF(S473="R","VT REJETÉ – À REPRENDRE",IF(AJ473="","À RADIOGRAPHIER",IF(AJ473="A","ACCEPTÉ",IF(AJ473="NX","NX – RT À REFAIRE",IF(IF(AI473=1,X473,IF(AI473=2,AC473,""))="A","RÉPARÉ – À RADIOGRAPHIER",IF(IF(AI473=1,X473,IF(AI473=2,AC473,""))="R","VT REJETÉ – À REPRENDRE",IF(AJ473="CO","COUPE – À RESOUDER","À RÉPARER"))))))))))</f>
        <v/>
      </c>
      <c r="AL473" s="82" t="str">
        <f aca="false">IF(AND(ISNUMBER(P473),OR(AK473="À RADIOGRAPHIER",AK473="RÉPARÉ – À RADIOGRAPHIER",AK473="NX – RT À REFAIRE",AK473="À RÉPARER",AK473="COUPE – À RESOUDER",AK473="VT REJETÉ – À REPRENDRE")),MAX(0,'PROGRAMME RT'!$C$4-P473),"")</f>
        <v/>
      </c>
      <c r="AM473" s="78" t="n">
        <f aca="false">IF(AND(OR(AK473="À RADIOGRAPHIER",AK473="RÉPARÉ – À RADIOGRAPHIER",AK473="NX – RT À REFAIRE"),OR('PROGRAMME RT'!$D$5="TOUTES",B473='PROGRAMME RT'!$D$5)),1,0)</f>
        <v>0</v>
      </c>
      <c r="AN473" s="78" t="str">
        <f aca="false">IF(AM473=1,SUM(AM$7:AM473),"")</f>
        <v/>
      </c>
      <c r="AO473" s="78" t="n">
        <f aca="false">IF(AND(OR(AK473="À RÉPARER",AK473="COUPE – À RESOUDER",AK473="VT REJETÉ – À REPRENDRE"),OR(RÉPARATIONS!$D$5="TOUTES",B473=RÉPARATIONS!$D$5)),1,0)</f>
        <v>0</v>
      </c>
      <c r="AP473" s="78" t="str">
        <f aca="false">IF(AO473=1,SUM(AO$7:AO473),"")</f>
        <v/>
      </c>
    </row>
    <row r="474" customFormat="false" ht="15" hidden="false" customHeight="false" outlineLevel="0" collapsed="false">
      <c r="A474" s="78" t="str">
        <f aca="false">IF(E474="","",ROW()-6)</f>
        <v/>
      </c>
      <c r="B474" s="79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1"/>
      <c r="Q474" s="81"/>
      <c r="R474" s="80"/>
      <c r="S474" s="80"/>
      <c r="T474" s="81"/>
      <c r="U474" s="80"/>
      <c r="V474" s="80"/>
      <c r="W474" s="80"/>
      <c r="X474" s="80"/>
      <c r="Y474" s="81"/>
      <c r="Z474" s="80"/>
      <c r="AA474" s="80"/>
      <c r="AB474" s="80"/>
      <c r="AC474" s="80"/>
      <c r="AD474" s="81"/>
      <c r="AE474" s="80"/>
      <c r="AF474" s="80"/>
      <c r="AG474" s="81"/>
      <c r="AH474" s="79"/>
      <c r="AI474" s="78" t="str">
        <f aca="false">IF(E474="","",(V474&lt;&gt;"")+(AA474&lt;&gt;"")+(AF474&lt;&gt;""))</f>
        <v/>
      </c>
      <c r="AJ474" s="82" t="str">
        <f aca="false">IF(AF474&lt;&gt;"",AF474,IF(AA474&lt;&gt;"",AA474,IF(V474&lt;&gt;"",V474,"")))</f>
        <v/>
      </c>
      <c r="AK474" s="83" t="str">
        <f aca="false">IF(E474="","",IF(P474="","À SOUDER",IF(S474="","VT EN ATTENTE",IF(S474="R","VT REJETÉ – À REPRENDRE",IF(AJ474="","À RADIOGRAPHIER",IF(AJ474="A","ACCEPTÉ",IF(AJ474="NX","NX – RT À REFAIRE",IF(IF(AI474=1,X474,IF(AI474=2,AC474,""))="A","RÉPARÉ – À RADIOGRAPHIER",IF(IF(AI474=1,X474,IF(AI474=2,AC474,""))="R","VT REJETÉ – À REPRENDRE",IF(AJ474="CO","COUPE – À RESOUDER","À RÉPARER"))))))))))</f>
        <v/>
      </c>
      <c r="AL474" s="82" t="str">
        <f aca="false">IF(AND(ISNUMBER(P474),OR(AK474="À RADIOGRAPHIER",AK474="RÉPARÉ – À RADIOGRAPHIER",AK474="NX – RT À REFAIRE",AK474="À RÉPARER",AK474="COUPE – À RESOUDER",AK474="VT REJETÉ – À REPRENDRE")),MAX(0,'PROGRAMME RT'!$C$4-P474),"")</f>
        <v/>
      </c>
      <c r="AM474" s="78" t="n">
        <f aca="false">IF(AND(OR(AK474="À RADIOGRAPHIER",AK474="RÉPARÉ – À RADIOGRAPHIER",AK474="NX – RT À REFAIRE"),OR('PROGRAMME RT'!$D$5="TOUTES",B474='PROGRAMME RT'!$D$5)),1,0)</f>
        <v>0</v>
      </c>
      <c r="AN474" s="78" t="str">
        <f aca="false">IF(AM474=1,SUM(AM$7:AM474),"")</f>
        <v/>
      </c>
      <c r="AO474" s="78" t="n">
        <f aca="false">IF(AND(OR(AK474="À RÉPARER",AK474="COUPE – À RESOUDER",AK474="VT REJETÉ – À REPRENDRE"),OR(RÉPARATIONS!$D$5="TOUTES",B474=RÉPARATIONS!$D$5)),1,0)</f>
        <v>0</v>
      </c>
      <c r="AP474" s="78" t="str">
        <f aca="false">IF(AO474=1,SUM(AO$7:AO474),"")</f>
        <v/>
      </c>
    </row>
    <row r="475" customFormat="false" ht="15" hidden="false" customHeight="false" outlineLevel="0" collapsed="false">
      <c r="A475" s="78" t="str">
        <f aca="false">IF(E475="","",ROW()-6)</f>
        <v/>
      </c>
      <c r="B475" s="79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1"/>
      <c r="Q475" s="81"/>
      <c r="R475" s="80"/>
      <c r="S475" s="80"/>
      <c r="T475" s="81"/>
      <c r="U475" s="80"/>
      <c r="V475" s="80"/>
      <c r="W475" s="80"/>
      <c r="X475" s="80"/>
      <c r="Y475" s="81"/>
      <c r="Z475" s="80"/>
      <c r="AA475" s="80"/>
      <c r="AB475" s="80"/>
      <c r="AC475" s="80"/>
      <c r="AD475" s="81"/>
      <c r="AE475" s="80"/>
      <c r="AF475" s="80"/>
      <c r="AG475" s="81"/>
      <c r="AH475" s="79"/>
      <c r="AI475" s="78" t="str">
        <f aca="false">IF(E475="","",(V475&lt;&gt;"")+(AA475&lt;&gt;"")+(AF475&lt;&gt;""))</f>
        <v/>
      </c>
      <c r="AJ475" s="82" t="str">
        <f aca="false">IF(AF475&lt;&gt;"",AF475,IF(AA475&lt;&gt;"",AA475,IF(V475&lt;&gt;"",V475,"")))</f>
        <v/>
      </c>
      <c r="AK475" s="83" t="str">
        <f aca="false">IF(E475="","",IF(P475="","À SOUDER",IF(S475="","VT EN ATTENTE",IF(S475="R","VT REJETÉ – À REPRENDRE",IF(AJ475="","À RADIOGRAPHIER",IF(AJ475="A","ACCEPTÉ",IF(AJ475="NX","NX – RT À REFAIRE",IF(IF(AI475=1,X475,IF(AI475=2,AC475,""))="A","RÉPARÉ – À RADIOGRAPHIER",IF(IF(AI475=1,X475,IF(AI475=2,AC475,""))="R","VT REJETÉ – À REPRENDRE",IF(AJ475="CO","COUPE – À RESOUDER","À RÉPARER"))))))))))</f>
        <v/>
      </c>
      <c r="AL475" s="82" t="str">
        <f aca="false">IF(AND(ISNUMBER(P475),OR(AK475="À RADIOGRAPHIER",AK475="RÉPARÉ – À RADIOGRAPHIER",AK475="NX – RT À REFAIRE",AK475="À RÉPARER",AK475="COUPE – À RESOUDER",AK475="VT REJETÉ – À REPRENDRE")),MAX(0,'PROGRAMME RT'!$C$4-P475),"")</f>
        <v/>
      </c>
      <c r="AM475" s="78" t="n">
        <f aca="false">IF(AND(OR(AK475="À RADIOGRAPHIER",AK475="RÉPARÉ – À RADIOGRAPHIER",AK475="NX – RT À REFAIRE"),OR('PROGRAMME RT'!$D$5="TOUTES",B475='PROGRAMME RT'!$D$5)),1,0)</f>
        <v>0</v>
      </c>
      <c r="AN475" s="78" t="str">
        <f aca="false">IF(AM475=1,SUM(AM$7:AM475),"")</f>
        <v/>
      </c>
      <c r="AO475" s="78" t="n">
        <f aca="false">IF(AND(OR(AK475="À RÉPARER",AK475="COUPE – À RESOUDER",AK475="VT REJETÉ – À REPRENDRE"),OR(RÉPARATIONS!$D$5="TOUTES",B475=RÉPARATIONS!$D$5)),1,0)</f>
        <v>0</v>
      </c>
      <c r="AP475" s="78" t="str">
        <f aca="false">IF(AO475=1,SUM(AO$7:AO475),"")</f>
        <v/>
      </c>
    </row>
    <row r="476" customFormat="false" ht="15" hidden="false" customHeight="false" outlineLevel="0" collapsed="false">
      <c r="A476" s="78" t="str">
        <f aca="false">IF(E476="","",ROW()-6)</f>
        <v/>
      </c>
      <c r="B476" s="79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1"/>
      <c r="Q476" s="81"/>
      <c r="R476" s="80"/>
      <c r="S476" s="80"/>
      <c r="T476" s="81"/>
      <c r="U476" s="80"/>
      <c r="V476" s="80"/>
      <c r="W476" s="80"/>
      <c r="X476" s="80"/>
      <c r="Y476" s="81"/>
      <c r="Z476" s="80"/>
      <c r="AA476" s="80"/>
      <c r="AB476" s="80"/>
      <c r="AC476" s="80"/>
      <c r="AD476" s="81"/>
      <c r="AE476" s="80"/>
      <c r="AF476" s="80"/>
      <c r="AG476" s="81"/>
      <c r="AH476" s="79"/>
      <c r="AI476" s="78" t="str">
        <f aca="false">IF(E476="","",(V476&lt;&gt;"")+(AA476&lt;&gt;"")+(AF476&lt;&gt;""))</f>
        <v/>
      </c>
      <c r="AJ476" s="82" t="str">
        <f aca="false">IF(AF476&lt;&gt;"",AF476,IF(AA476&lt;&gt;"",AA476,IF(V476&lt;&gt;"",V476,"")))</f>
        <v/>
      </c>
      <c r="AK476" s="83" t="str">
        <f aca="false">IF(E476="","",IF(P476="","À SOUDER",IF(S476="","VT EN ATTENTE",IF(S476="R","VT REJETÉ – À REPRENDRE",IF(AJ476="","À RADIOGRAPHIER",IF(AJ476="A","ACCEPTÉ",IF(AJ476="NX","NX – RT À REFAIRE",IF(IF(AI476=1,X476,IF(AI476=2,AC476,""))="A","RÉPARÉ – À RADIOGRAPHIER",IF(IF(AI476=1,X476,IF(AI476=2,AC476,""))="R","VT REJETÉ – À REPRENDRE",IF(AJ476="CO","COUPE – À RESOUDER","À RÉPARER"))))))))))</f>
        <v/>
      </c>
      <c r="AL476" s="82" t="str">
        <f aca="false">IF(AND(ISNUMBER(P476),OR(AK476="À RADIOGRAPHIER",AK476="RÉPARÉ – À RADIOGRAPHIER",AK476="NX – RT À REFAIRE",AK476="À RÉPARER",AK476="COUPE – À RESOUDER",AK476="VT REJETÉ – À REPRENDRE")),MAX(0,'PROGRAMME RT'!$C$4-P476),"")</f>
        <v/>
      </c>
      <c r="AM476" s="78" t="n">
        <f aca="false">IF(AND(OR(AK476="À RADIOGRAPHIER",AK476="RÉPARÉ – À RADIOGRAPHIER",AK476="NX – RT À REFAIRE"),OR('PROGRAMME RT'!$D$5="TOUTES",B476='PROGRAMME RT'!$D$5)),1,0)</f>
        <v>0</v>
      </c>
      <c r="AN476" s="78" t="str">
        <f aca="false">IF(AM476=1,SUM(AM$7:AM476),"")</f>
        <v/>
      </c>
      <c r="AO476" s="78" t="n">
        <f aca="false">IF(AND(OR(AK476="À RÉPARER",AK476="COUPE – À RESOUDER",AK476="VT REJETÉ – À REPRENDRE"),OR(RÉPARATIONS!$D$5="TOUTES",B476=RÉPARATIONS!$D$5)),1,0)</f>
        <v>0</v>
      </c>
      <c r="AP476" s="78" t="str">
        <f aca="false">IF(AO476=1,SUM(AO$7:AO476),"")</f>
        <v/>
      </c>
    </row>
    <row r="477" customFormat="false" ht="15" hidden="false" customHeight="false" outlineLevel="0" collapsed="false">
      <c r="A477" s="78" t="str">
        <f aca="false">IF(E477="","",ROW()-6)</f>
        <v/>
      </c>
      <c r="B477" s="79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1"/>
      <c r="Q477" s="81"/>
      <c r="R477" s="80"/>
      <c r="S477" s="80"/>
      <c r="T477" s="81"/>
      <c r="U477" s="80"/>
      <c r="V477" s="80"/>
      <c r="W477" s="80"/>
      <c r="X477" s="80"/>
      <c r="Y477" s="81"/>
      <c r="Z477" s="80"/>
      <c r="AA477" s="80"/>
      <c r="AB477" s="80"/>
      <c r="AC477" s="80"/>
      <c r="AD477" s="81"/>
      <c r="AE477" s="80"/>
      <c r="AF477" s="80"/>
      <c r="AG477" s="81"/>
      <c r="AH477" s="79"/>
      <c r="AI477" s="78" t="str">
        <f aca="false">IF(E477="","",(V477&lt;&gt;"")+(AA477&lt;&gt;"")+(AF477&lt;&gt;""))</f>
        <v/>
      </c>
      <c r="AJ477" s="82" t="str">
        <f aca="false">IF(AF477&lt;&gt;"",AF477,IF(AA477&lt;&gt;"",AA477,IF(V477&lt;&gt;"",V477,"")))</f>
        <v/>
      </c>
      <c r="AK477" s="83" t="str">
        <f aca="false">IF(E477="","",IF(P477="","À SOUDER",IF(S477="","VT EN ATTENTE",IF(S477="R","VT REJETÉ – À REPRENDRE",IF(AJ477="","À RADIOGRAPHIER",IF(AJ477="A","ACCEPTÉ",IF(AJ477="NX","NX – RT À REFAIRE",IF(IF(AI477=1,X477,IF(AI477=2,AC477,""))="A","RÉPARÉ – À RADIOGRAPHIER",IF(IF(AI477=1,X477,IF(AI477=2,AC477,""))="R","VT REJETÉ – À REPRENDRE",IF(AJ477="CO","COUPE – À RESOUDER","À RÉPARER"))))))))))</f>
        <v/>
      </c>
      <c r="AL477" s="82" t="str">
        <f aca="false">IF(AND(ISNUMBER(P477),OR(AK477="À RADIOGRAPHIER",AK477="RÉPARÉ – À RADIOGRAPHIER",AK477="NX – RT À REFAIRE",AK477="À RÉPARER",AK477="COUPE – À RESOUDER",AK477="VT REJETÉ – À REPRENDRE")),MAX(0,'PROGRAMME RT'!$C$4-P477),"")</f>
        <v/>
      </c>
      <c r="AM477" s="78" t="n">
        <f aca="false">IF(AND(OR(AK477="À RADIOGRAPHIER",AK477="RÉPARÉ – À RADIOGRAPHIER",AK477="NX – RT À REFAIRE"),OR('PROGRAMME RT'!$D$5="TOUTES",B477='PROGRAMME RT'!$D$5)),1,0)</f>
        <v>0</v>
      </c>
      <c r="AN477" s="78" t="str">
        <f aca="false">IF(AM477=1,SUM(AM$7:AM477),"")</f>
        <v/>
      </c>
      <c r="AO477" s="78" t="n">
        <f aca="false">IF(AND(OR(AK477="À RÉPARER",AK477="COUPE – À RESOUDER",AK477="VT REJETÉ – À REPRENDRE"),OR(RÉPARATIONS!$D$5="TOUTES",B477=RÉPARATIONS!$D$5)),1,0)</f>
        <v>0</v>
      </c>
      <c r="AP477" s="78" t="str">
        <f aca="false">IF(AO477=1,SUM(AO$7:AO477),"")</f>
        <v/>
      </c>
    </row>
    <row r="478" customFormat="false" ht="15" hidden="false" customHeight="false" outlineLevel="0" collapsed="false">
      <c r="A478" s="78" t="str">
        <f aca="false">IF(E478="","",ROW()-6)</f>
        <v/>
      </c>
      <c r="B478" s="79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1"/>
      <c r="Q478" s="81"/>
      <c r="R478" s="80"/>
      <c r="S478" s="80"/>
      <c r="T478" s="81"/>
      <c r="U478" s="80"/>
      <c r="V478" s="80"/>
      <c r="W478" s="80"/>
      <c r="X478" s="80"/>
      <c r="Y478" s="81"/>
      <c r="Z478" s="80"/>
      <c r="AA478" s="80"/>
      <c r="AB478" s="80"/>
      <c r="AC478" s="80"/>
      <c r="AD478" s="81"/>
      <c r="AE478" s="80"/>
      <c r="AF478" s="80"/>
      <c r="AG478" s="81"/>
      <c r="AH478" s="79"/>
      <c r="AI478" s="78" t="str">
        <f aca="false">IF(E478="","",(V478&lt;&gt;"")+(AA478&lt;&gt;"")+(AF478&lt;&gt;""))</f>
        <v/>
      </c>
      <c r="AJ478" s="82" t="str">
        <f aca="false">IF(AF478&lt;&gt;"",AF478,IF(AA478&lt;&gt;"",AA478,IF(V478&lt;&gt;"",V478,"")))</f>
        <v/>
      </c>
      <c r="AK478" s="83" t="str">
        <f aca="false">IF(E478="","",IF(P478="","À SOUDER",IF(S478="","VT EN ATTENTE",IF(S478="R","VT REJETÉ – À REPRENDRE",IF(AJ478="","À RADIOGRAPHIER",IF(AJ478="A","ACCEPTÉ",IF(AJ478="NX","NX – RT À REFAIRE",IF(IF(AI478=1,X478,IF(AI478=2,AC478,""))="A","RÉPARÉ – À RADIOGRAPHIER",IF(IF(AI478=1,X478,IF(AI478=2,AC478,""))="R","VT REJETÉ – À REPRENDRE",IF(AJ478="CO","COUPE – À RESOUDER","À RÉPARER"))))))))))</f>
        <v/>
      </c>
      <c r="AL478" s="82" t="str">
        <f aca="false">IF(AND(ISNUMBER(P478),OR(AK478="À RADIOGRAPHIER",AK478="RÉPARÉ – À RADIOGRAPHIER",AK478="NX – RT À REFAIRE",AK478="À RÉPARER",AK478="COUPE – À RESOUDER",AK478="VT REJETÉ – À REPRENDRE")),MAX(0,'PROGRAMME RT'!$C$4-P478),"")</f>
        <v/>
      </c>
      <c r="AM478" s="78" t="n">
        <f aca="false">IF(AND(OR(AK478="À RADIOGRAPHIER",AK478="RÉPARÉ – À RADIOGRAPHIER",AK478="NX – RT À REFAIRE"),OR('PROGRAMME RT'!$D$5="TOUTES",B478='PROGRAMME RT'!$D$5)),1,0)</f>
        <v>0</v>
      </c>
      <c r="AN478" s="78" t="str">
        <f aca="false">IF(AM478=1,SUM(AM$7:AM478),"")</f>
        <v/>
      </c>
      <c r="AO478" s="78" t="n">
        <f aca="false">IF(AND(OR(AK478="À RÉPARER",AK478="COUPE – À RESOUDER",AK478="VT REJETÉ – À REPRENDRE"),OR(RÉPARATIONS!$D$5="TOUTES",B478=RÉPARATIONS!$D$5)),1,0)</f>
        <v>0</v>
      </c>
      <c r="AP478" s="78" t="str">
        <f aca="false">IF(AO478=1,SUM(AO$7:AO478),"")</f>
        <v/>
      </c>
    </row>
    <row r="479" customFormat="false" ht="15" hidden="false" customHeight="false" outlineLevel="0" collapsed="false">
      <c r="A479" s="78" t="str">
        <f aca="false">IF(E479="","",ROW()-6)</f>
        <v/>
      </c>
      <c r="B479" s="79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1"/>
      <c r="Q479" s="81"/>
      <c r="R479" s="80"/>
      <c r="S479" s="80"/>
      <c r="T479" s="81"/>
      <c r="U479" s="80"/>
      <c r="V479" s="80"/>
      <c r="W479" s="80"/>
      <c r="X479" s="80"/>
      <c r="Y479" s="81"/>
      <c r="Z479" s="80"/>
      <c r="AA479" s="80"/>
      <c r="AB479" s="80"/>
      <c r="AC479" s="80"/>
      <c r="AD479" s="81"/>
      <c r="AE479" s="80"/>
      <c r="AF479" s="80"/>
      <c r="AG479" s="81"/>
      <c r="AH479" s="79"/>
      <c r="AI479" s="78" t="str">
        <f aca="false">IF(E479="","",(V479&lt;&gt;"")+(AA479&lt;&gt;"")+(AF479&lt;&gt;""))</f>
        <v/>
      </c>
      <c r="AJ479" s="82" t="str">
        <f aca="false">IF(AF479&lt;&gt;"",AF479,IF(AA479&lt;&gt;"",AA479,IF(V479&lt;&gt;"",V479,"")))</f>
        <v/>
      </c>
      <c r="AK479" s="83" t="str">
        <f aca="false">IF(E479="","",IF(P479="","À SOUDER",IF(S479="","VT EN ATTENTE",IF(S479="R","VT REJETÉ – À REPRENDRE",IF(AJ479="","À RADIOGRAPHIER",IF(AJ479="A","ACCEPTÉ",IF(AJ479="NX","NX – RT À REFAIRE",IF(IF(AI479=1,X479,IF(AI479=2,AC479,""))="A","RÉPARÉ – À RADIOGRAPHIER",IF(IF(AI479=1,X479,IF(AI479=2,AC479,""))="R","VT REJETÉ – À REPRENDRE",IF(AJ479="CO","COUPE – À RESOUDER","À RÉPARER"))))))))))</f>
        <v/>
      </c>
      <c r="AL479" s="82" t="str">
        <f aca="false">IF(AND(ISNUMBER(P479),OR(AK479="À RADIOGRAPHIER",AK479="RÉPARÉ – À RADIOGRAPHIER",AK479="NX – RT À REFAIRE",AK479="À RÉPARER",AK479="COUPE – À RESOUDER",AK479="VT REJETÉ – À REPRENDRE")),MAX(0,'PROGRAMME RT'!$C$4-P479),"")</f>
        <v/>
      </c>
      <c r="AM479" s="78" t="n">
        <f aca="false">IF(AND(OR(AK479="À RADIOGRAPHIER",AK479="RÉPARÉ – À RADIOGRAPHIER",AK479="NX – RT À REFAIRE"),OR('PROGRAMME RT'!$D$5="TOUTES",B479='PROGRAMME RT'!$D$5)),1,0)</f>
        <v>0</v>
      </c>
      <c r="AN479" s="78" t="str">
        <f aca="false">IF(AM479=1,SUM(AM$7:AM479),"")</f>
        <v/>
      </c>
      <c r="AO479" s="78" t="n">
        <f aca="false">IF(AND(OR(AK479="À RÉPARER",AK479="COUPE – À RESOUDER",AK479="VT REJETÉ – À REPRENDRE"),OR(RÉPARATIONS!$D$5="TOUTES",B479=RÉPARATIONS!$D$5)),1,0)</f>
        <v>0</v>
      </c>
      <c r="AP479" s="78" t="str">
        <f aca="false">IF(AO479=1,SUM(AO$7:AO479),"")</f>
        <v/>
      </c>
    </row>
    <row r="480" customFormat="false" ht="15" hidden="false" customHeight="false" outlineLevel="0" collapsed="false">
      <c r="A480" s="78" t="str">
        <f aca="false">IF(E480="","",ROW()-6)</f>
        <v/>
      </c>
      <c r="B480" s="79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1"/>
      <c r="Q480" s="81"/>
      <c r="R480" s="80"/>
      <c r="S480" s="80"/>
      <c r="T480" s="81"/>
      <c r="U480" s="80"/>
      <c r="V480" s="80"/>
      <c r="W480" s="80"/>
      <c r="X480" s="80"/>
      <c r="Y480" s="81"/>
      <c r="Z480" s="80"/>
      <c r="AA480" s="80"/>
      <c r="AB480" s="80"/>
      <c r="AC480" s="80"/>
      <c r="AD480" s="81"/>
      <c r="AE480" s="80"/>
      <c r="AF480" s="80"/>
      <c r="AG480" s="81"/>
      <c r="AH480" s="79"/>
      <c r="AI480" s="78" t="str">
        <f aca="false">IF(E480="","",(V480&lt;&gt;"")+(AA480&lt;&gt;"")+(AF480&lt;&gt;""))</f>
        <v/>
      </c>
      <c r="AJ480" s="82" t="str">
        <f aca="false">IF(AF480&lt;&gt;"",AF480,IF(AA480&lt;&gt;"",AA480,IF(V480&lt;&gt;"",V480,"")))</f>
        <v/>
      </c>
      <c r="AK480" s="83" t="str">
        <f aca="false">IF(E480="","",IF(P480="","À SOUDER",IF(S480="","VT EN ATTENTE",IF(S480="R","VT REJETÉ – À REPRENDRE",IF(AJ480="","À RADIOGRAPHIER",IF(AJ480="A","ACCEPTÉ",IF(AJ480="NX","NX – RT À REFAIRE",IF(IF(AI480=1,X480,IF(AI480=2,AC480,""))="A","RÉPARÉ – À RADIOGRAPHIER",IF(IF(AI480=1,X480,IF(AI480=2,AC480,""))="R","VT REJETÉ – À REPRENDRE",IF(AJ480="CO","COUPE – À RESOUDER","À RÉPARER"))))))))))</f>
        <v/>
      </c>
      <c r="AL480" s="82" t="str">
        <f aca="false">IF(AND(ISNUMBER(P480),OR(AK480="À RADIOGRAPHIER",AK480="RÉPARÉ – À RADIOGRAPHIER",AK480="NX – RT À REFAIRE",AK480="À RÉPARER",AK480="COUPE – À RESOUDER",AK480="VT REJETÉ – À REPRENDRE")),MAX(0,'PROGRAMME RT'!$C$4-P480),"")</f>
        <v/>
      </c>
      <c r="AM480" s="78" t="n">
        <f aca="false">IF(AND(OR(AK480="À RADIOGRAPHIER",AK480="RÉPARÉ – À RADIOGRAPHIER",AK480="NX – RT À REFAIRE"),OR('PROGRAMME RT'!$D$5="TOUTES",B480='PROGRAMME RT'!$D$5)),1,0)</f>
        <v>0</v>
      </c>
      <c r="AN480" s="78" t="str">
        <f aca="false">IF(AM480=1,SUM(AM$7:AM480),"")</f>
        <v/>
      </c>
      <c r="AO480" s="78" t="n">
        <f aca="false">IF(AND(OR(AK480="À RÉPARER",AK480="COUPE – À RESOUDER",AK480="VT REJETÉ – À REPRENDRE"),OR(RÉPARATIONS!$D$5="TOUTES",B480=RÉPARATIONS!$D$5)),1,0)</f>
        <v>0</v>
      </c>
      <c r="AP480" s="78" t="str">
        <f aca="false">IF(AO480=1,SUM(AO$7:AO480),"")</f>
        <v/>
      </c>
    </row>
    <row r="481" customFormat="false" ht="15" hidden="false" customHeight="false" outlineLevel="0" collapsed="false">
      <c r="A481" s="78" t="str">
        <f aca="false">IF(E481="","",ROW()-6)</f>
        <v/>
      </c>
      <c r="B481" s="79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1"/>
      <c r="Q481" s="81"/>
      <c r="R481" s="80"/>
      <c r="S481" s="80"/>
      <c r="T481" s="81"/>
      <c r="U481" s="80"/>
      <c r="V481" s="80"/>
      <c r="W481" s="80"/>
      <c r="X481" s="80"/>
      <c r="Y481" s="81"/>
      <c r="Z481" s="80"/>
      <c r="AA481" s="80"/>
      <c r="AB481" s="80"/>
      <c r="AC481" s="80"/>
      <c r="AD481" s="81"/>
      <c r="AE481" s="80"/>
      <c r="AF481" s="80"/>
      <c r="AG481" s="81"/>
      <c r="AH481" s="79"/>
      <c r="AI481" s="78" t="str">
        <f aca="false">IF(E481="","",(V481&lt;&gt;"")+(AA481&lt;&gt;"")+(AF481&lt;&gt;""))</f>
        <v/>
      </c>
      <c r="AJ481" s="82" t="str">
        <f aca="false">IF(AF481&lt;&gt;"",AF481,IF(AA481&lt;&gt;"",AA481,IF(V481&lt;&gt;"",V481,"")))</f>
        <v/>
      </c>
      <c r="AK481" s="83" t="str">
        <f aca="false">IF(E481="","",IF(P481="","À SOUDER",IF(S481="","VT EN ATTENTE",IF(S481="R","VT REJETÉ – À REPRENDRE",IF(AJ481="","À RADIOGRAPHIER",IF(AJ481="A","ACCEPTÉ",IF(AJ481="NX","NX – RT À REFAIRE",IF(IF(AI481=1,X481,IF(AI481=2,AC481,""))="A","RÉPARÉ – À RADIOGRAPHIER",IF(IF(AI481=1,X481,IF(AI481=2,AC481,""))="R","VT REJETÉ – À REPRENDRE",IF(AJ481="CO","COUPE – À RESOUDER","À RÉPARER"))))))))))</f>
        <v/>
      </c>
      <c r="AL481" s="82" t="str">
        <f aca="false">IF(AND(ISNUMBER(P481),OR(AK481="À RADIOGRAPHIER",AK481="RÉPARÉ – À RADIOGRAPHIER",AK481="NX – RT À REFAIRE",AK481="À RÉPARER",AK481="COUPE – À RESOUDER",AK481="VT REJETÉ – À REPRENDRE")),MAX(0,'PROGRAMME RT'!$C$4-P481),"")</f>
        <v/>
      </c>
      <c r="AM481" s="78" t="n">
        <f aca="false">IF(AND(OR(AK481="À RADIOGRAPHIER",AK481="RÉPARÉ – À RADIOGRAPHIER",AK481="NX – RT À REFAIRE"),OR('PROGRAMME RT'!$D$5="TOUTES",B481='PROGRAMME RT'!$D$5)),1,0)</f>
        <v>0</v>
      </c>
      <c r="AN481" s="78" t="str">
        <f aca="false">IF(AM481=1,SUM(AM$7:AM481),"")</f>
        <v/>
      </c>
      <c r="AO481" s="78" t="n">
        <f aca="false">IF(AND(OR(AK481="À RÉPARER",AK481="COUPE – À RESOUDER",AK481="VT REJETÉ – À REPRENDRE"),OR(RÉPARATIONS!$D$5="TOUTES",B481=RÉPARATIONS!$D$5)),1,0)</f>
        <v>0</v>
      </c>
      <c r="AP481" s="78" t="str">
        <f aca="false">IF(AO481=1,SUM(AO$7:AO481),"")</f>
        <v/>
      </c>
    </row>
    <row r="482" customFormat="false" ht="15" hidden="false" customHeight="false" outlineLevel="0" collapsed="false">
      <c r="A482" s="78" t="str">
        <f aca="false">IF(E482="","",ROW()-6)</f>
        <v/>
      </c>
      <c r="B482" s="79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1"/>
      <c r="Q482" s="81"/>
      <c r="R482" s="80"/>
      <c r="S482" s="80"/>
      <c r="T482" s="81"/>
      <c r="U482" s="80"/>
      <c r="V482" s="80"/>
      <c r="W482" s="80"/>
      <c r="X482" s="80"/>
      <c r="Y482" s="81"/>
      <c r="Z482" s="80"/>
      <c r="AA482" s="80"/>
      <c r="AB482" s="80"/>
      <c r="AC482" s="80"/>
      <c r="AD482" s="81"/>
      <c r="AE482" s="80"/>
      <c r="AF482" s="80"/>
      <c r="AG482" s="81"/>
      <c r="AH482" s="79"/>
      <c r="AI482" s="78" t="str">
        <f aca="false">IF(E482="","",(V482&lt;&gt;"")+(AA482&lt;&gt;"")+(AF482&lt;&gt;""))</f>
        <v/>
      </c>
      <c r="AJ482" s="82" t="str">
        <f aca="false">IF(AF482&lt;&gt;"",AF482,IF(AA482&lt;&gt;"",AA482,IF(V482&lt;&gt;"",V482,"")))</f>
        <v/>
      </c>
      <c r="AK482" s="83" t="str">
        <f aca="false">IF(E482="","",IF(P482="","À SOUDER",IF(S482="","VT EN ATTENTE",IF(S482="R","VT REJETÉ – À REPRENDRE",IF(AJ482="","À RADIOGRAPHIER",IF(AJ482="A","ACCEPTÉ",IF(AJ482="NX","NX – RT À REFAIRE",IF(IF(AI482=1,X482,IF(AI482=2,AC482,""))="A","RÉPARÉ – À RADIOGRAPHIER",IF(IF(AI482=1,X482,IF(AI482=2,AC482,""))="R","VT REJETÉ – À REPRENDRE",IF(AJ482="CO","COUPE – À RESOUDER","À RÉPARER"))))))))))</f>
        <v/>
      </c>
      <c r="AL482" s="82" t="str">
        <f aca="false">IF(AND(ISNUMBER(P482),OR(AK482="À RADIOGRAPHIER",AK482="RÉPARÉ – À RADIOGRAPHIER",AK482="NX – RT À REFAIRE",AK482="À RÉPARER",AK482="COUPE – À RESOUDER",AK482="VT REJETÉ – À REPRENDRE")),MAX(0,'PROGRAMME RT'!$C$4-P482),"")</f>
        <v/>
      </c>
      <c r="AM482" s="78" t="n">
        <f aca="false">IF(AND(OR(AK482="À RADIOGRAPHIER",AK482="RÉPARÉ – À RADIOGRAPHIER",AK482="NX – RT À REFAIRE"),OR('PROGRAMME RT'!$D$5="TOUTES",B482='PROGRAMME RT'!$D$5)),1,0)</f>
        <v>0</v>
      </c>
      <c r="AN482" s="78" t="str">
        <f aca="false">IF(AM482=1,SUM(AM$7:AM482),"")</f>
        <v/>
      </c>
      <c r="AO482" s="78" t="n">
        <f aca="false">IF(AND(OR(AK482="À RÉPARER",AK482="COUPE – À RESOUDER",AK482="VT REJETÉ – À REPRENDRE"),OR(RÉPARATIONS!$D$5="TOUTES",B482=RÉPARATIONS!$D$5)),1,0)</f>
        <v>0</v>
      </c>
      <c r="AP482" s="78" t="str">
        <f aca="false">IF(AO482=1,SUM(AO$7:AO482),"")</f>
        <v/>
      </c>
    </row>
    <row r="483" customFormat="false" ht="15" hidden="false" customHeight="false" outlineLevel="0" collapsed="false">
      <c r="A483" s="78" t="str">
        <f aca="false">IF(E483="","",ROW()-6)</f>
        <v/>
      </c>
      <c r="B483" s="79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1"/>
      <c r="Q483" s="81"/>
      <c r="R483" s="80"/>
      <c r="S483" s="80"/>
      <c r="T483" s="81"/>
      <c r="U483" s="80"/>
      <c r="V483" s="80"/>
      <c r="W483" s="80"/>
      <c r="X483" s="80"/>
      <c r="Y483" s="81"/>
      <c r="Z483" s="80"/>
      <c r="AA483" s="80"/>
      <c r="AB483" s="80"/>
      <c r="AC483" s="80"/>
      <c r="AD483" s="81"/>
      <c r="AE483" s="80"/>
      <c r="AF483" s="80"/>
      <c r="AG483" s="81"/>
      <c r="AH483" s="79"/>
      <c r="AI483" s="78" t="str">
        <f aca="false">IF(E483="","",(V483&lt;&gt;"")+(AA483&lt;&gt;"")+(AF483&lt;&gt;""))</f>
        <v/>
      </c>
      <c r="AJ483" s="82" t="str">
        <f aca="false">IF(AF483&lt;&gt;"",AF483,IF(AA483&lt;&gt;"",AA483,IF(V483&lt;&gt;"",V483,"")))</f>
        <v/>
      </c>
      <c r="AK483" s="83" t="str">
        <f aca="false">IF(E483="","",IF(P483="","À SOUDER",IF(S483="","VT EN ATTENTE",IF(S483="R","VT REJETÉ – À REPRENDRE",IF(AJ483="","À RADIOGRAPHIER",IF(AJ483="A","ACCEPTÉ",IF(AJ483="NX","NX – RT À REFAIRE",IF(IF(AI483=1,X483,IF(AI483=2,AC483,""))="A","RÉPARÉ – À RADIOGRAPHIER",IF(IF(AI483=1,X483,IF(AI483=2,AC483,""))="R","VT REJETÉ – À REPRENDRE",IF(AJ483="CO","COUPE – À RESOUDER","À RÉPARER"))))))))))</f>
        <v/>
      </c>
      <c r="AL483" s="82" t="str">
        <f aca="false">IF(AND(ISNUMBER(P483),OR(AK483="À RADIOGRAPHIER",AK483="RÉPARÉ – À RADIOGRAPHIER",AK483="NX – RT À REFAIRE",AK483="À RÉPARER",AK483="COUPE – À RESOUDER",AK483="VT REJETÉ – À REPRENDRE")),MAX(0,'PROGRAMME RT'!$C$4-P483),"")</f>
        <v/>
      </c>
      <c r="AM483" s="78" t="n">
        <f aca="false">IF(AND(OR(AK483="À RADIOGRAPHIER",AK483="RÉPARÉ – À RADIOGRAPHIER",AK483="NX – RT À REFAIRE"),OR('PROGRAMME RT'!$D$5="TOUTES",B483='PROGRAMME RT'!$D$5)),1,0)</f>
        <v>0</v>
      </c>
      <c r="AN483" s="78" t="str">
        <f aca="false">IF(AM483=1,SUM(AM$7:AM483),"")</f>
        <v/>
      </c>
      <c r="AO483" s="78" t="n">
        <f aca="false">IF(AND(OR(AK483="À RÉPARER",AK483="COUPE – À RESOUDER",AK483="VT REJETÉ – À REPRENDRE"),OR(RÉPARATIONS!$D$5="TOUTES",B483=RÉPARATIONS!$D$5)),1,0)</f>
        <v>0</v>
      </c>
      <c r="AP483" s="78" t="str">
        <f aca="false">IF(AO483=1,SUM(AO$7:AO483),"")</f>
        <v/>
      </c>
    </row>
    <row r="484" customFormat="false" ht="15" hidden="false" customHeight="false" outlineLevel="0" collapsed="false">
      <c r="A484" s="78" t="str">
        <f aca="false">IF(E484="","",ROW()-6)</f>
        <v/>
      </c>
      <c r="B484" s="79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1"/>
      <c r="Q484" s="81"/>
      <c r="R484" s="80"/>
      <c r="S484" s="80"/>
      <c r="T484" s="81"/>
      <c r="U484" s="80"/>
      <c r="V484" s="80"/>
      <c r="W484" s="80"/>
      <c r="X484" s="80"/>
      <c r="Y484" s="81"/>
      <c r="Z484" s="80"/>
      <c r="AA484" s="80"/>
      <c r="AB484" s="80"/>
      <c r="AC484" s="80"/>
      <c r="AD484" s="81"/>
      <c r="AE484" s="80"/>
      <c r="AF484" s="80"/>
      <c r="AG484" s="81"/>
      <c r="AH484" s="79"/>
      <c r="AI484" s="78" t="str">
        <f aca="false">IF(E484="","",(V484&lt;&gt;"")+(AA484&lt;&gt;"")+(AF484&lt;&gt;""))</f>
        <v/>
      </c>
      <c r="AJ484" s="82" t="str">
        <f aca="false">IF(AF484&lt;&gt;"",AF484,IF(AA484&lt;&gt;"",AA484,IF(V484&lt;&gt;"",V484,"")))</f>
        <v/>
      </c>
      <c r="AK484" s="83" t="str">
        <f aca="false">IF(E484="","",IF(P484="","À SOUDER",IF(S484="","VT EN ATTENTE",IF(S484="R","VT REJETÉ – À REPRENDRE",IF(AJ484="","À RADIOGRAPHIER",IF(AJ484="A","ACCEPTÉ",IF(AJ484="NX","NX – RT À REFAIRE",IF(IF(AI484=1,X484,IF(AI484=2,AC484,""))="A","RÉPARÉ – À RADIOGRAPHIER",IF(IF(AI484=1,X484,IF(AI484=2,AC484,""))="R","VT REJETÉ – À REPRENDRE",IF(AJ484="CO","COUPE – À RESOUDER","À RÉPARER"))))))))))</f>
        <v/>
      </c>
      <c r="AL484" s="82" t="str">
        <f aca="false">IF(AND(ISNUMBER(P484),OR(AK484="À RADIOGRAPHIER",AK484="RÉPARÉ – À RADIOGRAPHIER",AK484="NX – RT À REFAIRE",AK484="À RÉPARER",AK484="COUPE – À RESOUDER",AK484="VT REJETÉ – À REPRENDRE")),MAX(0,'PROGRAMME RT'!$C$4-P484),"")</f>
        <v/>
      </c>
      <c r="AM484" s="78" t="n">
        <f aca="false">IF(AND(OR(AK484="À RADIOGRAPHIER",AK484="RÉPARÉ – À RADIOGRAPHIER",AK484="NX – RT À REFAIRE"),OR('PROGRAMME RT'!$D$5="TOUTES",B484='PROGRAMME RT'!$D$5)),1,0)</f>
        <v>0</v>
      </c>
      <c r="AN484" s="78" t="str">
        <f aca="false">IF(AM484=1,SUM(AM$7:AM484),"")</f>
        <v/>
      </c>
      <c r="AO484" s="78" t="n">
        <f aca="false">IF(AND(OR(AK484="À RÉPARER",AK484="COUPE – À RESOUDER",AK484="VT REJETÉ – À REPRENDRE"),OR(RÉPARATIONS!$D$5="TOUTES",B484=RÉPARATIONS!$D$5)),1,0)</f>
        <v>0</v>
      </c>
      <c r="AP484" s="78" t="str">
        <f aca="false">IF(AO484=1,SUM(AO$7:AO484),"")</f>
        <v/>
      </c>
    </row>
    <row r="485" customFormat="false" ht="15" hidden="false" customHeight="false" outlineLevel="0" collapsed="false">
      <c r="A485" s="78" t="str">
        <f aca="false">IF(E485="","",ROW()-6)</f>
        <v/>
      </c>
      <c r="B485" s="79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1"/>
      <c r="Q485" s="81"/>
      <c r="R485" s="80"/>
      <c r="S485" s="80"/>
      <c r="T485" s="81"/>
      <c r="U485" s="80"/>
      <c r="V485" s="80"/>
      <c r="W485" s="80"/>
      <c r="X485" s="80"/>
      <c r="Y485" s="81"/>
      <c r="Z485" s="80"/>
      <c r="AA485" s="80"/>
      <c r="AB485" s="80"/>
      <c r="AC485" s="80"/>
      <c r="AD485" s="81"/>
      <c r="AE485" s="80"/>
      <c r="AF485" s="80"/>
      <c r="AG485" s="81"/>
      <c r="AH485" s="79"/>
      <c r="AI485" s="78" t="str">
        <f aca="false">IF(E485="","",(V485&lt;&gt;"")+(AA485&lt;&gt;"")+(AF485&lt;&gt;""))</f>
        <v/>
      </c>
      <c r="AJ485" s="82" t="str">
        <f aca="false">IF(AF485&lt;&gt;"",AF485,IF(AA485&lt;&gt;"",AA485,IF(V485&lt;&gt;"",V485,"")))</f>
        <v/>
      </c>
      <c r="AK485" s="83" t="str">
        <f aca="false">IF(E485="","",IF(P485="","À SOUDER",IF(S485="","VT EN ATTENTE",IF(S485="R","VT REJETÉ – À REPRENDRE",IF(AJ485="","À RADIOGRAPHIER",IF(AJ485="A","ACCEPTÉ",IF(AJ485="NX","NX – RT À REFAIRE",IF(IF(AI485=1,X485,IF(AI485=2,AC485,""))="A","RÉPARÉ – À RADIOGRAPHIER",IF(IF(AI485=1,X485,IF(AI485=2,AC485,""))="R","VT REJETÉ – À REPRENDRE",IF(AJ485="CO","COUPE – À RESOUDER","À RÉPARER"))))))))))</f>
        <v/>
      </c>
      <c r="AL485" s="82" t="str">
        <f aca="false">IF(AND(ISNUMBER(P485),OR(AK485="À RADIOGRAPHIER",AK485="RÉPARÉ – À RADIOGRAPHIER",AK485="NX – RT À REFAIRE",AK485="À RÉPARER",AK485="COUPE – À RESOUDER",AK485="VT REJETÉ – À REPRENDRE")),MAX(0,'PROGRAMME RT'!$C$4-P485),"")</f>
        <v/>
      </c>
      <c r="AM485" s="78" t="n">
        <f aca="false">IF(AND(OR(AK485="À RADIOGRAPHIER",AK485="RÉPARÉ – À RADIOGRAPHIER",AK485="NX – RT À REFAIRE"),OR('PROGRAMME RT'!$D$5="TOUTES",B485='PROGRAMME RT'!$D$5)),1,0)</f>
        <v>0</v>
      </c>
      <c r="AN485" s="78" t="str">
        <f aca="false">IF(AM485=1,SUM(AM$7:AM485),"")</f>
        <v/>
      </c>
      <c r="AO485" s="78" t="n">
        <f aca="false">IF(AND(OR(AK485="À RÉPARER",AK485="COUPE – À RESOUDER",AK485="VT REJETÉ – À REPRENDRE"),OR(RÉPARATIONS!$D$5="TOUTES",B485=RÉPARATIONS!$D$5)),1,0)</f>
        <v>0</v>
      </c>
      <c r="AP485" s="78" t="str">
        <f aca="false">IF(AO485=1,SUM(AO$7:AO485),"")</f>
        <v/>
      </c>
    </row>
    <row r="486" customFormat="false" ht="15" hidden="false" customHeight="false" outlineLevel="0" collapsed="false">
      <c r="A486" s="78" t="str">
        <f aca="false">IF(E486="","",ROW()-6)</f>
        <v/>
      </c>
      <c r="B486" s="79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1"/>
      <c r="Q486" s="81"/>
      <c r="R486" s="80"/>
      <c r="S486" s="80"/>
      <c r="T486" s="81"/>
      <c r="U486" s="80"/>
      <c r="V486" s="80"/>
      <c r="W486" s="80"/>
      <c r="X486" s="80"/>
      <c r="Y486" s="81"/>
      <c r="Z486" s="80"/>
      <c r="AA486" s="80"/>
      <c r="AB486" s="80"/>
      <c r="AC486" s="80"/>
      <c r="AD486" s="81"/>
      <c r="AE486" s="80"/>
      <c r="AF486" s="80"/>
      <c r="AG486" s="81"/>
      <c r="AH486" s="79"/>
      <c r="AI486" s="78" t="str">
        <f aca="false">IF(E486="","",(V486&lt;&gt;"")+(AA486&lt;&gt;"")+(AF486&lt;&gt;""))</f>
        <v/>
      </c>
      <c r="AJ486" s="82" t="str">
        <f aca="false">IF(AF486&lt;&gt;"",AF486,IF(AA486&lt;&gt;"",AA486,IF(V486&lt;&gt;"",V486,"")))</f>
        <v/>
      </c>
      <c r="AK486" s="83" t="str">
        <f aca="false">IF(E486="","",IF(P486="","À SOUDER",IF(S486="","VT EN ATTENTE",IF(S486="R","VT REJETÉ – À REPRENDRE",IF(AJ486="","À RADIOGRAPHIER",IF(AJ486="A","ACCEPTÉ",IF(AJ486="NX","NX – RT À REFAIRE",IF(IF(AI486=1,X486,IF(AI486=2,AC486,""))="A","RÉPARÉ – À RADIOGRAPHIER",IF(IF(AI486=1,X486,IF(AI486=2,AC486,""))="R","VT REJETÉ – À REPRENDRE",IF(AJ486="CO","COUPE – À RESOUDER","À RÉPARER"))))))))))</f>
        <v/>
      </c>
      <c r="AL486" s="82" t="str">
        <f aca="false">IF(AND(ISNUMBER(P486),OR(AK486="À RADIOGRAPHIER",AK486="RÉPARÉ – À RADIOGRAPHIER",AK486="NX – RT À REFAIRE",AK486="À RÉPARER",AK486="COUPE – À RESOUDER",AK486="VT REJETÉ – À REPRENDRE")),MAX(0,'PROGRAMME RT'!$C$4-P486),"")</f>
        <v/>
      </c>
      <c r="AM486" s="78" t="n">
        <f aca="false">IF(AND(OR(AK486="À RADIOGRAPHIER",AK486="RÉPARÉ – À RADIOGRAPHIER",AK486="NX – RT À REFAIRE"),OR('PROGRAMME RT'!$D$5="TOUTES",B486='PROGRAMME RT'!$D$5)),1,0)</f>
        <v>0</v>
      </c>
      <c r="AN486" s="78" t="str">
        <f aca="false">IF(AM486=1,SUM(AM$7:AM486),"")</f>
        <v/>
      </c>
      <c r="AO486" s="78" t="n">
        <f aca="false">IF(AND(OR(AK486="À RÉPARER",AK486="COUPE – À RESOUDER",AK486="VT REJETÉ – À REPRENDRE"),OR(RÉPARATIONS!$D$5="TOUTES",B486=RÉPARATIONS!$D$5)),1,0)</f>
        <v>0</v>
      </c>
      <c r="AP486" s="78" t="str">
        <f aca="false">IF(AO486=1,SUM(AO$7:AO486),"")</f>
        <v/>
      </c>
    </row>
    <row r="487" customFormat="false" ht="15" hidden="false" customHeight="false" outlineLevel="0" collapsed="false">
      <c r="A487" s="78" t="str">
        <f aca="false">IF(E487="","",ROW()-6)</f>
        <v/>
      </c>
      <c r="B487" s="79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1"/>
      <c r="Q487" s="81"/>
      <c r="R487" s="80"/>
      <c r="S487" s="80"/>
      <c r="T487" s="81"/>
      <c r="U487" s="80"/>
      <c r="V487" s="80"/>
      <c r="W487" s="80"/>
      <c r="X487" s="80"/>
      <c r="Y487" s="81"/>
      <c r="Z487" s="80"/>
      <c r="AA487" s="80"/>
      <c r="AB487" s="80"/>
      <c r="AC487" s="80"/>
      <c r="AD487" s="81"/>
      <c r="AE487" s="80"/>
      <c r="AF487" s="80"/>
      <c r="AG487" s="81"/>
      <c r="AH487" s="79"/>
      <c r="AI487" s="78" t="str">
        <f aca="false">IF(E487="","",(V487&lt;&gt;"")+(AA487&lt;&gt;"")+(AF487&lt;&gt;""))</f>
        <v/>
      </c>
      <c r="AJ487" s="82" t="str">
        <f aca="false">IF(AF487&lt;&gt;"",AF487,IF(AA487&lt;&gt;"",AA487,IF(V487&lt;&gt;"",V487,"")))</f>
        <v/>
      </c>
      <c r="AK487" s="83" t="str">
        <f aca="false">IF(E487="","",IF(P487="","À SOUDER",IF(S487="","VT EN ATTENTE",IF(S487="R","VT REJETÉ – À REPRENDRE",IF(AJ487="","À RADIOGRAPHIER",IF(AJ487="A","ACCEPTÉ",IF(AJ487="NX","NX – RT À REFAIRE",IF(IF(AI487=1,X487,IF(AI487=2,AC487,""))="A","RÉPARÉ – À RADIOGRAPHIER",IF(IF(AI487=1,X487,IF(AI487=2,AC487,""))="R","VT REJETÉ – À REPRENDRE",IF(AJ487="CO","COUPE – À RESOUDER","À RÉPARER"))))))))))</f>
        <v/>
      </c>
      <c r="AL487" s="82" t="str">
        <f aca="false">IF(AND(ISNUMBER(P487),OR(AK487="À RADIOGRAPHIER",AK487="RÉPARÉ – À RADIOGRAPHIER",AK487="NX – RT À REFAIRE",AK487="À RÉPARER",AK487="COUPE – À RESOUDER",AK487="VT REJETÉ – À REPRENDRE")),MAX(0,'PROGRAMME RT'!$C$4-P487),"")</f>
        <v/>
      </c>
      <c r="AM487" s="78" t="n">
        <f aca="false">IF(AND(OR(AK487="À RADIOGRAPHIER",AK487="RÉPARÉ – À RADIOGRAPHIER",AK487="NX – RT À REFAIRE"),OR('PROGRAMME RT'!$D$5="TOUTES",B487='PROGRAMME RT'!$D$5)),1,0)</f>
        <v>0</v>
      </c>
      <c r="AN487" s="78" t="str">
        <f aca="false">IF(AM487=1,SUM(AM$7:AM487),"")</f>
        <v/>
      </c>
      <c r="AO487" s="78" t="n">
        <f aca="false">IF(AND(OR(AK487="À RÉPARER",AK487="COUPE – À RESOUDER",AK487="VT REJETÉ – À REPRENDRE"),OR(RÉPARATIONS!$D$5="TOUTES",B487=RÉPARATIONS!$D$5)),1,0)</f>
        <v>0</v>
      </c>
      <c r="AP487" s="78" t="str">
        <f aca="false">IF(AO487=1,SUM(AO$7:AO487),"")</f>
        <v/>
      </c>
    </row>
    <row r="488" customFormat="false" ht="15" hidden="false" customHeight="false" outlineLevel="0" collapsed="false">
      <c r="A488" s="78" t="str">
        <f aca="false">IF(E488="","",ROW()-6)</f>
        <v/>
      </c>
      <c r="B488" s="79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1"/>
      <c r="Q488" s="81"/>
      <c r="R488" s="80"/>
      <c r="S488" s="80"/>
      <c r="T488" s="81"/>
      <c r="U488" s="80"/>
      <c r="V488" s="80"/>
      <c r="W488" s="80"/>
      <c r="X488" s="80"/>
      <c r="Y488" s="81"/>
      <c r="Z488" s="80"/>
      <c r="AA488" s="80"/>
      <c r="AB488" s="80"/>
      <c r="AC488" s="80"/>
      <c r="AD488" s="81"/>
      <c r="AE488" s="80"/>
      <c r="AF488" s="80"/>
      <c r="AG488" s="81"/>
      <c r="AH488" s="79"/>
      <c r="AI488" s="78" t="str">
        <f aca="false">IF(E488="","",(V488&lt;&gt;"")+(AA488&lt;&gt;"")+(AF488&lt;&gt;""))</f>
        <v/>
      </c>
      <c r="AJ488" s="82" t="str">
        <f aca="false">IF(AF488&lt;&gt;"",AF488,IF(AA488&lt;&gt;"",AA488,IF(V488&lt;&gt;"",V488,"")))</f>
        <v/>
      </c>
      <c r="AK488" s="83" t="str">
        <f aca="false">IF(E488="","",IF(P488="","À SOUDER",IF(S488="","VT EN ATTENTE",IF(S488="R","VT REJETÉ – À REPRENDRE",IF(AJ488="","À RADIOGRAPHIER",IF(AJ488="A","ACCEPTÉ",IF(AJ488="NX","NX – RT À REFAIRE",IF(IF(AI488=1,X488,IF(AI488=2,AC488,""))="A","RÉPARÉ – À RADIOGRAPHIER",IF(IF(AI488=1,X488,IF(AI488=2,AC488,""))="R","VT REJETÉ – À REPRENDRE",IF(AJ488="CO","COUPE – À RESOUDER","À RÉPARER"))))))))))</f>
        <v/>
      </c>
      <c r="AL488" s="82" t="str">
        <f aca="false">IF(AND(ISNUMBER(P488),OR(AK488="À RADIOGRAPHIER",AK488="RÉPARÉ – À RADIOGRAPHIER",AK488="NX – RT À REFAIRE",AK488="À RÉPARER",AK488="COUPE – À RESOUDER",AK488="VT REJETÉ – À REPRENDRE")),MAX(0,'PROGRAMME RT'!$C$4-P488),"")</f>
        <v/>
      </c>
      <c r="AM488" s="78" t="n">
        <f aca="false">IF(AND(OR(AK488="À RADIOGRAPHIER",AK488="RÉPARÉ – À RADIOGRAPHIER",AK488="NX – RT À REFAIRE"),OR('PROGRAMME RT'!$D$5="TOUTES",B488='PROGRAMME RT'!$D$5)),1,0)</f>
        <v>0</v>
      </c>
      <c r="AN488" s="78" t="str">
        <f aca="false">IF(AM488=1,SUM(AM$7:AM488),"")</f>
        <v/>
      </c>
      <c r="AO488" s="78" t="n">
        <f aca="false">IF(AND(OR(AK488="À RÉPARER",AK488="COUPE – À RESOUDER",AK488="VT REJETÉ – À REPRENDRE"),OR(RÉPARATIONS!$D$5="TOUTES",B488=RÉPARATIONS!$D$5)),1,0)</f>
        <v>0</v>
      </c>
      <c r="AP488" s="78" t="str">
        <f aca="false">IF(AO488=1,SUM(AO$7:AO488),"")</f>
        <v/>
      </c>
    </row>
    <row r="489" customFormat="false" ht="15" hidden="false" customHeight="false" outlineLevel="0" collapsed="false">
      <c r="A489" s="78" t="str">
        <f aca="false">IF(E489="","",ROW()-6)</f>
        <v/>
      </c>
      <c r="B489" s="79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1"/>
      <c r="Q489" s="81"/>
      <c r="R489" s="80"/>
      <c r="S489" s="80"/>
      <c r="T489" s="81"/>
      <c r="U489" s="80"/>
      <c r="V489" s="80"/>
      <c r="W489" s="80"/>
      <c r="X489" s="80"/>
      <c r="Y489" s="81"/>
      <c r="Z489" s="80"/>
      <c r="AA489" s="80"/>
      <c r="AB489" s="80"/>
      <c r="AC489" s="80"/>
      <c r="AD489" s="81"/>
      <c r="AE489" s="80"/>
      <c r="AF489" s="80"/>
      <c r="AG489" s="81"/>
      <c r="AH489" s="79"/>
      <c r="AI489" s="78" t="str">
        <f aca="false">IF(E489="","",(V489&lt;&gt;"")+(AA489&lt;&gt;"")+(AF489&lt;&gt;""))</f>
        <v/>
      </c>
      <c r="AJ489" s="82" t="str">
        <f aca="false">IF(AF489&lt;&gt;"",AF489,IF(AA489&lt;&gt;"",AA489,IF(V489&lt;&gt;"",V489,"")))</f>
        <v/>
      </c>
      <c r="AK489" s="83" t="str">
        <f aca="false">IF(E489="","",IF(P489="","À SOUDER",IF(S489="","VT EN ATTENTE",IF(S489="R","VT REJETÉ – À REPRENDRE",IF(AJ489="","À RADIOGRAPHIER",IF(AJ489="A","ACCEPTÉ",IF(AJ489="NX","NX – RT À REFAIRE",IF(IF(AI489=1,X489,IF(AI489=2,AC489,""))="A","RÉPARÉ – À RADIOGRAPHIER",IF(IF(AI489=1,X489,IF(AI489=2,AC489,""))="R","VT REJETÉ – À REPRENDRE",IF(AJ489="CO","COUPE – À RESOUDER","À RÉPARER"))))))))))</f>
        <v/>
      </c>
      <c r="AL489" s="82" t="str">
        <f aca="false">IF(AND(ISNUMBER(P489),OR(AK489="À RADIOGRAPHIER",AK489="RÉPARÉ – À RADIOGRAPHIER",AK489="NX – RT À REFAIRE",AK489="À RÉPARER",AK489="COUPE – À RESOUDER",AK489="VT REJETÉ – À REPRENDRE")),MAX(0,'PROGRAMME RT'!$C$4-P489),"")</f>
        <v/>
      </c>
      <c r="AM489" s="78" t="n">
        <f aca="false">IF(AND(OR(AK489="À RADIOGRAPHIER",AK489="RÉPARÉ – À RADIOGRAPHIER",AK489="NX – RT À REFAIRE"),OR('PROGRAMME RT'!$D$5="TOUTES",B489='PROGRAMME RT'!$D$5)),1,0)</f>
        <v>0</v>
      </c>
      <c r="AN489" s="78" t="str">
        <f aca="false">IF(AM489=1,SUM(AM$7:AM489),"")</f>
        <v/>
      </c>
      <c r="AO489" s="78" t="n">
        <f aca="false">IF(AND(OR(AK489="À RÉPARER",AK489="COUPE – À RESOUDER",AK489="VT REJETÉ – À REPRENDRE"),OR(RÉPARATIONS!$D$5="TOUTES",B489=RÉPARATIONS!$D$5)),1,0)</f>
        <v>0</v>
      </c>
      <c r="AP489" s="78" t="str">
        <f aca="false">IF(AO489=1,SUM(AO$7:AO489),"")</f>
        <v/>
      </c>
    </row>
    <row r="490" customFormat="false" ht="15" hidden="false" customHeight="false" outlineLevel="0" collapsed="false">
      <c r="A490" s="78" t="str">
        <f aca="false">IF(E490="","",ROW()-6)</f>
        <v/>
      </c>
      <c r="B490" s="79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1"/>
      <c r="Q490" s="81"/>
      <c r="R490" s="80"/>
      <c r="S490" s="80"/>
      <c r="T490" s="81"/>
      <c r="U490" s="80"/>
      <c r="V490" s="80"/>
      <c r="W490" s="80"/>
      <c r="X490" s="80"/>
      <c r="Y490" s="81"/>
      <c r="Z490" s="80"/>
      <c r="AA490" s="80"/>
      <c r="AB490" s="80"/>
      <c r="AC490" s="80"/>
      <c r="AD490" s="81"/>
      <c r="AE490" s="80"/>
      <c r="AF490" s="80"/>
      <c r="AG490" s="81"/>
      <c r="AH490" s="79"/>
      <c r="AI490" s="78" t="str">
        <f aca="false">IF(E490="","",(V490&lt;&gt;"")+(AA490&lt;&gt;"")+(AF490&lt;&gt;""))</f>
        <v/>
      </c>
      <c r="AJ490" s="82" t="str">
        <f aca="false">IF(AF490&lt;&gt;"",AF490,IF(AA490&lt;&gt;"",AA490,IF(V490&lt;&gt;"",V490,"")))</f>
        <v/>
      </c>
      <c r="AK490" s="83" t="str">
        <f aca="false">IF(E490="","",IF(P490="","À SOUDER",IF(S490="","VT EN ATTENTE",IF(S490="R","VT REJETÉ – À REPRENDRE",IF(AJ490="","À RADIOGRAPHIER",IF(AJ490="A","ACCEPTÉ",IF(AJ490="NX","NX – RT À REFAIRE",IF(IF(AI490=1,X490,IF(AI490=2,AC490,""))="A","RÉPARÉ – À RADIOGRAPHIER",IF(IF(AI490=1,X490,IF(AI490=2,AC490,""))="R","VT REJETÉ – À REPRENDRE",IF(AJ490="CO","COUPE – À RESOUDER","À RÉPARER"))))))))))</f>
        <v/>
      </c>
      <c r="AL490" s="82" t="str">
        <f aca="false">IF(AND(ISNUMBER(P490),OR(AK490="À RADIOGRAPHIER",AK490="RÉPARÉ – À RADIOGRAPHIER",AK490="NX – RT À REFAIRE",AK490="À RÉPARER",AK490="COUPE – À RESOUDER",AK490="VT REJETÉ – À REPRENDRE")),MAX(0,'PROGRAMME RT'!$C$4-P490),"")</f>
        <v/>
      </c>
      <c r="AM490" s="78" t="n">
        <f aca="false">IF(AND(OR(AK490="À RADIOGRAPHIER",AK490="RÉPARÉ – À RADIOGRAPHIER",AK490="NX – RT À REFAIRE"),OR('PROGRAMME RT'!$D$5="TOUTES",B490='PROGRAMME RT'!$D$5)),1,0)</f>
        <v>0</v>
      </c>
      <c r="AN490" s="78" t="str">
        <f aca="false">IF(AM490=1,SUM(AM$7:AM490),"")</f>
        <v/>
      </c>
      <c r="AO490" s="78" t="n">
        <f aca="false">IF(AND(OR(AK490="À RÉPARER",AK490="COUPE – À RESOUDER",AK490="VT REJETÉ – À REPRENDRE"),OR(RÉPARATIONS!$D$5="TOUTES",B490=RÉPARATIONS!$D$5)),1,0)</f>
        <v>0</v>
      </c>
      <c r="AP490" s="78" t="str">
        <f aca="false">IF(AO490=1,SUM(AO$7:AO490),"")</f>
        <v/>
      </c>
    </row>
    <row r="491" customFormat="false" ht="15" hidden="false" customHeight="false" outlineLevel="0" collapsed="false">
      <c r="A491" s="78" t="str">
        <f aca="false">IF(E491="","",ROW()-6)</f>
        <v/>
      </c>
      <c r="B491" s="79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1"/>
      <c r="Q491" s="81"/>
      <c r="R491" s="80"/>
      <c r="S491" s="80"/>
      <c r="T491" s="81"/>
      <c r="U491" s="80"/>
      <c r="V491" s="80"/>
      <c r="W491" s="80"/>
      <c r="X491" s="80"/>
      <c r="Y491" s="81"/>
      <c r="Z491" s="80"/>
      <c r="AA491" s="80"/>
      <c r="AB491" s="80"/>
      <c r="AC491" s="80"/>
      <c r="AD491" s="81"/>
      <c r="AE491" s="80"/>
      <c r="AF491" s="80"/>
      <c r="AG491" s="81"/>
      <c r="AH491" s="79"/>
      <c r="AI491" s="78" t="str">
        <f aca="false">IF(E491="","",(V491&lt;&gt;"")+(AA491&lt;&gt;"")+(AF491&lt;&gt;""))</f>
        <v/>
      </c>
      <c r="AJ491" s="82" t="str">
        <f aca="false">IF(AF491&lt;&gt;"",AF491,IF(AA491&lt;&gt;"",AA491,IF(V491&lt;&gt;"",V491,"")))</f>
        <v/>
      </c>
      <c r="AK491" s="83" t="str">
        <f aca="false">IF(E491="","",IF(P491="","À SOUDER",IF(S491="","VT EN ATTENTE",IF(S491="R","VT REJETÉ – À REPRENDRE",IF(AJ491="","À RADIOGRAPHIER",IF(AJ491="A","ACCEPTÉ",IF(AJ491="NX","NX – RT À REFAIRE",IF(IF(AI491=1,X491,IF(AI491=2,AC491,""))="A","RÉPARÉ – À RADIOGRAPHIER",IF(IF(AI491=1,X491,IF(AI491=2,AC491,""))="R","VT REJETÉ – À REPRENDRE",IF(AJ491="CO","COUPE – À RESOUDER","À RÉPARER"))))))))))</f>
        <v/>
      </c>
      <c r="AL491" s="82" t="str">
        <f aca="false">IF(AND(ISNUMBER(P491),OR(AK491="À RADIOGRAPHIER",AK491="RÉPARÉ – À RADIOGRAPHIER",AK491="NX – RT À REFAIRE",AK491="À RÉPARER",AK491="COUPE – À RESOUDER",AK491="VT REJETÉ – À REPRENDRE")),MAX(0,'PROGRAMME RT'!$C$4-P491),"")</f>
        <v/>
      </c>
      <c r="AM491" s="78" t="n">
        <f aca="false">IF(AND(OR(AK491="À RADIOGRAPHIER",AK491="RÉPARÉ – À RADIOGRAPHIER",AK491="NX – RT À REFAIRE"),OR('PROGRAMME RT'!$D$5="TOUTES",B491='PROGRAMME RT'!$D$5)),1,0)</f>
        <v>0</v>
      </c>
      <c r="AN491" s="78" t="str">
        <f aca="false">IF(AM491=1,SUM(AM$7:AM491),"")</f>
        <v/>
      </c>
      <c r="AO491" s="78" t="n">
        <f aca="false">IF(AND(OR(AK491="À RÉPARER",AK491="COUPE – À RESOUDER",AK491="VT REJETÉ – À REPRENDRE"),OR(RÉPARATIONS!$D$5="TOUTES",B491=RÉPARATIONS!$D$5)),1,0)</f>
        <v>0</v>
      </c>
      <c r="AP491" s="78" t="str">
        <f aca="false">IF(AO491=1,SUM(AO$7:AO491),"")</f>
        <v/>
      </c>
    </row>
    <row r="492" customFormat="false" ht="15" hidden="false" customHeight="false" outlineLevel="0" collapsed="false">
      <c r="A492" s="78" t="str">
        <f aca="false">IF(E492="","",ROW()-6)</f>
        <v/>
      </c>
      <c r="B492" s="79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1"/>
      <c r="Q492" s="81"/>
      <c r="R492" s="80"/>
      <c r="S492" s="80"/>
      <c r="T492" s="81"/>
      <c r="U492" s="80"/>
      <c r="V492" s="80"/>
      <c r="W492" s="80"/>
      <c r="X492" s="80"/>
      <c r="Y492" s="81"/>
      <c r="Z492" s="80"/>
      <c r="AA492" s="80"/>
      <c r="AB492" s="80"/>
      <c r="AC492" s="80"/>
      <c r="AD492" s="81"/>
      <c r="AE492" s="80"/>
      <c r="AF492" s="80"/>
      <c r="AG492" s="81"/>
      <c r="AH492" s="79"/>
      <c r="AI492" s="78" t="str">
        <f aca="false">IF(E492="","",(V492&lt;&gt;"")+(AA492&lt;&gt;"")+(AF492&lt;&gt;""))</f>
        <v/>
      </c>
      <c r="AJ492" s="82" t="str">
        <f aca="false">IF(AF492&lt;&gt;"",AF492,IF(AA492&lt;&gt;"",AA492,IF(V492&lt;&gt;"",V492,"")))</f>
        <v/>
      </c>
      <c r="AK492" s="83" t="str">
        <f aca="false">IF(E492="","",IF(P492="","À SOUDER",IF(S492="","VT EN ATTENTE",IF(S492="R","VT REJETÉ – À REPRENDRE",IF(AJ492="","À RADIOGRAPHIER",IF(AJ492="A","ACCEPTÉ",IF(AJ492="NX","NX – RT À REFAIRE",IF(IF(AI492=1,X492,IF(AI492=2,AC492,""))="A","RÉPARÉ – À RADIOGRAPHIER",IF(IF(AI492=1,X492,IF(AI492=2,AC492,""))="R","VT REJETÉ – À REPRENDRE",IF(AJ492="CO","COUPE – À RESOUDER","À RÉPARER"))))))))))</f>
        <v/>
      </c>
      <c r="AL492" s="82" t="str">
        <f aca="false">IF(AND(ISNUMBER(P492),OR(AK492="À RADIOGRAPHIER",AK492="RÉPARÉ – À RADIOGRAPHIER",AK492="NX – RT À REFAIRE",AK492="À RÉPARER",AK492="COUPE – À RESOUDER",AK492="VT REJETÉ – À REPRENDRE")),MAX(0,'PROGRAMME RT'!$C$4-P492),"")</f>
        <v/>
      </c>
      <c r="AM492" s="78" t="n">
        <f aca="false">IF(AND(OR(AK492="À RADIOGRAPHIER",AK492="RÉPARÉ – À RADIOGRAPHIER",AK492="NX – RT À REFAIRE"),OR('PROGRAMME RT'!$D$5="TOUTES",B492='PROGRAMME RT'!$D$5)),1,0)</f>
        <v>0</v>
      </c>
      <c r="AN492" s="78" t="str">
        <f aca="false">IF(AM492=1,SUM(AM$7:AM492),"")</f>
        <v/>
      </c>
      <c r="AO492" s="78" t="n">
        <f aca="false">IF(AND(OR(AK492="À RÉPARER",AK492="COUPE – À RESOUDER",AK492="VT REJETÉ – À REPRENDRE"),OR(RÉPARATIONS!$D$5="TOUTES",B492=RÉPARATIONS!$D$5)),1,0)</f>
        <v>0</v>
      </c>
      <c r="AP492" s="78" t="str">
        <f aca="false">IF(AO492=1,SUM(AO$7:AO492),"")</f>
        <v/>
      </c>
    </row>
    <row r="493" customFormat="false" ht="15" hidden="false" customHeight="false" outlineLevel="0" collapsed="false">
      <c r="A493" s="78" t="str">
        <f aca="false">IF(E493="","",ROW()-6)</f>
        <v/>
      </c>
      <c r="B493" s="79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1"/>
      <c r="Q493" s="81"/>
      <c r="R493" s="80"/>
      <c r="S493" s="80"/>
      <c r="T493" s="81"/>
      <c r="U493" s="80"/>
      <c r="V493" s="80"/>
      <c r="W493" s="80"/>
      <c r="X493" s="80"/>
      <c r="Y493" s="81"/>
      <c r="Z493" s="80"/>
      <c r="AA493" s="80"/>
      <c r="AB493" s="80"/>
      <c r="AC493" s="80"/>
      <c r="AD493" s="81"/>
      <c r="AE493" s="80"/>
      <c r="AF493" s="80"/>
      <c r="AG493" s="81"/>
      <c r="AH493" s="79"/>
      <c r="AI493" s="78" t="str">
        <f aca="false">IF(E493="","",(V493&lt;&gt;"")+(AA493&lt;&gt;"")+(AF493&lt;&gt;""))</f>
        <v/>
      </c>
      <c r="AJ493" s="82" t="str">
        <f aca="false">IF(AF493&lt;&gt;"",AF493,IF(AA493&lt;&gt;"",AA493,IF(V493&lt;&gt;"",V493,"")))</f>
        <v/>
      </c>
      <c r="AK493" s="83" t="str">
        <f aca="false">IF(E493="","",IF(P493="","À SOUDER",IF(S493="","VT EN ATTENTE",IF(S493="R","VT REJETÉ – À REPRENDRE",IF(AJ493="","À RADIOGRAPHIER",IF(AJ493="A","ACCEPTÉ",IF(AJ493="NX","NX – RT À REFAIRE",IF(IF(AI493=1,X493,IF(AI493=2,AC493,""))="A","RÉPARÉ – À RADIOGRAPHIER",IF(IF(AI493=1,X493,IF(AI493=2,AC493,""))="R","VT REJETÉ – À REPRENDRE",IF(AJ493="CO","COUPE – À RESOUDER","À RÉPARER"))))))))))</f>
        <v/>
      </c>
      <c r="AL493" s="82" t="str">
        <f aca="false">IF(AND(ISNUMBER(P493),OR(AK493="À RADIOGRAPHIER",AK493="RÉPARÉ – À RADIOGRAPHIER",AK493="NX – RT À REFAIRE",AK493="À RÉPARER",AK493="COUPE – À RESOUDER",AK493="VT REJETÉ – À REPRENDRE")),MAX(0,'PROGRAMME RT'!$C$4-P493),"")</f>
        <v/>
      </c>
      <c r="AM493" s="78" t="n">
        <f aca="false">IF(AND(OR(AK493="À RADIOGRAPHIER",AK493="RÉPARÉ – À RADIOGRAPHIER",AK493="NX – RT À REFAIRE"),OR('PROGRAMME RT'!$D$5="TOUTES",B493='PROGRAMME RT'!$D$5)),1,0)</f>
        <v>0</v>
      </c>
      <c r="AN493" s="78" t="str">
        <f aca="false">IF(AM493=1,SUM(AM$7:AM493),"")</f>
        <v/>
      </c>
      <c r="AO493" s="78" t="n">
        <f aca="false">IF(AND(OR(AK493="À RÉPARER",AK493="COUPE – À RESOUDER",AK493="VT REJETÉ – À REPRENDRE"),OR(RÉPARATIONS!$D$5="TOUTES",B493=RÉPARATIONS!$D$5)),1,0)</f>
        <v>0</v>
      </c>
      <c r="AP493" s="78" t="str">
        <f aca="false">IF(AO493=1,SUM(AO$7:AO493),"")</f>
        <v/>
      </c>
    </row>
    <row r="494" customFormat="false" ht="15" hidden="false" customHeight="false" outlineLevel="0" collapsed="false">
      <c r="A494" s="78" t="str">
        <f aca="false">IF(E494="","",ROW()-6)</f>
        <v/>
      </c>
      <c r="B494" s="79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1"/>
      <c r="Q494" s="81"/>
      <c r="R494" s="80"/>
      <c r="S494" s="80"/>
      <c r="T494" s="81"/>
      <c r="U494" s="80"/>
      <c r="V494" s="80"/>
      <c r="W494" s="80"/>
      <c r="X494" s="80"/>
      <c r="Y494" s="81"/>
      <c r="Z494" s="80"/>
      <c r="AA494" s="80"/>
      <c r="AB494" s="80"/>
      <c r="AC494" s="80"/>
      <c r="AD494" s="81"/>
      <c r="AE494" s="80"/>
      <c r="AF494" s="80"/>
      <c r="AG494" s="81"/>
      <c r="AH494" s="79"/>
      <c r="AI494" s="78" t="str">
        <f aca="false">IF(E494="","",(V494&lt;&gt;"")+(AA494&lt;&gt;"")+(AF494&lt;&gt;""))</f>
        <v/>
      </c>
      <c r="AJ494" s="82" t="str">
        <f aca="false">IF(AF494&lt;&gt;"",AF494,IF(AA494&lt;&gt;"",AA494,IF(V494&lt;&gt;"",V494,"")))</f>
        <v/>
      </c>
      <c r="AK494" s="83" t="str">
        <f aca="false">IF(E494="","",IF(P494="","À SOUDER",IF(S494="","VT EN ATTENTE",IF(S494="R","VT REJETÉ – À REPRENDRE",IF(AJ494="","À RADIOGRAPHIER",IF(AJ494="A","ACCEPTÉ",IF(AJ494="NX","NX – RT À REFAIRE",IF(IF(AI494=1,X494,IF(AI494=2,AC494,""))="A","RÉPARÉ – À RADIOGRAPHIER",IF(IF(AI494=1,X494,IF(AI494=2,AC494,""))="R","VT REJETÉ – À REPRENDRE",IF(AJ494="CO","COUPE – À RESOUDER","À RÉPARER"))))))))))</f>
        <v/>
      </c>
      <c r="AL494" s="82" t="str">
        <f aca="false">IF(AND(ISNUMBER(P494),OR(AK494="À RADIOGRAPHIER",AK494="RÉPARÉ – À RADIOGRAPHIER",AK494="NX – RT À REFAIRE",AK494="À RÉPARER",AK494="COUPE – À RESOUDER",AK494="VT REJETÉ – À REPRENDRE")),MAX(0,'PROGRAMME RT'!$C$4-P494),"")</f>
        <v/>
      </c>
      <c r="AM494" s="78" t="n">
        <f aca="false">IF(AND(OR(AK494="À RADIOGRAPHIER",AK494="RÉPARÉ – À RADIOGRAPHIER",AK494="NX – RT À REFAIRE"),OR('PROGRAMME RT'!$D$5="TOUTES",B494='PROGRAMME RT'!$D$5)),1,0)</f>
        <v>0</v>
      </c>
      <c r="AN494" s="78" t="str">
        <f aca="false">IF(AM494=1,SUM(AM$7:AM494),"")</f>
        <v/>
      </c>
      <c r="AO494" s="78" t="n">
        <f aca="false">IF(AND(OR(AK494="À RÉPARER",AK494="COUPE – À RESOUDER",AK494="VT REJETÉ – À REPRENDRE"),OR(RÉPARATIONS!$D$5="TOUTES",B494=RÉPARATIONS!$D$5)),1,0)</f>
        <v>0</v>
      </c>
      <c r="AP494" s="78" t="str">
        <f aca="false">IF(AO494=1,SUM(AO$7:AO494),"")</f>
        <v/>
      </c>
    </row>
    <row r="495" customFormat="false" ht="15" hidden="false" customHeight="false" outlineLevel="0" collapsed="false">
      <c r="A495" s="78" t="str">
        <f aca="false">IF(E495="","",ROW()-6)</f>
        <v/>
      </c>
      <c r="B495" s="79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1"/>
      <c r="Q495" s="81"/>
      <c r="R495" s="80"/>
      <c r="S495" s="80"/>
      <c r="T495" s="81"/>
      <c r="U495" s="80"/>
      <c r="V495" s="80"/>
      <c r="W495" s="80"/>
      <c r="X495" s="80"/>
      <c r="Y495" s="81"/>
      <c r="Z495" s="80"/>
      <c r="AA495" s="80"/>
      <c r="AB495" s="80"/>
      <c r="AC495" s="80"/>
      <c r="AD495" s="81"/>
      <c r="AE495" s="80"/>
      <c r="AF495" s="80"/>
      <c r="AG495" s="81"/>
      <c r="AH495" s="79"/>
      <c r="AI495" s="78" t="str">
        <f aca="false">IF(E495="","",(V495&lt;&gt;"")+(AA495&lt;&gt;"")+(AF495&lt;&gt;""))</f>
        <v/>
      </c>
      <c r="AJ495" s="82" t="str">
        <f aca="false">IF(AF495&lt;&gt;"",AF495,IF(AA495&lt;&gt;"",AA495,IF(V495&lt;&gt;"",V495,"")))</f>
        <v/>
      </c>
      <c r="AK495" s="83" t="str">
        <f aca="false">IF(E495="","",IF(P495="","À SOUDER",IF(S495="","VT EN ATTENTE",IF(S495="R","VT REJETÉ – À REPRENDRE",IF(AJ495="","À RADIOGRAPHIER",IF(AJ495="A","ACCEPTÉ",IF(AJ495="NX","NX – RT À REFAIRE",IF(IF(AI495=1,X495,IF(AI495=2,AC495,""))="A","RÉPARÉ – À RADIOGRAPHIER",IF(IF(AI495=1,X495,IF(AI495=2,AC495,""))="R","VT REJETÉ – À REPRENDRE",IF(AJ495="CO","COUPE – À RESOUDER","À RÉPARER"))))))))))</f>
        <v/>
      </c>
      <c r="AL495" s="82" t="str">
        <f aca="false">IF(AND(ISNUMBER(P495),OR(AK495="À RADIOGRAPHIER",AK495="RÉPARÉ – À RADIOGRAPHIER",AK495="NX – RT À REFAIRE",AK495="À RÉPARER",AK495="COUPE – À RESOUDER",AK495="VT REJETÉ – À REPRENDRE")),MAX(0,'PROGRAMME RT'!$C$4-P495),"")</f>
        <v/>
      </c>
      <c r="AM495" s="78" t="n">
        <f aca="false">IF(AND(OR(AK495="À RADIOGRAPHIER",AK495="RÉPARÉ – À RADIOGRAPHIER",AK495="NX – RT À REFAIRE"),OR('PROGRAMME RT'!$D$5="TOUTES",B495='PROGRAMME RT'!$D$5)),1,0)</f>
        <v>0</v>
      </c>
      <c r="AN495" s="78" t="str">
        <f aca="false">IF(AM495=1,SUM(AM$7:AM495),"")</f>
        <v/>
      </c>
      <c r="AO495" s="78" t="n">
        <f aca="false">IF(AND(OR(AK495="À RÉPARER",AK495="COUPE – À RESOUDER",AK495="VT REJETÉ – À REPRENDRE"),OR(RÉPARATIONS!$D$5="TOUTES",B495=RÉPARATIONS!$D$5)),1,0)</f>
        <v>0</v>
      </c>
      <c r="AP495" s="78" t="str">
        <f aca="false">IF(AO495=1,SUM(AO$7:AO495),"")</f>
        <v/>
      </c>
    </row>
    <row r="496" customFormat="false" ht="15" hidden="false" customHeight="false" outlineLevel="0" collapsed="false">
      <c r="A496" s="78" t="str">
        <f aca="false">IF(E496="","",ROW()-6)</f>
        <v/>
      </c>
      <c r="B496" s="79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1"/>
      <c r="Q496" s="81"/>
      <c r="R496" s="80"/>
      <c r="S496" s="80"/>
      <c r="T496" s="81"/>
      <c r="U496" s="80"/>
      <c r="V496" s="80"/>
      <c r="W496" s="80"/>
      <c r="X496" s="80"/>
      <c r="Y496" s="81"/>
      <c r="Z496" s="80"/>
      <c r="AA496" s="80"/>
      <c r="AB496" s="80"/>
      <c r="AC496" s="80"/>
      <c r="AD496" s="81"/>
      <c r="AE496" s="80"/>
      <c r="AF496" s="80"/>
      <c r="AG496" s="81"/>
      <c r="AH496" s="79"/>
      <c r="AI496" s="78" t="str">
        <f aca="false">IF(E496="","",(V496&lt;&gt;"")+(AA496&lt;&gt;"")+(AF496&lt;&gt;""))</f>
        <v/>
      </c>
      <c r="AJ496" s="82" t="str">
        <f aca="false">IF(AF496&lt;&gt;"",AF496,IF(AA496&lt;&gt;"",AA496,IF(V496&lt;&gt;"",V496,"")))</f>
        <v/>
      </c>
      <c r="AK496" s="83" t="str">
        <f aca="false">IF(E496="","",IF(P496="","À SOUDER",IF(S496="","VT EN ATTENTE",IF(S496="R","VT REJETÉ – À REPRENDRE",IF(AJ496="","À RADIOGRAPHIER",IF(AJ496="A","ACCEPTÉ",IF(AJ496="NX","NX – RT À REFAIRE",IF(IF(AI496=1,X496,IF(AI496=2,AC496,""))="A","RÉPARÉ – À RADIOGRAPHIER",IF(IF(AI496=1,X496,IF(AI496=2,AC496,""))="R","VT REJETÉ – À REPRENDRE",IF(AJ496="CO","COUPE – À RESOUDER","À RÉPARER"))))))))))</f>
        <v/>
      </c>
      <c r="AL496" s="82" t="str">
        <f aca="false">IF(AND(ISNUMBER(P496),OR(AK496="À RADIOGRAPHIER",AK496="RÉPARÉ – À RADIOGRAPHIER",AK496="NX – RT À REFAIRE",AK496="À RÉPARER",AK496="COUPE – À RESOUDER",AK496="VT REJETÉ – À REPRENDRE")),MAX(0,'PROGRAMME RT'!$C$4-P496),"")</f>
        <v/>
      </c>
      <c r="AM496" s="78" t="n">
        <f aca="false">IF(AND(OR(AK496="À RADIOGRAPHIER",AK496="RÉPARÉ – À RADIOGRAPHIER",AK496="NX – RT À REFAIRE"),OR('PROGRAMME RT'!$D$5="TOUTES",B496='PROGRAMME RT'!$D$5)),1,0)</f>
        <v>0</v>
      </c>
      <c r="AN496" s="78" t="str">
        <f aca="false">IF(AM496=1,SUM(AM$7:AM496),"")</f>
        <v/>
      </c>
      <c r="AO496" s="78" t="n">
        <f aca="false">IF(AND(OR(AK496="À RÉPARER",AK496="COUPE – À RESOUDER",AK496="VT REJETÉ – À REPRENDRE"),OR(RÉPARATIONS!$D$5="TOUTES",B496=RÉPARATIONS!$D$5)),1,0)</f>
        <v>0</v>
      </c>
      <c r="AP496" s="78" t="str">
        <f aca="false">IF(AO496=1,SUM(AO$7:AO496),"")</f>
        <v/>
      </c>
    </row>
    <row r="497" customFormat="false" ht="15" hidden="false" customHeight="false" outlineLevel="0" collapsed="false">
      <c r="A497" s="78" t="str">
        <f aca="false">IF(E497="","",ROW()-6)</f>
        <v/>
      </c>
      <c r="B497" s="79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1"/>
      <c r="Q497" s="81"/>
      <c r="R497" s="80"/>
      <c r="S497" s="80"/>
      <c r="T497" s="81"/>
      <c r="U497" s="80"/>
      <c r="V497" s="80"/>
      <c r="W497" s="80"/>
      <c r="X497" s="80"/>
      <c r="Y497" s="81"/>
      <c r="Z497" s="80"/>
      <c r="AA497" s="80"/>
      <c r="AB497" s="80"/>
      <c r="AC497" s="80"/>
      <c r="AD497" s="81"/>
      <c r="AE497" s="80"/>
      <c r="AF497" s="80"/>
      <c r="AG497" s="81"/>
      <c r="AH497" s="79"/>
      <c r="AI497" s="78" t="str">
        <f aca="false">IF(E497="","",(V497&lt;&gt;"")+(AA497&lt;&gt;"")+(AF497&lt;&gt;""))</f>
        <v/>
      </c>
      <c r="AJ497" s="82" t="str">
        <f aca="false">IF(AF497&lt;&gt;"",AF497,IF(AA497&lt;&gt;"",AA497,IF(V497&lt;&gt;"",V497,"")))</f>
        <v/>
      </c>
      <c r="AK497" s="83" t="str">
        <f aca="false">IF(E497="","",IF(P497="","À SOUDER",IF(S497="","VT EN ATTENTE",IF(S497="R","VT REJETÉ – À REPRENDRE",IF(AJ497="","À RADIOGRAPHIER",IF(AJ497="A","ACCEPTÉ",IF(AJ497="NX","NX – RT À REFAIRE",IF(IF(AI497=1,X497,IF(AI497=2,AC497,""))="A","RÉPARÉ – À RADIOGRAPHIER",IF(IF(AI497=1,X497,IF(AI497=2,AC497,""))="R","VT REJETÉ – À REPRENDRE",IF(AJ497="CO","COUPE – À RESOUDER","À RÉPARER"))))))))))</f>
        <v/>
      </c>
      <c r="AL497" s="82" t="str">
        <f aca="false">IF(AND(ISNUMBER(P497),OR(AK497="À RADIOGRAPHIER",AK497="RÉPARÉ – À RADIOGRAPHIER",AK497="NX – RT À REFAIRE",AK497="À RÉPARER",AK497="COUPE – À RESOUDER",AK497="VT REJETÉ – À REPRENDRE")),MAX(0,'PROGRAMME RT'!$C$4-P497),"")</f>
        <v/>
      </c>
      <c r="AM497" s="78" t="n">
        <f aca="false">IF(AND(OR(AK497="À RADIOGRAPHIER",AK497="RÉPARÉ – À RADIOGRAPHIER",AK497="NX – RT À REFAIRE"),OR('PROGRAMME RT'!$D$5="TOUTES",B497='PROGRAMME RT'!$D$5)),1,0)</f>
        <v>0</v>
      </c>
      <c r="AN497" s="78" t="str">
        <f aca="false">IF(AM497=1,SUM(AM$7:AM497),"")</f>
        <v/>
      </c>
      <c r="AO497" s="78" t="n">
        <f aca="false">IF(AND(OR(AK497="À RÉPARER",AK497="COUPE – À RESOUDER",AK497="VT REJETÉ – À REPRENDRE"),OR(RÉPARATIONS!$D$5="TOUTES",B497=RÉPARATIONS!$D$5)),1,0)</f>
        <v>0</v>
      </c>
      <c r="AP497" s="78" t="str">
        <f aca="false">IF(AO497=1,SUM(AO$7:AO497),"")</f>
        <v/>
      </c>
    </row>
    <row r="498" customFormat="false" ht="15" hidden="false" customHeight="false" outlineLevel="0" collapsed="false">
      <c r="A498" s="78" t="str">
        <f aca="false">IF(E498="","",ROW()-6)</f>
        <v/>
      </c>
      <c r="B498" s="79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1"/>
      <c r="Q498" s="81"/>
      <c r="R498" s="80"/>
      <c r="S498" s="80"/>
      <c r="T498" s="81"/>
      <c r="U498" s="80"/>
      <c r="V498" s="80"/>
      <c r="W498" s="80"/>
      <c r="X498" s="80"/>
      <c r="Y498" s="81"/>
      <c r="Z498" s="80"/>
      <c r="AA498" s="80"/>
      <c r="AB498" s="80"/>
      <c r="AC498" s="80"/>
      <c r="AD498" s="81"/>
      <c r="AE498" s="80"/>
      <c r="AF498" s="80"/>
      <c r="AG498" s="81"/>
      <c r="AH498" s="79"/>
      <c r="AI498" s="78" t="str">
        <f aca="false">IF(E498="","",(V498&lt;&gt;"")+(AA498&lt;&gt;"")+(AF498&lt;&gt;""))</f>
        <v/>
      </c>
      <c r="AJ498" s="82" t="str">
        <f aca="false">IF(AF498&lt;&gt;"",AF498,IF(AA498&lt;&gt;"",AA498,IF(V498&lt;&gt;"",V498,"")))</f>
        <v/>
      </c>
      <c r="AK498" s="83" t="str">
        <f aca="false">IF(E498="","",IF(P498="","À SOUDER",IF(S498="","VT EN ATTENTE",IF(S498="R","VT REJETÉ – À REPRENDRE",IF(AJ498="","À RADIOGRAPHIER",IF(AJ498="A","ACCEPTÉ",IF(AJ498="NX","NX – RT À REFAIRE",IF(IF(AI498=1,X498,IF(AI498=2,AC498,""))="A","RÉPARÉ – À RADIOGRAPHIER",IF(IF(AI498=1,X498,IF(AI498=2,AC498,""))="R","VT REJETÉ – À REPRENDRE",IF(AJ498="CO","COUPE – À RESOUDER","À RÉPARER"))))))))))</f>
        <v/>
      </c>
      <c r="AL498" s="82" t="str">
        <f aca="false">IF(AND(ISNUMBER(P498),OR(AK498="À RADIOGRAPHIER",AK498="RÉPARÉ – À RADIOGRAPHIER",AK498="NX – RT À REFAIRE",AK498="À RÉPARER",AK498="COUPE – À RESOUDER",AK498="VT REJETÉ – À REPRENDRE")),MAX(0,'PROGRAMME RT'!$C$4-P498),"")</f>
        <v/>
      </c>
      <c r="AM498" s="78" t="n">
        <f aca="false">IF(AND(OR(AK498="À RADIOGRAPHIER",AK498="RÉPARÉ – À RADIOGRAPHIER",AK498="NX – RT À REFAIRE"),OR('PROGRAMME RT'!$D$5="TOUTES",B498='PROGRAMME RT'!$D$5)),1,0)</f>
        <v>0</v>
      </c>
      <c r="AN498" s="78" t="str">
        <f aca="false">IF(AM498=1,SUM(AM$7:AM498),"")</f>
        <v/>
      </c>
      <c r="AO498" s="78" t="n">
        <f aca="false">IF(AND(OR(AK498="À RÉPARER",AK498="COUPE – À RESOUDER",AK498="VT REJETÉ – À REPRENDRE"),OR(RÉPARATIONS!$D$5="TOUTES",B498=RÉPARATIONS!$D$5)),1,0)</f>
        <v>0</v>
      </c>
      <c r="AP498" s="78" t="str">
        <f aca="false">IF(AO498=1,SUM(AO$7:AO498),"")</f>
        <v/>
      </c>
    </row>
    <row r="499" customFormat="false" ht="15" hidden="false" customHeight="false" outlineLevel="0" collapsed="false">
      <c r="A499" s="78" t="str">
        <f aca="false">IF(E499="","",ROW()-6)</f>
        <v/>
      </c>
      <c r="B499" s="79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1"/>
      <c r="Q499" s="81"/>
      <c r="R499" s="80"/>
      <c r="S499" s="80"/>
      <c r="T499" s="81"/>
      <c r="U499" s="80"/>
      <c r="V499" s="80"/>
      <c r="W499" s="80"/>
      <c r="X499" s="80"/>
      <c r="Y499" s="81"/>
      <c r="Z499" s="80"/>
      <c r="AA499" s="80"/>
      <c r="AB499" s="80"/>
      <c r="AC499" s="80"/>
      <c r="AD499" s="81"/>
      <c r="AE499" s="80"/>
      <c r="AF499" s="80"/>
      <c r="AG499" s="81"/>
      <c r="AH499" s="79"/>
      <c r="AI499" s="78" t="str">
        <f aca="false">IF(E499="","",(V499&lt;&gt;"")+(AA499&lt;&gt;"")+(AF499&lt;&gt;""))</f>
        <v/>
      </c>
      <c r="AJ499" s="82" t="str">
        <f aca="false">IF(AF499&lt;&gt;"",AF499,IF(AA499&lt;&gt;"",AA499,IF(V499&lt;&gt;"",V499,"")))</f>
        <v/>
      </c>
      <c r="AK499" s="83" t="str">
        <f aca="false">IF(E499="","",IF(P499="","À SOUDER",IF(S499="","VT EN ATTENTE",IF(S499="R","VT REJETÉ – À REPRENDRE",IF(AJ499="","À RADIOGRAPHIER",IF(AJ499="A","ACCEPTÉ",IF(AJ499="NX","NX – RT À REFAIRE",IF(IF(AI499=1,X499,IF(AI499=2,AC499,""))="A","RÉPARÉ – À RADIOGRAPHIER",IF(IF(AI499=1,X499,IF(AI499=2,AC499,""))="R","VT REJETÉ – À REPRENDRE",IF(AJ499="CO","COUPE – À RESOUDER","À RÉPARER"))))))))))</f>
        <v/>
      </c>
      <c r="AL499" s="82" t="str">
        <f aca="false">IF(AND(ISNUMBER(P499),OR(AK499="À RADIOGRAPHIER",AK499="RÉPARÉ – À RADIOGRAPHIER",AK499="NX – RT À REFAIRE",AK499="À RÉPARER",AK499="COUPE – À RESOUDER",AK499="VT REJETÉ – À REPRENDRE")),MAX(0,'PROGRAMME RT'!$C$4-P499),"")</f>
        <v/>
      </c>
      <c r="AM499" s="78" t="n">
        <f aca="false">IF(AND(OR(AK499="À RADIOGRAPHIER",AK499="RÉPARÉ – À RADIOGRAPHIER",AK499="NX – RT À REFAIRE"),OR('PROGRAMME RT'!$D$5="TOUTES",B499='PROGRAMME RT'!$D$5)),1,0)</f>
        <v>0</v>
      </c>
      <c r="AN499" s="78" t="str">
        <f aca="false">IF(AM499=1,SUM(AM$7:AM499),"")</f>
        <v/>
      </c>
      <c r="AO499" s="78" t="n">
        <f aca="false">IF(AND(OR(AK499="À RÉPARER",AK499="COUPE – À RESOUDER",AK499="VT REJETÉ – À REPRENDRE"),OR(RÉPARATIONS!$D$5="TOUTES",B499=RÉPARATIONS!$D$5)),1,0)</f>
        <v>0</v>
      </c>
      <c r="AP499" s="78" t="str">
        <f aca="false">IF(AO499=1,SUM(AO$7:AO499),"")</f>
        <v/>
      </c>
    </row>
    <row r="500" customFormat="false" ht="15" hidden="false" customHeight="false" outlineLevel="0" collapsed="false">
      <c r="A500" s="78" t="str">
        <f aca="false">IF(E500="","",ROW()-6)</f>
        <v/>
      </c>
      <c r="B500" s="79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1"/>
      <c r="Q500" s="81"/>
      <c r="R500" s="80"/>
      <c r="S500" s="80"/>
      <c r="T500" s="81"/>
      <c r="U500" s="80"/>
      <c r="V500" s="80"/>
      <c r="W500" s="80"/>
      <c r="X500" s="80"/>
      <c r="Y500" s="81"/>
      <c r="Z500" s="80"/>
      <c r="AA500" s="80"/>
      <c r="AB500" s="80"/>
      <c r="AC500" s="80"/>
      <c r="AD500" s="81"/>
      <c r="AE500" s="80"/>
      <c r="AF500" s="80"/>
      <c r="AG500" s="81"/>
      <c r="AH500" s="79"/>
      <c r="AI500" s="78" t="str">
        <f aca="false">IF(E500="","",(V500&lt;&gt;"")+(AA500&lt;&gt;"")+(AF500&lt;&gt;""))</f>
        <v/>
      </c>
      <c r="AJ500" s="82" t="str">
        <f aca="false">IF(AF500&lt;&gt;"",AF500,IF(AA500&lt;&gt;"",AA500,IF(V500&lt;&gt;"",V500,"")))</f>
        <v/>
      </c>
      <c r="AK500" s="83" t="str">
        <f aca="false">IF(E500="","",IF(P500="","À SOUDER",IF(S500="","VT EN ATTENTE",IF(S500="R","VT REJETÉ – À REPRENDRE",IF(AJ500="","À RADIOGRAPHIER",IF(AJ500="A","ACCEPTÉ",IF(AJ500="NX","NX – RT À REFAIRE",IF(IF(AI500=1,X500,IF(AI500=2,AC500,""))="A","RÉPARÉ – À RADIOGRAPHIER",IF(IF(AI500=1,X500,IF(AI500=2,AC500,""))="R","VT REJETÉ – À REPRENDRE",IF(AJ500="CO","COUPE – À RESOUDER","À RÉPARER"))))))))))</f>
        <v/>
      </c>
      <c r="AL500" s="82" t="str">
        <f aca="false">IF(AND(ISNUMBER(P500),OR(AK500="À RADIOGRAPHIER",AK500="RÉPARÉ – À RADIOGRAPHIER",AK500="NX – RT À REFAIRE",AK500="À RÉPARER",AK500="COUPE – À RESOUDER",AK500="VT REJETÉ – À REPRENDRE")),MAX(0,'PROGRAMME RT'!$C$4-P500),"")</f>
        <v/>
      </c>
      <c r="AM500" s="78" t="n">
        <f aca="false">IF(AND(OR(AK500="À RADIOGRAPHIER",AK500="RÉPARÉ – À RADIOGRAPHIER",AK500="NX – RT À REFAIRE"),OR('PROGRAMME RT'!$D$5="TOUTES",B500='PROGRAMME RT'!$D$5)),1,0)</f>
        <v>0</v>
      </c>
      <c r="AN500" s="78" t="str">
        <f aca="false">IF(AM500=1,SUM(AM$7:AM500),"")</f>
        <v/>
      </c>
      <c r="AO500" s="78" t="n">
        <f aca="false">IF(AND(OR(AK500="À RÉPARER",AK500="COUPE – À RESOUDER",AK500="VT REJETÉ – À REPRENDRE"),OR(RÉPARATIONS!$D$5="TOUTES",B500=RÉPARATIONS!$D$5)),1,0)</f>
        <v>0</v>
      </c>
      <c r="AP500" s="78" t="str">
        <f aca="false">IF(AO500=1,SUM(AO$7:AO500),"")</f>
        <v/>
      </c>
    </row>
    <row r="501" customFormat="false" ht="15" hidden="false" customHeight="false" outlineLevel="0" collapsed="false">
      <c r="A501" s="78" t="str">
        <f aca="false">IF(E501="","",ROW()-6)</f>
        <v/>
      </c>
      <c r="B501" s="79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1"/>
      <c r="Q501" s="81"/>
      <c r="R501" s="80"/>
      <c r="S501" s="80"/>
      <c r="T501" s="81"/>
      <c r="U501" s="80"/>
      <c r="V501" s="80"/>
      <c r="W501" s="80"/>
      <c r="X501" s="80"/>
      <c r="Y501" s="81"/>
      <c r="Z501" s="80"/>
      <c r="AA501" s="80"/>
      <c r="AB501" s="80"/>
      <c r="AC501" s="80"/>
      <c r="AD501" s="81"/>
      <c r="AE501" s="80"/>
      <c r="AF501" s="80"/>
      <c r="AG501" s="81"/>
      <c r="AH501" s="79"/>
      <c r="AI501" s="78" t="str">
        <f aca="false">IF(E501="","",(V501&lt;&gt;"")+(AA501&lt;&gt;"")+(AF501&lt;&gt;""))</f>
        <v/>
      </c>
      <c r="AJ501" s="82" t="str">
        <f aca="false">IF(AF501&lt;&gt;"",AF501,IF(AA501&lt;&gt;"",AA501,IF(V501&lt;&gt;"",V501,"")))</f>
        <v/>
      </c>
      <c r="AK501" s="83" t="str">
        <f aca="false">IF(E501="","",IF(P501="","À SOUDER",IF(S501="","VT EN ATTENTE",IF(S501="R","VT REJETÉ – À REPRENDRE",IF(AJ501="","À RADIOGRAPHIER",IF(AJ501="A","ACCEPTÉ",IF(AJ501="NX","NX – RT À REFAIRE",IF(IF(AI501=1,X501,IF(AI501=2,AC501,""))="A","RÉPARÉ – À RADIOGRAPHIER",IF(IF(AI501=1,X501,IF(AI501=2,AC501,""))="R","VT REJETÉ – À REPRENDRE",IF(AJ501="CO","COUPE – À RESOUDER","À RÉPARER"))))))))))</f>
        <v/>
      </c>
      <c r="AL501" s="82" t="str">
        <f aca="false">IF(AND(ISNUMBER(P501),OR(AK501="À RADIOGRAPHIER",AK501="RÉPARÉ – À RADIOGRAPHIER",AK501="NX – RT À REFAIRE",AK501="À RÉPARER",AK501="COUPE – À RESOUDER",AK501="VT REJETÉ – À REPRENDRE")),MAX(0,'PROGRAMME RT'!$C$4-P501),"")</f>
        <v/>
      </c>
      <c r="AM501" s="78" t="n">
        <f aca="false">IF(AND(OR(AK501="À RADIOGRAPHIER",AK501="RÉPARÉ – À RADIOGRAPHIER",AK501="NX – RT À REFAIRE"),OR('PROGRAMME RT'!$D$5="TOUTES",B501='PROGRAMME RT'!$D$5)),1,0)</f>
        <v>0</v>
      </c>
      <c r="AN501" s="78" t="str">
        <f aca="false">IF(AM501=1,SUM(AM$7:AM501),"")</f>
        <v/>
      </c>
      <c r="AO501" s="78" t="n">
        <f aca="false">IF(AND(OR(AK501="À RÉPARER",AK501="COUPE – À RESOUDER",AK501="VT REJETÉ – À REPRENDRE"),OR(RÉPARATIONS!$D$5="TOUTES",B501=RÉPARATIONS!$D$5)),1,0)</f>
        <v>0</v>
      </c>
      <c r="AP501" s="78" t="str">
        <f aca="false">IF(AO501=1,SUM(AO$7:AO501),"")</f>
        <v/>
      </c>
    </row>
    <row r="502" customFormat="false" ht="15" hidden="false" customHeight="false" outlineLevel="0" collapsed="false">
      <c r="A502" s="78" t="str">
        <f aca="false">IF(E502="","",ROW()-6)</f>
        <v/>
      </c>
      <c r="B502" s="79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1"/>
      <c r="Q502" s="81"/>
      <c r="R502" s="80"/>
      <c r="S502" s="80"/>
      <c r="T502" s="81"/>
      <c r="U502" s="80"/>
      <c r="V502" s="80"/>
      <c r="W502" s="80"/>
      <c r="X502" s="80"/>
      <c r="Y502" s="81"/>
      <c r="Z502" s="80"/>
      <c r="AA502" s="80"/>
      <c r="AB502" s="80"/>
      <c r="AC502" s="80"/>
      <c r="AD502" s="81"/>
      <c r="AE502" s="80"/>
      <c r="AF502" s="80"/>
      <c r="AG502" s="81"/>
      <c r="AH502" s="79"/>
      <c r="AI502" s="78" t="str">
        <f aca="false">IF(E502="","",(V502&lt;&gt;"")+(AA502&lt;&gt;"")+(AF502&lt;&gt;""))</f>
        <v/>
      </c>
      <c r="AJ502" s="82" t="str">
        <f aca="false">IF(AF502&lt;&gt;"",AF502,IF(AA502&lt;&gt;"",AA502,IF(V502&lt;&gt;"",V502,"")))</f>
        <v/>
      </c>
      <c r="AK502" s="83" t="str">
        <f aca="false">IF(E502="","",IF(P502="","À SOUDER",IF(S502="","VT EN ATTENTE",IF(S502="R","VT REJETÉ – À REPRENDRE",IF(AJ502="","À RADIOGRAPHIER",IF(AJ502="A","ACCEPTÉ",IF(AJ502="NX","NX – RT À REFAIRE",IF(IF(AI502=1,X502,IF(AI502=2,AC502,""))="A","RÉPARÉ – À RADIOGRAPHIER",IF(IF(AI502=1,X502,IF(AI502=2,AC502,""))="R","VT REJETÉ – À REPRENDRE",IF(AJ502="CO","COUPE – À RESOUDER","À RÉPARER"))))))))))</f>
        <v/>
      </c>
      <c r="AL502" s="82" t="str">
        <f aca="false">IF(AND(ISNUMBER(P502),OR(AK502="À RADIOGRAPHIER",AK502="RÉPARÉ – À RADIOGRAPHIER",AK502="NX – RT À REFAIRE",AK502="À RÉPARER",AK502="COUPE – À RESOUDER",AK502="VT REJETÉ – À REPRENDRE")),MAX(0,'PROGRAMME RT'!$C$4-P502),"")</f>
        <v/>
      </c>
      <c r="AM502" s="78" t="n">
        <f aca="false">IF(AND(OR(AK502="À RADIOGRAPHIER",AK502="RÉPARÉ – À RADIOGRAPHIER",AK502="NX – RT À REFAIRE"),OR('PROGRAMME RT'!$D$5="TOUTES",B502='PROGRAMME RT'!$D$5)),1,0)</f>
        <v>0</v>
      </c>
      <c r="AN502" s="78" t="str">
        <f aca="false">IF(AM502=1,SUM(AM$7:AM502),"")</f>
        <v/>
      </c>
      <c r="AO502" s="78" t="n">
        <f aca="false">IF(AND(OR(AK502="À RÉPARER",AK502="COUPE – À RESOUDER",AK502="VT REJETÉ – À REPRENDRE"),OR(RÉPARATIONS!$D$5="TOUTES",B502=RÉPARATIONS!$D$5)),1,0)</f>
        <v>0</v>
      </c>
      <c r="AP502" s="78" t="str">
        <f aca="false">IF(AO502=1,SUM(AO$7:AO502),"")</f>
        <v/>
      </c>
    </row>
    <row r="503" customFormat="false" ht="15" hidden="false" customHeight="false" outlineLevel="0" collapsed="false">
      <c r="A503" s="78" t="str">
        <f aca="false">IF(E503="","",ROW()-6)</f>
        <v/>
      </c>
      <c r="B503" s="79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1"/>
      <c r="Q503" s="81"/>
      <c r="R503" s="80"/>
      <c r="S503" s="80"/>
      <c r="T503" s="81"/>
      <c r="U503" s="80"/>
      <c r="V503" s="80"/>
      <c r="W503" s="80"/>
      <c r="X503" s="80"/>
      <c r="Y503" s="81"/>
      <c r="Z503" s="80"/>
      <c r="AA503" s="80"/>
      <c r="AB503" s="80"/>
      <c r="AC503" s="80"/>
      <c r="AD503" s="81"/>
      <c r="AE503" s="80"/>
      <c r="AF503" s="80"/>
      <c r="AG503" s="81"/>
      <c r="AH503" s="79"/>
      <c r="AI503" s="78" t="str">
        <f aca="false">IF(E503="","",(V503&lt;&gt;"")+(AA503&lt;&gt;"")+(AF503&lt;&gt;""))</f>
        <v/>
      </c>
      <c r="AJ503" s="82" t="str">
        <f aca="false">IF(AF503&lt;&gt;"",AF503,IF(AA503&lt;&gt;"",AA503,IF(V503&lt;&gt;"",V503,"")))</f>
        <v/>
      </c>
      <c r="AK503" s="83" t="str">
        <f aca="false">IF(E503="","",IF(P503="","À SOUDER",IF(S503="","VT EN ATTENTE",IF(S503="R","VT REJETÉ – À REPRENDRE",IF(AJ503="","À RADIOGRAPHIER",IF(AJ503="A","ACCEPTÉ",IF(AJ503="NX","NX – RT À REFAIRE",IF(IF(AI503=1,X503,IF(AI503=2,AC503,""))="A","RÉPARÉ – À RADIOGRAPHIER",IF(IF(AI503=1,X503,IF(AI503=2,AC503,""))="R","VT REJETÉ – À REPRENDRE",IF(AJ503="CO","COUPE – À RESOUDER","À RÉPARER"))))))))))</f>
        <v/>
      </c>
      <c r="AL503" s="82" t="str">
        <f aca="false">IF(AND(ISNUMBER(P503),OR(AK503="À RADIOGRAPHIER",AK503="RÉPARÉ – À RADIOGRAPHIER",AK503="NX – RT À REFAIRE",AK503="À RÉPARER",AK503="COUPE – À RESOUDER",AK503="VT REJETÉ – À REPRENDRE")),MAX(0,'PROGRAMME RT'!$C$4-P503),"")</f>
        <v/>
      </c>
      <c r="AM503" s="78" t="n">
        <f aca="false">IF(AND(OR(AK503="À RADIOGRAPHIER",AK503="RÉPARÉ – À RADIOGRAPHIER",AK503="NX – RT À REFAIRE"),OR('PROGRAMME RT'!$D$5="TOUTES",B503='PROGRAMME RT'!$D$5)),1,0)</f>
        <v>0</v>
      </c>
      <c r="AN503" s="78" t="str">
        <f aca="false">IF(AM503=1,SUM(AM$7:AM503),"")</f>
        <v/>
      </c>
      <c r="AO503" s="78" t="n">
        <f aca="false">IF(AND(OR(AK503="À RÉPARER",AK503="COUPE – À RESOUDER",AK503="VT REJETÉ – À REPRENDRE"),OR(RÉPARATIONS!$D$5="TOUTES",B503=RÉPARATIONS!$D$5)),1,0)</f>
        <v>0</v>
      </c>
      <c r="AP503" s="78" t="str">
        <f aca="false">IF(AO503=1,SUM(AO$7:AO503),"")</f>
        <v/>
      </c>
    </row>
    <row r="504" customFormat="false" ht="15" hidden="false" customHeight="false" outlineLevel="0" collapsed="false">
      <c r="A504" s="78" t="str">
        <f aca="false">IF(E504="","",ROW()-6)</f>
        <v/>
      </c>
      <c r="B504" s="79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1"/>
      <c r="Q504" s="81"/>
      <c r="R504" s="80"/>
      <c r="S504" s="80"/>
      <c r="T504" s="81"/>
      <c r="U504" s="80"/>
      <c r="V504" s="80"/>
      <c r="W504" s="80"/>
      <c r="X504" s="80"/>
      <c r="Y504" s="81"/>
      <c r="Z504" s="80"/>
      <c r="AA504" s="80"/>
      <c r="AB504" s="80"/>
      <c r="AC504" s="80"/>
      <c r="AD504" s="81"/>
      <c r="AE504" s="80"/>
      <c r="AF504" s="80"/>
      <c r="AG504" s="81"/>
      <c r="AH504" s="79"/>
      <c r="AI504" s="78" t="str">
        <f aca="false">IF(E504="","",(V504&lt;&gt;"")+(AA504&lt;&gt;"")+(AF504&lt;&gt;""))</f>
        <v/>
      </c>
      <c r="AJ504" s="82" t="str">
        <f aca="false">IF(AF504&lt;&gt;"",AF504,IF(AA504&lt;&gt;"",AA504,IF(V504&lt;&gt;"",V504,"")))</f>
        <v/>
      </c>
      <c r="AK504" s="83" t="str">
        <f aca="false">IF(E504="","",IF(P504="","À SOUDER",IF(S504="","VT EN ATTENTE",IF(S504="R","VT REJETÉ – À REPRENDRE",IF(AJ504="","À RADIOGRAPHIER",IF(AJ504="A","ACCEPTÉ",IF(AJ504="NX","NX – RT À REFAIRE",IF(IF(AI504=1,X504,IF(AI504=2,AC504,""))="A","RÉPARÉ – À RADIOGRAPHIER",IF(IF(AI504=1,X504,IF(AI504=2,AC504,""))="R","VT REJETÉ – À REPRENDRE",IF(AJ504="CO","COUPE – À RESOUDER","À RÉPARER"))))))))))</f>
        <v/>
      </c>
      <c r="AL504" s="82" t="str">
        <f aca="false">IF(AND(ISNUMBER(P504),OR(AK504="À RADIOGRAPHIER",AK504="RÉPARÉ – À RADIOGRAPHIER",AK504="NX – RT À REFAIRE",AK504="À RÉPARER",AK504="COUPE – À RESOUDER",AK504="VT REJETÉ – À REPRENDRE")),MAX(0,'PROGRAMME RT'!$C$4-P504),"")</f>
        <v/>
      </c>
      <c r="AM504" s="78" t="n">
        <f aca="false">IF(AND(OR(AK504="À RADIOGRAPHIER",AK504="RÉPARÉ – À RADIOGRAPHIER",AK504="NX – RT À REFAIRE"),OR('PROGRAMME RT'!$D$5="TOUTES",B504='PROGRAMME RT'!$D$5)),1,0)</f>
        <v>0</v>
      </c>
      <c r="AN504" s="78" t="str">
        <f aca="false">IF(AM504=1,SUM(AM$7:AM504),"")</f>
        <v/>
      </c>
      <c r="AO504" s="78" t="n">
        <f aca="false">IF(AND(OR(AK504="À RÉPARER",AK504="COUPE – À RESOUDER",AK504="VT REJETÉ – À REPRENDRE"),OR(RÉPARATIONS!$D$5="TOUTES",B504=RÉPARATIONS!$D$5)),1,0)</f>
        <v>0</v>
      </c>
      <c r="AP504" s="78" t="str">
        <f aca="false">IF(AO504=1,SUM(AO$7:AO504),"")</f>
        <v/>
      </c>
    </row>
    <row r="505" customFormat="false" ht="15" hidden="false" customHeight="false" outlineLevel="0" collapsed="false">
      <c r="A505" s="78" t="str">
        <f aca="false">IF(E505="","",ROW()-6)</f>
        <v/>
      </c>
      <c r="B505" s="79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1"/>
      <c r="Q505" s="81"/>
      <c r="R505" s="80"/>
      <c r="S505" s="80"/>
      <c r="T505" s="81"/>
      <c r="U505" s="80"/>
      <c r="V505" s="80"/>
      <c r="W505" s="80"/>
      <c r="X505" s="80"/>
      <c r="Y505" s="81"/>
      <c r="Z505" s="80"/>
      <c r="AA505" s="80"/>
      <c r="AB505" s="80"/>
      <c r="AC505" s="80"/>
      <c r="AD505" s="81"/>
      <c r="AE505" s="80"/>
      <c r="AF505" s="80"/>
      <c r="AG505" s="81"/>
      <c r="AH505" s="79"/>
      <c r="AI505" s="78" t="str">
        <f aca="false">IF(E505="","",(V505&lt;&gt;"")+(AA505&lt;&gt;"")+(AF505&lt;&gt;""))</f>
        <v/>
      </c>
      <c r="AJ505" s="82" t="str">
        <f aca="false">IF(AF505&lt;&gt;"",AF505,IF(AA505&lt;&gt;"",AA505,IF(V505&lt;&gt;"",V505,"")))</f>
        <v/>
      </c>
      <c r="AK505" s="83" t="str">
        <f aca="false">IF(E505="","",IF(P505="","À SOUDER",IF(S505="","VT EN ATTENTE",IF(S505="R","VT REJETÉ – À REPRENDRE",IF(AJ505="","À RADIOGRAPHIER",IF(AJ505="A","ACCEPTÉ",IF(AJ505="NX","NX – RT À REFAIRE",IF(IF(AI505=1,X505,IF(AI505=2,AC505,""))="A","RÉPARÉ – À RADIOGRAPHIER",IF(IF(AI505=1,X505,IF(AI505=2,AC505,""))="R","VT REJETÉ – À REPRENDRE",IF(AJ505="CO","COUPE – À RESOUDER","À RÉPARER"))))))))))</f>
        <v/>
      </c>
      <c r="AL505" s="82" t="str">
        <f aca="false">IF(AND(ISNUMBER(P505),OR(AK505="À RADIOGRAPHIER",AK505="RÉPARÉ – À RADIOGRAPHIER",AK505="NX – RT À REFAIRE",AK505="À RÉPARER",AK505="COUPE – À RESOUDER",AK505="VT REJETÉ – À REPRENDRE")),MAX(0,'PROGRAMME RT'!$C$4-P505),"")</f>
        <v/>
      </c>
      <c r="AM505" s="78" t="n">
        <f aca="false">IF(AND(OR(AK505="À RADIOGRAPHIER",AK505="RÉPARÉ – À RADIOGRAPHIER",AK505="NX – RT À REFAIRE"),OR('PROGRAMME RT'!$D$5="TOUTES",B505='PROGRAMME RT'!$D$5)),1,0)</f>
        <v>0</v>
      </c>
      <c r="AN505" s="78" t="str">
        <f aca="false">IF(AM505=1,SUM(AM$7:AM505),"")</f>
        <v/>
      </c>
      <c r="AO505" s="78" t="n">
        <f aca="false">IF(AND(OR(AK505="À RÉPARER",AK505="COUPE – À RESOUDER",AK505="VT REJETÉ – À REPRENDRE"),OR(RÉPARATIONS!$D$5="TOUTES",B505=RÉPARATIONS!$D$5)),1,0)</f>
        <v>0</v>
      </c>
      <c r="AP505" s="78" t="str">
        <f aca="false">IF(AO505=1,SUM(AO$7:AO505),"")</f>
        <v/>
      </c>
    </row>
    <row r="506" customFormat="false" ht="15" hidden="false" customHeight="false" outlineLevel="0" collapsed="false">
      <c r="A506" s="78" t="str">
        <f aca="false">IF(E506="","",ROW()-6)</f>
        <v/>
      </c>
      <c r="B506" s="79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1"/>
      <c r="Q506" s="81"/>
      <c r="R506" s="80"/>
      <c r="S506" s="80"/>
      <c r="T506" s="81"/>
      <c r="U506" s="80"/>
      <c r="V506" s="80"/>
      <c r="W506" s="80"/>
      <c r="X506" s="80"/>
      <c r="Y506" s="81"/>
      <c r="Z506" s="80"/>
      <c r="AA506" s="80"/>
      <c r="AB506" s="80"/>
      <c r="AC506" s="80"/>
      <c r="AD506" s="81"/>
      <c r="AE506" s="80"/>
      <c r="AF506" s="80"/>
      <c r="AG506" s="81"/>
      <c r="AH506" s="79"/>
      <c r="AI506" s="78" t="str">
        <f aca="false">IF(E506="","",(V506&lt;&gt;"")+(AA506&lt;&gt;"")+(AF506&lt;&gt;""))</f>
        <v/>
      </c>
      <c r="AJ506" s="82" t="str">
        <f aca="false">IF(AF506&lt;&gt;"",AF506,IF(AA506&lt;&gt;"",AA506,IF(V506&lt;&gt;"",V506,"")))</f>
        <v/>
      </c>
      <c r="AK506" s="83" t="str">
        <f aca="false">IF(E506="","",IF(P506="","À SOUDER",IF(S506="","VT EN ATTENTE",IF(S506="R","VT REJETÉ – À REPRENDRE",IF(AJ506="","À RADIOGRAPHIER",IF(AJ506="A","ACCEPTÉ",IF(AJ506="NX","NX – RT À REFAIRE",IF(IF(AI506=1,X506,IF(AI506=2,AC506,""))="A","RÉPARÉ – À RADIOGRAPHIER",IF(IF(AI506=1,X506,IF(AI506=2,AC506,""))="R","VT REJETÉ – À REPRENDRE",IF(AJ506="CO","COUPE – À RESOUDER","À RÉPARER"))))))))))</f>
        <v/>
      </c>
      <c r="AL506" s="82" t="str">
        <f aca="false">IF(AND(ISNUMBER(P506),OR(AK506="À RADIOGRAPHIER",AK506="RÉPARÉ – À RADIOGRAPHIER",AK506="NX – RT À REFAIRE",AK506="À RÉPARER",AK506="COUPE – À RESOUDER",AK506="VT REJETÉ – À REPRENDRE")),MAX(0,'PROGRAMME RT'!$C$4-P506),"")</f>
        <v/>
      </c>
      <c r="AM506" s="78" t="n">
        <f aca="false">IF(AND(OR(AK506="À RADIOGRAPHIER",AK506="RÉPARÉ – À RADIOGRAPHIER",AK506="NX – RT À REFAIRE"),OR('PROGRAMME RT'!$D$5="TOUTES",B506='PROGRAMME RT'!$D$5)),1,0)</f>
        <v>0</v>
      </c>
      <c r="AN506" s="78" t="str">
        <f aca="false">IF(AM506=1,SUM(AM$7:AM506),"")</f>
        <v/>
      </c>
      <c r="AO506" s="78" t="n">
        <f aca="false">IF(AND(OR(AK506="À RÉPARER",AK506="COUPE – À RESOUDER",AK506="VT REJETÉ – À REPRENDRE"),OR(RÉPARATIONS!$D$5="TOUTES",B506=RÉPARATIONS!$D$5)),1,0)</f>
        <v>0</v>
      </c>
      <c r="AP506" s="78" t="str">
        <f aca="false">IF(AO506=1,SUM(AO$7:AO506),"")</f>
        <v/>
      </c>
    </row>
    <row r="507" customFormat="false" ht="15" hidden="false" customHeight="false" outlineLevel="0" collapsed="false">
      <c r="A507" s="78" t="str">
        <f aca="false">IF(E507="","",ROW()-6)</f>
        <v/>
      </c>
      <c r="B507" s="79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1"/>
      <c r="Q507" s="81"/>
      <c r="R507" s="80"/>
      <c r="S507" s="80"/>
      <c r="T507" s="81"/>
      <c r="U507" s="80"/>
      <c r="V507" s="80"/>
      <c r="W507" s="80"/>
      <c r="X507" s="80"/>
      <c r="Y507" s="81"/>
      <c r="Z507" s="80"/>
      <c r="AA507" s="80"/>
      <c r="AB507" s="80"/>
      <c r="AC507" s="80"/>
      <c r="AD507" s="81"/>
      <c r="AE507" s="80"/>
      <c r="AF507" s="80"/>
      <c r="AG507" s="81"/>
      <c r="AH507" s="79"/>
      <c r="AI507" s="78" t="str">
        <f aca="false">IF(E507="","",(V507&lt;&gt;"")+(AA507&lt;&gt;"")+(AF507&lt;&gt;""))</f>
        <v/>
      </c>
      <c r="AJ507" s="82" t="str">
        <f aca="false">IF(AF507&lt;&gt;"",AF507,IF(AA507&lt;&gt;"",AA507,IF(V507&lt;&gt;"",V507,"")))</f>
        <v/>
      </c>
      <c r="AK507" s="83" t="str">
        <f aca="false">IF(E507="","",IF(P507="","À SOUDER",IF(S507="","VT EN ATTENTE",IF(S507="R","VT REJETÉ – À REPRENDRE",IF(AJ507="","À RADIOGRAPHIER",IF(AJ507="A","ACCEPTÉ",IF(AJ507="NX","NX – RT À REFAIRE",IF(IF(AI507=1,X507,IF(AI507=2,AC507,""))="A","RÉPARÉ – À RADIOGRAPHIER",IF(IF(AI507=1,X507,IF(AI507=2,AC507,""))="R","VT REJETÉ – À REPRENDRE",IF(AJ507="CO","COUPE – À RESOUDER","À RÉPARER"))))))))))</f>
        <v/>
      </c>
      <c r="AL507" s="82" t="str">
        <f aca="false">IF(AND(ISNUMBER(P507),OR(AK507="À RADIOGRAPHIER",AK507="RÉPARÉ – À RADIOGRAPHIER",AK507="NX – RT À REFAIRE",AK507="À RÉPARER",AK507="COUPE – À RESOUDER",AK507="VT REJETÉ – À REPRENDRE")),MAX(0,'PROGRAMME RT'!$C$4-P507),"")</f>
        <v/>
      </c>
      <c r="AM507" s="78" t="n">
        <f aca="false">IF(AND(OR(AK507="À RADIOGRAPHIER",AK507="RÉPARÉ – À RADIOGRAPHIER",AK507="NX – RT À REFAIRE"),OR('PROGRAMME RT'!$D$5="TOUTES",B507='PROGRAMME RT'!$D$5)),1,0)</f>
        <v>0</v>
      </c>
      <c r="AN507" s="78" t="str">
        <f aca="false">IF(AM507=1,SUM(AM$7:AM507),"")</f>
        <v/>
      </c>
      <c r="AO507" s="78" t="n">
        <f aca="false">IF(AND(OR(AK507="À RÉPARER",AK507="COUPE – À RESOUDER",AK507="VT REJETÉ – À REPRENDRE"),OR(RÉPARATIONS!$D$5="TOUTES",B507=RÉPARATIONS!$D$5)),1,0)</f>
        <v>0</v>
      </c>
      <c r="AP507" s="78" t="str">
        <f aca="false">IF(AO507=1,SUM(AO$7:AO507),"")</f>
        <v/>
      </c>
    </row>
    <row r="508" customFormat="false" ht="15" hidden="false" customHeight="false" outlineLevel="0" collapsed="false">
      <c r="A508" s="78" t="str">
        <f aca="false">IF(E508="","",ROW()-6)</f>
        <v/>
      </c>
      <c r="B508" s="79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1"/>
      <c r="Q508" s="81"/>
      <c r="R508" s="80"/>
      <c r="S508" s="80"/>
      <c r="T508" s="81"/>
      <c r="U508" s="80"/>
      <c r="V508" s="80"/>
      <c r="W508" s="80"/>
      <c r="X508" s="80"/>
      <c r="Y508" s="81"/>
      <c r="Z508" s="80"/>
      <c r="AA508" s="80"/>
      <c r="AB508" s="80"/>
      <c r="AC508" s="80"/>
      <c r="AD508" s="81"/>
      <c r="AE508" s="80"/>
      <c r="AF508" s="80"/>
      <c r="AG508" s="81"/>
      <c r="AH508" s="79"/>
      <c r="AI508" s="78" t="str">
        <f aca="false">IF(E508="","",(V508&lt;&gt;"")+(AA508&lt;&gt;"")+(AF508&lt;&gt;""))</f>
        <v/>
      </c>
      <c r="AJ508" s="82" t="str">
        <f aca="false">IF(AF508&lt;&gt;"",AF508,IF(AA508&lt;&gt;"",AA508,IF(V508&lt;&gt;"",V508,"")))</f>
        <v/>
      </c>
      <c r="AK508" s="83" t="str">
        <f aca="false">IF(E508="","",IF(P508="","À SOUDER",IF(S508="","VT EN ATTENTE",IF(S508="R","VT REJETÉ – À REPRENDRE",IF(AJ508="","À RADIOGRAPHIER",IF(AJ508="A","ACCEPTÉ",IF(AJ508="NX","NX – RT À REFAIRE",IF(IF(AI508=1,X508,IF(AI508=2,AC508,""))="A","RÉPARÉ – À RADIOGRAPHIER",IF(IF(AI508=1,X508,IF(AI508=2,AC508,""))="R","VT REJETÉ – À REPRENDRE",IF(AJ508="CO","COUPE – À RESOUDER","À RÉPARER"))))))))))</f>
        <v/>
      </c>
      <c r="AL508" s="82" t="str">
        <f aca="false">IF(AND(ISNUMBER(P508),OR(AK508="À RADIOGRAPHIER",AK508="RÉPARÉ – À RADIOGRAPHIER",AK508="NX – RT À REFAIRE",AK508="À RÉPARER",AK508="COUPE – À RESOUDER",AK508="VT REJETÉ – À REPRENDRE")),MAX(0,'PROGRAMME RT'!$C$4-P508),"")</f>
        <v/>
      </c>
      <c r="AM508" s="78" t="n">
        <f aca="false">IF(AND(OR(AK508="À RADIOGRAPHIER",AK508="RÉPARÉ – À RADIOGRAPHIER",AK508="NX – RT À REFAIRE"),OR('PROGRAMME RT'!$D$5="TOUTES",B508='PROGRAMME RT'!$D$5)),1,0)</f>
        <v>0</v>
      </c>
      <c r="AN508" s="78" t="str">
        <f aca="false">IF(AM508=1,SUM(AM$7:AM508),"")</f>
        <v/>
      </c>
      <c r="AO508" s="78" t="n">
        <f aca="false">IF(AND(OR(AK508="À RÉPARER",AK508="COUPE – À RESOUDER",AK508="VT REJETÉ – À REPRENDRE"),OR(RÉPARATIONS!$D$5="TOUTES",B508=RÉPARATIONS!$D$5)),1,0)</f>
        <v>0</v>
      </c>
      <c r="AP508" s="78" t="str">
        <f aca="false">IF(AO508=1,SUM(AO$7:AO508),"")</f>
        <v/>
      </c>
    </row>
    <row r="509" customFormat="false" ht="15" hidden="false" customHeight="false" outlineLevel="0" collapsed="false">
      <c r="A509" s="78" t="str">
        <f aca="false">IF(E509="","",ROW()-6)</f>
        <v/>
      </c>
      <c r="B509" s="79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1"/>
      <c r="Q509" s="81"/>
      <c r="R509" s="80"/>
      <c r="S509" s="80"/>
      <c r="T509" s="81"/>
      <c r="U509" s="80"/>
      <c r="V509" s="80"/>
      <c r="W509" s="80"/>
      <c r="X509" s="80"/>
      <c r="Y509" s="81"/>
      <c r="Z509" s="80"/>
      <c r="AA509" s="80"/>
      <c r="AB509" s="80"/>
      <c r="AC509" s="80"/>
      <c r="AD509" s="81"/>
      <c r="AE509" s="80"/>
      <c r="AF509" s="80"/>
      <c r="AG509" s="81"/>
      <c r="AH509" s="79"/>
      <c r="AI509" s="78" t="str">
        <f aca="false">IF(E509="","",(V509&lt;&gt;"")+(AA509&lt;&gt;"")+(AF509&lt;&gt;""))</f>
        <v/>
      </c>
      <c r="AJ509" s="82" t="str">
        <f aca="false">IF(AF509&lt;&gt;"",AF509,IF(AA509&lt;&gt;"",AA509,IF(V509&lt;&gt;"",V509,"")))</f>
        <v/>
      </c>
      <c r="AK509" s="83" t="str">
        <f aca="false">IF(E509="","",IF(P509="","À SOUDER",IF(S509="","VT EN ATTENTE",IF(S509="R","VT REJETÉ – À REPRENDRE",IF(AJ509="","À RADIOGRAPHIER",IF(AJ509="A","ACCEPTÉ",IF(AJ509="NX","NX – RT À REFAIRE",IF(IF(AI509=1,X509,IF(AI509=2,AC509,""))="A","RÉPARÉ – À RADIOGRAPHIER",IF(IF(AI509=1,X509,IF(AI509=2,AC509,""))="R","VT REJETÉ – À REPRENDRE",IF(AJ509="CO","COUPE – À RESOUDER","À RÉPARER"))))))))))</f>
        <v/>
      </c>
      <c r="AL509" s="82" t="str">
        <f aca="false">IF(AND(ISNUMBER(P509),OR(AK509="À RADIOGRAPHIER",AK509="RÉPARÉ – À RADIOGRAPHIER",AK509="NX – RT À REFAIRE",AK509="À RÉPARER",AK509="COUPE – À RESOUDER",AK509="VT REJETÉ – À REPRENDRE")),MAX(0,'PROGRAMME RT'!$C$4-P509),"")</f>
        <v/>
      </c>
      <c r="AM509" s="78" t="n">
        <f aca="false">IF(AND(OR(AK509="À RADIOGRAPHIER",AK509="RÉPARÉ – À RADIOGRAPHIER",AK509="NX – RT À REFAIRE"),OR('PROGRAMME RT'!$D$5="TOUTES",B509='PROGRAMME RT'!$D$5)),1,0)</f>
        <v>0</v>
      </c>
      <c r="AN509" s="78" t="str">
        <f aca="false">IF(AM509=1,SUM(AM$7:AM509),"")</f>
        <v/>
      </c>
      <c r="AO509" s="78" t="n">
        <f aca="false">IF(AND(OR(AK509="À RÉPARER",AK509="COUPE – À RESOUDER",AK509="VT REJETÉ – À REPRENDRE"),OR(RÉPARATIONS!$D$5="TOUTES",B509=RÉPARATIONS!$D$5)),1,0)</f>
        <v>0</v>
      </c>
      <c r="AP509" s="78" t="str">
        <f aca="false">IF(AO509=1,SUM(AO$7:AO509),"")</f>
        <v/>
      </c>
    </row>
    <row r="510" customFormat="false" ht="15" hidden="false" customHeight="false" outlineLevel="0" collapsed="false">
      <c r="A510" s="78" t="str">
        <f aca="false">IF(E510="","",ROW()-6)</f>
        <v/>
      </c>
      <c r="B510" s="79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1"/>
      <c r="Q510" s="81"/>
      <c r="R510" s="80"/>
      <c r="S510" s="80"/>
      <c r="T510" s="81"/>
      <c r="U510" s="80"/>
      <c r="V510" s="80"/>
      <c r="W510" s="80"/>
      <c r="X510" s="80"/>
      <c r="Y510" s="81"/>
      <c r="Z510" s="80"/>
      <c r="AA510" s="80"/>
      <c r="AB510" s="80"/>
      <c r="AC510" s="80"/>
      <c r="AD510" s="81"/>
      <c r="AE510" s="80"/>
      <c r="AF510" s="80"/>
      <c r="AG510" s="81"/>
      <c r="AH510" s="79"/>
      <c r="AI510" s="78" t="str">
        <f aca="false">IF(E510="","",(V510&lt;&gt;"")+(AA510&lt;&gt;"")+(AF510&lt;&gt;""))</f>
        <v/>
      </c>
      <c r="AJ510" s="82" t="str">
        <f aca="false">IF(AF510&lt;&gt;"",AF510,IF(AA510&lt;&gt;"",AA510,IF(V510&lt;&gt;"",V510,"")))</f>
        <v/>
      </c>
      <c r="AK510" s="83" t="str">
        <f aca="false">IF(E510="","",IF(P510="","À SOUDER",IF(S510="","VT EN ATTENTE",IF(S510="R","VT REJETÉ – À REPRENDRE",IF(AJ510="","À RADIOGRAPHIER",IF(AJ510="A","ACCEPTÉ",IF(AJ510="NX","NX – RT À REFAIRE",IF(IF(AI510=1,X510,IF(AI510=2,AC510,""))="A","RÉPARÉ – À RADIOGRAPHIER",IF(IF(AI510=1,X510,IF(AI510=2,AC510,""))="R","VT REJETÉ – À REPRENDRE",IF(AJ510="CO","COUPE – À RESOUDER","À RÉPARER"))))))))))</f>
        <v/>
      </c>
      <c r="AL510" s="82" t="str">
        <f aca="false">IF(AND(ISNUMBER(P510),OR(AK510="À RADIOGRAPHIER",AK510="RÉPARÉ – À RADIOGRAPHIER",AK510="NX – RT À REFAIRE",AK510="À RÉPARER",AK510="COUPE – À RESOUDER",AK510="VT REJETÉ – À REPRENDRE")),MAX(0,'PROGRAMME RT'!$C$4-P510),"")</f>
        <v/>
      </c>
      <c r="AM510" s="78" t="n">
        <f aca="false">IF(AND(OR(AK510="À RADIOGRAPHIER",AK510="RÉPARÉ – À RADIOGRAPHIER",AK510="NX – RT À REFAIRE"),OR('PROGRAMME RT'!$D$5="TOUTES",B510='PROGRAMME RT'!$D$5)),1,0)</f>
        <v>0</v>
      </c>
      <c r="AN510" s="78" t="str">
        <f aca="false">IF(AM510=1,SUM(AM$7:AM510),"")</f>
        <v/>
      </c>
      <c r="AO510" s="78" t="n">
        <f aca="false">IF(AND(OR(AK510="À RÉPARER",AK510="COUPE – À RESOUDER",AK510="VT REJETÉ – À REPRENDRE"),OR(RÉPARATIONS!$D$5="TOUTES",B510=RÉPARATIONS!$D$5)),1,0)</f>
        <v>0</v>
      </c>
      <c r="AP510" s="78" t="str">
        <f aca="false">IF(AO510=1,SUM(AO$7:AO510),"")</f>
        <v/>
      </c>
    </row>
    <row r="511" customFormat="false" ht="15" hidden="false" customHeight="false" outlineLevel="0" collapsed="false">
      <c r="A511" s="78" t="str">
        <f aca="false">IF(E511="","",ROW()-6)</f>
        <v/>
      </c>
      <c r="B511" s="79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1"/>
      <c r="Q511" s="81"/>
      <c r="R511" s="80"/>
      <c r="S511" s="80"/>
      <c r="T511" s="81"/>
      <c r="U511" s="80"/>
      <c r="V511" s="80"/>
      <c r="W511" s="80"/>
      <c r="X511" s="80"/>
      <c r="Y511" s="81"/>
      <c r="Z511" s="80"/>
      <c r="AA511" s="80"/>
      <c r="AB511" s="80"/>
      <c r="AC511" s="80"/>
      <c r="AD511" s="81"/>
      <c r="AE511" s="80"/>
      <c r="AF511" s="80"/>
      <c r="AG511" s="81"/>
      <c r="AH511" s="79"/>
      <c r="AI511" s="78" t="str">
        <f aca="false">IF(E511="","",(V511&lt;&gt;"")+(AA511&lt;&gt;"")+(AF511&lt;&gt;""))</f>
        <v/>
      </c>
      <c r="AJ511" s="82" t="str">
        <f aca="false">IF(AF511&lt;&gt;"",AF511,IF(AA511&lt;&gt;"",AA511,IF(V511&lt;&gt;"",V511,"")))</f>
        <v/>
      </c>
      <c r="AK511" s="83" t="str">
        <f aca="false">IF(E511="","",IF(P511="","À SOUDER",IF(S511="","VT EN ATTENTE",IF(S511="R","VT REJETÉ – À REPRENDRE",IF(AJ511="","À RADIOGRAPHIER",IF(AJ511="A","ACCEPTÉ",IF(AJ511="NX","NX – RT À REFAIRE",IF(IF(AI511=1,X511,IF(AI511=2,AC511,""))="A","RÉPARÉ – À RADIOGRAPHIER",IF(IF(AI511=1,X511,IF(AI511=2,AC511,""))="R","VT REJETÉ – À REPRENDRE",IF(AJ511="CO","COUPE – À RESOUDER","À RÉPARER"))))))))))</f>
        <v/>
      </c>
      <c r="AL511" s="82" t="str">
        <f aca="false">IF(AND(ISNUMBER(P511),OR(AK511="À RADIOGRAPHIER",AK511="RÉPARÉ – À RADIOGRAPHIER",AK511="NX – RT À REFAIRE",AK511="À RÉPARER",AK511="COUPE – À RESOUDER",AK511="VT REJETÉ – À REPRENDRE")),MAX(0,'PROGRAMME RT'!$C$4-P511),"")</f>
        <v/>
      </c>
      <c r="AM511" s="78" t="n">
        <f aca="false">IF(AND(OR(AK511="À RADIOGRAPHIER",AK511="RÉPARÉ – À RADIOGRAPHIER",AK511="NX – RT À REFAIRE"),OR('PROGRAMME RT'!$D$5="TOUTES",B511='PROGRAMME RT'!$D$5)),1,0)</f>
        <v>0</v>
      </c>
      <c r="AN511" s="78" t="str">
        <f aca="false">IF(AM511=1,SUM(AM$7:AM511),"")</f>
        <v/>
      </c>
      <c r="AO511" s="78" t="n">
        <f aca="false">IF(AND(OR(AK511="À RÉPARER",AK511="COUPE – À RESOUDER",AK511="VT REJETÉ – À REPRENDRE"),OR(RÉPARATIONS!$D$5="TOUTES",B511=RÉPARATIONS!$D$5)),1,0)</f>
        <v>0</v>
      </c>
      <c r="AP511" s="78" t="str">
        <f aca="false">IF(AO511=1,SUM(AO$7:AO511),"")</f>
        <v/>
      </c>
    </row>
    <row r="512" customFormat="false" ht="15" hidden="false" customHeight="false" outlineLevel="0" collapsed="false">
      <c r="A512" s="78" t="str">
        <f aca="false">IF(E512="","",ROW()-6)</f>
        <v/>
      </c>
      <c r="B512" s="79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1"/>
      <c r="Q512" s="81"/>
      <c r="R512" s="80"/>
      <c r="S512" s="80"/>
      <c r="T512" s="81"/>
      <c r="U512" s="80"/>
      <c r="V512" s="80"/>
      <c r="W512" s="80"/>
      <c r="X512" s="80"/>
      <c r="Y512" s="81"/>
      <c r="Z512" s="80"/>
      <c r="AA512" s="80"/>
      <c r="AB512" s="80"/>
      <c r="AC512" s="80"/>
      <c r="AD512" s="81"/>
      <c r="AE512" s="80"/>
      <c r="AF512" s="80"/>
      <c r="AG512" s="81"/>
      <c r="AH512" s="79"/>
      <c r="AI512" s="78" t="str">
        <f aca="false">IF(E512="","",(V512&lt;&gt;"")+(AA512&lt;&gt;"")+(AF512&lt;&gt;""))</f>
        <v/>
      </c>
      <c r="AJ512" s="82" t="str">
        <f aca="false">IF(AF512&lt;&gt;"",AF512,IF(AA512&lt;&gt;"",AA512,IF(V512&lt;&gt;"",V512,"")))</f>
        <v/>
      </c>
      <c r="AK512" s="83" t="str">
        <f aca="false">IF(E512="","",IF(P512="","À SOUDER",IF(S512="","VT EN ATTENTE",IF(S512="R","VT REJETÉ – À REPRENDRE",IF(AJ512="","À RADIOGRAPHIER",IF(AJ512="A","ACCEPTÉ",IF(AJ512="NX","NX – RT À REFAIRE",IF(IF(AI512=1,X512,IF(AI512=2,AC512,""))="A","RÉPARÉ – À RADIOGRAPHIER",IF(IF(AI512=1,X512,IF(AI512=2,AC512,""))="R","VT REJETÉ – À REPRENDRE",IF(AJ512="CO","COUPE – À RESOUDER","À RÉPARER"))))))))))</f>
        <v/>
      </c>
      <c r="AL512" s="82" t="str">
        <f aca="false">IF(AND(ISNUMBER(P512),OR(AK512="À RADIOGRAPHIER",AK512="RÉPARÉ – À RADIOGRAPHIER",AK512="NX – RT À REFAIRE",AK512="À RÉPARER",AK512="COUPE – À RESOUDER",AK512="VT REJETÉ – À REPRENDRE")),MAX(0,'PROGRAMME RT'!$C$4-P512),"")</f>
        <v/>
      </c>
      <c r="AM512" s="78" t="n">
        <f aca="false">IF(AND(OR(AK512="À RADIOGRAPHIER",AK512="RÉPARÉ – À RADIOGRAPHIER",AK512="NX – RT À REFAIRE"),OR('PROGRAMME RT'!$D$5="TOUTES",B512='PROGRAMME RT'!$D$5)),1,0)</f>
        <v>0</v>
      </c>
      <c r="AN512" s="78" t="str">
        <f aca="false">IF(AM512=1,SUM(AM$7:AM512),"")</f>
        <v/>
      </c>
      <c r="AO512" s="78" t="n">
        <f aca="false">IF(AND(OR(AK512="À RÉPARER",AK512="COUPE – À RESOUDER",AK512="VT REJETÉ – À REPRENDRE"),OR(RÉPARATIONS!$D$5="TOUTES",B512=RÉPARATIONS!$D$5)),1,0)</f>
        <v>0</v>
      </c>
      <c r="AP512" s="78" t="str">
        <f aca="false">IF(AO512=1,SUM(AO$7:AO512),"")</f>
        <v/>
      </c>
    </row>
    <row r="513" customFormat="false" ht="15" hidden="false" customHeight="false" outlineLevel="0" collapsed="false">
      <c r="A513" s="78" t="str">
        <f aca="false">IF(E513="","",ROW()-6)</f>
        <v/>
      </c>
      <c r="B513" s="79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1"/>
      <c r="Q513" s="81"/>
      <c r="R513" s="80"/>
      <c r="S513" s="80"/>
      <c r="T513" s="81"/>
      <c r="U513" s="80"/>
      <c r="V513" s="80"/>
      <c r="W513" s="80"/>
      <c r="X513" s="80"/>
      <c r="Y513" s="81"/>
      <c r="Z513" s="80"/>
      <c r="AA513" s="80"/>
      <c r="AB513" s="80"/>
      <c r="AC513" s="80"/>
      <c r="AD513" s="81"/>
      <c r="AE513" s="80"/>
      <c r="AF513" s="80"/>
      <c r="AG513" s="81"/>
      <c r="AH513" s="79"/>
      <c r="AI513" s="78" t="str">
        <f aca="false">IF(E513="","",(V513&lt;&gt;"")+(AA513&lt;&gt;"")+(AF513&lt;&gt;""))</f>
        <v/>
      </c>
      <c r="AJ513" s="82" t="str">
        <f aca="false">IF(AF513&lt;&gt;"",AF513,IF(AA513&lt;&gt;"",AA513,IF(V513&lt;&gt;"",V513,"")))</f>
        <v/>
      </c>
      <c r="AK513" s="83" t="str">
        <f aca="false">IF(E513="","",IF(P513="","À SOUDER",IF(S513="","VT EN ATTENTE",IF(S513="R","VT REJETÉ – À REPRENDRE",IF(AJ513="","À RADIOGRAPHIER",IF(AJ513="A","ACCEPTÉ",IF(AJ513="NX","NX – RT À REFAIRE",IF(IF(AI513=1,X513,IF(AI513=2,AC513,""))="A","RÉPARÉ – À RADIOGRAPHIER",IF(IF(AI513=1,X513,IF(AI513=2,AC513,""))="R","VT REJETÉ – À REPRENDRE",IF(AJ513="CO","COUPE – À RESOUDER","À RÉPARER"))))))))))</f>
        <v/>
      </c>
      <c r="AL513" s="82" t="str">
        <f aca="false">IF(AND(ISNUMBER(P513),OR(AK513="À RADIOGRAPHIER",AK513="RÉPARÉ – À RADIOGRAPHIER",AK513="NX – RT À REFAIRE",AK513="À RÉPARER",AK513="COUPE – À RESOUDER",AK513="VT REJETÉ – À REPRENDRE")),MAX(0,'PROGRAMME RT'!$C$4-P513),"")</f>
        <v/>
      </c>
      <c r="AM513" s="78" t="n">
        <f aca="false">IF(AND(OR(AK513="À RADIOGRAPHIER",AK513="RÉPARÉ – À RADIOGRAPHIER",AK513="NX – RT À REFAIRE"),OR('PROGRAMME RT'!$D$5="TOUTES",B513='PROGRAMME RT'!$D$5)),1,0)</f>
        <v>0</v>
      </c>
      <c r="AN513" s="78" t="str">
        <f aca="false">IF(AM513=1,SUM(AM$7:AM513),"")</f>
        <v/>
      </c>
      <c r="AO513" s="78" t="n">
        <f aca="false">IF(AND(OR(AK513="À RÉPARER",AK513="COUPE – À RESOUDER",AK513="VT REJETÉ – À REPRENDRE"),OR(RÉPARATIONS!$D$5="TOUTES",B513=RÉPARATIONS!$D$5)),1,0)</f>
        <v>0</v>
      </c>
      <c r="AP513" s="78" t="str">
        <f aca="false">IF(AO513=1,SUM(AO$7:AO513),"")</f>
        <v/>
      </c>
    </row>
    <row r="514" customFormat="false" ht="15" hidden="false" customHeight="false" outlineLevel="0" collapsed="false">
      <c r="A514" s="78" t="str">
        <f aca="false">IF(E514="","",ROW()-6)</f>
        <v/>
      </c>
      <c r="B514" s="79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1"/>
      <c r="Q514" s="81"/>
      <c r="R514" s="80"/>
      <c r="S514" s="80"/>
      <c r="T514" s="81"/>
      <c r="U514" s="80"/>
      <c r="V514" s="80"/>
      <c r="W514" s="80"/>
      <c r="X514" s="80"/>
      <c r="Y514" s="81"/>
      <c r="Z514" s="80"/>
      <c r="AA514" s="80"/>
      <c r="AB514" s="80"/>
      <c r="AC514" s="80"/>
      <c r="AD514" s="81"/>
      <c r="AE514" s="80"/>
      <c r="AF514" s="80"/>
      <c r="AG514" s="81"/>
      <c r="AH514" s="79"/>
      <c r="AI514" s="78" t="str">
        <f aca="false">IF(E514="","",(V514&lt;&gt;"")+(AA514&lt;&gt;"")+(AF514&lt;&gt;""))</f>
        <v/>
      </c>
      <c r="AJ514" s="82" t="str">
        <f aca="false">IF(AF514&lt;&gt;"",AF514,IF(AA514&lt;&gt;"",AA514,IF(V514&lt;&gt;"",V514,"")))</f>
        <v/>
      </c>
      <c r="AK514" s="83" t="str">
        <f aca="false">IF(E514="","",IF(P514="","À SOUDER",IF(S514="","VT EN ATTENTE",IF(S514="R","VT REJETÉ – À REPRENDRE",IF(AJ514="","À RADIOGRAPHIER",IF(AJ514="A","ACCEPTÉ",IF(AJ514="NX","NX – RT À REFAIRE",IF(IF(AI514=1,X514,IF(AI514=2,AC514,""))="A","RÉPARÉ – À RADIOGRAPHIER",IF(IF(AI514=1,X514,IF(AI514=2,AC514,""))="R","VT REJETÉ – À REPRENDRE",IF(AJ514="CO","COUPE – À RESOUDER","À RÉPARER"))))))))))</f>
        <v/>
      </c>
      <c r="AL514" s="82" t="str">
        <f aca="false">IF(AND(ISNUMBER(P514),OR(AK514="À RADIOGRAPHIER",AK514="RÉPARÉ – À RADIOGRAPHIER",AK514="NX – RT À REFAIRE",AK514="À RÉPARER",AK514="COUPE – À RESOUDER",AK514="VT REJETÉ – À REPRENDRE")),MAX(0,'PROGRAMME RT'!$C$4-P514),"")</f>
        <v/>
      </c>
      <c r="AM514" s="78" t="n">
        <f aca="false">IF(AND(OR(AK514="À RADIOGRAPHIER",AK514="RÉPARÉ – À RADIOGRAPHIER",AK514="NX – RT À REFAIRE"),OR('PROGRAMME RT'!$D$5="TOUTES",B514='PROGRAMME RT'!$D$5)),1,0)</f>
        <v>0</v>
      </c>
      <c r="AN514" s="78" t="str">
        <f aca="false">IF(AM514=1,SUM(AM$7:AM514),"")</f>
        <v/>
      </c>
      <c r="AO514" s="78" t="n">
        <f aca="false">IF(AND(OR(AK514="À RÉPARER",AK514="COUPE – À RESOUDER",AK514="VT REJETÉ – À REPRENDRE"),OR(RÉPARATIONS!$D$5="TOUTES",B514=RÉPARATIONS!$D$5)),1,0)</f>
        <v>0</v>
      </c>
      <c r="AP514" s="78" t="str">
        <f aca="false">IF(AO514=1,SUM(AO$7:AO514),"")</f>
        <v/>
      </c>
    </row>
    <row r="515" customFormat="false" ht="15" hidden="false" customHeight="false" outlineLevel="0" collapsed="false">
      <c r="A515" s="78" t="str">
        <f aca="false">IF(E515="","",ROW()-6)</f>
        <v/>
      </c>
      <c r="B515" s="79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1"/>
      <c r="Q515" s="81"/>
      <c r="R515" s="80"/>
      <c r="S515" s="80"/>
      <c r="T515" s="81"/>
      <c r="U515" s="80"/>
      <c r="V515" s="80"/>
      <c r="W515" s="80"/>
      <c r="X515" s="80"/>
      <c r="Y515" s="81"/>
      <c r="Z515" s="80"/>
      <c r="AA515" s="80"/>
      <c r="AB515" s="80"/>
      <c r="AC515" s="80"/>
      <c r="AD515" s="81"/>
      <c r="AE515" s="80"/>
      <c r="AF515" s="80"/>
      <c r="AG515" s="81"/>
      <c r="AH515" s="79"/>
      <c r="AI515" s="78" t="str">
        <f aca="false">IF(E515="","",(V515&lt;&gt;"")+(AA515&lt;&gt;"")+(AF515&lt;&gt;""))</f>
        <v/>
      </c>
      <c r="AJ515" s="82" t="str">
        <f aca="false">IF(AF515&lt;&gt;"",AF515,IF(AA515&lt;&gt;"",AA515,IF(V515&lt;&gt;"",V515,"")))</f>
        <v/>
      </c>
      <c r="AK515" s="83" t="str">
        <f aca="false">IF(E515="","",IF(P515="","À SOUDER",IF(S515="","VT EN ATTENTE",IF(S515="R","VT REJETÉ – À REPRENDRE",IF(AJ515="","À RADIOGRAPHIER",IF(AJ515="A","ACCEPTÉ",IF(AJ515="NX","NX – RT À REFAIRE",IF(IF(AI515=1,X515,IF(AI515=2,AC515,""))="A","RÉPARÉ – À RADIOGRAPHIER",IF(IF(AI515=1,X515,IF(AI515=2,AC515,""))="R","VT REJETÉ – À REPRENDRE",IF(AJ515="CO","COUPE – À RESOUDER","À RÉPARER"))))))))))</f>
        <v/>
      </c>
      <c r="AL515" s="82" t="str">
        <f aca="false">IF(AND(ISNUMBER(P515),OR(AK515="À RADIOGRAPHIER",AK515="RÉPARÉ – À RADIOGRAPHIER",AK515="NX – RT À REFAIRE",AK515="À RÉPARER",AK515="COUPE – À RESOUDER",AK515="VT REJETÉ – À REPRENDRE")),MAX(0,'PROGRAMME RT'!$C$4-P515),"")</f>
        <v/>
      </c>
      <c r="AM515" s="78" t="n">
        <f aca="false">IF(AND(OR(AK515="À RADIOGRAPHIER",AK515="RÉPARÉ – À RADIOGRAPHIER",AK515="NX – RT À REFAIRE"),OR('PROGRAMME RT'!$D$5="TOUTES",B515='PROGRAMME RT'!$D$5)),1,0)</f>
        <v>0</v>
      </c>
      <c r="AN515" s="78" t="str">
        <f aca="false">IF(AM515=1,SUM(AM$7:AM515),"")</f>
        <v/>
      </c>
      <c r="AO515" s="78" t="n">
        <f aca="false">IF(AND(OR(AK515="À RÉPARER",AK515="COUPE – À RESOUDER",AK515="VT REJETÉ – À REPRENDRE"),OR(RÉPARATIONS!$D$5="TOUTES",B515=RÉPARATIONS!$D$5)),1,0)</f>
        <v>0</v>
      </c>
      <c r="AP515" s="78" t="str">
        <f aca="false">IF(AO515=1,SUM(AO$7:AO515),"")</f>
        <v/>
      </c>
    </row>
    <row r="516" customFormat="false" ht="15" hidden="false" customHeight="false" outlineLevel="0" collapsed="false">
      <c r="A516" s="78" t="str">
        <f aca="false">IF(E516="","",ROW()-6)</f>
        <v/>
      </c>
      <c r="B516" s="79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1"/>
      <c r="Q516" s="81"/>
      <c r="R516" s="80"/>
      <c r="S516" s="80"/>
      <c r="T516" s="81"/>
      <c r="U516" s="80"/>
      <c r="V516" s="80"/>
      <c r="W516" s="80"/>
      <c r="X516" s="80"/>
      <c r="Y516" s="81"/>
      <c r="Z516" s="80"/>
      <c r="AA516" s="80"/>
      <c r="AB516" s="80"/>
      <c r="AC516" s="80"/>
      <c r="AD516" s="81"/>
      <c r="AE516" s="80"/>
      <c r="AF516" s="80"/>
      <c r="AG516" s="81"/>
      <c r="AH516" s="79"/>
      <c r="AI516" s="78" t="str">
        <f aca="false">IF(E516="","",(V516&lt;&gt;"")+(AA516&lt;&gt;"")+(AF516&lt;&gt;""))</f>
        <v/>
      </c>
      <c r="AJ516" s="82" t="str">
        <f aca="false">IF(AF516&lt;&gt;"",AF516,IF(AA516&lt;&gt;"",AA516,IF(V516&lt;&gt;"",V516,"")))</f>
        <v/>
      </c>
      <c r="AK516" s="83" t="str">
        <f aca="false">IF(E516="","",IF(P516="","À SOUDER",IF(S516="","VT EN ATTENTE",IF(S516="R","VT REJETÉ – À REPRENDRE",IF(AJ516="","À RADIOGRAPHIER",IF(AJ516="A","ACCEPTÉ",IF(AJ516="NX","NX – RT À REFAIRE",IF(IF(AI516=1,X516,IF(AI516=2,AC516,""))="A","RÉPARÉ – À RADIOGRAPHIER",IF(IF(AI516=1,X516,IF(AI516=2,AC516,""))="R","VT REJETÉ – À REPRENDRE",IF(AJ516="CO","COUPE – À RESOUDER","À RÉPARER"))))))))))</f>
        <v/>
      </c>
      <c r="AL516" s="82" t="str">
        <f aca="false">IF(AND(ISNUMBER(P516),OR(AK516="À RADIOGRAPHIER",AK516="RÉPARÉ – À RADIOGRAPHIER",AK516="NX – RT À REFAIRE",AK516="À RÉPARER",AK516="COUPE – À RESOUDER",AK516="VT REJETÉ – À REPRENDRE")),MAX(0,'PROGRAMME RT'!$C$4-P516),"")</f>
        <v/>
      </c>
      <c r="AM516" s="78" t="n">
        <f aca="false">IF(AND(OR(AK516="À RADIOGRAPHIER",AK516="RÉPARÉ – À RADIOGRAPHIER",AK516="NX – RT À REFAIRE"),OR('PROGRAMME RT'!$D$5="TOUTES",B516='PROGRAMME RT'!$D$5)),1,0)</f>
        <v>0</v>
      </c>
      <c r="AN516" s="78" t="str">
        <f aca="false">IF(AM516=1,SUM(AM$7:AM516),"")</f>
        <v/>
      </c>
      <c r="AO516" s="78" t="n">
        <f aca="false">IF(AND(OR(AK516="À RÉPARER",AK516="COUPE – À RESOUDER",AK516="VT REJETÉ – À REPRENDRE"),OR(RÉPARATIONS!$D$5="TOUTES",B516=RÉPARATIONS!$D$5)),1,0)</f>
        <v>0</v>
      </c>
      <c r="AP516" s="78" t="str">
        <f aca="false">IF(AO516=1,SUM(AO$7:AO516),"")</f>
        <v/>
      </c>
    </row>
    <row r="517" customFormat="false" ht="15" hidden="false" customHeight="false" outlineLevel="0" collapsed="false">
      <c r="A517" s="78" t="str">
        <f aca="false">IF(E517="","",ROW()-6)</f>
        <v/>
      </c>
      <c r="B517" s="79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1"/>
      <c r="Q517" s="81"/>
      <c r="R517" s="80"/>
      <c r="S517" s="80"/>
      <c r="T517" s="81"/>
      <c r="U517" s="80"/>
      <c r="V517" s="80"/>
      <c r="W517" s="80"/>
      <c r="X517" s="80"/>
      <c r="Y517" s="81"/>
      <c r="Z517" s="80"/>
      <c r="AA517" s="80"/>
      <c r="AB517" s="80"/>
      <c r="AC517" s="80"/>
      <c r="AD517" s="81"/>
      <c r="AE517" s="80"/>
      <c r="AF517" s="80"/>
      <c r="AG517" s="81"/>
      <c r="AH517" s="79"/>
      <c r="AI517" s="78" t="str">
        <f aca="false">IF(E517="","",(V517&lt;&gt;"")+(AA517&lt;&gt;"")+(AF517&lt;&gt;""))</f>
        <v/>
      </c>
      <c r="AJ517" s="82" t="str">
        <f aca="false">IF(AF517&lt;&gt;"",AF517,IF(AA517&lt;&gt;"",AA517,IF(V517&lt;&gt;"",V517,"")))</f>
        <v/>
      </c>
      <c r="AK517" s="83" t="str">
        <f aca="false">IF(E517="","",IF(P517="","À SOUDER",IF(S517="","VT EN ATTENTE",IF(S517="R","VT REJETÉ – À REPRENDRE",IF(AJ517="","À RADIOGRAPHIER",IF(AJ517="A","ACCEPTÉ",IF(AJ517="NX","NX – RT À REFAIRE",IF(IF(AI517=1,X517,IF(AI517=2,AC517,""))="A","RÉPARÉ – À RADIOGRAPHIER",IF(IF(AI517=1,X517,IF(AI517=2,AC517,""))="R","VT REJETÉ – À REPRENDRE",IF(AJ517="CO","COUPE – À RESOUDER","À RÉPARER"))))))))))</f>
        <v/>
      </c>
      <c r="AL517" s="82" t="str">
        <f aca="false">IF(AND(ISNUMBER(P517),OR(AK517="À RADIOGRAPHIER",AK517="RÉPARÉ – À RADIOGRAPHIER",AK517="NX – RT À REFAIRE",AK517="À RÉPARER",AK517="COUPE – À RESOUDER",AK517="VT REJETÉ – À REPRENDRE")),MAX(0,'PROGRAMME RT'!$C$4-P517),"")</f>
        <v/>
      </c>
      <c r="AM517" s="78" t="n">
        <f aca="false">IF(AND(OR(AK517="À RADIOGRAPHIER",AK517="RÉPARÉ – À RADIOGRAPHIER",AK517="NX – RT À REFAIRE"),OR('PROGRAMME RT'!$D$5="TOUTES",B517='PROGRAMME RT'!$D$5)),1,0)</f>
        <v>0</v>
      </c>
      <c r="AN517" s="78" t="str">
        <f aca="false">IF(AM517=1,SUM(AM$7:AM517),"")</f>
        <v/>
      </c>
      <c r="AO517" s="78" t="n">
        <f aca="false">IF(AND(OR(AK517="À RÉPARER",AK517="COUPE – À RESOUDER",AK517="VT REJETÉ – À REPRENDRE"),OR(RÉPARATIONS!$D$5="TOUTES",B517=RÉPARATIONS!$D$5)),1,0)</f>
        <v>0</v>
      </c>
      <c r="AP517" s="78" t="str">
        <f aca="false">IF(AO517=1,SUM(AO$7:AO517),"")</f>
        <v/>
      </c>
    </row>
    <row r="518" customFormat="false" ht="15" hidden="false" customHeight="false" outlineLevel="0" collapsed="false">
      <c r="A518" s="78" t="str">
        <f aca="false">IF(E518="","",ROW()-6)</f>
        <v/>
      </c>
      <c r="B518" s="79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1"/>
      <c r="Q518" s="81"/>
      <c r="R518" s="80"/>
      <c r="S518" s="80"/>
      <c r="T518" s="81"/>
      <c r="U518" s="80"/>
      <c r="V518" s="80"/>
      <c r="W518" s="80"/>
      <c r="X518" s="80"/>
      <c r="Y518" s="81"/>
      <c r="Z518" s="80"/>
      <c r="AA518" s="80"/>
      <c r="AB518" s="80"/>
      <c r="AC518" s="80"/>
      <c r="AD518" s="81"/>
      <c r="AE518" s="80"/>
      <c r="AF518" s="80"/>
      <c r="AG518" s="81"/>
      <c r="AH518" s="79"/>
      <c r="AI518" s="78" t="str">
        <f aca="false">IF(E518="","",(V518&lt;&gt;"")+(AA518&lt;&gt;"")+(AF518&lt;&gt;""))</f>
        <v/>
      </c>
      <c r="AJ518" s="82" t="str">
        <f aca="false">IF(AF518&lt;&gt;"",AF518,IF(AA518&lt;&gt;"",AA518,IF(V518&lt;&gt;"",V518,"")))</f>
        <v/>
      </c>
      <c r="AK518" s="83" t="str">
        <f aca="false">IF(E518="","",IF(P518="","À SOUDER",IF(S518="","VT EN ATTENTE",IF(S518="R","VT REJETÉ – À REPRENDRE",IF(AJ518="","À RADIOGRAPHIER",IF(AJ518="A","ACCEPTÉ",IF(AJ518="NX","NX – RT À REFAIRE",IF(IF(AI518=1,X518,IF(AI518=2,AC518,""))="A","RÉPARÉ – À RADIOGRAPHIER",IF(IF(AI518=1,X518,IF(AI518=2,AC518,""))="R","VT REJETÉ – À REPRENDRE",IF(AJ518="CO","COUPE – À RESOUDER","À RÉPARER"))))))))))</f>
        <v/>
      </c>
      <c r="AL518" s="82" t="str">
        <f aca="false">IF(AND(ISNUMBER(P518),OR(AK518="À RADIOGRAPHIER",AK518="RÉPARÉ – À RADIOGRAPHIER",AK518="NX – RT À REFAIRE",AK518="À RÉPARER",AK518="COUPE – À RESOUDER",AK518="VT REJETÉ – À REPRENDRE")),MAX(0,'PROGRAMME RT'!$C$4-P518),"")</f>
        <v/>
      </c>
      <c r="AM518" s="78" t="n">
        <f aca="false">IF(AND(OR(AK518="À RADIOGRAPHIER",AK518="RÉPARÉ – À RADIOGRAPHIER",AK518="NX – RT À REFAIRE"),OR('PROGRAMME RT'!$D$5="TOUTES",B518='PROGRAMME RT'!$D$5)),1,0)</f>
        <v>0</v>
      </c>
      <c r="AN518" s="78" t="str">
        <f aca="false">IF(AM518=1,SUM(AM$7:AM518),"")</f>
        <v/>
      </c>
      <c r="AO518" s="78" t="n">
        <f aca="false">IF(AND(OR(AK518="À RÉPARER",AK518="COUPE – À RESOUDER",AK518="VT REJETÉ – À REPRENDRE"),OR(RÉPARATIONS!$D$5="TOUTES",B518=RÉPARATIONS!$D$5)),1,0)</f>
        <v>0</v>
      </c>
      <c r="AP518" s="78" t="str">
        <f aca="false">IF(AO518=1,SUM(AO$7:AO518),"")</f>
        <v/>
      </c>
    </row>
    <row r="519" customFormat="false" ht="15" hidden="false" customHeight="false" outlineLevel="0" collapsed="false">
      <c r="A519" s="78" t="str">
        <f aca="false">IF(E519="","",ROW()-6)</f>
        <v/>
      </c>
      <c r="B519" s="79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1"/>
      <c r="Q519" s="81"/>
      <c r="R519" s="80"/>
      <c r="S519" s="80"/>
      <c r="T519" s="81"/>
      <c r="U519" s="80"/>
      <c r="V519" s="80"/>
      <c r="W519" s="80"/>
      <c r="X519" s="80"/>
      <c r="Y519" s="81"/>
      <c r="Z519" s="80"/>
      <c r="AA519" s="80"/>
      <c r="AB519" s="80"/>
      <c r="AC519" s="80"/>
      <c r="AD519" s="81"/>
      <c r="AE519" s="80"/>
      <c r="AF519" s="80"/>
      <c r="AG519" s="81"/>
      <c r="AH519" s="79"/>
      <c r="AI519" s="78" t="str">
        <f aca="false">IF(E519="","",(V519&lt;&gt;"")+(AA519&lt;&gt;"")+(AF519&lt;&gt;""))</f>
        <v/>
      </c>
      <c r="AJ519" s="82" t="str">
        <f aca="false">IF(AF519&lt;&gt;"",AF519,IF(AA519&lt;&gt;"",AA519,IF(V519&lt;&gt;"",V519,"")))</f>
        <v/>
      </c>
      <c r="AK519" s="83" t="str">
        <f aca="false">IF(E519="","",IF(P519="","À SOUDER",IF(S519="","VT EN ATTENTE",IF(S519="R","VT REJETÉ – À REPRENDRE",IF(AJ519="","À RADIOGRAPHIER",IF(AJ519="A","ACCEPTÉ",IF(AJ519="NX","NX – RT À REFAIRE",IF(IF(AI519=1,X519,IF(AI519=2,AC519,""))="A","RÉPARÉ – À RADIOGRAPHIER",IF(IF(AI519=1,X519,IF(AI519=2,AC519,""))="R","VT REJETÉ – À REPRENDRE",IF(AJ519="CO","COUPE – À RESOUDER","À RÉPARER"))))))))))</f>
        <v/>
      </c>
      <c r="AL519" s="82" t="str">
        <f aca="false">IF(AND(ISNUMBER(P519),OR(AK519="À RADIOGRAPHIER",AK519="RÉPARÉ – À RADIOGRAPHIER",AK519="NX – RT À REFAIRE",AK519="À RÉPARER",AK519="COUPE – À RESOUDER",AK519="VT REJETÉ – À REPRENDRE")),MAX(0,'PROGRAMME RT'!$C$4-P519),"")</f>
        <v/>
      </c>
      <c r="AM519" s="78" t="n">
        <f aca="false">IF(AND(OR(AK519="À RADIOGRAPHIER",AK519="RÉPARÉ – À RADIOGRAPHIER",AK519="NX – RT À REFAIRE"),OR('PROGRAMME RT'!$D$5="TOUTES",B519='PROGRAMME RT'!$D$5)),1,0)</f>
        <v>0</v>
      </c>
      <c r="AN519" s="78" t="str">
        <f aca="false">IF(AM519=1,SUM(AM$7:AM519),"")</f>
        <v/>
      </c>
      <c r="AO519" s="78" t="n">
        <f aca="false">IF(AND(OR(AK519="À RÉPARER",AK519="COUPE – À RESOUDER",AK519="VT REJETÉ – À REPRENDRE"),OR(RÉPARATIONS!$D$5="TOUTES",B519=RÉPARATIONS!$D$5)),1,0)</f>
        <v>0</v>
      </c>
      <c r="AP519" s="78" t="str">
        <f aca="false">IF(AO519=1,SUM(AO$7:AO519),"")</f>
        <v/>
      </c>
    </row>
    <row r="520" customFormat="false" ht="15" hidden="false" customHeight="false" outlineLevel="0" collapsed="false">
      <c r="A520" s="78" t="str">
        <f aca="false">IF(E520="","",ROW()-6)</f>
        <v/>
      </c>
      <c r="B520" s="79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1"/>
      <c r="Q520" s="81"/>
      <c r="R520" s="80"/>
      <c r="S520" s="80"/>
      <c r="T520" s="81"/>
      <c r="U520" s="80"/>
      <c r="V520" s="80"/>
      <c r="W520" s="80"/>
      <c r="X520" s="80"/>
      <c r="Y520" s="81"/>
      <c r="Z520" s="80"/>
      <c r="AA520" s="80"/>
      <c r="AB520" s="80"/>
      <c r="AC520" s="80"/>
      <c r="AD520" s="81"/>
      <c r="AE520" s="80"/>
      <c r="AF520" s="80"/>
      <c r="AG520" s="81"/>
      <c r="AH520" s="79"/>
      <c r="AI520" s="78" t="str">
        <f aca="false">IF(E520="","",(V520&lt;&gt;"")+(AA520&lt;&gt;"")+(AF520&lt;&gt;""))</f>
        <v/>
      </c>
      <c r="AJ520" s="82" t="str">
        <f aca="false">IF(AF520&lt;&gt;"",AF520,IF(AA520&lt;&gt;"",AA520,IF(V520&lt;&gt;"",V520,"")))</f>
        <v/>
      </c>
      <c r="AK520" s="83" t="str">
        <f aca="false">IF(E520="","",IF(P520="","À SOUDER",IF(S520="","VT EN ATTENTE",IF(S520="R","VT REJETÉ – À REPRENDRE",IF(AJ520="","À RADIOGRAPHIER",IF(AJ520="A","ACCEPTÉ",IF(AJ520="NX","NX – RT À REFAIRE",IF(IF(AI520=1,X520,IF(AI520=2,AC520,""))="A","RÉPARÉ – À RADIOGRAPHIER",IF(IF(AI520=1,X520,IF(AI520=2,AC520,""))="R","VT REJETÉ – À REPRENDRE",IF(AJ520="CO","COUPE – À RESOUDER","À RÉPARER"))))))))))</f>
        <v/>
      </c>
      <c r="AL520" s="82" t="str">
        <f aca="false">IF(AND(ISNUMBER(P520),OR(AK520="À RADIOGRAPHIER",AK520="RÉPARÉ – À RADIOGRAPHIER",AK520="NX – RT À REFAIRE",AK520="À RÉPARER",AK520="COUPE – À RESOUDER",AK520="VT REJETÉ – À REPRENDRE")),MAX(0,'PROGRAMME RT'!$C$4-P520),"")</f>
        <v/>
      </c>
      <c r="AM520" s="78" t="n">
        <f aca="false">IF(AND(OR(AK520="À RADIOGRAPHIER",AK520="RÉPARÉ – À RADIOGRAPHIER",AK520="NX – RT À REFAIRE"),OR('PROGRAMME RT'!$D$5="TOUTES",B520='PROGRAMME RT'!$D$5)),1,0)</f>
        <v>0</v>
      </c>
      <c r="AN520" s="78" t="str">
        <f aca="false">IF(AM520=1,SUM(AM$7:AM520),"")</f>
        <v/>
      </c>
      <c r="AO520" s="78" t="n">
        <f aca="false">IF(AND(OR(AK520="À RÉPARER",AK520="COUPE – À RESOUDER",AK520="VT REJETÉ – À REPRENDRE"),OR(RÉPARATIONS!$D$5="TOUTES",B520=RÉPARATIONS!$D$5)),1,0)</f>
        <v>0</v>
      </c>
      <c r="AP520" s="78" t="str">
        <f aca="false">IF(AO520=1,SUM(AO$7:AO520),"")</f>
        <v/>
      </c>
    </row>
    <row r="521" customFormat="false" ht="15" hidden="false" customHeight="false" outlineLevel="0" collapsed="false">
      <c r="A521" s="78" t="str">
        <f aca="false">IF(E521="","",ROW()-6)</f>
        <v/>
      </c>
      <c r="B521" s="79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1"/>
      <c r="Q521" s="81"/>
      <c r="R521" s="80"/>
      <c r="S521" s="80"/>
      <c r="T521" s="81"/>
      <c r="U521" s="80"/>
      <c r="V521" s="80"/>
      <c r="W521" s="80"/>
      <c r="X521" s="80"/>
      <c r="Y521" s="81"/>
      <c r="Z521" s="80"/>
      <c r="AA521" s="80"/>
      <c r="AB521" s="80"/>
      <c r="AC521" s="80"/>
      <c r="AD521" s="81"/>
      <c r="AE521" s="80"/>
      <c r="AF521" s="80"/>
      <c r="AG521" s="81"/>
      <c r="AH521" s="79"/>
      <c r="AI521" s="78" t="str">
        <f aca="false">IF(E521="","",(V521&lt;&gt;"")+(AA521&lt;&gt;"")+(AF521&lt;&gt;""))</f>
        <v/>
      </c>
      <c r="AJ521" s="82" t="str">
        <f aca="false">IF(AF521&lt;&gt;"",AF521,IF(AA521&lt;&gt;"",AA521,IF(V521&lt;&gt;"",V521,"")))</f>
        <v/>
      </c>
      <c r="AK521" s="83" t="str">
        <f aca="false">IF(E521="","",IF(P521="","À SOUDER",IF(S521="","VT EN ATTENTE",IF(S521="R","VT REJETÉ – À REPRENDRE",IF(AJ521="","À RADIOGRAPHIER",IF(AJ521="A","ACCEPTÉ",IF(AJ521="NX","NX – RT À REFAIRE",IF(IF(AI521=1,X521,IF(AI521=2,AC521,""))="A","RÉPARÉ – À RADIOGRAPHIER",IF(IF(AI521=1,X521,IF(AI521=2,AC521,""))="R","VT REJETÉ – À REPRENDRE",IF(AJ521="CO","COUPE – À RESOUDER","À RÉPARER"))))))))))</f>
        <v/>
      </c>
      <c r="AL521" s="82" t="str">
        <f aca="false">IF(AND(ISNUMBER(P521),OR(AK521="À RADIOGRAPHIER",AK521="RÉPARÉ – À RADIOGRAPHIER",AK521="NX – RT À REFAIRE",AK521="À RÉPARER",AK521="COUPE – À RESOUDER",AK521="VT REJETÉ – À REPRENDRE")),MAX(0,'PROGRAMME RT'!$C$4-P521),"")</f>
        <v/>
      </c>
      <c r="AM521" s="78" t="n">
        <f aca="false">IF(AND(OR(AK521="À RADIOGRAPHIER",AK521="RÉPARÉ – À RADIOGRAPHIER",AK521="NX – RT À REFAIRE"),OR('PROGRAMME RT'!$D$5="TOUTES",B521='PROGRAMME RT'!$D$5)),1,0)</f>
        <v>0</v>
      </c>
      <c r="AN521" s="78" t="str">
        <f aca="false">IF(AM521=1,SUM(AM$7:AM521),"")</f>
        <v/>
      </c>
      <c r="AO521" s="78" t="n">
        <f aca="false">IF(AND(OR(AK521="À RÉPARER",AK521="COUPE – À RESOUDER",AK521="VT REJETÉ – À REPRENDRE"),OR(RÉPARATIONS!$D$5="TOUTES",B521=RÉPARATIONS!$D$5)),1,0)</f>
        <v>0</v>
      </c>
      <c r="AP521" s="78" t="str">
        <f aca="false">IF(AO521=1,SUM(AO$7:AO521),"")</f>
        <v/>
      </c>
    </row>
    <row r="522" customFormat="false" ht="15" hidden="false" customHeight="false" outlineLevel="0" collapsed="false">
      <c r="A522" s="78" t="str">
        <f aca="false">IF(E522="","",ROW()-6)</f>
        <v/>
      </c>
      <c r="B522" s="79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1"/>
      <c r="Q522" s="81"/>
      <c r="R522" s="80"/>
      <c r="S522" s="80"/>
      <c r="T522" s="81"/>
      <c r="U522" s="80"/>
      <c r="V522" s="80"/>
      <c r="W522" s="80"/>
      <c r="X522" s="80"/>
      <c r="Y522" s="81"/>
      <c r="Z522" s="80"/>
      <c r="AA522" s="80"/>
      <c r="AB522" s="80"/>
      <c r="AC522" s="80"/>
      <c r="AD522" s="81"/>
      <c r="AE522" s="80"/>
      <c r="AF522" s="80"/>
      <c r="AG522" s="81"/>
      <c r="AH522" s="79"/>
      <c r="AI522" s="78" t="str">
        <f aca="false">IF(E522="","",(V522&lt;&gt;"")+(AA522&lt;&gt;"")+(AF522&lt;&gt;""))</f>
        <v/>
      </c>
      <c r="AJ522" s="82" t="str">
        <f aca="false">IF(AF522&lt;&gt;"",AF522,IF(AA522&lt;&gt;"",AA522,IF(V522&lt;&gt;"",V522,"")))</f>
        <v/>
      </c>
      <c r="AK522" s="83" t="str">
        <f aca="false">IF(E522="","",IF(P522="","À SOUDER",IF(S522="","VT EN ATTENTE",IF(S522="R","VT REJETÉ – À REPRENDRE",IF(AJ522="","À RADIOGRAPHIER",IF(AJ522="A","ACCEPTÉ",IF(AJ522="NX","NX – RT À REFAIRE",IF(IF(AI522=1,X522,IF(AI522=2,AC522,""))="A","RÉPARÉ – À RADIOGRAPHIER",IF(IF(AI522=1,X522,IF(AI522=2,AC522,""))="R","VT REJETÉ – À REPRENDRE",IF(AJ522="CO","COUPE – À RESOUDER","À RÉPARER"))))))))))</f>
        <v/>
      </c>
      <c r="AL522" s="82" t="str">
        <f aca="false">IF(AND(ISNUMBER(P522),OR(AK522="À RADIOGRAPHIER",AK522="RÉPARÉ – À RADIOGRAPHIER",AK522="NX – RT À REFAIRE",AK522="À RÉPARER",AK522="COUPE – À RESOUDER",AK522="VT REJETÉ – À REPRENDRE")),MAX(0,'PROGRAMME RT'!$C$4-P522),"")</f>
        <v/>
      </c>
      <c r="AM522" s="78" t="n">
        <f aca="false">IF(AND(OR(AK522="À RADIOGRAPHIER",AK522="RÉPARÉ – À RADIOGRAPHIER",AK522="NX – RT À REFAIRE"),OR('PROGRAMME RT'!$D$5="TOUTES",B522='PROGRAMME RT'!$D$5)),1,0)</f>
        <v>0</v>
      </c>
      <c r="AN522" s="78" t="str">
        <f aca="false">IF(AM522=1,SUM(AM$7:AM522),"")</f>
        <v/>
      </c>
      <c r="AO522" s="78" t="n">
        <f aca="false">IF(AND(OR(AK522="À RÉPARER",AK522="COUPE – À RESOUDER",AK522="VT REJETÉ – À REPRENDRE"),OR(RÉPARATIONS!$D$5="TOUTES",B522=RÉPARATIONS!$D$5)),1,0)</f>
        <v>0</v>
      </c>
      <c r="AP522" s="78" t="str">
        <f aca="false">IF(AO522=1,SUM(AO$7:AO522),"")</f>
        <v/>
      </c>
    </row>
    <row r="523" customFormat="false" ht="15" hidden="false" customHeight="false" outlineLevel="0" collapsed="false">
      <c r="A523" s="78" t="str">
        <f aca="false">IF(E523="","",ROW()-6)</f>
        <v/>
      </c>
      <c r="B523" s="79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1"/>
      <c r="Q523" s="81"/>
      <c r="R523" s="80"/>
      <c r="S523" s="80"/>
      <c r="T523" s="81"/>
      <c r="U523" s="80"/>
      <c r="V523" s="80"/>
      <c r="W523" s="80"/>
      <c r="X523" s="80"/>
      <c r="Y523" s="81"/>
      <c r="Z523" s="80"/>
      <c r="AA523" s="80"/>
      <c r="AB523" s="80"/>
      <c r="AC523" s="80"/>
      <c r="AD523" s="81"/>
      <c r="AE523" s="80"/>
      <c r="AF523" s="80"/>
      <c r="AG523" s="81"/>
      <c r="AH523" s="79"/>
      <c r="AI523" s="78" t="str">
        <f aca="false">IF(E523="","",(V523&lt;&gt;"")+(AA523&lt;&gt;"")+(AF523&lt;&gt;""))</f>
        <v/>
      </c>
      <c r="AJ523" s="82" t="str">
        <f aca="false">IF(AF523&lt;&gt;"",AF523,IF(AA523&lt;&gt;"",AA523,IF(V523&lt;&gt;"",V523,"")))</f>
        <v/>
      </c>
      <c r="AK523" s="83" t="str">
        <f aca="false">IF(E523="","",IF(P523="","À SOUDER",IF(S523="","VT EN ATTENTE",IF(S523="R","VT REJETÉ – À REPRENDRE",IF(AJ523="","À RADIOGRAPHIER",IF(AJ523="A","ACCEPTÉ",IF(AJ523="NX","NX – RT À REFAIRE",IF(IF(AI523=1,X523,IF(AI523=2,AC523,""))="A","RÉPARÉ – À RADIOGRAPHIER",IF(IF(AI523=1,X523,IF(AI523=2,AC523,""))="R","VT REJETÉ – À REPRENDRE",IF(AJ523="CO","COUPE – À RESOUDER","À RÉPARER"))))))))))</f>
        <v/>
      </c>
      <c r="AL523" s="82" t="str">
        <f aca="false">IF(AND(ISNUMBER(P523),OR(AK523="À RADIOGRAPHIER",AK523="RÉPARÉ – À RADIOGRAPHIER",AK523="NX – RT À REFAIRE",AK523="À RÉPARER",AK523="COUPE – À RESOUDER",AK523="VT REJETÉ – À REPRENDRE")),MAX(0,'PROGRAMME RT'!$C$4-P523),"")</f>
        <v/>
      </c>
      <c r="AM523" s="78" t="n">
        <f aca="false">IF(AND(OR(AK523="À RADIOGRAPHIER",AK523="RÉPARÉ – À RADIOGRAPHIER",AK523="NX – RT À REFAIRE"),OR('PROGRAMME RT'!$D$5="TOUTES",B523='PROGRAMME RT'!$D$5)),1,0)</f>
        <v>0</v>
      </c>
      <c r="AN523" s="78" t="str">
        <f aca="false">IF(AM523=1,SUM(AM$7:AM523),"")</f>
        <v/>
      </c>
      <c r="AO523" s="78" t="n">
        <f aca="false">IF(AND(OR(AK523="À RÉPARER",AK523="COUPE – À RESOUDER",AK523="VT REJETÉ – À REPRENDRE"),OR(RÉPARATIONS!$D$5="TOUTES",B523=RÉPARATIONS!$D$5)),1,0)</f>
        <v>0</v>
      </c>
      <c r="AP523" s="78" t="str">
        <f aca="false">IF(AO523=1,SUM(AO$7:AO523),"")</f>
        <v/>
      </c>
    </row>
    <row r="524" customFormat="false" ht="15" hidden="false" customHeight="false" outlineLevel="0" collapsed="false">
      <c r="A524" s="78" t="str">
        <f aca="false">IF(E524="","",ROW()-6)</f>
        <v/>
      </c>
      <c r="B524" s="79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1"/>
      <c r="Q524" s="81"/>
      <c r="R524" s="80"/>
      <c r="S524" s="80"/>
      <c r="T524" s="81"/>
      <c r="U524" s="80"/>
      <c r="V524" s="80"/>
      <c r="W524" s="80"/>
      <c r="X524" s="80"/>
      <c r="Y524" s="81"/>
      <c r="Z524" s="80"/>
      <c r="AA524" s="80"/>
      <c r="AB524" s="80"/>
      <c r="AC524" s="80"/>
      <c r="AD524" s="81"/>
      <c r="AE524" s="80"/>
      <c r="AF524" s="80"/>
      <c r="AG524" s="81"/>
      <c r="AH524" s="79"/>
      <c r="AI524" s="78" t="str">
        <f aca="false">IF(E524="","",(V524&lt;&gt;"")+(AA524&lt;&gt;"")+(AF524&lt;&gt;""))</f>
        <v/>
      </c>
      <c r="AJ524" s="82" t="str">
        <f aca="false">IF(AF524&lt;&gt;"",AF524,IF(AA524&lt;&gt;"",AA524,IF(V524&lt;&gt;"",V524,"")))</f>
        <v/>
      </c>
      <c r="AK524" s="83" t="str">
        <f aca="false">IF(E524="","",IF(P524="","À SOUDER",IF(S524="","VT EN ATTENTE",IF(S524="R","VT REJETÉ – À REPRENDRE",IF(AJ524="","À RADIOGRAPHIER",IF(AJ524="A","ACCEPTÉ",IF(AJ524="NX","NX – RT À REFAIRE",IF(IF(AI524=1,X524,IF(AI524=2,AC524,""))="A","RÉPARÉ – À RADIOGRAPHIER",IF(IF(AI524=1,X524,IF(AI524=2,AC524,""))="R","VT REJETÉ – À REPRENDRE",IF(AJ524="CO","COUPE – À RESOUDER","À RÉPARER"))))))))))</f>
        <v/>
      </c>
      <c r="AL524" s="82" t="str">
        <f aca="false">IF(AND(ISNUMBER(P524),OR(AK524="À RADIOGRAPHIER",AK524="RÉPARÉ – À RADIOGRAPHIER",AK524="NX – RT À REFAIRE",AK524="À RÉPARER",AK524="COUPE – À RESOUDER",AK524="VT REJETÉ – À REPRENDRE")),MAX(0,'PROGRAMME RT'!$C$4-P524),"")</f>
        <v/>
      </c>
      <c r="AM524" s="78" t="n">
        <f aca="false">IF(AND(OR(AK524="À RADIOGRAPHIER",AK524="RÉPARÉ – À RADIOGRAPHIER",AK524="NX – RT À REFAIRE"),OR('PROGRAMME RT'!$D$5="TOUTES",B524='PROGRAMME RT'!$D$5)),1,0)</f>
        <v>0</v>
      </c>
      <c r="AN524" s="78" t="str">
        <f aca="false">IF(AM524=1,SUM(AM$7:AM524),"")</f>
        <v/>
      </c>
      <c r="AO524" s="78" t="n">
        <f aca="false">IF(AND(OR(AK524="À RÉPARER",AK524="COUPE – À RESOUDER",AK524="VT REJETÉ – À REPRENDRE"),OR(RÉPARATIONS!$D$5="TOUTES",B524=RÉPARATIONS!$D$5)),1,0)</f>
        <v>0</v>
      </c>
      <c r="AP524" s="78" t="str">
        <f aca="false">IF(AO524=1,SUM(AO$7:AO524),"")</f>
        <v/>
      </c>
    </row>
    <row r="525" customFormat="false" ht="15" hidden="false" customHeight="false" outlineLevel="0" collapsed="false">
      <c r="A525" s="78" t="str">
        <f aca="false">IF(E525="","",ROW()-6)</f>
        <v/>
      </c>
      <c r="B525" s="79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1"/>
      <c r="Q525" s="81"/>
      <c r="R525" s="80"/>
      <c r="S525" s="80"/>
      <c r="T525" s="81"/>
      <c r="U525" s="80"/>
      <c r="V525" s="80"/>
      <c r="W525" s="80"/>
      <c r="X525" s="80"/>
      <c r="Y525" s="81"/>
      <c r="Z525" s="80"/>
      <c r="AA525" s="80"/>
      <c r="AB525" s="80"/>
      <c r="AC525" s="80"/>
      <c r="AD525" s="81"/>
      <c r="AE525" s="80"/>
      <c r="AF525" s="80"/>
      <c r="AG525" s="81"/>
      <c r="AH525" s="79"/>
      <c r="AI525" s="78" t="str">
        <f aca="false">IF(E525="","",(V525&lt;&gt;"")+(AA525&lt;&gt;"")+(AF525&lt;&gt;""))</f>
        <v/>
      </c>
      <c r="AJ525" s="82" t="str">
        <f aca="false">IF(AF525&lt;&gt;"",AF525,IF(AA525&lt;&gt;"",AA525,IF(V525&lt;&gt;"",V525,"")))</f>
        <v/>
      </c>
      <c r="AK525" s="83" t="str">
        <f aca="false">IF(E525="","",IF(P525="","À SOUDER",IF(S525="","VT EN ATTENTE",IF(S525="R","VT REJETÉ – À REPRENDRE",IF(AJ525="","À RADIOGRAPHIER",IF(AJ525="A","ACCEPTÉ",IF(AJ525="NX","NX – RT À REFAIRE",IF(IF(AI525=1,X525,IF(AI525=2,AC525,""))="A","RÉPARÉ – À RADIOGRAPHIER",IF(IF(AI525=1,X525,IF(AI525=2,AC525,""))="R","VT REJETÉ – À REPRENDRE",IF(AJ525="CO","COUPE – À RESOUDER","À RÉPARER"))))))))))</f>
        <v/>
      </c>
      <c r="AL525" s="82" t="str">
        <f aca="false">IF(AND(ISNUMBER(P525),OR(AK525="À RADIOGRAPHIER",AK525="RÉPARÉ – À RADIOGRAPHIER",AK525="NX – RT À REFAIRE",AK525="À RÉPARER",AK525="COUPE – À RESOUDER",AK525="VT REJETÉ – À REPRENDRE")),MAX(0,'PROGRAMME RT'!$C$4-P525),"")</f>
        <v/>
      </c>
      <c r="AM525" s="78" t="n">
        <f aca="false">IF(AND(OR(AK525="À RADIOGRAPHIER",AK525="RÉPARÉ – À RADIOGRAPHIER",AK525="NX – RT À REFAIRE"),OR('PROGRAMME RT'!$D$5="TOUTES",B525='PROGRAMME RT'!$D$5)),1,0)</f>
        <v>0</v>
      </c>
      <c r="AN525" s="78" t="str">
        <f aca="false">IF(AM525=1,SUM(AM$7:AM525),"")</f>
        <v/>
      </c>
      <c r="AO525" s="78" t="n">
        <f aca="false">IF(AND(OR(AK525="À RÉPARER",AK525="COUPE – À RESOUDER",AK525="VT REJETÉ – À REPRENDRE"),OR(RÉPARATIONS!$D$5="TOUTES",B525=RÉPARATIONS!$D$5)),1,0)</f>
        <v>0</v>
      </c>
      <c r="AP525" s="78" t="str">
        <f aca="false">IF(AO525=1,SUM(AO$7:AO525),"")</f>
        <v/>
      </c>
    </row>
    <row r="526" customFormat="false" ht="15" hidden="false" customHeight="false" outlineLevel="0" collapsed="false">
      <c r="A526" s="78" t="str">
        <f aca="false">IF(E526="","",ROW()-6)</f>
        <v/>
      </c>
      <c r="B526" s="79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1"/>
      <c r="Q526" s="81"/>
      <c r="R526" s="80"/>
      <c r="S526" s="80"/>
      <c r="T526" s="81"/>
      <c r="U526" s="80"/>
      <c r="V526" s="80"/>
      <c r="W526" s="80"/>
      <c r="X526" s="80"/>
      <c r="Y526" s="81"/>
      <c r="Z526" s="80"/>
      <c r="AA526" s="80"/>
      <c r="AB526" s="80"/>
      <c r="AC526" s="80"/>
      <c r="AD526" s="81"/>
      <c r="AE526" s="80"/>
      <c r="AF526" s="80"/>
      <c r="AG526" s="81"/>
      <c r="AH526" s="79"/>
      <c r="AI526" s="78" t="str">
        <f aca="false">IF(E526="","",(V526&lt;&gt;"")+(AA526&lt;&gt;"")+(AF526&lt;&gt;""))</f>
        <v/>
      </c>
      <c r="AJ526" s="82" t="str">
        <f aca="false">IF(AF526&lt;&gt;"",AF526,IF(AA526&lt;&gt;"",AA526,IF(V526&lt;&gt;"",V526,"")))</f>
        <v/>
      </c>
      <c r="AK526" s="83" t="str">
        <f aca="false">IF(E526="","",IF(P526="","À SOUDER",IF(S526="","VT EN ATTENTE",IF(S526="R","VT REJETÉ – À REPRENDRE",IF(AJ526="","À RADIOGRAPHIER",IF(AJ526="A","ACCEPTÉ",IF(AJ526="NX","NX – RT À REFAIRE",IF(IF(AI526=1,X526,IF(AI526=2,AC526,""))="A","RÉPARÉ – À RADIOGRAPHIER",IF(IF(AI526=1,X526,IF(AI526=2,AC526,""))="R","VT REJETÉ – À REPRENDRE",IF(AJ526="CO","COUPE – À RESOUDER","À RÉPARER"))))))))))</f>
        <v/>
      </c>
      <c r="AL526" s="82" t="str">
        <f aca="false">IF(AND(ISNUMBER(P526),OR(AK526="À RADIOGRAPHIER",AK526="RÉPARÉ – À RADIOGRAPHIER",AK526="NX – RT À REFAIRE",AK526="À RÉPARER",AK526="COUPE – À RESOUDER",AK526="VT REJETÉ – À REPRENDRE")),MAX(0,'PROGRAMME RT'!$C$4-P526),"")</f>
        <v/>
      </c>
      <c r="AM526" s="78" t="n">
        <f aca="false">IF(AND(OR(AK526="À RADIOGRAPHIER",AK526="RÉPARÉ – À RADIOGRAPHIER",AK526="NX – RT À REFAIRE"),OR('PROGRAMME RT'!$D$5="TOUTES",B526='PROGRAMME RT'!$D$5)),1,0)</f>
        <v>0</v>
      </c>
      <c r="AN526" s="78" t="str">
        <f aca="false">IF(AM526=1,SUM(AM$7:AM526),"")</f>
        <v/>
      </c>
      <c r="AO526" s="78" t="n">
        <f aca="false">IF(AND(OR(AK526="À RÉPARER",AK526="COUPE – À RESOUDER",AK526="VT REJETÉ – À REPRENDRE"),OR(RÉPARATIONS!$D$5="TOUTES",B526=RÉPARATIONS!$D$5)),1,0)</f>
        <v>0</v>
      </c>
      <c r="AP526" s="78" t="str">
        <f aca="false">IF(AO526=1,SUM(AO$7:AO526),"")</f>
        <v/>
      </c>
    </row>
    <row r="527" customFormat="false" ht="15" hidden="false" customHeight="false" outlineLevel="0" collapsed="false">
      <c r="A527" s="78" t="str">
        <f aca="false">IF(E527="","",ROW()-6)</f>
        <v/>
      </c>
      <c r="B527" s="79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1"/>
      <c r="Q527" s="81"/>
      <c r="R527" s="80"/>
      <c r="S527" s="80"/>
      <c r="T527" s="81"/>
      <c r="U527" s="80"/>
      <c r="V527" s="80"/>
      <c r="W527" s="80"/>
      <c r="X527" s="80"/>
      <c r="Y527" s="81"/>
      <c r="Z527" s="80"/>
      <c r="AA527" s="80"/>
      <c r="AB527" s="80"/>
      <c r="AC527" s="80"/>
      <c r="AD527" s="81"/>
      <c r="AE527" s="80"/>
      <c r="AF527" s="80"/>
      <c r="AG527" s="81"/>
      <c r="AH527" s="79"/>
      <c r="AI527" s="78" t="str">
        <f aca="false">IF(E527="","",(V527&lt;&gt;"")+(AA527&lt;&gt;"")+(AF527&lt;&gt;""))</f>
        <v/>
      </c>
      <c r="AJ527" s="82" t="str">
        <f aca="false">IF(AF527&lt;&gt;"",AF527,IF(AA527&lt;&gt;"",AA527,IF(V527&lt;&gt;"",V527,"")))</f>
        <v/>
      </c>
      <c r="AK527" s="83" t="str">
        <f aca="false">IF(E527="","",IF(P527="","À SOUDER",IF(S527="","VT EN ATTENTE",IF(S527="R","VT REJETÉ – À REPRENDRE",IF(AJ527="","À RADIOGRAPHIER",IF(AJ527="A","ACCEPTÉ",IF(AJ527="NX","NX – RT À REFAIRE",IF(IF(AI527=1,X527,IF(AI527=2,AC527,""))="A","RÉPARÉ – À RADIOGRAPHIER",IF(IF(AI527=1,X527,IF(AI527=2,AC527,""))="R","VT REJETÉ – À REPRENDRE",IF(AJ527="CO","COUPE – À RESOUDER","À RÉPARER"))))))))))</f>
        <v/>
      </c>
      <c r="AL527" s="82" t="str">
        <f aca="false">IF(AND(ISNUMBER(P527),OR(AK527="À RADIOGRAPHIER",AK527="RÉPARÉ – À RADIOGRAPHIER",AK527="NX – RT À REFAIRE",AK527="À RÉPARER",AK527="COUPE – À RESOUDER",AK527="VT REJETÉ – À REPRENDRE")),MAX(0,'PROGRAMME RT'!$C$4-P527),"")</f>
        <v/>
      </c>
      <c r="AM527" s="78" t="n">
        <f aca="false">IF(AND(OR(AK527="À RADIOGRAPHIER",AK527="RÉPARÉ – À RADIOGRAPHIER",AK527="NX – RT À REFAIRE"),OR('PROGRAMME RT'!$D$5="TOUTES",B527='PROGRAMME RT'!$D$5)),1,0)</f>
        <v>0</v>
      </c>
      <c r="AN527" s="78" t="str">
        <f aca="false">IF(AM527=1,SUM(AM$7:AM527),"")</f>
        <v/>
      </c>
      <c r="AO527" s="78" t="n">
        <f aca="false">IF(AND(OR(AK527="À RÉPARER",AK527="COUPE – À RESOUDER",AK527="VT REJETÉ – À REPRENDRE"),OR(RÉPARATIONS!$D$5="TOUTES",B527=RÉPARATIONS!$D$5)),1,0)</f>
        <v>0</v>
      </c>
      <c r="AP527" s="78" t="str">
        <f aca="false">IF(AO527=1,SUM(AO$7:AO527),"")</f>
        <v/>
      </c>
    </row>
    <row r="528" customFormat="false" ht="15" hidden="false" customHeight="false" outlineLevel="0" collapsed="false">
      <c r="A528" s="78" t="str">
        <f aca="false">IF(E528="","",ROW()-6)</f>
        <v/>
      </c>
      <c r="B528" s="79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1"/>
      <c r="Q528" s="81"/>
      <c r="R528" s="80"/>
      <c r="S528" s="80"/>
      <c r="T528" s="81"/>
      <c r="U528" s="80"/>
      <c r="V528" s="80"/>
      <c r="W528" s="80"/>
      <c r="X528" s="80"/>
      <c r="Y528" s="81"/>
      <c r="Z528" s="80"/>
      <c r="AA528" s="80"/>
      <c r="AB528" s="80"/>
      <c r="AC528" s="80"/>
      <c r="AD528" s="81"/>
      <c r="AE528" s="80"/>
      <c r="AF528" s="80"/>
      <c r="AG528" s="81"/>
      <c r="AH528" s="79"/>
      <c r="AI528" s="78" t="str">
        <f aca="false">IF(E528="","",(V528&lt;&gt;"")+(AA528&lt;&gt;"")+(AF528&lt;&gt;""))</f>
        <v/>
      </c>
      <c r="AJ528" s="82" t="str">
        <f aca="false">IF(AF528&lt;&gt;"",AF528,IF(AA528&lt;&gt;"",AA528,IF(V528&lt;&gt;"",V528,"")))</f>
        <v/>
      </c>
      <c r="AK528" s="83" t="str">
        <f aca="false">IF(E528="","",IF(P528="","À SOUDER",IF(S528="","VT EN ATTENTE",IF(S528="R","VT REJETÉ – À REPRENDRE",IF(AJ528="","À RADIOGRAPHIER",IF(AJ528="A","ACCEPTÉ",IF(AJ528="NX","NX – RT À REFAIRE",IF(IF(AI528=1,X528,IF(AI528=2,AC528,""))="A","RÉPARÉ – À RADIOGRAPHIER",IF(IF(AI528=1,X528,IF(AI528=2,AC528,""))="R","VT REJETÉ – À REPRENDRE",IF(AJ528="CO","COUPE – À RESOUDER","À RÉPARER"))))))))))</f>
        <v/>
      </c>
      <c r="AL528" s="82" t="str">
        <f aca="false">IF(AND(ISNUMBER(P528),OR(AK528="À RADIOGRAPHIER",AK528="RÉPARÉ – À RADIOGRAPHIER",AK528="NX – RT À REFAIRE",AK528="À RÉPARER",AK528="COUPE – À RESOUDER",AK528="VT REJETÉ – À REPRENDRE")),MAX(0,'PROGRAMME RT'!$C$4-P528),"")</f>
        <v/>
      </c>
      <c r="AM528" s="78" t="n">
        <f aca="false">IF(AND(OR(AK528="À RADIOGRAPHIER",AK528="RÉPARÉ – À RADIOGRAPHIER",AK528="NX – RT À REFAIRE"),OR('PROGRAMME RT'!$D$5="TOUTES",B528='PROGRAMME RT'!$D$5)),1,0)</f>
        <v>0</v>
      </c>
      <c r="AN528" s="78" t="str">
        <f aca="false">IF(AM528=1,SUM(AM$7:AM528),"")</f>
        <v/>
      </c>
      <c r="AO528" s="78" t="n">
        <f aca="false">IF(AND(OR(AK528="À RÉPARER",AK528="COUPE – À RESOUDER",AK528="VT REJETÉ – À REPRENDRE"),OR(RÉPARATIONS!$D$5="TOUTES",B528=RÉPARATIONS!$D$5)),1,0)</f>
        <v>0</v>
      </c>
      <c r="AP528" s="78" t="str">
        <f aca="false">IF(AO528=1,SUM(AO$7:AO528),"")</f>
        <v/>
      </c>
    </row>
    <row r="529" customFormat="false" ht="15" hidden="false" customHeight="false" outlineLevel="0" collapsed="false">
      <c r="A529" s="78" t="str">
        <f aca="false">IF(E529="","",ROW()-6)</f>
        <v/>
      </c>
      <c r="B529" s="79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1"/>
      <c r="Q529" s="81"/>
      <c r="R529" s="80"/>
      <c r="S529" s="80"/>
      <c r="T529" s="81"/>
      <c r="U529" s="80"/>
      <c r="V529" s="80"/>
      <c r="W529" s="80"/>
      <c r="X529" s="80"/>
      <c r="Y529" s="81"/>
      <c r="Z529" s="80"/>
      <c r="AA529" s="80"/>
      <c r="AB529" s="80"/>
      <c r="AC529" s="80"/>
      <c r="AD529" s="81"/>
      <c r="AE529" s="80"/>
      <c r="AF529" s="80"/>
      <c r="AG529" s="81"/>
      <c r="AH529" s="79"/>
      <c r="AI529" s="78" t="str">
        <f aca="false">IF(E529="","",(V529&lt;&gt;"")+(AA529&lt;&gt;"")+(AF529&lt;&gt;""))</f>
        <v/>
      </c>
      <c r="AJ529" s="82" t="str">
        <f aca="false">IF(AF529&lt;&gt;"",AF529,IF(AA529&lt;&gt;"",AA529,IF(V529&lt;&gt;"",V529,"")))</f>
        <v/>
      </c>
      <c r="AK529" s="83" t="str">
        <f aca="false">IF(E529="","",IF(P529="","À SOUDER",IF(S529="","VT EN ATTENTE",IF(S529="R","VT REJETÉ – À REPRENDRE",IF(AJ529="","À RADIOGRAPHIER",IF(AJ529="A","ACCEPTÉ",IF(AJ529="NX","NX – RT À REFAIRE",IF(IF(AI529=1,X529,IF(AI529=2,AC529,""))="A","RÉPARÉ – À RADIOGRAPHIER",IF(IF(AI529=1,X529,IF(AI529=2,AC529,""))="R","VT REJETÉ – À REPRENDRE",IF(AJ529="CO","COUPE – À RESOUDER","À RÉPARER"))))))))))</f>
        <v/>
      </c>
      <c r="AL529" s="82" t="str">
        <f aca="false">IF(AND(ISNUMBER(P529),OR(AK529="À RADIOGRAPHIER",AK529="RÉPARÉ – À RADIOGRAPHIER",AK529="NX – RT À REFAIRE",AK529="À RÉPARER",AK529="COUPE – À RESOUDER",AK529="VT REJETÉ – À REPRENDRE")),MAX(0,'PROGRAMME RT'!$C$4-P529),"")</f>
        <v/>
      </c>
      <c r="AM529" s="78" t="n">
        <f aca="false">IF(AND(OR(AK529="À RADIOGRAPHIER",AK529="RÉPARÉ – À RADIOGRAPHIER",AK529="NX – RT À REFAIRE"),OR('PROGRAMME RT'!$D$5="TOUTES",B529='PROGRAMME RT'!$D$5)),1,0)</f>
        <v>0</v>
      </c>
      <c r="AN529" s="78" t="str">
        <f aca="false">IF(AM529=1,SUM(AM$7:AM529),"")</f>
        <v/>
      </c>
      <c r="AO529" s="78" t="n">
        <f aca="false">IF(AND(OR(AK529="À RÉPARER",AK529="COUPE – À RESOUDER",AK529="VT REJETÉ – À REPRENDRE"),OR(RÉPARATIONS!$D$5="TOUTES",B529=RÉPARATIONS!$D$5)),1,0)</f>
        <v>0</v>
      </c>
      <c r="AP529" s="78" t="str">
        <f aca="false">IF(AO529=1,SUM(AO$7:AO529),"")</f>
        <v/>
      </c>
    </row>
    <row r="530" customFormat="false" ht="15" hidden="false" customHeight="false" outlineLevel="0" collapsed="false">
      <c r="A530" s="78" t="str">
        <f aca="false">IF(E530="","",ROW()-6)</f>
        <v/>
      </c>
      <c r="B530" s="79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1"/>
      <c r="Q530" s="81"/>
      <c r="R530" s="80"/>
      <c r="S530" s="80"/>
      <c r="T530" s="81"/>
      <c r="U530" s="80"/>
      <c r="V530" s="80"/>
      <c r="W530" s="80"/>
      <c r="X530" s="80"/>
      <c r="Y530" s="81"/>
      <c r="Z530" s="80"/>
      <c r="AA530" s="80"/>
      <c r="AB530" s="80"/>
      <c r="AC530" s="80"/>
      <c r="AD530" s="81"/>
      <c r="AE530" s="80"/>
      <c r="AF530" s="80"/>
      <c r="AG530" s="81"/>
      <c r="AH530" s="79"/>
      <c r="AI530" s="78" t="str">
        <f aca="false">IF(E530="","",(V530&lt;&gt;"")+(AA530&lt;&gt;"")+(AF530&lt;&gt;""))</f>
        <v/>
      </c>
      <c r="AJ530" s="82" t="str">
        <f aca="false">IF(AF530&lt;&gt;"",AF530,IF(AA530&lt;&gt;"",AA530,IF(V530&lt;&gt;"",V530,"")))</f>
        <v/>
      </c>
      <c r="AK530" s="83" t="str">
        <f aca="false">IF(E530="","",IF(P530="","À SOUDER",IF(S530="","VT EN ATTENTE",IF(S530="R","VT REJETÉ – À REPRENDRE",IF(AJ530="","À RADIOGRAPHIER",IF(AJ530="A","ACCEPTÉ",IF(AJ530="NX","NX – RT À REFAIRE",IF(IF(AI530=1,X530,IF(AI530=2,AC530,""))="A","RÉPARÉ – À RADIOGRAPHIER",IF(IF(AI530=1,X530,IF(AI530=2,AC530,""))="R","VT REJETÉ – À REPRENDRE",IF(AJ530="CO","COUPE – À RESOUDER","À RÉPARER"))))))))))</f>
        <v/>
      </c>
      <c r="AL530" s="82" t="str">
        <f aca="false">IF(AND(ISNUMBER(P530),OR(AK530="À RADIOGRAPHIER",AK530="RÉPARÉ – À RADIOGRAPHIER",AK530="NX – RT À REFAIRE",AK530="À RÉPARER",AK530="COUPE – À RESOUDER",AK530="VT REJETÉ – À REPRENDRE")),MAX(0,'PROGRAMME RT'!$C$4-P530),"")</f>
        <v/>
      </c>
      <c r="AM530" s="78" t="n">
        <f aca="false">IF(AND(OR(AK530="À RADIOGRAPHIER",AK530="RÉPARÉ – À RADIOGRAPHIER",AK530="NX – RT À REFAIRE"),OR('PROGRAMME RT'!$D$5="TOUTES",B530='PROGRAMME RT'!$D$5)),1,0)</f>
        <v>0</v>
      </c>
      <c r="AN530" s="78" t="str">
        <f aca="false">IF(AM530=1,SUM(AM$7:AM530),"")</f>
        <v/>
      </c>
      <c r="AO530" s="78" t="n">
        <f aca="false">IF(AND(OR(AK530="À RÉPARER",AK530="COUPE – À RESOUDER",AK530="VT REJETÉ – À REPRENDRE"),OR(RÉPARATIONS!$D$5="TOUTES",B530=RÉPARATIONS!$D$5)),1,0)</f>
        <v>0</v>
      </c>
      <c r="AP530" s="78" t="str">
        <f aca="false">IF(AO530=1,SUM(AO$7:AO530),"")</f>
        <v/>
      </c>
    </row>
    <row r="531" customFormat="false" ht="15" hidden="false" customHeight="false" outlineLevel="0" collapsed="false">
      <c r="A531" s="78" t="str">
        <f aca="false">IF(E531="","",ROW()-6)</f>
        <v/>
      </c>
      <c r="B531" s="79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1"/>
      <c r="Q531" s="81"/>
      <c r="R531" s="80"/>
      <c r="S531" s="80"/>
      <c r="T531" s="81"/>
      <c r="U531" s="80"/>
      <c r="V531" s="80"/>
      <c r="W531" s="80"/>
      <c r="X531" s="80"/>
      <c r="Y531" s="81"/>
      <c r="Z531" s="80"/>
      <c r="AA531" s="80"/>
      <c r="AB531" s="80"/>
      <c r="AC531" s="80"/>
      <c r="AD531" s="81"/>
      <c r="AE531" s="80"/>
      <c r="AF531" s="80"/>
      <c r="AG531" s="81"/>
      <c r="AH531" s="79"/>
      <c r="AI531" s="78" t="str">
        <f aca="false">IF(E531="","",(V531&lt;&gt;"")+(AA531&lt;&gt;"")+(AF531&lt;&gt;""))</f>
        <v/>
      </c>
      <c r="AJ531" s="82" t="str">
        <f aca="false">IF(AF531&lt;&gt;"",AF531,IF(AA531&lt;&gt;"",AA531,IF(V531&lt;&gt;"",V531,"")))</f>
        <v/>
      </c>
      <c r="AK531" s="83" t="str">
        <f aca="false">IF(E531="","",IF(P531="","À SOUDER",IF(S531="","VT EN ATTENTE",IF(S531="R","VT REJETÉ – À REPRENDRE",IF(AJ531="","À RADIOGRAPHIER",IF(AJ531="A","ACCEPTÉ",IF(AJ531="NX","NX – RT À REFAIRE",IF(IF(AI531=1,X531,IF(AI531=2,AC531,""))="A","RÉPARÉ – À RADIOGRAPHIER",IF(IF(AI531=1,X531,IF(AI531=2,AC531,""))="R","VT REJETÉ – À REPRENDRE",IF(AJ531="CO","COUPE – À RESOUDER","À RÉPARER"))))))))))</f>
        <v/>
      </c>
      <c r="AL531" s="82" t="str">
        <f aca="false">IF(AND(ISNUMBER(P531),OR(AK531="À RADIOGRAPHIER",AK531="RÉPARÉ – À RADIOGRAPHIER",AK531="NX – RT À REFAIRE",AK531="À RÉPARER",AK531="COUPE – À RESOUDER",AK531="VT REJETÉ – À REPRENDRE")),MAX(0,'PROGRAMME RT'!$C$4-P531),"")</f>
        <v/>
      </c>
      <c r="AM531" s="78" t="n">
        <f aca="false">IF(AND(OR(AK531="À RADIOGRAPHIER",AK531="RÉPARÉ – À RADIOGRAPHIER",AK531="NX – RT À REFAIRE"),OR('PROGRAMME RT'!$D$5="TOUTES",B531='PROGRAMME RT'!$D$5)),1,0)</f>
        <v>0</v>
      </c>
      <c r="AN531" s="78" t="str">
        <f aca="false">IF(AM531=1,SUM(AM$7:AM531),"")</f>
        <v/>
      </c>
      <c r="AO531" s="78" t="n">
        <f aca="false">IF(AND(OR(AK531="À RÉPARER",AK531="COUPE – À RESOUDER",AK531="VT REJETÉ – À REPRENDRE"),OR(RÉPARATIONS!$D$5="TOUTES",B531=RÉPARATIONS!$D$5)),1,0)</f>
        <v>0</v>
      </c>
      <c r="AP531" s="78" t="str">
        <f aca="false">IF(AO531=1,SUM(AO$7:AO531),"")</f>
        <v/>
      </c>
    </row>
    <row r="532" customFormat="false" ht="15" hidden="false" customHeight="false" outlineLevel="0" collapsed="false">
      <c r="A532" s="78" t="str">
        <f aca="false">IF(E532="","",ROW()-6)</f>
        <v/>
      </c>
      <c r="B532" s="79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1"/>
      <c r="Q532" s="81"/>
      <c r="R532" s="80"/>
      <c r="S532" s="80"/>
      <c r="T532" s="81"/>
      <c r="U532" s="80"/>
      <c r="V532" s="80"/>
      <c r="W532" s="80"/>
      <c r="X532" s="80"/>
      <c r="Y532" s="81"/>
      <c r="Z532" s="80"/>
      <c r="AA532" s="80"/>
      <c r="AB532" s="80"/>
      <c r="AC532" s="80"/>
      <c r="AD532" s="81"/>
      <c r="AE532" s="80"/>
      <c r="AF532" s="80"/>
      <c r="AG532" s="81"/>
      <c r="AH532" s="79"/>
      <c r="AI532" s="78" t="str">
        <f aca="false">IF(E532="","",(V532&lt;&gt;"")+(AA532&lt;&gt;"")+(AF532&lt;&gt;""))</f>
        <v/>
      </c>
      <c r="AJ532" s="82" t="str">
        <f aca="false">IF(AF532&lt;&gt;"",AF532,IF(AA532&lt;&gt;"",AA532,IF(V532&lt;&gt;"",V532,"")))</f>
        <v/>
      </c>
      <c r="AK532" s="83" t="str">
        <f aca="false">IF(E532="","",IF(P532="","À SOUDER",IF(S532="","VT EN ATTENTE",IF(S532="R","VT REJETÉ – À REPRENDRE",IF(AJ532="","À RADIOGRAPHIER",IF(AJ532="A","ACCEPTÉ",IF(AJ532="NX","NX – RT À REFAIRE",IF(IF(AI532=1,X532,IF(AI532=2,AC532,""))="A","RÉPARÉ – À RADIOGRAPHIER",IF(IF(AI532=1,X532,IF(AI532=2,AC532,""))="R","VT REJETÉ – À REPRENDRE",IF(AJ532="CO","COUPE – À RESOUDER","À RÉPARER"))))))))))</f>
        <v/>
      </c>
      <c r="AL532" s="82" t="str">
        <f aca="false">IF(AND(ISNUMBER(P532),OR(AK532="À RADIOGRAPHIER",AK532="RÉPARÉ – À RADIOGRAPHIER",AK532="NX – RT À REFAIRE",AK532="À RÉPARER",AK532="COUPE – À RESOUDER",AK532="VT REJETÉ – À REPRENDRE")),MAX(0,'PROGRAMME RT'!$C$4-P532),"")</f>
        <v/>
      </c>
      <c r="AM532" s="78" t="n">
        <f aca="false">IF(AND(OR(AK532="À RADIOGRAPHIER",AK532="RÉPARÉ – À RADIOGRAPHIER",AK532="NX – RT À REFAIRE"),OR('PROGRAMME RT'!$D$5="TOUTES",B532='PROGRAMME RT'!$D$5)),1,0)</f>
        <v>0</v>
      </c>
      <c r="AN532" s="78" t="str">
        <f aca="false">IF(AM532=1,SUM(AM$7:AM532),"")</f>
        <v/>
      </c>
      <c r="AO532" s="78" t="n">
        <f aca="false">IF(AND(OR(AK532="À RÉPARER",AK532="COUPE – À RESOUDER",AK532="VT REJETÉ – À REPRENDRE"),OR(RÉPARATIONS!$D$5="TOUTES",B532=RÉPARATIONS!$D$5)),1,0)</f>
        <v>0</v>
      </c>
      <c r="AP532" s="78" t="str">
        <f aca="false">IF(AO532=1,SUM(AO$7:AO532),"")</f>
        <v/>
      </c>
    </row>
    <row r="533" customFormat="false" ht="15" hidden="false" customHeight="false" outlineLevel="0" collapsed="false">
      <c r="A533" s="78" t="str">
        <f aca="false">IF(E533="","",ROW()-6)</f>
        <v/>
      </c>
      <c r="B533" s="79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1"/>
      <c r="Q533" s="81"/>
      <c r="R533" s="80"/>
      <c r="S533" s="80"/>
      <c r="T533" s="81"/>
      <c r="U533" s="80"/>
      <c r="V533" s="80"/>
      <c r="W533" s="80"/>
      <c r="X533" s="80"/>
      <c r="Y533" s="81"/>
      <c r="Z533" s="80"/>
      <c r="AA533" s="80"/>
      <c r="AB533" s="80"/>
      <c r="AC533" s="80"/>
      <c r="AD533" s="81"/>
      <c r="AE533" s="80"/>
      <c r="AF533" s="80"/>
      <c r="AG533" s="81"/>
      <c r="AH533" s="79"/>
      <c r="AI533" s="78" t="str">
        <f aca="false">IF(E533="","",(V533&lt;&gt;"")+(AA533&lt;&gt;"")+(AF533&lt;&gt;""))</f>
        <v/>
      </c>
      <c r="AJ533" s="82" t="str">
        <f aca="false">IF(AF533&lt;&gt;"",AF533,IF(AA533&lt;&gt;"",AA533,IF(V533&lt;&gt;"",V533,"")))</f>
        <v/>
      </c>
      <c r="AK533" s="83" t="str">
        <f aca="false">IF(E533="","",IF(P533="","À SOUDER",IF(S533="","VT EN ATTENTE",IF(S533="R","VT REJETÉ – À REPRENDRE",IF(AJ533="","À RADIOGRAPHIER",IF(AJ533="A","ACCEPTÉ",IF(AJ533="NX","NX – RT À REFAIRE",IF(IF(AI533=1,X533,IF(AI533=2,AC533,""))="A","RÉPARÉ – À RADIOGRAPHIER",IF(IF(AI533=1,X533,IF(AI533=2,AC533,""))="R","VT REJETÉ – À REPRENDRE",IF(AJ533="CO","COUPE – À RESOUDER","À RÉPARER"))))))))))</f>
        <v/>
      </c>
      <c r="AL533" s="82" t="str">
        <f aca="false">IF(AND(ISNUMBER(P533),OR(AK533="À RADIOGRAPHIER",AK533="RÉPARÉ – À RADIOGRAPHIER",AK533="NX – RT À REFAIRE",AK533="À RÉPARER",AK533="COUPE – À RESOUDER",AK533="VT REJETÉ – À REPRENDRE")),MAX(0,'PROGRAMME RT'!$C$4-P533),"")</f>
        <v/>
      </c>
      <c r="AM533" s="78" t="n">
        <f aca="false">IF(AND(OR(AK533="À RADIOGRAPHIER",AK533="RÉPARÉ – À RADIOGRAPHIER",AK533="NX – RT À REFAIRE"),OR('PROGRAMME RT'!$D$5="TOUTES",B533='PROGRAMME RT'!$D$5)),1,0)</f>
        <v>0</v>
      </c>
      <c r="AN533" s="78" t="str">
        <f aca="false">IF(AM533=1,SUM(AM$7:AM533),"")</f>
        <v/>
      </c>
      <c r="AO533" s="78" t="n">
        <f aca="false">IF(AND(OR(AK533="À RÉPARER",AK533="COUPE – À RESOUDER",AK533="VT REJETÉ – À REPRENDRE"),OR(RÉPARATIONS!$D$5="TOUTES",B533=RÉPARATIONS!$D$5)),1,0)</f>
        <v>0</v>
      </c>
      <c r="AP533" s="78" t="str">
        <f aca="false">IF(AO533=1,SUM(AO$7:AO533),"")</f>
        <v/>
      </c>
    </row>
    <row r="534" customFormat="false" ht="15" hidden="false" customHeight="false" outlineLevel="0" collapsed="false">
      <c r="A534" s="78" t="str">
        <f aca="false">IF(E534="","",ROW()-6)</f>
        <v/>
      </c>
      <c r="B534" s="79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1"/>
      <c r="Q534" s="81"/>
      <c r="R534" s="80"/>
      <c r="S534" s="80"/>
      <c r="T534" s="81"/>
      <c r="U534" s="80"/>
      <c r="V534" s="80"/>
      <c r="W534" s="80"/>
      <c r="X534" s="80"/>
      <c r="Y534" s="81"/>
      <c r="Z534" s="80"/>
      <c r="AA534" s="80"/>
      <c r="AB534" s="80"/>
      <c r="AC534" s="80"/>
      <c r="AD534" s="81"/>
      <c r="AE534" s="80"/>
      <c r="AF534" s="80"/>
      <c r="AG534" s="81"/>
      <c r="AH534" s="79"/>
      <c r="AI534" s="78" t="str">
        <f aca="false">IF(E534="","",(V534&lt;&gt;"")+(AA534&lt;&gt;"")+(AF534&lt;&gt;""))</f>
        <v/>
      </c>
      <c r="AJ534" s="82" t="str">
        <f aca="false">IF(AF534&lt;&gt;"",AF534,IF(AA534&lt;&gt;"",AA534,IF(V534&lt;&gt;"",V534,"")))</f>
        <v/>
      </c>
      <c r="AK534" s="83" t="str">
        <f aca="false">IF(E534="","",IF(P534="","À SOUDER",IF(S534="","VT EN ATTENTE",IF(S534="R","VT REJETÉ – À REPRENDRE",IF(AJ534="","À RADIOGRAPHIER",IF(AJ534="A","ACCEPTÉ",IF(AJ534="NX","NX – RT À REFAIRE",IF(IF(AI534=1,X534,IF(AI534=2,AC534,""))="A","RÉPARÉ – À RADIOGRAPHIER",IF(IF(AI534=1,X534,IF(AI534=2,AC534,""))="R","VT REJETÉ – À REPRENDRE",IF(AJ534="CO","COUPE – À RESOUDER","À RÉPARER"))))))))))</f>
        <v/>
      </c>
      <c r="AL534" s="82" t="str">
        <f aca="false">IF(AND(ISNUMBER(P534),OR(AK534="À RADIOGRAPHIER",AK534="RÉPARÉ – À RADIOGRAPHIER",AK534="NX – RT À REFAIRE",AK534="À RÉPARER",AK534="COUPE – À RESOUDER",AK534="VT REJETÉ – À REPRENDRE")),MAX(0,'PROGRAMME RT'!$C$4-P534),"")</f>
        <v/>
      </c>
      <c r="AM534" s="78" t="n">
        <f aca="false">IF(AND(OR(AK534="À RADIOGRAPHIER",AK534="RÉPARÉ – À RADIOGRAPHIER",AK534="NX – RT À REFAIRE"),OR('PROGRAMME RT'!$D$5="TOUTES",B534='PROGRAMME RT'!$D$5)),1,0)</f>
        <v>0</v>
      </c>
      <c r="AN534" s="78" t="str">
        <f aca="false">IF(AM534=1,SUM(AM$7:AM534),"")</f>
        <v/>
      </c>
      <c r="AO534" s="78" t="n">
        <f aca="false">IF(AND(OR(AK534="À RÉPARER",AK534="COUPE – À RESOUDER",AK534="VT REJETÉ – À REPRENDRE"),OR(RÉPARATIONS!$D$5="TOUTES",B534=RÉPARATIONS!$D$5)),1,0)</f>
        <v>0</v>
      </c>
      <c r="AP534" s="78" t="str">
        <f aca="false">IF(AO534=1,SUM(AO$7:AO534),"")</f>
        <v/>
      </c>
    </row>
    <row r="535" customFormat="false" ht="15" hidden="false" customHeight="false" outlineLevel="0" collapsed="false">
      <c r="A535" s="78" t="str">
        <f aca="false">IF(E535="","",ROW()-6)</f>
        <v/>
      </c>
      <c r="B535" s="79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1"/>
      <c r="Q535" s="81"/>
      <c r="R535" s="80"/>
      <c r="S535" s="80"/>
      <c r="T535" s="81"/>
      <c r="U535" s="80"/>
      <c r="V535" s="80"/>
      <c r="W535" s="80"/>
      <c r="X535" s="80"/>
      <c r="Y535" s="81"/>
      <c r="Z535" s="80"/>
      <c r="AA535" s="80"/>
      <c r="AB535" s="80"/>
      <c r="AC535" s="80"/>
      <c r="AD535" s="81"/>
      <c r="AE535" s="80"/>
      <c r="AF535" s="80"/>
      <c r="AG535" s="81"/>
      <c r="AH535" s="79"/>
      <c r="AI535" s="78" t="str">
        <f aca="false">IF(E535="","",(V535&lt;&gt;"")+(AA535&lt;&gt;"")+(AF535&lt;&gt;""))</f>
        <v/>
      </c>
      <c r="AJ535" s="82" t="str">
        <f aca="false">IF(AF535&lt;&gt;"",AF535,IF(AA535&lt;&gt;"",AA535,IF(V535&lt;&gt;"",V535,"")))</f>
        <v/>
      </c>
      <c r="AK535" s="83" t="str">
        <f aca="false">IF(E535="","",IF(P535="","À SOUDER",IF(S535="","VT EN ATTENTE",IF(S535="R","VT REJETÉ – À REPRENDRE",IF(AJ535="","À RADIOGRAPHIER",IF(AJ535="A","ACCEPTÉ",IF(AJ535="NX","NX – RT À REFAIRE",IF(IF(AI535=1,X535,IF(AI535=2,AC535,""))="A","RÉPARÉ – À RADIOGRAPHIER",IF(IF(AI535=1,X535,IF(AI535=2,AC535,""))="R","VT REJETÉ – À REPRENDRE",IF(AJ535="CO","COUPE – À RESOUDER","À RÉPARER"))))))))))</f>
        <v/>
      </c>
      <c r="AL535" s="82" t="str">
        <f aca="false">IF(AND(ISNUMBER(P535),OR(AK535="À RADIOGRAPHIER",AK535="RÉPARÉ – À RADIOGRAPHIER",AK535="NX – RT À REFAIRE",AK535="À RÉPARER",AK535="COUPE – À RESOUDER",AK535="VT REJETÉ – À REPRENDRE")),MAX(0,'PROGRAMME RT'!$C$4-P535),"")</f>
        <v/>
      </c>
      <c r="AM535" s="78" t="n">
        <f aca="false">IF(AND(OR(AK535="À RADIOGRAPHIER",AK535="RÉPARÉ – À RADIOGRAPHIER",AK535="NX – RT À REFAIRE"),OR('PROGRAMME RT'!$D$5="TOUTES",B535='PROGRAMME RT'!$D$5)),1,0)</f>
        <v>0</v>
      </c>
      <c r="AN535" s="78" t="str">
        <f aca="false">IF(AM535=1,SUM(AM$7:AM535),"")</f>
        <v/>
      </c>
      <c r="AO535" s="78" t="n">
        <f aca="false">IF(AND(OR(AK535="À RÉPARER",AK535="COUPE – À RESOUDER",AK535="VT REJETÉ – À REPRENDRE"),OR(RÉPARATIONS!$D$5="TOUTES",B535=RÉPARATIONS!$D$5)),1,0)</f>
        <v>0</v>
      </c>
      <c r="AP535" s="78" t="str">
        <f aca="false">IF(AO535=1,SUM(AO$7:AO535),"")</f>
        <v/>
      </c>
    </row>
    <row r="536" customFormat="false" ht="15" hidden="false" customHeight="false" outlineLevel="0" collapsed="false">
      <c r="A536" s="78" t="str">
        <f aca="false">IF(E536="","",ROW()-6)</f>
        <v/>
      </c>
      <c r="B536" s="79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1"/>
      <c r="Q536" s="81"/>
      <c r="R536" s="80"/>
      <c r="S536" s="80"/>
      <c r="T536" s="81"/>
      <c r="U536" s="80"/>
      <c r="V536" s="80"/>
      <c r="W536" s="80"/>
      <c r="X536" s="80"/>
      <c r="Y536" s="81"/>
      <c r="Z536" s="80"/>
      <c r="AA536" s="80"/>
      <c r="AB536" s="80"/>
      <c r="AC536" s="80"/>
      <c r="AD536" s="81"/>
      <c r="AE536" s="80"/>
      <c r="AF536" s="80"/>
      <c r="AG536" s="81"/>
      <c r="AH536" s="79"/>
      <c r="AI536" s="78" t="str">
        <f aca="false">IF(E536="","",(V536&lt;&gt;"")+(AA536&lt;&gt;"")+(AF536&lt;&gt;""))</f>
        <v/>
      </c>
      <c r="AJ536" s="82" t="str">
        <f aca="false">IF(AF536&lt;&gt;"",AF536,IF(AA536&lt;&gt;"",AA536,IF(V536&lt;&gt;"",V536,"")))</f>
        <v/>
      </c>
      <c r="AK536" s="83" t="str">
        <f aca="false">IF(E536="","",IF(P536="","À SOUDER",IF(S536="","VT EN ATTENTE",IF(S536="R","VT REJETÉ – À REPRENDRE",IF(AJ536="","À RADIOGRAPHIER",IF(AJ536="A","ACCEPTÉ",IF(AJ536="NX","NX – RT À REFAIRE",IF(IF(AI536=1,X536,IF(AI536=2,AC536,""))="A","RÉPARÉ – À RADIOGRAPHIER",IF(IF(AI536=1,X536,IF(AI536=2,AC536,""))="R","VT REJETÉ – À REPRENDRE",IF(AJ536="CO","COUPE – À RESOUDER","À RÉPARER"))))))))))</f>
        <v/>
      </c>
      <c r="AL536" s="82" t="str">
        <f aca="false">IF(AND(ISNUMBER(P536),OR(AK536="À RADIOGRAPHIER",AK536="RÉPARÉ – À RADIOGRAPHIER",AK536="NX – RT À REFAIRE",AK536="À RÉPARER",AK536="COUPE – À RESOUDER",AK536="VT REJETÉ – À REPRENDRE")),MAX(0,'PROGRAMME RT'!$C$4-P536),"")</f>
        <v/>
      </c>
      <c r="AM536" s="78" t="n">
        <f aca="false">IF(AND(OR(AK536="À RADIOGRAPHIER",AK536="RÉPARÉ – À RADIOGRAPHIER",AK536="NX – RT À REFAIRE"),OR('PROGRAMME RT'!$D$5="TOUTES",B536='PROGRAMME RT'!$D$5)),1,0)</f>
        <v>0</v>
      </c>
      <c r="AN536" s="78" t="str">
        <f aca="false">IF(AM536=1,SUM(AM$7:AM536),"")</f>
        <v/>
      </c>
      <c r="AO536" s="78" t="n">
        <f aca="false">IF(AND(OR(AK536="À RÉPARER",AK536="COUPE – À RESOUDER",AK536="VT REJETÉ – À REPRENDRE"),OR(RÉPARATIONS!$D$5="TOUTES",B536=RÉPARATIONS!$D$5)),1,0)</f>
        <v>0</v>
      </c>
      <c r="AP536" s="78" t="str">
        <f aca="false">IF(AO536=1,SUM(AO$7:AO536),"")</f>
        <v/>
      </c>
    </row>
    <row r="537" customFormat="false" ht="15" hidden="false" customHeight="false" outlineLevel="0" collapsed="false">
      <c r="A537" s="78" t="str">
        <f aca="false">IF(E537="","",ROW()-6)</f>
        <v/>
      </c>
      <c r="B537" s="79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1"/>
      <c r="Q537" s="81"/>
      <c r="R537" s="80"/>
      <c r="S537" s="80"/>
      <c r="T537" s="81"/>
      <c r="U537" s="80"/>
      <c r="V537" s="80"/>
      <c r="W537" s="80"/>
      <c r="X537" s="80"/>
      <c r="Y537" s="81"/>
      <c r="Z537" s="80"/>
      <c r="AA537" s="80"/>
      <c r="AB537" s="80"/>
      <c r="AC537" s="80"/>
      <c r="AD537" s="81"/>
      <c r="AE537" s="80"/>
      <c r="AF537" s="80"/>
      <c r="AG537" s="81"/>
      <c r="AH537" s="79"/>
      <c r="AI537" s="78" t="str">
        <f aca="false">IF(E537="","",(V537&lt;&gt;"")+(AA537&lt;&gt;"")+(AF537&lt;&gt;""))</f>
        <v/>
      </c>
      <c r="AJ537" s="82" t="str">
        <f aca="false">IF(AF537&lt;&gt;"",AF537,IF(AA537&lt;&gt;"",AA537,IF(V537&lt;&gt;"",V537,"")))</f>
        <v/>
      </c>
      <c r="AK537" s="83" t="str">
        <f aca="false">IF(E537="","",IF(P537="","À SOUDER",IF(S537="","VT EN ATTENTE",IF(S537="R","VT REJETÉ – À REPRENDRE",IF(AJ537="","À RADIOGRAPHIER",IF(AJ537="A","ACCEPTÉ",IF(AJ537="NX","NX – RT À REFAIRE",IF(IF(AI537=1,X537,IF(AI537=2,AC537,""))="A","RÉPARÉ – À RADIOGRAPHIER",IF(IF(AI537=1,X537,IF(AI537=2,AC537,""))="R","VT REJETÉ – À REPRENDRE",IF(AJ537="CO","COUPE – À RESOUDER","À RÉPARER"))))))))))</f>
        <v/>
      </c>
      <c r="AL537" s="82" t="str">
        <f aca="false">IF(AND(ISNUMBER(P537),OR(AK537="À RADIOGRAPHIER",AK537="RÉPARÉ – À RADIOGRAPHIER",AK537="NX – RT À REFAIRE",AK537="À RÉPARER",AK537="COUPE – À RESOUDER",AK537="VT REJETÉ – À REPRENDRE")),MAX(0,'PROGRAMME RT'!$C$4-P537),"")</f>
        <v/>
      </c>
      <c r="AM537" s="78" t="n">
        <f aca="false">IF(AND(OR(AK537="À RADIOGRAPHIER",AK537="RÉPARÉ – À RADIOGRAPHIER",AK537="NX – RT À REFAIRE"),OR('PROGRAMME RT'!$D$5="TOUTES",B537='PROGRAMME RT'!$D$5)),1,0)</f>
        <v>0</v>
      </c>
      <c r="AN537" s="78" t="str">
        <f aca="false">IF(AM537=1,SUM(AM$7:AM537),"")</f>
        <v/>
      </c>
      <c r="AO537" s="78" t="n">
        <f aca="false">IF(AND(OR(AK537="À RÉPARER",AK537="COUPE – À RESOUDER",AK537="VT REJETÉ – À REPRENDRE"),OR(RÉPARATIONS!$D$5="TOUTES",B537=RÉPARATIONS!$D$5)),1,0)</f>
        <v>0</v>
      </c>
      <c r="AP537" s="78" t="str">
        <f aca="false">IF(AO537=1,SUM(AO$7:AO537),"")</f>
        <v/>
      </c>
    </row>
    <row r="538" customFormat="false" ht="15" hidden="false" customHeight="false" outlineLevel="0" collapsed="false">
      <c r="A538" s="78" t="str">
        <f aca="false">IF(E538="","",ROW()-6)</f>
        <v/>
      </c>
      <c r="B538" s="79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1"/>
      <c r="Q538" s="81"/>
      <c r="R538" s="80"/>
      <c r="S538" s="80"/>
      <c r="T538" s="81"/>
      <c r="U538" s="80"/>
      <c r="V538" s="80"/>
      <c r="W538" s="80"/>
      <c r="X538" s="80"/>
      <c r="Y538" s="81"/>
      <c r="Z538" s="80"/>
      <c r="AA538" s="80"/>
      <c r="AB538" s="80"/>
      <c r="AC538" s="80"/>
      <c r="AD538" s="81"/>
      <c r="AE538" s="80"/>
      <c r="AF538" s="80"/>
      <c r="AG538" s="81"/>
      <c r="AH538" s="79"/>
      <c r="AI538" s="78" t="str">
        <f aca="false">IF(E538="","",(V538&lt;&gt;"")+(AA538&lt;&gt;"")+(AF538&lt;&gt;""))</f>
        <v/>
      </c>
      <c r="AJ538" s="82" t="str">
        <f aca="false">IF(AF538&lt;&gt;"",AF538,IF(AA538&lt;&gt;"",AA538,IF(V538&lt;&gt;"",V538,"")))</f>
        <v/>
      </c>
      <c r="AK538" s="83" t="str">
        <f aca="false">IF(E538="","",IF(P538="","À SOUDER",IF(S538="","VT EN ATTENTE",IF(S538="R","VT REJETÉ – À REPRENDRE",IF(AJ538="","À RADIOGRAPHIER",IF(AJ538="A","ACCEPTÉ",IF(AJ538="NX","NX – RT À REFAIRE",IF(IF(AI538=1,X538,IF(AI538=2,AC538,""))="A","RÉPARÉ – À RADIOGRAPHIER",IF(IF(AI538=1,X538,IF(AI538=2,AC538,""))="R","VT REJETÉ – À REPRENDRE",IF(AJ538="CO","COUPE – À RESOUDER","À RÉPARER"))))))))))</f>
        <v/>
      </c>
      <c r="AL538" s="82" t="str">
        <f aca="false">IF(AND(ISNUMBER(P538),OR(AK538="À RADIOGRAPHIER",AK538="RÉPARÉ – À RADIOGRAPHIER",AK538="NX – RT À REFAIRE",AK538="À RÉPARER",AK538="COUPE – À RESOUDER",AK538="VT REJETÉ – À REPRENDRE")),MAX(0,'PROGRAMME RT'!$C$4-P538),"")</f>
        <v/>
      </c>
      <c r="AM538" s="78" t="n">
        <f aca="false">IF(AND(OR(AK538="À RADIOGRAPHIER",AK538="RÉPARÉ – À RADIOGRAPHIER",AK538="NX – RT À REFAIRE"),OR('PROGRAMME RT'!$D$5="TOUTES",B538='PROGRAMME RT'!$D$5)),1,0)</f>
        <v>0</v>
      </c>
      <c r="AN538" s="78" t="str">
        <f aca="false">IF(AM538=1,SUM(AM$7:AM538),"")</f>
        <v/>
      </c>
      <c r="AO538" s="78" t="n">
        <f aca="false">IF(AND(OR(AK538="À RÉPARER",AK538="COUPE – À RESOUDER",AK538="VT REJETÉ – À REPRENDRE"),OR(RÉPARATIONS!$D$5="TOUTES",B538=RÉPARATIONS!$D$5)),1,0)</f>
        <v>0</v>
      </c>
      <c r="AP538" s="78" t="str">
        <f aca="false">IF(AO538=1,SUM(AO$7:AO538),"")</f>
        <v/>
      </c>
    </row>
    <row r="539" customFormat="false" ht="15" hidden="false" customHeight="false" outlineLevel="0" collapsed="false">
      <c r="A539" s="78" t="str">
        <f aca="false">IF(E539="","",ROW()-6)</f>
        <v/>
      </c>
      <c r="B539" s="79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1"/>
      <c r="Q539" s="81"/>
      <c r="R539" s="80"/>
      <c r="S539" s="80"/>
      <c r="T539" s="81"/>
      <c r="U539" s="80"/>
      <c r="V539" s="80"/>
      <c r="W539" s="80"/>
      <c r="X539" s="80"/>
      <c r="Y539" s="81"/>
      <c r="Z539" s="80"/>
      <c r="AA539" s="80"/>
      <c r="AB539" s="80"/>
      <c r="AC539" s="80"/>
      <c r="AD539" s="81"/>
      <c r="AE539" s="80"/>
      <c r="AF539" s="80"/>
      <c r="AG539" s="81"/>
      <c r="AH539" s="79"/>
      <c r="AI539" s="78" t="str">
        <f aca="false">IF(E539="","",(V539&lt;&gt;"")+(AA539&lt;&gt;"")+(AF539&lt;&gt;""))</f>
        <v/>
      </c>
      <c r="AJ539" s="82" t="str">
        <f aca="false">IF(AF539&lt;&gt;"",AF539,IF(AA539&lt;&gt;"",AA539,IF(V539&lt;&gt;"",V539,"")))</f>
        <v/>
      </c>
      <c r="AK539" s="83" t="str">
        <f aca="false">IF(E539="","",IF(P539="","À SOUDER",IF(S539="","VT EN ATTENTE",IF(S539="R","VT REJETÉ – À REPRENDRE",IF(AJ539="","À RADIOGRAPHIER",IF(AJ539="A","ACCEPTÉ",IF(AJ539="NX","NX – RT À REFAIRE",IF(IF(AI539=1,X539,IF(AI539=2,AC539,""))="A","RÉPARÉ – À RADIOGRAPHIER",IF(IF(AI539=1,X539,IF(AI539=2,AC539,""))="R","VT REJETÉ – À REPRENDRE",IF(AJ539="CO","COUPE – À RESOUDER","À RÉPARER"))))))))))</f>
        <v/>
      </c>
      <c r="AL539" s="82" t="str">
        <f aca="false">IF(AND(ISNUMBER(P539),OR(AK539="À RADIOGRAPHIER",AK539="RÉPARÉ – À RADIOGRAPHIER",AK539="NX – RT À REFAIRE",AK539="À RÉPARER",AK539="COUPE – À RESOUDER",AK539="VT REJETÉ – À REPRENDRE")),MAX(0,'PROGRAMME RT'!$C$4-P539),"")</f>
        <v/>
      </c>
      <c r="AM539" s="78" t="n">
        <f aca="false">IF(AND(OR(AK539="À RADIOGRAPHIER",AK539="RÉPARÉ – À RADIOGRAPHIER",AK539="NX – RT À REFAIRE"),OR('PROGRAMME RT'!$D$5="TOUTES",B539='PROGRAMME RT'!$D$5)),1,0)</f>
        <v>0</v>
      </c>
      <c r="AN539" s="78" t="str">
        <f aca="false">IF(AM539=1,SUM(AM$7:AM539),"")</f>
        <v/>
      </c>
      <c r="AO539" s="78" t="n">
        <f aca="false">IF(AND(OR(AK539="À RÉPARER",AK539="COUPE – À RESOUDER",AK539="VT REJETÉ – À REPRENDRE"),OR(RÉPARATIONS!$D$5="TOUTES",B539=RÉPARATIONS!$D$5)),1,0)</f>
        <v>0</v>
      </c>
      <c r="AP539" s="78" t="str">
        <f aca="false">IF(AO539=1,SUM(AO$7:AO539),"")</f>
        <v/>
      </c>
    </row>
    <row r="540" customFormat="false" ht="15" hidden="false" customHeight="false" outlineLevel="0" collapsed="false">
      <c r="A540" s="78" t="str">
        <f aca="false">IF(E540="","",ROW()-6)</f>
        <v/>
      </c>
      <c r="B540" s="79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1"/>
      <c r="Q540" s="81"/>
      <c r="R540" s="80"/>
      <c r="S540" s="80"/>
      <c r="T540" s="81"/>
      <c r="U540" s="80"/>
      <c r="V540" s="80"/>
      <c r="W540" s="80"/>
      <c r="X540" s="80"/>
      <c r="Y540" s="81"/>
      <c r="Z540" s="80"/>
      <c r="AA540" s="80"/>
      <c r="AB540" s="80"/>
      <c r="AC540" s="80"/>
      <c r="AD540" s="81"/>
      <c r="AE540" s="80"/>
      <c r="AF540" s="80"/>
      <c r="AG540" s="81"/>
      <c r="AH540" s="79"/>
      <c r="AI540" s="78" t="str">
        <f aca="false">IF(E540="","",(V540&lt;&gt;"")+(AA540&lt;&gt;"")+(AF540&lt;&gt;""))</f>
        <v/>
      </c>
      <c r="AJ540" s="82" t="str">
        <f aca="false">IF(AF540&lt;&gt;"",AF540,IF(AA540&lt;&gt;"",AA540,IF(V540&lt;&gt;"",V540,"")))</f>
        <v/>
      </c>
      <c r="AK540" s="83" t="str">
        <f aca="false">IF(E540="","",IF(P540="","À SOUDER",IF(S540="","VT EN ATTENTE",IF(S540="R","VT REJETÉ – À REPRENDRE",IF(AJ540="","À RADIOGRAPHIER",IF(AJ540="A","ACCEPTÉ",IF(AJ540="NX","NX – RT À REFAIRE",IF(IF(AI540=1,X540,IF(AI540=2,AC540,""))="A","RÉPARÉ – À RADIOGRAPHIER",IF(IF(AI540=1,X540,IF(AI540=2,AC540,""))="R","VT REJETÉ – À REPRENDRE",IF(AJ540="CO","COUPE – À RESOUDER","À RÉPARER"))))))))))</f>
        <v/>
      </c>
      <c r="AL540" s="82" t="str">
        <f aca="false">IF(AND(ISNUMBER(P540),OR(AK540="À RADIOGRAPHIER",AK540="RÉPARÉ – À RADIOGRAPHIER",AK540="NX – RT À REFAIRE",AK540="À RÉPARER",AK540="COUPE – À RESOUDER",AK540="VT REJETÉ – À REPRENDRE")),MAX(0,'PROGRAMME RT'!$C$4-P540),"")</f>
        <v/>
      </c>
      <c r="AM540" s="78" t="n">
        <f aca="false">IF(AND(OR(AK540="À RADIOGRAPHIER",AK540="RÉPARÉ – À RADIOGRAPHIER",AK540="NX – RT À REFAIRE"),OR('PROGRAMME RT'!$D$5="TOUTES",B540='PROGRAMME RT'!$D$5)),1,0)</f>
        <v>0</v>
      </c>
      <c r="AN540" s="78" t="str">
        <f aca="false">IF(AM540=1,SUM(AM$7:AM540),"")</f>
        <v/>
      </c>
      <c r="AO540" s="78" t="n">
        <f aca="false">IF(AND(OR(AK540="À RÉPARER",AK540="COUPE – À RESOUDER",AK540="VT REJETÉ – À REPRENDRE"),OR(RÉPARATIONS!$D$5="TOUTES",B540=RÉPARATIONS!$D$5)),1,0)</f>
        <v>0</v>
      </c>
      <c r="AP540" s="78" t="str">
        <f aca="false">IF(AO540=1,SUM(AO$7:AO540),"")</f>
        <v/>
      </c>
    </row>
    <row r="541" customFormat="false" ht="15" hidden="false" customHeight="false" outlineLevel="0" collapsed="false">
      <c r="A541" s="78" t="str">
        <f aca="false">IF(E541="","",ROW()-6)</f>
        <v/>
      </c>
      <c r="B541" s="79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1"/>
      <c r="Q541" s="81"/>
      <c r="R541" s="80"/>
      <c r="S541" s="80"/>
      <c r="T541" s="81"/>
      <c r="U541" s="80"/>
      <c r="V541" s="80"/>
      <c r="W541" s="80"/>
      <c r="X541" s="80"/>
      <c r="Y541" s="81"/>
      <c r="Z541" s="80"/>
      <c r="AA541" s="80"/>
      <c r="AB541" s="80"/>
      <c r="AC541" s="80"/>
      <c r="AD541" s="81"/>
      <c r="AE541" s="80"/>
      <c r="AF541" s="80"/>
      <c r="AG541" s="81"/>
      <c r="AH541" s="79"/>
      <c r="AI541" s="78" t="str">
        <f aca="false">IF(E541="","",(V541&lt;&gt;"")+(AA541&lt;&gt;"")+(AF541&lt;&gt;""))</f>
        <v/>
      </c>
      <c r="AJ541" s="82" t="str">
        <f aca="false">IF(AF541&lt;&gt;"",AF541,IF(AA541&lt;&gt;"",AA541,IF(V541&lt;&gt;"",V541,"")))</f>
        <v/>
      </c>
      <c r="AK541" s="83" t="str">
        <f aca="false">IF(E541="","",IF(P541="","À SOUDER",IF(S541="","VT EN ATTENTE",IF(S541="R","VT REJETÉ – À REPRENDRE",IF(AJ541="","À RADIOGRAPHIER",IF(AJ541="A","ACCEPTÉ",IF(AJ541="NX","NX – RT À REFAIRE",IF(IF(AI541=1,X541,IF(AI541=2,AC541,""))="A","RÉPARÉ – À RADIOGRAPHIER",IF(IF(AI541=1,X541,IF(AI541=2,AC541,""))="R","VT REJETÉ – À REPRENDRE",IF(AJ541="CO","COUPE – À RESOUDER","À RÉPARER"))))))))))</f>
        <v/>
      </c>
      <c r="AL541" s="82" t="str">
        <f aca="false">IF(AND(ISNUMBER(P541),OR(AK541="À RADIOGRAPHIER",AK541="RÉPARÉ – À RADIOGRAPHIER",AK541="NX – RT À REFAIRE",AK541="À RÉPARER",AK541="COUPE – À RESOUDER",AK541="VT REJETÉ – À REPRENDRE")),MAX(0,'PROGRAMME RT'!$C$4-P541),"")</f>
        <v/>
      </c>
      <c r="AM541" s="78" t="n">
        <f aca="false">IF(AND(OR(AK541="À RADIOGRAPHIER",AK541="RÉPARÉ – À RADIOGRAPHIER",AK541="NX – RT À REFAIRE"),OR('PROGRAMME RT'!$D$5="TOUTES",B541='PROGRAMME RT'!$D$5)),1,0)</f>
        <v>0</v>
      </c>
      <c r="AN541" s="78" t="str">
        <f aca="false">IF(AM541=1,SUM(AM$7:AM541),"")</f>
        <v/>
      </c>
      <c r="AO541" s="78" t="n">
        <f aca="false">IF(AND(OR(AK541="À RÉPARER",AK541="COUPE – À RESOUDER",AK541="VT REJETÉ – À REPRENDRE"),OR(RÉPARATIONS!$D$5="TOUTES",B541=RÉPARATIONS!$D$5)),1,0)</f>
        <v>0</v>
      </c>
      <c r="AP541" s="78" t="str">
        <f aca="false">IF(AO541=1,SUM(AO$7:AO541),"")</f>
        <v/>
      </c>
    </row>
    <row r="542" customFormat="false" ht="15" hidden="false" customHeight="false" outlineLevel="0" collapsed="false">
      <c r="A542" s="78" t="str">
        <f aca="false">IF(E542="","",ROW()-6)</f>
        <v/>
      </c>
      <c r="B542" s="79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1"/>
      <c r="Q542" s="81"/>
      <c r="R542" s="80"/>
      <c r="S542" s="80"/>
      <c r="T542" s="81"/>
      <c r="U542" s="80"/>
      <c r="V542" s="80"/>
      <c r="W542" s="80"/>
      <c r="X542" s="80"/>
      <c r="Y542" s="81"/>
      <c r="Z542" s="80"/>
      <c r="AA542" s="80"/>
      <c r="AB542" s="80"/>
      <c r="AC542" s="80"/>
      <c r="AD542" s="81"/>
      <c r="AE542" s="80"/>
      <c r="AF542" s="80"/>
      <c r="AG542" s="81"/>
      <c r="AH542" s="79"/>
      <c r="AI542" s="78" t="str">
        <f aca="false">IF(E542="","",(V542&lt;&gt;"")+(AA542&lt;&gt;"")+(AF542&lt;&gt;""))</f>
        <v/>
      </c>
      <c r="AJ542" s="82" t="str">
        <f aca="false">IF(AF542&lt;&gt;"",AF542,IF(AA542&lt;&gt;"",AA542,IF(V542&lt;&gt;"",V542,"")))</f>
        <v/>
      </c>
      <c r="AK542" s="83" t="str">
        <f aca="false">IF(E542="","",IF(P542="","À SOUDER",IF(S542="","VT EN ATTENTE",IF(S542="R","VT REJETÉ – À REPRENDRE",IF(AJ542="","À RADIOGRAPHIER",IF(AJ542="A","ACCEPTÉ",IF(AJ542="NX","NX – RT À REFAIRE",IF(IF(AI542=1,X542,IF(AI542=2,AC542,""))="A","RÉPARÉ – À RADIOGRAPHIER",IF(IF(AI542=1,X542,IF(AI542=2,AC542,""))="R","VT REJETÉ – À REPRENDRE",IF(AJ542="CO","COUPE – À RESOUDER","À RÉPARER"))))))))))</f>
        <v/>
      </c>
      <c r="AL542" s="82" t="str">
        <f aca="false">IF(AND(ISNUMBER(P542),OR(AK542="À RADIOGRAPHIER",AK542="RÉPARÉ – À RADIOGRAPHIER",AK542="NX – RT À REFAIRE",AK542="À RÉPARER",AK542="COUPE – À RESOUDER",AK542="VT REJETÉ – À REPRENDRE")),MAX(0,'PROGRAMME RT'!$C$4-P542),"")</f>
        <v/>
      </c>
      <c r="AM542" s="78" t="n">
        <f aca="false">IF(AND(OR(AK542="À RADIOGRAPHIER",AK542="RÉPARÉ – À RADIOGRAPHIER",AK542="NX – RT À REFAIRE"),OR('PROGRAMME RT'!$D$5="TOUTES",B542='PROGRAMME RT'!$D$5)),1,0)</f>
        <v>0</v>
      </c>
      <c r="AN542" s="78" t="str">
        <f aca="false">IF(AM542=1,SUM(AM$7:AM542),"")</f>
        <v/>
      </c>
      <c r="AO542" s="78" t="n">
        <f aca="false">IF(AND(OR(AK542="À RÉPARER",AK542="COUPE – À RESOUDER",AK542="VT REJETÉ – À REPRENDRE"),OR(RÉPARATIONS!$D$5="TOUTES",B542=RÉPARATIONS!$D$5)),1,0)</f>
        <v>0</v>
      </c>
      <c r="AP542" s="78" t="str">
        <f aca="false">IF(AO542=1,SUM(AO$7:AO542),"")</f>
        <v/>
      </c>
    </row>
    <row r="543" customFormat="false" ht="15" hidden="false" customHeight="false" outlineLevel="0" collapsed="false">
      <c r="A543" s="78" t="str">
        <f aca="false">IF(E543="","",ROW()-6)</f>
        <v/>
      </c>
      <c r="B543" s="79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1"/>
      <c r="Q543" s="81"/>
      <c r="R543" s="80"/>
      <c r="S543" s="80"/>
      <c r="T543" s="81"/>
      <c r="U543" s="80"/>
      <c r="V543" s="80"/>
      <c r="W543" s="80"/>
      <c r="X543" s="80"/>
      <c r="Y543" s="81"/>
      <c r="Z543" s="80"/>
      <c r="AA543" s="80"/>
      <c r="AB543" s="80"/>
      <c r="AC543" s="80"/>
      <c r="AD543" s="81"/>
      <c r="AE543" s="80"/>
      <c r="AF543" s="80"/>
      <c r="AG543" s="81"/>
      <c r="AH543" s="79"/>
      <c r="AI543" s="78" t="str">
        <f aca="false">IF(E543="","",(V543&lt;&gt;"")+(AA543&lt;&gt;"")+(AF543&lt;&gt;""))</f>
        <v/>
      </c>
      <c r="AJ543" s="82" t="str">
        <f aca="false">IF(AF543&lt;&gt;"",AF543,IF(AA543&lt;&gt;"",AA543,IF(V543&lt;&gt;"",V543,"")))</f>
        <v/>
      </c>
      <c r="AK543" s="83" t="str">
        <f aca="false">IF(E543="","",IF(P543="","À SOUDER",IF(S543="","VT EN ATTENTE",IF(S543="R","VT REJETÉ – À REPRENDRE",IF(AJ543="","À RADIOGRAPHIER",IF(AJ543="A","ACCEPTÉ",IF(AJ543="NX","NX – RT À REFAIRE",IF(IF(AI543=1,X543,IF(AI543=2,AC543,""))="A","RÉPARÉ – À RADIOGRAPHIER",IF(IF(AI543=1,X543,IF(AI543=2,AC543,""))="R","VT REJETÉ – À REPRENDRE",IF(AJ543="CO","COUPE – À RESOUDER","À RÉPARER"))))))))))</f>
        <v/>
      </c>
      <c r="AL543" s="82" t="str">
        <f aca="false">IF(AND(ISNUMBER(P543),OR(AK543="À RADIOGRAPHIER",AK543="RÉPARÉ – À RADIOGRAPHIER",AK543="NX – RT À REFAIRE",AK543="À RÉPARER",AK543="COUPE – À RESOUDER",AK543="VT REJETÉ – À REPRENDRE")),MAX(0,'PROGRAMME RT'!$C$4-P543),"")</f>
        <v/>
      </c>
      <c r="AM543" s="78" t="n">
        <f aca="false">IF(AND(OR(AK543="À RADIOGRAPHIER",AK543="RÉPARÉ – À RADIOGRAPHIER",AK543="NX – RT À REFAIRE"),OR('PROGRAMME RT'!$D$5="TOUTES",B543='PROGRAMME RT'!$D$5)),1,0)</f>
        <v>0</v>
      </c>
      <c r="AN543" s="78" t="str">
        <f aca="false">IF(AM543=1,SUM(AM$7:AM543),"")</f>
        <v/>
      </c>
      <c r="AO543" s="78" t="n">
        <f aca="false">IF(AND(OR(AK543="À RÉPARER",AK543="COUPE – À RESOUDER",AK543="VT REJETÉ – À REPRENDRE"),OR(RÉPARATIONS!$D$5="TOUTES",B543=RÉPARATIONS!$D$5)),1,0)</f>
        <v>0</v>
      </c>
      <c r="AP543" s="78" t="str">
        <f aca="false">IF(AO543=1,SUM(AO$7:AO543),"")</f>
        <v/>
      </c>
    </row>
    <row r="544" customFormat="false" ht="15" hidden="false" customHeight="false" outlineLevel="0" collapsed="false">
      <c r="A544" s="78" t="str">
        <f aca="false">IF(E544="","",ROW()-6)</f>
        <v/>
      </c>
      <c r="B544" s="79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1"/>
      <c r="Q544" s="81"/>
      <c r="R544" s="80"/>
      <c r="S544" s="80"/>
      <c r="T544" s="81"/>
      <c r="U544" s="80"/>
      <c r="V544" s="80"/>
      <c r="W544" s="80"/>
      <c r="X544" s="80"/>
      <c r="Y544" s="81"/>
      <c r="Z544" s="80"/>
      <c r="AA544" s="80"/>
      <c r="AB544" s="80"/>
      <c r="AC544" s="80"/>
      <c r="AD544" s="81"/>
      <c r="AE544" s="80"/>
      <c r="AF544" s="80"/>
      <c r="AG544" s="81"/>
      <c r="AH544" s="79"/>
      <c r="AI544" s="78" t="str">
        <f aca="false">IF(E544="","",(V544&lt;&gt;"")+(AA544&lt;&gt;"")+(AF544&lt;&gt;""))</f>
        <v/>
      </c>
      <c r="AJ544" s="82" t="str">
        <f aca="false">IF(AF544&lt;&gt;"",AF544,IF(AA544&lt;&gt;"",AA544,IF(V544&lt;&gt;"",V544,"")))</f>
        <v/>
      </c>
      <c r="AK544" s="83" t="str">
        <f aca="false">IF(E544="","",IF(P544="","À SOUDER",IF(S544="","VT EN ATTENTE",IF(S544="R","VT REJETÉ – À REPRENDRE",IF(AJ544="","À RADIOGRAPHIER",IF(AJ544="A","ACCEPTÉ",IF(AJ544="NX","NX – RT À REFAIRE",IF(IF(AI544=1,X544,IF(AI544=2,AC544,""))="A","RÉPARÉ – À RADIOGRAPHIER",IF(IF(AI544=1,X544,IF(AI544=2,AC544,""))="R","VT REJETÉ – À REPRENDRE",IF(AJ544="CO","COUPE – À RESOUDER","À RÉPARER"))))))))))</f>
        <v/>
      </c>
      <c r="AL544" s="82" t="str">
        <f aca="false">IF(AND(ISNUMBER(P544),OR(AK544="À RADIOGRAPHIER",AK544="RÉPARÉ – À RADIOGRAPHIER",AK544="NX – RT À REFAIRE",AK544="À RÉPARER",AK544="COUPE – À RESOUDER",AK544="VT REJETÉ – À REPRENDRE")),MAX(0,'PROGRAMME RT'!$C$4-P544),"")</f>
        <v/>
      </c>
      <c r="AM544" s="78" t="n">
        <f aca="false">IF(AND(OR(AK544="À RADIOGRAPHIER",AK544="RÉPARÉ – À RADIOGRAPHIER",AK544="NX – RT À REFAIRE"),OR('PROGRAMME RT'!$D$5="TOUTES",B544='PROGRAMME RT'!$D$5)),1,0)</f>
        <v>0</v>
      </c>
      <c r="AN544" s="78" t="str">
        <f aca="false">IF(AM544=1,SUM(AM$7:AM544),"")</f>
        <v/>
      </c>
      <c r="AO544" s="78" t="n">
        <f aca="false">IF(AND(OR(AK544="À RÉPARER",AK544="COUPE – À RESOUDER",AK544="VT REJETÉ – À REPRENDRE"),OR(RÉPARATIONS!$D$5="TOUTES",B544=RÉPARATIONS!$D$5)),1,0)</f>
        <v>0</v>
      </c>
      <c r="AP544" s="78" t="str">
        <f aca="false">IF(AO544=1,SUM(AO$7:AO544),"")</f>
        <v/>
      </c>
    </row>
    <row r="545" customFormat="false" ht="15" hidden="false" customHeight="false" outlineLevel="0" collapsed="false">
      <c r="A545" s="78" t="str">
        <f aca="false">IF(E545="","",ROW()-6)</f>
        <v/>
      </c>
      <c r="B545" s="79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1"/>
      <c r="Q545" s="81"/>
      <c r="R545" s="80"/>
      <c r="S545" s="80"/>
      <c r="T545" s="81"/>
      <c r="U545" s="80"/>
      <c r="V545" s="80"/>
      <c r="W545" s="80"/>
      <c r="X545" s="80"/>
      <c r="Y545" s="81"/>
      <c r="Z545" s="80"/>
      <c r="AA545" s="80"/>
      <c r="AB545" s="80"/>
      <c r="AC545" s="80"/>
      <c r="AD545" s="81"/>
      <c r="AE545" s="80"/>
      <c r="AF545" s="80"/>
      <c r="AG545" s="81"/>
      <c r="AH545" s="79"/>
      <c r="AI545" s="78" t="str">
        <f aca="false">IF(E545="","",(V545&lt;&gt;"")+(AA545&lt;&gt;"")+(AF545&lt;&gt;""))</f>
        <v/>
      </c>
      <c r="AJ545" s="82" t="str">
        <f aca="false">IF(AF545&lt;&gt;"",AF545,IF(AA545&lt;&gt;"",AA545,IF(V545&lt;&gt;"",V545,"")))</f>
        <v/>
      </c>
      <c r="AK545" s="83" t="str">
        <f aca="false">IF(E545="","",IF(P545="","À SOUDER",IF(S545="","VT EN ATTENTE",IF(S545="R","VT REJETÉ – À REPRENDRE",IF(AJ545="","À RADIOGRAPHIER",IF(AJ545="A","ACCEPTÉ",IF(AJ545="NX","NX – RT À REFAIRE",IF(IF(AI545=1,X545,IF(AI545=2,AC545,""))="A","RÉPARÉ – À RADIOGRAPHIER",IF(IF(AI545=1,X545,IF(AI545=2,AC545,""))="R","VT REJETÉ – À REPRENDRE",IF(AJ545="CO","COUPE – À RESOUDER","À RÉPARER"))))))))))</f>
        <v/>
      </c>
      <c r="AL545" s="82" t="str">
        <f aca="false">IF(AND(ISNUMBER(P545),OR(AK545="À RADIOGRAPHIER",AK545="RÉPARÉ – À RADIOGRAPHIER",AK545="NX – RT À REFAIRE",AK545="À RÉPARER",AK545="COUPE – À RESOUDER",AK545="VT REJETÉ – À REPRENDRE")),MAX(0,'PROGRAMME RT'!$C$4-P545),"")</f>
        <v/>
      </c>
      <c r="AM545" s="78" t="n">
        <f aca="false">IF(AND(OR(AK545="À RADIOGRAPHIER",AK545="RÉPARÉ – À RADIOGRAPHIER",AK545="NX – RT À REFAIRE"),OR('PROGRAMME RT'!$D$5="TOUTES",B545='PROGRAMME RT'!$D$5)),1,0)</f>
        <v>0</v>
      </c>
      <c r="AN545" s="78" t="str">
        <f aca="false">IF(AM545=1,SUM(AM$7:AM545),"")</f>
        <v/>
      </c>
      <c r="AO545" s="78" t="n">
        <f aca="false">IF(AND(OR(AK545="À RÉPARER",AK545="COUPE – À RESOUDER",AK545="VT REJETÉ – À REPRENDRE"),OR(RÉPARATIONS!$D$5="TOUTES",B545=RÉPARATIONS!$D$5)),1,0)</f>
        <v>0</v>
      </c>
      <c r="AP545" s="78" t="str">
        <f aca="false">IF(AO545=1,SUM(AO$7:AO545),"")</f>
        <v/>
      </c>
    </row>
    <row r="546" customFormat="false" ht="15" hidden="false" customHeight="false" outlineLevel="0" collapsed="false">
      <c r="A546" s="78" t="str">
        <f aca="false">IF(E546="","",ROW()-6)</f>
        <v/>
      </c>
      <c r="B546" s="79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1"/>
      <c r="Q546" s="81"/>
      <c r="R546" s="80"/>
      <c r="S546" s="80"/>
      <c r="T546" s="81"/>
      <c r="U546" s="80"/>
      <c r="V546" s="80"/>
      <c r="W546" s="80"/>
      <c r="X546" s="80"/>
      <c r="Y546" s="81"/>
      <c r="Z546" s="80"/>
      <c r="AA546" s="80"/>
      <c r="AB546" s="80"/>
      <c r="AC546" s="80"/>
      <c r="AD546" s="81"/>
      <c r="AE546" s="80"/>
      <c r="AF546" s="80"/>
      <c r="AG546" s="81"/>
      <c r="AH546" s="79"/>
      <c r="AI546" s="78" t="str">
        <f aca="false">IF(E546="","",(V546&lt;&gt;"")+(AA546&lt;&gt;"")+(AF546&lt;&gt;""))</f>
        <v/>
      </c>
      <c r="AJ546" s="82" t="str">
        <f aca="false">IF(AF546&lt;&gt;"",AF546,IF(AA546&lt;&gt;"",AA546,IF(V546&lt;&gt;"",V546,"")))</f>
        <v/>
      </c>
      <c r="AK546" s="83" t="str">
        <f aca="false">IF(E546="","",IF(P546="","À SOUDER",IF(S546="","VT EN ATTENTE",IF(S546="R","VT REJETÉ – À REPRENDRE",IF(AJ546="","À RADIOGRAPHIER",IF(AJ546="A","ACCEPTÉ",IF(AJ546="NX","NX – RT À REFAIRE",IF(IF(AI546=1,X546,IF(AI546=2,AC546,""))="A","RÉPARÉ – À RADIOGRAPHIER",IF(IF(AI546=1,X546,IF(AI546=2,AC546,""))="R","VT REJETÉ – À REPRENDRE",IF(AJ546="CO","COUPE – À RESOUDER","À RÉPARER"))))))))))</f>
        <v/>
      </c>
      <c r="AL546" s="82" t="str">
        <f aca="false">IF(AND(ISNUMBER(P546),OR(AK546="À RADIOGRAPHIER",AK546="RÉPARÉ – À RADIOGRAPHIER",AK546="NX – RT À REFAIRE",AK546="À RÉPARER",AK546="COUPE – À RESOUDER",AK546="VT REJETÉ – À REPRENDRE")),MAX(0,'PROGRAMME RT'!$C$4-P546),"")</f>
        <v/>
      </c>
      <c r="AM546" s="78" t="n">
        <f aca="false">IF(AND(OR(AK546="À RADIOGRAPHIER",AK546="RÉPARÉ – À RADIOGRAPHIER",AK546="NX – RT À REFAIRE"),OR('PROGRAMME RT'!$D$5="TOUTES",B546='PROGRAMME RT'!$D$5)),1,0)</f>
        <v>0</v>
      </c>
      <c r="AN546" s="78" t="str">
        <f aca="false">IF(AM546=1,SUM(AM$7:AM546),"")</f>
        <v/>
      </c>
      <c r="AO546" s="78" t="n">
        <f aca="false">IF(AND(OR(AK546="À RÉPARER",AK546="COUPE – À RESOUDER",AK546="VT REJETÉ – À REPRENDRE"),OR(RÉPARATIONS!$D$5="TOUTES",B546=RÉPARATIONS!$D$5)),1,0)</f>
        <v>0</v>
      </c>
      <c r="AP546" s="78" t="str">
        <f aca="false">IF(AO546=1,SUM(AO$7:AO546),"")</f>
        <v/>
      </c>
    </row>
    <row r="547" customFormat="false" ht="15" hidden="false" customHeight="false" outlineLevel="0" collapsed="false">
      <c r="A547" s="78" t="str">
        <f aca="false">IF(E547="","",ROW()-6)</f>
        <v/>
      </c>
      <c r="B547" s="79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1"/>
      <c r="Q547" s="81"/>
      <c r="R547" s="80"/>
      <c r="S547" s="80"/>
      <c r="T547" s="81"/>
      <c r="U547" s="80"/>
      <c r="V547" s="80"/>
      <c r="W547" s="80"/>
      <c r="X547" s="80"/>
      <c r="Y547" s="81"/>
      <c r="Z547" s="80"/>
      <c r="AA547" s="80"/>
      <c r="AB547" s="80"/>
      <c r="AC547" s="80"/>
      <c r="AD547" s="81"/>
      <c r="AE547" s="80"/>
      <c r="AF547" s="80"/>
      <c r="AG547" s="81"/>
      <c r="AH547" s="79"/>
      <c r="AI547" s="78" t="str">
        <f aca="false">IF(E547="","",(V547&lt;&gt;"")+(AA547&lt;&gt;"")+(AF547&lt;&gt;""))</f>
        <v/>
      </c>
      <c r="AJ547" s="82" t="str">
        <f aca="false">IF(AF547&lt;&gt;"",AF547,IF(AA547&lt;&gt;"",AA547,IF(V547&lt;&gt;"",V547,"")))</f>
        <v/>
      </c>
      <c r="AK547" s="83" t="str">
        <f aca="false">IF(E547="","",IF(P547="","À SOUDER",IF(S547="","VT EN ATTENTE",IF(S547="R","VT REJETÉ – À REPRENDRE",IF(AJ547="","À RADIOGRAPHIER",IF(AJ547="A","ACCEPTÉ",IF(AJ547="NX","NX – RT À REFAIRE",IF(IF(AI547=1,X547,IF(AI547=2,AC547,""))="A","RÉPARÉ – À RADIOGRAPHIER",IF(IF(AI547=1,X547,IF(AI547=2,AC547,""))="R","VT REJETÉ – À REPRENDRE",IF(AJ547="CO","COUPE – À RESOUDER","À RÉPARER"))))))))))</f>
        <v/>
      </c>
      <c r="AL547" s="82" t="str">
        <f aca="false">IF(AND(ISNUMBER(P547),OR(AK547="À RADIOGRAPHIER",AK547="RÉPARÉ – À RADIOGRAPHIER",AK547="NX – RT À REFAIRE",AK547="À RÉPARER",AK547="COUPE – À RESOUDER",AK547="VT REJETÉ – À REPRENDRE")),MAX(0,'PROGRAMME RT'!$C$4-P547),"")</f>
        <v/>
      </c>
      <c r="AM547" s="78" t="n">
        <f aca="false">IF(AND(OR(AK547="À RADIOGRAPHIER",AK547="RÉPARÉ – À RADIOGRAPHIER",AK547="NX – RT À REFAIRE"),OR('PROGRAMME RT'!$D$5="TOUTES",B547='PROGRAMME RT'!$D$5)),1,0)</f>
        <v>0</v>
      </c>
      <c r="AN547" s="78" t="str">
        <f aca="false">IF(AM547=1,SUM(AM$7:AM547),"")</f>
        <v/>
      </c>
      <c r="AO547" s="78" t="n">
        <f aca="false">IF(AND(OR(AK547="À RÉPARER",AK547="COUPE – À RESOUDER",AK547="VT REJETÉ – À REPRENDRE"),OR(RÉPARATIONS!$D$5="TOUTES",B547=RÉPARATIONS!$D$5)),1,0)</f>
        <v>0</v>
      </c>
      <c r="AP547" s="78" t="str">
        <f aca="false">IF(AO547=1,SUM(AO$7:AO547),"")</f>
        <v/>
      </c>
    </row>
    <row r="548" customFormat="false" ht="15" hidden="false" customHeight="false" outlineLevel="0" collapsed="false">
      <c r="A548" s="78" t="str">
        <f aca="false">IF(E548="","",ROW()-6)</f>
        <v/>
      </c>
      <c r="B548" s="79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1"/>
      <c r="Q548" s="81"/>
      <c r="R548" s="80"/>
      <c r="S548" s="80"/>
      <c r="T548" s="81"/>
      <c r="U548" s="80"/>
      <c r="V548" s="80"/>
      <c r="W548" s="80"/>
      <c r="X548" s="80"/>
      <c r="Y548" s="81"/>
      <c r="Z548" s="80"/>
      <c r="AA548" s="80"/>
      <c r="AB548" s="80"/>
      <c r="AC548" s="80"/>
      <c r="AD548" s="81"/>
      <c r="AE548" s="80"/>
      <c r="AF548" s="80"/>
      <c r="AG548" s="81"/>
      <c r="AH548" s="79"/>
      <c r="AI548" s="78" t="str">
        <f aca="false">IF(E548="","",(V548&lt;&gt;"")+(AA548&lt;&gt;"")+(AF548&lt;&gt;""))</f>
        <v/>
      </c>
      <c r="AJ548" s="82" t="str">
        <f aca="false">IF(AF548&lt;&gt;"",AF548,IF(AA548&lt;&gt;"",AA548,IF(V548&lt;&gt;"",V548,"")))</f>
        <v/>
      </c>
      <c r="AK548" s="83" t="str">
        <f aca="false">IF(E548="","",IF(P548="","À SOUDER",IF(S548="","VT EN ATTENTE",IF(S548="R","VT REJETÉ – À REPRENDRE",IF(AJ548="","À RADIOGRAPHIER",IF(AJ548="A","ACCEPTÉ",IF(AJ548="NX","NX – RT À REFAIRE",IF(IF(AI548=1,X548,IF(AI548=2,AC548,""))="A","RÉPARÉ – À RADIOGRAPHIER",IF(IF(AI548=1,X548,IF(AI548=2,AC548,""))="R","VT REJETÉ – À REPRENDRE",IF(AJ548="CO","COUPE – À RESOUDER","À RÉPARER"))))))))))</f>
        <v/>
      </c>
      <c r="AL548" s="82" t="str">
        <f aca="false">IF(AND(ISNUMBER(P548),OR(AK548="À RADIOGRAPHIER",AK548="RÉPARÉ – À RADIOGRAPHIER",AK548="NX – RT À REFAIRE",AK548="À RÉPARER",AK548="COUPE – À RESOUDER",AK548="VT REJETÉ – À REPRENDRE")),MAX(0,'PROGRAMME RT'!$C$4-P548),"")</f>
        <v/>
      </c>
      <c r="AM548" s="78" t="n">
        <f aca="false">IF(AND(OR(AK548="À RADIOGRAPHIER",AK548="RÉPARÉ – À RADIOGRAPHIER",AK548="NX – RT À REFAIRE"),OR('PROGRAMME RT'!$D$5="TOUTES",B548='PROGRAMME RT'!$D$5)),1,0)</f>
        <v>0</v>
      </c>
      <c r="AN548" s="78" t="str">
        <f aca="false">IF(AM548=1,SUM(AM$7:AM548),"")</f>
        <v/>
      </c>
      <c r="AO548" s="78" t="n">
        <f aca="false">IF(AND(OR(AK548="À RÉPARER",AK548="COUPE – À RESOUDER",AK548="VT REJETÉ – À REPRENDRE"),OR(RÉPARATIONS!$D$5="TOUTES",B548=RÉPARATIONS!$D$5)),1,0)</f>
        <v>0</v>
      </c>
      <c r="AP548" s="78" t="str">
        <f aca="false">IF(AO548=1,SUM(AO$7:AO548),"")</f>
        <v/>
      </c>
    </row>
    <row r="549" customFormat="false" ht="15" hidden="false" customHeight="false" outlineLevel="0" collapsed="false">
      <c r="A549" s="78" t="str">
        <f aca="false">IF(E549="","",ROW()-6)</f>
        <v/>
      </c>
      <c r="B549" s="79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1"/>
      <c r="Q549" s="81"/>
      <c r="R549" s="80"/>
      <c r="S549" s="80"/>
      <c r="T549" s="81"/>
      <c r="U549" s="80"/>
      <c r="V549" s="80"/>
      <c r="W549" s="80"/>
      <c r="X549" s="80"/>
      <c r="Y549" s="81"/>
      <c r="Z549" s="80"/>
      <c r="AA549" s="80"/>
      <c r="AB549" s="80"/>
      <c r="AC549" s="80"/>
      <c r="AD549" s="81"/>
      <c r="AE549" s="80"/>
      <c r="AF549" s="80"/>
      <c r="AG549" s="81"/>
      <c r="AH549" s="79"/>
      <c r="AI549" s="78" t="str">
        <f aca="false">IF(E549="","",(V549&lt;&gt;"")+(AA549&lt;&gt;"")+(AF549&lt;&gt;""))</f>
        <v/>
      </c>
      <c r="AJ549" s="82" t="str">
        <f aca="false">IF(AF549&lt;&gt;"",AF549,IF(AA549&lt;&gt;"",AA549,IF(V549&lt;&gt;"",V549,"")))</f>
        <v/>
      </c>
      <c r="AK549" s="83" t="str">
        <f aca="false">IF(E549="","",IF(P549="","À SOUDER",IF(S549="","VT EN ATTENTE",IF(S549="R","VT REJETÉ – À REPRENDRE",IF(AJ549="","À RADIOGRAPHIER",IF(AJ549="A","ACCEPTÉ",IF(AJ549="NX","NX – RT À REFAIRE",IF(IF(AI549=1,X549,IF(AI549=2,AC549,""))="A","RÉPARÉ – À RADIOGRAPHIER",IF(IF(AI549=1,X549,IF(AI549=2,AC549,""))="R","VT REJETÉ – À REPRENDRE",IF(AJ549="CO","COUPE – À RESOUDER","À RÉPARER"))))))))))</f>
        <v/>
      </c>
      <c r="AL549" s="82" t="str">
        <f aca="false">IF(AND(ISNUMBER(P549),OR(AK549="À RADIOGRAPHIER",AK549="RÉPARÉ – À RADIOGRAPHIER",AK549="NX – RT À REFAIRE",AK549="À RÉPARER",AK549="COUPE – À RESOUDER",AK549="VT REJETÉ – À REPRENDRE")),MAX(0,'PROGRAMME RT'!$C$4-P549),"")</f>
        <v/>
      </c>
      <c r="AM549" s="78" t="n">
        <f aca="false">IF(AND(OR(AK549="À RADIOGRAPHIER",AK549="RÉPARÉ – À RADIOGRAPHIER",AK549="NX – RT À REFAIRE"),OR('PROGRAMME RT'!$D$5="TOUTES",B549='PROGRAMME RT'!$D$5)),1,0)</f>
        <v>0</v>
      </c>
      <c r="AN549" s="78" t="str">
        <f aca="false">IF(AM549=1,SUM(AM$7:AM549),"")</f>
        <v/>
      </c>
      <c r="AO549" s="78" t="n">
        <f aca="false">IF(AND(OR(AK549="À RÉPARER",AK549="COUPE – À RESOUDER",AK549="VT REJETÉ – À REPRENDRE"),OR(RÉPARATIONS!$D$5="TOUTES",B549=RÉPARATIONS!$D$5)),1,0)</f>
        <v>0</v>
      </c>
      <c r="AP549" s="78" t="str">
        <f aca="false">IF(AO549=1,SUM(AO$7:AO549),"")</f>
        <v/>
      </c>
    </row>
    <row r="550" customFormat="false" ht="15" hidden="false" customHeight="false" outlineLevel="0" collapsed="false">
      <c r="A550" s="78" t="str">
        <f aca="false">IF(E550="","",ROW()-6)</f>
        <v/>
      </c>
      <c r="B550" s="79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1"/>
      <c r="Q550" s="81"/>
      <c r="R550" s="80"/>
      <c r="S550" s="80"/>
      <c r="T550" s="81"/>
      <c r="U550" s="80"/>
      <c r="V550" s="80"/>
      <c r="W550" s="80"/>
      <c r="X550" s="80"/>
      <c r="Y550" s="81"/>
      <c r="Z550" s="80"/>
      <c r="AA550" s="80"/>
      <c r="AB550" s="80"/>
      <c r="AC550" s="80"/>
      <c r="AD550" s="81"/>
      <c r="AE550" s="80"/>
      <c r="AF550" s="80"/>
      <c r="AG550" s="81"/>
      <c r="AH550" s="79"/>
      <c r="AI550" s="78" t="str">
        <f aca="false">IF(E550="","",(V550&lt;&gt;"")+(AA550&lt;&gt;"")+(AF550&lt;&gt;""))</f>
        <v/>
      </c>
      <c r="AJ550" s="82" t="str">
        <f aca="false">IF(AF550&lt;&gt;"",AF550,IF(AA550&lt;&gt;"",AA550,IF(V550&lt;&gt;"",V550,"")))</f>
        <v/>
      </c>
      <c r="AK550" s="83" t="str">
        <f aca="false">IF(E550="","",IF(P550="","À SOUDER",IF(S550="","VT EN ATTENTE",IF(S550="R","VT REJETÉ – À REPRENDRE",IF(AJ550="","À RADIOGRAPHIER",IF(AJ550="A","ACCEPTÉ",IF(AJ550="NX","NX – RT À REFAIRE",IF(IF(AI550=1,X550,IF(AI550=2,AC550,""))="A","RÉPARÉ – À RADIOGRAPHIER",IF(IF(AI550=1,X550,IF(AI550=2,AC550,""))="R","VT REJETÉ – À REPRENDRE",IF(AJ550="CO","COUPE – À RESOUDER","À RÉPARER"))))))))))</f>
        <v/>
      </c>
      <c r="AL550" s="82" t="str">
        <f aca="false">IF(AND(ISNUMBER(P550),OR(AK550="À RADIOGRAPHIER",AK550="RÉPARÉ – À RADIOGRAPHIER",AK550="NX – RT À REFAIRE",AK550="À RÉPARER",AK550="COUPE – À RESOUDER",AK550="VT REJETÉ – À REPRENDRE")),MAX(0,'PROGRAMME RT'!$C$4-P550),"")</f>
        <v/>
      </c>
      <c r="AM550" s="78" t="n">
        <f aca="false">IF(AND(OR(AK550="À RADIOGRAPHIER",AK550="RÉPARÉ – À RADIOGRAPHIER",AK550="NX – RT À REFAIRE"),OR('PROGRAMME RT'!$D$5="TOUTES",B550='PROGRAMME RT'!$D$5)),1,0)</f>
        <v>0</v>
      </c>
      <c r="AN550" s="78" t="str">
        <f aca="false">IF(AM550=1,SUM(AM$7:AM550),"")</f>
        <v/>
      </c>
      <c r="AO550" s="78" t="n">
        <f aca="false">IF(AND(OR(AK550="À RÉPARER",AK550="COUPE – À RESOUDER",AK550="VT REJETÉ – À REPRENDRE"),OR(RÉPARATIONS!$D$5="TOUTES",B550=RÉPARATIONS!$D$5)),1,0)</f>
        <v>0</v>
      </c>
      <c r="AP550" s="78" t="str">
        <f aca="false">IF(AO550=1,SUM(AO$7:AO550),"")</f>
        <v/>
      </c>
    </row>
    <row r="551" customFormat="false" ht="15" hidden="false" customHeight="false" outlineLevel="0" collapsed="false">
      <c r="A551" s="78" t="str">
        <f aca="false">IF(E551="","",ROW()-6)</f>
        <v/>
      </c>
      <c r="B551" s="79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1"/>
      <c r="Q551" s="81"/>
      <c r="R551" s="80"/>
      <c r="S551" s="80"/>
      <c r="T551" s="81"/>
      <c r="U551" s="80"/>
      <c r="V551" s="80"/>
      <c r="W551" s="80"/>
      <c r="X551" s="80"/>
      <c r="Y551" s="81"/>
      <c r="Z551" s="80"/>
      <c r="AA551" s="80"/>
      <c r="AB551" s="80"/>
      <c r="AC551" s="80"/>
      <c r="AD551" s="81"/>
      <c r="AE551" s="80"/>
      <c r="AF551" s="80"/>
      <c r="AG551" s="81"/>
      <c r="AH551" s="79"/>
      <c r="AI551" s="78" t="str">
        <f aca="false">IF(E551="","",(V551&lt;&gt;"")+(AA551&lt;&gt;"")+(AF551&lt;&gt;""))</f>
        <v/>
      </c>
      <c r="AJ551" s="82" t="str">
        <f aca="false">IF(AF551&lt;&gt;"",AF551,IF(AA551&lt;&gt;"",AA551,IF(V551&lt;&gt;"",V551,"")))</f>
        <v/>
      </c>
      <c r="AK551" s="83" t="str">
        <f aca="false">IF(E551="","",IF(P551="","À SOUDER",IF(S551="","VT EN ATTENTE",IF(S551="R","VT REJETÉ – À REPRENDRE",IF(AJ551="","À RADIOGRAPHIER",IF(AJ551="A","ACCEPTÉ",IF(AJ551="NX","NX – RT À REFAIRE",IF(IF(AI551=1,X551,IF(AI551=2,AC551,""))="A","RÉPARÉ – À RADIOGRAPHIER",IF(IF(AI551=1,X551,IF(AI551=2,AC551,""))="R","VT REJETÉ – À REPRENDRE",IF(AJ551="CO","COUPE – À RESOUDER","À RÉPARER"))))))))))</f>
        <v/>
      </c>
      <c r="AL551" s="82" t="str">
        <f aca="false">IF(AND(ISNUMBER(P551),OR(AK551="À RADIOGRAPHIER",AK551="RÉPARÉ – À RADIOGRAPHIER",AK551="NX – RT À REFAIRE",AK551="À RÉPARER",AK551="COUPE – À RESOUDER",AK551="VT REJETÉ – À REPRENDRE")),MAX(0,'PROGRAMME RT'!$C$4-P551),"")</f>
        <v/>
      </c>
      <c r="AM551" s="78" t="n">
        <f aca="false">IF(AND(OR(AK551="À RADIOGRAPHIER",AK551="RÉPARÉ – À RADIOGRAPHIER",AK551="NX – RT À REFAIRE"),OR('PROGRAMME RT'!$D$5="TOUTES",B551='PROGRAMME RT'!$D$5)),1,0)</f>
        <v>0</v>
      </c>
      <c r="AN551" s="78" t="str">
        <f aca="false">IF(AM551=1,SUM(AM$7:AM551),"")</f>
        <v/>
      </c>
      <c r="AO551" s="78" t="n">
        <f aca="false">IF(AND(OR(AK551="À RÉPARER",AK551="COUPE – À RESOUDER",AK551="VT REJETÉ – À REPRENDRE"),OR(RÉPARATIONS!$D$5="TOUTES",B551=RÉPARATIONS!$D$5)),1,0)</f>
        <v>0</v>
      </c>
      <c r="AP551" s="78" t="str">
        <f aca="false">IF(AO551=1,SUM(AO$7:AO551),"")</f>
        <v/>
      </c>
    </row>
    <row r="552" customFormat="false" ht="15" hidden="false" customHeight="false" outlineLevel="0" collapsed="false">
      <c r="A552" s="78" t="str">
        <f aca="false">IF(E552="","",ROW()-6)</f>
        <v/>
      </c>
      <c r="B552" s="79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1"/>
      <c r="Q552" s="81"/>
      <c r="R552" s="80"/>
      <c r="S552" s="80"/>
      <c r="T552" s="81"/>
      <c r="U552" s="80"/>
      <c r="V552" s="80"/>
      <c r="W552" s="80"/>
      <c r="X552" s="80"/>
      <c r="Y552" s="81"/>
      <c r="Z552" s="80"/>
      <c r="AA552" s="80"/>
      <c r="AB552" s="80"/>
      <c r="AC552" s="80"/>
      <c r="AD552" s="81"/>
      <c r="AE552" s="80"/>
      <c r="AF552" s="80"/>
      <c r="AG552" s="81"/>
      <c r="AH552" s="79"/>
      <c r="AI552" s="78" t="str">
        <f aca="false">IF(E552="","",(V552&lt;&gt;"")+(AA552&lt;&gt;"")+(AF552&lt;&gt;""))</f>
        <v/>
      </c>
      <c r="AJ552" s="82" t="str">
        <f aca="false">IF(AF552&lt;&gt;"",AF552,IF(AA552&lt;&gt;"",AA552,IF(V552&lt;&gt;"",V552,"")))</f>
        <v/>
      </c>
      <c r="AK552" s="83" t="str">
        <f aca="false">IF(E552="","",IF(P552="","À SOUDER",IF(S552="","VT EN ATTENTE",IF(S552="R","VT REJETÉ – À REPRENDRE",IF(AJ552="","À RADIOGRAPHIER",IF(AJ552="A","ACCEPTÉ",IF(AJ552="NX","NX – RT À REFAIRE",IF(IF(AI552=1,X552,IF(AI552=2,AC552,""))="A","RÉPARÉ – À RADIOGRAPHIER",IF(IF(AI552=1,X552,IF(AI552=2,AC552,""))="R","VT REJETÉ – À REPRENDRE",IF(AJ552="CO","COUPE – À RESOUDER","À RÉPARER"))))))))))</f>
        <v/>
      </c>
      <c r="AL552" s="82" t="str">
        <f aca="false">IF(AND(ISNUMBER(P552),OR(AK552="À RADIOGRAPHIER",AK552="RÉPARÉ – À RADIOGRAPHIER",AK552="NX – RT À REFAIRE",AK552="À RÉPARER",AK552="COUPE – À RESOUDER",AK552="VT REJETÉ – À REPRENDRE")),MAX(0,'PROGRAMME RT'!$C$4-P552),"")</f>
        <v/>
      </c>
      <c r="AM552" s="78" t="n">
        <f aca="false">IF(AND(OR(AK552="À RADIOGRAPHIER",AK552="RÉPARÉ – À RADIOGRAPHIER",AK552="NX – RT À REFAIRE"),OR('PROGRAMME RT'!$D$5="TOUTES",B552='PROGRAMME RT'!$D$5)),1,0)</f>
        <v>0</v>
      </c>
      <c r="AN552" s="78" t="str">
        <f aca="false">IF(AM552=1,SUM(AM$7:AM552),"")</f>
        <v/>
      </c>
      <c r="AO552" s="78" t="n">
        <f aca="false">IF(AND(OR(AK552="À RÉPARER",AK552="COUPE – À RESOUDER",AK552="VT REJETÉ – À REPRENDRE"),OR(RÉPARATIONS!$D$5="TOUTES",B552=RÉPARATIONS!$D$5)),1,0)</f>
        <v>0</v>
      </c>
      <c r="AP552" s="78" t="str">
        <f aca="false">IF(AO552=1,SUM(AO$7:AO552),"")</f>
        <v/>
      </c>
    </row>
    <row r="553" customFormat="false" ht="15" hidden="false" customHeight="false" outlineLevel="0" collapsed="false">
      <c r="A553" s="78" t="str">
        <f aca="false">IF(E553="","",ROW()-6)</f>
        <v/>
      </c>
      <c r="B553" s="79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1"/>
      <c r="Q553" s="81"/>
      <c r="R553" s="80"/>
      <c r="S553" s="80"/>
      <c r="T553" s="81"/>
      <c r="U553" s="80"/>
      <c r="V553" s="80"/>
      <c r="W553" s="80"/>
      <c r="X553" s="80"/>
      <c r="Y553" s="81"/>
      <c r="Z553" s="80"/>
      <c r="AA553" s="80"/>
      <c r="AB553" s="80"/>
      <c r="AC553" s="80"/>
      <c r="AD553" s="81"/>
      <c r="AE553" s="80"/>
      <c r="AF553" s="80"/>
      <c r="AG553" s="81"/>
      <c r="AH553" s="79"/>
      <c r="AI553" s="78" t="str">
        <f aca="false">IF(E553="","",(V553&lt;&gt;"")+(AA553&lt;&gt;"")+(AF553&lt;&gt;""))</f>
        <v/>
      </c>
      <c r="AJ553" s="82" t="str">
        <f aca="false">IF(AF553&lt;&gt;"",AF553,IF(AA553&lt;&gt;"",AA553,IF(V553&lt;&gt;"",V553,"")))</f>
        <v/>
      </c>
      <c r="AK553" s="83" t="str">
        <f aca="false">IF(E553="","",IF(P553="","À SOUDER",IF(S553="","VT EN ATTENTE",IF(S553="R","VT REJETÉ – À REPRENDRE",IF(AJ553="","À RADIOGRAPHIER",IF(AJ553="A","ACCEPTÉ",IF(AJ553="NX","NX – RT À REFAIRE",IF(IF(AI553=1,X553,IF(AI553=2,AC553,""))="A","RÉPARÉ – À RADIOGRAPHIER",IF(IF(AI553=1,X553,IF(AI553=2,AC553,""))="R","VT REJETÉ – À REPRENDRE",IF(AJ553="CO","COUPE – À RESOUDER","À RÉPARER"))))))))))</f>
        <v/>
      </c>
      <c r="AL553" s="82" t="str">
        <f aca="false">IF(AND(ISNUMBER(P553),OR(AK553="À RADIOGRAPHIER",AK553="RÉPARÉ – À RADIOGRAPHIER",AK553="NX – RT À REFAIRE",AK553="À RÉPARER",AK553="COUPE – À RESOUDER",AK553="VT REJETÉ – À REPRENDRE")),MAX(0,'PROGRAMME RT'!$C$4-P553),"")</f>
        <v/>
      </c>
      <c r="AM553" s="78" t="n">
        <f aca="false">IF(AND(OR(AK553="À RADIOGRAPHIER",AK553="RÉPARÉ – À RADIOGRAPHIER",AK553="NX – RT À REFAIRE"),OR('PROGRAMME RT'!$D$5="TOUTES",B553='PROGRAMME RT'!$D$5)),1,0)</f>
        <v>0</v>
      </c>
      <c r="AN553" s="78" t="str">
        <f aca="false">IF(AM553=1,SUM(AM$7:AM553),"")</f>
        <v/>
      </c>
      <c r="AO553" s="78" t="n">
        <f aca="false">IF(AND(OR(AK553="À RÉPARER",AK553="COUPE – À RESOUDER",AK553="VT REJETÉ – À REPRENDRE"),OR(RÉPARATIONS!$D$5="TOUTES",B553=RÉPARATIONS!$D$5)),1,0)</f>
        <v>0</v>
      </c>
      <c r="AP553" s="78" t="str">
        <f aca="false">IF(AO553=1,SUM(AO$7:AO553),"")</f>
        <v/>
      </c>
    </row>
    <row r="554" customFormat="false" ht="15" hidden="false" customHeight="false" outlineLevel="0" collapsed="false">
      <c r="A554" s="78" t="str">
        <f aca="false">IF(E554="","",ROW()-6)</f>
        <v/>
      </c>
      <c r="B554" s="79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1"/>
      <c r="Q554" s="81"/>
      <c r="R554" s="80"/>
      <c r="S554" s="80"/>
      <c r="T554" s="81"/>
      <c r="U554" s="80"/>
      <c r="V554" s="80"/>
      <c r="W554" s="80"/>
      <c r="X554" s="80"/>
      <c r="Y554" s="81"/>
      <c r="Z554" s="80"/>
      <c r="AA554" s="80"/>
      <c r="AB554" s="80"/>
      <c r="AC554" s="80"/>
      <c r="AD554" s="81"/>
      <c r="AE554" s="80"/>
      <c r="AF554" s="80"/>
      <c r="AG554" s="81"/>
      <c r="AH554" s="79"/>
      <c r="AI554" s="78" t="str">
        <f aca="false">IF(E554="","",(V554&lt;&gt;"")+(AA554&lt;&gt;"")+(AF554&lt;&gt;""))</f>
        <v/>
      </c>
      <c r="AJ554" s="82" t="str">
        <f aca="false">IF(AF554&lt;&gt;"",AF554,IF(AA554&lt;&gt;"",AA554,IF(V554&lt;&gt;"",V554,"")))</f>
        <v/>
      </c>
      <c r="AK554" s="83" t="str">
        <f aca="false">IF(E554="","",IF(P554="","À SOUDER",IF(S554="","VT EN ATTENTE",IF(S554="R","VT REJETÉ – À REPRENDRE",IF(AJ554="","À RADIOGRAPHIER",IF(AJ554="A","ACCEPTÉ",IF(AJ554="NX","NX – RT À REFAIRE",IF(IF(AI554=1,X554,IF(AI554=2,AC554,""))="A","RÉPARÉ – À RADIOGRAPHIER",IF(IF(AI554=1,X554,IF(AI554=2,AC554,""))="R","VT REJETÉ – À REPRENDRE",IF(AJ554="CO","COUPE – À RESOUDER","À RÉPARER"))))))))))</f>
        <v/>
      </c>
      <c r="AL554" s="82" t="str">
        <f aca="false">IF(AND(ISNUMBER(P554),OR(AK554="À RADIOGRAPHIER",AK554="RÉPARÉ – À RADIOGRAPHIER",AK554="NX – RT À REFAIRE",AK554="À RÉPARER",AK554="COUPE – À RESOUDER",AK554="VT REJETÉ – À REPRENDRE")),MAX(0,'PROGRAMME RT'!$C$4-P554),"")</f>
        <v/>
      </c>
      <c r="AM554" s="78" t="n">
        <f aca="false">IF(AND(OR(AK554="À RADIOGRAPHIER",AK554="RÉPARÉ – À RADIOGRAPHIER",AK554="NX – RT À REFAIRE"),OR('PROGRAMME RT'!$D$5="TOUTES",B554='PROGRAMME RT'!$D$5)),1,0)</f>
        <v>0</v>
      </c>
      <c r="AN554" s="78" t="str">
        <f aca="false">IF(AM554=1,SUM(AM$7:AM554),"")</f>
        <v/>
      </c>
      <c r="AO554" s="78" t="n">
        <f aca="false">IF(AND(OR(AK554="À RÉPARER",AK554="COUPE – À RESOUDER",AK554="VT REJETÉ – À REPRENDRE"),OR(RÉPARATIONS!$D$5="TOUTES",B554=RÉPARATIONS!$D$5)),1,0)</f>
        <v>0</v>
      </c>
      <c r="AP554" s="78" t="str">
        <f aca="false">IF(AO554=1,SUM(AO$7:AO554),"")</f>
        <v/>
      </c>
    </row>
    <row r="555" customFormat="false" ht="15" hidden="false" customHeight="false" outlineLevel="0" collapsed="false">
      <c r="A555" s="78" t="str">
        <f aca="false">IF(E555="","",ROW()-6)</f>
        <v/>
      </c>
      <c r="B555" s="79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1"/>
      <c r="Q555" s="81"/>
      <c r="R555" s="80"/>
      <c r="S555" s="80"/>
      <c r="T555" s="81"/>
      <c r="U555" s="80"/>
      <c r="V555" s="80"/>
      <c r="W555" s="80"/>
      <c r="X555" s="80"/>
      <c r="Y555" s="81"/>
      <c r="Z555" s="80"/>
      <c r="AA555" s="80"/>
      <c r="AB555" s="80"/>
      <c r="AC555" s="80"/>
      <c r="AD555" s="81"/>
      <c r="AE555" s="80"/>
      <c r="AF555" s="80"/>
      <c r="AG555" s="81"/>
      <c r="AH555" s="79"/>
      <c r="AI555" s="78" t="str">
        <f aca="false">IF(E555="","",(V555&lt;&gt;"")+(AA555&lt;&gt;"")+(AF555&lt;&gt;""))</f>
        <v/>
      </c>
      <c r="AJ555" s="82" t="str">
        <f aca="false">IF(AF555&lt;&gt;"",AF555,IF(AA555&lt;&gt;"",AA555,IF(V555&lt;&gt;"",V555,"")))</f>
        <v/>
      </c>
      <c r="AK555" s="83" t="str">
        <f aca="false">IF(E555="","",IF(P555="","À SOUDER",IF(S555="","VT EN ATTENTE",IF(S555="R","VT REJETÉ – À REPRENDRE",IF(AJ555="","À RADIOGRAPHIER",IF(AJ555="A","ACCEPTÉ",IF(AJ555="NX","NX – RT À REFAIRE",IF(IF(AI555=1,X555,IF(AI555=2,AC555,""))="A","RÉPARÉ – À RADIOGRAPHIER",IF(IF(AI555=1,X555,IF(AI555=2,AC555,""))="R","VT REJETÉ – À REPRENDRE",IF(AJ555="CO","COUPE – À RESOUDER","À RÉPARER"))))))))))</f>
        <v/>
      </c>
      <c r="AL555" s="82" t="str">
        <f aca="false">IF(AND(ISNUMBER(P555),OR(AK555="À RADIOGRAPHIER",AK555="RÉPARÉ – À RADIOGRAPHIER",AK555="NX – RT À REFAIRE",AK555="À RÉPARER",AK555="COUPE – À RESOUDER",AK555="VT REJETÉ – À REPRENDRE")),MAX(0,'PROGRAMME RT'!$C$4-P555),"")</f>
        <v/>
      </c>
      <c r="AM555" s="78" t="n">
        <f aca="false">IF(AND(OR(AK555="À RADIOGRAPHIER",AK555="RÉPARÉ – À RADIOGRAPHIER",AK555="NX – RT À REFAIRE"),OR('PROGRAMME RT'!$D$5="TOUTES",B555='PROGRAMME RT'!$D$5)),1,0)</f>
        <v>0</v>
      </c>
      <c r="AN555" s="78" t="str">
        <f aca="false">IF(AM555=1,SUM(AM$7:AM555),"")</f>
        <v/>
      </c>
      <c r="AO555" s="78" t="n">
        <f aca="false">IF(AND(OR(AK555="À RÉPARER",AK555="COUPE – À RESOUDER",AK555="VT REJETÉ – À REPRENDRE"),OR(RÉPARATIONS!$D$5="TOUTES",B555=RÉPARATIONS!$D$5)),1,0)</f>
        <v>0</v>
      </c>
      <c r="AP555" s="78" t="str">
        <f aca="false">IF(AO555=1,SUM(AO$7:AO555),"")</f>
        <v/>
      </c>
    </row>
    <row r="556" customFormat="false" ht="15" hidden="false" customHeight="false" outlineLevel="0" collapsed="false">
      <c r="A556" s="78" t="str">
        <f aca="false">IF(E556="","",ROW()-6)</f>
        <v/>
      </c>
      <c r="B556" s="79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1"/>
      <c r="Q556" s="81"/>
      <c r="R556" s="80"/>
      <c r="S556" s="80"/>
      <c r="T556" s="81"/>
      <c r="U556" s="80"/>
      <c r="V556" s="80"/>
      <c r="W556" s="80"/>
      <c r="X556" s="80"/>
      <c r="Y556" s="81"/>
      <c r="Z556" s="80"/>
      <c r="AA556" s="80"/>
      <c r="AB556" s="80"/>
      <c r="AC556" s="80"/>
      <c r="AD556" s="81"/>
      <c r="AE556" s="80"/>
      <c r="AF556" s="80"/>
      <c r="AG556" s="81"/>
      <c r="AH556" s="79"/>
      <c r="AI556" s="78" t="str">
        <f aca="false">IF(E556="","",(V556&lt;&gt;"")+(AA556&lt;&gt;"")+(AF556&lt;&gt;""))</f>
        <v/>
      </c>
      <c r="AJ556" s="82" t="str">
        <f aca="false">IF(AF556&lt;&gt;"",AF556,IF(AA556&lt;&gt;"",AA556,IF(V556&lt;&gt;"",V556,"")))</f>
        <v/>
      </c>
      <c r="AK556" s="83" t="str">
        <f aca="false">IF(E556="","",IF(P556="","À SOUDER",IF(S556="","VT EN ATTENTE",IF(S556="R","VT REJETÉ – À REPRENDRE",IF(AJ556="","À RADIOGRAPHIER",IF(AJ556="A","ACCEPTÉ",IF(AJ556="NX","NX – RT À REFAIRE",IF(IF(AI556=1,X556,IF(AI556=2,AC556,""))="A","RÉPARÉ – À RADIOGRAPHIER",IF(IF(AI556=1,X556,IF(AI556=2,AC556,""))="R","VT REJETÉ – À REPRENDRE",IF(AJ556="CO","COUPE – À RESOUDER","À RÉPARER"))))))))))</f>
        <v/>
      </c>
      <c r="AL556" s="82" t="str">
        <f aca="false">IF(AND(ISNUMBER(P556),OR(AK556="À RADIOGRAPHIER",AK556="RÉPARÉ – À RADIOGRAPHIER",AK556="NX – RT À REFAIRE",AK556="À RÉPARER",AK556="COUPE – À RESOUDER",AK556="VT REJETÉ – À REPRENDRE")),MAX(0,'PROGRAMME RT'!$C$4-P556),"")</f>
        <v/>
      </c>
      <c r="AM556" s="78" t="n">
        <f aca="false">IF(AND(OR(AK556="À RADIOGRAPHIER",AK556="RÉPARÉ – À RADIOGRAPHIER",AK556="NX – RT À REFAIRE"),OR('PROGRAMME RT'!$D$5="TOUTES",B556='PROGRAMME RT'!$D$5)),1,0)</f>
        <v>0</v>
      </c>
      <c r="AN556" s="78" t="str">
        <f aca="false">IF(AM556=1,SUM(AM$7:AM556),"")</f>
        <v/>
      </c>
      <c r="AO556" s="78" t="n">
        <f aca="false">IF(AND(OR(AK556="À RÉPARER",AK556="COUPE – À RESOUDER",AK556="VT REJETÉ – À REPRENDRE"),OR(RÉPARATIONS!$D$5="TOUTES",B556=RÉPARATIONS!$D$5)),1,0)</f>
        <v>0</v>
      </c>
      <c r="AP556" s="78" t="str">
        <f aca="false">IF(AO556=1,SUM(AO$7:AO556),"")</f>
        <v/>
      </c>
    </row>
    <row r="557" customFormat="false" ht="15" hidden="false" customHeight="false" outlineLevel="0" collapsed="false">
      <c r="A557" s="78" t="str">
        <f aca="false">IF(E557="","",ROW()-6)</f>
        <v/>
      </c>
      <c r="B557" s="79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1"/>
      <c r="Q557" s="81"/>
      <c r="R557" s="80"/>
      <c r="S557" s="80"/>
      <c r="T557" s="81"/>
      <c r="U557" s="80"/>
      <c r="V557" s="80"/>
      <c r="W557" s="80"/>
      <c r="X557" s="80"/>
      <c r="Y557" s="81"/>
      <c r="Z557" s="80"/>
      <c r="AA557" s="80"/>
      <c r="AB557" s="80"/>
      <c r="AC557" s="80"/>
      <c r="AD557" s="81"/>
      <c r="AE557" s="80"/>
      <c r="AF557" s="80"/>
      <c r="AG557" s="81"/>
      <c r="AH557" s="79"/>
      <c r="AI557" s="78" t="str">
        <f aca="false">IF(E557="","",(V557&lt;&gt;"")+(AA557&lt;&gt;"")+(AF557&lt;&gt;""))</f>
        <v/>
      </c>
      <c r="AJ557" s="82" t="str">
        <f aca="false">IF(AF557&lt;&gt;"",AF557,IF(AA557&lt;&gt;"",AA557,IF(V557&lt;&gt;"",V557,"")))</f>
        <v/>
      </c>
      <c r="AK557" s="83" t="str">
        <f aca="false">IF(E557="","",IF(P557="","À SOUDER",IF(S557="","VT EN ATTENTE",IF(S557="R","VT REJETÉ – À REPRENDRE",IF(AJ557="","À RADIOGRAPHIER",IF(AJ557="A","ACCEPTÉ",IF(AJ557="NX","NX – RT À REFAIRE",IF(IF(AI557=1,X557,IF(AI557=2,AC557,""))="A","RÉPARÉ – À RADIOGRAPHIER",IF(IF(AI557=1,X557,IF(AI557=2,AC557,""))="R","VT REJETÉ – À REPRENDRE",IF(AJ557="CO","COUPE – À RESOUDER","À RÉPARER"))))))))))</f>
        <v/>
      </c>
      <c r="AL557" s="82" t="str">
        <f aca="false">IF(AND(ISNUMBER(P557),OR(AK557="À RADIOGRAPHIER",AK557="RÉPARÉ – À RADIOGRAPHIER",AK557="NX – RT À REFAIRE",AK557="À RÉPARER",AK557="COUPE – À RESOUDER",AK557="VT REJETÉ – À REPRENDRE")),MAX(0,'PROGRAMME RT'!$C$4-P557),"")</f>
        <v/>
      </c>
      <c r="AM557" s="78" t="n">
        <f aca="false">IF(AND(OR(AK557="À RADIOGRAPHIER",AK557="RÉPARÉ – À RADIOGRAPHIER",AK557="NX – RT À REFAIRE"),OR('PROGRAMME RT'!$D$5="TOUTES",B557='PROGRAMME RT'!$D$5)),1,0)</f>
        <v>0</v>
      </c>
      <c r="AN557" s="78" t="str">
        <f aca="false">IF(AM557=1,SUM(AM$7:AM557),"")</f>
        <v/>
      </c>
      <c r="AO557" s="78" t="n">
        <f aca="false">IF(AND(OR(AK557="À RÉPARER",AK557="COUPE – À RESOUDER",AK557="VT REJETÉ – À REPRENDRE"),OR(RÉPARATIONS!$D$5="TOUTES",B557=RÉPARATIONS!$D$5)),1,0)</f>
        <v>0</v>
      </c>
      <c r="AP557" s="78" t="str">
        <f aca="false">IF(AO557=1,SUM(AO$7:AO557),"")</f>
        <v/>
      </c>
    </row>
    <row r="558" customFormat="false" ht="15" hidden="false" customHeight="false" outlineLevel="0" collapsed="false">
      <c r="A558" s="78" t="str">
        <f aca="false">IF(E558="","",ROW()-6)</f>
        <v/>
      </c>
      <c r="B558" s="79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1"/>
      <c r="Q558" s="81"/>
      <c r="R558" s="80"/>
      <c r="S558" s="80"/>
      <c r="T558" s="81"/>
      <c r="U558" s="80"/>
      <c r="V558" s="80"/>
      <c r="W558" s="80"/>
      <c r="X558" s="80"/>
      <c r="Y558" s="81"/>
      <c r="Z558" s="80"/>
      <c r="AA558" s="80"/>
      <c r="AB558" s="80"/>
      <c r="AC558" s="80"/>
      <c r="AD558" s="81"/>
      <c r="AE558" s="80"/>
      <c r="AF558" s="80"/>
      <c r="AG558" s="81"/>
      <c r="AH558" s="79"/>
      <c r="AI558" s="78" t="str">
        <f aca="false">IF(E558="","",(V558&lt;&gt;"")+(AA558&lt;&gt;"")+(AF558&lt;&gt;""))</f>
        <v/>
      </c>
      <c r="AJ558" s="82" t="str">
        <f aca="false">IF(AF558&lt;&gt;"",AF558,IF(AA558&lt;&gt;"",AA558,IF(V558&lt;&gt;"",V558,"")))</f>
        <v/>
      </c>
      <c r="AK558" s="83" t="str">
        <f aca="false">IF(E558="","",IF(P558="","À SOUDER",IF(S558="","VT EN ATTENTE",IF(S558="R","VT REJETÉ – À REPRENDRE",IF(AJ558="","À RADIOGRAPHIER",IF(AJ558="A","ACCEPTÉ",IF(AJ558="NX","NX – RT À REFAIRE",IF(IF(AI558=1,X558,IF(AI558=2,AC558,""))="A","RÉPARÉ – À RADIOGRAPHIER",IF(IF(AI558=1,X558,IF(AI558=2,AC558,""))="R","VT REJETÉ – À REPRENDRE",IF(AJ558="CO","COUPE – À RESOUDER","À RÉPARER"))))))))))</f>
        <v/>
      </c>
      <c r="AL558" s="82" t="str">
        <f aca="false">IF(AND(ISNUMBER(P558),OR(AK558="À RADIOGRAPHIER",AK558="RÉPARÉ – À RADIOGRAPHIER",AK558="NX – RT À REFAIRE",AK558="À RÉPARER",AK558="COUPE – À RESOUDER",AK558="VT REJETÉ – À REPRENDRE")),MAX(0,'PROGRAMME RT'!$C$4-P558),"")</f>
        <v/>
      </c>
      <c r="AM558" s="78" t="n">
        <f aca="false">IF(AND(OR(AK558="À RADIOGRAPHIER",AK558="RÉPARÉ – À RADIOGRAPHIER",AK558="NX – RT À REFAIRE"),OR('PROGRAMME RT'!$D$5="TOUTES",B558='PROGRAMME RT'!$D$5)),1,0)</f>
        <v>0</v>
      </c>
      <c r="AN558" s="78" t="str">
        <f aca="false">IF(AM558=1,SUM(AM$7:AM558),"")</f>
        <v/>
      </c>
      <c r="AO558" s="78" t="n">
        <f aca="false">IF(AND(OR(AK558="À RÉPARER",AK558="COUPE – À RESOUDER",AK558="VT REJETÉ – À REPRENDRE"),OR(RÉPARATIONS!$D$5="TOUTES",B558=RÉPARATIONS!$D$5)),1,0)</f>
        <v>0</v>
      </c>
      <c r="AP558" s="78" t="str">
        <f aca="false">IF(AO558=1,SUM(AO$7:AO558),"")</f>
        <v/>
      </c>
    </row>
    <row r="559" customFormat="false" ht="15" hidden="false" customHeight="false" outlineLevel="0" collapsed="false">
      <c r="A559" s="78" t="str">
        <f aca="false">IF(E559="","",ROW()-6)</f>
        <v/>
      </c>
      <c r="B559" s="79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1"/>
      <c r="Q559" s="81"/>
      <c r="R559" s="80"/>
      <c r="S559" s="80"/>
      <c r="T559" s="81"/>
      <c r="U559" s="80"/>
      <c r="V559" s="80"/>
      <c r="W559" s="80"/>
      <c r="X559" s="80"/>
      <c r="Y559" s="81"/>
      <c r="Z559" s="80"/>
      <c r="AA559" s="80"/>
      <c r="AB559" s="80"/>
      <c r="AC559" s="80"/>
      <c r="AD559" s="81"/>
      <c r="AE559" s="80"/>
      <c r="AF559" s="80"/>
      <c r="AG559" s="81"/>
      <c r="AH559" s="79"/>
      <c r="AI559" s="78" t="str">
        <f aca="false">IF(E559="","",(V559&lt;&gt;"")+(AA559&lt;&gt;"")+(AF559&lt;&gt;""))</f>
        <v/>
      </c>
      <c r="AJ559" s="82" t="str">
        <f aca="false">IF(AF559&lt;&gt;"",AF559,IF(AA559&lt;&gt;"",AA559,IF(V559&lt;&gt;"",V559,"")))</f>
        <v/>
      </c>
      <c r="AK559" s="83" t="str">
        <f aca="false">IF(E559="","",IF(P559="","À SOUDER",IF(S559="","VT EN ATTENTE",IF(S559="R","VT REJETÉ – À REPRENDRE",IF(AJ559="","À RADIOGRAPHIER",IF(AJ559="A","ACCEPTÉ",IF(AJ559="NX","NX – RT À REFAIRE",IF(IF(AI559=1,X559,IF(AI559=2,AC559,""))="A","RÉPARÉ – À RADIOGRAPHIER",IF(IF(AI559=1,X559,IF(AI559=2,AC559,""))="R","VT REJETÉ – À REPRENDRE",IF(AJ559="CO","COUPE – À RESOUDER","À RÉPARER"))))))))))</f>
        <v/>
      </c>
      <c r="AL559" s="82" t="str">
        <f aca="false">IF(AND(ISNUMBER(P559),OR(AK559="À RADIOGRAPHIER",AK559="RÉPARÉ – À RADIOGRAPHIER",AK559="NX – RT À REFAIRE",AK559="À RÉPARER",AK559="COUPE – À RESOUDER",AK559="VT REJETÉ – À REPRENDRE")),MAX(0,'PROGRAMME RT'!$C$4-P559),"")</f>
        <v/>
      </c>
      <c r="AM559" s="78" t="n">
        <f aca="false">IF(AND(OR(AK559="À RADIOGRAPHIER",AK559="RÉPARÉ – À RADIOGRAPHIER",AK559="NX – RT À REFAIRE"),OR('PROGRAMME RT'!$D$5="TOUTES",B559='PROGRAMME RT'!$D$5)),1,0)</f>
        <v>0</v>
      </c>
      <c r="AN559" s="78" t="str">
        <f aca="false">IF(AM559=1,SUM(AM$7:AM559),"")</f>
        <v/>
      </c>
      <c r="AO559" s="78" t="n">
        <f aca="false">IF(AND(OR(AK559="À RÉPARER",AK559="COUPE – À RESOUDER",AK559="VT REJETÉ – À REPRENDRE"),OR(RÉPARATIONS!$D$5="TOUTES",B559=RÉPARATIONS!$D$5)),1,0)</f>
        <v>0</v>
      </c>
      <c r="AP559" s="78" t="str">
        <f aca="false">IF(AO559=1,SUM(AO$7:AO559),"")</f>
        <v/>
      </c>
    </row>
    <row r="560" customFormat="false" ht="15" hidden="false" customHeight="false" outlineLevel="0" collapsed="false">
      <c r="A560" s="78" t="str">
        <f aca="false">IF(E560="","",ROW()-6)</f>
        <v/>
      </c>
      <c r="B560" s="79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1"/>
      <c r="Q560" s="81"/>
      <c r="R560" s="80"/>
      <c r="S560" s="80"/>
      <c r="T560" s="81"/>
      <c r="U560" s="80"/>
      <c r="V560" s="80"/>
      <c r="W560" s="80"/>
      <c r="X560" s="80"/>
      <c r="Y560" s="81"/>
      <c r="Z560" s="80"/>
      <c r="AA560" s="80"/>
      <c r="AB560" s="80"/>
      <c r="AC560" s="80"/>
      <c r="AD560" s="81"/>
      <c r="AE560" s="80"/>
      <c r="AF560" s="80"/>
      <c r="AG560" s="81"/>
      <c r="AH560" s="79"/>
      <c r="AI560" s="78" t="str">
        <f aca="false">IF(E560="","",(V560&lt;&gt;"")+(AA560&lt;&gt;"")+(AF560&lt;&gt;""))</f>
        <v/>
      </c>
      <c r="AJ560" s="82" t="str">
        <f aca="false">IF(AF560&lt;&gt;"",AF560,IF(AA560&lt;&gt;"",AA560,IF(V560&lt;&gt;"",V560,"")))</f>
        <v/>
      </c>
      <c r="AK560" s="83" t="str">
        <f aca="false">IF(E560="","",IF(P560="","À SOUDER",IF(S560="","VT EN ATTENTE",IF(S560="R","VT REJETÉ – À REPRENDRE",IF(AJ560="","À RADIOGRAPHIER",IF(AJ560="A","ACCEPTÉ",IF(AJ560="NX","NX – RT À REFAIRE",IF(IF(AI560=1,X560,IF(AI560=2,AC560,""))="A","RÉPARÉ – À RADIOGRAPHIER",IF(IF(AI560=1,X560,IF(AI560=2,AC560,""))="R","VT REJETÉ – À REPRENDRE",IF(AJ560="CO","COUPE – À RESOUDER","À RÉPARER"))))))))))</f>
        <v/>
      </c>
      <c r="AL560" s="82" t="str">
        <f aca="false">IF(AND(ISNUMBER(P560),OR(AK560="À RADIOGRAPHIER",AK560="RÉPARÉ – À RADIOGRAPHIER",AK560="NX – RT À REFAIRE",AK560="À RÉPARER",AK560="COUPE – À RESOUDER",AK560="VT REJETÉ – À REPRENDRE")),MAX(0,'PROGRAMME RT'!$C$4-P560),"")</f>
        <v/>
      </c>
      <c r="AM560" s="78" t="n">
        <f aca="false">IF(AND(OR(AK560="À RADIOGRAPHIER",AK560="RÉPARÉ – À RADIOGRAPHIER",AK560="NX – RT À REFAIRE"),OR('PROGRAMME RT'!$D$5="TOUTES",B560='PROGRAMME RT'!$D$5)),1,0)</f>
        <v>0</v>
      </c>
      <c r="AN560" s="78" t="str">
        <f aca="false">IF(AM560=1,SUM(AM$7:AM560),"")</f>
        <v/>
      </c>
      <c r="AO560" s="78" t="n">
        <f aca="false">IF(AND(OR(AK560="À RÉPARER",AK560="COUPE – À RESOUDER",AK560="VT REJETÉ – À REPRENDRE"),OR(RÉPARATIONS!$D$5="TOUTES",B560=RÉPARATIONS!$D$5)),1,0)</f>
        <v>0</v>
      </c>
      <c r="AP560" s="78" t="str">
        <f aca="false">IF(AO560=1,SUM(AO$7:AO560),"")</f>
        <v/>
      </c>
    </row>
    <row r="561" customFormat="false" ht="15" hidden="false" customHeight="false" outlineLevel="0" collapsed="false">
      <c r="A561" s="78" t="str">
        <f aca="false">IF(E561="","",ROW()-6)</f>
        <v/>
      </c>
      <c r="B561" s="79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1"/>
      <c r="Q561" s="81"/>
      <c r="R561" s="80"/>
      <c r="S561" s="80"/>
      <c r="T561" s="81"/>
      <c r="U561" s="80"/>
      <c r="V561" s="80"/>
      <c r="W561" s="80"/>
      <c r="X561" s="80"/>
      <c r="Y561" s="81"/>
      <c r="Z561" s="80"/>
      <c r="AA561" s="80"/>
      <c r="AB561" s="80"/>
      <c r="AC561" s="80"/>
      <c r="AD561" s="81"/>
      <c r="AE561" s="80"/>
      <c r="AF561" s="80"/>
      <c r="AG561" s="81"/>
      <c r="AH561" s="79"/>
      <c r="AI561" s="78" t="str">
        <f aca="false">IF(E561="","",(V561&lt;&gt;"")+(AA561&lt;&gt;"")+(AF561&lt;&gt;""))</f>
        <v/>
      </c>
      <c r="AJ561" s="82" t="str">
        <f aca="false">IF(AF561&lt;&gt;"",AF561,IF(AA561&lt;&gt;"",AA561,IF(V561&lt;&gt;"",V561,"")))</f>
        <v/>
      </c>
      <c r="AK561" s="83" t="str">
        <f aca="false">IF(E561="","",IF(P561="","À SOUDER",IF(S561="","VT EN ATTENTE",IF(S561="R","VT REJETÉ – À REPRENDRE",IF(AJ561="","À RADIOGRAPHIER",IF(AJ561="A","ACCEPTÉ",IF(AJ561="NX","NX – RT À REFAIRE",IF(IF(AI561=1,X561,IF(AI561=2,AC561,""))="A","RÉPARÉ – À RADIOGRAPHIER",IF(IF(AI561=1,X561,IF(AI561=2,AC561,""))="R","VT REJETÉ – À REPRENDRE",IF(AJ561="CO","COUPE – À RESOUDER","À RÉPARER"))))))))))</f>
        <v/>
      </c>
      <c r="AL561" s="82" t="str">
        <f aca="false">IF(AND(ISNUMBER(P561),OR(AK561="À RADIOGRAPHIER",AK561="RÉPARÉ – À RADIOGRAPHIER",AK561="NX – RT À REFAIRE",AK561="À RÉPARER",AK561="COUPE – À RESOUDER",AK561="VT REJETÉ – À REPRENDRE")),MAX(0,'PROGRAMME RT'!$C$4-P561),"")</f>
        <v/>
      </c>
      <c r="AM561" s="78" t="n">
        <f aca="false">IF(AND(OR(AK561="À RADIOGRAPHIER",AK561="RÉPARÉ – À RADIOGRAPHIER",AK561="NX – RT À REFAIRE"),OR('PROGRAMME RT'!$D$5="TOUTES",B561='PROGRAMME RT'!$D$5)),1,0)</f>
        <v>0</v>
      </c>
      <c r="AN561" s="78" t="str">
        <f aca="false">IF(AM561=1,SUM(AM$7:AM561),"")</f>
        <v/>
      </c>
      <c r="AO561" s="78" t="n">
        <f aca="false">IF(AND(OR(AK561="À RÉPARER",AK561="COUPE – À RESOUDER",AK561="VT REJETÉ – À REPRENDRE"),OR(RÉPARATIONS!$D$5="TOUTES",B561=RÉPARATIONS!$D$5)),1,0)</f>
        <v>0</v>
      </c>
      <c r="AP561" s="78" t="str">
        <f aca="false">IF(AO561=1,SUM(AO$7:AO561),"")</f>
        <v/>
      </c>
    </row>
    <row r="562" customFormat="false" ht="15" hidden="false" customHeight="false" outlineLevel="0" collapsed="false">
      <c r="A562" s="78" t="str">
        <f aca="false">IF(E562="","",ROW()-6)</f>
        <v/>
      </c>
      <c r="B562" s="79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1"/>
      <c r="Q562" s="81"/>
      <c r="R562" s="80"/>
      <c r="S562" s="80"/>
      <c r="T562" s="81"/>
      <c r="U562" s="80"/>
      <c r="V562" s="80"/>
      <c r="W562" s="80"/>
      <c r="X562" s="80"/>
      <c r="Y562" s="81"/>
      <c r="Z562" s="80"/>
      <c r="AA562" s="80"/>
      <c r="AB562" s="80"/>
      <c r="AC562" s="80"/>
      <c r="AD562" s="81"/>
      <c r="AE562" s="80"/>
      <c r="AF562" s="80"/>
      <c r="AG562" s="81"/>
      <c r="AH562" s="79"/>
      <c r="AI562" s="78" t="str">
        <f aca="false">IF(E562="","",(V562&lt;&gt;"")+(AA562&lt;&gt;"")+(AF562&lt;&gt;""))</f>
        <v/>
      </c>
      <c r="AJ562" s="82" t="str">
        <f aca="false">IF(AF562&lt;&gt;"",AF562,IF(AA562&lt;&gt;"",AA562,IF(V562&lt;&gt;"",V562,"")))</f>
        <v/>
      </c>
      <c r="AK562" s="83" t="str">
        <f aca="false">IF(E562="","",IF(P562="","À SOUDER",IF(S562="","VT EN ATTENTE",IF(S562="R","VT REJETÉ – À REPRENDRE",IF(AJ562="","À RADIOGRAPHIER",IF(AJ562="A","ACCEPTÉ",IF(AJ562="NX","NX – RT À REFAIRE",IF(IF(AI562=1,X562,IF(AI562=2,AC562,""))="A","RÉPARÉ – À RADIOGRAPHIER",IF(IF(AI562=1,X562,IF(AI562=2,AC562,""))="R","VT REJETÉ – À REPRENDRE",IF(AJ562="CO","COUPE – À RESOUDER","À RÉPARER"))))))))))</f>
        <v/>
      </c>
      <c r="AL562" s="82" t="str">
        <f aca="false">IF(AND(ISNUMBER(P562),OR(AK562="À RADIOGRAPHIER",AK562="RÉPARÉ – À RADIOGRAPHIER",AK562="NX – RT À REFAIRE",AK562="À RÉPARER",AK562="COUPE – À RESOUDER",AK562="VT REJETÉ – À REPRENDRE")),MAX(0,'PROGRAMME RT'!$C$4-P562),"")</f>
        <v/>
      </c>
      <c r="AM562" s="78" t="n">
        <f aca="false">IF(AND(OR(AK562="À RADIOGRAPHIER",AK562="RÉPARÉ – À RADIOGRAPHIER",AK562="NX – RT À REFAIRE"),OR('PROGRAMME RT'!$D$5="TOUTES",B562='PROGRAMME RT'!$D$5)),1,0)</f>
        <v>0</v>
      </c>
      <c r="AN562" s="78" t="str">
        <f aca="false">IF(AM562=1,SUM(AM$7:AM562),"")</f>
        <v/>
      </c>
      <c r="AO562" s="78" t="n">
        <f aca="false">IF(AND(OR(AK562="À RÉPARER",AK562="COUPE – À RESOUDER",AK562="VT REJETÉ – À REPRENDRE"),OR(RÉPARATIONS!$D$5="TOUTES",B562=RÉPARATIONS!$D$5)),1,0)</f>
        <v>0</v>
      </c>
      <c r="AP562" s="78" t="str">
        <f aca="false">IF(AO562=1,SUM(AO$7:AO562),"")</f>
        <v/>
      </c>
    </row>
    <row r="563" customFormat="false" ht="15" hidden="false" customHeight="false" outlineLevel="0" collapsed="false">
      <c r="A563" s="78" t="str">
        <f aca="false">IF(E563="","",ROW()-6)</f>
        <v/>
      </c>
      <c r="B563" s="79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1"/>
      <c r="Q563" s="81"/>
      <c r="R563" s="80"/>
      <c r="S563" s="80"/>
      <c r="T563" s="81"/>
      <c r="U563" s="80"/>
      <c r="V563" s="80"/>
      <c r="W563" s="80"/>
      <c r="X563" s="80"/>
      <c r="Y563" s="81"/>
      <c r="Z563" s="80"/>
      <c r="AA563" s="80"/>
      <c r="AB563" s="80"/>
      <c r="AC563" s="80"/>
      <c r="AD563" s="81"/>
      <c r="AE563" s="80"/>
      <c r="AF563" s="80"/>
      <c r="AG563" s="81"/>
      <c r="AH563" s="79"/>
      <c r="AI563" s="78" t="str">
        <f aca="false">IF(E563="","",(V563&lt;&gt;"")+(AA563&lt;&gt;"")+(AF563&lt;&gt;""))</f>
        <v/>
      </c>
      <c r="AJ563" s="82" t="str">
        <f aca="false">IF(AF563&lt;&gt;"",AF563,IF(AA563&lt;&gt;"",AA563,IF(V563&lt;&gt;"",V563,"")))</f>
        <v/>
      </c>
      <c r="AK563" s="83" t="str">
        <f aca="false">IF(E563="","",IF(P563="","À SOUDER",IF(S563="","VT EN ATTENTE",IF(S563="R","VT REJETÉ – À REPRENDRE",IF(AJ563="","À RADIOGRAPHIER",IF(AJ563="A","ACCEPTÉ",IF(AJ563="NX","NX – RT À REFAIRE",IF(IF(AI563=1,X563,IF(AI563=2,AC563,""))="A","RÉPARÉ – À RADIOGRAPHIER",IF(IF(AI563=1,X563,IF(AI563=2,AC563,""))="R","VT REJETÉ – À REPRENDRE",IF(AJ563="CO","COUPE – À RESOUDER","À RÉPARER"))))))))))</f>
        <v/>
      </c>
      <c r="AL563" s="82" t="str">
        <f aca="false">IF(AND(ISNUMBER(P563),OR(AK563="À RADIOGRAPHIER",AK563="RÉPARÉ – À RADIOGRAPHIER",AK563="NX – RT À REFAIRE",AK563="À RÉPARER",AK563="COUPE – À RESOUDER",AK563="VT REJETÉ – À REPRENDRE")),MAX(0,'PROGRAMME RT'!$C$4-P563),"")</f>
        <v/>
      </c>
      <c r="AM563" s="78" t="n">
        <f aca="false">IF(AND(OR(AK563="À RADIOGRAPHIER",AK563="RÉPARÉ – À RADIOGRAPHIER",AK563="NX – RT À REFAIRE"),OR('PROGRAMME RT'!$D$5="TOUTES",B563='PROGRAMME RT'!$D$5)),1,0)</f>
        <v>0</v>
      </c>
      <c r="AN563" s="78" t="str">
        <f aca="false">IF(AM563=1,SUM(AM$7:AM563),"")</f>
        <v/>
      </c>
      <c r="AO563" s="78" t="n">
        <f aca="false">IF(AND(OR(AK563="À RÉPARER",AK563="COUPE – À RESOUDER",AK563="VT REJETÉ – À REPRENDRE"),OR(RÉPARATIONS!$D$5="TOUTES",B563=RÉPARATIONS!$D$5)),1,0)</f>
        <v>0</v>
      </c>
      <c r="AP563" s="78" t="str">
        <f aca="false">IF(AO563=1,SUM(AO$7:AO563),"")</f>
        <v/>
      </c>
    </row>
    <row r="564" customFormat="false" ht="15" hidden="false" customHeight="false" outlineLevel="0" collapsed="false">
      <c r="A564" s="78" t="str">
        <f aca="false">IF(E564="","",ROW()-6)</f>
        <v/>
      </c>
      <c r="B564" s="79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1"/>
      <c r="Q564" s="81"/>
      <c r="R564" s="80"/>
      <c r="S564" s="80"/>
      <c r="T564" s="81"/>
      <c r="U564" s="80"/>
      <c r="V564" s="80"/>
      <c r="W564" s="80"/>
      <c r="X564" s="80"/>
      <c r="Y564" s="81"/>
      <c r="Z564" s="80"/>
      <c r="AA564" s="80"/>
      <c r="AB564" s="80"/>
      <c r="AC564" s="80"/>
      <c r="AD564" s="81"/>
      <c r="AE564" s="80"/>
      <c r="AF564" s="80"/>
      <c r="AG564" s="81"/>
      <c r="AH564" s="79"/>
      <c r="AI564" s="78" t="str">
        <f aca="false">IF(E564="","",(V564&lt;&gt;"")+(AA564&lt;&gt;"")+(AF564&lt;&gt;""))</f>
        <v/>
      </c>
      <c r="AJ564" s="82" t="str">
        <f aca="false">IF(AF564&lt;&gt;"",AF564,IF(AA564&lt;&gt;"",AA564,IF(V564&lt;&gt;"",V564,"")))</f>
        <v/>
      </c>
      <c r="AK564" s="83" t="str">
        <f aca="false">IF(E564="","",IF(P564="","À SOUDER",IF(S564="","VT EN ATTENTE",IF(S564="R","VT REJETÉ – À REPRENDRE",IF(AJ564="","À RADIOGRAPHIER",IF(AJ564="A","ACCEPTÉ",IF(AJ564="NX","NX – RT À REFAIRE",IF(IF(AI564=1,X564,IF(AI564=2,AC564,""))="A","RÉPARÉ – À RADIOGRAPHIER",IF(IF(AI564=1,X564,IF(AI564=2,AC564,""))="R","VT REJETÉ – À REPRENDRE",IF(AJ564="CO","COUPE – À RESOUDER","À RÉPARER"))))))))))</f>
        <v/>
      </c>
      <c r="AL564" s="82" t="str">
        <f aca="false">IF(AND(ISNUMBER(P564),OR(AK564="À RADIOGRAPHIER",AK564="RÉPARÉ – À RADIOGRAPHIER",AK564="NX – RT À REFAIRE",AK564="À RÉPARER",AK564="COUPE – À RESOUDER",AK564="VT REJETÉ – À REPRENDRE")),MAX(0,'PROGRAMME RT'!$C$4-P564),"")</f>
        <v/>
      </c>
      <c r="AM564" s="78" t="n">
        <f aca="false">IF(AND(OR(AK564="À RADIOGRAPHIER",AK564="RÉPARÉ – À RADIOGRAPHIER",AK564="NX – RT À REFAIRE"),OR('PROGRAMME RT'!$D$5="TOUTES",B564='PROGRAMME RT'!$D$5)),1,0)</f>
        <v>0</v>
      </c>
      <c r="AN564" s="78" t="str">
        <f aca="false">IF(AM564=1,SUM(AM$7:AM564),"")</f>
        <v/>
      </c>
      <c r="AO564" s="78" t="n">
        <f aca="false">IF(AND(OR(AK564="À RÉPARER",AK564="COUPE – À RESOUDER",AK564="VT REJETÉ – À REPRENDRE"),OR(RÉPARATIONS!$D$5="TOUTES",B564=RÉPARATIONS!$D$5)),1,0)</f>
        <v>0</v>
      </c>
      <c r="AP564" s="78" t="str">
        <f aca="false">IF(AO564=1,SUM(AO$7:AO564),"")</f>
        <v/>
      </c>
    </row>
    <row r="565" customFormat="false" ht="15" hidden="false" customHeight="false" outlineLevel="0" collapsed="false">
      <c r="A565" s="78" t="str">
        <f aca="false">IF(E565="","",ROW()-6)</f>
        <v/>
      </c>
      <c r="B565" s="79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1"/>
      <c r="Q565" s="81"/>
      <c r="R565" s="80"/>
      <c r="S565" s="80"/>
      <c r="T565" s="81"/>
      <c r="U565" s="80"/>
      <c r="V565" s="80"/>
      <c r="W565" s="80"/>
      <c r="X565" s="80"/>
      <c r="Y565" s="81"/>
      <c r="Z565" s="80"/>
      <c r="AA565" s="80"/>
      <c r="AB565" s="80"/>
      <c r="AC565" s="80"/>
      <c r="AD565" s="81"/>
      <c r="AE565" s="80"/>
      <c r="AF565" s="80"/>
      <c r="AG565" s="81"/>
      <c r="AH565" s="79"/>
      <c r="AI565" s="78" t="str">
        <f aca="false">IF(E565="","",(V565&lt;&gt;"")+(AA565&lt;&gt;"")+(AF565&lt;&gt;""))</f>
        <v/>
      </c>
      <c r="AJ565" s="82" t="str">
        <f aca="false">IF(AF565&lt;&gt;"",AF565,IF(AA565&lt;&gt;"",AA565,IF(V565&lt;&gt;"",V565,"")))</f>
        <v/>
      </c>
      <c r="AK565" s="83" t="str">
        <f aca="false">IF(E565="","",IF(P565="","À SOUDER",IF(S565="","VT EN ATTENTE",IF(S565="R","VT REJETÉ – À REPRENDRE",IF(AJ565="","À RADIOGRAPHIER",IF(AJ565="A","ACCEPTÉ",IF(AJ565="NX","NX – RT À REFAIRE",IF(IF(AI565=1,X565,IF(AI565=2,AC565,""))="A","RÉPARÉ – À RADIOGRAPHIER",IF(IF(AI565=1,X565,IF(AI565=2,AC565,""))="R","VT REJETÉ – À REPRENDRE",IF(AJ565="CO","COUPE – À RESOUDER","À RÉPARER"))))))))))</f>
        <v/>
      </c>
      <c r="AL565" s="82" t="str">
        <f aca="false">IF(AND(ISNUMBER(P565),OR(AK565="À RADIOGRAPHIER",AK565="RÉPARÉ – À RADIOGRAPHIER",AK565="NX – RT À REFAIRE",AK565="À RÉPARER",AK565="COUPE – À RESOUDER",AK565="VT REJETÉ – À REPRENDRE")),MAX(0,'PROGRAMME RT'!$C$4-P565),"")</f>
        <v/>
      </c>
      <c r="AM565" s="78" t="n">
        <f aca="false">IF(AND(OR(AK565="À RADIOGRAPHIER",AK565="RÉPARÉ – À RADIOGRAPHIER",AK565="NX – RT À REFAIRE"),OR('PROGRAMME RT'!$D$5="TOUTES",B565='PROGRAMME RT'!$D$5)),1,0)</f>
        <v>0</v>
      </c>
      <c r="AN565" s="78" t="str">
        <f aca="false">IF(AM565=1,SUM(AM$7:AM565),"")</f>
        <v/>
      </c>
      <c r="AO565" s="78" t="n">
        <f aca="false">IF(AND(OR(AK565="À RÉPARER",AK565="COUPE – À RESOUDER",AK565="VT REJETÉ – À REPRENDRE"),OR(RÉPARATIONS!$D$5="TOUTES",B565=RÉPARATIONS!$D$5)),1,0)</f>
        <v>0</v>
      </c>
      <c r="AP565" s="78" t="str">
        <f aca="false">IF(AO565=1,SUM(AO$7:AO565),"")</f>
        <v/>
      </c>
    </row>
    <row r="566" customFormat="false" ht="15" hidden="false" customHeight="false" outlineLevel="0" collapsed="false">
      <c r="A566" s="78" t="str">
        <f aca="false">IF(E566="","",ROW()-6)</f>
        <v/>
      </c>
      <c r="B566" s="79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1"/>
      <c r="Q566" s="81"/>
      <c r="R566" s="80"/>
      <c r="S566" s="80"/>
      <c r="T566" s="81"/>
      <c r="U566" s="80"/>
      <c r="V566" s="80"/>
      <c r="W566" s="80"/>
      <c r="X566" s="80"/>
      <c r="Y566" s="81"/>
      <c r="Z566" s="80"/>
      <c r="AA566" s="80"/>
      <c r="AB566" s="80"/>
      <c r="AC566" s="80"/>
      <c r="AD566" s="81"/>
      <c r="AE566" s="80"/>
      <c r="AF566" s="80"/>
      <c r="AG566" s="81"/>
      <c r="AH566" s="79"/>
      <c r="AI566" s="78" t="str">
        <f aca="false">IF(E566="","",(V566&lt;&gt;"")+(AA566&lt;&gt;"")+(AF566&lt;&gt;""))</f>
        <v/>
      </c>
      <c r="AJ566" s="82" t="str">
        <f aca="false">IF(AF566&lt;&gt;"",AF566,IF(AA566&lt;&gt;"",AA566,IF(V566&lt;&gt;"",V566,"")))</f>
        <v/>
      </c>
      <c r="AK566" s="83" t="str">
        <f aca="false">IF(E566="","",IF(P566="","À SOUDER",IF(S566="","VT EN ATTENTE",IF(S566="R","VT REJETÉ – À REPRENDRE",IF(AJ566="","À RADIOGRAPHIER",IF(AJ566="A","ACCEPTÉ",IF(AJ566="NX","NX – RT À REFAIRE",IF(IF(AI566=1,X566,IF(AI566=2,AC566,""))="A","RÉPARÉ – À RADIOGRAPHIER",IF(IF(AI566=1,X566,IF(AI566=2,AC566,""))="R","VT REJETÉ – À REPRENDRE",IF(AJ566="CO","COUPE – À RESOUDER","À RÉPARER"))))))))))</f>
        <v/>
      </c>
      <c r="AL566" s="82" t="str">
        <f aca="false">IF(AND(ISNUMBER(P566),OR(AK566="À RADIOGRAPHIER",AK566="RÉPARÉ – À RADIOGRAPHIER",AK566="NX – RT À REFAIRE",AK566="À RÉPARER",AK566="COUPE – À RESOUDER",AK566="VT REJETÉ – À REPRENDRE")),MAX(0,'PROGRAMME RT'!$C$4-P566),"")</f>
        <v/>
      </c>
      <c r="AM566" s="78" t="n">
        <f aca="false">IF(AND(OR(AK566="À RADIOGRAPHIER",AK566="RÉPARÉ – À RADIOGRAPHIER",AK566="NX – RT À REFAIRE"),OR('PROGRAMME RT'!$D$5="TOUTES",B566='PROGRAMME RT'!$D$5)),1,0)</f>
        <v>0</v>
      </c>
      <c r="AN566" s="78" t="str">
        <f aca="false">IF(AM566=1,SUM(AM$7:AM566),"")</f>
        <v/>
      </c>
      <c r="AO566" s="78" t="n">
        <f aca="false">IF(AND(OR(AK566="À RÉPARER",AK566="COUPE – À RESOUDER",AK566="VT REJETÉ – À REPRENDRE"),OR(RÉPARATIONS!$D$5="TOUTES",B566=RÉPARATIONS!$D$5)),1,0)</f>
        <v>0</v>
      </c>
      <c r="AP566" s="78" t="str">
        <f aca="false">IF(AO566=1,SUM(AO$7:AO566),"")</f>
        <v/>
      </c>
    </row>
    <row r="567" customFormat="false" ht="15" hidden="false" customHeight="false" outlineLevel="0" collapsed="false">
      <c r="A567" s="78" t="str">
        <f aca="false">IF(E567="","",ROW()-6)</f>
        <v/>
      </c>
      <c r="B567" s="79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1"/>
      <c r="Q567" s="81"/>
      <c r="R567" s="80"/>
      <c r="S567" s="80"/>
      <c r="T567" s="81"/>
      <c r="U567" s="80"/>
      <c r="V567" s="80"/>
      <c r="W567" s="80"/>
      <c r="X567" s="80"/>
      <c r="Y567" s="81"/>
      <c r="Z567" s="80"/>
      <c r="AA567" s="80"/>
      <c r="AB567" s="80"/>
      <c r="AC567" s="80"/>
      <c r="AD567" s="81"/>
      <c r="AE567" s="80"/>
      <c r="AF567" s="80"/>
      <c r="AG567" s="81"/>
      <c r="AH567" s="79"/>
      <c r="AI567" s="78" t="str">
        <f aca="false">IF(E567="","",(V567&lt;&gt;"")+(AA567&lt;&gt;"")+(AF567&lt;&gt;""))</f>
        <v/>
      </c>
      <c r="AJ567" s="82" t="str">
        <f aca="false">IF(AF567&lt;&gt;"",AF567,IF(AA567&lt;&gt;"",AA567,IF(V567&lt;&gt;"",V567,"")))</f>
        <v/>
      </c>
      <c r="AK567" s="83" t="str">
        <f aca="false">IF(E567="","",IF(P567="","À SOUDER",IF(S567="","VT EN ATTENTE",IF(S567="R","VT REJETÉ – À REPRENDRE",IF(AJ567="","À RADIOGRAPHIER",IF(AJ567="A","ACCEPTÉ",IF(AJ567="NX","NX – RT À REFAIRE",IF(IF(AI567=1,X567,IF(AI567=2,AC567,""))="A","RÉPARÉ – À RADIOGRAPHIER",IF(IF(AI567=1,X567,IF(AI567=2,AC567,""))="R","VT REJETÉ – À REPRENDRE",IF(AJ567="CO","COUPE – À RESOUDER","À RÉPARER"))))))))))</f>
        <v/>
      </c>
      <c r="AL567" s="82" t="str">
        <f aca="false">IF(AND(ISNUMBER(P567),OR(AK567="À RADIOGRAPHIER",AK567="RÉPARÉ – À RADIOGRAPHIER",AK567="NX – RT À REFAIRE",AK567="À RÉPARER",AK567="COUPE – À RESOUDER",AK567="VT REJETÉ – À REPRENDRE")),MAX(0,'PROGRAMME RT'!$C$4-P567),"")</f>
        <v/>
      </c>
      <c r="AM567" s="78" t="n">
        <f aca="false">IF(AND(OR(AK567="À RADIOGRAPHIER",AK567="RÉPARÉ – À RADIOGRAPHIER",AK567="NX – RT À REFAIRE"),OR('PROGRAMME RT'!$D$5="TOUTES",B567='PROGRAMME RT'!$D$5)),1,0)</f>
        <v>0</v>
      </c>
      <c r="AN567" s="78" t="str">
        <f aca="false">IF(AM567=1,SUM(AM$7:AM567),"")</f>
        <v/>
      </c>
      <c r="AO567" s="78" t="n">
        <f aca="false">IF(AND(OR(AK567="À RÉPARER",AK567="COUPE – À RESOUDER",AK567="VT REJETÉ – À REPRENDRE"),OR(RÉPARATIONS!$D$5="TOUTES",B567=RÉPARATIONS!$D$5)),1,0)</f>
        <v>0</v>
      </c>
      <c r="AP567" s="78" t="str">
        <f aca="false">IF(AO567=1,SUM(AO$7:AO567),"")</f>
        <v/>
      </c>
    </row>
    <row r="568" customFormat="false" ht="15" hidden="false" customHeight="false" outlineLevel="0" collapsed="false">
      <c r="A568" s="78" t="str">
        <f aca="false">IF(E568="","",ROW()-6)</f>
        <v/>
      </c>
      <c r="B568" s="79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1"/>
      <c r="Q568" s="81"/>
      <c r="R568" s="80"/>
      <c r="S568" s="80"/>
      <c r="T568" s="81"/>
      <c r="U568" s="80"/>
      <c r="V568" s="80"/>
      <c r="W568" s="80"/>
      <c r="X568" s="80"/>
      <c r="Y568" s="81"/>
      <c r="Z568" s="80"/>
      <c r="AA568" s="80"/>
      <c r="AB568" s="80"/>
      <c r="AC568" s="80"/>
      <c r="AD568" s="81"/>
      <c r="AE568" s="80"/>
      <c r="AF568" s="80"/>
      <c r="AG568" s="81"/>
      <c r="AH568" s="79"/>
      <c r="AI568" s="78" t="str">
        <f aca="false">IF(E568="","",(V568&lt;&gt;"")+(AA568&lt;&gt;"")+(AF568&lt;&gt;""))</f>
        <v/>
      </c>
      <c r="AJ568" s="82" t="str">
        <f aca="false">IF(AF568&lt;&gt;"",AF568,IF(AA568&lt;&gt;"",AA568,IF(V568&lt;&gt;"",V568,"")))</f>
        <v/>
      </c>
      <c r="AK568" s="83" t="str">
        <f aca="false">IF(E568="","",IF(P568="","À SOUDER",IF(S568="","VT EN ATTENTE",IF(S568="R","VT REJETÉ – À REPRENDRE",IF(AJ568="","À RADIOGRAPHIER",IF(AJ568="A","ACCEPTÉ",IF(AJ568="NX","NX – RT À REFAIRE",IF(IF(AI568=1,X568,IF(AI568=2,AC568,""))="A","RÉPARÉ – À RADIOGRAPHIER",IF(IF(AI568=1,X568,IF(AI568=2,AC568,""))="R","VT REJETÉ – À REPRENDRE",IF(AJ568="CO","COUPE – À RESOUDER","À RÉPARER"))))))))))</f>
        <v/>
      </c>
      <c r="AL568" s="82" t="str">
        <f aca="false">IF(AND(ISNUMBER(P568),OR(AK568="À RADIOGRAPHIER",AK568="RÉPARÉ – À RADIOGRAPHIER",AK568="NX – RT À REFAIRE",AK568="À RÉPARER",AK568="COUPE – À RESOUDER",AK568="VT REJETÉ – À REPRENDRE")),MAX(0,'PROGRAMME RT'!$C$4-P568),"")</f>
        <v/>
      </c>
      <c r="AM568" s="78" t="n">
        <f aca="false">IF(AND(OR(AK568="À RADIOGRAPHIER",AK568="RÉPARÉ – À RADIOGRAPHIER",AK568="NX – RT À REFAIRE"),OR('PROGRAMME RT'!$D$5="TOUTES",B568='PROGRAMME RT'!$D$5)),1,0)</f>
        <v>0</v>
      </c>
      <c r="AN568" s="78" t="str">
        <f aca="false">IF(AM568=1,SUM(AM$7:AM568),"")</f>
        <v/>
      </c>
      <c r="AO568" s="78" t="n">
        <f aca="false">IF(AND(OR(AK568="À RÉPARER",AK568="COUPE – À RESOUDER",AK568="VT REJETÉ – À REPRENDRE"),OR(RÉPARATIONS!$D$5="TOUTES",B568=RÉPARATIONS!$D$5)),1,0)</f>
        <v>0</v>
      </c>
      <c r="AP568" s="78" t="str">
        <f aca="false">IF(AO568=1,SUM(AO$7:AO568),"")</f>
        <v/>
      </c>
    </row>
    <row r="569" customFormat="false" ht="15" hidden="false" customHeight="false" outlineLevel="0" collapsed="false">
      <c r="A569" s="78" t="str">
        <f aca="false">IF(E569="","",ROW()-6)</f>
        <v/>
      </c>
      <c r="B569" s="79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1"/>
      <c r="Q569" s="81"/>
      <c r="R569" s="80"/>
      <c r="S569" s="80"/>
      <c r="T569" s="81"/>
      <c r="U569" s="80"/>
      <c r="V569" s="80"/>
      <c r="W569" s="80"/>
      <c r="X569" s="80"/>
      <c r="Y569" s="81"/>
      <c r="Z569" s="80"/>
      <c r="AA569" s="80"/>
      <c r="AB569" s="80"/>
      <c r="AC569" s="80"/>
      <c r="AD569" s="81"/>
      <c r="AE569" s="80"/>
      <c r="AF569" s="80"/>
      <c r="AG569" s="81"/>
      <c r="AH569" s="79"/>
      <c r="AI569" s="78" t="str">
        <f aca="false">IF(E569="","",(V569&lt;&gt;"")+(AA569&lt;&gt;"")+(AF569&lt;&gt;""))</f>
        <v/>
      </c>
      <c r="AJ569" s="82" t="str">
        <f aca="false">IF(AF569&lt;&gt;"",AF569,IF(AA569&lt;&gt;"",AA569,IF(V569&lt;&gt;"",V569,"")))</f>
        <v/>
      </c>
      <c r="AK569" s="83" t="str">
        <f aca="false">IF(E569="","",IF(P569="","À SOUDER",IF(S569="","VT EN ATTENTE",IF(S569="R","VT REJETÉ – À REPRENDRE",IF(AJ569="","À RADIOGRAPHIER",IF(AJ569="A","ACCEPTÉ",IF(AJ569="NX","NX – RT À REFAIRE",IF(IF(AI569=1,X569,IF(AI569=2,AC569,""))="A","RÉPARÉ – À RADIOGRAPHIER",IF(IF(AI569=1,X569,IF(AI569=2,AC569,""))="R","VT REJETÉ – À REPRENDRE",IF(AJ569="CO","COUPE – À RESOUDER","À RÉPARER"))))))))))</f>
        <v/>
      </c>
      <c r="AL569" s="82" t="str">
        <f aca="false">IF(AND(ISNUMBER(P569),OR(AK569="À RADIOGRAPHIER",AK569="RÉPARÉ – À RADIOGRAPHIER",AK569="NX – RT À REFAIRE",AK569="À RÉPARER",AK569="COUPE – À RESOUDER",AK569="VT REJETÉ – À REPRENDRE")),MAX(0,'PROGRAMME RT'!$C$4-P569),"")</f>
        <v/>
      </c>
      <c r="AM569" s="78" t="n">
        <f aca="false">IF(AND(OR(AK569="À RADIOGRAPHIER",AK569="RÉPARÉ – À RADIOGRAPHIER",AK569="NX – RT À REFAIRE"),OR('PROGRAMME RT'!$D$5="TOUTES",B569='PROGRAMME RT'!$D$5)),1,0)</f>
        <v>0</v>
      </c>
      <c r="AN569" s="78" t="str">
        <f aca="false">IF(AM569=1,SUM(AM$7:AM569),"")</f>
        <v/>
      </c>
      <c r="AO569" s="78" t="n">
        <f aca="false">IF(AND(OR(AK569="À RÉPARER",AK569="COUPE – À RESOUDER",AK569="VT REJETÉ – À REPRENDRE"),OR(RÉPARATIONS!$D$5="TOUTES",B569=RÉPARATIONS!$D$5)),1,0)</f>
        <v>0</v>
      </c>
      <c r="AP569" s="78" t="str">
        <f aca="false">IF(AO569=1,SUM(AO$7:AO569),"")</f>
        <v/>
      </c>
    </row>
    <row r="570" customFormat="false" ht="15" hidden="false" customHeight="false" outlineLevel="0" collapsed="false">
      <c r="A570" s="78" t="str">
        <f aca="false">IF(E570="","",ROW()-6)</f>
        <v/>
      </c>
      <c r="B570" s="79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1"/>
      <c r="Q570" s="81"/>
      <c r="R570" s="80"/>
      <c r="S570" s="80"/>
      <c r="T570" s="81"/>
      <c r="U570" s="80"/>
      <c r="V570" s="80"/>
      <c r="W570" s="80"/>
      <c r="X570" s="80"/>
      <c r="Y570" s="81"/>
      <c r="Z570" s="80"/>
      <c r="AA570" s="80"/>
      <c r="AB570" s="80"/>
      <c r="AC570" s="80"/>
      <c r="AD570" s="81"/>
      <c r="AE570" s="80"/>
      <c r="AF570" s="80"/>
      <c r="AG570" s="81"/>
      <c r="AH570" s="79"/>
      <c r="AI570" s="78" t="str">
        <f aca="false">IF(E570="","",(V570&lt;&gt;"")+(AA570&lt;&gt;"")+(AF570&lt;&gt;""))</f>
        <v/>
      </c>
      <c r="AJ570" s="82" t="str">
        <f aca="false">IF(AF570&lt;&gt;"",AF570,IF(AA570&lt;&gt;"",AA570,IF(V570&lt;&gt;"",V570,"")))</f>
        <v/>
      </c>
      <c r="AK570" s="83" t="str">
        <f aca="false">IF(E570="","",IF(P570="","À SOUDER",IF(S570="","VT EN ATTENTE",IF(S570="R","VT REJETÉ – À REPRENDRE",IF(AJ570="","À RADIOGRAPHIER",IF(AJ570="A","ACCEPTÉ",IF(AJ570="NX","NX – RT À REFAIRE",IF(IF(AI570=1,X570,IF(AI570=2,AC570,""))="A","RÉPARÉ – À RADIOGRAPHIER",IF(IF(AI570=1,X570,IF(AI570=2,AC570,""))="R","VT REJETÉ – À REPRENDRE",IF(AJ570="CO","COUPE – À RESOUDER","À RÉPARER"))))))))))</f>
        <v/>
      </c>
      <c r="AL570" s="82" t="str">
        <f aca="false">IF(AND(ISNUMBER(P570),OR(AK570="À RADIOGRAPHIER",AK570="RÉPARÉ – À RADIOGRAPHIER",AK570="NX – RT À REFAIRE",AK570="À RÉPARER",AK570="COUPE – À RESOUDER",AK570="VT REJETÉ – À REPRENDRE")),MAX(0,'PROGRAMME RT'!$C$4-P570),"")</f>
        <v/>
      </c>
      <c r="AM570" s="78" t="n">
        <f aca="false">IF(AND(OR(AK570="À RADIOGRAPHIER",AK570="RÉPARÉ – À RADIOGRAPHIER",AK570="NX – RT À REFAIRE"),OR('PROGRAMME RT'!$D$5="TOUTES",B570='PROGRAMME RT'!$D$5)),1,0)</f>
        <v>0</v>
      </c>
      <c r="AN570" s="78" t="str">
        <f aca="false">IF(AM570=1,SUM(AM$7:AM570),"")</f>
        <v/>
      </c>
      <c r="AO570" s="78" t="n">
        <f aca="false">IF(AND(OR(AK570="À RÉPARER",AK570="COUPE – À RESOUDER",AK570="VT REJETÉ – À REPRENDRE"),OR(RÉPARATIONS!$D$5="TOUTES",B570=RÉPARATIONS!$D$5)),1,0)</f>
        <v>0</v>
      </c>
      <c r="AP570" s="78" t="str">
        <f aca="false">IF(AO570=1,SUM(AO$7:AO570),"")</f>
        <v/>
      </c>
    </row>
    <row r="571" customFormat="false" ht="15" hidden="false" customHeight="false" outlineLevel="0" collapsed="false">
      <c r="A571" s="78" t="str">
        <f aca="false">IF(E571="","",ROW()-6)</f>
        <v/>
      </c>
      <c r="B571" s="79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1"/>
      <c r="Q571" s="81"/>
      <c r="R571" s="80"/>
      <c r="S571" s="80"/>
      <c r="T571" s="81"/>
      <c r="U571" s="80"/>
      <c r="V571" s="80"/>
      <c r="W571" s="80"/>
      <c r="X571" s="80"/>
      <c r="Y571" s="81"/>
      <c r="Z571" s="80"/>
      <c r="AA571" s="80"/>
      <c r="AB571" s="80"/>
      <c r="AC571" s="80"/>
      <c r="AD571" s="81"/>
      <c r="AE571" s="80"/>
      <c r="AF571" s="80"/>
      <c r="AG571" s="81"/>
      <c r="AH571" s="79"/>
      <c r="AI571" s="78" t="str">
        <f aca="false">IF(E571="","",(V571&lt;&gt;"")+(AA571&lt;&gt;"")+(AF571&lt;&gt;""))</f>
        <v/>
      </c>
      <c r="AJ571" s="82" t="str">
        <f aca="false">IF(AF571&lt;&gt;"",AF571,IF(AA571&lt;&gt;"",AA571,IF(V571&lt;&gt;"",V571,"")))</f>
        <v/>
      </c>
      <c r="AK571" s="83" t="str">
        <f aca="false">IF(E571="","",IF(P571="","À SOUDER",IF(S571="","VT EN ATTENTE",IF(S571="R","VT REJETÉ – À REPRENDRE",IF(AJ571="","À RADIOGRAPHIER",IF(AJ571="A","ACCEPTÉ",IF(AJ571="NX","NX – RT À REFAIRE",IF(IF(AI571=1,X571,IF(AI571=2,AC571,""))="A","RÉPARÉ – À RADIOGRAPHIER",IF(IF(AI571=1,X571,IF(AI571=2,AC571,""))="R","VT REJETÉ – À REPRENDRE",IF(AJ571="CO","COUPE – À RESOUDER","À RÉPARER"))))))))))</f>
        <v/>
      </c>
      <c r="AL571" s="82" t="str">
        <f aca="false">IF(AND(ISNUMBER(P571),OR(AK571="À RADIOGRAPHIER",AK571="RÉPARÉ – À RADIOGRAPHIER",AK571="NX – RT À REFAIRE",AK571="À RÉPARER",AK571="COUPE – À RESOUDER",AK571="VT REJETÉ – À REPRENDRE")),MAX(0,'PROGRAMME RT'!$C$4-P571),"")</f>
        <v/>
      </c>
      <c r="AM571" s="78" t="n">
        <f aca="false">IF(AND(OR(AK571="À RADIOGRAPHIER",AK571="RÉPARÉ – À RADIOGRAPHIER",AK571="NX – RT À REFAIRE"),OR('PROGRAMME RT'!$D$5="TOUTES",B571='PROGRAMME RT'!$D$5)),1,0)</f>
        <v>0</v>
      </c>
      <c r="AN571" s="78" t="str">
        <f aca="false">IF(AM571=1,SUM(AM$7:AM571),"")</f>
        <v/>
      </c>
      <c r="AO571" s="78" t="n">
        <f aca="false">IF(AND(OR(AK571="À RÉPARER",AK571="COUPE – À RESOUDER",AK571="VT REJETÉ – À REPRENDRE"),OR(RÉPARATIONS!$D$5="TOUTES",B571=RÉPARATIONS!$D$5)),1,0)</f>
        <v>0</v>
      </c>
      <c r="AP571" s="78" t="str">
        <f aca="false">IF(AO571=1,SUM(AO$7:AO571),"")</f>
        <v/>
      </c>
    </row>
    <row r="572" customFormat="false" ht="15" hidden="false" customHeight="false" outlineLevel="0" collapsed="false">
      <c r="A572" s="78" t="str">
        <f aca="false">IF(E572="","",ROW()-6)</f>
        <v/>
      </c>
      <c r="B572" s="79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1"/>
      <c r="Q572" s="81"/>
      <c r="R572" s="80"/>
      <c r="S572" s="80"/>
      <c r="T572" s="81"/>
      <c r="U572" s="80"/>
      <c r="V572" s="80"/>
      <c r="W572" s="80"/>
      <c r="X572" s="80"/>
      <c r="Y572" s="81"/>
      <c r="Z572" s="80"/>
      <c r="AA572" s="80"/>
      <c r="AB572" s="80"/>
      <c r="AC572" s="80"/>
      <c r="AD572" s="81"/>
      <c r="AE572" s="80"/>
      <c r="AF572" s="80"/>
      <c r="AG572" s="81"/>
      <c r="AH572" s="79"/>
      <c r="AI572" s="78" t="str">
        <f aca="false">IF(E572="","",(V572&lt;&gt;"")+(AA572&lt;&gt;"")+(AF572&lt;&gt;""))</f>
        <v/>
      </c>
      <c r="AJ572" s="82" t="str">
        <f aca="false">IF(AF572&lt;&gt;"",AF572,IF(AA572&lt;&gt;"",AA572,IF(V572&lt;&gt;"",V572,"")))</f>
        <v/>
      </c>
      <c r="AK572" s="83" t="str">
        <f aca="false">IF(E572="","",IF(P572="","À SOUDER",IF(S572="","VT EN ATTENTE",IF(S572="R","VT REJETÉ – À REPRENDRE",IF(AJ572="","À RADIOGRAPHIER",IF(AJ572="A","ACCEPTÉ",IF(AJ572="NX","NX – RT À REFAIRE",IF(IF(AI572=1,X572,IF(AI572=2,AC572,""))="A","RÉPARÉ – À RADIOGRAPHIER",IF(IF(AI572=1,X572,IF(AI572=2,AC572,""))="R","VT REJETÉ – À REPRENDRE",IF(AJ572="CO","COUPE – À RESOUDER","À RÉPARER"))))))))))</f>
        <v/>
      </c>
      <c r="AL572" s="82" t="str">
        <f aca="false">IF(AND(ISNUMBER(P572),OR(AK572="À RADIOGRAPHIER",AK572="RÉPARÉ – À RADIOGRAPHIER",AK572="NX – RT À REFAIRE",AK572="À RÉPARER",AK572="COUPE – À RESOUDER",AK572="VT REJETÉ – À REPRENDRE")),MAX(0,'PROGRAMME RT'!$C$4-P572),"")</f>
        <v/>
      </c>
      <c r="AM572" s="78" t="n">
        <f aca="false">IF(AND(OR(AK572="À RADIOGRAPHIER",AK572="RÉPARÉ – À RADIOGRAPHIER",AK572="NX – RT À REFAIRE"),OR('PROGRAMME RT'!$D$5="TOUTES",B572='PROGRAMME RT'!$D$5)),1,0)</f>
        <v>0</v>
      </c>
      <c r="AN572" s="78" t="str">
        <f aca="false">IF(AM572=1,SUM(AM$7:AM572),"")</f>
        <v/>
      </c>
      <c r="AO572" s="78" t="n">
        <f aca="false">IF(AND(OR(AK572="À RÉPARER",AK572="COUPE – À RESOUDER",AK572="VT REJETÉ – À REPRENDRE"),OR(RÉPARATIONS!$D$5="TOUTES",B572=RÉPARATIONS!$D$5)),1,0)</f>
        <v>0</v>
      </c>
      <c r="AP572" s="78" t="str">
        <f aca="false">IF(AO572=1,SUM(AO$7:AO572),"")</f>
        <v/>
      </c>
    </row>
    <row r="573" customFormat="false" ht="15" hidden="false" customHeight="false" outlineLevel="0" collapsed="false">
      <c r="A573" s="78" t="str">
        <f aca="false">IF(E573="","",ROW()-6)</f>
        <v/>
      </c>
      <c r="B573" s="79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1"/>
      <c r="Q573" s="81"/>
      <c r="R573" s="80"/>
      <c r="S573" s="80"/>
      <c r="T573" s="81"/>
      <c r="U573" s="80"/>
      <c r="V573" s="80"/>
      <c r="W573" s="80"/>
      <c r="X573" s="80"/>
      <c r="Y573" s="81"/>
      <c r="Z573" s="80"/>
      <c r="AA573" s="80"/>
      <c r="AB573" s="80"/>
      <c r="AC573" s="80"/>
      <c r="AD573" s="81"/>
      <c r="AE573" s="80"/>
      <c r="AF573" s="80"/>
      <c r="AG573" s="81"/>
      <c r="AH573" s="79"/>
      <c r="AI573" s="78" t="str">
        <f aca="false">IF(E573="","",(V573&lt;&gt;"")+(AA573&lt;&gt;"")+(AF573&lt;&gt;""))</f>
        <v/>
      </c>
      <c r="AJ573" s="82" t="str">
        <f aca="false">IF(AF573&lt;&gt;"",AF573,IF(AA573&lt;&gt;"",AA573,IF(V573&lt;&gt;"",V573,"")))</f>
        <v/>
      </c>
      <c r="AK573" s="83" t="str">
        <f aca="false">IF(E573="","",IF(P573="","À SOUDER",IF(S573="","VT EN ATTENTE",IF(S573="R","VT REJETÉ – À REPRENDRE",IF(AJ573="","À RADIOGRAPHIER",IF(AJ573="A","ACCEPTÉ",IF(AJ573="NX","NX – RT À REFAIRE",IF(IF(AI573=1,X573,IF(AI573=2,AC573,""))="A","RÉPARÉ – À RADIOGRAPHIER",IF(IF(AI573=1,X573,IF(AI573=2,AC573,""))="R","VT REJETÉ – À REPRENDRE",IF(AJ573="CO","COUPE – À RESOUDER","À RÉPARER"))))))))))</f>
        <v/>
      </c>
      <c r="AL573" s="82" t="str">
        <f aca="false">IF(AND(ISNUMBER(P573),OR(AK573="À RADIOGRAPHIER",AK573="RÉPARÉ – À RADIOGRAPHIER",AK573="NX – RT À REFAIRE",AK573="À RÉPARER",AK573="COUPE – À RESOUDER",AK573="VT REJETÉ – À REPRENDRE")),MAX(0,'PROGRAMME RT'!$C$4-P573),"")</f>
        <v/>
      </c>
      <c r="AM573" s="78" t="n">
        <f aca="false">IF(AND(OR(AK573="À RADIOGRAPHIER",AK573="RÉPARÉ – À RADIOGRAPHIER",AK573="NX – RT À REFAIRE"),OR('PROGRAMME RT'!$D$5="TOUTES",B573='PROGRAMME RT'!$D$5)),1,0)</f>
        <v>0</v>
      </c>
      <c r="AN573" s="78" t="str">
        <f aca="false">IF(AM573=1,SUM(AM$7:AM573),"")</f>
        <v/>
      </c>
      <c r="AO573" s="78" t="n">
        <f aca="false">IF(AND(OR(AK573="À RÉPARER",AK573="COUPE – À RESOUDER",AK573="VT REJETÉ – À REPRENDRE"),OR(RÉPARATIONS!$D$5="TOUTES",B573=RÉPARATIONS!$D$5)),1,0)</f>
        <v>0</v>
      </c>
      <c r="AP573" s="78" t="str">
        <f aca="false">IF(AO573=1,SUM(AO$7:AO573),"")</f>
        <v/>
      </c>
    </row>
    <row r="574" customFormat="false" ht="15" hidden="false" customHeight="false" outlineLevel="0" collapsed="false">
      <c r="A574" s="78" t="str">
        <f aca="false">IF(E574="","",ROW()-6)</f>
        <v/>
      </c>
      <c r="B574" s="79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1"/>
      <c r="Q574" s="81"/>
      <c r="R574" s="80"/>
      <c r="S574" s="80"/>
      <c r="T574" s="81"/>
      <c r="U574" s="80"/>
      <c r="V574" s="80"/>
      <c r="W574" s="80"/>
      <c r="X574" s="80"/>
      <c r="Y574" s="81"/>
      <c r="Z574" s="80"/>
      <c r="AA574" s="80"/>
      <c r="AB574" s="80"/>
      <c r="AC574" s="80"/>
      <c r="AD574" s="81"/>
      <c r="AE574" s="80"/>
      <c r="AF574" s="80"/>
      <c r="AG574" s="81"/>
      <c r="AH574" s="79"/>
      <c r="AI574" s="78" t="str">
        <f aca="false">IF(E574="","",(V574&lt;&gt;"")+(AA574&lt;&gt;"")+(AF574&lt;&gt;""))</f>
        <v/>
      </c>
      <c r="AJ574" s="82" t="str">
        <f aca="false">IF(AF574&lt;&gt;"",AF574,IF(AA574&lt;&gt;"",AA574,IF(V574&lt;&gt;"",V574,"")))</f>
        <v/>
      </c>
      <c r="AK574" s="83" t="str">
        <f aca="false">IF(E574="","",IF(P574="","À SOUDER",IF(S574="","VT EN ATTENTE",IF(S574="R","VT REJETÉ – À REPRENDRE",IF(AJ574="","À RADIOGRAPHIER",IF(AJ574="A","ACCEPTÉ",IF(AJ574="NX","NX – RT À REFAIRE",IF(IF(AI574=1,X574,IF(AI574=2,AC574,""))="A","RÉPARÉ – À RADIOGRAPHIER",IF(IF(AI574=1,X574,IF(AI574=2,AC574,""))="R","VT REJETÉ – À REPRENDRE",IF(AJ574="CO","COUPE – À RESOUDER","À RÉPARER"))))))))))</f>
        <v/>
      </c>
      <c r="AL574" s="82" t="str">
        <f aca="false">IF(AND(ISNUMBER(P574),OR(AK574="À RADIOGRAPHIER",AK574="RÉPARÉ – À RADIOGRAPHIER",AK574="NX – RT À REFAIRE",AK574="À RÉPARER",AK574="COUPE – À RESOUDER",AK574="VT REJETÉ – À REPRENDRE")),MAX(0,'PROGRAMME RT'!$C$4-P574),"")</f>
        <v/>
      </c>
      <c r="AM574" s="78" t="n">
        <f aca="false">IF(AND(OR(AK574="À RADIOGRAPHIER",AK574="RÉPARÉ – À RADIOGRAPHIER",AK574="NX – RT À REFAIRE"),OR('PROGRAMME RT'!$D$5="TOUTES",B574='PROGRAMME RT'!$D$5)),1,0)</f>
        <v>0</v>
      </c>
      <c r="AN574" s="78" t="str">
        <f aca="false">IF(AM574=1,SUM(AM$7:AM574),"")</f>
        <v/>
      </c>
      <c r="AO574" s="78" t="n">
        <f aca="false">IF(AND(OR(AK574="À RÉPARER",AK574="COUPE – À RESOUDER",AK574="VT REJETÉ – À REPRENDRE"),OR(RÉPARATIONS!$D$5="TOUTES",B574=RÉPARATIONS!$D$5)),1,0)</f>
        <v>0</v>
      </c>
      <c r="AP574" s="78" t="str">
        <f aca="false">IF(AO574=1,SUM(AO$7:AO574),"")</f>
        <v/>
      </c>
    </row>
    <row r="575" customFormat="false" ht="15" hidden="false" customHeight="false" outlineLevel="0" collapsed="false">
      <c r="A575" s="78" t="str">
        <f aca="false">IF(E575="","",ROW()-6)</f>
        <v/>
      </c>
      <c r="B575" s="79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1"/>
      <c r="Q575" s="81"/>
      <c r="R575" s="80"/>
      <c r="S575" s="80"/>
      <c r="T575" s="81"/>
      <c r="U575" s="80"/>
      <c r="V575" s="80"/>
      <c r="W575" s="80"/>
      <c r="X575" s="80"/>
      <c r="Y575" s="81"/>
      <c r="Z575" s="80"/>
      <c r="AA575" s="80"/>
      <c r="AB575" s="80"/>
      <c r="AC575" s="80"/>
      <c r="AD575" s="81"/>
      <c r="AE575" s="80"/>
      <c r="AF575" s="80"/>
      <c r="AG575" s="81"/>
      <c r="AH575" s="79"/>
      <c r="AI575" s="78" t="str">
        <f aca="false">IF(E575="","",(V575&lt;&gt;"")+(AA575&lt;&gt;"")+(AF575&lt;&gt;""))</f>
        <v/>
      </c>
      <c r="AJ575" s="82" t="str">
        <f aca="false">IF(AF575&lt;&gt;"",AF575,IF(AA575&lt;&gt;"",AA575,IF(V575&lt;&gt;"",V575,"")))</f>
        <v/>
      </c>
      <c r="AK575" s="83" t="str">
        <f aca="false">IF(E575="","",IF(P575="","À SOUDER",IF(S575="","VT EN ATTENTE",IF(S575="R","VT REJETÉ – À REPRENDRE",IF(AJ575="","À RADIOGRAPHIER",IF(AJ575="A","ACCEPTÉ",IF(AJ575="NX","NX – RT À REFAIRE",IF(IF(AI575=1,X575,IF(AI575=2,AC575,""))="A","RÉPARÉ – À RADIOGRAPHIER",IF(IF(AI575=1,X575,IF(AI575=2,AC575,""))="R","VT REJETÉ – À REPRENDRE",IF(AJ575="CO","COUPE – À RESOUDER","À RÉPARER"))))))))))</f>
        <v/>
      </c>
      <c r="AL575" s="82" t="str">
        <f aca="false">IF(AND(ISNUMBER(P575),OR(AK575="À RADIOGRAPHIER",AK575="RÉPARÉ – À RADIOGRAPHIER",AK575="NX – RT À REFAIRE",AK575="À RÉPARER",AK575="COUPE – À RESOUDER",AK575="VT REJETÉ – À REPRENDRE")),MAX(0,'PROGRAMME RT'!$C$4-P575),"")</f>
        <v/>
      </c>
      <c r="AM575" s="78" t="n">
        <f aca="false">IF(AND(OR(AK575="À RADIOGRAPHIER",AK575="RÉPARÉ – À RADIOGRAPHIER",AK575="NX – RT À REFAIRE"),OR('PROGRAMME RT'!$D$5="TOUTES",B575='PROGRAMME RT'!$D$5)),1,0)</f>
        <v>0</v>
      </c>
      <c r="AN575" s="78" t="str">
        <f aca="false">IF(AM575=1,SUM(AM$7:AM575),"")</f>
        <v/>
      </c>
      <c r="AO575" s="78" t="n">
        <f aca="false">IF(AND(OR(AK575="À RÉPARER",AK575="COUPE – À RESOUDER",AK575="VT REJETÉ – À REPRENDRE"),OR(RÉPARATIONS!$D$5="TOUTES",B575=RÉPARATIONS!$D$5)),1,0)</f>
        <v>0</v>
      </c>
      <c r="AP575" s="78" t="str">
        <f aca="false">IF(AO575=1,SUM(AO$7:AO575),"")</f>
        <v/>
      </c>
    </row>
    <row r="576" customFormat="false" ht="15" hidden="false" customHeight="false" outlineLevel="0" collapsed="false">
      <c r="A576" s="78" t="str">
        <f aca="false">IF(E576="","",ROW()-6)</f>
        <v/>
      </c>
      <c r="B576" s="79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1"/>
      <c r="Q576" s="81"/>
      <c r="R576" s="80"/>
      <c r="S576" s="80"/>
      <c r="T576" s="81"/>
      <c r="U576" s="80"/>
      <c r="V576" s="80"/>
      <c r="W576" s="80"/>
      <c r="X576" s="80"/>
      <c r="Y576" s="81"/>
      <c r="Z576" s="80"/>
      <c r="AA576" s="80"/>
      <c r="AB576" s="80"/>
      <c r="AC576" s="80"/>
      <c r="AD576" s="81"/>
      <c r="AE576" s="80"/>
      <c r="AF576" s="80"/>
      <c r="AG576" s="81"/>
      <c r="AH576" s="79"/>
      <c r="AI576" s="78" t="str">
        <f aca="false">IF(E576="","",(V576&lt;&gt;"")+(AA576&lt;&gt;"")+(AF576&lt;&gt;""))</f>
        <v/>
      </c>
      <c r="AJ576" s="82" t="str">
        <f aca="false">IF(AF576&lt;&gt;"",AF576,IF(AA576&lt;&gt;"",AA576,IF(V576&lt;&gt;"",V576,"")))</f>
        <v/>
      </c>
      <c r="AK576" s="83" t="str">
        <f aca="false">IF(E576="","",IF(P576="","À SOUDER",IF(S576="","VT EN ATTENTE",IF(S576="R","VT REJETÉ – À REPRENDRE",IF(AJ576="","À RADIOGRAPHIER",IF(AJ576="A","ACCEPTÉ",IF(AJ576="NX","NX – RT À REFAIRE",IF(IF(AI576=1,X576,IF(AI576=2,AC576,""))="A","RÉPARÉ – À RADIOGRAPHIER",IF(IF(AI576=1,X576,IF(AI576=2,AC576,""))="R","VT REJETÉ – À REPRENDRE",IF(AJ576="CO","COUPE – À RESOUDER","À RÉPARER"))))))))))</f>
        <v/>
      </c>
      <c r="AL576" s="82" t="str">
        <f aca="false">IF(AND(ISNUMBER(P576),OR(AK576="À RADIOGRAPHIER",AK576="RÉPARÉ – À RADIOGRAPHIER",AK576="NX – RT À REFAIRE",AK576="À RÉPARER",AK576="COUPE – À RESOUDER",AK576="VT REJETÉ – À REPRENDRE")),MAX(0,'PROGRAMME RT'!$C$4-P576),"")</f>
        <v/>
      </c>
      <c r="AM576" s="78" t="n">
        <f aca="false">IF(AND(OR(AK576="À RADIOGRAPHIER",AK576="RÉPARÉ – À RADIOGRAPHIER",AK576="NX – RT À REFAIRE"),OR('PROGRAMME RT'!$D$5="TOUTES",B576='PROGRAMME RT'!$D$5)),1,0)</f>
        <v>0</v>
      </c>
      <c r="AN576" s="78" t="str">
        <f aca="false">IF(AM576=1,SUM(AM$7:AM576),"")</f>
        <v/>
      </c>
      <c r="AO576" s="78" t="n">
        <f aca="false">IF(AND(OR(AK576="À RÉPARER",AK576="COUPE – À RESOUDER",AK576="VT REJETÉ – À REPRENDRE"),OR(RÉPARATIONS!$D$5="TOUTES",B576=RÉPARATIONS!$D$5)),1,0)</f>
        <v>0</v>
      </c>
      <c r="AP576" s="78" t="str">
        <f aca="false">IF(AO576=1,SUM(AO$7:AO576),"")</f>
        <v/>
      </c>
    </row>
    <row r="577" customFormat="false" ht="15" hidden="false" customHeight="false" outlineLevel="0" collapsed="false">
      <c r="A577" s="78" t="str">
        <f aca="false">IF(E577="","",ROW()-6)</f>
        <v/>
      </c>
      <c r="B577" s="79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1"/>
      <c r="Q577" s="81"/>
      <c r="R577" s="80"/>
      <c r="S577" s="80"/>
      <c r="T577" s="81"/>
      <c r="U577" s="80"/>
      <c r="V577" s="80"/>
      <c r="W577" s="80"/>
      <c r="X577" s="80"/>
      <c r="Y577" s="81"/>
      <c r="Z577" s="80"/>
      <c r="AA577" s="80"/>
      <c r="AB577" s="80"/>
      <c r="AC577" s="80"/>
      <c r="AD577" s="81"/>
      <c r="AE577" s="80"/>
      <c r="AF577" s="80"/>
      <c r="AG577" s="81"/>
      <c r="AH577" s="79"/>
      <c r="AI577" s="78" t="str">
        <f aca="false">IF(E577="","",(V577&lt;&gt;"")+(AA577&lt;&gt;"")+(AF577&lt;&gt;""))</f>
        <v/>
      </c>
      <c r="AJ577" s="82" t="str">
        <f aca="false">IF(AF577&lt;&gt;"",AF577,IF(AA577&lt;&gt;"",AA577,IF(V577&lt;&gt;"",V577,"")))</f>
        <v/>
      </c>
      <c r="AK577" s="83" t="str">
        <f aca="false">IF(E577="","",IF(P577="","À SOUDER",IF(S577="","VT EN ATTENTE",IF(S577="R","VT REJETÉ – À REPRENDRE",IF(AJ577="","À RADIOGRAPHIER",IF(AJ577="A","ACCEPTÉ",IF(AJ577="NX","NX – RT À REFAIRE",IF(IF(AI577=1,X577,IF(AI577=2,AC577,""))="A","RÉPARÉ – À RADIOGRAPHIER",IF(IF(AI577=1,X577,IF(AI577=2,AC577,""))="R","VT REJETÉ – À REPRENDRE",IF(AJ577="CO","COUPE – À RESOUDER","À RÉPARER"))))))))))</f>
        <v/>
      </c>
      <c r="AL577" s="82" t="str">
        <f aca="false">IF(AND(ISNUMBER(P577),OR(AK577="À RADIOGRAPHIER",AK577="RÉPARÉ – À RADIOGRAPHIER",AK577="NX – RT À REFAIRE",AK577="À RÉPARER",AK577="COUPE – À RESOUDER",AK577="VT REJETÉ – À REPRENDRE")),MAX(0,'PROGRAMME RT'!$C$4-P577),"")</f>
        <v/>
      </c>
      <c r="AM577" s="78" t="n">
        <f aca="false">IF(AND(OR(AK577="À RADIOGRAPHIER",AK577="RÉPARÉ – À RADIOGRAPHIER",AK577="NX – RT À REFAIRE"),OR('PROGRAMME RT'!$D$5="TOUTES",B577='PROGRAMME RT'!$D$5)),1,0)</f>
        <v>0</v>
      </c>
      <c r="AN577" s="78" t="str">
        <f aca="false">IF(AM577=1,SUM(AM$7:AM577),"")</f>
        <v/>
      </c>
      <c r="AO577" s="78" t="n">
        <f aca="false">IF(AND(OR(AK577="À RÉPARER",AK577="COUPE – À RESOUDER",AK577="VT REJETÉ – À REPRENDRE"),OR(RÉPARATIONS!$D$5="TOUTES",B577=RÉPARATIONS!$D$5)),1,0)</f>
        <v>0</v>
      </c>
      <c r="AP577" s="78" t="str">
        <f aca="false">IF(AO577=1,SUM(AO$7:AO577),"")</f>
        <v/>
      </c>
    </row>
    <row r="578" customFormat="false" ht="15" hidden="false" customHeight="false" outlineLevel="0" collapsed="false">
      <c r="A578" s="78" t="str">
        <f aca="false">IF(E578="","",ROW()-6)</f>
        <v/>
      </c>
      <c r="B578" s="79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1"/>
      <c r="Q578" s="81"/>
      <c r="R578" s="80"/>
      <c r="S578" s="80"/>
      <c r="T578" s="81"/>
      <c r="U578" s="80"/>
      <c r="V578" s="80"/>
      <c r="W578" s="80"/>
      <c r="X578" s="80"/>
      <c r="Y578" s="81"/>
      <c r="Z578" s="80"/>
      <c r="AA578" s="80"/>
      <c r="AB578" s="80"/>
      <c r="AC578" s="80"/>
      <c r="AD578" s="81"/>
      <c r="AE578" s="80"/>
      <c r="AF578" s="80"/>
      <c r="AG578" s="81"/>
      <c r="AH578" s="79"/>
      <c r="AI578" s="78" t="str">
        <f aca="false">IF(E578="","",(V578&lt;&gt;"")+(AA578&lt;&gt;"")+(AF578&lt;&gt;""))</f>
        <v/>
      </c>
      <c r="AJ578" s="82" t="str">
        <f aca="false">IF(AF578&lt;&gt;"",AF578,IF(AA578&lt;&gt;"",AA578,IF(V578&lt;&gt;"",V578,"")))</f>
        <v/>
      </c>
      <c r="AK578" s="83" t="str">
        <f aca="false">IF(E578="","",IF(P578="","À SOUDER",IF(S578="","VT EN ATTENTE",IF(S578="R","VT REJETÉ – À REPRENDRE",IF(AJ578="","À RADIOGRAPHIER",IF(AJ578="A","ACCEPTÉ",IF(AJ578="NX","NX – RT À REFAIRE",IF(IF(AI578=1,X578,IF(AI578=2,AC578,""))="A","RÉPARÉ – À RADIOGRAPHIER",IF(IF(AI578=1,X578,IF(AI578=2,AC578,""))="R","VT REJETÉ – À REPRENDRE",IF(AJ578="CO","COUPE – À RESOUDER","À RÉPARER"))))))))))</f>
        <v/>
      </c>
      <c r="AL578" s="82" t="str">
        <f aca="false">IF(AND(ISNUMBER(P578),OR(AK578="À RADIOGRAPHIER",AK578="RÉPARÉ – À RADIOGRAPHIER",AK578="NX – RT À REFAIRE",AK578="À RÉPARER",AK578="COUPE – À RESOUDER",AK578="VT REJETÉ – À REPRENDRE")),MAX(0,'PROGRAMME RT'!$C$4-P578),"")</f>
        <v/>
      </c>
      <c r="AM578" s="78" t="n">
        <f aca="false">IF(AND(OR(AK578="À RADIOGRAPHIER",AK578="RÉPARÉ – À RADIOGRAPHIER",AK578="NX – RT À REFAIRE"),OR('PROGRAMME RT'!$D$5="TOUTES",B578='PROGRAMME RT'!$D$5)),1,0)</f>
        <v>0</v>
      </c>
      <c r="AN578" s="78" t="str">
        <f aca="false">IF(AM578=1,SUM(AM$7:AM578),"")</f>
        <v/>
      </c>
      <c r="AO578" s="78" t="n">
        <f aca="false">IF(AND(OR(AK578="À RÉPARER",AK578="COUPE – À RESOUDER",AK578="VT REJETÉ – À REPRENDRE"),OR(RÉPARATIONS!$D$5="TOUTES",B578=RÉPARATIONS!$D$5)),1,0)</f>
        <v>0</v>
      </c>
      <c r="AP578" s="78" t="str">
        <f aca="false">IF(AO578=1,SUM(AO$7:AO578),"")</f>
        <v/>
      </c>
    </row>
    <row r="579" customFormat="false" ht="15" hidden="false" customHeight="false" outlineLevel="0" collapsed="false">
      <c r="A579" s="78" t="str">
        <f aca="false">IF(E579="","",ROW()-6)</f>
        <v/>
      </c>
      <c r="B579" s="79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1"/>
      <c r="Q579" s="81"/>
      <c r="R579" s="80"/>
      <c r="S579" s="80"/>
      <c r="T579" s="81"/>
      <c r="U579" s="80"/>
      <c r="V579" s="80"/>
      <c r="W579" s="80"/>
      <c r="X579" s="80"/>
      <c r="Y579" s="81"/>
      <c r="Z579" s="80"/>
      <c r="AA579" s="80"/>
      <c r="AB579" s="80"/>
      <c r="AC579" s="80"/>
      <c r="AD579" s="81"/>
      <c r="AE579" s="80"/>
      <c r="AF579" s="80"/>
      <c r="AG579" s="81"/>
      <c r="AH579" s="79"/>
      <c r="AI579" s="78" t="str">
        <f aca="false">IF(E579="","",(V579&lt;&gt;"")+(AA579&lt;&gt;"")+(AF579&lt;&gt;""))</f>
        <v/>
      </c>
      <c r="AJ579" s="82" t="str">
        <f aca="false">IF(AF579&lt;&gt;"",AF579,IF(AA579&lt;&gt;"",AA579,IF(V579&lt;&gt;"",V579,"")))</f>
        <v/>
      </c>
      <c r="AK579" s="83" t="str">
        <f aca="false">IF(E579="","",IF(P579="","À SOUDER",IF(S579="","VT EN ATTENTE",IF(S579="R","VT REJETÉ – À REPRENDRE",IF(AJ579="","À RADIOGRAPHIER",IF(AJ579="A","ACCEPTÉ",IF(AJ579="NX","NX – RT À REFAIRE",IF(IF(AI579=1,X579,IF(AI579=2,AC579,""))="A","RÉPARÉ – À RADIOGRAPHIER",IF(IF(AI579=1,X579,IF(AI579=2,AC579,""))="R","VT REJETÉ – À REPRENDRE",IF(AJ579="CO","COUPE – À RESOUDER","À RÉPARER"))))))))))</f>
        <v/>
      </c>
      <c r="AL579" s="82" t="str">
        <f aca="false">IF(AND(ISNUMBER(P579),OR(AK579="À RADIOGRAPHIER",AK579="RÉPARÉ – À RADIOGRAPHIER",AK579="NX – RT À REFAIRE",AK579="À RÉPARER",AK579="COUPE – À RESOUDER",AK579="VT REJETÉ – À REPRENDRE")),MAX(0,'PROGRAMME RT'!$C$4-P579),"")</f>
        <v/>
      </c>
      <c r="AM579" s="78" t="n">
        <f aca="false">IF(AND(OR(AK579="À RADIOGRAPHIER",AK579="RÉPARÉ – À RADIOGRAPHIER",AK579="NX – RT À REFAIRE"),OR('PROGRAMME RT'!$D$5="TOUTES",B579='PROGRAMME RT'!$D$5)),1,0)</f>
        <v>0</v>
      </c>
      <c r="AN579" s="78" t="str">
        <f aca="false">IF(AM579=1,SUM(AM$7:AM579),"")</f>
        <v/>
      </c>
      <c r="AO579" s="78" t="n">
        <f aca="false">IF(AND(OR(AK579="À RÉPARER",AK579="COUPE – À RESOUDER",AK579="VT REJETÉ – À REPRENDRE"),OR(RÉPARATIONS!$D$5="TOUTES",B579=RÉPARATIONS!$D$5)),1,0)</f>
        <v>0</v>
      </c>
      <c r="AP579" s="78" t="str">
        <f aca="false">IF(AO579=1,SUM(AO$7:AO579),"")</f>
        <v/>
      </c>
    </row>
    <row r="580" customFormat="false" ht="15" hidden="false" customHeight="false" outlineLevel="0" collapsed="false">
      <c r="A580" s="78" t="str">
        <f aca="false">IF(E580="","",ROW()-6)</f>
        <v/>
      </c>
      <c r="B580" s="79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1"/>
      <c r="Q580" s="81"/>
      <c r="R580" s="80"/>
      <c r="S580" s="80"/>
      <c r="T580" s="81"/>
      <c r="U580" s="80"/>
      <c r="V580" s="80"/>
      <c r="W580" s="80"/>
      <c r="X580" s="80"/>
      <c r="Y580" s="81"/>
      <c r="Z580" s="80"/>
      <c r="AA580" s="80"/>
      <c r="AB580" s="80"/>
      <c r="AC580" s="80"/>
      <c r="AD580" s="81"/>
      <c r="AE580" s="80"/>
      <c r="AF580" s="80"/>
      <c r="AG580" s="81"/>
      <c r="AH580" s="79"/>
      <c r="AI580" s="78" t="str">
        <f aca="false">IF(E580="","",(V580&lt;&gt;"")+(AA580&lt;&gt;"")+(AF580&lt;&gt;""))</f>
        <v/>
      </c>
      <c r="AJ580" s="82" t="str">
        <f aca="false">IF(AF580&lt;&gt;"",AF580,IF(AA580&lt;&gt;"",AA580,IF(V580&lt;&gt;"",V580,"")))</f>
        <v/>
      </c>
      <c r="AK580" s="83" t="str">
        <f aca="false">IF(E580="","",IF(P580="","À SOUDER",IF(S580="","VT EN ATTENTE",IF(S580="R","VT REJETÉ – À REPRENDRE",IF(AJ580="","À RADIOGRAPHIER",IF(AJ580="A","ACCEPTÉ",IF(AJ580="NX","NX – RT À REFAIRE",IF(IF(AI580=1,X580,IF(AI580=2,AC580,""))="A","RÉPARÉ – À RADIOGRAPHIER",IF(IF(AI580=1,X580,IF(AI580=2,AC580,""))="R","VT REJETÉ – À REPRENDRE",IF(AJ580="CO","COUPE – À RESOUDER","À RÉPARER"))))))))))</f>
        <v/>
      </c>
      <c r="AL580" s="82" t="str">
        <f aca="false">IF(AND(ISNUMBER(P580),OR(AK580="À RADIOGRAPHIER",AK580="RÉPARÉ – À RADIOGRAPHIER",AK580="NX – RT À REFAIRE",AK580="À RÉPARER",AK580="COUPE – À RESOUDER",AK580="VT REJETÉ – À REPRENDRE")),MAX(0,'PROGRAMME RT'!$C$4-P580),"")</f>
        <v/>
      </c>
      <c r="AM580" s="78" t="n">
        <f aca="false">IF(AND(OR(AK580="À RADIOGRAPHIER",AK580="RÉPARÉ – À RADIOGRAPHIER",AK580="NX – RT À REFAIRE"),OR('PROGRAMME RT'!$D$5="TOUTES",B580='PROGRAMME RT'!$D$5)),1,0)</f>
        <v>0</v>
      </c>
      <c r="AN580" s="78" t="str">
        <f aca="false">IF(AM580=1,SUM(AM$7:AM580),"")</f>
        <v/>
      </c>
      <c r="AO580" s="78" t="n">
        <f aca="false">IF(AND(OR(AK580="À RÉPARER",AK580="COUPE – À RESOUDER",AK580="VT REJETÉ – À REPRENDRE"),OR(RÉPARATIONS!$D$5="TOUTES",B580=RÉPARATIONS!$D$5)),1,0)</f>
        <v>0</v>
      </c>
      <c r="AP580" s="78" t="str">
        <f aca="false">IF(AO580=1,SUM(AO$7:AO580),"")</f>
        <v/>
      </c>
    </row>
    <row r="581" customFormat="false" ht="15" hidden="false" customHeight="false" outlineLevel="0" collapsed="false">
      <c r="A581" s="78" t="str">
        <f aca="false">IF(E581="","",ROW()-6)</f>
        <v/>
      </c>
      <c r="B581" s="79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1"/>
      <c r="Q581" s="81"/>
      <c r="R581" s="80"/>
      <c r="S581" s="80"/>
      <c r="T581" s="81"/>
      <c r="U581" s="80"/>
      <c r="V581" s="80"/>
      <c r="W581" s="80"/>
      <c r="X581" s="80"/>
      <c r="Y581" s="81"/>
      <c r="Z581" s="80"/>
      <c r="AA581" s="80"/>
      <c r="AB581" s="80"/>
      <c r="AC581" s="80"/>
      <c r="AD581" s="81"/>
      <c r="AE581" s="80"/>
      <c r="AF581" s="80"/>
      <c r="AG581" s="81"/>
      <c r="AH581" s="79"/>
      <c r="AI581" s="78" t="str">
        <f aca="false">IF(E581="","",(V581&lt;&gt;"")+(AA581&lt;&gt;"")+(AF581&lt;&gt;""))</f>
        <v/>
      </c>
      <c r="AJ581" s="82" t="str">
        <f aca="false">IF(AF581&lt;&gt;"",AF581,IF(AA581&lt;&gt;"",AA581,IF(V581&lt;&gt;"",V581,"")))</f>
        <v/>
      </c>
      <c r="AK581" s="83" t="str">
        <f aca="false">IF(E581="","",IF(P581="","À SOUDER",IF(S581="","VT EN ATTENTE",IF(S581="R","VT REJETÉ – À REPRENDRE",IF(AJ581="","À RADIOGRAPHIER",IF(AJ581="A","ACCEPTÉ",IF(AJ581="NX","NX – RT À REFAIRE",IF(IF(AI581=1,X581,IF(AI581=2,AC581,""))="A","RÉPARÉ – À RADIOGRAPHIER",IF(IF(AI581=1,X581,IF(AI581=2,AC581,""))="R","VT REJETÉ – À REPRENDRE",IF(AJ581="CO","COUPE – À RESOUDER","À RÉPARER"))))))))))</f>
        <v/>
      </c>
      <c r="AL581" s="82" t="str">
        <f aca="false">IF(AND(ISNUMBER(P581),OR(AK581="À RADIOGRAPHIER",AK581="RÉPARÉ – À RADIOGRAPHIER",AK581="NX – RT À REFAIRE",AK581="À RÉPARER",AK581="COUPE – À RESOUDER",AK581="VT REJETÉ – À REPRENDRE")),MAX(0,'PROGRAMME RT'!$C$4-P581),"")</f>
        <v/>
      </c>
      <c r="AM581" s="78" t="n">
        <f aca="false">IF(AND(OR(AK581="À RADIOGRAPHIER",AK581="RÉPARÉ – À RADIOGRAPHIER",AK581="NX – RT À REFAIRE"),OR('PROGRAMME RT'!$D$5="TOUTES",B581='PROGRAMME RT'!$D$5)),1,0)</f>
        <v>0</v>
      </c>
      <c r="AN581" s="78" t="str">
        <f aca="false">IF(AM581=1,SUM(AM$7:AM581),"")</f>
        <v/>
      </c>
      <c r="AO581" s="78" t="n">
        <f aca="false">IF(AND(OR(AK581="À RÉPARER",AK581="COUPE – À RESOUDER",AK581="VT REJETÉ – À REPRENDRE"),OR(RÉPARATIONS!$D$5="TOUTES",B581=RÉPARATIONS!$D$5)),1,0)</f>
        <v>0</v>
      </c>
      <c r="AP581" s="78" t="str">
        <f aca="false">IF(AO581=1,SUM(AO$7:AO581),"")</f>
        <v/>
      </c>
    </row>
    <row r="582" customFormat="false" ht="15" hidden="false" customHeight="false" outlineLevel="0" collapsed="false">
      <c r="A582" s="78" t="str">
        <f aca="false">IF(E582="","",ROW()-6)</f>
        <v/>
      </c>
      <c r="B582" s="79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1"/>
      <c r="Q582" s="81"/>
      <c r="R582" s="80"/>
      <c r="S582" s="80"/>
      <c r="T582" s="81"/>
      <c r="U582" s="80"/>
      <c r="V582" s="80"/>
      <c r="W582" s="80"/>
      <c r="X582" s="80"/>
      <c r="Y582" s="81"/>
      <c r="Z582" s="80"/>
      <c r="AA582" s="80"/>
      <c r="AB582" s="80"/>
      <c r="AC582" s="80"/>
      <c r="AD582" s="81"/>
      <c r="AE582" s="80"/>
      <c r="AF582" s="80"/>
      <c r="AG582" s="81"/>
      <c r="AH582" s="79"/>
      <c r="AI582" s="78" t="str">
        <f aca="false">IF(E582="","",(V582&lt;&gt;"")+(AA582&lt;&gt;"")+(AF582&lt;&gt;""))</f>
        <v/>
      </c>
      <c r="AJ582" s="82" t="str">
        <f aca="false">IF(AF582&lt;&gt;"",AF582,IF(AA582&lt;&gt;"",AA582,IF(V582&lt;&gt;"",V582,"")))</f>
        <v/>
      </c>
      <c r="AK582" s="83" t="str">
        <f aca="false">IF(E582="","",IF(P582="","À SOUDER",IF(S582="","VT EN ATTENTE",IF(S582="R","VT REJETÉ – À REPRENDRE",IF(AJ582="","À RADIOGRAPHIER",IF(AJ582="A","ACCEPTÉ",IF(AJ582="NX","NX – RT À REFAIRE",IF(IF(AI582=1,X582,IF(AI582=2,AC582,""))="A","RÉPARÉ – À RADIOGRAPHIER",IF(IF(AI582=1,X582,IF(AI582=2,AC582,""))="R","VT REJETÉ – À REPRENDRE",IF(AJ582="CO","COUPE – À RESOUDER","À RÉPARER"))))))))))</f>
        <v/>
      </c>
      <c r="AL582" s="82" t="str">
        <f aca="false">IF(AND(ISNUMBER(P582),OR(AK582="À RADIOGRAPHIER",AK582="RÉPARÉ – À RADIOGRAPHIER",AK582="NX – RT À REFAIRE",AK582="À RÉPARER",AK582="COUPE – À RESOUDER",AK582="VT REJETÉ – À REPRENDRE")),MAX(0,'PROGRAMME RT'!$C$4-P582),"")</f>
        <v/>
      </c>
      <c r="AM582" s="78" t="n">
        <f aca="false">IF(AND(OR(AK582="À RADIOGRAPHIER",AK582="RÉPARÉ – À RADIOGRAPHIER",AK582="NX – RT À REFAIRE"),OR('PROGRAMME RT'!$D$5="TOUTES",B582='PROGRAMME RT'!$D$5)),1,0)</f>
        <v>0</v>
      </c>
      <c r="AN582" s="78" t="str">
        <f aca="false">IF(AM582=1,SUM(AM$7:AM582),"")</f>
        <v/>
      </c>
      <c r="AO582" s="78" t="n">
        <f aca="false">IF(AND(OR(AK582="À RÉPARER",AK582="COUPE – À RESOUDER",AK582="VT REJETÉ – À REPRENDRE"),OR(RÉPARATIONS!$D$5="TOUTES",B582=RÉPARATIONS!$D$5)),1,0)</f>
        <v>0</v>
      </c>
      <c r="AP582" s="78" t="str">
        <f aca="false">IF(AO582=1,SUM(AO$7:AO582),"")</f>
        <v/>
      </c>
    </row>
    <row r="583" customFormat="false" ht="15" hidden="false" customHeight="false" outlineLevel="0" collapsed="false">
      <c r="A583" s="78" t="str">
        <f aca="false">IF(E583="","",ROW()-6)</f>
        <v/>
      </c>
      <c r="B583" s="79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1"/>
      <c r="Q583" s="81"/>
      <c r="R583" s="80"/>
      <c r="S583" s="80"/>
      <c r="T583" s="81"/>
      <c r="U583" s="80"/>
      <c r="V583" s="80"/>
      <c r="W583" s="80"/>
      <c r="X583" s="80"/>
      <c r="Y583" s="81"/>
      <c r="Z583" s="80"/>
      <c r="AA583" s="80"/>
      <c r="AB583" s="80"/>
      <c r="AC583" s="80"/>
      <c r="AD583" s="81"/>
      <c r="AE583" s="80"/>
      <c r="AF583" s="80"/>
      <c r="AG583" s="81"/>
      <c r="AH583" s="79"/>
      <c r="AI583" s="78" t="str">
        <f aca="false">IF(E583="","",(V583&lt;&gt;"")+(AA583&lt;&gt;"")+(AF583&lt;&gt;""))</f>
        <v/>
      </c>
      <c r="AJ583" s="82" t="str">
        <f aca="false">IF(AF583&lt;&gt;"",AF583,IF(AA583&lt;&gt;"",AA583,IF(V583&lt;&gt;"",V583,"")))</f>
        <v/>
      </c>
      <c r="AK583" s="83" t="str">
        <f aca="false">IF(E583="","",IF(P583="","À SOUDER",IF(S583="","VT EN ATTENTE",IF(S583="R","VT REJETÉ – À REPRENDRE",IF(AJ583="","À RADIOGRAPHIER",IF(AJ583="A","ACCEPTÉ",IF(AJ583="NX","NX – RT À REFAIRE",IF(IF(AI583=1,X583,IF(AI583=2,AC583,""))="A","RÉPARÉ – À RADIOGRAPHIER",IF(IF(AI583=1,X583,IF(AI583=2,AC583,""))="R","VT REJETÉ – À REPRENDRE",IF(AJ583="CO","COUPE – À RESOUDER","À RÉPARER"))))))))))</f>
        <v/>
      </c>
      <c r="AL583" s="82" t="str">
        <f aca="false">IF(AND(ISNUMBER(P583),OR(AK583="À RADIOGRAPHIER",AK583="RÉPARÉ – À RADIOGRAPHIER",AK583="NX – RT À REFAIRE",AK583="À RÉPARER",AK583="COUPE – À RESOUDER",AK583="VT REJETÉ – À REPRENDRE")),MAX(0,'PROGRAMME RT'!$C$4-P583),"")</f>
        <v/>
      </c>
      <c r="AM583" s="78" t="n">
        <f aca="false">IF(AND(OR(AK583="À RADIOGRAPHIER",AK583="RÉPARÉ – À RADIOGRAPHIER",AK583="NX – RT À REFAIRE"),OR('PROGRAMME RT'!$D$5="TOUTES",B583='PROGRAMME RT'!$D$5)),1,0)</f>
        <v>0</v>
      </c>
      <c r="AN583" s="78" t="str">
        <f aca="false">IF(AM583=1,SUM(AM$7:AM583),"")</f>
        <v/>
      </c>
      <c r="AO583" s="78" t="n">
        <f aca="false">IF(AND(OR(AK583="À RÉPARER",AK583="COUPE – À RESOUDER",AK583="VT REJETÉ – À REPRENDRE"),OR(RÉPARATIONS!$D$5="TOUTES",B583=RÉPARATIONS!$D$5)),1,0)</f>
        <v>0</v>
      </c>
      <c r="AP583" s="78" t="str">
        <f aca="false">IF(AO583=1,SUM(AO$7:AO583),"")</f>
        <v/>
      </c>
    </row>
    <row r="584" customFormat="false" ht="15" hidden="false" customHeight="false" outlineLevel="0" collapsed="false">
      <c r="A584" s="78" t="str">
        <f aca="false">IF(E584="","",ROW()-6)</f>
        <v/>
      </c>
      <c r="B584" s="79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1"/>
      <c r="Q584" s="81"/>
      <c r="R584" s="80"/>
      <c r="S584" s="80"/>
      <c r="T584" s="81"/>
      <c r="U584" s="80"/>
      <c r="V584" s="80"/>
      <c r="W584" s="80"/>
      <c r="X584" s="80"/>
      <c r="Y584" s="81"/>
      <c r="Z584" s="80"/>
      <c r="AA584" s="80"/>
      <c r="AB584" s="80"/>
      <c r="AC584" s="80"/>
      <c r="AD584" s="81"/>
      <c r="AE584" s="80"/>
      <c r="AF584" s="80"/>
      <c r="AG584" s="81"/>
      <c r="AH584" s="79"/>
      <c r="AI584" s="78" t="str">
        <f aca="false">IF(E584="","",(V584&lt;&gt;"")+(AA584&lt;&gt;"")+(AF584&lt;&gt;""))</f>
        <v/>
      </c>
      <c r="AJ584" s="82" t="str">
        <f aca="false">IF(AF584&lt;&gt;"",AF584,IF(AA584&lt;&gt;"",AA584,IF(V584&lt;&gt;"",V584,"")))</f>
        <v/>
      </c>
      <c r="AK584" s="83" t="str">
        <f aca="false">IF(E584="","",IF(P584="","À SOUDER",IF(S584="","VT EN ATTENTE",IF(S584="R","VT REJETÉ – À REPRENDRE",IF(AJ584="","À RADIOGRAPHIER",IF(AJ584="A","ACCEPTÉ",IF(AJ584="NX","NX – RT À REFAIRE",IF(IF(AI584=1,X584,IF(AI584=2,AC584,""))="A","RÉPARÉ – À RADIOGRAPHIER",IF(IF(AI584=1,X584,IF(AI584=2,AC584,""))="R","VT REJETÉ – À REPRENDRE",IF(AJ584="CO","COUPE – À RESOUDER","À RÉPARER"))))))))))</f>
        <v/>
      </c>
      <c r="AL584" s="82" t="str">
        <f aca="false">IF(AND(ISNUMBER(P584),OR(AK584="À RADIOGRAPHIER",AK584="RÉPARÉ – À RADIOGRAPHIER",AK584="NX – RT À REFAIRE",AK584="À RÉPARER",AK584="COUPE – À RESOUDER",AK584="VT REJETÉ – À REPRENDRE")),MAX(0,'PROGRAMME RT'!$C$4-P584),"")</f>
        <v/>
      </c>
      <c r="AM584" s="78" t="n">
        <f aca="false">IF(AND(OR(AK584="À RADIOGRAPHIER",AK584="RÉPARÉ – À RADIOGRAPHIER",AK584="NX – RT À REFAIRE"),OR('PROGRAMME RT'!$D$5="TOUTES",B584='PROGRAMME RT'!$D$5)),1,0)</f>
        <v>0</v>
      </c>
      <c r="AN584" s="78" t="str">
        <f aca="false">IF(AM584=1,SUM(AM$7:AM584),"")</f>
        <v/>
      </c>
      <c r="AO584" s="78" t="n">
        <f aca="false">IF(AND(OR(AK584="À RÉPARER",AK584="COUPE – À RESOUDER",AK584="VT REJETÉ – À REPRENDRE"),OR(RÉPARATIONS!$D$5="TOUTES",B584=RÉPARATIONS!$D$5)),1,0)</f>
        <v>0</v>
      </c>
      <c r="AP584" s="78" t="str">
        <f aca="false">IF(AO584=1,SUM(AO$7:AO584),"")</f>
        <v/>
      </c>
    </row>
    <row r="585" customFormat="false" ht="15" hidden="false" customHeight="false" outlineLevel="0" collapsed="false">
      <c r="A585" s="78" t="str">
        <f aca="false">IF(E585="","",ROW()-6)</f>
        <v/>
      </c>
      <c r="B585" s="79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1"/>
      <c r="Q585" s="81"/>
      <c r="R585" s="80"/>
      <c r="S585" s="80"/>
      <c r="T585" s="81"/>
      <c r="U585" s="80"/>
      <c r="V585" s="80"/>
      <c r="W585" s="80"/>
      <c r="X585" s="80"/>
      <c r="Y585" s="81"/>
      <c r="Z585" s="80"/>
      <c r="AA585" s="80"/>
      <c r="AB585" s="80"/>
      <c r="AC585" s="80"/>
      <c r="AD585" s="81"/>
      <c r="AE585" s="80"/>
      <c r="AF585" s="80"/>
      <c r="AG585" s="81"/>
      <c r="AH585" s="79"/>
      <c r="AI585" s="78" t="str">
        <f aca="false">IF(E585="","",(V585&lt;&gt;"")+(AA585&lt;&gt;"")+(AF585&lt;&gt;""))</f>
        <v/>
      </c>
      <c r="AJ585" s="82" t="str">
        <f aca="false">IF(AF585&lt;&gt;"",AF585,IF(AA585&lt;&gt;"",AA585,IF(V585&lt;&gt;"",V585,"")))</f>
        <v/>
      </c>
      <c r="AK585" s="83" t="str">
        <f aca="false">IF(E585="","",IF(P585="","À SOUDER",IF(S585="","VT EN ATTENTE",IF(S585="R","VT REJETÉ – À REPRENDRE",IF(AJ585="","À RADIOGRAPHIER",IF(AJ585="A","ACCEPTÉ",IF(AJ585="NX","NX – RT À REFAIRE",IF(IF(AI585=1,X585,IF(AI585=2,AC585,""))="A","RÉPARÉ – À RADIOGRAPHIER",IF(IF(AI585=1,X585,IF(AI585=2,AC585,""))="R","VT REJETÉ – À REPRENDRE",IF(AJ585="CO","COUPE – À RESOUDER","À RÉPARER"))))))))))</f>
        <v/>
      </c>
      <c r="AL585" s="82" t="str">
        <f aca="false">IF(AND(ISNUMBER(P585),OR(AK585="À RADIOGRAPHIER",AK585="RÉPARÉ – À RADIOGRAPHIER",AK585="NX – RT À REFAIRE",AK585="À RÉPARER",AK585="COUPE – À RESOUDER",AK585="VT REJETÉ – À REPRENDRE")),MAX(0,'PROGRAMME RT'!$C$4-P585),"")</f>
        <v/>
      </c>
      <c r="AM585" s="78" t="n">
        <f aca="false">IF(AND(OR(AK585="À RADIOGRAPHIER",AK585="RÉPARÉ – À RADIOGRAPHIER",AK585="NX – RT À REFAIRE"),OR('PROGRAMME RT'!$D$5="TOUTES",B585='PROGRAMME RT'!$D$5)),1,0)</f>
        <v>0</v>
      </c>
      <c r="AN585" s="78" t="str">
        <f aca="false">IF(AM585=1,SUM(AM$7:AM585),"")</f>
        <v/>
      </c>
      <c r="AO585" s="78" t="n">
        <f aca="false">IF(AND(OR(AK585="À RÉPARER",AK585="COUPE – À RESOUDER",AK585="VT REJETÉ – À REPRENDRE"),OR(RÉPARATIONS!$D$5="TOUTES",B585=RÉPARATIONS!$D$5)),1,0)</f>
        <v>0</v>
      </c>
      <c r="AP585" s="78" t="str">
        <f aca="false">IF(AO585=1,SUM(AO$7:AO585),"")</f>
        <v/>
      </c>
    </row>
    <row r="586" customFormat="false" ht="15" hidden="false" customHeight="false" outlineLevel="0" collapsed="false">
      <c r="A586" s="78" t="str">
        <f aca="false">IF(E586="","",ROW()-6)</f>
        <v/>
      </c>
      <c r="B586" s="79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1"/>
      <c r="Q586" s="81"/>
      <c r="R586" s="80"/>
      <c r="S586" s="80"/>
      <c r="T586" s="81"/>
      <c r="U586" s="80"/>
      <c r="V586" s="80"/>
      <c r="W586" s="80"/>
      <c r="X586" s="80"/>
      <c r="Y586" s="81"/>
      <c r="Z586" s="80"/>
      <c r="AA586" s="80"/>
      <c r="AB586" s="80"/>
      <c r="AC586" s="80"/>
      <c r="AD586" s="81"/>
      <c r="AE586" s="80"/>
      <c r="AF586" s="80"/>
      <c r="AG586" s="81"/>
      <c r="AH586" s="79"/>
      <c r="AI586" s="78" t="str">
        <f aca="false">IF(E586="","",(V586&lt;&gt;"")+(AA586&lt;&gt;"")+(AF586&lt;&gt;""))</f>
        <v/>
      </c>
      <c r="AJ586" s="82" t="str">
        <f aca="false">IF(AF586&lt;&gt;"",AF586,IF(AA586&lt;&gt;"",AA586,IF(V586&lt;&gt;"",V586,"")))</f>
        <v/>
      </c>
      <c r="AK586" s="83" t="str">
        <f aca="false">IF(E586="","",IF(P586="","À SOUDER",IF(S586="","VT EN ATTENTE",IF(S586="R","VT REJETÉ – À REPRENDRE",IF(AJ586="","À RADIOGRAPHIER",IF(AJ586="A","ACCEPTÉ",IF(AJ586="NX","NX – RT À REFAIRE",IF(IF(AI586=1,X586,IF(AI586=2,AC586,""))="A","RÉPARÉ – À RADIOGRAPHIER",IF(IF(AI586=1,X586,IF(AI586=2,AC586,""))="R","VT REJETÉ – À REPRENDRE",IF(AJ586="CO","COUPE – À RESOUDER","À RÉPARER"))))))))))</f>
        <v/>
      </c>
      <c r="AL586" s="82" t="str">
        <f aca="false">IF(AND(ISNUMBER(P586),OR(AK586="À RADIOGRAPHIER",AK586="RÉPARÉ – À RADIOGRAPHIER",AK586="NX – RT À REFAIRE",AK586="À RÉPARER",AK586="COUPE – À RESOUDER",AK586="VT REJETÉ – À REPRENDRE")),MAX(0,'PROGRAMME RT'!$C$4-P586),"")</f>
        <v/>
      </c>
      <c r="AM586" s="78" t="n">
        <f aca="false">IF(AND(OR(AK586="À RADIOGRAPHIER",AK586="RÉPARÉ – À RADIOGRAPHIER",AK586="NX – RT À REFAIRE"),OR('PROGRAMME RT'!$D$5="TOUTES",B586='PROGRAMME RT'!$D$5)),1,0)</f>
        <v>0</v>
      </c>
      <c r="AN586" s="78" t="str">
        <f aca="false">IF(AM586=1,SUM(AM$7:AM586),"")</f>
        <v/>
      </c>
      <c r="AO586" s="78" t="n">
        <f aca="false">IF(AND(OR(AK586="À RÉPARER",AK586="COUPE – À RESOUDER",AK586="VT REJETÉ – À REPRENDRE"),OR(RÉPARATIONS!$D$5="TOUTES",B586=RÉPARATIONS!$D$5)),1,0)</f>
        <v>0</v>
      </c>
      <c r="AP586" s="78" t="str">
        <f aca="false">IF(AO586=1,SUM(AO$7:AO586),"")</f>
        <v/>
      </c>
    </row>
    <row r="587" customFormat="false" ht="15" hidden="false" customHeight="false" outlineLevel="0" collapsed="false">
      <c r="A587" s="78" t="str">
        <f aca="false">IF(E587="","",ROW()-6)</f>
        <v/>
      </c>
      <c r="B587" s="79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1"/>
      <c r="Q587" s="81"/>
      <c r="R587" s="80"/>
      <c r="S587" s="80"/>
      <c r="T587" s="81"/>
      <c r="U587" s="80"/>
      <c r="V587" s="80"/>
      <c r="W587" s="80"/>
      <c r="X587" s="80"/>
      <c r="Y587" s="81"/>
      <c r="Z587" s="80"/>
      <c r="AA587" s="80"/>
      <c r="AB587" s="80"/>
      <c r="AC587" s="80"/>
      <c r="AD587" s="81"/>
      <c r="AE587" s="80"/>
      <c r="AF587" s="80"/>
      <c r="AG587" s="81"/>
      <c r="AH587" s="79"/>
      <c r="AI587" s="78" t="str">
        <f aca="false">IF(E587="","",(V587&lt;&gt;"")+(AA587&lt;&gt;"")+(AF587&lt;&gt;""))</f>
        <v/>
      </c>
      <c r="AJ587" s="82" t="str">
        <f aca="false">IF(AF587&lt;&gt;"",AF587,IF(AA587&lt;&gt;"",AA587,IF(V587&lt;&gt;"",V587,"")))</f>
        <v/>
      </c>
      <c r="AK587" s="83" t="str">
        <f aca="false">IF(E587="","",IF(P587="","À SOUDER",IF(S587="","VT EN ATTENTE",IF(S587="R","VT REJETÉ – À REPRENDRE",IF(AJ587="","À RADIOGRAPHIER",IF(AJ587="A","ACCEPTÉ",IF(AJ587="NX","NX – RT À REFAIRE",IF(IF(AI587=1,X587,IF(AI587=2,AC587,""))="A","RÉPARÉ – À RADIOGRAPHIER",IF(IF(AI587=1,X587,IF(AI587=2,AC587,""))="R","VT REJETÉ – À REPRENDRE",IF(AJ587="CO","COUPE – À RESOUDER","À RÉPARER"))))))))))</f>
        <v/>
      </c>
      <c r="AL587" s="82" t="str">
        <f aca="false">IF(AND(ISNUMBER(P587),OR(AK587="À RADIOGRAPHIER",AK587="RÉPARÉ – À RADIOGRAPHIER",AK587="NX – RT À REFAIRE",AK587="À RÉPARER",AK587="COUPE – À RESOUDER",AK587="VT REJETÉ – À REPRENDRE")),MAX(0,'PROGRAMME RT'!$C$4-P587),"")</f>
        <v/>
      </c>
      <c r="AM587" s="78" t="n">
        <f aca="false">IF(AND(OR(AK587="À RADIOGRAPHIER",AK587="RÉPARÉ – À RADIOGRAPHIER",AK587="NX – RT À REFAIRE"),OR('PROGRAMME RT'!$D$5="TOUTES",B587='PROGRAMME RT'!$D$5)),1,0)</f>
        <v>0</v>
      </c>
      <c r="AN587" s="78" t="str">
        <f aca="false">IF(AM587=1,SUM(AM$7:AM587),"")</f>
        <v/>
      </c>
      <c r="AO587" s="78" t="n">
        <f aca="false">IF(AND(OR(AK587="À RÉPARER",AK587="COUPE – À RESOUDER",AK587="VT REJETÉ – À REPRENDRE"),OR(RÉPARATIONS!$D$5="TOUTES",B587=RÉPARATIONS!$D$5)),1,0)</f>
        <v>0</v>
      </c>
      <c r="AP587" s="78" t="str">
        <f aca="false">IF(AO587=1,SUM(AO$7:AO587),"")</f>
        <v/>
      </c>
    </row>
    <row r="588" customFormat="false" ht="15" hidden="false" customHeight="false" outlineLevel="0" collapsed="false">
      <c r="A588" s="78" t="str">
        <f aca="false">IF(E588="","",ROW()-6)</f>
        <v/>
      </c>
      <c r="B588" s="79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1"/>
      <c r="Q588" s="81"/>
      <c r="R588" s="80"/>
      <c r="S588" s="80"/>
      <c r="T588" s="81"/>
      <c r="U588" s="80"/>
      <c r="V588" s="80"/>
      <c r="W588" s="80"/>
      <c r="X588" s="80"/>
      <c r="Y588" s="81"/>
      <c r="Z588" s="80"/>
      <c r="AA588" s="80"/>
      <c r="AB588" s="80"/>
      <c r="AC588" s="80"/>
      <c r="AD588" s="81"/>
      <c r="AE588" s="80"/>
      <c r="AF588" s="80"/>
      <c r="AG588" s="81"/>
      <c r="AH588" s="79"/>
      <c r="AI588" s="78" t="str">
        <f aca="false">IF(E588="","",(V588&lt;&gt;"")+(AA588&lt;&gt;"")+(AF588&lt;&gt;""))</f>
        <v/>
      </c>
      <c r="AJ588" s="82" t="str">
        <f aca="false">IF(AF588&lt;&gt;"",AF588,IF(AA588&lt;&gt;"",AA588,IF(V588&lt;&gt;"",V588,"")))</f>
        <v/>
      </c>
      <c r="AK588" s="83" t="str">
        <f aca="false">IF(E588="","",IF(P588="","À SOUDER",IF(S588="","VT EN ATTENTE",IF(S588="R","VT REJETÉ – À REPRENDRE",IF(AJ588="","À RADIOGRAPHIER",IF(AJ588="A","ACCEPTÉ",IF(AJ588="NX","NX – RT À REFAIRE",IF(IF(AI588=1,X588,IF(AI588=2,AC588,""))="A","RÉPARÉ – À RADIOGRAPHIER",IF(IF(AI588=1,X588,IF(AI588=2,AC588,""))="R","VT REJETÉ – À REPRENDRE",IF(AJ588="CO","COUPE – À RESOUDER","À RÉPARER"))))))))))</f>
        <v/>
      </c>
      <c r="AL588" s="82" t="str">
        <f aca="false">IF(AND(ISNUMBER(P588),OR(AK588="À RADIOGRAPHIER",AK588="RÉPARÉ – À RADIOGRAPHIER",AK588="NX – RT À REFAIRE",AK588="À RÉPARER",AK588="COUPE – À RESOUDER",AK588="VT REJETÉ – À REPRENDRE")),MAX(0,'PROGRAMME RT'!$C$4-P588),"")</f>
        <v/>
      </c>
      <c r="AM588" s="78" t="n">
        <f aca="false">IF(AND(OR(AK588="À RADIOGRAPHIER",AK588="RÉPARÉ – À RADIOGRAPHIER",AK588="NX – RT À REFAIRE"),OR('PROGRAMME RT'!$D$5="TOUTES",B588='PROGRAMME RT'!$D$5)),1,0)</f>
        <v>0</v>
      </c>
      <c r="AN588" s="78" t="str">
        <f aca="false">IF(AM588=1,SUM(AM$7:AM588),"")</f>
        <v/>
      </c>
      <c r="AO588" s="78" t="n">
        <f aca="false">IF(AND(OR(AK588="À RÉPARER",AK588="COUPE – À RESOUDER",AK588="VT REJETÉ – À REPRENDRE"),OR(RÉPARATIONS!$D$5="TOUTES",B588=RÉPARATIONS!$D$5)),1,0)</f>
        <v>0</v>
      </c>
      <c r="AP588" s="78" t="str">
        <f aca="false">IF(AO588=1,SUM(AO$7:AO588),"")</f>
        <v/>
      </c>
    </row>
    <row r="589" customFormat="false" ht="15" hidden="false" customHeight="false" outlineLevel="0" collapsed="false">
      <c r="A589" s="78" t="str">
        <f aca="false">IF(E589="","",ROW()-6)</f>
        <v/>
      </c>
      <c r="B589" s="79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1"/>
      <c r="Q589" s="81"/>
      <c r="R589" s="80"/>
      <c r="S589" s="80"/>
      <c r="T589" s="81"/>
      <c r="U589" s="80"/>
      <c r="V589" s="80"/>
      <c r="W589" s="80"/>
      <c r="X589" s="80"/>
      <c r="Y589" s="81"/>
      <c r="Z589" s="80"/>
      <c r="AA589" s="80"/>
      <c r="AB589" s="80"/>
      <c r="AC589" s="80"/>
      <c r="AD589" s="81"/>
      <c r="AE589" s="80"/>
      <c r="AF589" s="80"/>
      <c r="AG589" s="81"/>
      <c r="AH589" s="79"/>
      <c r="AI589" s="78" t="str">
        <f aca="false">IF(E589="","",(V589&lt;&gt;"")+(AA589&lt;&gt;"")+(AF589&lt;&gt;""))</f>
        <v/>
      </c>
      <c r="AJ589" s="82" t="str">
        <f aca="false">IF(AF589&lt;&gt;"",AF589,IF(AA589&lt;&gt;"",AA589,IF(V589&lt;&gt;"",V589,"")))</f>
        <v/>
      </c>
      <c r="AK589" s="83" t="str">
        <f aca="false">IF(E589="","",IF(P589="","À SOUDER",IF(S589="","VT EN ATTENTE",IF(S589="R","VT REJETÉ – À REPRENDRE",IF(AJ589="","À RADIOGRAPHIER",IF(AJ589="A","ACCEPTÉ",IF(AJ589="NX","NX – RT À REFAIRE",IF(IF(AI589=1,X589,IF(AI589=2,AC589,""))="A","RÉPARÉ – À RADIOGRAPHIER",IF(IF(AI589=1,X589,IF(AI589=2,AC589,""))="R","VT REJETÉ – À REPRENDRE",IF(AJ589="CO","COUPE – À RESOUDER","À RÉPARER"))))))))))</f>
        <v/>
      </c>
      <c r="AL589" s="82" t="str">
        <f aca="false">IF(AND(ISNUMBER(P589),OR(AK589="À RADIOGRAPHIER",AK589="RÉPARÉ – À RADIOGRAPHIER",AK589="NX – RT À REFAIRE",AK589="À RÉPARER",AK589="COUPE – À RESOUDER",AK589="VT REJETÉ – À REPRENDRE")),MAX(0,'PROGRAMME RT'!$C$4-P589),"")</f>
        <v/>
      </c>
      <c r="AM589" s="78" t="n">
        <f aca="false">IF(AND(OR(AK589="À RADIOGRAPHIER",AK589="RÉPARÉ – À RADIOGRAPHIER",AK589="NX – RT À REFAIRE"),OR('PROGRAMME RT'!$D$5="TOUTES",B589='PROGRAMME RT'!$D$5)),1,0)</f>
        <v>0</v>
      </c>
      <c r="AN589" s="78" t="str">
        <f aca="false">IF(AM589=1,SUM(AM$7:AM589),"")</f>
        <v/>
      </c>
      <c r="AO589" s="78" t="n">
        <f aca="false">IF(AND(OR(AK589="À RÉPARER",AK589="COUPE – À RESOUDER",AK589="VT REJETÉ – À REPRENDRE"),OR(RÉPARATIONS!$D$5="TOUTES",B589=RÉPARATIONS!$D$5)),1,0)</f>
        <v>0</v>
      </c>
      <c r="AP589" s="78" t="str">
        <f aca="false">IF(AO589=1,SUM(AO$7:AO589),"")</f>
        <v/>
      </c>
    </row>
    <row r="590" customFormat="false" ht="15" hidden="false" customHeight="false" outlineLevel="0" collapsed="false">
      <c r="A590" s="78" t="str">
        <f aca="false">IF(E590="","",ROW()-6)</f>
        <v/>
      </c>
      <c r="B590" s="79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1"/>
      <c r="Q590" s="81"/>
      <c r="R590" s="80"/>
      <c r="S590" s="80"/>
      <c r="T590" s="81"/>
      <c r="U590" s="80"/>
      <c r="V590" s="80"/>
      <c r="W590" s="80"/>
      <c r="X590" s="80"/>
      <c r="Y590" s="81"/>
      <c r="Z590" s="80"/>
      <c r="AA590" s="80"/>
      <c r="AB590" s="80"/>
      <c r="AC590" s="80"/>
      <c r="AD590" s="81"/>
      <c r="AE590" s="80"/>
      <c r="AF590" s="80"/>
      <c r="AG590" s="81"/>
      <c r="AH590" s="79"/>
      <c r="AI590" s="78" t="str">
        <f aca="false">IF(E590="","",(V590&lt;&gt;"")+(AA590&lt;&gt;"")+(AF590&lt;&gt;""))</f>
        <v/>
      </c>
      <c r="AJ590" s="82" t="str">
        <f aca="false">IF(AF590&lt;&gt;"",AF590,IF(AA590&lt;&gt;"",AA590,IF(V590&lt;&gt;"",V590,"")))</f>
        <v/>
      </c>
      <c r="AK590" s="83" t="str">
        <f aca="false">IF(E590="","",IF(P590="","À SOUDER",IF(S590="","VT EN ATTENTE",IF(S590="R","VT REJETÉ – À REPRENDRE",IF(AJ590="","À RADIOGRAPHIER",IF(AJ590="A","ACCEPTÉ",IF(AJ590="NX","NX – RT À REFAIRE",IF(IF(AI590=1,X590,IF(AI590=2,AC590,""))="A","RÉPARÉ – À RADIOGRAPHIER",IF(IF(AI590=1,X590,IF(AI590=2,AC590,""))="R","VT REJETÉ – À REPRENDRE",IF(AJ590="CO","COUPE – À RESOUDER","À RÉPARER"))))))))))</f>
        <v/>
      </c>
      <c r="AL590" s="82" t="str">
        <f aca="false">IF(AND(ISNUMBER(P590),OR(AK590="À RADIOGRAPHIER",AK590="RÉPARÉ – À RADIOGRAPHIER",AK590="NX – RT À REFAIRE",AK590="À RÉPARER",AK590="COUPE – À RESOUDER",AK590="VT REJETÉ – À REPRENDRE")),MAX(0,'PROGRAMME RT'!$C$4-P590),"")</f>
        <v/>
      </c>
      <c r="AM590" s="78" t="n">
        <f aca="false">IF(AND(OR(AK590="À RADIOGRAPHIER",AK590="RÉPARÉ – À RADIOGRAPHIER",AK590="NX – RT À REFAIRE"),OR('PROGRAMME RT'!$D$5="TOUTES",B590='PROGRAMME RT'!$D$5)),1,0)</f>
        <v>0</v>
      </c>
      <c r="AN590" s="78" t="str">
        <f aca="false">IF(AM590=1,SUM(AM$7:AM590),"")</f>
        <v/>
      </c>
      <c r="AO590" s="78" t="n">
        <f aca="false">IF(AND(OR(AK590="À RÉPARER",AK590="COUPE – À RESOUDER",AK590="VT REJETÉ – À REPRENDRE"),OR(RÉPARATIONS!$D$5="TOUTES",B590=RÉPARATIONS!$D$5)),1,0)</f>
        <v>0</v>
      </c>
      <c r="AP590" s="78" t="str">
        <f aca="false">IF(AO590=1,SUM(AO$7:AO590),"")</f>
        <v/>
      </c>
    </row>
    <row r="591" customFormat="false" ht="15" hidden="false" customHeight="false" outlineLevel="0" collapsed="false">
      <c r="A591" s="78" t="str">
        <f aca="false">IF(E591="","",ROW()-6)</f>
        <v/>
      </c>
      <c r="B591" s="79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1"/>
      <c r="Q591" s="81"/>
      <c r="R591" s="80"/>
      <c r="S591" s="80"/>
      <c r="T591" s="81"/>
      <c r="U591" s="80"/>
      <c r="V591" s="80"/>
      <c r="W591" s="80"/>
      <c r="X591" s="80"/>
      <c r="Y591" s="81"/>
      <c r="Z591" s="80"/>
      <c r="AA591" s="80"/>
      <c r="AB591" s="80"/>
      <c r="AC591" s="80"/>
      <c r="AD591" s="81"/>
      <c r="AE591" s="80"/>
      <c r="AF591" s="80"/>
      <c r="AG591" s="81"/>
      <c r="AH591" s="79"/>
      <c r="AI591" s="78" t="str">
        <f aca="false">IF(E591="","",(V591&lt;&gt;"")+(AA591&lt;&gt;"")+(AF591&lt;&gt;""))</f>
        <v/>
      </c>
      <c r="AJ591" s="82" t="str">
        <f aca="false">IF(AF591&lt;&gt;"",AF591,IF(AA591&lt;&gt;"",AA591,IF(V591&lt;&gt;"",V591,"")))</f>
        <v/>
      </c>
      <c r="AK591" s="83" t="str">
        <f aca="false">IF(E591="","",IF(P591="","À SOUDER",IF(S591="","VT EN ATTENTE",IF(S591="R","VT REJETÉ – À REPRENDRE",IF(AJ591="","À RADIOGRAPHIER",IF(AJ591="A","ACCEPTÉ",IF(AJ591="NX","NX – RT À REFAIRE",IF(IF(AI591=1,X591,IF(AI591=2,AC591,""))="A","RÉPARÉ – À RADIOGRAPHIER",IF(IF(AI591=1,X591,IF(AI591=2,AC591,""))="R","VT REJETÉ – À REPRENDRE",IF(AJ591="CO","COUPE – À RESOUDER","À RÉPARER"))))))))))</f>
        <v/>
      </c>
      <c r="AL591" s="82" t="str">
        <f aca="false">IF(AND(ISNUMBER(P591),OR(AK591="À RADIOGRAPHIER",AK591="RÉPARÉ – À RADIOGRAPHIER",AK591="NX – RT À REFAIRE",AK591="À RÉPARER",AK591="COUPE – À RESOUDER",AK591="VT REJETÉ – À REPRENDRE")),MAX(0,'PROGRAMME RT'!$C$4-P591),"")</f>
        <v/>
      </c>
      <c r="AM591" s="78" t="n">
        <f aca="false">IF(AND(OR(AK591="À RADIOGRAPHIER",AK591="RÉPARÉ – À RADIOGRAPHIER",AK591="NX – RT À REFAIRE"),OR('PROGRAMME RT'!$D$5="TOUTES",B591='PROGRAMME RT'!$D$5)),1,0)</f>
        <v>0</v>
      </c>
      <c r="AN591" s="78" t="str">
        <f aca="false">IF(AM591=1,SUM(AM$7:AM591),"")</f>
        <v/>
      </c>
      <c r="AO591" s="78" t="n">
        <f aca="false">IF(AND(OR(AK591="À RÉPARER",AK591="COUPE – À RESOUDER",AK591="VT REJETÉ – À REPRENDRE"),OR(RÉPARATIONS!$D$5="TOUTES",B591=RÉPARATIONS!$D$5)),1,0)</f>
        <v>0</v>
      </c>
      <c r="AP591" s="78" t="str">
        <f aca="false">IF(AO591=1,SUM(AO$7:AO591),"")</f>
        <v/>
      </c>
    </row>
    <row r="592" customFormat="false" ht="15" hidden="false" customHeight="false" outlineLevel="0" collapsed="false">
      <c r="A592" s="78" t="str">
        <f aca="false">IF(E592="","",ROW()-6)</f>
        <v/>
      </c>
      <c r="B592" s="79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1"/>
      <c r="Q592" s="81"/>
      <c r="R592" s="80"/>
      <c r="S592" s="80"/>
      <c r="T592" s="81"/>
      <c r="U592" s="80"/>
      <c r="V592" s="80"/>
      <c r="W592" s="80"/>
      <c r="X592" s="80"/>
      <c r="Y592" s="81"/>
      <c r="Z592" s="80"/>
      <c r="AA592" s="80"/>
      <c r="AB592" s="80"/>
      <c r="AC592" s="80"/>
      <c r="AD592" s="81"/>
      <c r="AE592" s="80"/>
      <c r="AF592" s="80"/>
      <c r="AG592" s="81"/>
      <c r="AH592" s="79"/>
      <c r="AI592" s="78" t="str">
        <f aca="false">IF(E592="","",(V592&lt;&gt;"")+(AA592&lt;&gt;"")+(AF592&lt;&gt;""))</f>
        <v/>
      </c>
      <c r="AJ592" s="82" t="str">
        <f aca="false">IF(AF592&lt;&gt;"",AF592,IF(AA592&lt;&gt;"",AA592,IF(V592&lt;&gt;"",V592,"")))</f>
        <v/>
      </c>
      <c r="AK592" s="83" t="str">
        <f aca="false">IF(E592="","",IF(P592="","À SOUDER",IF(S592="","VT EN ATTENTE",IF(S592="R","VT REJETÉ – À REPRENDRE",IF(AJ592="","À RADIOGRAPHIER",IF(AJ592="A","ACCEPTÉ",IF(AJ592="NX","NX – RT À REFAIRE",IF(IF(AI592=1,X592,IF(AI592=2,AC592,""))="A","RÉPARÉ – À RADIOGRAPHIER",IF(IF(AI592=1,X592,IF(AI592=2,AC592,""))="R","VT REJETÉ – À REPRENDRE",IF(AJ592="CO","COUPE – À RESOUDER","À RÉPARER"))))))))))</f>
        <v/>
      </c>
      <c r="AL592" s="82" t="str">
        <f aca="false">IF(AND(ISNUMBER(P592),OR(AK592="À RADIOGRAPHIER",AK592="RÉPARÉ – À RADIOGRAPHIER",AK592="NX – RT À REFAIRE",AK592="À RÉPARER",AK592="COUPE – À RESOUDER",AK592="VT REJETÉ – À REPRENDRE")),MAX(0,'PROGRAMME RT'!$C$4-P592),"")</f>
        <v/>
      </c>
      <c r="AM592" s="78" t="n">
        <f aca="false">IF(AND(OR(AK592="À RADIOGRAPHIER",AK592="RÉPARÉ – À RADIOGRAPHIER",AK592="NX – RT À REFAIRE"),OR('PROGRAMME RT'!$D$5="TOUTES",B592='PROGRAMME RT'!$D$5)),1,0)</f>
        <v>0</v>
      </c>
      <c r="AN592" s="78" t="str">
        <f aca="false">IF(AM592=1,SUM(AM$7:AM592),"")</f>
        <v/>
      </c>
      <c r="AO592" s="78" t="n">
        <f aca="false">IF(AND(OR(AK592="À RÉPARER",AK592="COUPE – À RESOUDER",AK592="VT REJETÉ – À REPRENDRE"),OR(RÉPARATIONS!$D$5="TOUTES",B592=RÉPARATIONS!$D$5)),1,0)</f>
        <v>0</v>
      </c>
      <c r="AP592" s="78" t="str">
        <f aca="false">IF(AO592=1,SUM(AO$7:AO592),"")</f>
        <v/>
      </c>
    </row>
    <row r="593" customFormat="false" ht="15" hidden="false" customHeight="false" outlineLevel="0" collapsed="false">
      <c r="A593" s="78" t="str">
        <f aca="false">IF(E593="","",ROW()-6)</f>
        <v/>
      </c>
      <c r="B593" s="79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1"/>
      <c r="Q593" s="81"/>
      <c r="R593" s="80"/>
      <c r="S593" s="80"/>
      <c r="T593" s="81"/>
      <c r="U593" s="80"/>
      <c r="V593" s="80"/>
      <c r="W593" s="80"/>
      <c r="X593" s="80"/>
      <c r="Y593" s="81"/>
      <c r="Z593" s="80"/>
      <c r="AA593" s="80"/>
      <c r="AB593" s="80"/>
      <c r="AC593" s="80"/>
      <c r="AD593" s="81"/>
      <c r="AE593" s="80"/>
      <c r="AF593" s="80"/>
      <c r="AG593" s="81"/>
      <c r="AH593" s="79"/>
      <c r="AI593" s="78" t="str">
        <f aca="false">IF(E593="","",(V593&lt;&gt;"")+(AA593&lt;&gt;"")+(AF593&lt;&gt;""))</f>
        <v/>
      </c>
      <c r="AJ593" s="82" t="str">
        <f aca="false">IF(AF593&lt;&gt;"",AF593,IF(AA593&lt;&gt;"",AA593,IF(V593&lt;&gt;"",V593,"")))</f>
        <v/>
      </c>
      <c r="AK593" s="83" t="str">
        <f aca="false">IF(E593="","",IF(P593="","À SOUDER",IF(S593="","VT EN ATTENTE",IF(S593="R","VT REJETÉ – À REPRENDRE",IF(AJ593="","À RADIOGRAPHIER",IF(AJ593="A","ACCEPTÉ",IF(AJ593="NX","NX – RT À REFAIRE",IF(IF(AI593=1,X593,IF(AI593=2,AC593,""))="A","RÉPARÉ – À RADIOGRAPHIER",IF(IF(AI593=1,X593,IF(AI593=2,AC593,""))="R","VT REJETÉ – À REPRENDRE",IF(AJ593="CO","COUPE – À RESOUDER","À RÉPARER"))))))))))</f>
        <v/>
      </c>
      <c r="AL593" s="82" t="str">
        <f aca="false">IF(AND(ISNUMBER(P593),OR(AK593="À RADIOGRAPHIER",AK593="RÉPARÉ – À RADIOGRAPHIER",AK593="NX – RT À REFAIRE",AK593="À RÉPARER",AK593="COUPE – À RESOUDER",AK593="VT REJETÉ – À REPRENDRE")),MAX(0,'PROGRAMME RT'!$C$4-P593),"")</f>
        <v/>
      </c>
      <c r="AM593" s="78" t="n">
        <f aca="false">IF(AND(OR(AK593="À RADIOGRAPHIER",AK593="RÉPARÉ – À RADIOGRAPHIER",AK593="NX – RT À REFAIRE"),OR('PROGRAMME RT'!$D$5="TOUTES",B593='PROGRAMME RT'!$D$5)),1,0)</f>
        <v>0</v>
      </c>
      <c r="AN593" s="78" t="str">
        <f aca="false">IF(AM593=1,SUM(AM$7:AM593),"")</f>
        <v/>
      </c>
      <c r="AO593" s="78" t="n">
        <f aca="false">IF(AND(OR(AK593="À RÉPARER",AK593="COUPE – À RESOUDER",AK593="VT REJETÉ – À REPRENDRE"),OR(RÉPARATIONS!$D$5="TOUTES",B593=RÉPARATIONS!$D$5)),1,0)</f>
        <v>0</v>
      </c>
      <c r="AP593" s="78" t="str">
        <f aca="false">IF(AO593=1,SUM(AO$7:AO593),"")</f>
        <v/>
      </c>
    </row>
    <row r="594" customFormat="false" ht="15" hidden="false" customHeight="false" outlineLevel="0" collapsed="false">
      <c r="A594" s="78" t="str">
        <f aca="false">IF(E594="","",ROW()-6)</f>
        <v/>
      </c>
      <c r="B594" s="79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1"/>
      <c r="Q594" s="81"/>
      <c r="R594" s="80"/>
      <c r="S594" s="80"/>
      <c r="T594" s="81"/>
      <c r="U594" s="80"/>
      <c r="V594" s="80"/>
      <c r="W594" s="80"/>
      <c r="X594" s="80"/>
      <c r="Y594" s="81"/>
      <c r="Z594" s="80"/>
      <c r="AA594" s="80"/>
      <c r="AB594" s="80"/>
      <c r="AC594" s="80"/>
      <c r="AD594" s="81"/>
      <c r="AE594" s="80"/>
      <c r="AF594" s="80"/>
      <c r="AG594" s="81"/>
      <c r="AH594" s="79"/>
      <c r="AI594" s="78" t="str">
        <f aca="false">IF(E594="","",(V594&lt;&gt;"")+(AA594&lt;&gt;"")+(AF594&lt;&gt;""))</f>
        <v/>
      </c>
      <c r="AJ594" s="82" t="str">
        <f aca="false">IF(AF594&lt;&gt;"",AF594,IF(AA594&lt;&gt;"",AA594,IF(V594&lt;&gt;"",V594,"")))</f>
        <v/>
      </c>
      <c r="AK594" s="83" t="str">
        <f aca="false">IF(E594="","",IF(P594="","À SOUDER",IF(S594="","VT EN ATTENTE",IF(S594="R","VT REJETÉ – À REPRENDRE",IF(AJ594="","À RADIOGRAPHIER",IF(AJ594="A","ACCEPTÉ",IF(AJ594="NX","NX – RT À REFAIRE",IF(IF(AI594=1,X594,IF(AI594=2,AC594,""))="A","RÉPARÉ – À RADIOGRAPHIER",IF(IF(AI594=1,X594,IF(AI594=2,AC594,""))="R","VT REJETÉ – À REPRENDRE",IF(AJ594="CO","COUPE – À RESOUDER","À RÉPARER"))))))))))</f>
        <v/>
      </c>
      <c r="AL594" s="82" t="str">
        <f aca="false">IF(AND(ISNUMBER(P594),OR(AK594="À RADIOGRAPHIER",AK594="RÉPARÉ – À RADIOGRAPHIER",AK594="NX – RT À REFAIRE",AK594="À RÉPARER",AK594="COUPE – À RESOUDER",AK594="VT REJETÉ – À REPRENDRE")),MAX(0,'PROGRAMME RT'!$C$4-P594),"")</f>
        <v/>
      </c>
      <c r="AM594" s="78" t="n">
        <f aca="false">IF(AND(OR(AK594="À RADIOGRAPHIER",AK594="RÉPARÉ – À RADIOGRAPHIER",AK594="NX – RT À REFAIRE"),OR('PROGRAMME RT'!$D$5="TOUTES",B594='PROGRAMME RT'!$D$5)),1,0)</f>
        <v>0</v>
      </c>
      <c r="AN594" s="78" t="str">
        <f aca="false">IF(AM594=1,SUM(AM$7:AM594),"")</f>
        <v/>
      </c>
      <c r="AO594" s="78" t="n">
        <f aca="false">IF(AND(OR(AK594="À RÉPARER",AK594="COUPE – À RESOUDER",AK594="VT REJETÉ – À REPRENDRE"),OR(RÉPARATIONS!$D$5="TOUTES",B594=RÉPARATIONS!$D$5)),1,0)</f>
        <v>0</v>
      </c>
      <c r="AP594" s="78" t="str">
        <f aca="false">IF(AO594=1,SUM(AO$7:AO594),"")</f>
        <v/>
      </c>
    </row>
    <row r="595" customFormat="false" ht="15" hidden="false" customHeight="false" outlineLevel="0" collapsed="false">
      <c r="A595" s="78" t="str">
        <f aca="false">IF(E595="","",ROW()-6)</f>
        <v/>
      </c>
      <c r="B595" s="79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1"/>
      <c r="Q595" s="81"/>
      <c r="R595" s="80"/>
      <c r="S595" s="80"/>
      <c r="T595" s="81"/>
      <c r="U595" s="80"/>
      <c r="V595" s="80"/>
      <c r="W595" s="80"/>
      <c r="X595" s="80"/>
      <c r="Y595" s="81"/>
      <c r="Z595" s="80"/>
      <c r="AA595" s="80"/>
      <c r="AB595" s="80"/>
      <c r="AC595" s="80"/>
      <c r="AD595" s="81"/>
      <c r="AE595" s="80"/>
      <c r="AF595" s="80"/>
      <c r="AG595" s="81"/>
      <c r="AH595" s="79"/>
      <c r="AI595" s="78" t="str">
        <f aca="false">IF(E595="","",(V595&lt;&gt;"")+(AA595&lt;&gt;"")+(AF595&lt;&gt;""))</f>
        <v/>
      </c>
      <c r="AJ595" s="82" t="str">
        <f aca="false">IF(AF595&lt;&gt;"",AF595,IF(AA595&lt;&gt;"",AA595,IF(V595&lt;&gt;"",V595,"")))</f>
        <v/>
      </c>
      <c r="AK595" s="83" t="str">
        <f aca="false">IF(E595="","",IF(P595="","À SOUDER",IF(S595="","VT EN ATTENTE",IF(S595="R","VT REJETÉ – À REPRENDRE",IF(AJ595="","À RADIOGRAPHIER",IF(AJ595="A","ACCEPTÉ",IF(AJ595="NX","NX – RT À REFAIRE",IF(IF(AI595=1,X595,IF(AI595=2,AC595,""))="A","RÉPARÉ – À RADIOGRAPHIER",IF(IF(AI595=1,X595,IF(AI595=2,AC595,""))="R","VT REJETÉ – À REPRENDRE",IF(AJ595="CO","COUPE – À RESOUDER","À RÉPARER"))))))))))</f>
        <v/>
      </c>
      <c r="AL595" s="82" t="str">
        <f aca="false">IF(AND(ISNUMBER(P595),OR(AK595="À RADIOGRAPHIER",AK595="RÉPARÉ – À RADIOGRAPHIER",AK595="NX – RT À REFAIRE",AK595="À RÉPARER",AK595="COUPE – À RESOUDER",AK595="VT REJETÉ – À REPRENDRE")),MAX(0,'PROGRAMME RT'!$C$4-P595),"")</f>
        <v/>
      </c>
      <c r="AM595" s="78" t="n">
        <f aca="false">IF(AND(OR(AK595="À RADIOGRAPHIER",AK595="RÉPARÉ – À RADIOGRAPHIER",AK595="NX – RT À REFAIRE"),OR('PROGRAMME RT'!$D$5="TOUTES",B595='PROGRAMME RT'!$D$5)),1,0)</f>
        <v>0</v>
      </c>
      <c r="AN595" s="78" t="str">
        <f aca="false">IF(AM595=1,SUM(AM$7:AM595),"")</f>
        <v/>
      </c>
      <c r="AO595" s="78" t="n">
        <f aca="false">IF(AND(OR(AK595="À RÉPARER",AK595="COUPE – À RESOUDER",AK595="VT REJETÉ – À REPRENDRE"),OR(RÉPARATIONS!$D$5="TOUTES",B595=RÉPARATIONS!$D$5)),1,0)</f>
        <v>0</v>
      </c>
      <c r="AP595" s="78" t="str">
        <f aca="false">IF(AO595=1,SUM(AO$7:AO595),"")</f>
        <v/>
      </c>
    </row>
    <row r="596" customFormat="false" ht="15" hidden="false" customHeight="false" outlineLevel="0" collapsed="false">
      <c r="A596" s="78" t="str">
        <f aca="false">IF(E596="","",ROW()-6)</f>
        <v/>
      </c>
      <c r="B596" s="79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1"/>
      <c r="Q596" s="81"/>
      <c r="R596" s="80"/>
      <c r="S596" s="80"/>
      <c r="T596" s="81"/>
      <c r="U596" s="80"/>
      <c r="V596" s="80"/>
      <c r="W596" s="80"/>
      <c r="X596" s="80"/>
      <c r="Y596" s="81"/>
      <c r="Z596" s="80"/>
      <c r="AA596" s="80"/>
      <c r="AB596" s="80"/>
      <c r="AC596" s="80"/>
      <c r="AD596" s="81"/>
      <c r="AE596" s="80"/>
      <c r="AF596" s="80"/>
      <c r="AG596" s="81"/>
      <c r="AH596" s="79"/>
      <c r="AI596" s="78" t="str">
        <f aca="false">IF(E596="","",(V596&lt;&gt;"")+(AA596&lt;&gt;"")+(AF596&lt;&gt;""))</f>
        <v/>
      </c>
      <c r="AJ596" s="82" t="str">
        <f aca="false">IF(AF596&lt;&gt;"",AF596,IF(AA596&lt;&gt;"",AA596,IF(V596&lt;&gt;"",V596,"")))</f>
        <v/>
      </c>
      <c r="AK596" s="83" t="str">
        <f aca="false">IF(E596="","",IF(P596="","À SOUDER",IF(S596="","VT EN ATTENTE",IF(S596="R","VT REJETÉ – À REPRENDRE",IF(AJ596="","À RADIOGRAPHIER",IF(AJ596="A","ACCEPTÉ",IF(AJ596="NX","NX – RT À REFAIRE",IF(IF(AI596=1,X596,IF(AI596=2,AC596,""))="A","RÉPARÉ – À RADIOGRAPHIER",IF(IF(AI596=1,X596,IF(AI596=2,AC596,""))="R","VT REJETÉ – À REPRENDRE",IF(AJ596="CO","COUPE – À RESOUDER","À RÉPARER"))))))))))</f>
        <v/>
      </c>
      <c r="AL596" s="82" t="str">
        <f aca="false">IF(AND(ISNUMBER(P596),OR(AK596="À RADIOGRAPHIER",AK596="RÉPARÉ – À RADIOGRAPHIER",AK596="NX – RT À REFAIRE",AK596="À RÉPARER",AK596="COUPE – À RESOUDER",AK596="VT REJETÉ – À REPRENDRE")),MAX(0,'PROGRAMME RT'!$C$4-P596),"")</f>
        <v/>
      </c>
      <c r="AM596" s="78" t="n">
        <f aca="false">IF(AND(OR(AK596="À RADIOGRAPHIER",AK596="RÉPARÉ – À RADIOGRAPHIER",AK596="NX – RT À REFAIRE"),OR('PROGRAMME RT'!$D$5="TOUTES",B596='PROGRAMME RT'!$D$5)),1,0)</f>
        <v>0</v>
      </c>
      <c r="AN596" s="78" t="str">
        <f aca="false">IF(AM596=1,SUM(AM$7:AM596),"")</f>
        <v/>
      </c>
      <c r="AO596" s="78" t="n">
        <f aca="false">IF(AND(OR(AK596="À RÉPARER",AK596="COUPE – À RESOUDER",AK596="VT REJETÉ – À REPRENDRE"),OR(RÉPARATIONS!$D$5="TOUTES",B596=RÉPARATIONS!$D$5)),1,0)</f>
        <v>0</v>
      </c>
      <c r="AP596" s="78" t="str">
        <f aca="false">IF(AO596=1,SUM(AO$7:AO596),"")</f>
        <v/>
      </c>
    </row>
    <row r="597" customFormat="false" ht="15" hidden="false" customHeight="false" outlineLevel="0" collapsed="false">
      <c r="A597" s="78" t="str">
        <f aca="false">IF(E597="","",ROW()-6)</f>
        <v/>
      </c>
      <c r="B597" s="79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1"/>
      <c r="Q597" s="81"/>
      <c r="R597" s="80"/>
      <c r="S597" s="80"/>
      <c r="T597" s="81"/>
      <c r="U597" s="80"/>
      <c r="V597" s="80"/>
      <c r="W597" s="80"/>
      <c r="X597" s="80"/>
      <c r="Y597" s="81"/>
      <c r="Z597" s="80"/>
      <c r="AA597" s="80"/>
      <c r="AB597" s="80"/>
      <c r="AC597" s="80"/>
      <c r="AD597" s="81"/>
      <c r="AE597" s="80"/>
      <c r="AF597" s="80"/>
      <c r="AG597" s="81"/>
      <c r="AH597" s="79"/>
      <c r="AI597" s="78" t="str">
        <f aca="false">IF(E597="","",(V597&lt;&gt;"")+(AA597&lt;&gt;"")+(AF597&lt;&gt;""))</f>
        <v/>
      </c>
      <c r="AJ597" s="82" t="str">
        <f aca="false">IF(AF597&lt;&gt;"",AF597,IF(AA597&lt;&gt;"",AA597,IF(V597&lt;&gt;"",V597,"")))</f>
        <v/>
      </c>
      <c r="AK597" s="83" t="str">
        <f aca="false">IF(E597="","",IF(P597="","À SOUDER",IF(S597="","VT EN ATTENTE",IF(S597="R","VT REJETÉ – À REPRENDRE",IF(AJ597="","À RADIOGRAPHIER",IF(AJ597="A","ACCEPTÉ",IF(AJ597="NX","NX – RT À REFAIRE",IF(IF(AI597=1,X597,IF(AI597=2,AC597,""))="A","RÉPARÉ – À RADIOGRAPHIER",IF(IF(AI597=1,X597,IF(AI597=2,AC597,""))="R","VT REJETÉ – À REPRENDRE",IF(AJ597="CO","COUPE – À RESOUDER","À RÉPARER"))))))))))</f>
        <v/>
      </c>
      <c r="AL597" s="82" t="str">
        <f aca="false">IF(AND(ISNUMBER(P597),OR(AK597="À RADIOGRAPHIER",AK597="RÉPARÉ – À RADIOGRAPHIER",AK597="NX – RT À REFAIRE",AK597="À RÉPARER",AK597="COUPE – À RESOUDER",AK597="VT REJETÉ – À REPRENDRE")),MAX(0,'PROGRAMME RT'!$C$4-P597),"")</f>
        <v/>
      </c>
      <c r="AM597" s="78" t="n">
        <f aca="false">IF(AND(OR(AK597="À RADIOGRAPHIER",AK597="RÉPARÉ – À RADIOGRAPHIER",AK597="NX – RT À REFAIRE"),OR('PROGRAMME RT'!$D$5="TOUTES",B597='PROGRAMME RT'!$D$5)),1,0)</f>
        <v>0</v>
      </c>
      <c r="AN597" s="78" t="str">
        <f aca="false">IF(AM597=1,SUM(AM$7:AM597),"")</f>
        <v/>
      </c>
      <c r="AO597" s="78" t="n">
        <f aca="false">IF(AND(OR(AK597="À RÉPARER",AK597="COUPE – À RESOUDER",AK597="VT REJETÉ – À REPRENDRE"),OR(RÉPARATIONS!$D$5="TOUTES",B597=RÉPARATIONS!$D$5)),1,0)</f>
        <v>0</v>
      </c>
      <c r="AP597" s="78" t="str">
        <f aca="false">IF(AO597=1,SUM(AO$7:AO597),"")</f>
        <v/>
      </c>
    </row>
    <row r="598" customFormat="false" ht="15" hidden="false" customHeight="false" outlineLevel="0" collapsed="false">
      <c r="A598" s="78" t="str">
        <f aca="false">IF(E598="","",ROW()-6)</f>
        <v/>
      </c>
      <c r="B598" s="79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1"/>
      <c r="Q598" s="81"/>
      <c r="R598" s="80"/>
      <c r="S598" s="80"/>
      <c r="T598" s="81"/>
      <c r="U598" s="80"/>
      <c r="V598" s="80"/>
      <c r="W598" s="80"/>
      <c r="X598" s="80"/>
      <c r="Y598" s="81"/>
      <c r="Z598" s="80"/>
      <c r="AA598" s="80"/>
      <c r="AB598" s="80"/>
      <c r="AC598" s="80"/>
      <c r="AD598" s="81"/>
      <c r="AE598" s="80"/>
      <c r="AF598" s="80"/>
      <c r="AG598" s="81"/>
      <c r="AH598" s="79"/>
      <c r="AI598" s="78" t="str">
        <f aca="false">IF(E598="","",(V598&lt;&gt;"")+(AA598&lt;&gt;"")+(AF598&lt;&gt;""))</f>
        <v/>
      </c>
      <c r="AJ598" s="82" t="str">
        <f aca="false">IF(AF598&lt;&gt;"",AF598,IF(AA598&lt;&gt;"",AA598,IF(V598&lt;&gt;"",V598,"")))</f>
        <v/>
      </c>
      <c r="AK598" s="83" t="str">
        <f aca="false">IF(E598="","",IF(P598="","À SOUDER",IF(S598="","VT EN ATTENTE",IF(S598="R","VT REJETÉ – À REPRENDRE",IF(AJ598="","À RADIOGRAPHIER",IF(AJ598="A","ACCEPTÉ",IF(AJ598="NX","NX – RT À REFAIRE",IF(IF(AI598=1,X598,IF(AI598=2,AC598,""))="A","RÉPARÉ – À RADIOGRAPHIER",IF(IF(AI598=1,X598,IF(AI598=2,AC598,""))="R","VT REJETÉ – À REPRENDRE",IF(AJ598="CO","COUPE – À RESOUDER","À RÉPARER"))))))))))</f>
        <v/>
      </c>
      <c r="AL598" s="82" t="str">
        <f aca="false">IF(AND(ISNUMBER(P598),OR(AK598="À RADIOGRAPHIER",AK598="RÉPARÉ – À RADIOGRAPHIER",AK598="NX – RT À REFAIRE",AK598="À RÉPARER",AK598="COUPE – À RESOUDER",AK598="VT REJETÉ – À REPRENDRE")),MAX(0,'PROGRAMME RT'!$C$4-P598),"")</f>
        <v/>
      </c>
      <c r="AM598" s="78" t="n">
        <f aca="false">IF(AND(OR(AK598="À RADIOGRAPHIER",AK598="RÉPARÉ – À RADIOGRAPHIER",AK598="NX – RT À REFAIRE"),OR('PROGRAMME RT'!$D$5="TOUTES",B598='PROGRAMME RT'!$D$5)),1,0)</f>
        <v>0</v>
      </c>
      <c r="AN598" s="78" t="str">
        <f aca="false">IF(AM598=1,SUM(AM$7:AM598),"")</f>
        <v/>
      </c>
      <c r="AO598" s="78" t="n">
        <f aca="false">IF(AND(OR(AK598="À RÉPARER",AK598="COUPE – À RESOUDER",AK598="VT REJETÉ – À REPRENDRE"),OR(RÉPARATIONS!$D$5="TOUTES",B598=RÉPARATIONS!$D$5)),1,0)</f>
        <v>0</v>
      </c>
      <c r="AP598" s="78" t="str">
        <f aca="false">IF(AO598=1,SUM(AO$7:AO598),"")</f>
        <v/>
      </c>
    </row>
    <row r="599" customFormat="false" ht="15" hidden="false" customHeight="false" outlineLevel="0" collapsed="false">
      <c r="A599" s="78" t="str">
        <f aca="false">IF(E599="","",ROW()-6)</f>
        <v/>
      </c>
      <c r="B599" s="79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1"/>
      <c r="Q599" s="81"/>
      <c r="R599" s="80"/>
      <c r="S599" s="80"/>
      <c r="T599" s="81"/>
      <c r="U599" s="80"/>
      <c r="V599" s="80"/>
      <c r="W599" s="80"/>
      <c r="X599" s="80"/>
      <c r="Y599" s="81"/>
      <c r="Z599" s="80"/>
      <c r="AA599" s="80"/>
      <c r="AB599" s="80"/>
      <c r="AC599" s="80"/>
      <c r="AD599" s="81"/>
      <c r="AE599" s="80"/>
      <c r="AF599" s="80"/>
      <c r="AG599" s="81"/>
      <c r="AH599" s="79"/>
      <c r="AI599" s="78" t="str">
        <f aca="false">IF(E599="","",(V599&lt;&gt;"")+(AA599&lt;&gt;"")+(AF599&lt;&gt;""))</f>
        <v/>
      </c>
      <c r="AJ599" s="82" t="str">
        <f aca="false">IF(AF599&lt;&gt;"",AF599,IF(AA599&lt;&gt;"",AA599,IF(V599&lt;&gt;"",V599,"")))</f>
        <v/>
      </c>
      <c r="AK599" s="83" t="str">
        <f aca="false">IF(E599="","",IF(P599="","À SOUDER",IF(S599="","VT EN ATTENTE",IF(S599="R","VT REJETÉ – À REPRENDRE",IF(AJ599="","À RADIOGRAPHIER",IF(AJ599="A","ACCEPTÉ",IF(AJ599="NX","NX – RT À REFAIRE",IF(IF(AI599=1,X599,IF(AI599=2,AC599,""))="A","RÉPARÉ – À RADIOGRAPHIER",IF(IF(AI599=1,X599,IF(AI599=2,AC599,""))="R","VT REJETÉ – À REPRENDRE",IF(AJ599="CO","COUPE – À RESOUDER","À RÉPARER"))))))))))</f>
        <v/>
      </c>
      <c r="AL599" s="82" t="str">
        <f aca="false">IF(AND(ISNUMBER(P599),OR(AK599="À RADIOGRAPHIER",AK599="RÉPARÉ – À RADIOGRAPHIER",AK599="NX – RT À REFAIRE",AK599="À RÉPARER",AK599="COUPE – À RESOUDER",AK599="VT REJETÉ – À REPRENDRE")),MAX(0,'PROGRAMME RT'!$C$4-P599),"")</f>
        <v/>
      </c>
      <c r="AM599" s="78" t="n">
        <f aca="false">IF(AND(OR(AK599="À RADIOGRAPHIER",AK599="RÉPARÉ – À RADIOGRAPHIER",AK599="NX – RT À REFAIRE"),OR('PROGRAMME RT'!$D$5="TOUTES",B599='PROGRAMME RT'!$D$5)),1,0)</f>
        <v>0</v>
      </c>
      <c r="AN599" s="78" t="str">
        <f aca="false">IF(AM599=1,SUM(AM$7:AM599),"")</f>
        <v/>
      </c>
      <c r="AO599" s="78" t="n">
        <f aca="false">IF(AND(OR(AK599="À RÉPARER",AK599="COUPE – À RESOUDER",AK599="VT REJETÉ – À REPRENDRE"),OR(RÉPARATIONS!$D$5="TOUTES",B599=RÉPARATIONS!$D$5)),1,0)</f>
        <v>0</v>
      </c>
      <c r="AP599" s="78" t="str">
        <f aca="false">IF(AO599=1,SUM(AO$7:AO599),"")</f>
        <v/>
      </c>
    </row>
    <row r="600" customFormat="false" ht="15" hidden="false" customHeight="false" outlineLevel="0" collapsed="false">
      <c r="A600" s="78" t="str">
        <f aca="false">IF(E600="","",ROW()-6)</f>
        <v/>
      </c>
      <c r="B600" s="79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1"/>
      <c r="Q600" s="81"/>
      <c r="R600" s="80"/>
      <c r="S600" s="80"/>
      <c r="T600" s="81"/>
      <c r="U600" s="80"/>
      <c r="V600" s="80"/>
      <c r="W600" s="80"/>
      <c r="X600" s="80"/>
      <c r="Y600" s="81"/>
      <c r="Z600" s="80"/>
      <c r="AA600" s="80"/>
      <c r="AB600" s="80"/>
      <c r="AC600" s="80"/>
      <c r="AD600" s="81"/>
      <c r="AE600" s="80"/>
      <c r="AF600" s="80"/>
      <c r="AG600" s="81"/>
      <c r="AH600" s="79"/>
      <c r="AI600" s="78" t="str">
        <f aca="false">IF(E600="","",(V600&lt;&gt;"")+(AA600&lt;&gt;"")+(AF600&lt;&gt;""))</f>
        <v/>
      </c>
      <c r="AJ600" s="82" t="str">
        <f aca="false">IF(AF600&lt;&gt;"",AF600,IF(AA600&lt;&gt;"",AA600,IF(V600&lt;&gt;"",V600,"")))</f>
        <v/>
      </c>
      <c r="AK600" s="83" t="str">
        <f aca="false">IF(E600="","",IF(P600="","À SOUDER",IF(S600="","VT EN ATTENTE",IF(S600="R","VT REJETÉ – À REPRENDRE",IF(AJ600="","À RADIOGRAPHIER",IF(AJ600="A","ACCEPTÉ",IF(AJ600="NX","NX – RT À REFAIRE",IF(IF(AI600=1,X600,IF(AI600=2,AC600,""))="A","RÉPARÉ – À RADIOGRAPHIER",IF(IF(AI600=1,X600,IF(AI600=2,AC600,""))="R","VT REJETÉ – À REPRENDRE",IF(AJ600="CO","COUPE – À RESOUDER","À RÉPARER"))))))))))</f>
        <v/>
      </c>
      <c r="AL600" s="82" t="str">
        <f aca="false">IF(AND(ISNUMBER(P600),OR(AK600="À RADIOGRAPHIER",AK600="RÉPARÉ – À RADIOGRAPHIER",AK600="NX – RT À REFAIRE",AK600="À RÉPARER",AK600="COUPE – À RESOUDER",AK600="VT REJETÉ – À REPRENDRE")),MAX(0,'PROGRAMME RT'!$C$4-P600),"")</f>
        <v/>
      </c>
      <c r="AM600" s="78" t="n">
        <f aca="false">IF(AND(OR(AK600="À RADIOGRAPHIER",AK600="RÉPARÉ – À RADIOGRAPHIER",AK600="NX – RT À REFAIRE"),OR('PROGRAMME RT'!$D$5="TOUTES",B600='PROGRAMME RT'!$D$5)),1,0)</f>
        <v>0</v>
      </c>
      <c r="AN600" s="78" t="str">
        <f aca="false">IF(AM600=1,SUM(AM$7:AM600),"")</f>
        <v/>
      </c>
      <c r="AO600" s="78" t="n">
        <f aca="false">IF(AND(OR(AK600="À RÉPARER",AK600="COUPE – À RESOUDER",AK600="VT REJETÉ – À REPRENDRE"),OR(RÉPARATIONS!$D$5="TOUTES",B600=RÉPARATIONS!$D$5)),1,0)</f>
        <v>0</v>
      </c>
      <c r="AP600" s="78" t="str">
        <f aca="false">IF(AO600=1,SUM(AO$7:AO600),"")</f>
        <v/>
      </c>
    </row>
    <row r="601" customFormat="false" ht="15" hidden="false" customHeight="false" outlineLevel="0" collapsed="false">
      <c r="A601" s="78" t="str">
        <f aca="false">IF(E601="","",ROW()-6)</f>
        <v/>
      </c>
      <c r="B601" s="79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1"/>
      <c r="Q601" s="81"/>
      <c r="R601" s="80"/>
      <c r="S601" s="80"/>
      <c r="T601" s="81"/>
      <c r="U601" s="80"/>
      <c r="V601" s="80"/>
      <c r="W601" s="80"/>
      <c r="X601" s="80"/>
      <c r="Y601" s="81"/>
      <c r="Z601" s="80"/>
      <c r="AA601" s="80"/>
      <c r="AB601" s="80"/>
      <c r="AC601" s="80"/>
      <c r="AD601" s="81"/>
      <c r="AE601" s="80"/>
      <c r="AF601" s="80"/>
      <c r="AG601" s="81"/>
      <c r="AH601" s="79"/>
      <c r="AI601" s="78" t="str">
        <f aca="false">IF(E601="","",(V601&lt;&gt;"")+(AA601&lt;&gt;"")+(AF601&lt;&gt;""))</f>
        <v/>
      </c>
      <c r="AJ601" s="82" t="str">
        <f aca="false">IF(AF601&lt;&gt;"",AF601,IF(AA601&lt;&gt;"",AA601,IF(V601&lt;&gt;"",V601,"")))</f>
        <v/>
      </c>
      <c r="AK601" s="83" t="str">
        <f aca="false">IF(E601="","",IF(P601="","À SOUDER",IF(S601="","VT EN ATTENTE",IF(S601="R","VT REJETÉ – À REPRENDRE",IF(AJ601="","À RADIOGRAPHIER",IF(AJ601="A","ACCEPTÉ",IF(AJ601="NX","NX – RT À REFAIRE",IF(IF(AI601=1,X601,IF(AI601=2,AC601,""))="A","RÉPARÉ – À RADIOGRAPHIER",IF(IF(AI601=1,X601,IF(AI601=2,AC601,""))="R","VT REJETÉ – À REPRENDRE",IF(AJ601="CO","COUPE – À RESOUDER","À RÉPARER"))))))))))</f>
        <v/>
      </c>
      <c r="AL601" s="82" t="str">
        <f aca="false">IF(AND(ISNUMBER(P601),OR(AK601="À RADIOGRAPHIER",AK601="RÉPARÉ – À RADIOGRAPHIER",AK601="NX – RT À REFAIRE",AK601="À RÉPARER",AK601="COUPE – À RESOUDER",AK601="VT REJETÉ – À REPRENDRE")),MAX(0,'PROGRAMME RT'!$C$4-P601),"")</f>
        <v/>
      </c>
      <c r="AM601" s="78" t="n">
        <f aca="false">IF(AND(OR(AK601="À RADIOGRAPHIER",AK601="RÉPARÉ – À RADIOGRAPHIER",AK601="NX – RT À REFAIRE"),OR('PROGRAMME RT'!$D$5="TOUTES",B601='PROGRAMME RT'!$D$5)),1,0)</f>
        <v>0</v>
      </c>
      <c r="AN601" s="78" t="str">
        <f aca="false">IF(AM601=1,SUM(AM$7:AM601),"")</f>
        <v/>
      </c>
      <c r="AO601" s="78" t="n">
        <f aca="false">IF(AND(OR(AK601="À RÉPARER",AK601="COUPE – À RESOUDER",AK601="VT REJETÉ – À REPRENDRE"),OR(RÉPARATIONS!$D$5="TOUTES",B601=RÉPARATIONS!$D$5)),1,0)</f>
        <v>0</v>
      </c>
      <c r="AP601" s="78" t="str">
        <f aca="false">IF(AO601=1,SUM(AO$7:AO601),"")</f>
        <v/>
      </c>
    </row>
    <row r="602" customFormat="false" ht="15" hidden="false" customHeight="false" outlineLevel="0" collapsed="false">
      <c r="A602" s="78" t="str">
        <f aca="false">IF(E602="","",ROW()-6)</f>
        <v/>
      </c>
      <c r="B602" s="79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1"/>
      <c r="Q602" s="81"/>
      <c r="R602" s="80"/>
      <c r="S602" s="80"/>
      <c r="T602" s="81"/>
      <c r="U602" s="80"/>
      <c r="V602" s="80"/>
      <c r="W602" s="80"/>
      <c r="X602" s="80"/>
      <c r="Y602" s="81"/>
      <c r="Z602" s="80"/>
      <c r="AA602" s="80"/>
      <c r="AB602" s="80"/>
      <c r="AC602" s="80"/>
      <c r="AD602" s="81"/>
      <c r="AE602" s="80"/>
      <c r="AF602" s="80"/>
      <c r="AG602" s="81"/>
      <c r="AH602" s="79"/>
      <c r="AI602" s="78" t="str">
        <f aca="false">IF(E602="","",(V602&lt;&gt;"")+(AA602&lt;&gt;"")+(AF602&lt;&gt;""))</f>
        <v/>
      </c>
      <c r="AJ602" s="82" t="str">
        <f aca="false">IF(AF602&lt;&gt;"",AF602,IF(AA602&lt;&gt;"",AA602,IF(V602&lt;&gt;"",V602,"")))</f>
        <v/>
      </c>
      <c r="AK602" s="83" t="str">
        <f aca="false">IF(E602="","",IF(P602="","À SOUDER",IF(S602="","VT EN ATTENTE",IF(S602="R","VT REJETÉ – À REPRENDRE",IF(AJ602="","À RADIOGRAPHIER",IF(AJ602="A","ACCEPTÉ",IF(AJ602="NX","NX – RT À REFAIRE",IF(IF(AI602=1,X602,IF(AI602=2,AC602,""))="A","RÉPARÉ – À RADIOGRAPHIER",IF(IF(AI602=1,X602,IF(AI602=2,AC602,""))="R","VT REJETÉ – À REPRENDRE",IF(AJ602="CO","COUPE – À RESOUDER","À RÉPARER"))))))))))</f>
        <v/>
      </c>
      <c r="AL602" s="82" t="str">
        <f aca="false">IF(AND(ISNUMBER(P602),OR(AK602="À RADIOGRAPHIER",AK602="RÉPARÉ – À RADIOGRAPHIER",AK602="NX – RT À REFAIRE",AK602="À RÉPARER",AK602="COUPE – À RESOUDER",AK602="VT REJETÉ – À REPRENDRE")),MAX(0,'PROGRAMME RT'!$C$4-P602),"")</f>
        <v/>
      </c>
      <c r="AM602" s="78" t="n">
        <f aca="false">IF(AND(OR(AK602="À RADIOGRAPHIER",AK602="RÉPARÉ – À RADIOGRAPHIER",AK602="NX – RT À REFAIRE"),OR('PROGRAMME RT'!$D$5="TOUTES",B602='PROGRAMME RT'!$D$5)),1,0)</f>
        <v>0</v>
      </c>
      <c r="AN602" s="78" t="str">
        <f aca="false">IF(AM602=1,SUM(AM$7:AM602),"")</f>
        <v/>
      </c>
      <c r="AO602" s="78" t="n">
        <f aca="false">IF(AND(OR(AK602="À RÉPARER",AK602="COUPE – À RESOUDER",AK602="VT REJETÉ – À REPRENDRE"),OR(RÉPARATIONS!$D$5="TOUTES",B602=RÉPARATIONS!$D$5)),1,0)</f>
        <v>0</v>
      </c>
      <c r="AP602" s="78" t="str">
        <f aca="false">IF(AO602=1,SUM(AO$7:AO602),"")</f>
        <v/>
      </c>
    </row>
    <row r="603" customFormat="false" ht="15" hidden="false" customHeight="false" outlineLevel="0" collapsed="false">
      <c r="A603" s="78" t="str">
        <f aca="false">IF(E603="","",ROW()-6)</f>
        <v/>
      </c>
      <c r="B603" s="79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1"/>
      <c r="Q603" s="81"/>
      <c r="R603" s="80"/>
      <c r="S603" s="80"/>
      <c r="T603" s="81"/>
      <c r="U603" s="80"/>
      <c r="V603" s="80"/>
      <c r="W603" s="80"/>
      <c r="X603" s="80"/>
      <c r="Y603" s="81"/>
      <c r="Z603" s="80"/>
      <c r="AA603" s="80"/>
      <c r="AB603" s="80"/>
      <c r="AC603" s="80"/>
      <c r="AD603" s="81"/>
      <c r="AE603" s="80"/>
      <c r="AF603" s="80"/>
      <c r="AG603" s="81"/>
      <c r="AH603" s="79"/>
      <c r="AI603" s="78" t="str">
        <f aca="false">IF(E603="","",(V603&lt;&gt;"")+(AA603&lt;&gt;"")+(AF603&lt;&gt;""))</f>
        <v/>
      </c>
      <c r="AJ603" s="82" t="str">
        <f aca="false">IF(AF603&lt;&gt;"",AF603,IF(AA603&lt;&gt;"",AA603,IF(V603&lt;&gt;"",V603,"")))</f>
        <v/>
      </c>
      <c r="AK603" s="83" t="str">
        <f aca="false">IF(E603="","",IF(P603="","À SOUDER",IF(S603="","VT EN ATTENTE",IF(S603="R","VT REJETÉ – À REPRENDRE",IF(AJ603="","À RADIOGRAPHIER",IF(AJ603="A","ACCEPTÉ",IF(AJ603="NX","NX – RT À REFAIRE",IF(IF(AI603=1,X603,IF(AI603=2,AC603,""))="A","RÉPARÉ – À RADIOGRAPHIER",IF(IF(AI603=1,X603,IF(AI603=2,AC603,""))="R","VT REJETÉ – À REPRENDRE",IF(AJ603="CO","COUPE – À RESOUDER","À RÉPARER"))))))))))</f>
        <v/>
      </c>
      <c r="AL603" s="82" t="str">
        <f aca="false">IF(AND(ISNUMBER(P603),OR(AK603="À RADIOGRAPHIER",AK603="RÉPARÉ – À RADIOGRAPHIER",AK603="NX – RT À REFAIRE",AK603="À RÉPARER",AK603="COUPE – À RESOUDER",AK603="VT REJETÉ – À REPRENDRE")),MAX(0,'PROGRAMME RT'!$C$4-P603),"")</f>
        <v/>
      </c>
      <c r="AM603" s="78" t="n">
        <f aca="false">IF(AND(OR(AK603="À RADIOGRAPHIER",AK603="RÉPARÉ – À RADIOGRAPHIER",AK603="NX – RT À REFAIRE"),OR('PROGRAMME RT'!$D$5="TOUTES",B603='PROGRAMME RT'!$D$5)),1,0)</f>
        <v>0</v>
      </c>
      <c r="AN603" s="78" t="str">
        <f aca="false">IF(AM603=1,SUM(AM$7:AM603),"")</f>
        <v/>
      </c>
      <c r="AO603" s="78" t="n">
        <f aca="false">IF(AND(OR(AK603="À RÉPARER",AK603="COUPE – À RESOUDER",AK603="VT REJETÉ – À REPRENDRE"),OR(RÉPARATIONS!$D$5="TOUTES",B603=RÉPARATIONS!$D$5)),1,0)</f>
        <v>0</v>
      </c>
      <c r="AP603" s="78" t="str">
        <f aca="false">IF(AO603=1,SUM(AO$7:AO603),"")</f>
        <v/>
      </c>
    </row>
    <row r="604" customFormat="false" ht="15" hidden="false" customHeight="false" outlineLevel="0" collapsed="false">
      <c r="A604" s="78" t="str">
        <f aca="false">IF(E604="","",ROW()-6)</f>
        <v/>
      </c>
      <c r="B604" s="79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1"/>
      <c r="Q604" s="81"/>
      <c r="R604" s="80"/>
      <c r="S604" s="80"/>
      <c r="T604" s="81"/>
      <c r="U604" s="80"/>
      <c r="V604" s="80"/>
      <c r="W604" s="80"/>
      <c r="X604" s="80"/>
      <c r="Y604" s="81"/>
      <c r="Z604" s="80"/>
      <c r="AA604" s="80"/>
      <c r="AB604" s="80"/>
      <c r="AC604" s="80"/>
      <c r="AD604" s="81"/>
      <c r="AE604" s="80"/>
      <c r="AF604" s="80"/>
      <c r="AG604" s="81"/>
      <c r="AH604" s="79"/>
      <c r="AI604" s="78" t="str">
        <f aca="false">IF(E604="","",(V604&lt;&gt;"")+(AA604&lt;&gt;"")+(AF604&lt;&gt;""))</f>
        <v/>
      </c>
      <c r="AJ604" s="82" t="str">
        <f aca="false">IF(AF604&lt;&gt;"",AF604,IF(AA604&lt;&gt;"",AA604,IF(V604&lt;&gt;"",V604,"")))</f>
        <v/>
      </c>
      <c r="AK604" s="83" t="str">
        <f aca="false">IF(E604="","",IF(P604="","À SOUDER",IF(S604="","VT EN ATTENTE",IF(S604="R","VT REJETÉ – À REPRENDRE",IF(AJ604="","À RADIOGRAPHIER",IF(AJ604="A","ACCEPTÉ",IF(AJ604="NX","NX – RT À REFAIRE",IF(IF(AI604=1,X604,IF(AI604=2,AC604,""))="A","RÉPARÉ – À RADIOGRAPHIER",IF(IF(AI604=1,X604,IF(AI604=2,AC604,""))="R","VT REJETÉ – À REPRENDRE",IF(AJ604="CO","COUPE – À RESOUDER","À RÉPARER"))))))))))</f>
        <v/>
      </c>
      <c r="AL604" s="82" t="str">
        <f aca="false">IF(AND(ISNUMBER(P604),OR(AK604="À RADIOGRAPHIER",AK604="RÉPARÉ – À RADIOGRAPHIER",AK604="NX – RT À REFAIRE",AK604="À RÉPARER",AK604="COUPE – À RESOUDER",AK604="VT REJETÉ – À REPRENDRE")),MAX(0,'PROGRAMME RT'!$C$4-P604),"")</f>
        <v/>
      </c>
      <c r="AM604" s="78" t="n">
        <f aca="false">IF(AND(OR(AK604="À RADIOGRAPHIER",AK604="RÉPARÉ – À RADIOGRAPHIER",AK604="NX – RT À REFAIRE"),OR('PROGRAMME RT'!$D$5="TOUTES",B604='PROGRAMME RT'!$D$5)),1,0)</f>
        <v>0</v>
      </c>
      <c r="AN604" s="78" t="str">
        <f aca="false">IF(AM604=1,SUM(AM$7:AM604),"")</f>
        <v/>
      </c>
      <c r="AO604" s="78" t="n">
        <f aca="false">IF(AND(OR(AK604="À RÉPARER",AK604="COUPE – À RESOUDER",AK604="VT REJETÉ – À REPRENDRE"),OR(RÉPARATIONS!$D$5="TOUTES",B604=RÉPARATIONS!$D$5)),1,0)</f>
        <v>0</v>
      </c>
      <c r="AP604" s="78" t="str">
        <f aca="false">IF(AO604=1,SUM(AO$7:AO604),"")</f>
        <v/>
      </c>
    </row>
    <row r="605" customFormat="false" ht="15" hidden="false" customHeight="false" outlineLevel="0" collapsed="false">
      <c r="A605" s="78" t="str">
        <f aca="false">IF(E605="","",ROW()-6)</f>
        <v/>
      </c>
      <c r="B605" s="79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1"/>
      <c r="Q605" s="81"/>
      <c r="R605" s="80"/>
      <c r="S605" s="80"/>
      <c r="T605" s="81"/>
      <c r="U605" s="80"/>
      <c r="V605" s="80"/>
      <c r="W605" s="80"/>
      <c r="X605" s="80"/>
      <c r="Y605" s="81"/>
      <c r="Z605" s="80"/>
      <c r="AA605" s="80"/>
      <c r="AB605" s="80"/>
      <c r="AC605" s="80"/>
      <c r="AD605" s="81"/>
      <c r="AE605" s="80"/>
      <c r="AF605" s="80"/>
      <c r="AG605" s="81"/>
      <c r="AH605" s="79"/>
      <c r="AI605" s="78" t="str">
        <f aca="false">IF(E605="","",(V605&lt;&gt;"")+(AA605&lt;&gt;"")+(AF605&lt;&gt;""))</f>
        <v/>
      </c>
      <c r="AJ605" s="82" t="str">
        <f aca="false">IF(AF605&lt;&gt;"",AF605,IF(AA605&lt;&gt;"",AA605,IF(V605&lt;&gt;"",V605,"")))</f>
        <v/>
      </c>
      <c r="AK605" s="83" t="str">
        <f aca="false">IF(E605="","",IF(P605="","À SOUDER",IF(S605="","VT EN ATTENTE",IF(S605="R","VT REJETÉ – À REPRENDRE",IF(AJ605="","À RADIOGRAPHIER",IF(AJ605="A","ACCEPTÉ",IF(AJ605="NX","NX – RT À REFAIRE",IF(IF(AI605=1,X605,IF(AI605=2,AC605,""))="A","RÉPARÉ – À RADIOGRAPHIER",IF(IF(AI605=1,X605,IF(AI605=2,AC605,""))="R","VT REJETÉ – À REPRENDRE",IF(AJ605="CO","COUPE – À RESOUDER","À RÉPARER"))))))))))</f>
        <v/>
      </c>
      <c r="AL605" s="82" t="str">
        <f aca="false">IF(AND(ISNUMBER(P605),OR(AK605="À RADIOGRAPHIER",AK605="RÉPARÉ – À RADIOGRAPHIER",AK605="NX – RT À REFAIRE",AK605="À RÉPARER",AK605="COUPE – À RESOUDER",AK605="VT REJETÉ – À REPRENDRE")),MAX(0,'PROGRAMME RT'!$C$4-P605),"")</f>
        <v/>
      </c>
      <c r="AM605" s="78" t="n">
        <f aca="false">IF(AND(OR(AK605="À RADIOGRAPHIER",AK605="RÉPARÉ – À RADIOGRAPHIER",AK605="NX – RT À REFAIRE"),OR('PROGRAMME RT'!$D$5="TOUTES",B605='PROGRAMME RT'!$D$5)),1,0)</f>
        <v>0</v>
      </c>
      <c r="AN605" s="78" t="str">
        <f aca="false">IF(AM605=1,SUM(AM$7:AM605),"")</f>
        <v/>
      </c>
      <c r="AO605" s="78" t="n">
        <f aca="false">IF(AND(OR(AK605="À RÉPARER",AK605="COUPE – À RESOUDER",AK605="VT REJETÉ – À REPRENDRE"),OR(RÉPARATIONS!$D$5="TOUTES",B605=RÉPARATIONS!$D$5)),1,0)</f>
        <v>0</v>
      </c>
      <c r="AP605" s="78" t="str">
        <f aca="false">IF(AO605=1,SUM(AO$7:AO605),"")</f>
        <v/>
      </c>
    </row>
    <row r="606" customFormat="false" ht="15" hidden="false" customHeight="false" outlineLevel="0" collapsed="false">
      <c r="A606" s="78" t="str">
        <f aca="false">IF(E606="","",ROW()-6)</f>
        <v/>
      </c>
      <c r="B606" s="79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1"/>
      <c r="Q606" s="81"/>
      <c r="R606" s="80"/>
      <c r="S606" s="80"/>
      <c r="T606" s="81"/>
      <c r="U606" s="80"/>
      <c r="V606" s="80"/>
      <c r="W606" s="80"/>
      <c r="X606" s="80"/>
      <c r="Y606" s="81"/>
      <c r="Z606" s="80"/>
      <c r="AA606" s="80"/>
      <c r="AB606" s="80"/>
      <c r="AC606" s="80"/>
      <c r="AD606" s="81"/>
      <c r="AE606" s="80"/>
      <c r="AF606" s="80"/>
      <c r="AG606" s="81"/>
      <c r="AH606" s="79"/>
      <c r="AI606" s="78" t="str">
        <f aca="false">IF(E606="","",(V606&lt;&gt;"")+(AA606&lt;&gt;"")+(AF606&lt;&gt;""))</f>
        <v/>
      </c>
      <c r="AJ606" s="82" t="str">
        <f aca="false">IF(AF606&lt;&gt;"",AF606,IF(AA606&lt;&gt;"",AA606,IF(V606&lt;&gt;"",V606,"")))</f>
        <v/>
      </c>
      <c r="AK606" s="83" t="str">
        <f aca="false">IF(E606="","",IF(P606="","À SOUDER",IF(S606="","VT EN ATTENTE",IF(S606="R","VT REJETÉ – À REPRENDRE",IF(AJ606="","À RADIOGRAPHIER",IF(AJ606="A","ACCEPTÉ",IF(AJ606="NX","NX – RT À REFAIRE",IF(IF(AI606=1,X606,IF(AI606=2,AC606,""))="A","RÉPARÉ – À RADIOGRAPHIER",IF(IF(AI606=1,X606,IF(AI606=2,AC606,""))="R","VT REJETÉ – À REPRENDRE",IF(AJ606="CO","COUPE – À RESOUDER","À RÉPARER"))))))))))</f>
        <v/>
      </c>
      <c r="AL606" s="82" t="str">
        <f aca="false">IF(AND(ISNUMBER(P606),OR(AK606="À RADIOGRAPHIER",AK606="RÉPARÉ – À RADIOGRAPHIER",AK606="NX – RT À REFAIRE",AK606="À RÉPARER",AK606="COUPE – À RESOUDER",AK606="VT REJETÉ – À REPRENDRE")),MAX(0,'PROGRAMME RT'!$C$4-P606),"")</f>
        <v/>
      </c>
      <c r="AM606" s="78" t="n">
        <f aca="false">IF(AND(OR(AK606="À RADIOGRAPHIER",AK606="RÉPARÉ – À RADIOGRAPHIER",AK606="NX – RT À REFAIRE"),OR('PROGRAMME RT'!$D$5="TOUTES",B606='PROGRAMME RT'!$D$5)),1,0)</f>
        <v>0</v>
      </c>
      <c r="AN606" s="78" t="str">
        <f aca="false">IF(AM606=1,SUM(AM$7:AM606),"")</f>
        <v/>
      </c>
      <c r="AO606" s="78" t="n">
        <f aca="false">IF(AND(OR(AK606="À RÉPARER",AK606="COUPE – À RESOUDER",AK606="VT REJETÉ – À REPRENDRE"),OR(RÉPARATIONS!$D$5="TOUTES",B606=RÉPARATIONS!$D$5)),1,0)</f>
        <v>0</v>
      </c>
      <c r="AP606" s="78" t="str">
        <f aca="false">IF(AO606=1,SUM(AO$7:AO606),"")</f>
        <v/>
      </c>
    </row>
    <row r="607" customFormat="false" ht="15" hidden="false" customHeight="false" outlineLevel="0" collapsed="false">
      <c r="A607" s="78" t="str">
        <f aca="false">IF(E607="","",ROW()-6)</f>
        <v/>
      </c>
      <c r="B607" s="79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1"/>
      <c r="Q607" s="81"/>
      <c r="R607" s="80"/>
      <c r="S607" s="80"/>
      <c r="T607" s="81"/>
      <c r="U607" s="80"/>
      <c r="V607" s="80"/>
      <c r="W607" s="80"/>
      <c r="X607" s="80"/>
      <c r="Y607" s="81"/>
      <c r="Z607" s="80"/>
      <c r="AA607" s="80"/>
      <c r="AB607" s="80"/>
      <c r="AC607" s="80"/>
      <c r="AD607" s="81"/>
      <c r="AE607" s="80"/>
      <c r="AF607" s="80"/>
      <c r="AG607" s="81"/>
      <c r="AH607" s="79"/>
      <c r="AI607" s="78" t="str">
        <f aca="false">IF(E607="","",(V607&lt;&gt;"")+(AA607&lt;&gt;"")+(AF607&lt;&gt;""))</f>
        <v/>
      </c>
      <c r="AJ607" s="82" t="str">
        <f aca="false">IF(AF607&lt;&gt;"",AF607,IF(AA607&lt;&gt;"",AA607,IF(V607&lt;&gt;"",V607,"")))</f>
        <v/>
      </c>
      <c r="AK607" s="83" t="str">
        <f aca="false">IF(E607="","",IF(P607="","À SOUDER",IF(S607="","VT EN ATTENTE",IF(S607="R","VT REJETÉ – À REPRENDRE",IF(AJ607="","À RADIOGRAPHIER",IF(AJ607="A","ACCEPTÉ",IF(AJ607="NX","NX – RT À REFAIRE",IF(IF(AI607=1,X607,IF(AI607=2,AC607,""))="A","RÉPARÉ – À RADIOGRAPHIER",IF(IF(AI607=1,X607,IF(AI607=2,AC607,""))="R","VT REJETÉ – À REPRENDRE",IF(AJ607="CO","COUPE – À RESOUDER","À RÉPARER"))))))))))</f>
        <v/>
      </c>
      <c r="AL607" s="82" t="str">
        <f aca="false">IF(AND(ISNUMBER(P607),OR(AK607="À RADIOGRAPHIER",AK607="RÉPARÉ – À RADIOGRAPHIER",AK607="NX – RT À REFAIRE",AK607="À RÉPARER",AK607="COUPE – À RESOUDER",AK607="VT REJETÉ – À REPRENDRE")),MAX(0,'PROGRAMME RT'!$C$4-P607),"")</f>
        <v/>
      </c>
      <c r="AM607" s="78" t="n">
        <f aca="false">IF(AND(OR(AK607="À RADIOGRAPHIER",AK607="RÉPARÉ – À RADIOGRAPHIER",AK607="NX – RT À REFAIRE"),OR('PROGRAMME RT'!$D$5="TOUTES",B607='PROGRAMME RT'!$D$5)),1,0)</f>
        <v>0</v>
      </c>
      <c r="AN607" s="78" t="str">
        <f aca="false">IF(AM607=1,SUM(AM$7:AM607),"")</f>
        <v/>
      </c>
      <c r="AO607" s="78" t="n">
        <f aca="false">IF(AND(OR(AK607="À RÉPARER",AK607="COUPE – À RESOUDER",AK607="VT REJETÉ – À REPRENDRE"),OR(RÉPARATIONS!$D$5="TOUTES",B607=RÉPARATIONS!$D$5)),1,0)</f>
        <v>0</v>
      </c>
      <c r="AP607" s="78" t="str">
        <f aca="false">IF(AO607=1,SUM(AO$7:AO607),"")</f>
        <v/>
      </c>
    </row>
    <row r="608" customFormat="false" ht="15" hidden="false" customHeight="false" outlineLevel="0" collapsed="false">
      <c r="A608" s="78" t="str">
        <f aca="false">IF(E608="","",ROW()-6)</f>
        <v/>
      </c>
      <c r="B608" s="79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1"/>
      <c r="Q608" s="81"/>
      <c r="R608" s="80"/>
      <c r="S608" s="80"/>
      <c r="T608" s="81"/>
      <c r="U608" s="80"/>
      <c r="V608" s="80"/>
      <c r="W608" s="80"/>
      <c r="X608" s="80"/>
      <c r="Y608" s="81"/>
      <c r="Z608" s="80"/>
      <c r="AA608" s="80"/>
      <c r="AB608" s="80"/>
      <c r="AC608" s="80"/>
      <c r="AD608" s="81"/>
      <c r="AE608" s="80"/>
      <c r="AF608" s="80"/>
      <c r="AG608" s="81"/>
      <c r="AH608" s="79"/>
      <c r="AI608" s="78" t="str">
        <f aca="false">IF(E608="","",(V608&lt;&gt;"")+(AA608&lt;&gt;"")+(AF608&lt;&gt;""))</f>
        <v/>
      </c>
      <c r="AJ608" s="82" t="str">
        <f aca="false">IF(AF608&lt;&gt;"",AF608,IF(AA608&lt;&gt;"",AA608,IF(V608&lt;&gt;"",V608,"")))</f>
        <v/>
      </c>
      <c r="AK608" s="83" t="str">
        <f aca="false">IF(E608="","",IF(P608="","À SOUDER",IF(S608="","VT EN ATTENTE",IF(S608="R","VT REJETÉ – À REPRENDRE",IF(AJ608="","À RADIOGRAPHIER",IF(AJ608="A","ACCEPTÉ",IF(AJ608="NX","NX – RT À REFAIRE",IF(IF(AI608=1,X608,IF(AI608=2,AC608,""))="A","RÉPARÉ – À RADIOGRAPHIER",IF(IF(AI608=1,X608,IF(AI608=2,AC608,""))="R","VT REJETÉ – À REPRENDRE",IF(AJ608="CO","COUPE – À RESOUDER","À RÉPARER"))))))))))</f>
        <v/>
      </c>
      <c r="AL608" s="82" t="str">
        <f aca="false">IF(AND(ISNUMBER(P608),OR(AK608="À RADIOGRAPHIER",AK608="RÉPARÉ – À RADIOGRAPHIER",AK608="NX – RT À REFAIRE",AK608="À RÉPARER",AK608="COUPE – À RESOUDER",AK608="VT REJETÉ – À REPRENDRE")),MAX(0,'PROGRAMME RT'!$C$4-P608),"")</f>
        <v/>
      </c>
      <c r="AM608" s="78" t="n">
        <f aca="false">IF(AND(OR(AK608="À RADIOGRAPHIER",AK608="RÉPARÉ – À RADIOGRAPHIER",AK608="NX – RT À REFAIRE"),OR('PROGRAMME RT'!$D$5="TOUTES",B608='PROGRAMME RT'!$D$5)),1,0)</f>
        <v>0</v>
      </c>
      <c r="AN608" s="78" t="str">
        <f aca="false">IF(AM608=1,SUM(AM$7:AM608),"")</f>
        <v/>
      </c>
      <c r="AO608" s="78" t="n">
        <f aca="false">IF(AND(OR(AK608="À RÉPARER",AK608="COUPE – À RESOUDER",AK608="VT REJETÉ – À REPRENDRE"),OR(RÉPARATIONS!$D$5="TOUTES",B608=RÉPARATIONS!$D$5)),1,0)</f>
        <v>0</v>
      </c>
      <c r="AP608" s="78" t="str">
        <f aca="false">IF(AO608=1,SUM(AO$7:AO608),"")</f>
        <v/>
      </c>
    </row>
    <row r="609" customFormat="false" ht="15" hidden="false" customHeight="false" outlineLevel="0" collapsed="false">
      <c r="A609" s="78" t="str">
        <f aca="false">IF(E609="","",ROW()-6)</f>
        <v/>
      </c>
      <c r="B609" s="79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1"/>
      <c r="Q609" s="81"/>
      <c r="R609" s="80"/>
      <c r="S609" s="80"/>
      <c r="T609" s="81"/>
      <c r="U609" s="80"/>
      <c r="V609" s="80"/>
      <c r="W609" s="80"/>
      <c r="X609" s="80"/>
      <c r="Y609" s="81"/>
      <c r="Z609" s="80"/>
      <c r="AA609" s="80"/>
      <c r="AB609" s="80"/>
      <c r="AC609" s="80"/>
      <c r="AD609" s="81"/>
      <c r="AE609" s="80"/>
      <c r="AF609" s="80"/>
      <c r="AG609" s="81"/>
      <c r="AH609" s="79"/>
      <c r="AI609" s="78" t="str">
        <f aca="false">IF(E609="","",(V609&lt;&gt;"")+(AA609&lt;&gt;"")+(AF609&lt;&gt;""))</f>
        <v/>
      </c>
      <c r="AJ609" s="82" t="str">
        <f aca="false">IF(AF609&lt;&gt;"",AF609,IF(AA609&lt;&gt;"",AA609,IF(V609&lt;&gt;"",V609,"")))</f>
        <v/>
      </c>
      <c r="AK609" s="83" t="str">
        <f aca="false">IF(E609="","",IF(P609="","À SOUDER",IF(S609="","VT EN ATTENTE",IF(S609="R","VT REJETÉ – À REPRENDRE",IF(AJ609="","À RADIOGRAPHIER",IF(AJ609="A","ACCEPTÉ",IF(AJ609="NX","NX – RT À REFAIRE",IF(IF(AI609=1,X609,IF(AI609=2,AC609,""))="A","RÉPARÉ – À RADIOGRAPHIER",IF(IF(AI609=1,X609,IF(AI609=2,AC609,""))="R","VT REJETÉ – À REPRENDRE",IF(AJ609="CO","COUPE – À RESOUDER","À RÉPARER"))))))))))</f>
        <v/>
      </c>
      <c r="AL609" s="82" t="str">
        <f aca="false">IF(AND(ISNUMBER(P609),OR(AK609="À RADIOGRAPHIER",AK609="RÉPARÉ – À RADIOGRAPHIER",AK609="NX – RT À REFAIRE",AK609="À RÉPARER",AK609="COUPE – À RESOUDER",AK609="VT REJETÉ – À REPRENDRE")),MAX(0,'PROGRAMME RT'!$C$4-P609),"")</f>
        <v/>
      </c>
      <c r="AM609" s="78" t="n">
        <f aca="false">IF(AND(OR(AK609="À RADIOGRAPHIER",AK609="RÉPARÉ – À RADIOGRAPHIER",AK609="NX – RT À REFAIRE"),OR('PROGRAMME RT'!$D$5="TOUTES",B609='PROGRAMME RT'!$D$5)),1,0)</f>
        <v>0</v>
      </c>
      <c r="AN609" s="78" t="str">
        <f aca="false">IF(AM609=1,SUM(AM$7:AM609),"")</f>
        <v/>
      </c>
      <c r="AO609" s="78" t="n">
        <f aca="false">IF(AND(OR(AK609="À RÉPARER",AK609="COUPE – À RESOUDER",AK609="VT REJETÉ – À REPRENDRE"),OR(RÉPARATIONS!$D$5="TOUTES",B609=RÉPARATIONS!$D$5)),1,0)</f>
        <v>0</v>
      </c>
      <c r="AP609" s="78" t="str">
        <f aca="false">IF(AO609=1,SUM(AO$7:AO609),"")</f>
        <v/>
      </c>
    </row>
    <row r="610" customFormat="false" ht="15" hidden="false" customHeight="false" outlineLevel="0" collapsed="false">
      <c r="A610" s="78" t="str">
        <f aca="false">IF(E610="","",ROW()-6)</f>
        <v/>
      </c>
      <c r="B610" s="79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1"/>
      <c r="Q610" s="81"/>
      <c r="R610" s="80"/>
      <c r="S610" s="80"/>
      <c r="T610" s="81"/>
      <c r="U610" s="80"/>
      <c r="V610" s="80"/>
      <c r="W610" s="80"/>
      <c r="X610" s="80"/>
      <c r="Y610" s="81"/>
      <c r="Z610" s="80"/>
      <c r="AA610" s="80"/>
      <c r="AB610" s="80"/>
      <c r="AC610" s="80"/>
      <c r="AD610" s="81"/>
      <c r="AE610" s="80"/>
      <c r="AF610" s="80"/>
      <c r="AG610" s="81"/>
      <c r="AH610" s="79"/>
      <c r="AI610" s="78" t="str">
        <f aca="false">IF(E610="","",(V610&lt;&gt;"")+(AA610&lt;&gt;"")+(AF610&lt;&gt;""))</f>
        <v/>
      </c>
      <c r="AJ610" s="82" t="str">
        <f aca="false">IF(AF610&lt;&gt;"",AF610,IF(AA610&lt;&gt;"",AA610,IF(V610&lt;&gt;"",V610,"")))</f>
        <v/>
      </c>
      <c r="AK610" s="83" t="str">
        <f aca="false">IF(E610="","",IF(P610="","À SOUDER",IF(S610="","VT EN ATTENTE",IF(S610="R","VT REJETÉ – À REPRENDRE",IF(AJ610="","À RADIOGRAPHIER",IF(AJ610="A","ACCEPTÉ",IF(AJ610="NX","NX – RT À REFAIRE",IF(IF(AI610=1,X610,IF(AI610=2,AC610,""))="A","RÉPARÉ – À RADIOGRAPHIER",IF(IF(AI610=1,X610,IF(AI610=2,AC610,""))="R","VT REJETÉ – À REPRENDRE",IF(AJ610="CO","COUPE – À RESOUDER","À RÉPARER"))))))))))</f>
        <v/>
      </c>
      <c r="AL610" s="82" t="str">
        <f aca="false">IF(AND(ISNUMBER(P610),OR(AK610="À RADIOGRAPHIER",AK610="RÉPARÉ – À RADIOGRAPHIER",AK610="NX – RT À REFAIRE",AK610="À RÉPARER",AK610="COUPE – À RESOUDER",AK610="VT REJETÉ – À REPRENDRE")),MAX(0,'PROGRAMME RT'!$C$4-P610),"")</f>
        <v/>
      </c>
      <c r="AM610" s="78" t="n">
        <f aca="false">IF(AND(OR(AK610="À RADIOGRAPHIER",AK610="RÉPARÉ – À RADIOGRAPHIER",AK610="NX – RT À REFAIRE"),OR('PROGRAMME RT'!$D$5="TOUTES",B610='PROGRAMME RT'!$D$5)),1,0)</f>
        <v>0</v>
      </c>
      <c r="AN610" s="78" t="str">
        <f aca="false">IF(AM610=1,SUM(AM$7:AM610),"")</f>
        <v/>
      </c>
      <c r="AO610" s="78" t="n">
        <f aca="false">IF(AND(OR(AK610="À RÉPARER",AK610="COUPE – À RESOUDER",AK610="VT REJETÉ – À REPRENDRE"),OR(RÉPARATIONS!$D$5="TOUTES",B610=RÉPARATIONS!$D$5)),1,0)</f>
        <v>0</v>
      </c>
      <c r="AP610" s="78" t="str">
        <f aca="false">IF(AO610=1,SUM(AO$7:AO610),"")</f>
        <v/>
      </c>
    </row>
    <row r="611" customFormat="false" ht="15" hidden="false" customHeight="false" outlineLevel="0" collapsed="false">
      <c r="A611" s="78" t="str">
        <f aca="false">IF(E611="","",ROW()-6)</f>
        <v/>
      </c>
      <c r="B611" s="79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1"/>
      <c r="Q611" s="81"/>
      <c r="R611" s="80"/>
      <c r="S611" s="80"/>
      <c r="T611" s="81"/>
      <c r="U611" s="80"/>
      <c r="V611" s="80"/>
      <c r="W611" s="80"/>
      <c r="X611" s="80"/>
      <c r="Y611" s="81"/>
      <c r="Z611" s="80"/>
      <c r="AA611" s="80"/>
      <c r="AB611" s="80"/>
      <c r="AC611" s="80"/>
      <c r="AD611" s="81"/>
      <c r="AE611" s="80"/>
      <c r="AF611" s="80"/>
      <c r="AG611" s="81"/>
      <c r="AH611" s="79"/>
      <c r="AI611" s="78" t="str">
        <f aca="false">IF(E611="","",(V611&lt;&gt;"")+(AA611&lt;&gt;"")+(AF611&lt;&gt;""))</f>
        <v/>
      </c>
      <c r="AJ611" s="82" t="str">
        <f aca="false">IF(AF611&lt;&gt;"",AF611,IF(AA611&lt;&gt;"",AA611,IF(V611&lt;&gt;"",V611,"")))</f>
        <v/>
      </c>
      <c r="AK611" s="83" t="str">
        <f aca="false">IF(E611="","",IF(P611="","À SOUDER",IF(S611="","VT EN ATTENTE",IF(S611="R","VT REJETÉ – À REPRENDRE",IF(AJ611="","À RADIOGRAPHIER",IF(AJ611="A","ACCEPTÉ",IF(AJ611="NX","NX – RT À REFAIRE",IF(IF(AI611=1,X611,IF(AI611=2,AC611,""))="A","RÉPARÉ – À RADIOGRAPHIER",IF(IF(AI611=1,X611,IF(AI611=2,AC611,""))="R","VT REJETÉ – À REPRENDRE",IF(AJ611="CO","COUPE – À RESOUDER","À RÉPARER"))))))))))</f>
        <v/>
      </c>
      <c r="AL611" s="82" t="str">
        <f aca="false">IF(AND(ISNUMBER(P611),OR(AK611="À RADIOGRAPHIER",AK611="RÉPARÉ – À RADIOGRAPHIER",AK611="NX – RT À REFAIRE",AK611="À RÉPARER",AK611="COUPE – À RESOUDER",AK611="VT REJETÉ – À REPRENDRE")),MAX(0,'PROGRAMME RT'!$C$4-P611),"")</f>
        <v/>
      </c>
      <c r="AM611" s="78" t="n">
        <f aca="false">IF(AND(OR(AK611="À RADIOGRAPHIER",AK611="RÉPARÉ – À RADIOGRAPHIER",AK611="NX – RT À REFAIRE"),OR('PROGRAMME RT'!$D$5="TOUTES",B611='PROGRAMME RT'!$D$5)),1,0)</f>
        <v>0</v>
      </c>
      <c r="AN611" s="78" t="str">
        <f aca="false">IF(AM611=1,SUM(AM$7:AM611),"")</f>
        <v/>
      </c>
      <c r="AO611" s="78" t="n">
        <f aca="false">IF(AND(OR(AK611="À RÉPARER",AK611="COUPE – À RESOUDER",AK611="VT REJETÉ – À REPRENDRE"),OR(RÉPARATIONS!$D$5="TOUTES",B611=RÉPARATIONS!$D$5)),1,0)</f>
        <v>0</v>
      </c>
      <c r="AP611" s="78" t="str">
        <f aca="false">IF(AO611=1,SUM(AO$7:AO611),"")</f>
        <v/>
      </c>
    </row>
    <row r="612" customFormat="false" ht="15" hidden="false" customHeight="false" outlineLevel="0" collapsed="false">
      <c r="A612" s="78" t="str">
        <f aca="false">IF(E612="","",ROW()-6)</f>
        <v/>
      </c>
      <c r="B612" s="79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1"/>
      <c r="Q612" s="81"/>
      <c r="R612" s="80"/>
      <c r="S612" s="80"/>
      <c r="T612" s="81"/>
      <c r="U612" s="80"/>
      <c r="V612" s="80"/>
      <c r="W612" s="80"/>
      <c r="X612" s="80"/>
      <c r="Y612" s="81"/>
      <c r="Z612" s="80"/>
      <c r="AA612" s="80"/>
      <c r="AB612" s="80"/>
      <c r="AC612" s="80"/>
      <c r="AD612" s="81"/>
      <c r="AE612" s="80"/>
      <c r="AF612" s="80"/>
      <c r="AG612" s="81"/>
      <c r="AH612" s="79"/>
      <c r="AI612" s="78" t="str">
        <f aca="false">IF(E612="","",(V612&lt;&gt;"")+(AA612&lt;&gt;"")+(AF612&lt;&gt;""))</f>
        <v/>
      </c>
      <c r="AJ612" s="82" t="str">
        <f aca="false">IF(AF612&lt;&gt;"",AF612,IF(AA612&lt;&gt;"",AA612,IF(V612&lt;&gt;"",V612,"")))</f>
        <v/>
      </c>
      <c r="AK612" s="83" t="str">
        <f aca="false">IF(E612="","",IF(P612="","À SOUDER",IF(S612="","VT EN ATTENTE",IF(S612="R","VT REJETÉ – À REPRENDRE",IF(AJ612="","À RADIOGRAPHIER",IF(AJ612="A","ACCEPTÉ",IF(AJ612="NX","NX – RT À REFAIRE",IF(IF(AI612=1,X612,IF(AI612=2,AC612,""))="A","RÉPARÉ – À RADIOGRAPHIER",IF(IF(AI612=1,X612,IF(AI612=2,AC612,""))="R","VT REJETÉ – À REPRENDRE",IF(AJ612="CO","COUPE – À RESOUDER","À RÉPARER"))))))))))</f>
        <v/>
      </c>
      <c r="AL612" s="82" t="str">
        <f aca="false">IF(AND(ISNUMBER(P612),OR(AK612="À RADIOGRAPHIER",AK612="RÉPARÉ – À RADIOGRAPHIER",AK612="NX – RT À REFAIRE",AK612="À RÉPARER",AK612="COUPE – À RESOUDER",AK612="VT REJETÉ – À REPRENDRE")),MAX(0,'PROGRAMME RT'!$C$4-P612),"")</f>
        <v/>
      </c>
      <c r="AM612" s="78" t="n">
        <f aca="false">IF(AND(OR(AK612="À RADIOGRAPHIER",AK612="RÉPARÉ – À RADIOGRAPHIER",AK612="NX – RT À REFAIRE"),OR('PROGRAMME RT'!$D$5="TOUTES",B612='PROGRAMME RT'!$D$5)),1,0)</f>
        <v>0</v>
      </c>
      <c r="AN612" s="78" t="str">
        <f aca="false">IF(AM612=1,SUM(AM$7:AM612),"")</f>
        <v/>
      </c>
      <c r="AO612" s="78" t="n">
        <f aca="false">IF(AND(OR(AK612="À RÉPARER",AK612="COUPE – À RESOUDER",AK612="VT REJETÉ – À REPRENDRE"),OR(RÉPARATIONS!$D$5="TOUTES",B612=RÉPARATIONS!$D$5)),1,0)</f>
        <v>0</v>
      </c>
      <c r="AP612" s="78" t="str">
        <f aca="false">IF(AO612=1,SUM(AO$7:AO612),"")</f>
        <v/>
      </c>
    </row>
    <row r="613" customFormat="false" ht="15" hidden="false" customHeight="false" outlineLevel="0" collapsed="false">
      <c r="A613" s="78" t="str">
        <f aca="false">IF(E613="","",ROW()-6)</f>
        <v/>
      </c>
      <c r="B613" s="79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1"/>
      <c r="Q613" s="81"/>
      <c r="R613" s="80"/>
      <c r="S613" s="80"/>
      <c r="T613" s="81"/>
      <c r="U613" s="80"/>
      <c r="V613" s="80"/>
      <c r="W613" s="80"/>
      <c r="X613" s="80"/>
      <c r="Y613" s="81"/>
      <c r="Z613" s="80"/>
      <c r="AA613" s="80"/>
      <c r="AB613" s="80"/>
      <c r="AC613" s="80"/>
      <c r="AD613" s="81"/>
      <c r="AE613" s="80"/>
      <c r="AF613" s="80"/>
      <c r="AG613" s="81"/>
      <c r="AH613" s="79"/>
      <c r="AI613" s="78" t="str">
        <f aca="false">IF(E613="","",(V613&lt;&gt;"")+(AA613&lt;&gt;"")+(AF613&lt;&gt;""))</f>
        <v/>
      </c>
      <c r="AJ613" s="82" t="str">
        <f aca="false">IF(AF613&lt;&gt;"",AF613,IF(AA613&lt;&gt;"",AA613,IF(V613&lt;&gt;"",V613,"")))</f>
        <v/>
      </c>
      <c r="AK613" s="83" t="str">
        <f aca="false">IF(E613="","",IF(P613="","À SOUDER",IF(S613="","VT EN ATTENTE",IF(S613="R","VT REJETÉ – À REPRENDRE",IF(AJ613="","À RADIOGRAPHIER",IF(AJ613="A","ACCEPTÉ",IF(AJ613="NX","NX – RT À REFAIRE",IF(IF(AI613=1,X613,IF(AI613=2,AC613,""))="A","RÉPARÉ – À RADIOGRAPHIER",IF(IF(AI613=1,X613,IF(AI613=2,AC613,""))="R","VT REJETÉ – À REPRENDRE",IF(AJ613="CO","COUPE – À RESOUDER","À RÉPARER"))))))))))</f>
        <v/>
      </c>
      <c r="AL613" s="82" t="str">
        <f aca="false">IF(AND(ISNUMBER(P613),OR(AK613="À RADIOGRAPHIER",AK613="RÉPARÉ – À RADIOGRAPHIER",AK613="NX – RT À REFAIRE",AK613="À RÉPARER",AK613="COUPE – À RESOUDER",AK613="VT REJETÉ – À REPRENDRE")),MAX(0,'PROGRAMME RT'!$C$4-P613),"")</f>
        <v/>
      </c>
      <c r="AM613" s="78" t="n">
        <f aca="false">IF(AND(OR(AK613="À RADIOGRAPHIER",AK613="RÉPARÉ – À RADIOGRAPHIER",AK613="NX – RT À REFAIRE"),OR('PROGRAMME RT'!$D$5="TOUTES",B613='PROGRAMME RT'!$D$5)),1,0)</f>
        <v>0</v>
      </c>
      <c r="AN613" s="78" t="str">
        <f aca="false">IF(AM613=1,SUM(AM$7:AM613),"")</f>
        <v/>
      </c>
      <c r="AO613" s="78" t="n">
        <f aca="false">IF(AND(OR(AK613="À RÉPARER",AK613="COUPE – À RESOUDER",AK613="VT REJETÉ – À REPRENDRE"),OR(RÉPARATIONS!$D$5="TOUTES",B613=RÉPARATIONS!$D$5)),1,0)</f>
        <v>0</v>
      </c>
      <c r="AP613" s="78" t="str">
        <f aca="false">IF(AO613=1,SUM(AO$7:AO613),"")</f>
        <v/>
      </c>
    </row>
    <row r="614" customFormat="false" ht="15" hidden="false" customHeight="false" outlineLevel="0" collapsed="false">
      <c r="A614" s="78" t="str">
        <f aca="false">IF(E614="","",ROW()-6)</f>
        <v/>
      </c>
      <c r="B614" s="79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1"/>
      <c r="Q614" s="81"/>
      <c r="R614" s="80"/>
      <c r="S614" s="80"/>
      <c r="T614" s="81"/>
      <c r="U614" s="80"/>
      <c r="V614" s="80"/>
      <c r="W614" s="80"/>
      <c r="X614" s="80"/>
      <c r="Y614" s="81"/>
      <c r="Z614" s="80"/>
      <c r="AA614" s="80"/>
      <c r="AB614" s="80"/>
      <c r="AC614" s="80"/>
      <c r="AD614" s="81"/>
      <c r="AE614" s="80"/>
      <c r="AF614" s="80"/>
      <c r="AG614" s="81"/>
      <c r="AH614" s="79"/>
      <c r="AI614" s="78" t="str">
        <f aca="false">IF(E614="","",(V614&lt;&gt;"")+(AA614&lt;&gt;"")+(AF614&lt;&gt;""))</f>
        <v/>
      </c>
      <c r="AJ614" s="82" t="str">
        <f aca="false">IF(AF614&lt;&gt;"",AF614,IF(AA614&lt;&gt;"",AA614,IF(V614&lt;&gt;"",V614,"")))</f>
        <v/>
      </c>
      <c r="AK614" s="83" t="str">
        <f aca="false">IF(E614="","",IF(P614="","À SOUDER",IF(S614="","VT EN ATTENTE",IF(S614="R","VT REJETÉ – À REPRENDRE",IF(AJ614="","À RADIOGRAPHIER",IF(AJ614="A","ACCEPTÉ",IF(AJ614="NX","NX – RT À REFAIRE",IF(IF(AI614=1,X614,IF(AI614=2,AC614,""))="A","RÉPARÉ – À RADIOGRAPHIER",IF(IF(AI614=1,X614,IF(AI614=2,AC614,""))="R","VT REJETÉ – À REPRENDRE",IF(AJ614="CO","COUPE – À RESOUDER","À RÉPARER"))))))))))</f>
        <v/>
      </c>
      <c r="AL614" s="82" t="str">
        <f aca="false">IF(AND(ISNUMBER(P614),OR(AK614="À RADIOGRAPHIER",AK614="RÉPARÉ – À RADIOGRAPHIER",AK614="NX – RT À REFAIRE",AK614="À RÉPARER",AK614="COUPE – À RESOUDER",AK614="VT REJETÉ – À REPRENDRE")),MAX(0,'PROGRAMME RT'!$C$4-P614),"")</f>
        <v/>
      </c>
      <c r="AM614" s="78" t="n">
        <f aca="false">IF(AND(OR(AK614="À RADIOGRAPHIER",AK614="RÉPARÉ – À RADIOGRAPHIER",AK614="NX – RT À REFAIRE"),OR('PROGRAMME RT'!$D$5="TOUTES",B614='PROGRAMME RT'!$D$5)),1,0)</f>
        <v>0</v>
      </c>
      <c r="AN614" s="78" t="str">
        <f aca="false">IF(AM614=1,SUM(AM$7:AM614),"")</f>
        <v/>
      </c>
      <c r="AO614" s="78" t="n">
        <f aca="false">IF(AND(OR(AK614="À RÉPARER",AK614="COUPE – À RESOUDER",AK614="VT REJETÉ – À REPRENDRE"),OR(RÉPARATIONS!$D$5="TOUTES",B614=RÉPARATIONS!$D$5)),1,0)</f>
        <v>0</v>
      </c>
      <c r="AP614" s="78" t="str">
        <f aca="false">IF(AO614=1,SUM(AO$7:AO614),"")</f>
        <v/>
      </c>
    </row>
    <row r="615" customFormat="false" ht="15" hidden="false" customHeight="false" outlineLevel="0" collapsed="false">
      <c r="A615" s="78" t="str">
        <f aca="false">IF(E615="","",ROW()-6)</f>
        <v/>
      </c>
      <c r="B615" s="79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1"/>
      <c r="Q615" s="81"/>
      <c r="R615" s="80"/>
      <c r="S615" s="80"/>
      <c r="T615" s="81"/>
      <c r="U615" s="80"/>
      <c r="V615" s="80"/>
      <c r="W615" s="80"/>
      <c r="X615" s="80"/>
      <c r="Y615" s="81"/>
      <c r="Z615" s="80"/>
      <c r="AA615" s="80"/>
      <c r="AB615" s="80"/>
      <c r="AC615" s="80"/>
      <c r="AD615" s="81"/>
      <c r="AE615" s="80"/>
      <c r="AF615" s="80"/>
      <c r="AG615" s="81"/>
      <c r="AH615" s="79"/>
      <c r="AI615" s="78" t="str">
        <f aca="false">IF(E615="","",(V615&lt;&gt;"")+(AA615&lt;&gt;"")+(AF615&lt;&gt;""))</f>
        <v/>
      </c>
      <c r="AJ615" s="82" t="str">
        <f aca="false">IF(AF615&lt;&gt;"",AF615,IF(AA615&lt;&gt;"",AA615,IF(V615&lt;&gt;"",V615,"")))</f>
        <v/>
      </c>
      <c r="AK615" s="83" t="str">
        <f aca="false">IF(E615="","",IF(P615="","À SOUDER",IF(S615="","VT EN ATTENTE",IF(S615="R","VT REJETÉ – À REPRENDRE",IF(AJ615="","À RADIOGRAPHIER",IF(AJ615="A","ACCEPTÉ",IF(AJ615="NX","NX – RT À REFAIRE",IF(IF(AI615=1,X615,IF(AI615=2,AC615,""))="A","RÉPARÉ – À RADIOGRAPHIER",IF(IF(AI615=1,X615,IF(AI615=2,AC615,""))="R","VT REJETÉ – À REPRENDRE",IF(AJ615="CO","COUPE – À RESOUDER","À RÉPARER"))))))))))</f>
        <v/>
      </c>
      <c r="AL615" s="82" t="str">
        <f aca="false">IF(AND(ISNUMBER(P615),OR(AK615="À RADIOGRAPHIER",AK615="RÉPARÉ – À RADIOGRAPHIER",AK615="NX – RT À REFAIRE",AK615="À RÉPARER",AK615="COUPE – À RESOUDER",AK615="VT REJETÉ – À REPRENDRE")),MAX(0,'PROGRAMME RT'!$C$4-P615),"")</f>
        <v/>
      </c>
      <c r="AM615" s="78" t="n">
        <f aca="false">IF(AND(OR(AK615="À RADIOGRAPHIER",AK615="RÉPARÉ – À RADIOGRAPHIER",AK615="NX – RT À REFAIRE"),OR('PROGRAMME RT'!$D$5="TOUTES",B615='PROGRAMME RT'!$D$5)),1,0)</f>
        <v>0</v>
      </c>
      <c r="AN615" s="78" t="str">
        <f aca="false">IF(AM615=1,SUM(AM$7:AM615),"")</f>
        <v/>
      </c>
      <c r="AO615" s="78" t="n">
        <f aca="false">IF(AND(OR(AK615="À RÉPARER",AK615="COUPE – À RESOUDER",AK615="VT REJETÉ – À REPRENDRE"),OR(RÉPARATIONS!$D$5="TOUTES",B615=RÉPARATIONS!$D$5)),1,0)</f>
        <v>0</v>
      </c>
      <c r="AP615" s="78" t="str">
        <f aca="false">IF(AO615=1,SUM(AO$7:AO615),"")</f>
        <v/>
      </c>
    </row>
    <row r="616" customFormat="false" ht="15" hidden="false" customHeight="false" outlineLevel="0" collapsed="false">
      <c r="A616" s="78" t="str">
        <f aca="false">IF(E616="","",ROW()-6)</f>
        <v/>
      </c>
      <c r="B616" s="79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1"/>
      <c r="Q616" s="81"/>
      <c r="R616" s="80"/>
      <c r="S616" s="80"/>
      <c r="T616" s="81"/>
      <c r="U616" s="80"/>
      <c r="V616" s="80"/>
      <c r="W616" s="80"/>
      <c r="X616" s="80"/>
      <c r="Y616" s="81"/>
      <c r="Z616" s="80"/>
      <c r="AA616" s="80"/>
      <c r="AB616" s="80"/>
      <c r="AC616" s="80"/>
      <c r="AD616" s="81"/>
      <c r="AE616" s="80"/>
      <c r="AF616" s="80"/>
      <c r="AG616" s="81"/>
      <c r="AH616" s="79"/>
      <c r="AI616" s="78" t="str">
        <f aca="false">IF(E616="","",(V616&lt;&gt;"")+(AA616&lt;&gt;"")+(AF616&lt;&gt;""))</f>
        <v/>
      </c>
      <c r="AJ616" s="82" t="str">
        <f aca="false">IF(AF616&lt;&gt;"",AF616,IF(AA616&lt;&gt;"",AA616,IF(V616&lt;&gt;"",V616,"")))</f>
        <v/>
      </c>
      <c r="AK616" s="83" t="str">
        <f aca="false">IF(E616="","",IF(P616="","À SOUDER",IF(S616="","VT EN ATTENTE",IF(S616="R","VT REJETÉ – À REPRENDRE",IF(AJ616="","À RADIOGRAPHIER",IF(AJ616="A","ACCEPTÉ",IF(AJ616="NX","NX – RT À REFAIRE",IF(IF(AI616=1,X616,IF(AI616=2,AC616,""))="A","RÉPARÉ – À RADIOGRAPHIER",IF(IF(AI616=1,X616,IF(AI616=2,AC616,""))="R","VT REJETÉ – À REPRENDRE",IF(AJ616="CO","COUPE – À RESOUDER","À RÉPARER"))))))))))</f>
        <v/>
      </c>
      <c r="AL616" s="82" t="str">
        <f aca="false">IF(AND(ISNUMBER(P616),OR(AK616="À RADIOGRAPHIER",AK616="RÉPARÉ – À RADIOGRAPHIER",AK616="NX – RT À REFAIRE",AK616="À RÉPARER",AK616="COUPE – À RESOUDER",AK616="VT REJETÉ – À REPRENDRE")),MAX(0,'PROGRAMME RT'!$C$4-P616),"")</f>
        <v/>
      </c>
      <c r="AM616" s="78" t="n">
        <f aca="false">IF(AND(OR(AK616="À RADIOGRAPHIER",AK616="RÉPARÉ – À RADIOGRAPHIER",AK616="NX – RT À REFAIRE"),OR('PROGRAMME RT'!$D$5="TOUTES",B616='PROGRAMME RT'!$D$5)),1,0)</f>
        <v>0</v>
      </c>
      <c r="AN616" s="78" t="str">
        <f aca="false">IF(AM616=1,SUM(AM$7:AM616),"")</f>
        <v/>
      </c>
      <c r="AO616" s="78" t="n">
        <f aca="false">IF(AND(OR(AK616="À RÉPARER",AK616="COUPE – À RESOUDER",AK616="VT REJETÉ – À REPRENDRE"),OR(RÉPARATIONS!$D$5="TOUTES",B616=RÉPARATIONS!$D$5)),1,0)</f>
        <v>0</v>
      </c>
      <c r="AP616" s="78" t="str">
        <f aca="false">IF(AO616=1,SUM(AO$7:AO616),"")</f>
        <v/>
      </c>
    </row>
    <row r="617" customFormat="false" ht="15" hidden="false" customHeight="false" outlineLevel="0" collapsed="false">
      <c r="A617" s="78" t="str">
        <f aca="false">IF(E617="","",ROW()-6)</f>
        <v/>
      </c>
      <c r="B617" s="79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1"/>
      <c r="Q617" s="81"/>
      <c r="R617" s="80"/>
      <c r="S617" s="80"/>
      <c r="T617" s="81"/>
      <c r="U617" s="80"/>
      <c r="V617" s="80"/>
      <c r="W617" s="80"/>
      <c r="X617" s="80"/>
      <c r="Y617" s="81"/>
      <c r="Z617" s="80"/>
      <c r="AA617" s="80"/>
      <c r="AB617" s="80"/>
      <c r="AC617" s="80"/>
      <c r="AD617" s="81"/>
      <c r="AE617" s="80"/>
      <c r="AF617" s="80"/>
      <c r="AG617" s="81"/>
      <c r="AH617" s="79"/>
      <c r="AI617" s="78" t="str">
        <f aca="false">IF(E617="","",(V617&lt;&gt;"")+(AA617&lt;&gt;"")+(AF617&lt;&gt;""))</f>
        <v/>
      </c>
      <c r="AJ617" s="82" t="str">
        <f aca="false">IF(AF617&lt;&gt;"",AF617,IF(AA617&lt;&gt;"",AA617,IF(V617&lt;&gt;"",V617,"")))</f>
        <v/>
      </c>
      <c r="AK617" s="83" t="str">
        <f aca="false">IF(E617="","",IF(P617="","À SOUDER",IF(S617="","VT EN ATTENTE",IF(S617="R","VT REJETÉ – À REPRENDRE",IF(AJ617="","À RADIOGRAPHIER",IF(AJ617="A","ACCEPTÉ",IF(AJ617="NX","NX – RT À REFAIRE",IF(IF(AI617=1,X617,IF(AI617=2,AC617,""))="A","RÉPARÉ – À RADIOGRAPHIER",IF(IF(AI617=1,X617,IF(AI617=2,AC617,""))="R","VT REJETÉ – À REPRENDRE",IF(AJ617="CO","COUPE – À RESOUDER","À RÉPARER"))))))))))</f>
        <v/>
      </c>
      <c r="AL617" s="82" t="str">
        <f aca="false">IF(AND(ISNUMBER(P617),OR(AK617="À RADIOGRAPHIER",AK617="RÉPARÉ – À RADIOGRAPHIER",AK617="NX – RT À REFAIRE",AK617="À RÉPARER",AK617="COUPE – À RESOUDER",AK617="VT REJETÉ – À REPRENDRE")),MAX(0,'PROGRAMME RT'!$C$4-P617),"")</f>
        <v/>
      </c>
      <c r="AM617" s="78" t="n">
        <f aca="false">IF(AND(OR(AK617="À RADIOGRAPHIER",AK617="RÉPARÉ – À RADIOGRAPHIER",AK617="NX – RT À REFAIRE"),OR('PROGRAMME RT'!$D$5="TOUTES",B617='PROGRAMME RT'!$D$5)),1,0)</f>
        <v>0</v>
      </c>
      <c r="AN617" s="78" t="str">
        <f aca="false">IF(AM617=1,SUM(AM$7:AM617),"")</f>
        <v/>
      </c>
      <c r="AO617" s="78" t="n">
        <f aca="false">IF(AND(OR(AK617="À RÉPARER",AK617="COUPE – À RESOUDER",AK617="VT REJETÉ – À REPRENDRE"),OR(RÉPARATIONS!$D$5="TOUTES",B617=RÉPARATIONS!$D$5)),1,0)</f>
        <v>0</v>
      </c>
      <c r="AP617" s="78" t="str">
        <f aca="false">IF(AO617=1,SUM(AO$7:AO617),"")</f>
        <v/>
      </c>
    </row>
    <row r="618" customFormat="false" ht="15" hidden="false" customHeight="false" outlineLevel="0" collapsed="false">
      <c r="A618" s="78" t="str">
        <f aca="false">IF(E618="","",ROW()-6)</f>
        <v/>
      </c>
      <c r="B618" s="79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1"/>
      <c r="Q618" s="81"/>
      <c r="R618" s="80"/>
      <c r="S618" s="80"/>
      <c r="T618" s="81"/>
      <c r="U618" s="80"/>
      <c r="V618" s="80"/>
      <c r="W618" s="80"/>
      <c r="X618" s="80"/>
      <c r="Y618" s="81"/>
      <c r="Z618" s="80"/>
      <c r="AA618" s="80"/>
      <c r="AB618" s="80"/>
      <c r="AC618" s="80"/>
      <c r="AD618" s="81"/>
      <c r="AE618" s="80"/>
      <c r="AF618" s="80"/>
      <c r="AG618" s="81"/>
      <c r="AH618" s="79"/>
      <c r="AI618" s="78" t="str">
        <f aca="false">IF(E618="","",(V618&lt;&gt;"")+(AA618&lt;&gt;"")+(AF618&lt;&gt;""))</f>
        <v/>
      </c>
      <c r="AJ618" s="82" t="str">
        <f aca="false">IF(AF618&lt;&gt;"",AF618,IF(AA618&lt;&gt;"",AA618,IF(V618&lt;&gt;"",V618,"")))</f>
        <v/>
      </c>
      <c r="AK618" s="83" t="str">
        <f aca="false">IF(E618="","",IF(P618="","À SOUDER",IF(S618="","VT EN ATTENTE",IF(S618="R","VT REJETÉ – À REPRENDRE",IF(AJ618="","À RADIOGRAPHIER",IF(AJ618="A","ACCEPTÉ",IF(AJ618="NX","NX – RT À REFAIRE",IF(IF(AI618=1,X618,IF(AI618=2,AC618,""))="A","RÉPARÉ – À RADIOGRAPHIER",IF(IF(AI618=1,X618,IF(AI618=2,AC618,""))="R","VT REJETÉ – À REPRENDRE",IF(AJ618="CO","COUPE – À RESOUDER","À RÉPARER"))))))))))</f>
        <v/>
      </c>
      <c r="AL618" s="82" t="str">
        <f aca="false">IF(AND(ISNUMBER(P618),OR(AK618="À RADIOGRAPHIER",AK618="RÉPARÉ – À RADIOGRAPHIER",AK618="NX – RT À REFAIRE",AK618="À RÉPARER",AK618="COUPE – À RESOUDER",AK618="VT REJETÉ – À REPRENDRE")),MAX(0,'PROGRAMME RT'!$C$4-P618),"")</f>
        <v/>
      </c>
      <c r="AM618" s="78" t="n">
        <f aca="false">IF(AND(OR(AK618="À RADIOGRAPHIER",AK618="RÉPARÉ – À RADIOGRAPHIER",AK618="NX – RT À REFAIRE"),OR('PROGRAMME RT'!$D$5="TOUTES",B618='PROGRAMME RT'!$D$5)),1,0)</f>
        <v>0</v>
      </c>
      <c r="AN618" s="78" t="str">
        <f aca="false">IF(AM618=1,SUM(AM$7:AM618),"")</f>
        <v/>
      </c>
      <c r="AO618" s="78" t="n">
        <f aca="false">IF(AND(OR(AK618="À RÉPARER",AK618="COUPE – À RESOUDER",AK618="VT REJETÉ – À REPRENDRE"),OR(RÉPARATIONS!$D$5="TOUTES",B618=RÉPARATIONS!$D$5)),1,0)</f>
        <v>0</v>
      </c>
      <c r="AP618" s="78" t="str">
        <f aca="false">IF(AO618=1,SUM(AO$7:AO618),"")</f>
        <v/>
      </c>
    </row>
    <row r="619" customFormat="false" ht="15" hidden="false" customHeight="false" outlineLevel="0" collapsed="false">
      <c r="A619" s="78" t="str">
        <f aca="false">IF(E619="","",ROW()-6)</f>
        <v/>
      </c>
      <c r="B619" s="79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1"/>
      <c r="Q619" s="81"/>
      <c r="R619" s="80"/>
      <c r="S619" s="80"/>
      <c r="T619" s="81"/>
      <c r="U619" s="80"/>
      <c r="V619" s="80"/>
      <c r="W619" s="80"/>
      <c r="X619" s="80"/>
      <c r="Y619" s="81"/>
      <c r="Z619" s="80"/>
      <c r="AA619" s="80"/>
      <c r="AB619" s="80"/>
      <c r="AC619" s="80"/>
      <c r="AD619" s="81"/>
      <c r="AE619" s="80"/>
      <c r="AF619" s="80"/>
      <c r="AG619" s="81"/>
      <c r="AH619" s="79"/>
      <c r="AI619" s="78" t="str">
        <f aca="false">IF(E619="","",(V619&lt;&gt;"")+(AA619&lt;&gt;"")+(AF619&lt;&gt;""))</f>
        <v/>
      </c>
      <c r="AJ619" s="82" t="str">
        <f aca="false">IF(AF619&lt;&gt;"",AF619,IF(AA619&lt;&gt;"",AA619,IF(V619&lt;&gt;"",V619,"")))</f>
        <v/>
      </c>
      <c r="AK619" s="83" t="str">
        <f aca="false">IF(E619="","",IF(P619="","À SOUDER",IF(S619="","VT EN ATTENTE",IF(S619="R","VT REJETÉ – À REPRENDRE",IF(AJ619="","À RADIOGRAPHIER",IF(AJ619="A","ACCEPTÉ",IF(AJ619="NX","NX – RT À REFAIRE",IF(IF(AI619=1,X619,IF(AI619=2,AC619,""))="A","RÉPARÉ – À RADIOGRAPHIER",IF(IF(AI619=1,X619,IF(AI619=2,AC619,""))="R","VT REJETÉ – À REPRENDRE",IF(AJ619="CO","COUPE – À RESOUDER","À RÉPARER"))))))))))</f>
        <v/>
      </c>
      <c r="AL619" s="82" t="str">
        <f aca="false">IF(AND(ISNUMBER(P619),OR(AK619="À RADIOGRAPHIER",AK619="RÉPARÉ – À RADIOGRAPHIER",AK619="NX – RT À REFAIRE",AK619="À RÉPARER",AK619="COUPE – À RESOUDER",AK619="VT REJETÉ – À REPRENDRE")),MAX(0,'PROGRAMME RT'!$C$4-P619),"")</f>
        <v/>
      </c>
      <c r="AM619" s="78" t="n">
        <f aca="false">IF(AND(OR(AK619="À RADIOGRAPHIER",AK619="RÉPARÉ – À RADIOGRAPHIER",AK619="NX – RT À REFAIRE"),OR('PROGRAMME RT'!$D$5="TOUTES",B619='PROGRAMME RT'!$D$5)),1,0)</f>
        <v>0</v>
      </c>
      <c r="AN619" s="78" t="str">
        <f aca="false">IF(AM619=1,SUM(AM$7:AM619),"")</f>
        <v/>
      </c>
      <c r="AO619" s="78" t="n">
        <f aca="false">IF(AND(OR(AK619="À RÉPARER",AK619="COUPE – À RESOUDER",AK619="VT REJETÉ – À REPRENDRE"),OR(RÉPARATIONS!$D$5="TOUTES",B619=RÉPARATIONS!$D$5)),1,0)</f>
        <v>0</v>
      </c>
      <c r="AP619" s="78" t="str">
        <f aca="false">IF(AO619=1,SUM(AO$7:AO619),"")</f>
        <v/>
      </c>
    </row>
    <row r="620" customFormat="false" ht="15" hidden="false" customHeight="false" outlineLevel="0" collapsed="false">
      <c r="A620" s="78" t="str">
        <f aca="false">IF(E620="","",ROW()-6)</f>
        <v/>
      </c>
      <c r="B620" s="79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1"/>
      <c r="Q620" s="81"/>
      <c r="R620" s="80"/>
      <c r="S620" s="80"/>
      <c r="T620" s="81"/>
      <c r="U620" s="80"/>
      <c r="V620" s="80"/>
      <c r="W620" s="80"/>
      <c r="X620" s="80"/>
      <c r="Y620" s="81"/>
      <c r="Z620" s="80"/>
      <c r="AA620" s="80"/>
      <c r="AB620" s="80"/>
      <c r="AC620" s="80"/>
      <c r="AD620" s="81"/>
      <c r="AE620" s="80"/>
      <c r="AF620" s="80"/>
      <c r="AG620" s="81"/>
      <c r="AH620" s="79"/>
      <c r="AI620" s="78" t="str">
        <f aca="false">IF(E620="","",(V620&lt;&gt;"")+(AA620&lt;&gt;"")+(AF620&lt;&gt;""))</f>
        <v/>
      </c>
      <c r="AJ620" s="82" t="str">
        <f aca="false">IF(AF620&lt;&gt;"",AF620,IF(AA620&lt;&gt;"",AA620,IF(V620&lt;&gt;"",V620,"")))</f>
        <v/>
      </c>
      <c r="AK620" s="83" t="str">
        <f aca="false">IF(E620="","",IF(P620="","À SOUDER",IF(S620="","VT EN ATTENTE",IF(S620="R","VT REJETÉ – À REPRENDRE",IF(AJ620="","À RADIOGRAPHIER",IF(AJ620="A","ACCEPTÉ",IF(AJ620="NX","NX – RT À REFAIRE",IF(IF(AI620=1,X620,IF(AI620=2,AC620,""))="A","RÉPARÉ – À RADIOGRAPHIER",IF(IF(AI620=1,X620,IF(AI620=2,AC620,""))="R","VT REJETÉ – À REPRENDRE",IF(AJ620="CO","COUPE – À RESOUDER","À RÉPARER"))))))))))</f>
        <v/>
      </c>
      <c r="AL620" s="82" t="str">
        <f aca="false">IF(AND(ISNUMBER(P620),OR(AK620="À RADIOGRAPHIER",AK620="RÉPARÉ – À RADIOGRAPHIER",AK620="NX – RT À REFAIRE",AK620="À RÉPARER",AK620="COUPE – À RESOUDER",AK620="VT REJETÉ – À REPRENDRE")),MAX(0,'PROGRAMME RT'!$C$4-P620),"")</f>
        <v/>
      </c>
      <c r="AM620" s="78" t="n">
        <f aca="false">IF(AND(OR(AK620="À RADIOGRAPHIER",AK620="RÉPARÉ – À RADIOGRAPHIER",AK620="NX – RT À REFAIRE"),OR('PROGRAMME RT'!$D$5="TOUTES",B620='PROGRAMME RT'!$D$5)),1,0)</f>
        <v>0</v>
      </c>
      <c r="AN620" s="78" t="str">
        <f aca="false">IF(AM620=1,SUM(AM$7:AM620),"")</f>
        <v/>
      </c>
      <c r="AO620" s="78" t="n">
        <f aca="false">IF(AND(OR(AK620="À RÉPARER",AK620="COUPE – À RESOUDER",AK620="VT REJETÉ – À REPRENDRE"),OR(RÉPARATIONS!$D$5="TOUTES",B620=RÉPARATIONS!$D$5)),1,0)</f>
        <v>0</v>
      </c>
      <c r="AP620" s="78" t="str">
        <f aca="false">IF(AO620=1,SUM(AO$7:AO620),"")</f>
        <v/>
      </c>
    </row>
    <row r="621" customFormat="false" ht="15" hidden="false" customHeight="false" outlineLevel="0" collapsed="false">
      <c r="A621" s="78" t="str">
        <f aca="false">IF(E621="","",ROW()-6)</f>
        <v/>
      </c>
      <c r="B621" s="79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1"/>
      <c r="Q621" s="81"/>
      <c r="R621" s="80"/>
      <c r="S621" s="80"/>
      <c r="T621" s="81"/>
      <c r="U621" s="80"/>
      <c r="V621" s="80"/>
      <c r="W621" s="80"/>
      <c r="X621" s="80"/>
      <c r="Y621" s="81"/>
      <c r="Z621" s="80"/>
      <c r="AA621" s="80"/>
      <c r="AB621" s="80"/>
      <c r="AC621" s="80"/>
      <c r="AD621" s="81"/>
      <c r="AE621" s="80"/>
      <c r="AF621" s="80"/>
      <c r="AG621" s="81"/>
      <c r="AH621" s="79"/>
      <c r="AI621" s="78" t="str">
        <f aca="false">IF(E621="","",(V621&lt;&gt;"")+(AA621&lt;&gt;"")+(AF621&lt;&gt;""))</f>
        <v/>
      </c>
      <c r="AJ621" s="82" t="str">
        <f aca="false">IF(AF621&lt;&gt;"",AF621,IF(AA621&lt;&gt;"",AA621,IF(V621&lt;&gt;"",V621,"")))</f>
        <v/>
      </c>
      <c r="AK621" s="83" t="str">
        <f aca="false">IF(E621="","",IF(P621="","À SOUDER",IF(S621="","VT EN ATTENTE",IF(S621="R","VT REJETÉ – À REPRENDRE",IF(AJ621="","À RADIOGRAPHIER",IF(AJ621="A","ACCEPTÉ",IF(AJ621="NX","NX – RT À REFAIRE",IF(IF(AI621=1,X621,IF(AI621=2,AC621,""))="A","RÉPARÉ – À RADIOGRAPHIER",IF(IF(AI621=1,X621,IF(AI621=2,AC621,""))="R","VT REJETÉ – À REPRENDRE",IF(AJ621="CO","COUPE – À RESOUDER","À RÉPARER"))))))))))</f>
        <v/>
      </c>
      <c r="AL621" s="82" t="str">
        <f aca="false">IF(AND(ISNUMBER(P621),OR(AK621="À RADIOGRAPHIER",AK621="RÉPARÉ – À RADIOGRAPHIER",AK621="NX – RT À REFAIRE",AK621="À RÉPARER",AK621="COUPE – À RESOUDER",AK621="VT REJETÉ – À REPRENDRE")),MAX(0,'PROGRAMME RT'!$C$4-P621),"")</f>
        <v/>
      </c>
      <c r="AM621" s="78" t="n">
        <f aca="false">IF(AND(OR(AK621="À RADIOGRAPHIER",AK621="RÉPARÉ – À RADIOGRAPHIER",AK621="NX – RT À REFAIRE"),OR('PROGRAMME RT'!$D$5="TOUTES",B621='PROGRAMME RT'!$D$5)),1,0)</f>
        <v>0</v>
      </c>
      <c r="AN621" s="78" t="str">
        <f aca="false">IF(AM621=1,SUM(AM$7:AM621),"")</f>
        <v/>
      </c>
      <c r="AO621" s="78" t="n">
        <f aca="false">IF(AND(OR(AK621="À RÉPARER",AK621="COUPE – À RESOUDER",AK621="VT REJETÉ – À REPRENDRE"),OR(RÉPARATIONS!$D$5="TOUTES",B621=RÉPARATIONS!$D$5)),1,0)</f>
        <v>0</v>
      </c>
      <c r="AP621" s="78" t="str">
        <f aca="false">IF(AO621=1,SUM(AO$7:AO621),"")</f>
        <v/>
      </c>
    </row>
    <row r="622" customFormat="false" ht="15" hidden="false" customHeight="false" outlineLevel="0" collapsed="false">
      <c r="A622" s="78" t="str">
        <f aca="false">IF(E622="","",ROW()-6)</f>
        <v/>
      </c>
      <c r="B622" s="79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1"/>
      <c r="Q622" s="81"/>
      <c r="R622" s="80"/>
      <c r="S622" s="80"/>
      <c r="T622" s="81"/>
      <c r="U622" s="80"/>
      <c r="V622" s="80"/>
      <c r="W622" s="80"/>
      <c r="X622" s="80"/>
      <c r="Y622" s="81"/>
      <c r="Z622" s="80"/>
      <c r="AA622" s="80"/>
      <c r="AB622" s="80"/>
      <c r="AC622" s="80"/>
      <c r="AD622" s="81"/>
      <c r="AE622" s="80"/>
      <c r="AF622" s="80"/>
      <c r="AG622" s="81"/>
      <c r="AH622" s="79"/>
      <c r="AI622" s="78" t="str">
        <f aca="false">IF(E622="","",(V622&lt;&gt;"")+(AA622&lt;&gt;"")+(AF622&lt;&gt;""))</f>
        <v/>
      </c>
      <c r="AJ622" s="82" t="str">
        <f aca="false">IF(AF622&lt;&gt;"",AF622,IF(AA622&lt;&gt;"",AA622,IF(V622&lt;&gt;"",V622,"")))</f>
        <v/>
      </c>
      <c r="AK622" s="83" t="str">
        <f aca="false">IF(E622="","",IF(P622="","À SOUDER",IF(S622="","VT EN ATTENTE",IF(S622="R","VT REJETÉ – À REPRENDRE",IF(AJ622="","À RADIOGRAPHIER",IF(AJ622="A","ACCEPTÉ",IF(AJ622="NX","NX – RT À REFAIRE",IF(IF(AI622=1,X622,IF(AI622=2,AC622,""))="A","RÉPARÉ – À RADIOGRAPHIER",IF(IF(AI622=1,X622,IF(AI622=2,AC622,""))="R","VT REJETÉ – À REPRENDRE",IF(AJ622="CO","COUPE – À RESOUDER","À RÉPARER"))))))))))</f>
        <v/>
      </c>
      <c r="AL622" s="82" t="str">
        <f aca="false">IF(AND(ISNUMBER(P622),OR(AK622="À RADIOGRAPHIER",AK622="RÉPARÉ – À RADIOGRAPHIER",AK622="NX – RT À REFAIRE",AK622="À RÉPARER",AK622="COUPE – À RESOUDER",AK622="VT REJETÉ – À REPRENDRE")),MAX(0,'PROGRAMME RT'!$C$4-P622),"")</f>
        <v/>
      </c>
      <c r="AM622" s="78" t="n">
        <f aca="false">IF(AND(OR(AK622="À RADIOGRAPHIER",AK622="RÉPARÉ – À RADIOGRAPHIER",AK622="NX – RT À REFAIRE"),OR('PROGRAMME RT'!$D$5="TOUTES",B622='PROGRAMME RT'!$D$5)),1,0)</f>
        <v>0</v>
      </c>
      <c r="AN622" s="78" t="str">
        <f aca="false">IF(AM622=1,SUM(AM$7:AM622),"")</f>
        <v/>
      </c>
      <c r="AO622" s="78" t="n">
        <f aca="false">IF(AND(OR(AK622="À RÉPARER",AK622="COUPE – À RESOUDER",AK622="VT REJETÉ – À REPRENDRE"),OR(RÉPARATIONS!$D$5="TOUTES",B622=RÉPARATIONS!$D$5)),1,0)</f>
        <v>0</v>
      </c>
      <c r="AP622" s="78" t="str">
        <f aca="false">IF(AO622=1,SUM(AO$7:AO622),"")</f>
        <v/>
      </c>
    </row>
    <row r="623" customFormat="false" ht="15" hidden="false" customHeight="false" outlineLevel="0" collapsed="false">
      <c r="A623" s="78" t="str">
        <f aca="false">IF(E623="","",ROW()-6)</f>
        <v/>
      </c>
      <c r="B623" s="79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1"/>
      <c r="Q623" s="81"/>
      <c r="R623" s="80"/>
      <c r="S623" s="80"/>
      <c r="T623" s="81"/>
      <c r="U623" s="80"/>
      <c r="V623" s="80"/>
      <c r="W623" s="80"/>
      <c r="X623" s="80"/>
      <c r="Y623" s="81"/>
      <c r="Z623" s="80"/>
      <c r="AA623" s="80"/>
      <c r="AB623" s="80"/>
      <c r="AC623" s="80"/>
      <c r="AD623" s="81"/>
      <c r="AE623" s="80"/>
      <c r="AF623" s="80"/>
      <c r="AG623" s="81"/>
      <c r="AH623" s="79"/>
      <c r="AI623" s="78" t="str">
        <f aca="false">IF(E623="","",(V623&lt;&gt;"")+(AA623&lt;&gt;"")+(AF623&lt;&gt;""))</f>
        <v/>
      </c>
      <c r="AJ623" s="82" t="str">
        <f aca="false">IF(AF623&lt;&gt;"",AF623,IF(AA623&lt;&gt;"",AA623,IF(V623&lt;&gt;"",V623,"")))</f>
        <v/>
      </c>
      <c r="AK623" s="83" t="str">
        <f aca="false">IF(E623="","",IF(P623="","À SOUDER",IF(S623="","VT EN ATTENTE",IF(S623="R","VT REJETÉ – À REPRENDRE",IF(AJ623="","À RADIOGRAPHIER",IF(AJ623="A","ACCEPTÉ",IF(AJ623="NX","NX – RT À REFAIRE",IF(IF(AI623=1,X623,IF(AI623=2,AC623,""))="A","RÉPARÉ – À RADIOGRAPHIER",IF(IF(AI623=1,X623,IF(AI623=2,AC623,""))="R","VT REJETÉ – À REPRENDRE",IF(AJ623="CO","COUPE – À RESOUDER","À RÉPARER"))))))))))</f>
        <v/>
      </c>
      <c r="AL623" s="82" t="str">
        <f aca="false">IF(AND(ISNUMBER(P623),OR(AK623="À RADIOGRAPHIER",AK623="RÉPARÉ – À RADIOGRAPHIER",AK623="NX – RT À REFAIRE",AK623="À RÉPARER",AK623="COUPE – À RESOUDER",AK623="VT REJETÉ – À REPRENDRE")),MAX(0,'PROGRAMME RT'!$C$4-P623),"")</f>
        <v/>
      </c>
      <c r="AM623" s="78" t="n">
        <f aca="false">IF(AND(OR(AK623="À RADIOGRAPHIER",AK623="RÉPARÉ – À RADIOGRAPHIER",AK623="NX – RT À REFAIRE"),OR('PROGRAMME RT'!$D$5="TOUTES",B623='PROGRAMME RT'!$D$5)),1,0)</f>
        <v>0</v>
      </c>
      <c r="AN623" s="78" t="str">
        <f aca="false">IF(AM623=1,SUM(AM$7:AM623),"")</f>
        <v/>
      </c>
      <c r="AO623" s="78" t="n">
        <f aca="false">IF(AND(OR(AK623="À RÉPARER",AK623="COUPE – À RESOUDER",AK623="VT REJETÉ – À REPRENDRE"),OR(RÉPARATIONS!$D$5="TOUTES",B623=RÉPARATIONS!$D$5)),1,0)</f>
        <v>0</v>
      </c>
      <c r="AP623" s="78" t="str">
        <f aca="false">IF(AO623=1,SUM(AO$7:AO623),"")</f>
        <v/>
      </c>
    </row>
    <row r="624" customFormat="false" ht="15" hidden="false" customHeight="false" outlineLevel="0" collapsed="false">
      <c r="A624" s="78" t="str">
        <f aca="false">IF(E624="","",ROW()-6)</f>
        <v/>
      </c>
      <c r="B624" s="79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1"/>
      <c r="Q624" s="81"/>
      <c r="R624" s="80"/>
      <c r="S624" s="80"/>
      <c r="T624" s="81"/>
      <c r="U624" s="80"/>
      <c r="V624" s="80"/>
      <c r="W624" s="80"/>
      <c r="X624" s="80"/>
      <c r="Y624" s="81"/>
      <c r="Z624" s="80"/>
      <c r="AA624" s="80"/>
      <c r="AB624" s="80"/>
      <c r="AC624" s="80"/>
      <c r="AD624" s="81"/>
      <c r="AE624" s="80"/>
      <c r="AF624" s="80"/>
      <c r="AG624" s="81"/>
      <c r="AH624" s="79"/>
      <c r="AI624" s="78" t="str">
        <f aca="false">IF(E624="","",(V624&lt;&gt;"")+(AA624&lt;&gt;"")+(AF624&lt;&gt;""))</f>
        <v/>
      </c>
      <c r="AJ624" s="82" t="str">
        <f aca="false">IF(AF624&lt;&gt;"",AF624,IF(AA624&lt;&gt;"",AA624,IF(V624&lt;&gt;"",V624,"")))</f>
        <v/>
      </c>
      <c r="AK624" s="83" t="str">
        <f aca="false">IF(E624="","",IF(P624="","À SOUDER",IF(S624="","VT EN ATTENTE",IF(S624="R","VT REJETÉ – À REPRENDRE",IF(AJ624="","À RADIOGRAPHIER",IF(AJ624="A","ACCEPTÉ",IF(AJ624="NX","NX – RT À REFAIRE",IF(IF(AI624=1,X624,IF(AI624=2,AC624,""))="A","RÉPARÉ – À RADIOGRAPHIER",IF(IF(AI624=1,X624,IF(AI624=2,AC624,""))="R","VT REJETÉ – À REPRENDRE",IF(AJ624="CO","COUPE – À RESOUDER","À RÉPARER"))))))))))</f>
        <v/>
      </c>
      <c r="AL624" s="82" t="str">
        <f aca="false">IF(AND(ISNUMBER(P624),OR(AK624="À RADIOGRAPHIER",AK624="RÉPARÉ – À RADIOGRAPHIER",AK624="NX – RT À REFAIRE",AK624="À RÉPARER",AK624="COUPE – À RESOUDER",AK624="VT REJETÉ – À REPRENDRE")),MAX(0,'PROGRAMME RT'!$C$4-P624),"")</f>
        <v/>
      </c>
      <c r="AM624" s="78" t="n">
        <f aca="false">IF(AND(OR(AK624="À RADIOGRAPHIER",AK624="RÉPARÉ – À RADIOGRAPHIER",AK624="NX – RT À REFAIRE"),OR('PROGRAMME RT'!$D$5="TOUTES",B624='PROGRAMME RT'!$D$5)),1,0)</f>
        <v>0</v>
      </c>
      <c r="AN624" s="78" t="str">
        <f aca="false">IF(AM624=1,SUM(AM$7:AM624),"")</f>
        <v/>
      </c>
      <c r="AO624" s="78" t="n">
        <f aca="false">IF(AND(OR(AK624="À RÉPARER",AK624="COUPE – À RESOUDER",AK624="VT REJETÉ – À REPRENDRE"),OR(RÉPARATIONS!$D$5="TOUTES",B624=RÉPARATIONS!$D$5)),1,0)</f>
        <v>0</v>
      </c>
      <c r="AP624" s="78" t="str">
        <f aca="false">IF(AO624=1,SUM(AO$7:AO624),"")</f>
        <v/>
      </c>
    </row>
    <row r="625" customFormat="false" ht="15" hidden="false" customHeight="false" outlineLevel="0" collapsed="false">
      <c r="A625" s="78" t="str">
        <f aca="false">IF(E625="","",ROW()-6)</f>
        <v/>
      </c>
      <c r="B625" s="79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1"/>
      <c r="Q625" s="81"/>
      <c r="R625" s="80"/>
      <c r="S625" s="80"/>
      <c r="T625" s="81"/>
      <c r="U625" s="80"/>
      <c r="V625" s="80"/>
      <c r="W625" s="80"/>
      <c r="X625" s="80"/>
      <c r="Y625" s="81"/>
      <c r="Z625" s="80"/>
      <c r="AA625" s="80"/>
      <c r="AB625" s="80"/>
      <c r="AC625" s="80"/>
      <c r="AD625" s="81"/>
      <c r="AE625" s="80"/>
      <c r="AF625" s="80"/>
      <c r="AG625" s="81"/>
      <c r="AH625" s="79"/>
      <c r="AI625" s="78" t="str">
        <f aca="false">IF(E625="","",(V625&lt;&gt;"")+(AA625&lt;&gt;"")+(AF625&lt;&gt;""))</f>
        <v/>
      </c>
      <c r="AJ625" s="82" t="str">
        <f aca="false">IF(AF625&lt;&gt;"",AF625,IF(AA625&lt;&gt;"",AA625,IF(V625&lt;&gt;"",V625,"")))</f>
        <v/>
      </c>
      <c r="AK625" s="83" t="str">
        <f aca="false">IF(E625="","",IF(P625="","À SOUDER",IF(S625="","VT EN ATTENTE",IF(S625="R","VT REJETÉ – À REPRENDRE",IF(AJ625="","À RADIOGRAPHIER",IF(AJ625="A","ACCEPTÉ",IF(AJ625="NX","NX – RT À REFAIRE",IF(IF(AI625=1,X625,IF(AI625=2,AC625,""))="A","RÉPARÉ – À RADIOGRAPHIER",IF(IF(AI625=1,X625,IF(AI625=2,AC625,""))="R","VT REJETÉ – À REPRENDRE",IF(AJ625="CO","COUPE – À RESOUDER","À RÉPARER"))))))))))</f>
        <v/>
      </c>
      <c r="AL625" s="82" t="str">
        <f aca="false">IF(AND(ISNUMBER(P625),OR(AK625="À RADIOGRAPHIER",AK625="RÉPARÉ – À RADIOGRAPHIER",AK625="NX – RT À REFAIRE",AK625="À RÉPARER",AK625="COUPE – À RESOUDER",AK625="VT REJETÉ – À REPRENDRE")),MAX(0,'PROGRAMME RT'!$C$4-P625),"")</f>
        <v/>
      </c>
      <c r="AM625" s="78" t="n">
        <f aca="false">IF(AND(OR(AK625="À RADIOGRAPHIER",AK625="RÉPARÉ – À RADIOGRAPHIER",AK625="NX – RT À REFAIRE"),OR('PROGRAMME RT'!$D$5="TOUTES",B625='PROGRAMME RT'!$D$5)),1,0)</f>
        <v>0</v>
      </c>
      <c r="AN625" s="78" t="str">
        <f aca="false">IF(AM625=1,SUM(AM$7:AM625),"")</f>
        <v/>
      </c>
      <c r="AO625" s="78" t="n">
        <f aca="false">IF(AND(OR(AK625="À RÉPARER",AK625="COUPE – À RESOUDER",AK625="VT REJETÉ – À REPRENDRE"),OR(RÉPARATIONS!$D$5="TOUTES",B625=RÉPARATIONS!$D$5)),1,0)</f>
        <v>0</v>
      </c>
      <c r="AP625" s="78" t="str">
        <f aca="false">IF(AO625=1,SUM(AO$7:AO625),"")</f>
        <v/>
      </c>
    </row>
    <row r="626" customFormat="false" ht="15" hidden="false" customHeight="false" outlineLevel="0" collapsed="false">
      <c r="A626" s="78" t="str">
        <f aca="false">IF(E626="","",ROW()-6)</f>
        <v/>
      </c>
      <c r="B626" s="79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1"/>
      <c r="Q626" s="81"/>
      <c r="R626" s="80"/>
      <c r="S626" s="80"/>
      <c r="T626" s="81"/>
      <c r="U626" s="80"/>
      <c r="V626" s="80"/>
      <c r="W626" s="80"/>
      <c r="X626" s="80"/>
      <c r="Y626" s="81"/>
      <c r="Z626" s="80"/>
      <c r="AA626" s="80"/>
      <c r="AB626" s="80"/>
      <c r="AC626" s="80"/>
      <c r="AD626" s="81"/>
      <c r="AE626" s="80"/>
      <c r="AF626" s="80"/>
      <c r="AG626" s="81"/>
      <c r="AH626" s="79"/>
      <c r="AI626" s="78" t="str">
        <f aca="false">IF(E626="","",(V626&lt;&gt;"")+(AA626&lt;&gt;"")+(AF626&lt;&gt;""))</f>
        <v/>
      </c>
      <c r="AJ626" s="82" t="str">
        <f aca="false">IF(AF626&lt;&gt;"",AF626,IF(AA626&lt;&gt;"",AA626,IF(V626&lt;&gt;"",V626,"")))</f>
        <v/>
      </c>
      <c r="AK626" s="83" t="str">
        <f aca="false">IF(E626="","",IF(P626="","À SOUDER",IF(S626="","VT EN ATTENTE",IF(S626="R","VT REJETÉ – À REPRENDRE",IF(AJ626="","À RADIOGRAPHIER",IF(AJ626="A","ACCEPTÉ",IF(AJ626="NX","NX – RT À REFAIRE",IF(IF(AI626=1,X626,IF(AI626=2,AC626,""))="A","RÉPARÉ – À RADIOGRAPHIER",IF(IF(AI626=1,X626,IF(AI626=2,AC626,""))="R","VT REJETÉ – À REPRENDRE",IF(AJ626="CO","COUPE – À RESOUDER","À RÉPARER"))))))))))</f>
        <v/>
      </c>
      <c r="AL626" s="82" t="str">
        <f aca="false">IF(AND(ISNUMBER(P626),OR(AK626="À RADIOGRAPHIER",AK626="RÉPARÉ – À RADIOGRAPHIER",AK626="NX – RT À REFAIRE",AK626="À RÉPARER",AK626="COUPE – À RESOUDER",AK626="VT REJETÉ – À REPRENDRE")),MAX(0,'PROGRAMME RT'!$C$4-P626),"")</f>
        <v/>
      </c>
      <c r="AM626" s="78" t="n">
        <f aca="false">IF(AND(OR(AK626="À RADIOGRAPHIER",AK626="RÉPARÉ – À RADIOGRAPHIER",AK626="NX – RT À REFAIRE"),OR('PROGRAMME RT'!$D$5="TOUTES",B626='PROGRAMME RT'!$D$5)),1,0)</f>
        <v>0</v>
      </c>
      <c r="AN626" s="78" t="str">
        <f aca="false">IF(AM626=1,SUM(AM$7:AM626),"")</f>
        <v/>
      </c>
      <c r="AO626" s="78" t="n">
        <f aca="false">IF(AND(OR(AK626="À RÉPARER",AK626="COUPE – À RESOUDER",AK626="VT REJETÉ – À REPRENDRE"),OR(RÉPARATIONS!$D$5="TOUTES",B626=RÉPARATIONS!$D$5)),1,0)</f>
        <v>0</v>
      </c>
      <c r="AP626" s="78" t="str">
        <f aca="false">IF(AO626=1,SUM(AO$7:AO626),"")</f>
        <v/>
      </c>
    </row>
    <row r="627" customFormat="false" ht="15" hidden="false" customHeight="false" outlineLevel="0" collapsed="false">
      <c r="A627" s="78" t="str">
        <f aca="false">IF(E627="","",ROW()-6)</f>
        <v/>
      </c>
      <c r="B627" s="79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1"/>
      <c r="Q627" s="81"/>
      <c r="R627" s="80"/>
      <c r="S627" s="80"/>
      <c r="T627" s="81"/>
      <c r="U627" s="80"/>
      <c r="V627" s="80"/>
      <c r="W627" s="80"/>
      <c r="X627" s="80"/>
      <c r="Y627" s="81"/>
      <c r="Z627" s="80"/>
      <c r="AA627" s="80"/>
      <c r="AB627" s="80"/>
      <c r="AC627" s="80"/>
      <c r="AD627" s="81"/>
      <c r="AE627" s="80"/>
      <c r="AF627" s="80"/>
      <c r="AG627" s="81"/>
      <c r="AH627" s="79"/>
      <c r="AI627" s="78" t="str">
        <f aca="false">IF(E627="","",(V627&lt;&gt;"")+(AA627&lt;&gt;"")+(AF627&lt;&gt;""))</f>
        <v/>
      </c>
      <c r="AJ627" s="82" t="str">
        <f aca="false">IF(AF627&lt;&gt;"",AF627,IF(AA627&lt;&gt;"",AA627,IF(V627&lt;&gt;"",V627,"")))</f>
        <v/>
      </c>
      <c r="AK627" s="83" t="str">
        <f aca="false">IF(E627="","",IF(P627="","À SOUDER",IF(S627="","VT EN ATTENTE",IF(S627="R","VT REJETÉ – À REPRENDRE",IF(AJ627="","À RADIOGRAPHIER",IF(AJ627="A","ACCEPTÉ",IF(AJ627="NX","NX – RT À REFAIRE",IF(IF(AI627=1,X627,IF(AI627=2,AC627,""))="A","RÉPARÉ – À RADIOGRAPHIER",IF(IF(AI627=1,X627,IF(AI627=2,AC627,""))="R","VT REJETÉ – À REPRENDRE",IF(AJ627="CO","COUPE – À RESOUDER","À RÉPARER"))))))))))</f>
        <v/>
      </c>
      <c r="AL627" s="82" t="str">
        <f aca="false">IF(AND(ISNUMBER(P627),OR(AK627="À RADIOGRAPHIER",AK627="RÉPARÉ – À RADIOGRAPHIER",AK627="NX – RT À REFAIRE",AK627="À RÉPARER",AK627="COUPE – À RESOUDER",AK627="VT REJETÉ – À REPRENDRE")),MAX(0,'PROGRAMME RT'!$C$4-P627),"")</f>
        <v/>
      </c>
      <c r="AM627" s="78" t="n">
        <f aca="false">IF(AND(OR(AK627="À RADIOGRAPHIER",AK627="RÉPARÉ – À RADIOGRAPHIER",AK627="NX – RT À REFAIRE"),OR('PROGRAMME RT'!$D$5="TOUTES",B627='PROGRAMME RT'!$D$5)),1,0)</f>
        <v>0</v>
      </c>
      <c r="AN627" s="78" t="str">
        <f aca="false">IF(AM627=1,SUM(AM$7:AM627),"")</f>
        <v/>
      </c>
      <c r="AO627" s="78" t="n">
        <f aca="false">IF(AND(OR(AK627="À RÉPARER",AK627="COUPE – À RESOUDER",AK627="VT REJETÉ – À REPRENDRE"),OR(RÉPARATIONS!$D$5="TOUTES",B627=RÉPARATIONS!$D$5)),1,0)</f>
        <v>0</v>
      </c>
      <c r="AP627" s="78" t="str">
        <f aca="false">IF(AO627=1,SUM(AO$7:AO627),"")</f>
        <v/>
      </c>
    </row>
    <row r="628" customFormat="false" ht="15" hidden="false" customHeight="false" outlineLevel="0" collapsed="false">
      <c r="A628" s="78" t="str">
        <f aca="false">IF(E628="","",ROW()-6)</f>
        <v/>
      </c>
      <c r="B628" s="79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1"/>
      <c r="Q628" s="81"/>
      <c r="R628" s="80"/>
      <c r="S628" s="80"/>
      <c r="T628" s="81"/>
      <c r="U628" s="80"/>
      <c r="V628" s="80"/>
      <c r="W628" s="80"/>
      <c r="X628" s="80"/>
      <c r="Y628" s="81"/>
      <c r="Z628" s="80"/>
      <c r="AA628" s="80"/>
      <c r="AB628" s="80"/>
      <c r="AC628" s="80"/>
      <c r="AD628" s="81"/>
      <c r="AE628" s="80"/>
      <c r="AF628" s="80"/>
      <c r="AG628" s="81"/>
      <c r="AH628" s="79"/>
      <c r="AI628" s="78" t="str">
        <f aca="false">IF(E628="","",(V628&lt;&gt;"")+(AA628&lt;&gt;"")+(AF628&lt;&gt;""))</f>
        <v/>
      </c>
      <c r="AJ628" s="82" t="str">
        <f aca="false">IF(AF628&lt;&gt;"",AF628,IF(AA628&lt;&gt;"",AA628,IF(V628&lt;&gt;"",V628,"")))</f>
        <v/>
      </c>
      <c r="AK628" s="83" t="str">
        <f aca="false">IF(E628="","",IF(P628="","À SOUDER",IF(S628="","VT EN ATTENTE",IF(S628="R","VT REJETÉ – À REPRENDRE",IF(AJ628="","À RADIOGRAPHIER",IF(AJ628="A","ACCEPTÉ",IF(AJ628="NX","NX – RT À REFAIRE",IF(IF(AI628=1,X628,IF(AI628=2,AC628,""))="A","RÉPARÉ – À RADIOGRAPHIER",IF(IF(AI628=1,X628,IF(AI628=2,AC628,""))="R","VT REJETÉ – À REPRENDRE",IF(AJ628="CO","COUPE – À RESOUDER","À RÉPARER"))))))))))</f>
        <v/>
      </c>
      <c r="AL628" s="82" t="str">
        <f aca="false">IF(AND(ISNUMBER(P628),OR(AK628="À RADIOGRAPHIER",AK628="RÉPARÉ – À RADIOGRAPHIER",AK628="NX – RT À REFAIRE",AK628="À RÉPARER",AK628="COUPE – À RESOUDER",AK628="VT REJETÉ – À REPRENDRE")),MAX(0,'PROGRAMME RT'!$C$4-P628),"")</f>
        <v/>
      </c>
      <c r="AM628" s="78" t="n">
        <f aca="false">IF(AND(OR(AK628="À RADIOGRAPHIER",AK628="RÉPARÉ – À RADIOGRAPHIER",AK628="NX – RT À REFAIRE"),OR('PROGRAMME RT'!$D$5="TOUTES",B628='PROGRAMME RT'!$D$5)),1,0)</f>
        <v>0</v>
      </c>
      <c r="AN628" s="78" t="str">
        <f aca="false">IF(AM628=1,SUM(AM$7:AM628),"")</f>
        <v/>
      </c>
      <c r="AO628" s="78" t="n">
        <f aca="false">IF(AND(OR(AK628="À RÉPARER",AK628="COUPE – À RESOUDER",AK628="VT REJETÉ – À REPRENDRE"),OR(RÉPARATIONS!$D$5="TOUTES",B628=RÉPARATIONS!$D$5)),1,0)</f>
        <v>0</v>
      </c>
      <c r="AP628" s="78" t="str">
        <f aca="false">IF(AO628=1,SUM(AO$7:AO628),"")</f>
        <v/>
      </c>
    </row>
    <row r="629" customFormat="false" ht="15" hidden="false" customHeight="false" outlineLevel="0" collapsed="false">
      <c r="A629" s="78" t="str">
        <f aca="false">IF(E629="","",ROW()-6)</f>
        <v/>
      </c>
      <c r="B629" s="79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1"/>
      <c r="Q629" s="81"/>
      <c r="R629" s="80"/>
      <c r="S629" s="80"/>
      <c r="T629" s="81"/>
      <c r="U629" s="80"/>
      <c r="V629" s="80"/>
      <c r="W629" s="80"/>
      <c r="X629" s="80"/>
      <c r="Y629" s="81"/>
      <c r="Z629" s="80"/>
      <c r="AA629" s="80"/>
      <c r="AB629" s="80"/>
      <c r="AC629" s="80"/>
      <c r="AD629" s="81"/>
      <c r="AE629" s="80"/>
      <c r="AF629" s="80"/>
      <c r="AG629" s="81"/>
      <c r="AH629" s="79"/>
      <c r="AI629" s="78" t="str">
        <f aca="false">IF(E629="","",(V629&lt;&gt;"")+(AA629&lt;&gt;"")+(AF629&lt;&gt;""))</f>
        <v/>
      </c>
      <c r="AJ629" s="82" t="str">
        <f aca="false">IF(AF629&lt;&gt;"",AF629,IF(AA629&lt;&gt;"",AA629,IF(V629&lt;&gt;"",V629,"")))</f>
        <v/>
      </c>
      <c r="AK629" s="83" t="str">
        <f aca="false">IF(E629="","",IF(P629="","À SOUDER",IF(S629="","VT EN ATTENTE",IF(S629="R","VT REJETÉ – À REPRENDRE",IF(AJ629="","À RADIOGRAPHIER",IF(AJ629="A","ACCEPTÉ",IF(AJ629="NX","NX – RT À REFAIRE",IF(IF(AI629=1,X629,IF(AI629=2,AC629,""))="A","RÉPARÉ – À RADIOGRAPHIER",IF(IF(AI629=1,X629,IF(AI629=2,AC629,""))="R","VT REJETÉ – À REPRENDRE",IF(AJ629="CO","COUPE – À RESOUDER","À RÉPARER"))))))))))</f>
        <v/>
      </c>
      <c r="AL629" s="82" t="str">
        <f aca="false">IF(AND(ISNUMBER(P629),OR(AK629="À RADIOGRAPHIER",AK629="RÉPARÉ – À RADIOGRAPHIER",AK629="NX – RT À REFAIRE",AK629="À RÉPARER",AK629="COUPE – À RESOUDER",AK629="VT REJETÉ – À REPRENDRE")),MAX(0,'PROGRAMME RT'!$C$4-P629),"")</f>
        <v/>
      </c>
      <c r="AM629" s="78" t="n">
        <f aca="false">IF(AND(OR(AK629="À RADIOGRAPHIER",AK629="RÉPARÉ – À RADIOGRAPHIER",AK629="NX – RT À REFAIRE"),OR('PROGRAMME RT'!$D$5="TOUTES",B629='PROGRAMME RT'!$D$5)),1,0)</f>
        <v>0</v>
      </c>
      <c r="AN629" s="78" t="str">
        <f aca="false">IF(AM629=1,SUM(AM$7:AM629),"")</f>
        <v/>
      </c>
      <c r="AO629" s="78" t="n">
        <f aca="false">IF(AND(OR(AK629="À RÉPARER",AK629="COUPE – À RESOUDER",AK629="VT REJETÉ – À REPRENDRE"),OR(RÉPARATIONS!$D$5="TOUTES",B629=RÉPARATIONS!$D$5)),1,0)</f>
        <v>0</v>
      </c>
      <c r="AP629" s="78" t="str">
        <f aca="false">IF(AO629=1,SUM(AO$7:AO629),"")</f>
        <v/>
      </c>
    </row>
    <row r="630" customFormat="false" ht="15" hidden="false" customHeight="false" outlineLevel="0" collapsed="false">
      <c r="A630" s="78" t="str">
        <f aca="false">IF(E630="","",ROW()-6)</f>
        <v/>
      </c>
      <c r="B630" s="79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1"/>
      <c r="Q630" s="81"/>
      <c r="R630" s="80"/>
      <c r="S630" s="80"/>
      <c r="T630" s="81"/>
      <c r="U630" s="80"/>
      <c r="V630" s="80"/>
      <c r="W630" s="80"/>
      <c r="X630" s="80"/>
      <c r="Y630" s="81"/>
      <c r="Z630" s="80"/>
      <c r="AA630" s="80"/>
      <c r="AB630" s="80"/>
      <c r="AC630" s="80"/>
      <c r="AD630" s="81"/>
      <c r="AE630" s="80"/>
      <c r="AF630" s="80"/>
      <c r="AG630" s="81"/>
      <c r="AH630" s="79"/>
      <c r="AI630" s="78" t="str">
        <f aca="false">IF(E630="","",(V630&lt;&gt;"")+(AA630&lt;&gt;"")+(AF630&lt;&gt;""))</f>
        <v/>
      </c>
      <c r="AJ630" s="82" t="str">
        <f aca="false">IF(AF630&lt;&gt;"",AF630,IF(AA630&lt;&gt;"",AA630,IF(V630&lt;&gt;"",V630,"")))</f>
        <v/>
      </c>
      <c r="AK630" s="83" t="str">
        <f aca="false">IF(E630="","",IF(P630="","À SOUDER",IF(S630="","VT EN ATTENTE",IF(S630="R","VT REJETÉ – À REPRENDRE",IF(AJ630="","À RADIOGRAPHIER",IF(AJ630="A","ACCEPTÉ",IF(AJ630="NX","NX – RT À REFAIRE",IF(IF(AI630=1,X630,IF(AI630=2,AC630,""))="A","RÉPARÉ – À RADIOGRAPHIER",IF(IF(AI630=1,X630,IF(AI630=2,AC630,""))="R","VT REJETÉ – À REPRENDRE",IF(AJ630="CO","COUPE – À RESOUDER","À RÉPARER"))))))))))</f>
        <v/>
      </c>
      <c r="AL630" s="82" t="str">
        <f aca="false">IF(AND(ISNUMBER(P630),OR(AK630="À RADIOGRAPHIER",AK630="RÉPARÉ – À RADIOGRAPHIER",AK630="NX – RT À REFAIRE",AK630="À RÉPARER",AK630="COUPE – À RESOUDER",AK630="VT REJETÉ – À REPRENDRE")),MAX(0,'PROGRAMME RT'!$C$4-P630),"")</f>
        <v/>
      </c>
      <c r="AM630" s="78" t="n">
        <f aca="false">IF(AND(OR(AK630="À RADIOGRAPHIER",AK630="RÉPARÉ – À RADIOGRAPHIER",AK630="NX – RT À REFAIRE"),OR('PROGRAMME RT'!$D$5="TOUTES",B630='PROGRAMME RT'!$D$5)),1,0)</f>
        <v>0</v>
      </c>
      <c r="AN630" s="78" t="str">
        <f aca="false">IF(AM630=1,SUM(AM$7:AM630),"")</f>
        <v/>
      </c>
      <c r="AO630" s="78" t="n">
        <f aca="false">IF(AND(OR(AK630="À RÉPARER",AK630="COUPE – À RESOUDER",AK630="VT REJETÉ – À REPRENDRE"),OR(RÉPARATIONS!$D$5="TOUTES",B630=RÉPARATIONS!$D$5)),1,0)</f>
        <v>0</v>
      </c>
      <c r="AP630" s="78" t="str">
        <f aca="false">IF(AO630=1,SUM(AO$7:AO630),"")</f>
        <v/>
      </c>
    </row>
    <row r="631" customFormat="false" ht="15" hidden="false" customHeight="false" outlineLevel="0" collapsed="false">
      <c r="A631" s="78" t="str">
        <f aca="false">IF(E631="","",ROW()-6)</f>
        <v/>
      </c>
      <c r="B631" s="79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1"/>
      <c r="Q631" s="81"/>
      <c r="R631" s="80"/>
      <c r="S631" s="80"/>
      <c r="T631" s="81"/>
      <c r="U631" s="80"/>
      <c r="V631" s="80"/>
      <c r="W631" s="80"/>
      <c r="X631" s="80"/>
      <c r="Y631" s="81"/>
      <c r="Z631" s="80"/>
      <c r="AA631" s="80"/>
      <c r="AB631" s="80"/>
      <c r="AC631" s="80"/>
      <c r="AD631" s="81"/>
      <c r="AE631" s="80"/>
      <c r="AF631" s="80"/>
      <c r="AG631" s="81"/>
      <c r="AH631" s="79"/>
      <c r="AI631" s="78" t="str">
        <f aca="false">IF(E631="","",(V631&lt;&gt;"")+(AA631&lt;&gt;"")+(AF631&lt;&gt;""))</f>
        <v/>
      </c>
      <c r="AJ631" s="82" t="str">
        <f aca="false">IF(AF631&lt;&gt;"",AF631,IF(AA631&lt;&gt;"",AA631,IF(V631&lt;&gt;"",V631,"")))</f>
        <v/>
      </c>
      <c r="AK631" s="83" t="str">
        <f aca="false">IF(E631="","",IF(P631="","À SOUDER",IF(S631="","VT EN ATTENTE",IF(S631="R","VT REJETÉ – À REPRENDRE",IF(AJ631="","À RADIOGRAPHIER",IF(AJ631="A","ACCEPTÉ",IF(AJ631="NX","NX – RT À REFAIRE",IF(IF(AI631=1,X631,IF(AI631=2,AC631,""))="A","RÉPARÉ – À RADIOGRAPHIER",IF(IF(AI631=1,X631,IF(AI631=2,AC631,""))="R","VT REJETÉ – À REPRENDRE",IF(AJ631="CO","COUPE – À RESOUDER","À RÉPARER"))))))))))</f>
        <v/>
      </c>
      <c r="AL631" s="82" t="str">
        <f aca="false">IF(AND(ISNUMBER(P631),OR(AK631="À RADIOGRAPHIER",AK631="RÉPARÉ – À RADIOGRAPHIER",AK631="NX – RT À REFAIRE",AK631="À RÉPARER",AK631="COUPE – À RESOUDER",AK631="VT REJETÉ – À REPRENDRE")),MAX(0,'PROGRAMME RT'!$C$4-P631),"")</f>
        <v/>
      </c>
      <c r="AM631" s="78" t="n">
        <f aca="false">IF(AND(OR(AK631="À RADIOGRAPHIER",AK631="RÉPARÉ – À RADIOGRAPHIER",AK631="NX – RT À REFAIRE"),OR('PROGRAMME RT'!$D$5="TOUTES",B631='PROGRAMME RT'!$D$5)),1,0)</f>
        <v>0</v>
      </c>
      <c r="AN631" s="78" t="str">
        <f aca="false">IF(AM631=1,SUM(AM$7:AM631),"")</f>
        <v/>
      </c>
      <c r="AO631" s="78" t="n">
        <f aca="false">IF(AND(OR(AK631="À RÉPARER",AK631="COUPE – À RESOUDER",AK631="VT REJETÉ – À REPRENDRE"),OR(RÉPARATIONS!$D$5="TOUTES",B631=RÉPARATIONS!$D$5)),1,0)</f>
        <v>0</v>
      </c>
      <c r="AP631" s="78" t="str">
        <f aca="false">IF(AO631=1,SUM(AO$7:AO631),"")</f>
        <v/>
      </c>
    </row>
    <row r="632" customFormat="false" ht="15" hidden="false" customHeight="false" outlineLevel="0" collapsed="false">
      <c r="A632" s="78" t="str">
        <f aca="false">IF(E632="","",ROW()-6)</f>
        <v/>
      </c>
      <c r="B632" s="79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1"/>
      <c r="Q632" s="81"/>
      <c r="R632" s="80"/>
      <c r="S632" s="80"/>
      <c r="T632" s="81"/>
      <c r="U632" s="80"/>
      <c r="V632" s="80"/>
      <c r="W632" s="80"/>
      <c r="X632" s="80"/>
      <c r="Y632" s="81"/>
      <c r="Z632" s="80"/>
      <c r="AA632" s="80"/>
      <c r="AB632" s="80"/>
      <c r="AC632" s="80"/>
      <c r="AD632" s="81"/>
      <c r="AE632" s="80"/>
      <c r="AF632" s="80"/>
      <c r="AG632" s="81"/>
      <c r="AH632" s="79"/>
      <c r="AI632" s="78" t="str">
        <f aca="false">IF(E632="","",(V632&lt;&gt;"")+(AA632&lt;&gt;"")+(AF632&lt;&gt;""))</f>
        <v/>
      </c>
      <c r="AJ632" s="82" t="str">
        <f aca="false">IF(AF632&lt;&gt;"",AF632,IF(AA632&lt;&gt;"",AA632,IF(V632&lt;&gt;"",V632,"")))</f>
        <v/>
      </c>
      <c r="AK632" s="83" t="str">
        <f aca="false">IF(E632="","",IF(P632="","À SOUDER",IF(S632="","VT EN ATTENTE",IF(S632="R","VT REJETÉ – À REPRENDRE",IF(AJ632="","À RADIOGRAPHIER",IF(AJ632="A","ACCEPTÉ",IF(AJ632="NX","NX – RT À REFAIRE",IF(IF(AI632=1,X632,IF(AI632=2,AC632,""))="A","RÉPARÉ – À RADIOGRAPHIER",IF(IF(AI632=1,X632,IF(AI632=2,AC632,""))="R","VT REJETÉ – À REPRENDRE",IF(AJ632="CO","COUPE – À RESOUDER","À RÉPARER"))))))))))</f>
        <v/>
      </c>
      <c r="AL632" s="82" t="str">
        <f aca="false">IF(AND(ISNUMBER(P632),OR(AK632="À RADIOGRAPHIER",AK632="RÉPARÉ – À RADIOGRAPHIER",AK632="NX – RT À REFAIRE",AK632="À RÉPARER",AK632="COUPE – À RESOUDER",AK632="VT REJETÉ – À REPRENDRE")),MAX(0,'PROGRAMME RT'!$C$4-P632),"")</f>
        <v/>
      </c>
      <c r="AM632" s="78" t="n">
        <f aca="false">IF(AND(OR(AK632="À RADIOGRAPHIER",AK632="RÉPARÉ – À RADIOGRAPHIER",AK632="NX – RT À REFAIRE"),OR('PROGRAMME RT'!$D$5="TOUTES",B632='PROGRAMME RT'!$D$5)),1,0)</f>
        <v>0</v>
      </c>
      <c r="AN632" s="78" t="str">
        <f aca="false">IF(AM632=1,SUM(AM$7:AM632),"")</f>
        <v/>
      </c>
      <c r="AO632" s="78" t="n">
        <f aca="false">IF(AND(OR(AK632="À RÉPARER",AK632="COUPE – À RESOUDER",AK632="VT REJETÉ – À REPRENDRE"),OR(RÉPARATIONS!$D$5="TOUTES",B632=RÉPARATIONS!$D$5)),1,0)</f>
        <v>0</v>
      </c>
      <c r="AP632" s="78" t="str">
        <f aca="false">IF(AO632=1,SUM(AO$7:AO632),"")</f>
        <v/>
      </c>
    </row>
    <row r="633" customFormat="false" ht="15" hidden="false" customHeight="false" outlineLevel="0" collapsed="false">
      <c r="A633" s="78" t="str">
        <f aca="false">IF(E633="","",ROW()-6)</f>
        <v/>
      </c>
      <c r="B633" s="79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1"/>
      <c r="Q633" s="81"/>
      <c r="R633" s="80"/>
      <c r="S633" s="80"/>
      <c r="T633" s="81"/>
      <c r="U633" s="80"/>
      <c r="V633" s="80"/>
      <c r="W633" s="80"/>
      <c r="X633" s="80"/>
      <c r="Y633" s="81"/>
      <c r="Z633" s="80"/>
      <c r="AA633" s="80"/>
      <c r="AB633" s="80"/>
      <c r="AC633" s="80"/>
      <c r="AD633" s="81"/>
      <c r="AE633" s="80"/>
      <c r="AF633" s="80"/>
      <c r="AG633" s="81"/>
      <c r="AH633" s="79"/>
      <c r="AI633" s="78" t="str">
        <f aca="false">IF(E633="","",(V633&lt;&gt;"")+(AA633&lt;&gt;"")+(AF633&lt;&gt;""))</f>
        <v/>
      </c>
      <c r="AJ633" s="82" t="str">
        <f aca="false">IF(AF633&lt;&gt;"",AF633,IF(AA633&lt;&gt;"",AA633,IF(V633&lt;&gt;"",V633,"")))</f>
        <v/>
      </c>
      <c r="AK633" s="83" t="str">
        <f aca="false">IF(E633="","",IF(P633="","À SOUDER",IF(S633="","VT EN ATTENTE",IF(S633="R","VT REJETÉ – À REPRENDRE",IF(AJ633="","À RADIOGRAPHIER",IF(AJ633="A","ACCEPTÉ",IF(AJ633="NX","NX – RT À REFAIRE",IF(IF(AI633=1,X633,IF(AI633=2,AC633,""))="A","RÉPARÉ – À RADIOGRAPHIER",IF(IF(AI633=1,X633,IF(AI633=2,AC633,""))="R","VT REJETÉ – À REPRENDRE",IF(AJ633="CO","COUPE – À RESOUDER","À RÉPARER"))))))))))</f>
        <v/>
      </c>
      <c r="AL633" s="82" t="str">
        <f aca="false">IF(AND(ISNUMBER(P633),OR(AK633="À RADIOGRAPHIER",AK633="RÉPARÉ – À RADIOGRAPHIER",AK633="NX – RT À REFAIRE",AK633="À RÉPARER",AK633="COUPE – À RESOUDER",AK633="VT REJETÉ – À REPRENDRE")),MAX(0,'PROGRAMME RT'!$C$4-P633),"")</f>
        <v/>
      </c>
      <c r="AM633" s="78" t="n">
        <f aca="false">IF(AND(OR(AK633="À RADIOGRAPHIER",AK633="RÉPARÉ – À RADIOGRAPHIER",AK633="NX – RT À REFAIRE"),OR('PROGRAMME RT'!$D$5="TOUTES",B633='PROGRAMME RT'!$D$5)),1,0)</f>
        <v>0</v>
      </c>
      <c r="AN633" s="78" t="str">
        <f aca="false">IF(AM633=1,SUM(AM$7:AM633),"")</f>
        <v/>
      </c>
      <c r="AO633" s="78" t="n">
        <f aca="false">IF(AND(OR(AK633="À RÉPARER",AK633="COUPE – À RESOUDER",AK633="VT REJETÉ – À REPRENDRE"),OR(RÉPARATIONS!$D$5="TOUTES",B633=RÉPARATIONS!$D$5)),1,0)</f>
        <v>0</v>
      </c>
      <c r="AP633" s="78" t="str">
        <f aca="false">IF(AO633=1,SUM(AO$7:AO633),"")</f>
        <v/>
      </c>
    </row>
    <row r="634" customFormat="false" ht="15" hidden="false" customHeight="false" outlineLevel="0" collapsed="false">
      <c r="A634" s="78" t="str">
        <f aca="false">IF(E634="","",ROW()-6)</f>
        <v/>
      </c>
      <c r="B634" s="79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1"/>
      <c r="Q634" s="81"/>
      <c r="R634" s="80"/>
      <c r="S634" s="80"/>
      <c r="T634" s="81"/>
      <c r="U634" s="80"/>
      <c r="V634" s="80"/>
      <c r="W634" s="80"/>
      <c r="X634" s="80"/>
      <c r="Y634" s="81"/>
      <c r="Z634" s="80"/>
      <c r="AA634" s="80"/>
      <c r="AB634" s="80"/>
      <c r="AC634" s="80"/>
      <c r="AD634" s="81"/>
      <c r="AE634" s="80"/>
      <c r="AF634" s="80"/>
      <c r="AG634" s="81"/>
      <c r="AH634" s="79"/>
      <c r="AI634" s="78" t="str">
        <f aca="false">IF(E634="","",(V634&lt;&gt;"")+(AA634&lt;&gt;"")+(AF634&lt;&gt;""))</f>
        <v/>
      </c>
      <c r="AJ634" s="82" t="str">
        <f aca="false">IF(AF634&lt;&gt;"",AF634,IF(AA634&lt;&gt;"",AA634,IF(V634&lt;&gt;"",V634,"")))</f>
        <v/>
      </c>
      <c r="AK634" s="83" t="str">
        <f aca="false">IF(E634="","",IF(P634="","À SOUDER",IF(S634="","VT EN ATTENTE",IF(S634="R","VT REJETÉ – À REPRENDRE",IF(AJ634="","À RADIOGRAPHIER",IF(AJ634="A","ACCEPTÉ",IF(AJ634="NX","NX – RT À REFAIRE",IF(IF(AI634=1,X634,IF(AI634=2,AC634,""))="A","RÉPARÉ – À RADIOGRAPHIER",IF(IF(AI634=1,X634,IF(AI634=2,AC634,""))="R","VT REJETÉ – À REPRENDRE",IF(AJ634="CO","COUPE – À RESOUDER","À RÉPARER"))))))))))</f>
        <v/>
      </c>
      <c r="AL634" s="82" t="str">
        <f aca="false">IF(AND(ISNUMBER(P634),OR(AK634="À RADIOGRAPHIER",AK634="RÉPARÉ – À RADIOGRAPHIER",AK634="NX – RT À REFAIRE",AK634="À RÉPARER",AK634="COUPE – À RESOUDER",AK634="VT REJETÉ – À REPRENDRE")),MAX(0,'PROGRAMME RT'!$C$4-P634),"")</f>
        <v/>
      </c>
      <c r="AM634" s="78" t="n">
        <f aca="false">IF(AND(OR(AK634="À RADIOGRAPHIER",AK634="RÉPARÉ – À RADIOGRAPHIER",AK634="NX – RT À REFAIRE"),OR('PROGRAMME RT'!$D$5="TOUTES",B634='PROGRAMME RT'!$D$5)),1,0)</f>
        <v>0</v>
      </c>
      <c r="AN634" s="78" t="str">
        <f aca="false">IF(AM634=1,SUM(AM$7:AM634),"")</f>
        <v/>
      </c>
      <c r="AO634" s="78" t="n">
        <f aca="false">IF(AND(OR(AK634="À RÉPARER",AK634="COUPE – À RESOUDER",AK634="VT REJETÉ – À REPRENDRE"),OR(RÉPARATIONS!$D$5="TOUTES",B634=RÉPARATIONS!$D$5)),1,0)</f>
        <v>0</v>
      </c>
      <c r="AP634" s="78" t="str">
        <f aca="false">IF(AO634=1,SUM(AO$7:AO634),"")</f>
        <v/>
      </c>
    </row>
    <row r="635" customFormat="false" ht="15" hidden="false" customHeight="false" outlineLevel="0" collapsed="false">
      <c r="A635" s="78" t="str">
        <f aca="false">IF(E635="","",ROW()-6)</f>
        <v/>
      </c>
      <c r="B635" s="79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1"/>
      <c r="Q635" s="81"/>
      <c r="R635" s="80"/>
      <c r="S635" s="80"/>
      <c r="T635" s="81"/>
      <c r="U635" s="80"/>
      <c r="V635" s="80"/>
      <c r="W635" s="80"/>
      <c r="X635" s="80"/>
      <c r="Y635" s="81"/>
      <c r="Z635" s="80"/>
      <c r="AA635" s="80"/>
      <c r="AB635" s="80"/>
      <c r="AC635" s="80"/>
      <c r="AD635" s="81"/>
      <c r="AE635" s="80"/>
      <c r="AF635" s="80"/>
      <c r="AG635" s="81"/>
      <c r="AH635" s="79"/>
      <c r="AI635" s="78" t="str">
        <f aca="false">IF(E635="","",(V635&lt;&gt;"")+(AA635&lt;&gt;"")+(AF635&lt;&gt;""))</f>
        <v/>
      </c>
      <c r="AJ635" s="82" t="str">
        <f aca="false">IF(AF635&lt;&gt;"",AF635,IF(AA635&lt;&gt;"",AA635,IF(V635&lt;&gt;"",V635,"")))</f>
        <v/>
      </c>
      <c r="AK635" s="83" t="str">
        <f aca="false">IF(E635="","",IF(P635="","À SOUDER",IF(S635="","VT EN ATTENTE",IF(S635="R","VT REJETÉ – À REPRENDRE",IF(AJ635="","À RADIOGRAPHIER",IF(AJ635="A","ACCEPTÉ",IF(AJ635="NX","NX – RT À REFAIRE",IF(IF(AI635=1,X635,IF(AI635=2,AC635,""))="A","RÉPARÉ – À RADIOGRAPHIER",IF(IF(AI635=1,X635,IF(AI635=2,AC635,""))="R","VT REJETÉ – À REPRENDRE",IF(AJ635="CO","COUPE – À RESOUDER","À RÉPARER"))))))))))</f>
        <v/>
      </c>
      <c r="AL635" s="82" t="str">
        <f aca="false">IF(AND(ISNUMBER(P635),OR(AK635="À RADIOGRAPHIER",AK635="RÉPARÉ – À RADIOGRAPHIER",AK635="NX – RT À REFAIRE",AK635="À RÉPARER",AK635="COUPE – À RESOUDER",AK635="VT REJETÉ – À REPRENDRE")),MAX(0,'PROGRAMME RT'!$C$4-P635),"")</f>
        <v/>
      </c>
      <c r="AM635" s="78" t="n">
        <f aca="false">IF(AND(OR(AK635="À RADIOGRAPHIER",AK635="RÉPARÉ – À RADIOGRAPHIER",AK635="NX – RT À REFAIRE"),OR('PROGRAMME RT'!$D$5="TOUTES",B635='PROGRAMME RT'!$D$5)),1,0)</f>
        <v>0</v>
      </c>
      <c r="AN635" s="78" t="str">
        <f aca="false">IF(AM635=1,SUM(AM$7:AM635),"")</f>
        <v/>
      </c>
      <c r="AO635" s="78" t="n">
        <f aca="false">IF(AND(OR(AK635="À RÉPARER",AK635="COUPE – À RESOUDER",AK635="VT REJETÉ – À REPRENDRE"),OR(RÉPARATIONS!$D$5="TOUTES",B635=RÉPARATIONS!$D$5)),1,0)</f>
        <v>0</v>
      </c>
      <c r="AP635" s="78" t="str">
        <f aca="false">IF(AO635=1,SUM(AO$7:AO635),"")</f>
        <v/>
      </c>
    </row>
    <row r="636" customFormat="false" ht="15" hidden="false" customHeight="false" outlineLevel="0" collapsed="false">
      <c r="A636" s="78" t="str">
        <f aca="false">IF(E636="","",ROW()-6)</f>
        <v/>
      </c>
      <c r="B636" s="79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1"/>
      <c r="Q636" s="81"/>
      <c r="R636" s="80"/>
      <c r="S636" s="80"/>
      <c r="T636" s="81"/>
      <c r="U636" s="80"/>
      <c r="V636" s="80"/>
      <c r="W636" s="80"/>
      <c r="X636" s="80"/>
      <c r="Y636" s="81"/>
      <c r="Z636" s="80"/>
      <c r="AA636" s="80"/>
      <c r="AB636" s="80"/>
      <c r="AC636" s="80"/>
      <c r="AD636" s="81"/>
      <c r="AE636" s="80"/>
      <c r="AF636" s="80"/>
      <c r="AG636" s="81"/>
      <c r="AH636" s="79"/>
      <c r="AI636" s="78" t="str">
        <f aca="false">IF(E636="","",(V636&lt;&gt;"")+(AA636&lt;&gt;"")+(AF636&lt;&gt;""))</f>
        <v/>
      </c>
      <c r="AJ636" s="82" t="str">
        <f aca="false">IF(AF636&lt;&gt;"",AF636,IF(AA636&lt;&gt;"",AA636,IF(V636&lt;&gt;"",V636,"")))</f>
        <v/>
      </c>
      <c r="AK636" s="83" t="str">
        <f aca="false">IF(E636="","",IF(P636="","À SOUDER",IF(S636="","VT EN ATTENTE",IF(S636="R","VT REJETÉ – À REPRENDRE",IF(AJ636="","À RADIOGRAPHIER",IF(AJ636="A","ACCEPTÉ",IF(AJ636="NX","NX – RT À REFAIRE",IF(IF(AI636=1,X636,IF(AI636=2,AC636,""))="A","RÉPARÉ – À RADIOGRAPHIER",IF(IF(AI636=1,X636,IF(AI636=2,AC636,""))="R","VT REJETÉ – À REPRENDRE",IF(AJ636="CO","COUPE – À RESOUDER","À RÉPARER"))))))))))</f>
        <v/>
      </c>
      <c r="AL636" s="82" t="str">
        <f aca="false">IF(AND(ISNUMBER(P636),OR(AK636="À RADIOGRAPHIER",AK636="RÉPARÉ – À RADIOGRAPHIER",AK636="NX – RT À REFAIRE",AK636="À RÉPARER",AK636="COUPE – À RESOUDER",AK636="VT REJETÉ – À REPRENDRE")),MAX(0,'PROGRAMME RT'!$C$4-P636),"")</f>
        <v/>
      </c>
      <c r="AM636" s="78" t="n">
        <f aca="false">IF(AND(OR(AK636="À RADIOGRAPHIER",AK636="RÉPARÉ – À RADIOGRAPHIER",AK636="NX – RT À REFAIRE"),OR('PROGRAMME RT'!$D$5="TOUTES",B636='PROGRAMME RT'!$D$5)),1,0)</f>
        <v>0</v>
      </c>
      <c r="AN636" s="78" t="str">
        <f aca="false">IF(AM636=1,SUM(AM$7:AM636),"")</f>
        <v/>
      </c>
      <c r="AO636" s="78" t="n">
        <f aca="false">IF(AND(OR(AK636="À RÉPARER",AK636="COUPE – À RESOUDER",AK636="VT REJETÉ – À REPRENDRE"),OR(RÉPARATIONS!$D$5="TOUTES",B636=RÉPARATIONS!$D$5)),1,0)</f>
        <v>0</v>
      </c>
      <c r="AP636" s="78" t="str">
        <f aca="false">IF(AO636=1,SUM(AO$7:AO636),"")</f>
        <v/>
      </c>
    </row>
    <row r="637" customFormat="false" ht="15" hidden="false" customHeight="false" outlineLevel="0" collapsed="false">
      <c r="A637" s="78" t="str">
        <f aca="false">IF(E637="","",ROW()-6)</f>
        <v/>
      </c>
      <c r="B637" s="79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1"/>
      <c r="Q637" s="81"/>
      <c r="R637" s="80"/>
      <c r="S637" s="80"/>
      <c r="T637" s="81"/>
      <c r="U637" s="80"/>
      <c r="V637" s="80"/>
      <c r="W637" s="80"/>
      <c r="X637" s="80"/>
      <c r="Y637" s="81"/>
      <c r="Z637" s="80"/>
      <c r="AA637" s="80"/>
      <c r="AB637" s="80"/>
      <c r="AC637" s="80"/>
      <c r="AD637" s="81"/>
      <c r="AE637" s="80"/>
      <c r="AF637" s="80"/>
      <c r="AG637" s="81"/>
      <c r="AH637" s="79"/>
      <c r="AI637" s="78" t="str">
        <f aca="false">IF(E637="","",(V637&lt;&gt;"")+(AA637&lt;&gt;"")+(AF637&lt;&gt;""))</f>
        <v/>
      </c>
      <c r="AJ637" s="82" t="str">
        <f aca="false">IF(AF637&lt;&gt;"",AF637,IF(AA637&lt;&gt;"",AA637,IF(V637&lt;&gt;"",V637,"")))</f>
        <v/>
      </c>
      <c r="AK637" s="83" t="str">
        <f aca="false">IF(E637="","",IF(P637="","À SOUDER",IF(S637="","VT EN ATTENTE",IF(S637="R","VT REJETÉ – À REPRENDRE",IF(AJ637="","À RADIOGRAPHIER",IF(AJ637="A","ACCEPTÉ",IF(AJ637="NX","NX – RT À REFAIRE",IF(IF(AI637=1,X637,IF(AI637=2,AC637,""))="A","RÉPARÉ – À RADIOGRAPHIER",IF(IF(AI637=1,X637,IF(AI637=2,AC637,""))="R","VT REJETÉ – À REPRENDRE",IF(AJ637="CO","COUPE – À RESOUDER","À RÉPARER"))))))))))</f>
        <v/>
      </c>
      <c r="AL637" s="82" t="str">
        <f aca="false">IF(AND(ISNUMBER(P637),OR(AK637="À RADIOGRAPHIER",AK637="RÉPARÉ – À RADIOGRAPHIER",AK637="NX – RT À REFAIRE",AK637="À RÉPARER",AK637="COUPE – À RESOUDER",AK637="VT REJETÉ – À REPRENDRE")),MAX(0,'PROGRAMME RT'!$C$4-P637),"")</f>
        <v/>
      </c>
      <c r="AM637" s="78" t="n">
        <f aca="false">IF(AND(OR(AK637="À RADIOGRAPHIER",AK637="RÉPARÉ – À RADIOGRAPHIER",AK637="NX – RT À REFAIRE"),OR('PROGRAMME RT'!$D$5="TOUTES",B637='PROGRAMME RT'!$D$5)),1,0)</f>
        <v>0</v>
      </c>
      <c r="AN637" s="78" t="str">
        <f aca="false">IF(AM637=1,SUM(AM$7:AM637),"")</f>
        <v/>
      </c>
      <c r="AO637" s="78" t="n">
        <f aca="false">IF(AND(OR(AK637="À RÉPARER",AK637="COUPE – À RESOUDER",AK637="VT REJETÉ – À REPRENDRE"),OR(RÉPARATIONS!$D$5="TOUTES",B637=RÉPARATIONS!$D$5)),1,0)</f>
        <v>0</v>
      </c>
      <c r="AP637" s="78" t="str">
        <f aca="false">IF(AO637=1,SUM(AO$7:AO637),"")</f>
        <v/>
      </c>
    </row>
    <row r="638" customFormat="false" ht="15" hidden="false" customHeight="false" outlineLevel="0" collapsed="false">
      <c r="A638" s="78" t="str">
        <f aca="false">IF(E638="","",ROW()-6)</f>
        <v/>
      </c>
      <c r="B638" s="79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1"/>
      <c r="Q638" s="81"/>
      <c r="R638" s="80"/>
      <c r="S638" s="80"/>
      <c r="T638" s="81"/>
      <c r="U638" s="80"/>
      <c r="V638" s="80"/>
      <c r="W638" s="80"/>
      <c r="X638" s="80"/>
      <c r="Y638" s="81"/>
      <c r="Z638" s="80"/>
      <c r="AA638" s="80"/>
      <c r="AB638" s="80"/>
      <c r="AC638" s="80"/>
      <c r="AD638" s="81"/>
      <c r="AE638" s="80"/>
      <c r="AF638" s="80"/>
      <c r="AG638" s="81"/>
      <c r="AH638" s="79"/>
      <c r="AI638" s="78" t="str">
        <f aca="false">IF(E638="","",(V638&lt;&gt;"")+(AA638&lt;&gt;"")+(AF638&lt;&gt;""))</f>
        <v/>
      </c>
      <c r="AJ638" s="82" t="str">
        <f aca="false">IF(AF638&lt;&gt;"",AF638,IF(AA638&lt;&gt;"",AA638,IF(V638&lt;&gt;"",V638,"")))</f>
        <v/>
      </c>
      <c r="AK638" s="83" t="str">
        <f aca="false">IF(E638="","",IF(P638="","À SOUDER",IF(S638="","VT EN ATTENTE",IF(S638="R","VT REJETÉ – À REPRENDRE",IF(AJ638="","À RADIOGRAPHIER",IF(AJ638="A","ACCEPTÉ",IF(AJ638="NX","NX – RT À REFAIRE",IF(IF(AI638=1,X638,IF(AI638=2,AC638,""))="A","RÉPARÉ – À RADIOGRAPHIER",IF(IF(AI638=1,X638,IF(AI638=2,AC638,""))="R","VT REJETÉ – À REPRENDRE",IF(AJ638="CO","COUPE – À RESOUDER","À RÉPARER"))))))))))</f>
        <v/>
      </c>
      <c r="AL638" s="82" t="str">
        <f aca="false">IF(AND(ISNUMBER(P638),OR(AK638="À RADIOGRAPHIER",AK638="RÉPARÉ – À RADIOGRAPHIER",AK638="NX – RT À REFAIRE",AK638="À RÉPARER",AK638="COUPE – À RESOUDER",AK638="VT REJETÉ – À REPRENDRE")),MAX(0,'PROGRAMME RT'!$C$4-P638),"")</f>
        <v/>
      </c>
      <c r="AM638" s="78" t="n">
        <f aca="false">IF(AND(OR(AK638="À RADIOGRAPHIER",AK638="RÉPARÉ – À RADIOGRAPHIER",AK638="NX – RT À REFAIRE"),OR('PROGRAMME RT'!$D$5="TOUTES",B638='PROGRAMME RT'!$D$5)),1,0)</f>
        <v>0</v>
      </c>
      <c r="AN638" s="78" t="str">
        <f aca="false">IF(AM638=1,SUM(AM$7:AM638),"")</f>
        <v/>
      </c>
      <c r="AO638" s="78" t="n">
        <f aca="false">IF(AND(OR(AK638="À RÉPARER",AK638="COUPE – À RESOUDER",AK638="VT REJETÉ – À REPRENDRE"),OR(RÉPARATIONS!$D$5="TOUTES",B638=RÉPARATIONS!$D$5)),1,0)</f>
        <v>0</v>
      </c>
      <c r="AP638" s="78" t="str">
        <f aca="false">IF(AO638=1,SUM(AO$7:AO638),"")</f>
        <v/>
      </c>
    </row>
    <row r="639" customFormat="false" ht="15" hidden="false" customHeight="false" outlineLevel="0" collapsed="false">
      <c r="A639" s="78" t="str">
        <f aca="false">IF(E639="","",ROW()-6)</f>
        <v/>
      </c>
      <c r="B639" s="79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1"/>
      <c r="Q639" s="81"/>
      <c r="R639" s="80"/>
      <c r="S639" s="80"/>
      <c r="T639" s="81"/>
      <c r="U639" s="80"/>
      <c r="V639" s="80"/>
      <c r="W639" s="80"/>
      <c r="X639" s="80"/>
      <c r="Y639" s="81"/>
      <c r="Z639" s="80"/>
      <c r="AA639" s="80"/>
      <c r="AB639" s="80"/>
      <c r="AC639" s="80"/>
      <c r="AD639" s="81"/>
      <c r="AE639" s="80"/>
      <c r="AF639" s="80"/>
      <c r="AG639" s="81"/>
      <c r="AH639" s="79"/>
      <c r="AI639" s="78" t="str">
        <f aca="false">IF(E639="","",(V639&lt;&gt;"")+(AA639&lt;&gt;"")+(AF639&lt;&gt;""))</f>
        <v/>
      </c>
      <c r="AJ639" s="82" t="str">
        <f aca="false">IF(AF639&lt;&gt;"",AF639,IF(AA639&lt;&gt;"",AA639,IF(V639&lt;&gt;"",V639,"")))</f>
        <v/>
      </c>
      <c r="AK639" s="83" t="str">
        <f aca="false">IF(E639="","",IF(P639="","À SOUDER",IF(S639="","VT EN ATTENTE",IF(S639="R","VT REJETÉ – À REPRENDRE",IF(AJ639="","À RADIOGRAPHIER",IF(AJ639="A","ACCEPTÉ",IF(AJ639="NX","NX – RT À REFAIRE",IF(IF(AI639=1,X639,IF(AI639=2,AC639,""))="A","RÉPARÉ – À RADIOGRAPHIER",IF(IF(AI639=1,X639,IF(AI639=2,AC639,""))="R","VT REJETÉ – À REPRENDRE",IF(AJ639="CO","COUPE – À RESOUDER","À RÉPARER"))))))))))</f>
        <v/>
      </c>
      <c r="AL639" s="82" t="str">
        <f aca="false">IF(AND(ISNUMBER(P639),OR(AK639="À RADIOGRAPHIER",AK639="RÉPARÉ – À RADIOGRAPHIER",AK639="NX – RT À REFAIRE",AK639="À RÉPARER",AK639="COUPE – À RESOUDER",AK639="VT REJETÉ – À REPRENDRE")),MAX(0,'PROGRAMME RT'!$C$4-P639),"")</f>
        <v/>
      </c>
      <c r="AM639" s="78" t="n">
        <f aca="false">IF(AND(OR(AK639="À RADIOGRAPHIER",AK639="RÉPARÉ – À RADIOGRAPHIER",AK639="NX – RT À REFAIRE"),OR('PROGRAMME RT'!$D$5="TOUTES",B639='PROGRAMME RT'!$D$5)),1,0)</f>
        <v>0</v>
      </c>
      <c r="AN639" s="78" t="str">
        <f aca="false">IF(AM639=1,SUM(AM$7:AM639),"")</f>
        <v/>
      </c>
      <c r="AO639" s="78" t="n">
        <f aca="false">IF(AND(OR(AK639="À RÉPARER",AK639="COUPE – À RESOUDER",AK639="VT REJETÉ – À REPRENDRE"),OR(RÉPARATIONS!$D$5="TOUTES",B639=RÉPARATIONS!$D$5)),1,0)</f>
        <v>0</v>
      </c>
      <c r="AP639" s="78" t="str">
        <f aca="false">IF(AO639=1,SUM(AO$7:AO639),"")</f>
        <v/>
      </c>
    </row>
    <row r="640" customFormat="false" ht="15" hidden="false" customHeight="false" outlineLevel="0" collapsed="false">
      <c r="A640" s="78" t="str">
        <f aca="false">IF(E640="","",ROW()-6)</f>
        <v/>
      </c>
      <c r="B640" s="79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1"/>
      <c r="Q640" s="81"/>
      <c r="R640" s="80"/>
      <c r="S640" s="80"/>
      <c r="T640" s="81"/>
      <c r="U640" s="80"/>
      <c r="V640" s="80"/>
      <c r="W640" s="80"/>
      <c r="X640" s="80"/>
      <c r="Y640" s="81"/>
      <c r="Z640" s="80"/>
      <c r="AA640" s="80"/>
      <c r="AB640" s="80"/>
      <c r="AC640" s="80"/>
      <c r="AD640" s="81"/>
      <c r="AE640" s="80"/>
      <c r="AF640" s="80"/>
      <c r="AG640" s="81"/>
      <c r="AH640" s="79"/>
      <c r="AI640" s="78" t="str">
        <f aca="false">IF(E640="","",(V640&lt;&gt;"")+(AA640&lt;&gt;"")+(AF640&lt;&gt;""))</f>
        <v/>
      </c>
      <c r="AJ640" s="82" t="str">
        <f aca="false">IF(AF640&lt;&gt;"",AF640,IF(AA640&lt;&gt;"",AA640,IF(V640&lt;&gt;"",V640,"")))</f>
        <v/>
      </c>
      <c r="AK640" s="83" t="str">
        <f aca="false">IF(E640="","",IF(P640="","À SOUDER",IF(S640="","VT EN ATTENTE",IF(S640="R","VT REJETÉ – À REPRENDRE",IF(AJ640="","À RADIOGRAPHIER",IF(AJ640="A","ACCEPTÉ",IF(AJ640="NX","NX – RT À REFAIRE",IF(IF(AI640=1,X640,IF(AI640=2,AC640,""))="A","RÉPARÉ – À RADIOGRAPHIER",IF(IF(AI640=1,X640,IF(AI640=2,AC640,""))="R","VT REJETÉ – À REPRENDRE",IF(AJ640="CO","COUPE – À RESOUDER","À RÉPARER"))))))))))</f>
        <v/>
      </c>
      <c r="AL640" s="82" t="str">
        <f aca="false">IF(AND(ISNUMBER(P640),OR(AK640="À RADIOGRAPHIER",AK640="RÉPARÉ – À RADIOGRAPHIER",AK640="NX – RT À REFAIRE",AK640="À RÉPARER",AK640="COUPE – À RESOUDER",AK640="VT REJETÉ – À REPRENDRE")),MAX(0,'PROGRAMME RT'!$C$4-P640),"")</f>
        <v/>
      </c>
      <c r="AM640" s="78" t="n">
        <f aca="false">IF(AND(OR(AK640="À RADIOGRAPHIER",AK640="RÉPARÉ – À RADIOGRAPHIER",AK640="NX – RT À REFAIRE"),OR('PROGRAMME RT'!$D$5="TOUTES",B640='PROGRAMME RT'!$D$5)),1,0)</f>
        <v>0</v>
      </c>
      <c r="AN640" s="78" t="str">
        <f aca="false">IF(AM640=1,SUM(AM$7:AM640),"")</f>
        <v/>
      </c>
      <c r="AO640" s="78" t="n">
        <f aca="false">IF(AND(OR(AK640="À RÉPARER",AK640="COUPE – À RESOUDER",AK640="VT REJETÉ – À REPRENDRE"),OR(RÉPARATIONS!$D$5="TOUTES",B640=RÉPARATIONS!$D$5)),1,0)</f>
        <v>0</v>
      </c>
      <c r="AP640" s="78" t="str">
        <f aca="false">IF(AO640=1,SUM(AO$7:AO640),"")</f>
        <v/>
      </c>
    </row>
    <row r="641" customFormat="false" ht="15" hidden="false" customHeight="false" outlineLevel="0" collapsed="false">
      <c r="A641" s="78" t="str">
        <f aca="false">IF(E641="","",ROW()-6)</f>
        <v/>
      </c>
      <c r="B641" s="79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1"/>
      <c r="Q641" s="81"/>
      <c r="R641" s="80"/>
      <c r="S641" s="80"/>
      <c r="T641" s="81"/>
      <c r="U641" s="80"/>
      <c r="V641" s="80"/>
      <c r="W641" s="80"/>
      <c r="X641" s="80"/>
      <c r="Y641" s="81"/>
      <c r="Z641" s="80"/>
      <c r="AA641" s="80"/>
      <c r="AB641" s="80"/>
      <c r="AC641" s="80"/>
      <c r="AD641" s="81"/>
      <c r="AE641" s="80"/>
      <c r="AF641" s="80"/>
      <c r="AG641" s="81"/>
      <c r="AH641" s="79"/>
      <c r="AI641" s="78" t="str">
        <f aca="false">IF(E641="","",(V641&lt;&gt;"")+(AA641&lt;&gt;"")+(AF641&lt;&gt;""))</f>
        <v/>
      </c>
      <c r="AJ641" s="82" t="str">
        <f aca="false">IF(AF641&lt;&gt;"",AF641,IF(AA641&lt;&gt;"",AA641,IF(V641&lt;&gt;"",V641,"")))</f>
        <v/>
      </c>
      <c r="AK641" s="83" t="str">
        <f aca="false">IF(E641="","",IF(P641="","À SOUDER",IF(S641="","VT EN ATTENTE",IF(S641="R","VT REJETÉ – À REPRENDRE",IF(AJ641="","À RADIOGRAPHIER",IF(AJ641="A","ACCEPTÉ",IF(AJ641="NX","NX – RT À REFAIRE",IF(IF(AI641=1,X641,IF(AI641=2,AC641,""))="A","RÉPARÉ – À RADIOGRAPHIER",IF(IF(AI641=1,X641,IF(AI641=2,AC641,""))="R","VT REJETÉ – À REPRENDRE",IF(AJ641="CO","COUPE – À RESOUDER","À RÉPARER"))))))))))</f>
        <v/>
      </c>
      <c r="AL641" s="82" t="str">
        <f aca="false">IF(AND(ISNUMBER(P641),OR(AK641="À RADIOGRAPHIER",AK641="RÉPARÉ – À RADIOGRAPHIER",AK641="NX – RT À REFAIRE",AK641="À RÉPARER",AK641="COUPE – À RESOUDER",AK641="VT REJETÉ – À REPRENDRE")),MAX(0,'PROGRAMME RT'!$C$4-P641),"")</f>
        <v/>
      </c>
      <c r="AM641" s="78" t="n">
        <f aca="false">IF(AND(OR(AK641="À RADIOGRAPHIER",AK641="RÉPARÉ – À RADIOGRAPHIER",AK641="NX – RT À REFAIRE"),OR('PROGRAMME RT'!$D$5="TOUTES",B641='PROGRAMME RT'!$D$5)),1,0)</f>
        <v>0</v>
      </c>
      <c r="AN641" s="78" t="str">
        <f aca="false">IF(AM641=1,SUM(AM$7:AM641),"")</f>
        <v/>
      </c>
      <c r="AO641" s="78" t="n">
        <f aca="false">IF(AND(OR(AK641="À RÉPARER",AK641="COUPE – À RESOUDER",AK641="VT REJETÉ – À REPRENDRE"),OR(RÉPARATIONS!$D$5="TOUTES",B641=RÉPARATIONS!$D$5)),1,0)</f>
        <v>0</v>
      </c>
      <c r="AP641" s="78" t="str">
        <f aca="false">IF(AO641=1,SUM(AO$7:AO641),"")</f>
        <v/>
      </c>
    </row>
    <row r="642" customFormat="false" ht="15" hidden="false" customHeight="false" outlineLevel="0" collapsed="false">
      <c r="A642" s="78" t="str">
        <f aca="false">IF(E642="","",ROW()-6)</f>
        <v/>
      </c>
      <c r="B642" s="79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1"/>
      <c r="Q642" s="81"/>
      <c r="R642" s="80"/>
      <c r="S642" s="80"/>
      <c r="T642" s="81"/>
      <c r="U642" s="80"/>
      <c r="V642" s="80"/>
      <c r="W642" s="80"/>
      <c r="X642" s="80"/>
      <c r="Y642" s="81"/>
      <c r="Z642" s="80"/>
      <c r="AA642" s="80"/>
      <c r="AB642" s="80"/>
      <c r="AC642" s="80"/>
      <c r="AD642" s="81"/>
      <c r="AE642" s="80"/>
      <c r="AF642" s="80"/>
      <c r="AG642" s="81"/>
      <c r="AH642" s="79"/>
      <c r="AI642" s="78" t="str">
        <f aca="false">IF(E642="","",(V642&lt;&gt;"")+(AA642&lt;&gt;"")+(AF642&lt;&gt;""))</f>
        <v/>
      </c>
      <c r="AJ642" s="82" t="str">
        <f aca="false">IF(AF642&lt;&gt;"",AF642,IF(AA642&lt;&gt;"",AA642,IF(V642&lt;&gt;"",V642,"")))</f>
        <v/>
      </c>
      <c r="AK642" s="83" t="str">
        <f aca="false">IF(E642="","",IF(P642="","À SOUDER",IF(S642="","VT EN ATTENTE",IF(S642="R","VT REJETÉ – À REPRENDRE",IF(AJ642="","À RADIOGRAPHIER",IF(AJ642="A","ACCEPTÉ",IF(AJ642="NX","NX – RT À REFAIRE",IF(IF(AI642=1,X642,IF(AI642=2,AC642,""))="A","RÉPARÉ – À RADIOGRAPHIER",IF(IF(AI642=1,X642,IF(AI642=2,AC642,""))="R","VT REJETÉ – À REPRENDRE",IF(AJ642="CO","COUPE – À RESOUDER","À RÉPARER"))))))))))</f>
        <v/>
      </c>
      <c r="AL642" s="82" t="str">
        <f aca="false">IF(AND(ISNUMBER(P642),OR(AK642="À RADIOGRAPHIER",AK642="RÉPARÉ – À RADIOGRAPHIER",AK642="NX – RT À REFAIRE",AK642="À RÉPARER",AK642="COUPE – À RESOUDER",AK642="VT REJETÉ – À REPRENDRE")),MAX(0,'PROGRAMME RT'!$C$4-P642),"")</f>
        <v/>
      </c>
      <c r="AM642" s="78" t="n">
        <f aca="false">IF(AND(OR(AK642="À RADIOGRAPHIER",AK642="RÉPARÉ – À RADIOGRAPHIER",AK642="NX – RT À REFAIRE"),OR('PROGRAMME RT'!$D$5="TOUTES",B642='PROGRAMME RT'!$D$5)),1,0)</f>
        <v>0</v>
      </c>
      <c r="AN642" s="78" t="str">
        <f aca="false">IF(AM642=1,SUM(AM$7:AM642),"")</f>
        <v/>
      </c>
      <c r="AO642" s="78" t="n">
        <f aca="false">IF(AND(OR(AK642="À RÉPARER",AK642="COUPE – À RESOUDER",AK642="VT REJETÉ – À REPRENDRE"),OR(RÉPARATIONS!$D$5="TOUTES",B642=RÉPARATIONS!$D$5)),1,0)</f>
        <v>0</v>
      </c>
      <c r="AP642" s="78" t="str">
        <f aca="false">IF(AO642=1,SUM(AO$7:AO642),"")</f>
        <v/>
      </c>
    </row>
    <row r="643" customFormat="false" ht="15" hidden="false" customHeight="false" outlineLevel="0" collapsed="false">
      <c r="A643" s="78" t="str">
        <f aca="false">IF(E643="","",ROW()-6)</f>
        <v/>
      </c>
      <c r="B643" s="79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1"/>
      <c r="Q643" s="81"/>
      <c r="R643" s="80"/>
      <c r="S643" s="80"/>
      <c r="T643" s="81"/>
      <c r="U643" s="80"/>
      <c r="V643" s="80"/>
      <c r="W643" s="80"/>
      <c r="X643" s="80"/>
      <c r="Y643" s="81"/>
      <c r="Z643" s="80"/>
      <c r="AA643" s="80"/>
      <c r="AB643" s="80"/>
      <c r="AC643" s="80"/>
      <c r="AD643" s="81"/>
      <c r="AE643" s="80"/>
      <c r="AF643" s="80"/>
      <c r="AG643" s="81"/>
      <c r="AH643" s="79"/>
      <c r="AI643" s="78" t="str">
        <f aca="false">IF(E643="","",(V643&lt;&gt;"")+(AA643&lt;&gt;"")+(AF643&lt;&gt;""))</f>
        <v/>
      </c>
      <c r="AJ643" s="82" t="str">
        <f aca="false">IF(AF643&lt;&gt;"",AF643,IF(AA643&lt;&gt;"",AA643,IF(V643&lt;&gt;"",V643,"")))</f>
        <v/>
      </c>
      <c r="AK643" s="83" t="str">
        <f aca="false">IF(E643="","",IF(P643="","À SOUDER",IF(S643="","VT EN ATTENTE",IF(S643="R","VT REJETÉ – À REPRENDRE",IF(AJ643="","À RADIOGRAPHIER",IF(AJ643="A","ACCEPTÉ",IF(AJ643="NX","NX – RT À REFAIRE",IF(IF(AI643=1,X643,IF(AI643=2,AC643,""))="A","RÉPARÉ – À RADIOGRAPHIER",IF(IF(AI643=1,X643,IF(AI643=2,AC643,""))="R","VT REJETÉ – À REPRENDRE",IF(AJ643="CO","COUPE – À RESOUDER","À RÉPARER"))))))))))</f>
        <v/>
      </c>
      <c r="AL643" s="82" t="str">
        <f aca="false">IF(AND(ISNUMBER(P643),OR(AK643="À RADIOGRAPHIER",AK643="RÉPARÉ – À RADIOGRAPHIER",AK643="NX – RT À REFAIRE",AK643="À RÉPARER",AK643="COUPE – À RESOUDER",AK643="VT REJETÉ – À REPRENDRE")),MAX(0,'PROGRAMME RT'!$C$4-P643),"")</f>
        <v/>
      </c>
      <c r="AM643" s="78" t="n">
        <f aca="false">IF(AND(OR(AK643="À RADIOGRAPHIER",AK643="RÉPARÉ – À RADIOGRAPHIER",AK643="NX – RT À REFAIRE"),OR('PROGRAMME RT'!$D$5="TOUTES",B643='PROGRAMME RT'!$D$5)),1,0)</f>
        <v>0</v>
      </c>
      <c r="AN643" s="78" t="str">
        <f aca="false">IF(AM643=1,SUM(AM$7:AM643),"")</f>
        <v/>
      </c>
      <c r="AO643" s="78" t="n">
        <f aca="false">IF(AND(OR(AK643="À RÉPARER",AK643="COUPE – À RESOUDER",AK643="VT REJETÉ – À REPRENDRE"),OR(RÉPARATIONS!$D$5="TOUTES",B643=RÉPARATIONS!$D$5)),1,0)</f>
        <v>0</v>
      </c>
      <c r="AP643" s="78" t="str">
        <f aca="false">IF(AO643=1,SUM(AO$7:AO643),"")</f>
        <v/>
      </c>
    </row>
    <row r="644" customFormat="false" ht="15" hidden="false" customHeight="false" outlineLevel="0" collapsed="false">
      <c r="A644" s="78" t="str">
        <f aca="false">IF(E644="","",ROW()-6)</f>
        <v/>
      </c>
      <c r="B644" s="79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1"/>
      <c r="Q644" s="81"/>
      <c r="R644" s="80"/>
      <c r="S644" s="80"/>
      <c r="T644" s="81"/>
      <c r="U644" s="80"/>
      <c r="V644" s="80"/>
      <c r="W644" s="80"/>
      <c r="X644" s="80"/>
      <c r="Y644" s="81"/>
      <c r="Z644" s="80"/>
      <c r="AA644" s="80"/>
      <c r="AB644" s="80"/>
      <c r="AC644" s="80"/>
      <c r="AD644" s="81"/>
      <c r="AE644" s="80"/>
      <c r="AF644" s="80"/>
      <c r="AG644" s="81"/>
      <c r="AH644" s="79"/>
      <c r="AI644" s="78" t="str">
        <f aca="false">IF(E644="","",(V644&lt;&gt;"")+(AA644&lt;&gt;"")+(AF644&lt;&gt;""))</f>
        <v/>
      </c>
      <c r="AJ644" s="82" t="str">
        <f aca="false">IF(AF644&lt;&gt;"",AF644,IF(AA644&lt;&gt;"",AA644,IF(V644&lt;&gt;"",V644,"")))</f>
        <v/>
      </c>
      <c r="AK644" s="83" t="str">
        <f aca="false">IF(E644="","",IF(P644="","À SOUDER",IF(S644="","VT EN ATTENTE",IF(S644="R","VT REJETÉ – À REPRENDRE",IF(AJ644="","À RADIOGRAPHIER",IF(AJ644="A","ACCEPTÉ",IF(AJ644="NX","NX – RT À REFAIRE",IF(IF(AI644=1,X644,IF(AI644=2,AC644,""))="A","RÉPARÉ – À RADIOGRAPHIER",IF(IF(AI644=1,X644,IF(AI644=2,AC644,""))="R","VT REJETÉ – À REPRENDRE",IF(AJ644="CO","COUPE – À RESOUDER","À RÉPARER"))))))))))</f>
        <v/>
      </c>
      <c r="AL644" s="82" t="str">
        <f aca="false">IF(AND(ISNUMBER(P644),OR(AK644="À RADIOGRAPHIER",AK644="RÉPARÉ – À RADIOGRAPHIER",AK644="NX – RT À REFAIRE",AK644="À RÉPARER",AK644="COUPE – À RESOUDER",AK644="VT REJETÉ – À REPRENDRE")),MAX(0,'PROGRAMME RT'!$C$4-P644),"")</f>
        <v/>
      </c>
      <c r="AM644" s="78" t="n">
        <f aca="false">IF(AND(OR(AK644="À RADIOGRAPHIER",AK644="RÉPARÉ – À RADIOGRAPHIER",AK644="NX – RT À REFAIRE"),OR('PROGRAMME RT'!$D$5="TOUTES",B644='PROGRAMME RT'!$D$5)),1,0)</f>
        <v>0</v>
      </c>
      <c r="AN644" s="78" t="str">
        <f aca="false">IF(AM644=1,SUM(AM$7:AM644),"")</f>
        <v/>
      </c>
      <c r="AO644" s="78" t="n">
        <f aca="false">IF(AND(OR(AK644="À RÉPARER",AK644="COUPE – À RESOUDER",AK644="VT REJETÉ – À REPRENDRE"),OR(RÉPARATIONS!$D$5="TOUTES",B644=RÉPARATIONS!$D$5)),1,0)</f>
        <v>0</v>
      </c>
      <c r="AP644" s="78" t="str">
        <f aca="false">IF(AO644=1,SUM(AO$7:AO644),"")</f>
        <v/>
      </c>
    </row>
    <row r="645" customFormat="false" ht="15" hidden="false" customHeight="false" outlineLevel="0" collapsed="false">
      <c r="A645" s="78" t="str">
        <f aca="false">IF(E645="","",ROW()-6)</f>
        <v/>
      </c>
      <c r="B645" s="79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1"/>
      <c r="Q645" s="81"/>
      <c r="R645" s="80"/>
      <c r="S645" s="80"/>
      <c r="T645" s="81"/>
      <c r="U645" s="80"/>
      <c r="V645" s="80"/>
      <c r="W645" s="80"/>
      <c r="X645" s="80"/>
      <c r="Y645" s="81"/>
      <c r="Z645" s="80"/>
      <c r="AA645" s="80"/>
      <c r="AB645" s="80"/>
      <c r="AC645" s="80"/>
      <c r="AD645" s="81"/>
      <c r="AE645" s="80"/>
      <c r="AF645" s="80"/>
      <c r="AG645" s="81"/>
      <c r="AH645" s="79"/>
      <c r="AI645" s="78" t="str">
        <f aca="false">IF(E645="","",(V645&lt;&gt;"")+(AA645&lt;&gt;"")+(AF645&lt;&gt;""))</f>
        <v/>
      </c>
      <c r="AJ645" s="82" t="str">
        <f aca="false">IF(AF645&lt;&gt;"",AF645,IF(AA645&lt;&gt;"",AA645,IF(V645&lt;&gt;"",V645,"")))</f>
        <v/>
      </c>
      <c r="AK645" s="83" t="str">
        <f aca="false">IF(E645="","",IF(P645="","À SOUDER",IF(S645="","VT EN ATTENTE",IF(S645="R","VT REJETÉ – À REPRENDRE",IF(AJ645="","À RADIOGRAPHIER",IF(AJ645="A","ACCEPTÉ",IF(AJ645="NX","NX – RT À REFAIRE",IF(IF(AI645=1,X645,IF(AI645=2,AC645,""))="A","RÉPARÉ – À RADIOGRAPHIER",IF(IF(AI645=1,X645,IF(AI645=2,AC645,""))="R","VT REJETÉ – À REPRENDRE",IF(AJ645="CO","COUPE – À RESOUDER","À RÉPARER"))))))))))</f>
        <v/>
      </c>
      <c r="AL645" s="82" t="str">
        <f aca="false">IF(AND(ISNUMBER(P645),OR(AK645="À RADIOGRAPHIER",AK645="RÉPARÉ – À RADIOGRAPHIER",AK645="NX – RT À REFAIRE",AK645="À RÉPARER",AK645="COUPE – À RESOUDER",AK645="VT REJETÉ – À REPRENDRE")),MAX(0,'PROGRAMME RT'!$C$4-P645),"")</f>
        <v/>
      </c>
      <c r="AM645" s="78" t="n">
        <f aca="false">IF(AND(OR(AK645="À RADIOGRAPHIER",AK645="RÉPARÉ – À RADIOGRAPHIER",AK645="NX – RT À REFAIRE"),OR('PROGRAMME RT'!$D$5="TOUTES",B645='PROGRAMME RT'!$D$5)),1,0)</f>
        <v>0</v>
      </c>
      <c r="AN645" s="78" t="str">
        <f aca="false">IF(AM645=1,SUM(AM$7:AM645),"")</f>
        <v/>
      </c>
      <c r="AO645" s="78" t="n">
        <f aca="false">IF(AND(OR(AK645="À RÉPARER",AK645="COUPE – À RESOUDER",AK645="VT REJETÉ – À REPRENDRE"),OR(RÉPARATIONS!$D$5="TOUTES",B645=RÉPARATIONS!$D$5)),1,0)</f>
        <v>0</v>
      </c>
      <c r="AP645" s="78" t="str">
        <f aca="false">IF(AO645=1,SUM(AO$7:AO645),"")</f>
        <v/>
      </c>
    </row>
    <row r="646" customFormat="false" ht="15" hidden="false" customHeight="false" outlineLevel="0" collapsed="false">
      <c r="A646" s="78" t="str">
        <f aca="false">IF(E646="","",ROW()-6)</f>
        <v/>
      </c>
      <c r="B646" s="79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1"/>
      <c r="Q646" s="81"/>
      <c r="R646" s="80"/>
      <c r="S646" s="80"/>
      <c r="T646" s="81"/>
      <c r="U646" s="80"/>
      <c r="V646" s="80"/>
      <c r="W646" s="80"/>
      <c r="X646" s="80"/>
      <c r="Y646" s="81"/>
      <c r="Z646" s="80"/>
      <c r="AA646" s="80"/>
      <c r="AB646" s="80"/>
      <c r="AC646" s="80"/>
      <c r="AD646" s="81"/>
      <c r="AE646" s="80"/>
      <c r="AF646" s="80"/>
      <c r="AG646" s="81"/>
      <c r="AH646" s="79"/>
      <c r="AI646" s="78" t="str">
        <f aca="false">IF(E646="","",(V646&lt;&gt;"")+(AA646&lt;&gt;"")+(AF646&lt;&gt;""))</f>
        <v/>
      </c>
      <c r="AJ646" s="82" t="str">
        <f aca="false">IF(AF646&lt;&gt;"",AF646,IF(AA646&lt;&gt;"",AA646,IF(V646&lt;&gt;"",V646,"")))</f>
        <v/>
      </c>
      <c r="AK646" s="83" t="str">
        <f aca="false">IF(E646="","",IF(P646="","À SOUDER",IF(S646="","VT EN ATTENTE",IF(S646="R","VT REJETÉ – À REPRENDRE",IF(AJ646="","À RADIOGRAPHIER",IF(AJ646="A","ACCEPTÉ",IF(AJ646="NX","NX – RT À REFAIRE",IF(IF(AI646=1,X646,IF(AI646=2,AC646,""))="A","RÉPARÉ – À RADIOGRAPHIER",IF(IF(AI646=1,X646,IF(AI646=2,AC646,""))="R","VT REJETÉ – À REPRENDRE",IF(AJ646="CO","COUPE – À RESOUDER","À RÉPARER"))))))))))</f>
        <v/>
      </c>
      <c r="AL646" s="82" t="str">
        <f aca="false">IF(AND(ISNUMBER(P646),OR(AK646="À RADIOGRAPHIER",AK646="RÉPARÉ – À RADIOGRAPHIER",AK646="NX – RT À REFAIRE",AK646="À RÉPARER",AK646="COUPE – À RESOUDER",AK646="VT REJETÉ – À REPRENDRE")),MAX(0,'PROGRAMME RT'!$C$4-P646),"")</f>
        <v/>
      </c>
      <c r="AM646" s="78" t="n">
        <f aca="false">IF(AND(OR(AK646="À RADIOGRAPHIER",AK646="RÉPARÉ – À RADIOGRAPHIER",AK646="NX – RT À REFAIRE"),OR('PROGRAMME RT'!$D$5="TOUTES",B646='PROGRAMME RT'!$D$5)),1,0)</f>
        <v>0</v>
      </c>
      <c r="AN646" s="78" t="str">
        <f aca="false">IF(AM646=1,SUM(AM$7:AM646),"")</f>
        <v/>
      </c>
      <c r="AO646" s="78" t="n">
        <f aca="false">IF(AND(OR(AK646="À RÉPARER",AK646="COUPE – À RESOUDER",AK646="VT REJETÉ – À REPRENDRE"),OR(RÉPARATIONS!$D$5="TOUTES",B646=RÉPARATIONS!$D$5)),1,0)</f>
        <v>0</v>
      </c>
      <c r="AP646" s="78" t="str">
        <f aca="false">IF(AO646=1,SUM(AO$7:AO646),"")</f>
        <v/>
      </c>
    </row>
    <row r="647" customFormat="false" ht="15" hidden="false" customHeight="false" outlineLevel="0" collapsed="false">
      <c r="A647" s="78" t="str">
        <f aca="false">IF(E647="","",ROW()-6)</f>
        <v/>
      </c>
      <c r="B647" s="79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1"/>
      <c r="Q647" s="81"/>
      <c r="R647" s="80"/>
      <c r="S647" s="80"/>
      <c r="T647" s="81"/>
      <c r="U647" s="80"/>
      <c r="V647" s="80"/>
      <c r="W647" s="80"/>
      <c r="X647" s="80"/>
      <c r="Y647" s="81"/>
      <c r="Z647" s="80"/>
      <c r="AA647" s="80"/>
      <c r="AB647" s="80"/>
      <c r="AC647" s="80"/>
      <c r="AD647" s="81"/>
      <c r="AE647" s="80"/>
      <c r="AF647" s="80"/>
      <c r="AG647" s="81"/>
      <c r="AH647" s="79"/>
      <c r="AI647" s="78" t="str">
        <f aca="false">IF(E647="","",(V647&lt;&gt;"")+(AA647&lt;&gt;"")+(AF647&lt;&gt;""))</f>
        <v/>
      </c>
      <c r="AJ647" s="82" t="str">
        <f aca="false">IF(AF647&lt;&gt;"",AF647,IF(AA647&lt;&gt;"",AA647,IF(V647&lt;&gt;"",V647,"")))</f>
        <v/>
      </c>
      <c r="AK647" s="83" t="str">
        <f aca="false">IF(E647="","",IF(P647="","À SOUDER",IF(S647="","VT EN ATTENTE",IF(S647="R","VT REJETÉ – À REPRENDRE",IF(AJ647="","À RADIOGRAPHIER",IF(AJ647="A","ACCEPTÉ",IF(AJ647="NX","NX – RT À REFAIRE",IF(IF(AI647=1,X647,IF(AI647=2,AC647,""))="A","RÉPARÉ – À RADIOGRAPHIER",IF(IF(AI647=1,X647,IF(AI647=2,AC647,""))="R","VT REJETÉ – À REPRENDRE",IF(AJ647="CO","COUPE – À RESOUDER","À RÉPARER"))))))))))</f>
        <v/>
      </c>
      <c r="AL647" s="82" t="str">
        <f aca="false">IF(AND(ISNUMBER(P647),OR(AK647="À RADIOGRAPHIER",AK647="RÉPARÉ – À RADIOGRAPHIER",AK647="NX – RT À REFAIRE",AK647="À RÉPARER",AK647="COUPE – À RESOUDER",AK647="VT REJETÉ – À REPRENDRE")),MAX(0,'PROGRAMME RT'!$C$4-P647),"")</f>
        <v/>
      </c>
      <c r="AM647" s="78" t="n">
        <f aca="false">IF(AND(OR(AK647="À RADIOGRAPHIER",AK647="RÉPARÉ – À RADIOGRAPHIER",AK647="NX – RT À REFAIRE"),OR('PROGRAMME RT'!$D$5="TOUTES",B647='PROGRAMME RT'!$D$5)),1,0)</f>
        <v>0</v>
      </c>
      <c r="AN647" s="78" t="str">
        <f aca="false">IF(AM647=1,SUM(AM$7:AM647),"")</f>
        <v/>
      </c>
      <c r="AO647" s="78" t="n">
        <f aca="false">IF(AND(OR(AK647="À RÉPARER",AK647="COUPE – À RESOUDER",AK647="VT REJETÉ – À REPRENDRE"),OR(RÉPARATIONS!$D$5="TOUTES",B647=RÉPARATIONS!$D$5)),1,0)</f>
        <v>0</v>
      </c>
      <c r="AP647" s="78" t="str">
        <f aca="false">IF(AO647=1,SUM(AO$7:AO647),"")</f>
        <v/>
      </c>
    </row>
    <row r="648" customFormat="false" ht="15" hidden="false" customHeight="false" outlineLevel="0" collapsed="false">
      <c r="A648" s="78" t="str">
        <f aca="false">IF(E648="","",ROW()-6)</f>
        <v/>
      </c>
      <c r="B648" s="79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1"/>
      <c r="Q648" s="81"/>
      <c r="R648" s="80"/>
      <c r="S648" s="80"/>
      <c r="T648" s="81"/>
      <c r="U648" s="80"/>
      <c r="V648" s="80"/>
      <c r="W648" s="80"/>
      <c r="X648" s="80"/>
      <c r="Y648" s="81"/>
      <c r="Z648" s="80"/>
      <c r="AA648" s="80"/>
      <c r="AB648" s="80"/>
      <c r="AC648" s="80"/>
      <c r="AD648" s="81"/>
      <c r="AE648" s="80"/>
      <c r="AF648" s="80"/>
      <c r="AG648" s="81"/>
      <c r="AH648" s="79"/>
      <c r="AI648" s="78" t="str">
        <f aca="false">IF(E648="","",(V648&lt;&gt;"")+(AA648&lt;&gt;"")+(AF648&lt;&gt;""))</f>
        <v/>
      </c>
      <c r="AJ648" s="82" t="str">
        <f aca="false">IF(AF648&lt;&gt;"",AF648,IF(AA648&lt;&gt;"",AA648,IF(V648&lt;&gt;"",V648,"")))</f>
        <v/>
      </c>
      <c r="AK648" s="83" t="str">
        <f aca="false">IF(E648="","",IF(P648="","À SOUDER",IF(S648="","VT EN ATTENTE",IF(S648="R","VT REJETÉ – À REPRENDRE",IF(AJ648="","À RADIOGRAPHIER",IF(AJ648="A","ACCEPTÉ",IF(AJ648="NX","NX – RT À REFAIRE",IF(IF(AI648=1,X648,IF(AI648=2,AC648,""))="A","RÉPARÉ – À RADIOGRAPHIER",IF(IF(AI648=1,X648,IF(AI648=2,AC648,""))="R","VT REJETÉ – À REPRENDRE",IF(AJ648="CO","COUPE – À RESOUDER","À RÉPARER"))))))))))</f>
        <v/>
      </c>
      <c r="AL648" s="82" t="str">
        <f aca="false">IF(AND(ISNUMBER(P648),OR(AK648="À RADIOGRAPHIER",AK648="RÉPARÉ – À RADIOGRAPHIER",AK648="NX – RT À REFAIRE",AK648="À RÉPARER",AK648="COUPE – À RESOUDER",AK648="VT REJETÉ – À REPRENDRE")),MAX(0,'PROGRAMME RT'!$C$4-P648),"")</f>
        <v/>
      </c>
      <c r="AM648" s="78" t="n">
        <f aca="false">IF(AND(OR(AK648="À RADIOGRAPHIER",AK648="RÉPARÉ – À RADIOGRAPHIER",AK648="NX – RT À REFAIRE"),OR('PROGRAMME RT'!$D$5="TOUTES",B648='PROGRAMME RT'!$D$5)),1,0)</f>
        <v>0</v>
      </c>
      <c r="AN648" s="78" t="str">
        <f aca="false">IF(AM648=1,SUM(AM$7:AM648),"")</f>
        <v/>
      </c>
      <c r="AO648" s="78" t="n">
        <f aca="false">IF(AND(OR(AK648="À RÉPARER",AK648="COUPE – À RESOUDER",AK648="VT REJETÉ – À REPRENDRE"),OR(RÉPARATIONS!$D$5="TOUTES",B648=RÉPARATIONS!$D$5)),1,0)</f>
        <v>0</v>
      </c>
      <c r="AP648" s="78" t="str">
        <f aca="false">IF(AO648=1,SUM(AO$7:AO648),"")</f>
        <v/>
      </c>
    </row>
    <row r="649" customFormat="false" ht="15" hidden="false" customHeight="false" outlineLevel="0" collapsed="false">
      <c r="A649" s="78" t="str">
        <f aca="false">IF(E649="","",ROW()-6)</f>
        <v/>
      </c>
      <c r="B649" s="79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1"/>
      <c r="Q649" s="81"/>
      <c r="R649" s="80"/>
      <c r="S649" s="80"/>
      <c r="T649" s="81"/>
      <c r="U649" s="80"/>
      <c r="V649" s="80"/>
      <c r="W649" s="80"/>
      <c r="X649" s="80"/>
      <c r="Y649" s="81"/>
      <c r="Z649" s="80"/>
      <c r="AA649" s="80"/>
      <c r="AB649" s="80"/>
      <c r="AC649" s="80"/>
      <c r="AD649" s="81"/>
      <c r="AE649" s="80"/>
      <c r="AF649" s="80"/>
      <c r="AG649" s="81"/>
      <c r="AH649" s="79"/>
      <c r="AI649" s="78" t="str">
        <f aca="false">IF(E649="","",(V649&lt;&gt;"")+(AA649&lt;&gt;"")+(AF649&lt;&gt;""))</f>
        <v/>
      </c>
      <c r="AJ649" s="82" t="str">
        <f aca="false">IF(AF649&lt;&gt;"",AF649,IF(AA649&lt;&gt;"",AA649,IF(V649&lt;&gt;"",V649,"")))</f>
        <v/>
      </c>
      <c r="AK649" s="83" t="str">
        <f aca="false">IF(E649="","",IF(P649="","À SOUDER",IF(S649="","VT EN ATTENTE",IF(S649="R","VT REJETÉ – À REPRENDRE",IF(AJ649="","À RADIOGRAPHIER",IF(AJ649="A","ACCEPTÉ",IF(AJ649="NX","NX – RT À REFAIRE",IF(IF(AI649=1,X649,IF(AI649=2,AC649,""))="A","RÉPARÉ – À RADIOGRAPHIER",IF(IF(AI649=1,X649,IF(AI649=2,AC649,""))="R","VT REJETÉ – À REPRENDRE",IF(AJ649="CO","COUPE – À RESOUDER","À RÉPARER"))))))))))</f>
        <v/>
      </c>
      <c r="AL649" s="82" t="str">
        <f aca="false">IF(AND(ISNUMBER(P649),OR(AK649="À RADIOGRAPHIER",AK649="RÉPARÉ – À RADIOGRAPHIER",AK649="NX – RT À REFAIRE",AK649="À RÉPARER",AK649="COUPE – À RESOUDER",AK649="VT REJETÉ – À REPRENDRE")),MAX(0,'PROGRAMME RT'!$C$4-P649),"")</f>
        <v/>
      </c>
      <c r="AM649" s="78" t="n">
        <f aca="false">IF(AND(OR(AK649="À RADIOGRAPHIER",AK649="RÉPARÉ – À RADIOGRAPHIER",AK649="NX – RT À REFAIRE"),OR('PROGRAMME RT'!$D$5="TOUTES",B649='PROGRAMME RT'!$D$5)),1,0)</f>
        <v>0</v>
      </c>
      <c r="AN649" s="78" t="str">
        <f aca="false">IF(AM649=1,SUM(AM$7:AM649),"")</f>
        <v/>
      </c>
      <c r="AO649" s="78" t="n">
        <f aca="false">IF(AND(OR(AK649="À RÉPARER",AK649="COUPE – À RESOUDER",AK649="VT REJETÉ – À REPRENDRE"),OR(RÉPARATIONS!$D$5="TOUTES",B649=RÉPARATIONS!$D$5)),1,0)</f>
        <v>0</v>
      </c>
      <c r="AP649" s="78" t="str">
        <f aca="false">IF(AO649=1,SUM(AO$7:AO649),"")</f>
        <v/>
      </c>
    </row>
    <row r="650" customFormat="false" ht="15" hidden="false" customHeight="false" outlineLevel="0" collapsed="false">
      <c r="A650" s="78" t="str">
        <f aca="false">IF(E650="","",ROW()-6)</f>
        <v/>
      </c>
      <c r="B650" s="79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1"/>
      <c r="Q650" s="81"/>
      <c r="R650" s="80"/>
      <c r="S650" s="80"/>
      <c r="T650" s="81"/>
      <c r="U650" s="80"/>
      <c r="V650" s="80"/>
      <c r="W650" s="80"/>
      <c r="X650" s="80"/>
      <c r="Y650" s="81"/>
      <c r="Z650" s="80"/>
      <c r="AA650" s="80"/>
      <c r="AB650" s="80"/>
      <c r="AC650" s="80"/>
      <c r="AD650" s="81"/>
      <c r="AE650" s="80"/>
      <c r="AF650" s="80"/>
      <c r="AG650" s="81"/>
      <c r="AH650" s="79"/>
      <c r="AI650" s="78" t="str">
        <f aca="false">IF(E650="","",(V650&lt;&gt;"")+(AA650&lt;&gt;"")+(AF650&lt;&gt;""))</f>
        <v/>
      </c>
      <c r="AJ650" s="82" t="str">
        <f aca="false">IF(AF650&lt;&gt;"",AF650,IF(AA650&lt;&gt;"",AA650,IF(V650&lt;&gt;"",V650,"")))</f>
        <v/>
      </c>
      <c r="AK650" s="83" t="str">
        <f aca="false">IF(E650="","",IF(P650="","À SOUDER",IF(S650="","VT EN ATTENTE",IF(S650="R","VT REJETÉ – À REPRENDRE",IF(AJ650="","À RADIOGRAPHIER",IF(AJ650="A","ACCEPTÉ",IF(AJ650="NX","NX – RT À REFAIRE",IF(IF(AI650=1,X650,IF(AI650=2,AC650,""))="A","RÉPARÉ – À RADIOGRAPHIER",IF(IF(AI650=1,X650,IF(AI650=2,AC650,""))="R","VT REJETÉ – À REPRENDRE",IF(AJ650="CO","COUPE – À RESOUDER","À RÉPARER"))))))))))</f>
        <v/>
      </c>
      <c r="AL650" s="82" t="str">
        <f aca="false">IF(AND(ISNUMBER(P650),OR(AK650="À RADIOGRAPHIER",AK650="RÉPARÉ – À RADIOGRAPHIER",AK650="NX – RT À REFAIRE",AK650="À RÉPARER",AK650="COUPE – À RESOUDER",AK650="VT REJETÉ – À REPRENDRE")),MAX(0,'PROGRAMME RT'!$C$4-P650),"")</f>
        <v/>
      </c>
      <c r="AM650" s="78" t="n">
        <f aca="false">IF(AND(OR(AK650="À RADIOGRAPHIER",AK650="RÉPARÉ – À RADIOGRAPHIER",AK650="NX – RT À REFAIRE"),OR('PROGRAMME RT'!$D$5="TOUTES",B650='PROGRAMME RT'!$D$5)),1,0)</f>
        <v>0</v>
      </c>
      <c r="AN650" s="78" t="str">
        <f aca="false">IF(AM650=1,SUM(AM$7:AM650),"")</f>
        <v/>
      </c>
      <c r="AO650" s="78" t="n">
        <f aca="false">IF(AND(OR(AK650="À RÉPARER",AK650="COUPE – À RESOUDER",AK650="VT REJETÉ – À REPRENDRE"),OR(RÉPARATIONS!$D$5="TOUTES",B650=RÉPARATIONS!$D$5)),1,0)</f>
        <v>0</v>
      </c>
      <c r="AP650" s="78" t="str">
        <f aca="false">IF(AO650=1,SUM(AO$7:AO650),"")</f>
        <v/>
      </c>
    </row>
    <row r="651" customFormat="false" ht="15" hidden="false" customHeight="false" outlineLevel="0" collapsed="false">
      <c r="A651" s="78" t="str">
        <f aca="false">IF(E651="","",ROW()-6)</f>
        <v/>
      </c>
      <c r="B651" s="79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1"/>
      <c r="Q651" s="81"/>
      <c r="R651" s="80"/>
      <c r="S651" s="80"/>
      <c r="T651" s="81"/>
      <c r="U651" s="80"/>
      <c r="V651" s="80"/>
      <c r="W651" s="80"/>
      <c r="X651" s="80"/>
      <c r="Y651" s="81"/>
      <c r="Z651" s="80"/>
      <c r="AA651" s="80"/>
      <c r="AB651" s="80"/>
      <c r="AC651" s="80"/>
      <c r="AD651" s="81"/>
      <c r="AE651" s="80"/>
      <c r="AF651" s="80"/>
      <c r="AG651" s="81"/>
      <c r="AH651" s="79"/>
      <c r="AI651" s="78" t="str">
        <f aca="false">IF(E651="","",(V651&lt;&gt;"")+(AA651&lt;&gt;"")+(AF651&lt;&gt;""))</f>
        <v/>
      </c>
      <c r="AJ651" s="82" t="str">
        <f aca="false">IF(AF651&lt;&gt;"",AF651,IF(AA651&lt;&gt;"",AA651,IF(V651&lt;&gt;"",V651,"")))</f>
        <v/>
      </c>
      <c r="AK651" s="83" t="str">
        <f aca="false">IF(E651="","",IF(P651="","À SOUDER",IF(S651="","VT EN ATTENTE",IF(S651="R","VT REJETÉ – À REPRENDRE",IF(AJ651="","À RADIOGRAPHIER",IF(AJ651="A","ACCEPTÉ",IF(AJ651="NX","NX – RT À REFAIRE",IF(IF(AI651=1,X651,IF(AI651=2,AC651,""))="A","RÉPARÉ – À RADIOGRAPHIER",IF(IF(AI651=1,X651,IF(AI651=2,AC651,""))="R","VT REJETÉ – À REPRENDRE",IF(AJ651="CO","COUPE – À RESOUDER","À RÉPARER"))))))))))</f>
        <v/>
      </c>
      <c r="AL651" s="82" t="str">
        <f aca="false">IF(AND(ISNUMBER(P651),OR(AK651="À RADIOGRAPHIER",AK651="RÉPARÉ – À RADIOGRAPHIER",AK651="NX – RT À REFAIRE",AK651="À RÉPARER",AK651="COUPE – À RESOUDER",AK651="VT REJETÉ – À REPRENDRE")),MAX(0,'PROGRAMME RT'!$C$4-P651),"")</f>
        <v/>
      </c>
      <c r="AM651" s="78" t="n">
        <f aca="false">IF(AND(OR(AK651="À RADIOGRAPHIER",AK651="RÉPARÉ – À RADIOGRAPHIER",AK651="NX – RT À REFAIRE"),OR('PROGRAMME RT'!$D$5="TOUTES",B651='PROGRAMME RT'!$D$5)),1,0)</f>
        <v>0</v>
      </c>
      <c r="AN651" s="78" t="str">
        <f aca="false">IF(AM651=1,SUM(AM$7:AM651),"")</f>
        <v/>
      </c>
      <c r="AO651" s="78" t="n">
        <f aca="false">IF(AND(OR(AK651="À RÉPARER",AK651="COUPE – À RESOUDER",AK651="VT REJETÉ – À REPRENDRE"),OR(RÉPARATIONS!$D$5="TOUTES",B651=RÉPARATIONS!$D$5)),1,0)</f>
        <v>0</v>
      </c>
      <c r="AP651" s="78" t="str">
        <f aca="false">IF(AO651=1,SUM(AO$7:AO651),"")</f>
        <v/>
      </c>
    </row>
    <row r="652" customFormat="false" ht="15" hidden="false" customHeight="false" outlineLevel="0" collapsed="false">
      <c r="A652" s="78" t="str">
        <f aca="false">IF(E652="","",ROW()-6)</f>
        <v/>
      </c>
      <c r="B652" s="79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1"/>
      <c r="Q652" s="81"/>
      <c r="R652" s="80"/>
      <c r="S652" s="80"/>
      <c r="T652" s="81"/>
      <c r="U652" s="80"/>
      <c r="V652" s="80"/>
      <c r="W652" s="80"/>
      <c r="X652" s="80"/>
      <c r="Y652" s="81"/>
      <c r="Z652" s="80"/>
      <c r="AA652" s="80"/>
      <c r="AB652" s="80"/>
      <c r="AC652" s="80"/>
      <c r="AD652" s="81"/>
      <c r="AE652" s="80"/>
      <c r="AF652" s="80"/>
      <c r="AG652" s="81"/>
      <c r="AH652" s="79"/>
      <c r="AI652" s="78" t="str">
        <f aca="false">IF(E652="","",(V652&lt;&gt;"")+(AA652&lt;&gt;"")+(AF652&lt;&gt;""))</f>
        <v/>
      </c>
      <c r="AJ652" s="82" t="str">
        <f aca="false">IF(AF652&lt;&gt;"",AF652,IF(AA652&lt;&gt;"",AA652,IF(V652&lt;&gt;"",V652,"")))</f>
        <v/>
      </c>
      <c r="AK652" s="83" t="str">
        <f aca="false">IF(E652="","",IF(P652="","À SOUDER",IF(S652="","VT EN ATTENTE",IF(S652="R","VT REJETÉ – À REPRENDRE",IF(AJ652="","À RADIOGRAPHIER",IF(AJ652="A","ACCEPTÉ",IF(AJ652="NX","NX – RT À REFAIRE",IF(IF(AI652=1,X652,IF(AI652=2,AC652,""))="A","RÉPARÉ – À RADIOGRAPHIER",IF(IF(AI652=1,X652,IF(AI652=2,AC652,""))="R","VT REJETÉ – À REPRENDRE",IF(AJ652="CO","COUPE – À RESOUDER","À RÉPARER"))))))))))</f>
        <v/>
      </c>
      <c r="AL652" s="82" t="str">
        <f aca="false">IF(AND(ISNUMBER(P652),OR(AK652="À RADIOGRAPHIER",AK652="RÉPARÉ – À RADIOGRAPHIER",AK652="NX – RT À REFAIRE",AK652="À RÉPARER",AK652="COUPE – À RESOUDER",AK652="VT REJETÉ – À REPRENDRE")),MAX(0,'PROGRAMME RT'!$C$4-P652),"")</f>
        <v/>
      </c>
      <c r="AM652" s="78" t="n">
        <f aca="false">IF(AND(OR(AK652="À RADIOGRAPHIER",AK652="RÉPARÉ – À RADIOGRAPHIER",AK652="NX – RT À REFAIRE"),OR('PROGRAMME RT'!$D$5="TOUTES",B652='PROGRAMME RT'!$D$5)),1,0)</f>
        <v>0</v>
      </c>
      <c r="AN652" s="78" t="str">
        <f aca="false">IF(AM652=1,SUM(AM$7:AM652),"")</f>
        <v/>
      </c>
      <c r="AO652" s="78" t="n">
        <f aca="false">IF(AND(OR(AK652="À RÉPARER",AK652="COUPE – À RESOUDER",AK652="VT REJETÉ – À REPRENDRE"),OR(RÉPARATIONS!$D$5="TOUTES",B652=RÉPARATIONS!$D$5)),1,0)</f>
        <v>0</v>
      </c>
      <c r="AP652" s="78" t="str">
        <f aca="false">IF(AO652=1,SUM(AO$7:AO652),"")</f>
        <v/>
      </c>
    </row>
    <row r="653" customFormat="false" ht="15" hidden="false" customHeight="false" outlineLevel="0" collapsed="false">
      <c r="A653" s="78" t="str">
        <f aca="false">IF(E653="","",ROW()-6)</f>
        <v/>
      </c>
      <c r="B653" s="79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1"/>
      <c r="Q653" s="81"/>
      <c r="R653" s="80"/>
      <c r="S653" s="80"/>
      <c r="T653" s="81"/>
      <c r="U653" s="80"/>
      <c r="V653" s="80"/>
      <c r="W653" s="80"/>
      <c r="X653" s="80"/>
      <c r="Y653" s="81"/>
      <c r="Z653" s="80"/>
      <c r="AA653" s="80"/>
      <c r="AB653" s="80"/>
      <c r="AC653" s="80"/>
      <c r="AD653" s="81"/>
      <c r="AE653" s="80"/>
      <c r="AF653" s="80"/>
      <c r="AG653" s="81"/>
      <c r="AH653" s="79"/>
      <c r="AI653" s="78" t="str">
        <f aca="false">IF(E653="","",(V653&lt;&gt;"")+(AA653&lt;&gt;"")+(AF653&lt;&gt;""))</f>
        <v/>
      </c>
      <c r="AJ653" s="82" t="str">
        <f aca="false">IF(AF653&lt;&gt;"",AF653,IF(AA653&lt;&gt;"",AA653,IF(V653&lt;&gt;"",V653,"")))</f>
        <v/>
      </c>
      <c r="AK653" s="83" t="str">
        <f aca="false">IF(E653="","",IF(P653="","À SOUDER",IF(S653="","VT EN ATTENTE",IF(S653="R","VT REJETÉ – À REPRENDRE",IF(AJ653="","À RADIOGRAPHIER",IF(AJ653="A","ACCEPTÉ",IF(AJ653="NX","NX – RT À REFAIRE",IF(IF(AI653=1,X653,IF(AI653=2,AC653,""))="A","RÉPARÉ – À RADIOGRAPHIER",IF(IF(AI653=1,X653,IF(AI653=2,AC653,""))="R","VT REJETÉ – À REPRENDRE",IF(AJ653="CO","COUPE – À RESOUDER","À RÉPARER"))))))))))</f>
        <v/>
      </c>
      <c r="AL653" s="82" t="str">
        <f aca="false">IF(AND(ISNUMBER(P653),OR(AK653="À RADIOGRAPHIER",AK653="RÉPARÉ – À RADIOGRAPHIER",AK653="NX – RT À REFAIRE",AK653="À RÉPARER",AK653="COUPE – À RESOUDER",AK653="VT REJETÉ – À REPRENDRE")),MAX(0,'PROGRAMME RT'!$C$4-P653),"")</f>
        <v/>
      </c>
      <c r="AM653" s="78" t="n">
        <f aca="false">IF(AND(OR(AK653="À RADIOGRAPHIER",AK653="RÉPARÉ – À RADIOGRAPHIER",AK653="NX – RT À REFAIRE"),OR('PROGRAMME RT'!$D$5="TOUTES",B653='PROGRAMME RT'!$D$5)),1,0)</f>
        <v>0</v>
      </c>
      <c r="AN653" s="78" t="str">
        <f aca="false">IF(AM653=1,SUM(AM$7:AM653),"")</f>
        <v/>
      </c>
      <c r="AO653" s="78" t="n">
        <f aca="false">IF(AND(OR(AK653="À RÉPARER",AK653="COUPE – À RESOUDER",AK653="VT REJETÉ – À REPRENDRE"),OR(RÉPARATIONS!$D$5="TOUTES",B653=RÉPARATIONS!$D$5)),1,0)</f>
        <v>0</v>
      </c>
      <c r="AP653" s="78" t="str">
        <f aca="false">IF(AO653=1,SUM(AO$7:AO653),"")</f>
        <v/>
      </c>
    </row>
    <row r="654" customFormat="false" ht="15" hidden="false" customHeight="false" outlineLevel="0" collapsed="false">
      <c r="A654" s="78" t="str">
        <f aca="false">IF(E654="","",ROW()-6)</f>
        <v/>
      </c>
      <c r="B654" s="79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1"/>
      <c r="Q654" s="81"/>
      <c r="R654" s="80"/>
      <c r="S654" s="80"/>
      <c r="T654" s="81"/>
      <c r="U654" s="80"/>
      <c r="V654" s="80"/>
      <c r="W654" s="80"/>
      <c r="X654" s="80"/>
      <c r="Y654" s="81"/>
      <c r="Z654" s="80"/>
      <c r="AA654" s="80"/>
      <c r="AB654" s="80"/>
      <c r="AC654" s="80"/>
      <c r="AD654" s="81"/>
      <c r="AE654" s="80"/>
      <c r="AF654" s="80"/>
      <c r="AG654" s="81"/>
      <c r="AH654" s="79"/>
      <c r="AI654" s="78" t="str">
        <f aca="false">IF(E654="","",(V654&lt;&gt;"")+(AA654&lt;&gt;"")+(AF654&lt;&gt;""))</f>
        <v/>
      </c>
      <c r="AJ654" s="82" t="str">
        <f aca="false">IF(AF654&lt;&gt;"",AF654,IF(AA654&lt;&gt;"",AA654,IF(V654&lt;&gt;"",V654,"")))</f>
        <v/>
      </c>
      <c r="AK654" s="83" t="str">
        <f aca="false">IF(E654="","",IF(P654="","À SOUDER",IF(S654="","VT EN ATTENTE",IF(S654="R","VT REJETÉ – À REPRENDRE",IF(AJ654="","À RADIOGRAPHIER",IF(AJ654="A","ACCEPTÉ",IF(AJ654="NX","NX – RT À REFAIRE",IF(IF(AI654=1,X654,IF(AI654=2,AC654,""))="A","RÉPARÉ – À RADIOGRAPHIER",IF(IF(AI654=1,X654,IF(AI654=2,AC654,""))="R","VT REJETÉ – À REPRENDRE",IF(AJ654="CO","COUPE – À RESOUDER","À RÉPARER"))))))))))</f>
        <v/>
      </c>
      <c r="AL654" s="82" t="str">
        <f aca="false">IF(AND(ISNUMBER(P654),OR(AK654="À RADIOGRAPHIER",AK654="RÉPARÉ – À RADIOGRAPHIER",AK654="NX – RT À REFAIRE",AK654="À RÉPARER",AK654="COUPE – À RESOUDER",AK654="VT REJETÉ – À REPRENDRE")),MAX(0,'PROGRAMME RT'!$C$4-P654),"")</f>
        <v/>
      </c>
      <c r="AM654" s="78" t="n">
        <f aca="false">IF(AND(OR(AK654="À RADIOGRAPHIER",AK654="RÉPARÉ – À RADIOGRAPHIER",AK654="NX – RT À REFAIRE"),OR('PROGRAMME RT'!$D$5="TOUTES",B654='PROGRAMME RT'!$D$5)),1,0)</f>
        <v>0</v>
      </c>
      <c r="AN654" s="78" t="str">
        <f aca="false">IF(AM654=1,SUM(AM$7:AM654),"")</f>
        <v/>
      </c>
      <c r="AO654" s="78" t="n">
        <f aca="false">IF(AND(OR(AK654="À RÉPARER",AK654="COUPE – À RESOUDER",AK654="VT REJETÉ – À REPRENDRE"),OR(RÉPARATIONS!$D$5="TOUTES",B654=RÉPARATIONS!$D$5)),1,0)</f>
        <v>0</v>
      </c>
      <c r="AP654" s="78" t="str">
        <f aca="false">IF(AO654=1,SUM(AO$7:AO654),"")</f>
        <v/>
      </c>
    </row>
    <row r="655" customFormat="false" ht="15" hidden="false" customHeight="false" outlineLevel="0" collapsed="false">
      <c r="A655" s="78" t="str">
        <f aca="false">IF(E655="","",ROW()-6)</f>
        <v/>
      </c>
      <c r="B655" s="79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1"/>
      <c r="Q655" s="81"/>
      <c r="R655" s="80"/>
      <c r="S655" s="80"/>
      <c r="T655" s="81"/>
      <c r="U655" s="80"/>
      <c r="V655" s="80"/>
      <c r="W655" s="80"/>
      <c r="X655" s="80"/>
      <c r="Y655" s="81"/>
      <c r="Z655" s="80"/>
      <c r="AA655" s="80"/>
      <c r="AB655" s="80"/>
      <c r="AC655" s="80"/>
      <c r="AD655" s="81"/>
      <c r="AE655" s="80"/>
      <c r="AF655" s="80"/>
      <c r="AG655" s="81"/>
      <c r="AH655" s="79"/>
      <c r="AI655" s="78" t="str">
        <f aca="false">IF(E655="","",(V655&lt;&gt;"")+(AA655&lt;&gt;"")+(AF655&lt;&gt;""))</f>
        <v/>
      </c>
      <c r="AJ655" s="82" t="str">
        <f aca="false">IF(AF655&lt;&gt;"",AF655,IF(AA655&lt;&gt;"",AA655,IF(V655&lt;&gt;"",V655,"")))</f>
        <v/>
      </c>
      <c r="AK655" s="83" t="str">
        <f aca="false">IF(E655="","",IF(P655="","À SOUDER",IF(S655="","VT EN ATTENTE",IF(S655="R","VT REJETÉ – À REPRENDRE",IF(AJ655="","À RADIOGRAPHIER",IF(AJ655="A","ACCEPTÉ",IF(AJ655="NX","NX – RT À REFAIRE",IF(IF(AI655=1,X655,IF(AI655=2,AC655,""))="A","RÉPARÉ – À RADIOGRAPHIER",IF(IF(AI655=1,X655,IF(AI655=2,AC655,""))="R","VT REJETÉ – À REPRENDRE",IF(AJ655="CO","COUPE – À RESOUDER","À RÉPARER"))))))))))</f>
        <v/>
      </c>
      <c r="AL655" s="82" t="str">
        <f aca="false">IF(AND(ISNUMBER(P655),OR(AK655="À RADIOGRAPHIER",AK655="RÉPARÉ – À RADIOGRAPHIER",AK655="NX – RT À REFAIRE",AK655="À RÉPARER",AK655="COUPE – À RESOUDER",AK655="VT REJETÉ – À REPRENDRE")),MAX(0,'PROGRAMME RT'!$C$4-P655),"")</f>
        <v/>
      </c>
      <c r="AM655" s="78" t="n">
        <f aca="false">IF(AND(OR(AK655="À RADIOGRAPHIER",AK655="RÉPARÉ – À RADIOGRAPHIER",AK655="NX – RT À REFAIRE"),OR('PROGRAMME RT'!$D$5="TOUTES",B655='PROGRAMME RT'!$D$5)),1,0)</f>
        <v>0</v>
      </c>
      <c r="AN655" s="78" t="str">
        <f aca="false">IF(AM655=1,SUM(AM$7:AM655),"")</f>
        <v/>
      </c>
      <c r="AO655" s="78" t="n">
        <f aca="false">IF(AND(OR(AK655="À RÉPARER",AK655="COUPE – À RESOUDER",AK655="VT REJETÉ – À REPRENDRE"),OR(RÉPARATIONS!$D$5="TOUTES",B655=RÉPARATIONS!$D$5)),1,0)</f>
        <v>0</v>
      </c>
      <c r="AP655" s="78" t="str">
        <f aca="false">IF(AO655=1,SUM(AO$7:AO655),"")</f>
        <v/>
      </c>
    </row>
    <row r="656" customFormat="false" ht="15" hidden="false" customHeight="false" outlineLevel="0" collapsed="false">
      <c r="A656" s="78" t="str">
        <f aca="false">IF(E656="","",ROW()-6)</f>
        <v/>
      </c>
      <c r="B656" s="79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1"/>
      <c r="Q656" s="81"/>
      <c r="R656" s="80"/>
      <c r="S656" s="80"/>
      <c r="T656" s="81"/>
      <c r="U656" s="80"/>
      <c r="V656" s="80"/>
      <c r="W656" s="80"/>
      <c r="X656" s="80"/>
      <c r="Y656" s="81"/>
      <c r="Z656" s="80"/>
      <c r="AA656" s="80"/>
      <c r="AB656" s="80"/>
      <c r="AC656" s="80"/>
      <c r="AD656" s="81"/>
      <c r="AE656" s="80"/>
      <c r="AF656" s="80"/>
      <c r="AG656" s="81"/>
      <c r="AH656" s="79"/>
      <c r="AI656" s="78" t="str">
        <f aca="false">IF(E656="","",(V656&lt;&gt;"")+(AA656&lt;&gt;"")+(AF656&lt;&gt;""))</f>
        <v/>
      </c>
      <c r="AJ656" s="82" t="str">
        <f aca="false">IF(AF656&lt;&gt;"",AF656,IF(AA656&lt;&gt;"",AA656,IF(V656&lt;&gt;"",V656,"")))</f>
        <v/>
      </c>
      <c r="AK656" s="83" t="str">
        <f aca="false">IF(E656="","",IF(P656="","À SOUDER",IF(S656="","VT EN ATTENTE",IF(S656="R","VT REJETÉ – À REPRENDRE",IF(AJ656="","À RADIOGRAPHIER",IF(AJ656="A","ACCEPTÉ",IF(AJ656="NX","NX – RT À REFAIRE",IF(IF(AI656=1,X656,IF(AI656=2,AC656,""))="A","RÉPARÉ – À RADIOGRAPHIER",IF(IF(AI656=1,X656,IF(AI656=2,AC656,""))="R","VT REJETÉ – À REPRENDRE",IF(AJ656="CO","COUPE – À RESOUDER","À RÉPARER"))))))))))</f>
        <v/>
      </c>
      <c r="AL656" s="82" t="str">
        <f aca="false">IF(AND(ISNUMBER(P656),OR(AK656="À RADIOGRAPHIER",AK656="RÉPARÉ – À RADIOGRAPHIER",AK656="NX – RT À REFAIRE",AK656="À RÉPARER",AK656="COUPE – À RESOUDER",AK656="VT REJETÉ – À REPRENDRE")),MAX(0,'PROGRAMME RT'!$C$4-P656),"")</f>
        <v/>
      </c>
      <c r="AM656" s="78" t="n">
        <f aca="false">IF(AND(OR(AK656="À RADIOGRAPHIER",AK656="RÉPARÉ – À RADIOGRAPHIER",AK656="NX – RT À REFAIRE"),OR('PROGRAMME RT'!$D$5="TOUTES",B656='PROGRAMME RT'!$D$5)),1,0)</f>
        <v>0</v>
      </c>
      <c r="AN656" s="78" t="str">
        <f aca="false">IF(AM656=1,SUM(AM$7:AM656),"")</f>
        <v/>
      </c>
      <c r="AO656" s="78" t="n">
        <f aca="false">IF(AND(OR(AK656="À RÉPARER",AK656="COUPE – À RESOUDER",AK656="VT REJETÉ – À REPRENDRE"),OR(RÉPARATIONS!$D$5="TOUTES",B656=RÉPARATIONS!$D$5)),1,0)</f>
        <v>0</v>
      </c>
      <c r="AP656" s="78" t="str">
        <f aca="false">IF(AO656=1,SUM(AO$7:AO656),"")</f>
        <v/>
      </c>
    </row>
    <row r="657" customFormat="false" ht="15" hidden="false" customHeight="false" outlineLevel="0" collapsed="false">
      <c r="A657" s="78" t="str">
        <f aca="false">IF(E657="","",ROW()-6)</f>
        <v/>
      </c>
      <c r="B657" s="79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1"/>
      <c r="Q657" s="81"/>
      <c r="R657" s="80"/>
      <c r="S657" s="80"/>
      <c r="T657" s="81"/>
      <c r="U657" s="80"/>
      <c r="V657" s="80"/>
      <c r="W657" s="80"/>
      <c r="X657" s="80"/>
      <c r="Y657" s="81"/>
      <c r="Z657" s="80"/>
      <c r="AA657" s="80"/>
      <c r="AB657" s="80"/>
      <c r="AC657" s="80"/>
      <c r="AD657" s="81"/>
      <c r="AE657" s="80"/>
      <c r="AF657" s="80"/>
      <c r="AG657" s="81"/>
      <c r="AH657" s="79"/>
      <c r="AI657" s="78" t="str">
        <f aca="false">IF(E657="","",(V657&lt;&gt;"")+(AA657&lt;&gt;"")+(AF657&lt;&gt;""))</f>
        <v/>
      </c>
      <c r="AJ657" s="82" t="str">
        <f aca="false">IF(AF657&lt;&gt;"",AF657,IF(AA657&lt;&gt;"",AA657,IF(V657&lt;&gt;"",V657,"")))</f>
        <v/>
      </c>
      <c r="AK657" s="83" t="str">
        <f aca="false">IF(E657="","",IF(P657="","À SOUDER",IF(S657="","VT EN ATTENTE",IF(S657="R","VT REJETÉ – À REPRENDRE",IF(AJ657="","À RADIOGRAPHIER",IF(AJ657="A","ACCEPTÉ",IF(AJ657="NX","NX – RT À REFAIRE",IF(IF(AI657=1,X657,IF(AI657=2,AC657,""))="A","RÉPARÉ – À RADIOGRAPHIER",IF(IF(AI657=1,X657,IF(AI657=2,AC657,""))="R","VT REJETÉ – À REPRENDRE",IF(AJ657="CO","COUPE – À RESOUDER","À RÉPARER"))))))))))</f>
        <v/>
      </c>
      <c r="AL657" s="82" t="str">
        <f aca="false">IF(AND(ISNUMBER(P657),OR(AK657="À RADIOGRAPHIER",AK657="RÉPARÉ – À RADIOGRAPHIER",AK657="NX – RT À REFAIRE",AK657="À RÉPARER",AK657="COUPE – À RESOUDER",AK657="VT REJETÉ – À REPRENDRE")),MAX(0,'PROGRAMME RT'!$C$4-P657),"")</f>
        <v/>
      </c>
      <c r="AM657" s="78" t="n">
        <f aca="false">IF(AND(OR(AK657="À RADIOGRAPHIER",AK657="RÉPARÉ – À RADIOGRAPHIER",AK657="NX – RT À REFAIRE"),OR('PROGRAMME RT'!$D$5="TOUTES",B657='PROGRAMME RT'!$D$5)),1,0)</f>
        <v>0</v>
      </c>
      <c r="AN657" s="78" t="str">
        <f aca="false">IF(AM657=1,SUM(AM$7:AM657),"")</f>
        <v/>
      </c>
      <c r="AO657" s="78" t="n">
        <f aca="false">IF(AND(OR(AK657="À RÉPARER",AK657="COUPE – À RESOUDER",AK657="VT REJETÉ – À REPRENDRE"),OR(RÉPARATIONS!$D$5="TOUTES",B657=RÉPARATIONS!$D$5)),1,0)</f>
        <v>0</v>
      </c>
      <c r="AP657" s="78" t="str">
        <f aca="false">IF(AO657=1,SUM(AO$7:AO657),"")</f>
        <v/>
      </c>
    </row>
    <row r="658" customFormat="false" ht="15" hidden="false" customHeight="false" outlineLevel="0" collapsed="false">
      <c r="A658" s="78" t="str">
        <f aca="false">IF(E658="","",ROW()-6)</f>
        <v/>
      </c>
      <c r="B658" s="79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1"/>
      <c r="Q658" s="81"/>
      <c r="R658" s="80"/>
      <c r="S658" s="80"/>
      <c r="T658" s="81"/>
      <c r="U658" s="80"/>
      <c r="V658" s="80"/>
      <c r="W658" s="80"/>
      <c r="X658" s="80"/>
      <c r="Y658" s="81"/>
      <c r="Z658" s="80"/>
      <c r="AA658" s="80"/>
      <c r="AB658" s="80"/>
      <c r="AC658" s="80"/>
      <c r="AD658" s="81"/>
      <c r="AE658" s="80"/>
      <c r="AF658" s="80"/>
      <c r="AG658" s="81"/>
      <c r="AH658" s="79"/>
      <c r="AI658" s="78" t="str">
        <f aca="false">IF(E658="","",(V658&lt;&gt;"")+(AA658&lt;&gt;"")+(AF658&lt;&gt;""))</f>
        <v/>
      </c>
      <c r="AJ658" s="82" t="str">
        <f aca="false">IF(AF658&lt;&gt;"",AF658,IF(AA658&lt;&gt;"",AA658,IF(V658&lt;&gt;"",V658,"")))</f>
        <v/>
      </c>
      <c r="AK658" s="83" t="str">
        <f aca="false">IF(E658="","",IF(P658="","À SOUDER",IF(S658="","VT EN ATTENTE",IF(S658="R","VT REJETÉ – À REPRENDRE",IF(AJ658="","À RADIOGRAPHIER",IF(AJ658="A","ACCEPTÉ",IF(AJ658="NX","NX – RT À REFAIRE",IF(IF(AI658=1,X658,IF(AI658=2,AC658,""))="A","RÉPARÉ – À RADIOGRAPHIER",IF(IF(AI658=1,X658,IF(AI658=2,AC658,""))="R","VT REJETÉ – À REPRENDRE",IF(AJ658="CO","COUPE – À RESOUDER","À RÉPARER"))))))))))</f>
        <v/>
      </c>
      <c r="AL658" s="82" t="str">
        <f aca="false">IF(AND(ISNUMBER(P658),OR(AK658="À RADIOGRAPHIER",AK658="RÉPARÉ – À RADIOGRAPHIER",AK658="NX – RT À REFAIRE",AK658="À RÉPARER",AK658="COUPE – À RESOUDER",AK658="VT REJETÉ – À REPRENDRE")),MAX(0,'PROGRAMME RT'!$C$4-P658),"")</f>
        <v/>
      </c>
      <c r="AM658" s="78" t="n">
        <f aca="false">IF(AND(OR(AK658="À RADIOGRAPHIER",AK658="RÉPARÉ – À RADIOGRAPHIER",AK658="NX – RT À REFAIRE"),OR('PROGRAMME RT'!$D$5="TOUTES",B658='PROGRAMME RT'!$D$5)),1,0)</f>
        <v>0</v>
      </c>
      <c r="AN658" s="78" t="str">
        <f aca="false">IF(AM658=1,SUM(AM$7:AM658),"")</f>
        <v/>
      </c>
      <c r="AO658" s="78" t="n">
        <f aca="false">IF(AND(OR(AK658="À RÉPARER",AK658="COUPE – À RESOUDER",AK658="VT REJETÉ – À REPRENDRE"),OR(RÉPARATIONS!$D$5="TOUTES",B658=RÉPARATIONS!$D$5)),1,0)</f>
        <v>0</v>
      </c>
      <c r="AP658" s="78" t="str">
        <f aca="false">IF(AO658=1,SUM(AO$7:AO658),"")</f>
        <v/>
      </c>
    </row>
    <row r="659" customFormat="false" ht="15" hidden="false" customHeight="false" outlineLevel="0" collapsed="false">
      <c r="A659" s="78" t="str">
        <f aca="false">IF(E659="","",ROW()-6)</f>
        <v/>
      </c>
      <c r="B659" s="79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1"/>
      <c r="Q659" s="81"/>
      <c r="R659" s="80"/>
      <c r="S659" s="80"/>
      <c r="T659" s="81"/>
      <c r="U659" s="80"/>
      <c r="V659" s="80"/>
      <c r="W659" s="80"/>
      <c r="X659" s="80"/>
      <c r="Y659" s="81"/>
      <c r="Z659" s="80"/>
      <c r="AA659" s="80"/>
      <c r="AB659" s="80"/>
      <c r="AC659" s="80"/>
      <c r="AD659" s="81"/>
      <c r="AE659" s="80"/>
      <c r="AF659" s="80"/>
      <c r="AG659" s="81"/>
      <c r="AH659" s="79"/>
      <c r="AI659" s="78" t="str">
        <f aca="false">IF(E659="","",(V659&lt;&gt;"")+(AA659&lt;&gt;"")+(AF659&lt;&gt;""))</f>
        <v/>
      </c>
      <c r="AJ659" s="82" t="str">
        <f aca="false">IF(AF659&lt;&gt;"",AF659,IF(AA659&lt;&gt;"",AA659,IF(V659&lt;&gt;"",V659,"")))</f>
        <v/>
      </c>
      <c r="AK659" s="83" t="str">
        <f aca="false">IF(E659="","",IF(P659="","À SOUDER",IF(S659="","VT EN ATTENTE",IF(S659="R","VT REJETÉ – À REPRENDRE",IF(AJ659="","À RADIOGRAPHIER",IF(AJ659="A","ACCEPTÉ",IF(AJ659="NX","NX – RT À REFAIRE",IF(IF(AI659=1,X659,IF(AI659=2,AC659,""))="A","RÉPARÉ – À RADIOGRAPHIER",IF(IF(AI659=1,X659,IF(AI659=2,AC659,""))="R","VT REJETÉ – À REPRENDRE",IF(AJ659="CO","COUPE – À RESOUDER","À RÉPARER"))))))))))</f>
        <v/>
      </c>
      <c r="AL659" s="82" t="str">
        <f aca="false">IF(AND(ISNUMBER(P659),OR(AK659="À RADIOGRAPHIER",AK659="RÉPARÉ – À RADIOGRAPHIER",AK659="NX – RT À REFAIRE",AK659="À RÉPARER",AK659="COUPE – À RESOUDER",AK659="VT REJETÉ – À REPRENDRE")),MAX(0,'PROGRAMME RT'!$C$4-P659),"")</f>
        <v/>
      </c>
      <c r="AM659" s="78" t="n">
        <f aca="false">IF(AND(OR(AK659="À RADIOGRAPHIER",AK659="RÉPARÉ – À RADIOGRAPHIER",AK659="NX – RT À REFAIRE"),OR('PROGRAMME RT'!$D$5="TOUTES",B659='PROGRAMME RT'!$D$5)),1,0)</f>
        <v>0</v>
      </c>
      <c r="AN659" s="78" t="str">
        <f aca="false">IF(AM659=1,SUM(AM$7:AM659),"")</f>
        <v/>
      </c>
      <c r="AO659" s="78" t="n">
        <f aca="false">IF(AND(OR(AK659="À RÉPARER",AK659="COUPE – À RESOUDER",AK659="VT REJETÉ – À REPRENDRE"),OR(RÉPARATIONS!$D$5="TOUTES",B659=RÉPARATIONS!$D$5)),1,0)</f>
        <v>0</v>
      </c>
      <c r="AP659" s="78" t="str">
        <f aca="false">IF(AO659=1,SUM(AO$7:AO659),"")</f>
        <v/>
      </c>
    </row>
    <row r="660" customFormat="false" ht="15" hidden="false" customHeight="false" outlineLevel="0" collapsed="false">
      <c r="A660" s="78" t="str">
        <f aca="false">IF(E660="","",ROW()-6)</f>
        <v/>
      </c>
      <c r="B660" s="79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1"/>
      <c r="Q660" s="81"/>
      <c r="R660" s="80"/>
      <c r="S660" s="80"/>
      <c r="T660" s="81"/>
      <c r="U660" s="80"/>
      <c r="V660" s="80"/>
      <c r="W660" s="80"/>
      <c r="X660" s="80"/>
      <c r="Y660" s="81"/>
      <c r="Z660" s="80"/>
      <c r="AA660" s="80"/>
      <c r="AB660" s="80"/>
      <c r="AC660" s="80"/>
      <c r="AD660" s="81"/>
      <c r="AE660" s="80"/>
      <c r="AF660" s="80"/>
      <c r="AG660" s="81"/>
      <c r="AH660" s="79"/>
      <c r="AI660" s="78" t="str">
        <f aca="false">IF(E660="","",(V660&lt;&gt;"")+(AA660&lt;&gt;"")+(AF660&lt;&gt;""))</f>
        <v/>
      </c>
      <c r="AJ660" s="82" t="str">
        <f aca="false">IF(AF660&lt;&gt;"",AF660,IF(AA660&lt;&gt;"",AA660,IF(V660&lt;&gt;"",V660,"")))</f>
        <v/>
      </c>
      <c r="AK660" s="83" t="str">
        <f aca="false">IF(E660="","",IF(P660="","À SOUDER",IF(S660="","VT EN ATTENTE",IF(S660="R","VT REJETÉ – À REPRENDRE",IF(AJ660="","À RADIOGRAPHIER",IF(AJ660="A","ACCEPTÉ",IF(AJ660="NX","NX – RT À REFAIRE",IF(IF(AI660=1,X660,IF(AI660=2,AC660,""))="A","RÉPARÉ – À RADIOGRAPHIER",IF(IF(AI660=1,X660,IF(AI660=2,AC660,""))="R","VT REJETÉ – À REPRENDRE",IF(AJ660="CO","COUPE – À RESOUDER","À RÉPARER"))))))))))</f>
        <v/>
      </c>
      <c r="AL660" s="82" t="str">
        <f aca="false">IF(AND(ISNUMBER(P660),OR(AK660="À RADIOGRAPHIER",AK660="RÉPARÉ – À RADIOGRAPHIER",AK660="NX – RT À REFAIRE",AK660="À RÉPARER",AK660="COUPE – À RESOUDER",AK660="VT REJETÉ – À REPRENDRE")),MAX(0,'PROGRAMME RT'!$C$4-P660),"")</f>
        <v/>
      </c>
      <c r="AM660" s="78" t="n">
        <f aca="false">IF(AND(OR(AK660="À RADIOGRAPHIER",AK660="RÉPARÉ – À RADIOGRAPHIER",AK660="NX – RT À REFAIRE"),OR('PROGRAMME RT'!$D$5="TOUTES",B660='PROGRAMME RT'!$D$5)),1,0)</f>
        <v>0</v>
      </c>
      <c r="AN660" s="78" t="str">
        <f aca="false">IF(AM660=1,SUM(AM$7:AM660),"")</f>
        <v/>
      </c>
      <c r="AO660" s="78" t="n">
        <f aca="false">IF(AND(OR(AK660="À RÉPARER",AK660="COUPE – À RESOUDER",AK660="VT REJETÉ – À REPRENDRE"),OR(RÉPARATIONS!$D$5="TOUTES",B660=RÉPARATIONS!$D$5)),1,0)</f>
        <v>0</v>
      </c>
      <c r="AP660" s="78" t="str">
        <f aca="false">IF(AO660=1,SUM(AO$7:AO660),"")</f>
        <v/>
      </c>
    </row>
    <row r="661" customFormat="false" ht="15" hidden="false" customHeight="false" outlineLevel="0" collapsed="false">
      <c r="A661" s="78" t="str">
        <f aca="false">IF(E661="","",ROW()-6)</f>
        <v/>
      </c>
      <c r="B661" s="79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1"/>
      <c r="Q661" s="81"/>
      <c r="R661" s="80"/>
      <c r="S661" s="80"/>
      <c r="T661" s="81"/>
      <c r="U661" s="80"/>
      <c r="V661" s="80"/>
      <c r="W661" s="80"/>
      <c r="X661" s="80"/>
      <c r="Y661" s="81"/>
      <c r="Z661" s="80"/>
      <c r="AA661" s="80"/>
      <c r="AB661" s="80"/>
      <c r="AC661" s="80"/>
      <c r="AD661" s="81"/>
      <c r="AE661" s="80"/>
      <c r="AF661" s="80"/>
      <c r="AG661" s="81"/>
      <c r="AH661" s="79"/>
      <c r="AI661" s="78" t="str">
        <f aca="false">IF(E661="","",(V661&lt;&gt;"")+(AA661&lt;&gt;"")+(AF661&lt;&gt;""))</f>
        <v/>
      </c>
      <c r="AJ661" s="82" t="str">
        <f aca="false">IF(AF661&lt;&gt;"",AF661,IF(AA661&lt;&gt;"",AA661,IF(V661&lt;&gt;"",V661,"")))</f>
        <v/>
      </c>
      <c r="AK661" s="83" t="str">
        <f aca="false">IF(E661="","",IF(P661="","À SOUDER",IF(S661="","VT EN ATTENTE",IF(S661="R","VT REJETÉ – À REPRENDRE",IF(AJ661="","À RADIOGRAPHIER",IF(AJ661="A","ACCEPTÉ",IF(AJ661="NX","NX – RT À REFAIRE",IF(IF(AI661=1,X661,IF(AI661=2,AC661,""))="A","RÉPARÉ – À RADIOGRAPHIER",IF(IF(AI661=1,X661,IF(AI661=2,AC661,""))="R","VT REJETÉ – À REPRENDRE",IF(AJ661="CO","COUPE – À RESOUDER","À RÉPARER"))))))))))</f>
        <v/>
      </c>
      <c r="AL661" s="82" t="str">
        <f aca="false">IF(AND(ISNUMBER(P661),OR(AK661="À RADIOGRAPHIER",AK661="RÉPARÉ – À RADIOGRAPHIER",AK661="NX – RT À REFAIRE",AK661="À RÉPARER",AK661="COUPE – À RESOUDER",AK661="VT REJETÉ – À REPRENDRE")),MAX(0,'PROGRAMME RT'!$C$4-P661),"")</f>
        <v/>
      </c>
      <c r="AM661" s="78" t="n">
        <f aca="false">IF(AND(OR(AK661="À RADIOGRAPHIER",AK661="RÉPARÉ – À RADIOGRAPHIER",AK661="NX – RT À REFAIRE"),OR('PROGRAMME RT'!$D$5="TOUTES",B661='PROGRAMME RT'!$D$5)),1,0)</f>
        <v>0</v>
      </c>
      <c r="AN661" s="78" t="str">
        <f aca="false">IF(AM661=1,SUM(AM$7:AM661),"")</f>
        <v/>
      </c>
      <c r="AO661" s="78" t="n">
        <f aca="false">IF(AND(OR(AK661="À RÉPARER",AK661="COUPE – À RESOUDER",AK661="VT REJETÉ – À REPRENDRE"),OR(RÉPARATIONS!$D$5="TOUTES",B661=RÉPARATIONS!$D$5)),1,0)</f>
        <v>0</v>
      </c>
      <c r="AP661" s="78" t="str">
        <f aca="false">IF(AO661=1,SUM(AO$7:AO661),"")</f>
        <v/>
      </c>
    </row>
    <row r="662" customFormat="false" ht="15" hidden="false" customHeight="false" outlineLevel="0" collapsed="false">
      <c r="A662" s="78" t="str">
        <f aca="false">IF(E662="","",ROW()-6)</f>
        <v/>
      </c>
      <c r="B662" s="79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1"/>
      <c r="Q662" s="81"/>
      <c r="R662" s="80"/>
      <c r="S662" s="80"/>
      <c r="T662" s="81"/>
      <c r="U662" s="80"/>
      <c r="V662" s="80"/>
      <c r="W662" s="80"/>
      <c r="X662" s="80"/>
      <c r="Y662" s="81"/>
      <c r="Z662" s="80"/>
      <c r="AA662" s="80"/>
      <c r="AB662" s="80"/>
      <c r="AC662" s="80"/>
      <c r="AD662" s="81"/>
      <c r="AE662" s="80"/>
      <c r="AF662" s="80"/>
      <c r="AG662" s="81"/>
      <c r="AH662" s="79"/>
      <c r="AI662" s="78" t="str">
        <f aca="false">IF(E662="","",(V662&lt;&gt;"")+(AA662&lt;&gt;"")+(AF662&lt;&gt;""))</f>
        <v/>
      </c>
      <c r="AJ662" s="82" t="str">
        <f aca="false">IF(AF662&lt;&gt;"",AF662,IF(AA662&lt;&gt;"",AA662,IF(V662&lt;&gt;"",V662,"")))</f>
        <v/>
      </c>
      <c r="AK662" s="83" t="str">
        <f aca="false">IF(E662="","",IF(P662="","À SOUDER",IF(S662="","VT EN ATTENTE",IF(S662="R","VT REJETÉ – À REPRENDRE",IF(AJ662="","À RADIOGRAPHIER",IF(AJ662="A","ACCEPTÉ",IF(AJ662="NX","NX – RT À REFAIRE",IF(IF(AI662=1,X662,IF(AI662=2,AC662,""))="A","RÉPARÉ – À RADIOGRAPHIER",IF(IF(AI662=1,X662,IF(AI662=2,AC662,""))="R","VT REJETÉ – À REPRENDRE",IF(AJ662="CO","COUPE – À RESOUDER","À RÉPARER"))))))))))</f>
        <v/>
      </c>
      <c r="AL662" s="82" t="str">
        <f aca="false">IF(AND(ISNUMBER(P662),OR(AK662="À RADIOGRAPHIER",AK662="RÉPARÉ – À RADIOGRAPHIER",AK662="NX – RT À REFAIRE",AK662="À RÉPARER",AK662="COUPE – À RESOUDER",AK662="VT REJETÉ – À REPRENDRE")),MAX(0,'PROGRAMME RT'!$C$4-P662),"")</f>
        <v/>
      </c>
      <c r="AM662" s="78" t="n">
        <f aca="false">IF(AND(OR(AK662="À RADIOGRAPHIER",AK662="RÉPARÉ – À RADIOGRAPHIER",AK662="NX – RT À REFAIRE"),OR('PROGRAMME RT'!$D$5="TOUTES",B662='PROGRAMME RT'!$D$5)),1,0)</f>
        <v>0</v>
      </c>
      <c r="AN662" s="78" t="str">
        <f aca="false">IF(AM662=1,SUM(AM$7:AM662),"")</f>
        <v/>
      </c>
      <c r="AO662" s="78" t="n">
        <f aca="false">IF(AND(OR(AK662="À RÉPARER",AK662="COUPE – À RESOUDER",AK662="VT REJETÉ – À REPRENDRE"),OR(RÉPARATIONS!$D$5="TOUTES",B662=RÉPARATIONS!$D$5)),1,0)</f>
        <v>0</v>
      </c>
      <c r="AP662" s="78" t="str">
        <f aca="false">IF(AO662=1,SUM(AO$7:AO662),"")</f>
        <v/>
      </c>
    </row>
    <row r="663" customFormat="false" ht="15" hidden="false" customHeight="false" outlineLevel="0" collapsed="false">
      <c r="A663" s="78" t="str">
        <f aca="false">IF(E663="","",ROW()-6)</f>
        <v/>
      </c>
      <c r="B663" s="79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1"/>
      <c r="Q663" s="81"/>
      <c r="R663" s="80"/>
      <c r="S663" s="80"/>
      <c r="T663" s="81"/>
      <c r="U663" s="80"/>
      <c r="V663" s="80"/>
      <c r="W663" s="80"/>
      <c r="X663" s="80"/>
      <c r="Y663" s="81"/>
      <c r="Z663" s="80"/>
      <c r="AA663" s="80"/>
      <c r="AB663" s="80"/>
      <c r="AC663" s="80"/>
      <c r="AD663" s="81"/>
      <c r="AE663" s="80"/>
      <c r="AF663" s="80"/>
      <c r="AG663" s="81"/>
      <c r="AH663" s="79"/>
      <c r="AI663" s="78" t="str">
        <f aca="false">IF(E663="","",(V663&lt;&gt;"")+(AA663&lt;&gt;"")+(AF663&lt;&gt;""))</f>
        <v/>
      </c>
      <c r="AJ663" s="82" t="str">
        <f aca="false">IF(AF663&lt;&gt;"",AF663,IF(AA663&lt;&gt;"",AA663,IF(V663&lt;&gt;"",V663,"")))</f>
        <v/>
      </c>
      <c r="AK663" s="83" t="str">
        <f aca="false">IF(E663="","",IF(P663="","À SOUDER",IF(S663="","VT EN ATTENTE",IF(S663="R","VT REJETÉ – À REPRENDRE",IF(AJ663="","À RADIOGRAPHIER",IF(AJ663="A","ACCEPTÉ",IF(AJ663="NX","NX – RT À REFAIRE",IF(IF(AI663=1,X663,IF(AI663=2,AC663,""))="A","RÉPARÉ – À RADIOGRAPHIER",IF(IF(AI663=1,X663,IF(AI663=2,AC663,""))="R","VT REJETÉ – À REPRENDRE",IF(AJ663="CO","COUPE – À RESOUDER","À RÉPARER"))))))))))</f>
        <v/>
      </c>
      <c r="AL663" s="82" t="str">
        <f aca="false">IF(AND(ISNUMBER(P663),OR(AK663="À RADIOGRAPHIER",AK663="RÉPARÉ – À RADIOGRAPHIER",AK663="NX – RT À REFAIRE",AK663="À RÉPARER",AK663="COUPE – À RESOUDER",AK663="VT REJETÉ – À REPRENDRE")),MAX(0,'PROGRAMME RT'!$C$4-P663),"")</f>
        <v/>
      </c>
      <c r="AM663" s="78" t="n">
        <f aca="false">IF(AND(OR(AK663="À RADIOGRAPHIER",AK663="RÉPARÉ – À RADIOGRAPHIER",AK663="NX – RT À REFAIRE"),OR('PROGRAMME RT'!$D$5="TOUTES",B663='PROGRAMME RT'!$D$5)),1,0)</f>
        <v>0</v>
      </c>
      <c r="AN663" s="78" t="str">
        <f aca="false">IF(AM663=1,SUM(AM$7:AM663),"")</f>
        <v/>
      </c>
      <c r="AO663" s="78" t="n">
        <f aca="false">IF(AND(OR(AK663="À RÉPARER",AK663="COUPE – À RESOUDER",AK663="VT REJETÉ – À REPRENDRE"),OR(RÉPARATIONS!$D$5="TOUTES",B663=RÉPARATIONS!$D$5)),1,0)</f>
        <v>0</v>
      </c>
      <c r="AP663" s="78" t="str">
        <f aca="false">IF(AO663=1,SUM(AO$7:AO663),"")</f>
        <v/>
      </c>
    </row>
    <row r="664" customFormat="false" ht="15" hidden="false" customHeight="false" outlineLevel="0" collapsed="false">
      <c r="A664" s="78" t="str">
        <f aca="false">IF(E664="","",ROW()-6)</f>
        <v/>
      </c>
      <c r="B664" s="79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1"/>
      <c r="Q664" s="81"/>
      <c r="R664" s="80"/>
      <c r="S664" s="80"/>
      <c r="T664" s="81"/>
      <c r="U664" s="80"/>
      <c r="V664" s="80"/>
      <c r="W664" s="80"/>
      <c r="X664" s="80"/>
      <c r="Y664" s="81"/>
      <c r="Z664" s="80"/>
      <c r="AA664" s="80"/>
      <c r="AB664" s="80"/>
      <c r="AC664" s="80"/>
      <c r="AD664" s="81"/>
      <c r="AE664" s="80"/>
      <c r="AF664" s="80"/>
      <c r="AG664" s="81"/>
      <c r="AH664" s="79"/>
      <c r="AI664" s="78" t="str">
        <f aca="false">IF(E664="","",(V664&lt;&gt;"")+(AA664&lt;&gt;"")+(AF664&lt;&gt;""))</f>
        <v/>
      </c>
      <c r="AJ664" s="82" t="str">
        <f aca="false">IF(AF664&lt;&gt;"",AF664,IF(AA664&lt;&gt;"",AA664,IF(V664&lt;&gt;"",V664,"")))</f>
        <v/>
      </c>
      <c r="AK664" s="83" t="str">
        <f aca="false">IF(E664="","",IF(P664="","À SOUDER",IF(S664="","VT EN ATTENTE",IF(S664="R","VT REJETÉ – À REPRENDRE",IF(AJ664="","À RADIOGRAPHIER",IF(AJ664="A","ACCEPTÉ",IF(AJ664="NX","NX – RT À REFAIRE",IF(IF(AI664=1,X664,IF(AI664=2,AC664,""))="A","RÉPARÉ – À RADIOGRAPHIER",IF(IF(AI664=1,X664,IF(AI664=2,AC664,""))="R","VT REJETÉ – À REPRENDRE",IF(AJ664="CO","COUPE – À RESOUDER","À RÉPARER"))))))))))</f>
        <v/>
      </c>
      <c r="AL664" s="82" t="str">
        <f aca="false">IF(AND(ISNUMBER(P664),OR(AK664="À RADIOGRAPHIER",AK664="RÉPARÉ – À RADIOGRAPHIER",AK664="NX – RT À REFAIRE",AK664="À RÉPARER",AK664="COUPE – À RESOUDER",AK664="VT REJETÉ – À REPRENDRE")),MAX(0,'PROGRAMME RT'!$C$4-P664),"")</f>
        <v/>
      </c>
      <c r="AM664" s="78" t="n">
        <f aca="false">IF(AND(OR(AK664="À RADIOGRAPHIER",AK664="RÉPARÉ – À RADIOGRAPHIER",AK664="NX – RT À REFAIRE"),OR('PROGRAMME RT'!$D$5="TOUTES",B664='PROGRAMME RT'!$D$5)),1,0)</f>
        <v>0</v>
      </c>
      <c r="AN664" s="78" t="str">
        <f aca="false">IF(AM664=1,SUM(AM$7:AM664),"")</f>
        <v/>
      </c>
      <c r="AO664" s="78" t="n">
        <f aca="false">IF(AND(OR(AK664="À RÉPARER",AK664="COUPE – À RESOUDER",AK664="VT REJETÉ – À REPRENDRE"),OR(RÉPARATIONS!$D$5="TOUTES",B664=RÉPARATIONS!$D$5)),1,0)</f>
        <v>0</v>
      </c>
      <c r="AP664" s="78" t="str">
        <f aca="false">IF(AO664=1,SUM(AO$7:AO664),"")</f>
        <v/>
      </c>
    </row>
    <row r="665" customFormat="false" ht="15" hidden="false" customHeight="false" outlineLevel="0" collapsed="false">
      <c r="A665" s="78" t="str">
        <f aca="false">IF(E665="","",ROW()-6)</f>
        <v/>
      </c>
      <c r="B665" s="79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1"/>
      <c r="Q665" s="81"/>
      <c r="R665" s="80"/>
      <c r="S665" s="80"/>
      <c r="T665" s="81"/>
      <c r="U665" s="80"/>
      <c r="V665" s="80"/>
      <c r="W665" s="80"/>
      <c r="X665" s="80"/>
      <c r="Y665" s="81"/>
      <c r="Z665" s="80"/>
      <c r="AA665" s="80"/>
      <c r="AB665" s="80"/>
      <c r="AC665" s="80"/>
      <c r="AD665" s="81"/>
      <c r="AE665" s="80"/>
      <c r="AF665" s="80"/>
      <c r="AG665" s="81"/>
      <c r="AH665" s="79"/>
      <c r="AI665" s="78" t="str">
        <f aca="false">IF(E665="","",(V665&lt;&gt;"")+(AA665&lt;&gt;"")+(AF665&lt;&gt;""))</f>
        <v/>
      </c>
      <c r="AJ665" s="82" t="str">
        <f aca="false">IF(AF665&lt;&gt;"",AF665,IF(AA665&lt;&gt;"",AA665,IF(V665&lt;&gt;"",V665,"")))</f>
        <v/>
      </c>
      <c r="AK665" s="83" t="str">
        <f aca="false">IF(E665="","",IF(P665="","À SOUDER",IF(S665="","VT EN ATTENTE",IF(S665="R","VT REJETÉ – À REPRENDRE",IF(AJ665="","À RADIOGRAPHIER",IF(AJ665="A","ACCEPTÉ",IF(AJ665="NX","NX – RT À REFAIRE",IF(IF(AI665=1,X665,IF(AI665=2,AC665,""))="A","RÉPARÉ – À RADIOGRAPHIER",IF(IF(AI665=1,X665,IF(AI665=2,AC665,""))="R","VT REJETÉ – À REPRENDRE",IF(AJ665="CO","COUPE – À RESOUDER","À RÉPARER"))))))))))</f>
        <v/>
      </c>
      <c r="AL665" s="82" t="str">
        <f aca="false">IF(AND(ISNUMBER(P665),OR(AK665="À RADIOGRAPHIER",AK665="RÉPARÉ – À RADIOGRAPHIER",AK665="NX – RT À REFAIRE",AK665="À RÉPARER",AK665="COUPE – À RESOUDER",AK665="VT REJETÉ – À REPRENDRE")),MAX(0,'PROGRAMME RT'!$C$4-P665),"")</f>
        <v/>
      </c>
      <c r="AM665" s="78" t="n">
        <f aca="false">IF(AND(OR(AK665="À RADIOGRAPHIER",AK665="RÉPARÉ – À RADIOGRAPHIER",AK665="NX – RT À REFAIRE"),OR('PROGRAMME RT'!$D$5="TOUTES",B665='PROGRAMME RT'!$D$5)),1,0)</f>
        <v>0</v>
      </c>
      <c r="AN665" s="78" t="str">
        <f aca="false">IF(AM665=1,SUM(AM$7:AM665),"")</f>
        <v/>
      </c>
      <c r="AO665" s="78" t="n">
        <f aca="false">IF(AND(OR(AK665="À RÉPARER",AK665="COUPE – À RESOUDER",AK665="VT REJETÉ – À REPRENDRE"),OR(RÉPARATIONS!$D$5="TOUTES",B665=RÉPARATIONS!$D$5)),1,0)</f>
        <v>0</v>
      </c>
      <c r="AP665" s="78" t="str">
        <f aca="false">IF(AO665=1,SUM(AO$7:AO665),"")</f>
        <v/>
      </c>
    </row>
    <row r="666" customFormat="false" ht="15" hidden="false" customHeight="false" outlineLevel="0" collapsed="false">
      <c r="A666" s="78" t="str">
        <f aca="false">IF(E666="","",ROW()-6)</f>
        <v/>
      </c>
      <c r="B666" s="79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1"/>
      <c r="Q666" s="81"/>
      <c r="R666" s="80"/>
      <c r="S666" s="80"/>
      <c r="T666" s="81"/>
      <c r="U666" s="80"/>
      <c r="V666" s="80"/>
      <c r="W666" s="80"/>
      <c r="X666" s="80"/>
      <c r="Y666" s="81"/>
      <c r="Z666" s="80"/>
      <c r="AA666" s="80"/>
      <c r="AB666" s="80"/>
      <c r="AC666" s="80"/>
      <c r="AD666" s="81"/>
      <c r="AE666" s="80"/>
      <c r="AF666" s="80"/>
      <c r="AG666" s="81"/>
      <c r="AH666" s="79"/>
      <c r="AI666" s="78" t="str">
        <f aca="false">IF(E666="","",(V666&lt;&gt;"")+(AA666&lt;&gt;"")+(AF666&lt;&gt;""))</f>
        <v/>
      </c>
      <c r="AJ666" s="82" t="str">
        <f aca="false">IF(AF666&lt;&gt;"",AF666,IF(AA666&lt;&gt;"",AA666,IF(V666&lt;&gt;"",V666,"")))</f>
        <v/>
      </c>
      <c r="AK666" s="83" t="str">
        <f aca="false">IF(E666="","",IF(P666="","À SOUDER",IF(S666="","VT EN ATTENTE",IF(S666="R","VT REJETÉ – À REPRENDRE",IF(AJ666="","À RADIOGRAPHIER",IF(AJ666="A","ACCEPTÉ",IF(AJ666="NX","NX – RT À REFAIRE",IF(IF(AI666=1,X666,IF(AI666=2,AC666,""))="A","RÉPARÉ – À RADIOGRAPHIER",IF(IF(AI666=1,X666,IF(AI666=2,AC666,""))="R","VT REJETÉ – À REPRENDRE",IF(AJ666="CO","COUPE – À RESOUDER","À RÉPARER"))))))))))</f>
        <v/>
      </c>
      <c r="AL666" s="82" t="str">
        <f aca="false">IF(AND(ISNUMBER(P666),OR(AK666="À RADIOGRAPHIER",AK666="RÉPARÉ – À RADIOGRAPHIER",AK666="NX – RT À REFAIRE",AK666="À RÉPARER",AK666="COUPE – À RESOUDER",AK666="VT REJETÉ – À REPRENDRE")),MAX(0,'PROGRAMME RT'!$C$4-P666),"")</f>
        <v/>
      </c>
      <c r="AM666" s="78" t="n">
        <f aca="false">IF(AND(OR(AK666="À RADIOGRAPHIER",AK666="RÉPARÉ – À RADIOGRAPHIER",AK666="NX – RT À REFAIRE"),OR('PROGRAMME RT'!$D$5="TOUTES",B666='PROGRAMME RT'!$D$5)),1,0)</f>
        <v>0</v>
      </c>
      <c r="AN666" s="78" t="str">
        <f aca="false">IF(AM666=1,SUM(AM$7:AM666),"")</f>
        <v/>
      </c>
      <c r="AO666" s="78" t="n">
        <f aca="false">IF(AND(OR(AK666="À RÉPARER",AK666="COUPE – À RESOUDER",AK666="VT REJETÉ – À REPRENDRE"),OR(RÉPARATIONS!$D$5="TOUTES",B666=RÉPARATIONS!$D$5)),1,0)</f>
        <v>0</v>
      </c>
      <c r="AP666" s="78" t="str">
        <f aca="false">IF(AO666=1,SUM(AO$7:AO666),"")</f>
        <v/>
      </c>
    </row>
    <row r="667" customFormat="false" ht="15" hidden="false" customHeight="false" outlineLevel="0" collapsed="false">
      <c r="A667" s="78" t="str">
        <f aca="false">IF(E667="","",ROW()-6)</f>
        <v/>
      </c>
      <c r="B667" s="79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1"/>
      <c r="Q667" s="81"/>
      <c r="R667" s="80"/>
      <c r="S667" s="80"/>
      <c r="T667" s="81"/>
      <c r="U667" s="80"/>
      <c r="V667" s="80"/>
      <c r="W667" s="80"/>
      <c r="X667" s="80"/>
      <c r="Y667" s="81"/>
      <c r="Z667" s="80"/>
      <c r="AA667" s="80"/>
      <c r="AB667" s="80"/>
      <c r="AC667" s="80"/>
      <c r="AD667" s="81"/>
      <c r="AE667" s="80"/>
      <c r="AF667" s="80"/>
      <c r="AG667" s="81"/>
      <c r="AH667" s="79"/>
      <c r="AI667" s="78" t="str">
        <f aca="false">IF(E667="","",(V667&lt;&gt;"")+(AA667&lt;&gt;"")+(AF667&lt;&gt;""))</f>
        <v/>
      </c>
      <c r="AJ667" s="82" t="str">
        <f aca="false">IF(AF667&lt;&gt;"",AF667,IF(AA667&lt;&gt;"",AA667,IF(V667&lt;&gt;"",V667,"")))</f>
        <v/>
      </c>
      <c r="AK667" s="83" t="str">
        <f aca="false">IF(E667="","",IF(P667="","À SOUDER",IF(S667="","VT EN ATTENTE",IF(S667="R","VT REJETÉ – À REPRENDRE",IF(AJ667="","À RADIOGRAPHIER",IF(AJ667="A","ACCEPTÉ",IF(AJ667="NX","NX – RT À REFAIRE",IF(IF(AI667=1,X667,IF(AI667=2,AC667,""))="A","RÉPARÉ – À RADIOGRAPHIER",IF(IF(AI667=1,X667,IF(AI667=2,AC667,""))="R","VT REJETÉ – À REPRENDRE",IF(AJ667="CO","COUPE – À RESOUDER","À RÉPARER"))))))))))</f>
        <v/>
      </c>
      <c r="AL667" s="82" t="str">
        <f aca="false">IF(AND(ISNUMBER(P667),OR(AK667="À RADIOGRAPHIER",AK667="RÉPARÉ – À RADIOGRAPHIER",AK667="NX – RT À REFAIRE",AK667="À RÉPARER",AK667="COUPE – À RESOUDER",AK667="VT REJETÉ – À REPRENDRE")),MAX(0,'PROGRAMME RT'!$C$4-P667),"")</f>
        <v/>
      </c>
      <c r="AM667" s="78" t="n">
        <f aca="false">IF(AND(OR(AK667="À RADIOGRAPHIER",AK667="RÉPARÉ – À RADIOGRAPHIER",AK667="NX – RT À REFAIRE"),OR('PROGRAMME RT'!$D$5="TOUTES",B667='PROGRAMME RT'!$D$5)),1,0)</f>
        <v>0</v>
      </c>
      <c r="AN667" s="78" t="str">
        <f aca="false">IF(AM667=1,SUM(AM$7:AM667),"")</f>
        <v/>
      </c>
      <c r="AO667" s="78" t="n">
        <f aca="false">IF(AND(OR(AK667="À RÉPARER",AK667="COUPE – À RESOUDER",AK667="VT REJETÉ – À REPRENDRE"),OR(RÉPARATIONS!$D$5="TOUTES",B667=RÉPARATIONS!$D$5)),1,0)</f>
        <v>0</v>
      </c>
      <c r="AP667" s="78" t="str">
        <f aca="false">IF(AO667=1,SUM(AO$7:AO667),"")</f>
        <v/>
      </c>
    </row>
    <row r="668" customFormat="false" ht="15" hidden="false" customHeight="false" outlineLevel="0" collapsed="false">
      <c r="A668" s="78" t="str">
        <f aca="false">IF(E668="","",ROW()-6)</f>
        <v/>
      </c>
      <c r="B668" s="79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1"/>
      <c r="Q668" s="81"/>
      <c r="R668" s="80"/>
      <c r="S668" s="80"/>
      <c r="T668" s="81"/>
      <c r="U668" s="80"/>
      <c r="V668" s="80"/>
      <c r="W668" s="80"/>
      <c r="X668" s="80"/>
      <c r="Y668" s="81"/>
      <c r="Z668" s="80"/>
      <c r="AA668" s="80"/>
      <c r="AB668" s="80"/>
      <c r="AC668" s="80"/>
      <c r="AD668" s="81"/>
      <c r="AE668" s="80"/>
      <c r="AF668" s="80"/>
      <c r="AG668" s="81"/>
      <c r="AH668" s="79"/>
      <c r="AI668" s="78" t="str">
        <f aca="false">IF(E668="","",(V668&lt;&gt;"")+(AA668&lt;&gt;"")+(AF668&lt;&gt;""))</f>
        <v/>
      </c>
      <c r="AJ668" s="82" t="str">
        <f aca="false">IF(AF668&lt;&gt;"",AF668,IF(AA668&lt;&gt;"",AA668,IF(V668&lt;&gt;"",V668,"")))</f>
        <v/>
      </c>
      <c r="AK668" s="83" t="str">
        <f aca="false">IF(E668="","",IF(P668="","À SOUDER",IF(S668="","VT EN ATTENTE",IF(S668="R","VT REJETÉ – À REPRENDRE",IF(AJ668="","À RADIOGRAPHIER",IF(AJ668="A","ACCEPTÉ",IF(AJ668="NX","NX – RT À REFAIRE",IF(IF(AI668=1,X668,IF(AI668=2,AC668,""))="A","RÉPARÉ – À RADIOGRAPHIER",IF(IF(AI668=1,X668,IF(AI668=2,AC668,""))="R","VT REJETÉ – À REPRENDRE",IF(AJ668="CO","COUPE – À RESOUDER","À RÉPARER"))))))))))</f>
        <v/>
      </c>
      <c r="AL668" s="82" t="str">
        <f aca="false">IF(AND(ISNUMBER(P668),OR(AK668="À RADIOGRAPHIER",AK668="RÉPARÉ – À RADIOGRAPHIER",AK668="NX – RT À REFAIRE",AK668="À RÉPARER",AK668="COUPE – À RESOUDER",AK668="VT REJETÉ – À REPRENDRE")),MAX(0,'PROGRAMME RT'!$C$4-P668),"")</f>
        <v/>
      </c>
      <c r="AM668" s="78" t="n">
        <f aca="false">IF(AND(OR(AK668="À RADIOGRAPHIER",AK668="RÉPARÉ – À RADIOGRAPHIER",AK668="NX – RT À REFAIRE"),OR('PROGRAMME RT'!$D$5="TOUTES",B668='PROGRAMME RT'!$D$5)),1,0)</f>
        <v>0</v>
      </c>
      <c r="AN668" s="78" t="str">
        <f aca="false">IF(AM668=1,SUM(AM$7:AM668),"")</f>
        <v/>
      </c>
      <c r="AO668" s="78" t="n">
        <f aca="false">IF(AND(OR(AK668="À RÉPARER",AK668="COUPE – À RESOUDER",AK668="VT REJETÉ – À REPRENDRE"),OR(RÉPARATIONS!$D$5="TOUTES",B668=RÉPARATIONS!$D$5)),1,0)</f>
        <v>0</v>
      </c>
      <c r="AP668" s="78" t="str">
        <f aca="false">IF(AO668=1,SUM(AO$7:AO668),"")</f>
        <v/>
      </c>
    </row>
    <row r="669" customFormat="false" ht="15" hidden="false" customHeight="false" outlineLevel="0" collapsed="false">
      <c r="A669" s="78" t="str">
        <f aca="false">IF(E669="","",ROW()-6)</f>
        <v/>
      </c>
      <c r="B669" s="79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1"/>
      <c r="Q669" s="81"/>
      <c r="R669" s="80"/>
      <c r="S669" s="80"/>
      <c r="T669" s="81"/>
      <c r="U669" s="80"/>
      <c r="V669" s="80"/>
      <c r="W669" s="80"/>
      <c r="X669" s="80"/>
      <c r="Y669" s="81"/>
      <c r="Z669" s="80"/>
      <c r="AA669" s="80"/>
      <c r="AB669" s="80"/>
      <c r="AC669" s="80"/>
      <c r="AD669" s="81"/>
      <c r="AE669" s="80"/>
      <c r="AF669" s="80"/>
      <c r="AG669" s="81"/>
      <c r="AH669" s="79"/>
      <c r="AI669" s="78" t="str">
        <f aca="false">IF(E669="","",(V669&lt;&gt;"")+(AA669&lt;&gt;"")+(AF669&lt;&gt;""))</f>
        <v/>
      </c>
      <c r="AJ669" s="82" t="str">
        <f aca="false">IF(AF669&lt;&gt;"",AF669,IF(AA669&lt;&gt;"",AA669,IF(V669&lt;&gt;"",V669,"")))</f>
        <v/>
      </c>
      <c r="AK669" s="83" t="str">
        <f aca="false">IF(E669="","",IF(P669="","À SOUDER",IF(S669="","VT EN ATTENTE",IF(S669="R","VT REJETÉ – À REPRENDRE",IF(AJ669="","À RADIOGRAPHIER",IF(AJ669="A","ACCEPTÉ",IF(AJ669="NX","NX – RT À REFAIRE",IF(IF(AI669=1,X669,IF(AI669=2,AC669,""))="A","RÉPARÉ – À RADIOGRAPHIER",IF(IF(AI669=1,X669,IF(AI669=2,AC669,""))="R","VT REJETÉ – À REPRENDRE",IF(AJ669="CO","COUPE – À RESOUDER","À RÉPARER"))))))))))</f>
        <v/>
      </c>
      <c r="AL669" s="82" t="str">
        <f aca="false">IF(AND(ISNUMBER(P669),OR(AK669="À RADIOGRAPHIER",AK669="RÉPARÉ – À RADIOGRAPHIER",AK669="NX – RT À REFAIRE",AK669="À RÉPARER",AK669="COUPE – À RESOUDER",AK669="VT REJETÉ – À REPRENDRE")),MAX(0,'PROGRAMME RT'!$C$4-P669),"")</f>
        <v/>
      </c>
      <c r="AM669" s="78" t="n">
        <f aca="false">IF(AND(OR(AK669="À RADIOGRAPHIER",AK669="RÉPARÉ – À RADIOGRAPHIER",AK669="NX – RT À REFAIRE"),OR('PROGRAMME RT'!$D$5="TOUTES",B669='PROGRAMME RT'!$D$5)),1,0)</f>
        <v>0</v>
      </c>
      <c r="AN669" s="78" t="str">
        <f aca="false">IF(AM669=1,SUM(AM$7:AM669),"")</f>
        <v/>
      </c>
      <c r="AO669" s="78" t="n">
        <f aca="false">IF(AND(OR(AK669="À RÉPARER",AK669="COUPE – À RESOUDER",AK669="VT REJETÉ – À REPRENDRE"),OR(RÉPARATIONS!$D$5="TOUTES",B669=RÉPARATIONS!$D$5)),1,0)</f>
        <v>0</v>
      </c>
      <c r="AP669" s="78" t="str">
        <f aca="false">IF(AO669=1,SUM(AO$7:AO669),"")</f>
        <v/>
      </c>
    </row>
    <row r="670" customFormat="false" ht="15" hidden="false" customHeight="false" outlineLevel="0" collapsed="false">
      <c r="A670" s="78" t="str">
        <f aca="false">IF(E670="","",ROW()-6)</f>
        <v/>
      </c>
      <c r="B670" s="79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1"/>
      <c r="Q670" s="81"/>
      <c r="R670" s="80"/>
      <c r="S670" s="80"/>
      <c r="T670" s="81"/>
      <c r="U670" s="80"/>
      <c r="V670" s="80"/>
      <c r="W670" s="80"/>
      <c r="X670" s="80"/>
      <c r="Y670" s="81"/>
      <c r="Z670" s="80"/>
      <c r="AA670" s="80"/>
      <c r="AB670" s="80"/>
      <c r="AC670" s="80"/>
      <c r="AD670" s="81"/>
      <c r="AE670" s="80"/>
      <c r="AF670" s="80"/>
      <c r="AG670" s="81"/>
      <c r="AH670" s="79"/>
      <c r="AI670" s="78" t="str">
        <f aca="false">IF(E670="","",(V670&lt;&gt;"")+(AA670&lt;&gt;"")+(AF670&lt;&gt;""))</f>
        <v/>
      </c>
      <c r="AJ670" s="82" t="str">
        <f aca="false">IF(AF670&lt;&gt;"",AF670,IF(AA670&lt;&gt;"",AA670,IF(V670&lt;&gt;"",V670,"")))</f>
        <v/>
      </c>
      <c r="AK670" s="83" t="str">
        <f aca="false">IF(E670="","",IF(P670="","À SOUDER",IF(S670="","VT EN ATTENTE",IF(S670="R","VT REJETÉ – À REPRENDRE",IF(AJ670="","À RADIOGRAPHIER",IF(AJ670="A","ACCEPTÉ",IF(AJ670="NX","NX – RT À REFAIRE",IF(IF(AI670=1,X670,IF(AI670=2,AC670,""))="A","RÉPARÉ – À RADIOGRAPHIER",IF(IF(AI670=1,X670,IF(AI670=2,AC670,""))="R","VT REJETÉ – À REPRENDRE",IF(AJ670="CO","COUPE – À RESOUDER","À RÉPARER"))))))))))</f>
        <v/>
      </c>
      <c r="AL670" s="82" t="str">
        <f aca="false">IF(AND(ISNUMBER(P670),OR(AK670="À RADIOGRAPHIER",AK670="RÉPARÉ – À RADIOGRAPHIER",AK670="NX – RT À REFAIRE",AK670="À RÉPARER",AK670="COUPE – À RESOUDER",AK670="VT REJETÉ – À REPRENDRE")),MAX(0,'PROGRAMME RT'!$C$4-P670),"")</f>
        <v/>
      </c>
      <c r="AM670" s="78" t="n">
        <f aca="false">IF(AND(OR(AK670="À RADIOGRAPHIER",AK670="RÉPARÉ – À RADIOGRAPHIER",AK670="NX – RT À REFAIRE"),OR('PROGRAMME RT'!$D$5="TOUTES",B670='PROGRAMME RT'!$D$5)),1,0)</f>
        <v>0</v>
      </c>
      <c r="AN670" s="78" t="str">
        <f aca="false">IF(AM670=1,SUM(AM$7:AM670),"")</f>
        <v/>
      </c>
      <c r="AO670" s="78" t="n">
        <f aca="false">IF(AND(OR(AK670="À RÉPARER",AK670="COUPE – À RESOUDER",AK670="VT REJETÉ – À REPRENDRE"),OR(RÉPARATIONS!$D$5="TOUTES",B670=RÉPARATIONS!$D$5)),1,0)</f>
        <v>0</v>
      </c>
      <c r="AP670" s="78" t="str">
        <f aca="false">IF(AO670=1,SUM(AO$7:AO670),"")</f>
        <v/>
      </c>
    </row>
    <row r="671" customFormat="false" ht="15" hidden="false" customHeight="false" outlineLevel="0" collapsed="false">
      <c r="A671" s="78" t="str">
        <f aca="false">IF(E671="","",ROW()-6)</f>
        <v/>
      </c>
      <c r="B671" s="79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1"/>
      <c r="Q671" s="81"/>
      <c r="R671" s="80"/>
      <c r="S671" s="80"/>
      <c r="T671" s="81"/>
      <c r="U671" s="80"/>
      <c r="V671" s="80"/>
      <c r="W671" s="80"/>
      <c r="X671" s="80"/>
      <c r="Y671" s="81"/>
      <c r="Z671" s="80"/>
      <c r="AA671" s="80"/>
      <c r="AB671" s="80"/>
      <c r="AC671" s="80"/>
      <c r="AD671" s="81"/>
      <c r="AE671" s="80"/>
      <c r="AF671" s="80"/>
      <c r="AG671" s="81"/>
      <c r="AH671" s="79"/>
      <c r="AI671" s="78" t="str">
        <f aca="false">IF(E671="","",(V671&lt;&gt;"")+(AA671&lt;&gt;"")+(AF671&lt;&gt;""))</f>
        <v/>
      </c>
      <c r="AJ671" s="82" t="str">
        <f aca="false">IF(AF671&lt;&gt;"",AF671,IF(AA671&lt;&gt;"",AA671,IF(V671&lt;&gt;"",V671,"")))</f>
        <v/>
      </c>
      <c r="AK671" s="83" t="str">
        <f aca="false">IF(E671="","",IF(P671="","À SOUDER",IF(S671="","VT EN ATTENTE",IF(S671="R","VT REJETÉ – À REPRENDRE",IF(AJ671="","À RADIOGRAPHIER",IF(AJ671="A","ACCEPTÉ",IF(AJ671="NX","NX – RT À REFAIRE",IF(IF(AI671=1,X671,IF(AI671=2,AC671,""))="A","RÉPARÉ – À RADIOGRAPHIER",IF(IF(AI671=1,X671,IF(AI671=2,AC671,""))="R","VT REJETÉ – À REPRENDRE",IF(AJ671="CO","COUPE – À RESOUDER","À RÉPARER"))))))))))</f>
        <v/>
      </c>
      <c r="AL671" s="82" t="str">
        <f aca="false">IF(AND(ISNUMBER(P671),OR(AK671="À RADIOGRAPHIER",AK671="RÉPARÉ – À RADIOGRAPHIER",AK671="NX – RT À REFAIRE",AK671="À RÉPARER",AK671="COUPE – À RESOUDER",AK671="VT REJETÉ – À REPRENDRE")),MAX(0,'PROGRAMME RT'!$C$4-P671),"")</f>
        <v/>
      </c>
      <c r="AM671" s="78" t="n">
        <f aca="false">IF(AND(OR(AK671="À RADIOGRAPHIER",AK671="RÉPARÉ – À RADIOGRAPHIER",AK671="NX – RT À REFAIRE"),OR('PROGRAMME RT'!$D$5="TOUTES",B671='PROGRAMME RT'!$D$5)),1,0)</f>
        <v>0</v>
      </c>
      <c r="AN671" s="78" t="str">
        <f aca="false">IF(AM671=1,SUM(AM$7:AM671),"")</f>
        <v/>
      </c>
      <c r="AO671" s="78" t="n">
        <f aca="false">IF(AND(OR(AK671="À RÉPARER",AK671="COUPE – À RESOUDER",AK671="VT REJETÉ – À REPRENDRE"),OR(RÉPARATIONS!$D$5="TOUTES",B671=RÉPARATIONS!$D$5)),1,0)</f>
        <v>0</v>
      </c>
      <c r="AP671" s="78" t="str">
        <f aca="false">IF(AO671=1,SUM(AO$7:AO671),"")</f>
        <v/>
      </c>
    </row>
    <row r="672" customFormat="false" ht="15" hidden="false" customHeight="false" outlineLevel="0" collapsed="false">
      <c r="A672" s="78" t="str">
        <f aca="false">IF(E672="","",ROW()-6)</f>
        <v/>
      </c>
      <c r="B672" s="79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1"/>
      <c r="Q672" s="81"/>
      <c r="R672" s="80"/>
      <c r="S672" s="80"/>
      <c r="T672" s="81"/>
      <c r="U672" s="80"/>
      <c r="V672" s="80"/>
      <c r="W672" s="80"/>
      <c r="X672" s="80"/>
      <c r="Y672" s="81"/>
      <c r="Z672" s="80"/>
      <c r="AA672" s="80"/>
      <c r="AB672" s="80"/>
      <c r="AC672" s="80"/>
      <c r="AD672" s="81"/>
      <c r="AE672" s="80"/>
      <c r="AF672" s="80"/>
      <c r="AG672" s="81"/>
      <c r="AH672" s="79"/>
      <c r="AI672" s="78" t="str">
        <f aca="false">IF(E672="","",(V672&lt;&gt;"")+(AA672&lt;&gt;"")+(AF672&lt;&gt;""))</f>
        <v/>
      </c>
      <c r="AJ672" s="82" t="str">
        <f aca="false">IF(AF672&lt;&gt;"",AF672,IF(AA672&lt;&gt;"",AA672,IF(V672&lt;&gt;"",V672,"")))</f>
        <v/>
      </c>
      <c r="AK672" s="83" t="str">
        <f aca="false">IF(E672="","",IF(P672="","À SOUDER",IF(S672="","VT EN ATTENTE",IF(S672="R","VT REJETÉ – À REPRENDRE",IF(AJ672="","À RADIOGRAPHIER",IF(AJ672="A","ACCEPTÉ",IF(AJ672="NX","NX – RT À REFAIRE",IF(IF(AI672=1,X672,IF(AI672=2,AC672,""))="A","RÉPARÉ – À RADIOGRAPHIER",IF(IF(AI672=1,X672,IF(AI672=2,AC672,""))="R","VT REJETÉ – À REPRENDRE",IF(AJ672="CO","COUPE – À RESOUDER","À RÉPARER"))))))))))</f>
        <v/>
      </c>
      <c r="AL672" s="82" t="str">
        <f aca="false">IF(AND(ISNUMBER(P672),OR(AK672="À RADIOGRAPHIER",AK672="RÉPARÉ – À RADIOGRAPHIER",AK672="NX – RT À REFAIRE",AK672="À RÉPARER",AK672="COUPE – À RESOUDER",AK672="VT REJETÉ – À REPRENDRE")),MAX(0,'PROGRAMME RT'!$C$4-P672),"")</f>
        <v/>
      </c>
      <c r="AM672" s="78" t="n">
        <f aca="false">IF(AND(OR(AK672="À RADIOGRAPHIER",AK672="RÉPARÉ – À RADIOGRAPHIER",AK672="NX – RT À REFAIRE"),OR('PROGRAMME RT'!$D$5="TOUTES",B672='PROGRAMME RT'!$D$5)),1,0)</f>
        <v>0</v>
      </c>
      <c r="AN672" s="78" t="str">
        <f aca="false">IF(AM672=1,SUM(AM$7:AM672),"")</f>
        <v/>
      </c>
      <c r="AO672" s="78" t="n">
        <f aca="false">IF(AND(OR(AK672="À RÉPARER",AK672="COUPE – À RESOUDER",AK672="VT REJETÉ – À REPRENDRE"),OR(RÉPARATIONS!$D$5="TOUTES",B672=RÉPARATIONS!$D$5)),1,0)</f>
        <v>0</v>
      </c>
      <c r="AP672" s="78" t="str">
        <f aca="false">IF(AO672=1,SUM(AO$7:AO672),"")</f>
        <v/>
      </c>
    </row>
    <row r="673" customFormat="false" ht="15" hidden="false" customHeight="false" outlineLevel="0" collapsed="false">
      <c r="A673" s="78" t="str">
        <f aca="false">IF(E673="","",ROW()-6)</f>
        <v/>
      </c>
      <c r="B673" s="79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1"/>
      <c r="Q673" s="81"/>
      <c r="R673" s="80"/>
      <c r="S673" s="80"/>
      <c r="T673" s="81"/>
      <c r="U673" s="80"/>
      <c r="V673" s="80"/>
      <c r="W673" s="80"/>
      <c r="X673" s="80"/>
      <c r="Y673" s="81"/>
      <c r="Z673" s="80"/>
      <c r="AA673" s="80"/>
      <c r="AB673" s="80"/>
      <c r="AC673" s="80"/>
      <c r="AD673" s="81"/>
      <c r="AE673" s="80"/>
      <c r="AF673" s="80"/>
      <c r="AG673" s="81"/>
      <c r="AH673" s="79"/>
      <c r="AI673" s="78" t="str">
        <f aca="false">IF(E673="","",(V673&lt;&gt;"")+(AA673&lt;&gt;"")+(AF673&lt;&gt;""))</f>
        <v/>
      </c>
      <c r="AJ673" s="82" t="str">
        <f aca="false">IF(AF673&lt;&gt;"",AF673,IF(AA673&lt;&gt;"",AA673,IF(V673&lt;&gt;"",V673,"")))</f>
        <v/>
      </c>
      <c r="AK673" s="83" t="str">
        <f aca="false">IF(E673="","",IF(P673="","À SOUDER",IF(S673="","VT EN ATTENTE",IF(S673="R","VT REJETÉ – À REPRENDRE",IF(AJ673="","À RADIOGRAPHIER",IF(AJ673="A","ACCEPTÉ",IF(AJ673="NX","NX – RT À REFAIRE",IF(IF(AI673=1,X673,IF(AI673=2,AC673,""))="A","RÉPARÉ – À RADIOGRAPHIER",IF(IF(AI673=1,X673,IF(AI673=2,AC673,""))="R","VT REJETÉ – À REPRENDRE",IF(AJ673="CO","COUPE – À RESOUDER","À RÉPARER"))))))))))</f>
        <v/>
      </c>
      <c r="AL673" s="82" t="str">
        <f aca="false">IF(AND(ISNUMBER(P673),OR(AK673="À RADIOGRAPHIER",AK673="RÉPARÉ – À RADIOGRAPHIER",AK673="NX – RT À REFAIRE",AK673="À RÉPARER",AK673="COUPE – À RESOUDER",AK673="VT REJETÉ – À REPRENDRE")),MAX(0,'PROGRAMME RT'!$C$4-P673),"")</f>
        <v/>
      </c>
      <c r="AM673" s="78" t="n">
        <f aca="false">IF(AND(OR(AK673="À RADIOGRAPHIER",AK673="RÉPARÉ – À RADIOGRAPHIER",AK673="NX – RT À REFAIRE"),OR('PROGRAMME RT'!$D$5="TOUTES",B673='PROGRAMME RT'!$D$5)),1,0)</f>
        <v>0</v>
      </c>
      <c r="AN673" s="78" t="str">
        <f aca="false">IF(AM673=1,SUM(AM$7:AM673),"")</f>
        <v/>
      </c>
      <c r="AO673" s="78" t="n">
        <f aca="false">IF(AND(OR(AK673="À RÉPARER",AK673="COUPE – À RESOUDER",AK673="VT REJETÉ – À REPRENDRE"),OR(RÉPARATIONS!$D$5="TOUTES",B673=RÉPARATIONS!$D$5)),1,0)</f>
        <v>0</v>
      </c>
      <c r="AP673" s="78" t="str">
        <f aca="false">IF(AO673=1,SUM(AO$7:AO673),"")</f>
        <v/>
      </c>
    </row>
    <row r="674" customFormat="false" ht="15" hidden="false" customHeight="false" outlineLevel="0" collapsed="false">
      <c r="A674" s="78" t="str">
        <f aca="false">IF(E674="","",ROW()-6)</f>
        <v/>
      </c>
      <c r="B674" s="79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1"/>
      <c r="Q674" s="81"/>
      <c r="R674" s="80"/>
      <c r="S674" s="80"/>
      <c r="T674" s="81"/>
      <c r="U674" s="80"/>
      <c r="V674" s="80"/>
      <c r="W674" s="80"/>
      <c r="X674" s="80"/>
      <c r="Y674" s="81"/>
      <c r="Z674" s="80"/>
      <c r="AA674" s="80"/>
      <c r="AB674" s="80"/>
      <c r="AC674" s="80"/>
      <c r="AD674" s="81"/>
      <c r="AE674" s="80"/>
      <c r="AF674" s="80"/>
      <c r="AG674" s="81"/>
      <c r="AH674" s="79"/>
      <c r="AI674" s="78" t="str">
        <f aca="false">IF(E674="","",(V674&lt;&gt;"")+(AA674&lt;&gt;"")+(AF674&lt;&gt;""))</f>
        <v/>
      </c>
      <c r="AJ674" s="82" t="str">
        <f aca="false">IF(AF674&lt;&gt;"",AF674,IF(AA674&lt;&gt;"",AA674,IF(V674&lt;&gt;"",V674,"")))</f>
        <v/>
      </c>
      <c r="AK674" s="83" t="str">
        <f aca="false">IF(E674="","",IF(P674="","À SOUDER",IF(S674="","VT EN ATTENTE",IF(S674="R","VT REJETÉ – À REPRENDRE",IF(AJ674="","À RADIOGRAPHIER",IF(AJ674="A","ACCEPTÉ",IF(AJ674="NX","NX – RT À REFAIRE",IF(IF(AI674=1,X674,IF(AI674=2,AC674,""))="A","RÉPARÉ – À RADIOGRAPHIER",IF(IF(AI674=1,X674,IF(AI674=2,AC674,""))="R","VT REJETÉ – À REPRENDRE",IF(AJ674="CO","COUPE – À RESOUDER","À RÉPARER"))))))))))</f>
        <v/>
      </c>
      <c r="AL674" s="82" t="str">
        <f aca="false">IF(AND(ISNUMBER(P674),OR(AK674="À RADIOGRAPHIER",AK674="RÉPARÉ – À RADIOGRAPHIER",AK674="NX – RT À REFAIRE",AK674="À RÉPARER",AK674="COUPE – À RESOUDER",AK674="VT REJETÉ – À REPRENDRE")),MAX(0,'PROGRAMME RT'!$C$4-P674),"")</f>
        <v/>
      </c>
      <c r="AM674" s="78" t="n">
        <f aca="false">IF(AND(OR(AK674="À RADIOGRAPHIER",AK674="RÉPARÉ – À RADIOGRAPHIER",AK674="NX – RT À REFAIRE"),OR('PROGRAMME RT'!$D$5="TOUTES",B674='PROGRAMME RT'!$D$5)),1,0)</f>
        <v>0</v>
      </c>
      <c r="AN674" s="78" t="str">
        <f aca="false">IF(AM674=1,SUM(AM$7:AM674),"")</f>
        <v/>
      </c>
      <c r="AO674" s="78" t="n">
        <f aca="false">IF(AND(OR(AK674="À RÉPARER",AK674="COUPE – À RESOUDER",AK674="VT REJETÉ – À REPRENDRE"),OR(RÉPARATIONS!$D$5="TOUTES",B674=RÉPARATIONS!$D$5)),1,0)</f>
        <v>0</v>
      </c>
      <c r="AP674" s="78" t="str">
        <f aca="false">IF(AO674=1,SUM(AO$7:AO674),"")</f>
        <v/>
      </c>
    </row>
    <row r="675" customFormat="false" ht="15" hidden="false" customHeight="false" outlineLevel="0" collapsed="false">
      <c r="A675" s="78" t="str">
        <f aca="false">IF(E675="","",ROW()-6)</f>
        <v/>
      </c>
      <c r="B675" s="79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1"/>
      <c r="Q675" s="81"/>
      <c r="R675" s="80"/>
      <c r="S675" s="80"/>
      <c r="T675" s="81"/>
      <c r="U675" s="80"/>
      <c r="V675" s="80"/>
      <c r="W675" s="80"/>
      <c r="X675" s="80"/>
      <c r="Y675" s="81"/>
      <c r="Z675" s="80"/>
      <c r="AA675" s="80"/>
      <c r="AB675" s="80"/>
      <c r="AC675" s="80"/>
      <c r="AD675" s="81"/>
      <c r="AE675" s="80"/>
      <c r="AF675" s="80"/>
      <c r="AG675" s="81"/>
      <c r="AH675" s="79"/>
      <c r="AI675" s="78" t="str">
        <f aca="false">IF(E675="","",(V675&lt;&gt;"")+(AA675&lt;&gt;"")+(AF675&lt;&gt;""))</f>
        <v/>
      </c>
      <c r="AJ675" s="82" t="str">
        <f aca="false">IF(AF675&lt;&gt;"",AF675,IF(AA675&lt;&gt;"",AA675,IF(V675&lt;&gt;"",V675,"")))</f>
        <v/>
      </c>
      <c r="AK675" s="83" t="str">
        <f aca="false">IF(E675="","",IF(P675="","À SOUDER",IF(S675="","VT EN ATTENTE",IF(S675="R","VT REJETÉ – À REPRENDRE",IF(AJ675="","À RADIOGRAPHIER",IF(AJ675="A","ACCEPTÉ",IF(AJ675="NX","NX – RT À REFAIRE",IF(IF(AI675=1,X675,IF(AI675=2,AC675,""))="A","RÉPARÉ – À RADIOGRAPHIER",IF(IF(AI675=1,X675,IF(AI675=2,AC675,""))="R","VT REJETÉ – À REPRENDRE",IF(AJ675="CO","COUPE – À RESOUDER","À RÉPARER"))))))))))</f>
        <v/>
      </c>
      <c r="AL675" s="82" t="str">
        <f aca="false">IF(AND(ISNUMBER(P675),OR(AK675="À RADIOGRAPHIER",AK675="RÉPARÉ – À RADIOGRAPHIER",AK675="NX – RT À REFAIRE",AK675="À RÉPARER",AK675="COUPE – À RESOUDER",AK675="VT REJETÉ – À REPRENDRE")),MAX(0,'PROGRAMME RT'!$C$4-P675),"")</f>
        <v/>
      </c>
      <c r="AM675" s="78" t="n">
        <f aca="false">IF(AND(OR(AK675="À RADIOGRAPHIER",AK675="RÉPARÉ – À RADIOGRAPHIER",AK675="NX – RT À REFAIRE"),OR('PROGRAMME RT'!$D$5="TOUTES",B675='PROGRAMME RT'!$D$5)),1,0)</f>
        <v>0</v>
      </c>
      <c r="AN675" s="78" t="str">
        <f aca="false">IF(AM675=1,SUM(AM$7:AM675),"")</f>
        <v/>
      </c>
      <c r="AO675" s="78" t="n">
        <f aca="false">IF(AND(OR(AK675="À RÉPARER",AK675="COUPE – À RESOUDER",AK675="VT REJETÉ – À REPRENDRE"),OR(RÉPARATIONS!$D$5="TOUTES",B675=RÉPARATIONS!$D$5)),1,0)</f>
        <v>0</v>
      </c>
      <c r="AP675" s="78" t="str">
        <f aca="false">IF(AO675=1,SUM(AO$7:AO675),"")</f>
        <v/>
      </c>
    </row>
    <row r="676" customFormat="false" ht="15" hidden="false" customHeight="false" outlineLevel="0" collapsed="false">
      <c r="A676" s="78" t="str">
        <f aca="false">IF(E676="","",ROW()-6)</f>
        <v/>
      </c>
      <c r="B676" s="79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1"/>
      <c r="Q676" s="81"/>
      <c r="R676" s="80"/>
      <c r="S676" s="80"/>
      <c r="T676" s="81"/>
      <c r="U676" s="80"/>
      <c r="V676" s="80"/>
      <c r="W676" s="80"/>
      <c r="X676" s="80"/>
      <c r="Y676" s="81"/>
      <c r="Z676" s="80"/>
      <c r="AA676" s="80"/>
      <c r="AB676" s="80"/>
      <c r="AC676" s="80"/>
      <c r="AD676" s="81"/>
      <c r="AE676" s="80"/>
      <c r="AF676" s="80"/>
      <c r="AG676" s="81"/>
      <c r="AH676" s="79"/>
      <c r="AI676" s="78" t="str">
        <f aca="false">IF(E676="","",(V676&lt;&gt;"")+(AA676&lt;&gt;"")+(AF676&lt;&gt;""))</f>
        <v/>
      </c>
      <c r="AJ676" s="82" t="str">
        <f aca="false">IF(AF676&lt;&gt;"",AF676,IF(AA676&lt;&gt;"",AA676,IF(V676&lt;&gt;"",V676,"")))</f>
        <v/>
      </c>
      <c r="AK676" s="83" t="str">
        <f aca="false">IF(E676="","",IF(P676="","À SOUDER",IF(S676="","VT EN ATTENTE",IF(S676="R","VT REJETÉ – À REPRENDRE",IF(AJ676="","À RADIOGRAPHIER",IF(AJ676="A","ACCEPTÉ",IF(AJ676="NX","NX – RT À REFAIRE",IF(IF(AI676=1,X676,IF(AI676=2,AC676,""))="A","RÉPARÉ – À RADIOGRAPHIER",IF(IF(AI676=1,X676,IF(AI676=2,AC676,""))="R","VT REJETÉ – À REPRENDRE",IF(AJ676="CO","COUPE – À RESOUDER","À RÉPARER"))))))))))</f>
        <v/>
      </c>
      <c r="AL676" s="82" t="str">
        <f aca="false">IF(AND(ISNUMBER(P676),OR(AK676="À RADIOGRAPHIER",AK676="RÉPARÉ – À RADIOGRAPHIER",AK676="NX – RT À REFAIRE",AK676="À RÉPARER",AK676="COUPE – À RESOUDER",AK676="VT REJETÉ – À REPRENDRE")),MAX(0,'PROGRAMME RT'!$C$4-P676),"")</f>
        <v/>
      </c>
      <c r="AM676" s="78" t="n">
        <f aca="false">IF(AND(OR(AK676="À RADIOGRAPHIER",AK676="RÉPARÉ – À RADIOGRAPHIER",AK676="NX – RT À REFAIRE"),OR('PROGRAMME RT'!$D$5="TOUTES",B676='PROGRAMME RT'!$D$5)),1,0)</f>
        <v>0</v>
      </c>
      <c r="AN676" s="78" t="str">
        <f aca="false">IF(AM676=1,SUM(AM$7:AM676),"")</f>
        <v/>
      </c>
      <c r="AO676" s="78" t="n">
        <f aca="false">IF(AND(OR(AK676="À RÉPARER",AK676="COUPE – À RESOUDER",AK676="VT REJETÉ – À REPRENDRE"),OR(RÉPARATIONS!$D$5="TOUTES",B676=RÉPARATIONS!$D$5)),1,0)</f>
        <v>0</v>
      </c>
      <c r="AP676" s="78" t="str">
        <f aca="false">IF(AO676=1,SUM(AO$7:AO676),"")</f>
        <v/>
      </c>
    </row>
    <row r="677" customFormat="false" ht="15" hidden="false" customHeight="false" outlineLevel="0" collapsed="false">
      <c r="A677" s="78" t="str">
        <f aca="false">IF(E677="","",ROW()-6)</f>
        <v/>
      </c>
      <c r="B677" s="79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1"/>
      <c r="Q677" s="81"/>
      <c r="R677" s="80"/>
      <c r="S677" s="80"/>
      <c r="T677" s="81"/>
      <c r="U677" s="80"/>
      <c r="V677" s="80"/>
      <c r="W677" s="80"/>
      <c r="X677" s="80"/>
      <c r="Y677" s="81"/>
      <c r="Z677" s="80"/>
      <c r="AA677" s="80"/>
      <c r="AB677" s="80"/>
      <c r="AC677" s="80"/>
      <c r="AD677" s="81"/>
      <c r="AE677" s="80"/>
      <c r="AF677" s="80"/>
      <c r="AG677" s="81"/>
      <c r="AH677" s="79"/>
      <c r="AI677" s="78" t="str">
        <f aca="false">IF(E677="","",(V677&lt;&gt;"")+(AA677&lt;&gt;"")+(AF677&lt;&gt;""))</f>
        <v/>
      </c>
      <c r="AJ677" s="82" t="str">
        <f aca="false">IF(AF677&lt;&gt;"",AF677,IF(AA677&lt;&gt;"",AA677,IF(V677&lt;&gt;"",V677,"")))</f>
        <v/>
      </c>
      <c r="AK677" s="83" t="str">
        <f aca="false">IF(E677="","",IF(P677="","À SOUDER",IF(S677="","VT EN ATTENTE",IF(S677="R","VT REJETÉ – À REPRENDRE",IF(AJ677="","À RADIOGRAPHIER",IF(AJ677="A","ACCEPTÉ",IF(AJ677="NX","NX – RT À REFAIRE",IF(IF(AI677=1,X677,IF(AI677=2,AC677,""))="A","RÉPARÉ – À RADIOGRAPHIER",IF(IF(AI677=1,X677,IF(AI677=2,AC677,""))="R","VT REJETÉ – À REPRENDRE",IF(AJ677="CO","COUPE – À RESOUDER","À RÉPARER"))))))))))</f>
        <v/>
      </c>
      <c r="AL677" s="82" t="str">
        <f aca="false">IF(AND(ISNUMBER(P677),OR(AK677="À RADIOGRAPHIER",AK677="RÉPARÉ – À RADIOGRAPHIER",AK677="NX – RT À REFAIRE",AK677="À RÉPARER",AK677="COUPE – À RESOUDER",AK677="VT REJETÉ – À REPRENDRE")),MAX(0,'PROGRAMME RT'!$C$4-P677),"")</f>
        <v/>
      </c>
      <c r="AM677" s="78" t="n">
        <f aca="false">IF(AND(OR(AK677="À RADIOGRAPHIER",AK677="RÉPARÉ – À RADIOGRAPHIER",AK677="NX – RT À REFAIRE"),OR('PROGRAMME RT'!$D$5="TOUTES",B677='PROGRAMME RT'!$D$5)),1,0)</f>
        <v>0</v>
      </c>
      <c r="AN677" s="78" t="str">
        <f aca="false">IF(AM677=1,SUM(AM$7:AM677),"")</f>
        <v/>
      </c>
      <c r="AO677" s="78" t="n">
        <f aca="false">IF(AND(OR(AK677="À RÉPARER",AK677="COUPE – À RESOUDER",AK677="VT REJETÉ – À REPRENDRE"),OR(RÉPARATIONS!$D$5="TOUTES",B677=RÉPARATIONS!$D$5)),1,0)</f>
        <v>0</v>
      </c>
      <c r="AP677" s="78" t="str">
        <f aca="false">IF(AO677=1,SUM(AO$7:AO677),"")</f>
        <v/>
      </c>
    </row>
    <row r="678" customFormat="false" ht="15" hidden="false" customHeight="false" outlineLevel="0" collapsed="false">
      <c r="A678" s="78" t="str">
        <f aca="false">IF(E678="","",ROW()-6)</f>
        <v/>
      </c>
      <c r="B678" s="79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1"/>
      <c r="Q678" s="81"/>
      <c r="R678" s="80"/>
      <c r="S678" s="80"/>
      <c r="T678" s="81"/>
      <c r="U678" s="80"/>
      <c r="V678" s="80"/>
      <c r="W678" s="80"/>
      <c r="X678" s="80"/>
      <c r="Y678" s="81"/>
      <c r="Z678" s="80"/>
      <c r="AA678" s="80"/>
      <c r="AB678" s="80"/>
      <c r="AC678" s="80"/>
      <c r="AD678" s="81"/>
      <c r="AE678" s="80"/>
      <c r="AF678" s="80"/>
      <c r="AG678" s="81"/>
      <c r="AH678" s="79"/>
      <c r="AI678" s="78" t="str">
        <f aca="false">IF(E678="","",(V678&lt;&gt;"")+(AA678&lt;&gt;"")+(AF678&lt;&gt;""))</f>
        <v/>
      </c>
      <c r="AJ678" s="82" t="str">
        <f aca="false">IF(AF678&lt;&gt;"",AF678,IF(AA678&lt;&gt;"",AA678,IF(V678&lt;&gt;"",V678,"")))</f>
        <v/>
      </c>
      <c r="AK678" s="83" t="str">
        <f aca="false">IF(E678="","",IF(P678="","À SOUDER",IF(S678="","VT EN ATTENTE",IF(S678="R","VT REJETÉ – À REPRENDRE",IF(AJ678="","À RADIOGRAPHIER",IF(AJ678="A","ACCEPTÉ",IF(AJ678="NX","NX – RT À REFAIRE",IF(IF(AI678=1,X678,IF(AI678=2,AC678,""))="A","RÉPARÉ – À RADIOGRAPHIER",IF(IF(AI678=1,X678,IF(AI678=2,AC678,""))="R","VT REJETÉ – À REPRENDRE",IF(AJ678="CO","COUPE – À RESOUDER","À RÉPARER"))))))))))</f>
        <v/>
      </c>
      <c r="AL678" s="82" t="str">
        <f aca="false">IF(AND(ISNUMBER(P678),OR(AK678="À RADIOGRAPHIER",AK678="RÉPARÉ – À RADIOGRAPHIER",AK678="NX – RT À REFAIRE",AK678="À RÉPARER",AK678="COUPE – À RESOUDER",AK678="VT REJETÉ – À REPRENDRE")),MAX(0,'PROGRAMME RT'!$C$4-P678),"")</f>
        <v/>
      </c>
      <c r="AM678" s="78" t="n">
        <f aca="false">IF(AND(OR(AK678="À RADIOGRAPHIER",AK678="RÉPARÉ – À RADIOGRAPHIER",AK678="NX – RT À REFAIRE"),OR('PROGRAMME RT'!$D$5="TOUTES",B678='PROGRAMME RT'!$D$5)),1,0)</f>
        <v>0</v>
      </c>
      <c r="AN678" s="78" t="str">
        <f aca="false">IF(AM678=1,SUM(AM$7:AM678),"")</f>
        <v/>
      </c>
      <c r="AO678" s="78" t="n">
        <f aca="false">IF(AND(OR(AK678="À RÉPARER",AK678="COUPE – À RESOUDER",AK678="VT REJETÉ – À REPRENDRE"),OR(RÉPARATIONS!$D$5="TOUTES",B678=RÉPARATIONS!$D$5)),1,0)</f>
        <v>0</v>
      </c>
      <c r="AP678" s="78" t="str">
        <f aca="false">IF(AO678=1,SUM(AO$7:AO678),"")</f>
        <v/>
      </c>
    </row>
    <row r="679" customFormat="false" ht="15" hidden="false" customHeight="false" outlineLevel="0" collapsed="false">
      <c r="A679" s="78" t="str">
        <f aca="false">IF(E679="","",ROW()-6)</f>
        <v/>
      </c>
      <c r="B679" s="79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1"/>
      <c r="Q679" s="81"/>
      <c r="R679" s="80"/>
      <c r="S679" s="80"/>
      <c r="T679" s="81"/>
      <c r="U679" s="80"/>
      <c r="V679" s="80"/>
      <c r="W679" s="80"/>
      <c r="X679" s="80"/>
      <c r="Y679" s="81"/>
      <c r="Z679" s="80"/>
      <c r="AA679" s="80"/>
      <c r="AB679" s="80"/>
      <c r="AC679" s="80"/>
      <c r="AD679" s="81"/>
      <c r="AE679" s="80"/>
      <c r="AF679" s="80"/>
      <c r="AG679" s="81"/>
      <c r="AH679" s="79"/>
      <c r="AI679" s="78" t="str">
        <f aca="false">IF(E679="","",(V679&lt;&gt;"")+(AA679&lt;&gt;"")+(AF679&lt;&gt;""))</f>
        <v/>
      </c>
      <c r="AJ679" s="82" t="str">
        <f aca="false">IF(AF679&lt;&gt;"",AF679,IF(AA679&lt;&gt;"",AA679,IF(V679&lt;&gt;"",V679,"")))</f>
        <v/>
      </c>
      <c r="AK679" s="83" t="str">
        <f aca="false">IF(E679="","",IF(P679="","À SOUDER",IF(S679="","VT EN ATTENTE",IF(S679="R","VT REJETÉ – À REPRENDRE",IF(AJ679="","À RADIOGRAPHIER",IF(AJ679="A","ACCEPTÉ",IF(AJ679="NX","NX – RT À REFAIRE",IF(IF(AI679=1,X679,IF(AI679=2,AC679,""))="A","RÉPARÉ – À RADIOGRAPHIER",IF(IF(AI679=1,X679,IF(AI679=2,AC679,""))="R","VT REJETÉ – À REPRENDRE",IF(AJ679="CO","COUPE – À RESOUDER","À RÉPARER"))))))))))</f>
        <v/>
      </c>
      <c r="AL679" s="82" t="str">
        <f aca="false">IF(AND(ISNUMBER(P679),OR(AK679="À RADIOGRAPHIER",AK679="RÉPARÉ – À RADIOGRAPHIER",AK679="NX – RT À REFAIRE",AK679="À RÉPARER",AK679="COUPE – À RESOUDER",AK679="VT REJETÉ – À REPRENDRE")),MAX(0,'PROGRAMME RT'!$C$4-P679),"")</f>
        <v/>
      </c>
      <c r="AM679" s="78" t="n">
        <f aca="false">IF(AND(OR(AK679="À RADIOGRAPHIER",AK679="RÉPARÉ – À RADIOGRAPHIER",AK679="NX – RT À REFAIRE"),OR('PROGRAMME RT'!$D$5="TOUTES",B679='PROGRAMME RT'!$D$5)),1,0)</f>
        <v>0</v>
      </c>
      <c r="AN679" s="78" t="str">
        <f aca="false">IF(AM679=1,SUM(AM$7:AM679),"")</f>
        <v/>
      </c>
      <c r="AO679" s="78" t="n">
        <f aca="false">IF(AND(OR(AK679="À RÉPARER",AK679="COUPE – À RESOUDER",AK679="VT REJETÉ – À REPRENDRE"),OR(RÉPARATIONS!$D$5="TOUTES",B679=RÉPARATIONS!$D$5)),1,0)</f>
        <v>0</v>
      </c>
      <c r="AP679" s="78" t="str">
        <f aca="false">IF(AO679=1,SUM(AO$7:AO679),"")</f>
        <v/>
      </c>
    </row>
    <row r="680" customFormat="false" ht="15" hidden="false" customHeight="false" outlineLevel="0" collapsed="false">
      <c r="A680" s="78" t="str">
        <f aca="false">IF(E680="","",ROW()-6)</f>
        <v/>
      </c>
      <c r="B680" s="79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1"/>
      <c r="Q680" s="81"/>
      <c r="R680" s="80"/>
      <c r="S680" s="80"/>
      <c r="T680" s="81"/>
      <c r="U680" s="80"/>
      <c r="V680" s="80"/>
      <c r="W680" s="80"/>
      <c r="X680" s="80"/>
      <c r="Y680" s="81"/>
      <c r="Z680" s="80"/>
      <c r="AA680" s="80"/>
      <c r="AB680" s="80"/>
      <c r="AC680" s="80"/>
      <c r="AD680" s="81"/>
      <c r="AE680" s="80"/>
      <c r="AF680" s="80"/>
      <c r="AG680" s="81"/>
      <c r="AH680" s="79"/>
      <c r="AI680" s="78" t="str">
        <f aca="false">IF(E680="","",(V680&lt;&gt;"")+(AA680&lt;&gt;"")+(AF680&lt;&gt;""))</f>
        <v/>
      </c>
      <c r="AJ680" s="82" t="str">
        <f aca="false">IF(AF680&lt;&gt;"",AF680,IF(AA680&lt;&gt;"",AA680,IF(V680&lt;&gt;"",V680,"")))</f>
        <v/>
      </c>
      <c r="AK680" s="83" t="str">
        <f aca="false">IF(E680="","",IF(P680="","À SOUDER",IF(S680="","VT EN ATTENTE",IF(S680="R","VT REJETÉ – À REPRENDRE",IF(AJ680="","À RADIOGRAPHIER",IF(AJ680="A","ACCEPTÉ",IF(AJ680="NX","NX – RT À REFAIRE",IF(IF(AI680=1,X680,IF(AI680=2,AC680,""))="A","RÉPARÉ – À RADIOGRAPHIER",IF(IF(AI680=1,X680,IF(AI680=2,AC680,""))="R","VT REJETÉ – À REPRENDRE",IF(AJ680="CO","COUPE – À RESOUDER","À RÉPARER"))))))))))</f>
        <v/>
      </c>
      <c r="AL680" s="82" t="str">
        <f aca="false">IF(AND(ISNUMBER(P680),OR(AK680="À RADIOGRAPHIER",AK680="RÉPARÉ – À RADIOGRAPHIER",AK680="NX – RT À REFAIRE",AK680="À RÉPARER",AK680="COUPE – À RESOUDER",AK680="VT REJETÉ – À REPRENDRE")),MAX(0,'PROGRAMME RT'!$C$4-P680),"")</f>
        <v/>
      </c>
      <c r="AM680" s="78" t="n">
        <f aca="false">IF(AND(OR(AK680="À RADIOGRAPHIER",AK680="RÉPARÉ – À RADIOGRAPHIER",AK680="NX – RT À REFAIRE"),OR('PROGRAMME RT'!$D$5="TOUTES",B680='PROGRAMME RT'!$D$5)),1,0)</f>
        <v>0</v>
      </c>
      <c r="AN680" s="78" t="str">
        <f aca="false">IF(AM680=1,SUM(AM$7:AM680),"")</f>
        <v/>
      </c>
      <c r="AO680" s="78" t="n">
        <f aca="false">IF(AND(OR(AK680="À RÉPARER",AK680="COUPE – À RESOUDER",AK680="VT REJETÉ – À REPRENDRE"),OR(RÉPARATIONS!$D$5="TOUTES",B680=RÉPARATIONS!$D$5)),1,0)</f>
        <v>0</v>
      </c>
      <c r="AP680" s="78" t="str">
        <f aca="false">IF(AO680=1,SUM(AO$7:AO680),"")</f>
        <v/>
      </c>
    </row>
    <row r="681" customFormat="false" ht="15" hidden="false" customHeight="false" outlineLevel="0" collapsed="false">
      <c r="A681" s="78" t="str">
        <f aca="false">IF(E681="","",ROW()-6)</f>
        <v/>
      </c>
      <c r="B681" s="79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1"/>
      <c r="Q681" s="81"/>
      <c r="R681" s="80"/>
      <c r="S681" s="80"/>
      <c r="T681" s="81"/>
      <c r="U681" s="80"/>
      <c r="V681" s="80"/>
      <c r="W681" s="80"/>
      <c r="X681" s="80"/>
      <c r="Y681" s="81"/>
      <c r="Z681" s="80"/>
      <c r="AA681" s="80"/>
      <c r="AB681" s="80"/>
      <c r="AC681" s="80"/>
      <c r="AD681" s="81"/>
      <c r="AE681" s="80"/>
      <c r="AF681" s="80"/>
      <c r="AG681" s="81"/>
      <c r="AH681" s="79"/>
      <c r="AI681" s="78" t="str">
        <f aca="false">IF(E681="","",(V681&lt;&gt;"")+(AA681&lt;&gt;"")+(AF681&lt;&gt;""))</f>
        <v/>
      </c>
      <c r="AJ681" s="82" t="str">
        <f aca="false">IF(AF681&lt;&gt;"",AF681,IF(AA681&lt;&gt;"",AA681,IF(V681&lt;&gt;"",V681,"")))</f>
        <v/>
      </c>
      <c r="AK681" s="83" t="str">
        <f aca="false">IF(E681="","",IF(P681="","À SOUDER",IF(S681="","VT EN ATTENTE",IF(S681="R","VT REJETÉ – À REPRENDRE",IF(AJ681="","À RADIOGRAPHIER",IF(AJ681="A","ACCEPTÉ",IF(AJ681="NX","NX – RT À REFAIRE",IF(IF(AI681=1,X681,IF(AI681=2,AC681,""))="A","RÉPARÉ – À RADIOGRAPHIER",IF(IF(AI681=1,X681,IF(AI681=2,AC681,""))="R","VT REJETÉ – À REPRENDRE",IF(AJ681="CO","COUPE – À RESOUDER","À RÉPARER"))))))))))</f>
        <v/>
      </c>
      <c r="AL681" s="82" t="str">
        <f aca="false">IF(AND(ISNUMBER(P681),OR(AK681="À RADIOGRAPHIER",AK681="RÉPARÉ – À RADIOGRAPHIER",AK681="NX – RT À REFAIRE",AK681="À RÉPARER",AK681="COUPE – À RESOUDER",AK681="VT REJETÉ – À REPRENDRE")),MAX(0,'PROGRAMME RT'!$C$4-P681),"")</f>
        <v/>
      </c>
      <c r="AM681" s="78" t="n">
        <f aca="false">IF(AND(OR(AK681="À RADIOGRAPHIER",AK681="RÉPARÉ – À RADIOGRAPHIER",AK681="NX – RT À REFAIRE"),OR('PROGRAMME RT'!$D$5="TOUTES",B681='PROGRAMME RT'!$D$5)),1,0)</f>
        <v>0</v>
      </c>
      <c r="AN681" s="78" t="str">
        <f aca="false">IF(AM681=1,SUM(AM$7:AM681),"")</f>
        <v/>
      </c>
      <c r="AO681" s="78" t="n">
        <f aca="false">IF(AND(OR(AK681="À RÉPARER",AK681="COUPE – À RESOUDER",AK681="VT REJETÉ – À REPRENDRE"),OR(RÉPARATIONS!$D$5="TOUTES",B681=RÉPARATIONS!$D$5)),1,0)</f>
        <v>0</v>
      </c>
      <c r="AP681" s="78" t="str">
        <f aca="false">IF(AO681=1,SUM(AO$7:AO681),"")</f>
        <v/>
      </c>
    </row>
    <row r="682" customFormat="false" ht="15" hidden="false" customHeight="false" outlineLevel="0" collapsed="false">
      <c r="A682" s="78" t="str">
        <f aca="false">IF(E682="","",ROW()-6)</f>
        <v/>
      </c>
      <c r="B682" s="79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1"/>
      <c r="Q682" s="81"/>
      <c r="R682" s="80"/>
      <c r="S682" s="80"/>
      <c r="T682" s="81"/>
      <c r="U682" s="80"/>
      <c r="V682" s="80"/>
      <c r="W682" s="80"/>
      <c r="X682" s="80"/>
      <c r="Y682" s="81"/>
      <c r="Z682" s="80"/>
      <c r="AA682" s="80"/>
      <c r="AB682" s="80"/>
      <c r="AC682" s="80"/>
      <c r="AD682" s="81"/>
      <c r="AE682" s="80"/>
      <c r="AF682" s="80"/>
      <c r="AG682" s="81"/>
      <c r="AH682" s="79"/>
      <c r="AI682" s="78" t="str">
        <f aca="false">IF(E682="","",(V682&lt;&gt;"")+(AA682&lt;&gt;"")+(AF682&lt;&gt;""))</f>
        <v/>
      </c>
      <c r="AJ682" s="82" t="str">
        <f aca="false">IF(AF682&lt;&gt;"",AF682,IF(AA682&lt;&gt;"",AA682,IF(V682&lt;&gt;"",V682,"")))</f>
        <v/>
      </c>
      <c r="AK682" s="83" t="str">
        <f aca="false">IF(E682="","",IF(P682="","À SOUDER",IF(S682="","VT EN ATTENTE",IF(S682="R","VT REJETÉ – À REPRENDRE",IF(AJ682="","À RADIOGRAPHIER",IF(AJ682="A","ACCEPTÉ",IF(AJ682="NX","NX – RT À REFAIRE",IF(IF(AI682=1,X682,IF(AI682=2,AC682,""))="A","RÉPARÉ – À RADIOGRAPHIER",IF(IF(AI682=1,X682,IF(AI682=2,AC682,""))="R","VT REJETÉ – À REPRENDRE",IF(AJ682="CO","COUPE – À RESOUDER","À RÉPARER"))))))))))</f>
        <v/>
      </c>
      <c r="AL682" s="82" t="str">
        <f aca="false">IF(AND(ISNUMBER(P682),OR(AK682="À RADIOGRAPHIER",AK682="RÉPARÉ – À RADIOGRAPHIER",AK682="NX – RT À REFAIRE",AK682="À RÉPARER",AK682="COUPE – À RESOUDER",AK682="VT REJETÉ – À REPRENDRE")),MAX(0,'PROGRAMME RT'!$C$4-P682),"")</f>
        <v/>
      </c>
      <c r="AM682" s="78" t="n">
        <f aca="false">IF(AND(OR(AK682="À RADIOGRAPHIER",AK682="RÉPARÉ – À RADIOGRAPHIER",AK682="NX – RT À REFAIRE"),OR('PROGRAMME RT'!$D$5="TOUTES",B682='PROGRAMME RT'!$D$5)),1,0)</f>
        <v>0</v>
      </c>
      <c r="AN682" s="78" t="str">
        <f aca="false">IF(AM682=1,SUM(AM$7:AM682),"")</f>
        <v/>
      </c>
      <c r="AO682" s="78" t="n">
        <f aca="false">IF(AND(OR(AK682="À RÉPARER",AK682="COUPE – À RESOUDER",AK682="VT REJETÉ – À REPRENDRE"),OR(RÉPARATIONS!$D$5="TOUTES",B682=RÉPARATIONS!$D$5)),1,0)</f>
        <v>0</v>
      </c>
      <c r="AP682" s="78" t="str">
        <f aca="false">IF(AO682=1,SUM(AO$7:AO682),"")</f>
        <v/>
      </c>
    </row>
    <row r="683" customFormat="false" ht="15" hidden="false" customHeight="false" outlineLevel="0" collapsed="false">
      <c r="A683" s="78" t="str">
        <f aca="false">IF(E683="","",ROW()-6)</f>
        <v/>
      </c>
      <c r="B683" s="79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1"/>
      <c r="Q683" s="81"/>
      <c r="R683" s="80"/>
      <c r="S683" s="80"/>
      <c r="T683" s="81"/>
      <c r="U683" s="80"/>
      <c r="V683" s="80"/>
      <c r="W683" s="80"/>
      <c r="X683" s="80"/>
      <c r="Y683" s="81"/>
      <c r="Z683" s="80"/>
      <c r="AA683" s="80"/>
      <c r="AB683" s="80"/>
      <c r="AC683" s="80"/>
      <c r="AD683" s="81"/>
      <c r="AE683" s="80"/>
      <c r="AF683" s="80"/>
      <c r="AG683" s="81"/>
      <c r="AH683" s="79"/>
      <c r="AI683" s="78" t="str">
        <f aca="false">IF(E683="","",(V683&lt;&gt;"")+(AA683&lt;&gt;"")+(AF683&lt;&gt;""))</f>
        <v/>
      </c>
      <c r="AJ683" s="82" t="str">
        <f aca="false">IF(AF683&lt;&gt;"",AF683,IF(AA683&lt;&gt;"",AA683,IF(V683&lt;&gt;"",V683,"")))</f>
        <v/>
      </c>
      <c r="AK683" s="83" t="str">
        <f aca="false">IF(E683="","",IF(P683="","À SOUDER",IF(S683="","VT EN ATTENTE",IF(S683="R","VT REJETÉ – À REPRENDRE",IF(AJ683="","À RADIOGRAPHIER",IF(AJ683="A","ACCEPTÉ",IF(AJ683="NX","NX – RT À REFAIRE",IF(IF(AI683=1,X683,IF(AI683=2,AC683,""))="A","RÉPARÉ – À RADIOGRAPHIER",IF(IF(AI683=1,X683,IF(AI683=2,AC683,""))="R","VT REJETÉ – À REPRENDRE",IF(AJ683="CO","COUPE – À RESOUDER","À RÉPARER"))))))))))</f>
        <v/>
      </c>
      <c r="AL683" s="82" t="str">
        <f aca="false">IF(AND(ISNUMBER(P683),OR(AK683="À RADIOGRAPHIER",AK683="RÉPARÉ – À RADIOGRAPHIER",AK683="NX – RT À REFAIRE",AK683="À RÉPARER",AK683="COUPE – À RESOUDER",AK683="VT REJETÉ – À REPRENDRE")),MAX(0,'PROGRAMME RT'!$C$4-P683),"")</f>
        <v/>
      </c>
      <c r="AM683" s="78" t="n">
        <f aca="false">IF(AND(OR(AK683="À RADIOGRAPHIER",AK683="RÉPARÉ – À RADIOGRAPHIER",AK683="NX – RT À REFAIRE"),OR('PROGRAMME RT'!$D$5="TOUTES",B683='PROGRAMME RT'!$D$5)),1,0)</f>
        <v>0</v>
      </c>
      <c r="AN683" s="78" t="str">
        <f aca="false">IF(AM683=1,SUM(AM$7:AM683),"")</f>
        <v/>
      </c>
      <c r="AO683" s="78" t="n">
        <f aca="false">IF(AND(OR(AK683="À RÉPARER",AK683="COUPE – À RESOUDER",AK683="VT REJETÉ – À REPRENDRE"),OR(RÉPARATIONS!$D$5="TOUTES",B683=RÉPARATIONS!$D$5)),1,0)</f>
        <v>0</v>
      </c>
      <c r="AP683" s="78" t="str">
        <f aca="false">IF(AO683=1,SUM(AO$7:AO683),"")</f>
        <v/>
      </c>
    </row>
    <row r="684" customFormat="false" ht="15" hidden="false" customHeight="false" outlineLevel="0" collapsed="false">
      <c r="A684" s="78" t="str">
        <f aca="false">IF(E684="","",ROW()-6)</f>
        <v/>
      </c>
      <c r="B684" s="79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1"/>
      <c r="Q684" s="81"/>
      <c r="R684" s="80"/>
      <c r="S684" s="80"/>
      <c r="T684" s="81"/>
      <c r="U684" s="80"/>
      <c r="V684" s="80"/>
      <c r="W684" s="80"/>
      <c r="X684" s="80"/>
      <c r="Y684" s="81"/>
      <c r="Z684" s="80"/>
      <c r="AA684" s="80"/>
      <c r="AB684" s="80"/>
      <c r="AC684" s="80"/>
      <c r="AD684" s="81"/>
      <c r="AE684" s="80"/>
      <c r="AF684" s="80"/>
      <c r="AG684" s="81"/>
      <c r="AH684" s="79"/>
      <c r="AI684" s="78" t="str">
        <f aca="false">IF(E684="","",(V684&lt;&gt;"")+(AA684&lt;&gt;"")+(AF684&lt;&gt;""))</f>
        <v/>
      </c>
      <c r="AJ684" s="82" t="str">
        <f aca="false">IF(AF684&lt;&gt;"",AF684,IF(AA684&lt;&gt;"",AA684,IF(V684&lt;&gt;"",V684,"")))</f>
        <v/>
      </c>
      <c r="AK684" s="83" t="str">
        <f aca="false">IF(E684="","",IF(P684="","À SOUDER",IF(S684="","VT EN ATTENTE",IF(S684="R","VT REJETÉ – À REPRENDRE",IF(AJ684="","À RADIOGRAPHIER",IF(AJ684="A","ACCEPTÉ",IF(AJ684="NX","NX – RT À REFAIRE",IF(IF(AI684=1,X684,IF(AI684=2,AC684,""))="A","RÉPARÉ – À RADIOGRAPHIER",IF(IF(AI684=1,X684,IF(AI684=2,AC684,""))="R","VT REJETÉ – À REPRENDRE",IF(AJ684="CO","COUPE – À RESOUDER","À RÉPARER"))))))))))</f>
        <v/>
      </c>
      <c r="AL684" s="82" t="str">
        <f aca="false">IF(AND(ISNUMBER(P684),OR(AK684="À RADIOGRAPHIER",AK684="RÉPARÉ – À RADIOGRAPHIER",AK684="NX – RT À REFAIRE",AK684="À RÉPARER",AK684="COUPE – À RESOUDER",AK684="VT REJETÉ – À REPRENDRE")),MAX(0,'PROGRAMME RT'!$C$4-P684),"")</f>
        <v/>
      </c>
      <c r="AM684" s="78" t="n">
        <f aca="false">IF(AND(OR(AK684="À RADIOGRAPHIER",AK684="RÉPARÉ – À RADIOGRAPHIER",AK684="NX – RT À REFAIRE"),OR('PROGRAMME RT'!$D$5="TOUTES",B684='PROGRAMME RT'!$D$5)),1,0)</f>
        <v>0</v>
      </c>
      <c r="AN684" s="78" t="str">
        <f aca="false">IF(AM684=1,SUM(AM$7:AM684),"")</f>
        <v/>
      </c>
      <c r="AO684" s="78" t="n">
        <f aca="false">IF(AND(OR(AK684="À RÉPARER",AK684="COUPE – À RESOUDER",AK684="VT REJETÉ – À REPRENDRE"),OR(RÉPARATIONS!$D$5="TOUTES",B684=RÉPARATIONS!$D$5)),1,0)</f>
        <v>0</v>
      </c>
      <c r="AP684" s="78" t="str">
        <f aca="false">IF(AO684=1,SUM(AO$7:AO684),"")</f>
        <v/>
      </c>
    </row>
    <row r="685" customFormat="false" ht="15" hidden="false" customHeight="false" outlineLevel="0" collapsed="false">
      <c r="A685" s="78" t="str">
        <f aca="false">IF(E685="","",ROW()-6)</f>
        <v/>
      </c>
      <c r="B685" s="79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1"/>
      <c r="Q685" s="81"/>
      <c r="R685" s="80"/>
      <c r="S685" s="80"/>
      <c r="T685" s="81"/>
      <c r="U685" s="80"/>
      <c r="V685" s="80"/>
      <c r="W685" s="80"/>
      <c r="X685" s="80"/>
      <c r="Y685" s="81"/>
      <c r="Z685" s="80"/>
      <c r="AA685" s="80"/>
      <c r="AB685" s="80"/>
      <c r="AC685" s="80"/>
      <c r="AD685" s="81"/>
      <c r="AE685" s="80"/>
      <c r="AF685" s="80"/>
      <c r="AG685" s="81"/>
      <c r="AH685" s="79"/>
      <c r="AI685" s="78" t="str">
        <f aca="false">IF(E685="","",(V685&lt;&gt;"")+(AA685&lt;&gt;"")+(AF685&lt;&gt;""))</f>
        <v/>
      </c>
      <c r="AJ685" s="82" t="str">
        <f aca="false">IF(AF685&lt;&gt;"",AF685,IF(AA685&lt;&gt;"",AA685,IF(V685&lt;&gt;"",V685,"")))</f>
        <v/>
      </c>
      <c r="AK685" s="83" t="str">
        <f aca="false">IF(E685="","",IF(P685="","À SOUDER",IF(S685="","VT EN ATTENTE",IF(S685="R","VT REJETÉ – À REPRENDRE",IF(AJ685="","À RADIOGRAPHIER",IF(AJ685="A","ACCEPTÉ",IF(AJ685="NX","NX – RT À REFAIRE",IF(IF(AI685=1,X685,IF(AI685=2,AC685,""))="A","RÉPARÉ – À RADIOGRAPHIER",IF(IF(AI685=1,X685,IF(AI685=2,AC685,""))="R","VT REJETÉ – À REPRENDRE",IF(AJ685="CO","COUPE – À RESOUDER","À RÉPARER"))))))))))</f>
        <v/>
      </c>
      <c r="AL685" s="82" t="str">
        <f aca="false">IF(AND(ISNUMBER(P685),OR(AK685="À RADIOGRAPHIER",AK685="RÉPARÉ – À RADIOGRAPHIER",AK685="NX – RT À REFAIRE",AK685="À RÉPARER",AK685="COUPE – À RESOUDER",AK685="VT REJETÉ – À REPRENDRE")),MAX(0,'PROGRAMME RT'!$C$4-P685),"")</f>
        <v/>
      </c>
      <c r="AM685" s="78" t="n">
        <f aca="false">IF(AND(OR(AK685="À RADIOGRAPHIER",AK685="RÉPARÉ – À RADIOGRAPHIER",AK685="NX – RT À REFAIRE"),OR('PROGRAMME RT'!$D$5="TOUTES",B685='PROGRAMME RT'!$D$5)),1,0)</f>
        <v>0</v>
      </c>
      <c r="AN685" s="78" t="str">
        <f aca="false">IF(AM685=1,SUM(AM$7:AM685),"")</f>
        <v/>
      </c>
      <c r="AO685" s="78" t="n">
        <f aca="false">IF(AND(OR(AK685="À RÉPARER",AK685="COUPE – À RESOUDER",AK685="VT REJETÉ – À REPRENDRE"),OR(RÉPARATIONS!$D$5="TOUTES",B685=RÉPARATIONS!$D$5)),1,0)</f>
        <v>0</v>
      </c>
      <c r="AP685" s="78" t="str">
        <f aca="false">IF(AO685=1,SUM(AO$7:AO685),"")</f>
        <v/>
      </c>
    </row>
    <row r="686" customFormat="false" ht="15" hidden="false" customHeight="false" outlineLevel="0" collapsed="false">
      <c r="A686" s="78" t="str">
        <f aca="false">IF(E686="","",ROW()-6)</f>
        <v/>
      </c>
      <c r="B686" s="79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1"/>
      <c r="Q686" s="81"/>
      <c r="R686" s="80"/>
      <c r="S686" s="80"/>
      <c r="T686" s="81"/>
      <c r="U686" s="80"/>
      <c r="V686" s="80"/>
      <c r="W686" s="80"/>
      <c r="X686" s="80"/>
      <c r="Y686" s="81"/>
      <c r="Z686" s="80"/>
      <c r="AA686" s="80"/>
      <c r="AB686" s="80"/>
      <c r="AC686" s="80"/>
      <c r="AD686" s="81"/>
      <c r="AE686" s="80"/>
      <c r="AF686" s="80"/>
      <c r="AG686" s="81"/>
      <c r="AH686" s="79"/>
      <c r="AI686" s="78" t="str">
        <f aca="false">IF(E686="","",(V686&lt;&gt;"")+(AA686&lt;&gt;"")+(AF686&lt;&gt;""))</f>
        <v/>
      </c>
      <c r="AJ686" s="82" t="str">
        <f aca="false">IF(AF686&lt;&gt;"",AF686,IF(AA686&lt;&gt;"",AA686,IF(V686&lt;&gt;"",V686,"")))</f>
        <v/>
      </c>
      <c r="AK686" s="83" t="str">
        <f aca="false">IF(E686="","",IF(P686="","À SOUDER",IF(S686="","VT EN ATTENTE",IF(S686="R","VT REJETÉ – À REPRENDRE",IF(AJ686="","À RADIOGRAPHIER",IF(AJ686="A","ACCEPTÉ",IF(AJ686="NX","NX – RT À REFAIRE",IF(IF(AI686=1,X686,IF(AI686=2,AC686,""))="A","RÉPARÉ – À RADIOGRAPHIER",IF(IF(AI686=1,X686,IF(AI686=2,AC686,""))="R","VT REJETÉ – À REPRENDRE",IF(AJ686="CO","COUPE – À RESOUDER","À RÉPARER"))))))))))</f>
        <v/>
      </c>
      <c r="AL686" s="82" t="str">
        <f aca="false">IF(AND(ISNUMBER(P686),OR(AK686="À RADIOGRAPHIER",AK686="RÉPARÉ – À RADIOGRAPHIER",AK686="NX – RT À REFAIRE",AK686="À RÉPARER",AK686="COUPE – À RESOUDER",AK686="VT REJETÉ – À REPRENDRE")),MAX(0,'PROGRAMME RT'!$C$4-P686),"")</f>
        <v/>
      </c>
      <c r="AM686" s="78" t="n">
        <f aca="false">IF(AND(OR(AK686="À RADIOGRAPHIER",AK686="RÉPARÉ – À RADIOGRAPHIER",AK686="NX – RT À REFAIRE"),OR('PROGRAMME RT'!$D$5="TOUTES",B686='PROGRAMME RT'!$D$5)),1,0)</f>
        <v>0</v>
      </c>
      <c r="AN686" s="78" t="str">
        <f aca="false">IF(AM686=1,SUM(AM$7:AM686),"")</f>
        <v/>
      </c>
      <c r="AO686" s="78" t="n">
        <f aca="false">IF(AND(OR(AK686="À RÉPARER",AK686="COUPE – À RESOUDER",AK686="VT REJETÉ – À REPRENDRE"),OR(RÉPARATIONS!$D$5="TOUTES",B686=RÉPARATIONS!$D$5)),1,0)</f>
        <v>0</v>
      </c>
      <c r="AP686" s="78" t="str">
        <f aca="false">IF(AO686=1,SUM(AO$7:AO686),"")</f>
        <v/>
      </c>
    </row>
    <row r="687" customFormat="false" ht="15" hidden="false" customHeight="false" outlineLevel="0" collapsed="false">
      <c r="A687" s="78" t="str">
        <f aca="false">IF(E687="","",ROW()-6)</f>
        <v/>
      </c>
      <c r="B687" s="79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1"/>
      <c r="Q687" s="81"/>
      <c r="R687" s="80"/>
      <c r="S687" s="80"/>
      <c r="T687" s="81"/>
      <c r="U687" s="80"/>
      <c r="V687" s="80"/>
      <c r="W687" s="80"/>
      <c r="X687" s="80"/>
      <c r="Y687" s="81"/>
      <c r="Z687" s="80"/>
      <c r="AA687" s="80"/>
      <c r="AB687" s="80"/>
      <c r="AC687" s="80"/>
      <c r="AD687" s="81"/>
      <c r="AE687" s="80"/>
      <c r="AF687" s="80"/>
      <c r="AG687" s="81"/>
      <c r="AH687" s="79"/>
      <c r="AI687" s="78" t="str">
        <f aca="false">IF(E687="","",(V687&lt;&gt;"")+(AA687&lt;&gt;"")+(AF687&lt;&gt;""))</f>
        <v/>
      </c>
      <c r="AJ687" s="82" t="str">
        <f aca="false">IF(AF687&lt;&gt;"",AF687,IF(AA687&lt;&gt;"",AA687,IF(V687&lt;&gt;"",V687,"")))</f>
        <v/>
      </c>
      <c r="AK687" s="83" t="str">
        <f aca="false">IF(E687="","",IF(P687="","À SOUDER",IF(S687="","VT EN ATTENTE",IF(S687="R","VT REJETÉ – À REPRENDRE",IF(AJ687="","À RADIOGRAPHIER",IF(AJ687="A","ACCEPTÉ",IF(AJ687="NX","NX – RT À REFAIRE",IF(IF(AI687=1,X687,IF(AI687=2,AC687,""))="A","RÉPARÉ – À RADIOGRAPHIER",IF(IF(AI687=1,X687,IF(AI687=2,AC687,""))="R","VT REJETÉ – À REPRENDRE",IF(AJ687="CO","COUPE – À RESOUDER","À RÉPARER"))))))))))</f>
        <v/>
      </c>
      <c r="AL687" s="82" t="str">
        <f aca="false">IF(AND(ISNUMBER(P687),OR(AK687="À RADIOGRAPHIER",AK687="RÉPARÉ – À RADIOGRAPHIER",AK687="NX – RT À REFAIRE",AK687="À RÉPARER",AK687="COUPE – À RESOUDER",AK687="VT REJETÉ – À REPRENDRE")),MAX(0,'PROGRAMME RT'!$C$4-P687),"")</f>
        <v/>
      </c>
      <c r="AM687" s="78" t="n">
        <f aca="false">IF(AND(OR(AK687="À RADIOGRAPHIER",AK687="RÉPARÉ – À RADIOGRAPHIER",AK687="NX – RT À REFAIRE"),OR('PROGRAMME RT'!$D$5="TOUTES",B687='PROGRAMME RT'!$D$5)),1,0)</f>
        <v>0</v>
      </c>
      <c r="AN687" s="78" t="str">
        <f aca="false">IF(AM687=1,SUM(AM$7:AM687),"")</f>
        <v/>
      </c>
      <c r="AO687" s="78" t="n">
        <f aca="false">IF(AND(OR(AK687="À RÉPARER",AK687="COUPE – À RESOUDER",AK687="VT REJETÉ – À REPRENDRE"),OR(RÉPARATIONS!$D$5="TOUTES",B687=RÉPARATIONS!$D$5)),1,0)</f>
        <v>0</v>
      </c>
      <c r="AP687" s="78" t="str">
        <f aca="false">IF(AO687=1,SUM(AO$7:AO687),"")</f>
        <v/>
      </c>
    </row>
    <row r="688" customFormat="false" ht="15" hidden="false" customHeight="false" outlineLevel="0" collapsed="false">
      <c r="A688" s="78" t="str">
        <f aca="false">IF(E688="","",ROW()-6)</f>
        <v/>
      </c>
      <c r="B688" s="79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1"/>
      <c r="Q688" s="81"/>
      <c r="R688" s="80"/>
      <c r="S688" s="80"/>
      <c r="T688" s="81"/>
      <c r="U688" s="80"/>
      <c r="V688" s="80"/>
      <c r="W688" s="80"/>
      <c r="X688" s="80"/>
      <c r="Y688" s="81"/>
      <c r="Z688" s="80"/>
      <c r="AA688" s="80"/>
      <c r="AB688" s="80"/>
      <c r="AC688" s="80"/>
      <c r="AD688" s="81"/>
      <c r="AE688" s="80"/>
      <c r="AF688" s="80"/>
      <c r="AG688" s="81"/>
      <c r="AH688" s="79"/>
      <c r="AI688" s="78" t="str">
        <f aca="false">IF(E688="","",(V688&lt;&gt;"")+(AA688&lt;&gt;"")+(AF688&lt;&gt;""))</f>
        <v/>
      </c>
      <c r="AJ688" s="82" t="str">
        <f aca="false">IF(AF688&lt;&gt;"",AF688,IF(AA688&lt;&gt;"",AA688,IF(V688&lt;&gt;"",V688,"")))</f>
        <v/>
      </c>
      <c r="AK688" s="83" t="str">
        <f aca="false">IF(E688="","",IF(P688="","À SOUDER",IF(S688="","VT EN ATTENTE",IF(S688="R","VT REJETÉ – À REPRENDRE",IF(AJ688="","À RADIOGRAPHIER",IF(AJ688="A","ACCEPTÉ",IF(AJ688="NX","NX – RT À REFAIRE",IF(IF(AI688=1,X688,IF(AI688=2,AC688,""))="A","RÉPARÉ – À RADIOGRAPHIER",IF(IF(AI688=1,X688,IF(AI688=2,AC688,""))="R","VT REJETÉ – À REPRENDRE",IF(AJ688="CO","COUPE – À RESOUDER","À RÉPARER"))))))))))</f>
        <v/>
      </c>
      <c r="AL688" s="82" t="str">
        <f aca="false">IF(AND(ISNUMBER(P688),OR(AK688="À RADIOGRAPHIER",AK688="RÉPARÉ – À RADIOGRAPHIER",AK688="NX – RT À REFAIRE",AK688="À RÉPARER",AK688="COUPE – À RESOUDER",AK688="VT REJETÉ – À REPRENDRE")),MAX(0,'PROGRAMME RT'!$C$4-P688),"")</f>
        <v/>
      </c>
      <c r="AM688" s="78" t="n">
        <f aca="false">IF(AND(OR(AK688="À RADIOGRAPHIER",AK688="RÉPARÉ – À RADIOGRAPHIER",AK688="NX – RT À REFAIRE"),OR('PROGRAMME RT'!$D$5="TOUTES",B688='PROGRAMME RT'!$D$5)),1,0)</f>
        <v>0</v>
      </c>
      <c r="AN688" s="78" t="str">
        <f aca="false">IF(AM688=1,SUM(AM$7:AM688),"")</f>
        <v/>
      </c>
      <c r="AO688" s="78" t="n">
        <f aca="false">IF(AND(OR(AK688="À RÉPARER",AK688="COUPE – À RESOUDER",AK688="VT REJETÉ – À REPRENDRE"),OR(RÉPARATIONS!$D$5="TOUTES",B688=RÉPARATIONS!$D$5)),1,0)</f>
        <v>0</v>
      </c>
      <c r="AP688" s="78" t="str">
        <f aca="false">IF(AO688=1,SUM(AO$7:AO688),"")</f>
        <v/>
      </c>
    </row>
    <row r="689" customFormat="false" ht="15" hidden="false" customHeight="false" outlineLevel="0" collapsed="false">
      <c r="A689" s="78" t="str">
        <f aca="false">IF(E689="","",ROW()-6)</f>
        <v/>
      </c>
      <c r="B689" s="79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1"/>
      <c r="Q689" s="81"/>
      <c r="R689" s="80"/>
      <c r="S689" s="80"/>
      <c r="T689" s="81"/>
      <c r="U689" s="80"/>
      <c r="V689" s="80"/>
      <c r="W689" s="80"/>
      <c r="X689" s="80"/>
      <c r="Y689" s="81"/>
      <c r="Z689" s="80"/>
      <c r="AA689" s="80"/>
      <c r="AB689" s="80"/>
      <c r="AC689" s="80"/>
      <c r="AD689" s="81"/>
      <c r="AE689" s="80"/>
      <c r="AF689" s="80"/>
      <c r="AG689" s="81"/>
      <c r="AH689" s="79"/>
      <c r="AI689" s="78" t="str">
        <f aca="false">IF(E689="","",(V689&lt;&gt;"")+(AA689&lt;&gt;"")+(AF689&lt;&gt;""))</f>
        <v/>
      </c>
      <c r="AJ689" s="82" t="str">
        <f aca="false">IF(AF689&lt;&gt;"",AF689,IF(AA689&lt;&gt;"",AA689,IF(V689&lt;&gt;"",V689,"")))</f>
        <v/>
      </c>
      <c r="AK689" s="83" t="str">
        <f aca="false">IF(E689="","",IF(P689="","À SOUDER",IF(S689="","VT EN ATTENTE",IF(S689="R","VT REJETÉ – À REPRENDRE",IF(AJ689="","À RADIOGRAPHIER",IF(AJ689="A","ACCEPTÉ",IF(AJ689="NX","NX – RT À REFAIRE",IF(IF(AI689=1,X689,IF(AI689=2,AC689,""))="A","RÉPARÉ – À RADIOGRAPHIER",IF(IF(AI689=1,X689,IF(AI689=2,AC689,""))="R","VT REJETÉ – À REPRENDRE",IF(AJ689="CO","COUPE – À RESOUDER","À RÉPARER"))))))))))</f>
        <v/>
      </c>
      <c r="AL689" s="82" t="str">
        <f aca="false">IF(AND(ISNUMBER(P689),OR(AK689="À RADIOGRAPHIER",AK689="RÉPARÉ – À RADIOGRAPHIER",AK689="NX – RT À REFAIRE",AK689="À RÉPARER",AK689="COUPE – À RESOUDER",AK689="VT REJETÉ – À REPRENDRE")),MAX(0,'PROGRAMME RT'!$C$4-P689),"")</f>
        <v/>
      </c>
      <c r="AM689" s="78" t="n">
        <f aca="false">IF(AND(OR(AK689="À RADIOGRAPHIER",AK689="RÉPARÉ – À RADIOGRAPHIER",AK689="NX – RT À REFAIRE"),OR('PROGRAMME RT'!$D$5="TOUTES",B689='PROGRAMME RT'!$D$5)),1,0)</f>
        <v>0</v>
      </c>
      <c r="AN689" s="78" t="str">
        <f aca="false">IF(AM689=1,SUM(AM$7:AM689),"")</f>
        <v/>
      </c>
      <c r="AO689" s="78" t="n">
        <f aca="false">IF(AND(OR(AK689="À RÉPARER",AK689="COUPE – À RESOUDER",AK689="VT REJETÉ – À REPRENDRE"),OR(RÉPARATIONS!$D$5="TOUTES",B689=RÉPARATIONS!$D$5)),1,0)</f>
        <v>0</v>
      </c>
      <c r="AP689" s="78" t="str">
        <f aca="false">IF(AO689=1,SUM(AO$7:AO689),"")</f>
        <v/>
      </c>
    </row>
    <row r="690" customFormat="false" ht="15" hidden="false" customHeight="false" outlineLevel="0" collapsed="false">
      <c r="A690" s="78" t="str">
        <f aca="false">IF(E690="","",ROW()-6)</f>
        <v/>
      </c>
      <c r="B690" s="79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1"/>
      <c r="Q690" s="81"/>
      <c r="R690" s="80"/>
      <c r="S690" s="80"/>
      <c r="T690" s="81"/>
      <c r="U690" s="80"/>
      <c r="V690" s="80"/>
      <c r="W690" s="80"/>
      <c r="X690" s="80"/>
      <c r="Y690" s="81"/>
      <c r="Z690" s="80"/>
      <c r="AA690" s="80"/>
      <c r="AB690" s="80"/>
      <c r="AC690" s="80"/>
      <c r="AD690" s="81"/>
      <c r="AE690" s="80"/>
      <c r="AF690" s="80"/>
      <c r="AG690" s="81"/>
      <c r="AH690" s="79"/>
      <c r="AI690" s="78" t="str">
        <f aca="false">IF(E690="","",(V690&lt;&gt;"")+(AA690&lt;&gt;"")+(AF690&lt;&gt;""))</f>
        <v/>
      </c>
      <c r="AJ690" s="82" t="str">
        <f aca="false">IF(AF690&lt;&gt;"",AF690,IF(AA690&lt;&gt;"",AA690,IF(V690&lt;&gt;"",V690,"")))</f>
        <v/>
      </c>
      <c r="AK690" s="83" t="str">
        <f aca="false">IF(E690="","",IF(P690="","À SOUDER",IF(S690="","VT EN ATTENTE",IF(S690="R","VT REJETÉ – À REPRENDRE",IF(AJ690="","À RADIOGRAPHIER",IF(AJ690="A","ACCEPTÉ",IF(AJ690="NX","NX – RT À REFAIRE",IF(IF(AI690=1,X690,IF(AI690=2,AC690,""))="A","RÉPARÉ – À RADIOGRAPHIER",IF(IF(AI690=1,X690,IF(AI690=2,AC690,""))="R","VT REJETÉ – À REPRENDRE",IF(AJ690="CO","COUPE – À RESOUDER","À RÉPARER"))))))))))</f>
        <v/>
      </c>
      <c r="AL690" s="82" t="str">
        <f aca="false">IF(AND(ISNUMBER(P690),OR(AK690="À RADIOGRAPHIER",AK690="RÉPARÉ – À RADIOGRAPHIER",AK690="NX – RT À REFAIRE",AK690="À RÉPARER",AK690="COUPE – À RESOUDER",AK690="VT REJETÉ – À REPRENDRE")),MAX(0,'PROGRAMME RT'!$C$4-P690),"")</f>
        <v/>
      </c>
      <c r="AM690" s="78" t="n">
        <f aca="false">IF(AND(OR(AK690="À RADIOGRAPHIER",AK690="RÉPARÉ – À RADIOGRAPHIER",AK690="NX – RT À REFAIRE"),OR('PROGRAMME RT'!$D$5="TOUTES",B690='PROGRAMME RT'!$D$5)),1,0)</f>
        <v>0</v>
      </c>
      <c r="AN690" s="78" t="str">
        <f aca="false">IF(AM690=1,SUM(AM$7:AM690),"")</f>
        <v/>
      </c>
      <c r="AO690" s="78" t="n">
        <f aca="false">IF(AND(OR(AK690="À RÉPARER",AK690="COUPE – À RESOUDER",AK690="VT REJETÉ – À REPRENDRE"),OR(RÉPARATIONS!$D$5="TOUTES",B690=RÉPARATIONS!$D$5)),1,0)</f>
        <v>0</v>
      </c>
      <c r="AP690" s="78" t="str">
        <f aca="false">IF(AO690=1,SUM(AO$7:AO690),"")</f>
        <v/>
      </c>
    </row>
    <row r="691" customFormat="false" ht="15" hidden="false" customHeight="false" outlineLevel="0" collapsed="false">
      <c r="A691" s="78" t="str">
        <f aca="false">IF(E691="","",ROW()-6)</f>
        <v/>
      </c>
      <c r="B691" s="79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1"/>
      <c r="Q691" s="81"/>
      <c r="R691" s="80"/>
      <c r="S691" s="80"/>
      <c r="T691" s="81"/>
      <c r="U691" s="80"/>
      <c r="V691" s="80"/>
      <c r="W691" s="80"/>
      <c r="X691" s="80"/>
      <c r="Y691" s="81"/>
      <c r="Z691" s="80"/>
      <c r="AA691" s="80"/>
      <c r="AB691" s="80"/>
      <c r="AC691" s="80"/>
      <c r="AD691" s="81"/>
      <c r="AE691" s="80"/>
      <c r="AF691" s="80"/>
      <c r="AG691" s="81"/>
      <c r="AH691" s="79"/>
      <c r="AI691" s="78" t="str">
        <f aca="false">IF(E691="","",(V691&lt;&gt;"")+(AA691&lt;&gt;"")+(AF691&lt;&gt;""))</f>
        <v/>
      </c>
      <c r="AJ691" s="82" t="str">
        <f aca="false">IF(AF691&lt;&gt;"",AF691,IF(AA691&lt;&gt;"",AA691,IF(V691&lt;&gt;"",V691,"")))</f>
        <v/>
      </c>
      <c r="AK691" s="83" t="str">
        <f aca="false">IF(E691="","",IF(P691="","À SOUDER",IF(S691="","VT EN ATTENTE",IF(S691="R","VT REJETÉ – À REPRENDRE",IF(AJ691="","À RADIOGRAPHIER",IF(AJ691="A","ACCEPTÉ",IF(AJ691="NX","NX – RT À REFAIRE",IF(IF(AI691=1,X691,IF(AI691=2,AC691,""))="A","RÉPARÉ – À RADIOGRAPHIER",IF(IF(AI691=1,X691,IF(AI691=2,AC691,""))="R","VT REJETÉ – À REPRENDRE",IF(AJ691="CO","COUPE – À RESOUDER","À RÉPARER"))))))))))</f>
        <v/>
      </c>
      <c r="AL691" s="82" t="str">
        <f aca="false">IF(AND(ISNUMBER(P691),OR(AK691="À RADIOGRAPHIER",AK691="RÉPARÉ – À RADIOGRAPHIER",AK691="NX – RT À REFAIRE",AK691="À RÉPARER",AK691="COUPE – À RESOUDER",AK691="VT REJETÉ – À REPRENDRE")),MAX(0,'PROGRAMME RT'!$C$4-P691),"")</f>
        <v/>
      </c>
      <c r="AM691" s="78" t="n">
        <f aca="false">IF(AND(OR(AK691="À RADIOGRAPHIER",AK691="RÉPARÉ – À RADIOGRAPHIER",AK691="NX – RT À REFAIRE"),OR('PROGRAMME RT'!$D$5="TOUTES",B691='PROGRAMME RT'!$D$5)),1,0)</f>
        <v>0</v>
      </c>
      <c r="AN691" s="78" t="str">
        <f aca="false">IF(AM691=1,SUM(AM$7:AM691),"")</f>
        <v/>
      </c>
      <c r="AO691" s="78" t="n">
        <f aca="false">IF(AND(OR(AK691="À RÉPARER",AK691="COUPE – À RESOUDER",AK691="VT REJETÉ – À REPRENDRE"),OR(RÉPARATIONS!$D$5="TOUTES",B691=RÉPARATIONS!$D$5)),1,0)</f>
        <v>0</v>
      </c>
      <c r="AP691" s="78" t="str">
        <f aca="false">IF(AO691=1,SUM(AO$7:AO691),"")</f>
        <v/>
      </c>
    </row>
    <row r="692" customFormat="false" ht="15" hidden="false" customHeight="false" outlineLevel="0" collapsed="false">
      <c r="A692" s="78" t="str">
        <f aca="false">IF(E692="","",ROW()-6)</f>
        <v/>
      </c>
      <c r="B692" s="79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1"/>
      <c r="Q692" s="81"/>
      <c r="R692" s="80"/>
      <c r="S692" s="80"/>
      <c r="T692" s="81"/>
      <c r="U692" s="80"/>
      <c r="V692" s="80"/>
      <c r="W692" s="80"/>
      <c r="X692" s="80"/>
      <c r="Y692" s="81"/>
      <c r="Z692" s="80"/>
      <c r="AA692" s="80"/>
      <c r="AB692" s="80"/>
      <c r="AC692" s="80"/>
      <c r="AD692" s="81"/>
      <c r="AE692" s="80"/>
      <c r="AF692" s="80"/>
      <c r="AG692" s="81"/>
      <c r="AH692" s="79"/>
      <c r="AI692" s="78" t="str">
        <f aca="false">IF(E692="","",(V692&lt;&gt;"")+(AA692&lt;&gt;"")+(AF692&lt;&gt;""))</f>
        <v/>
      </c>
      <c r="AJ692" s="82" t="str">
        <f aca="false">IF(AF692&lt;&gt;"",AF692,IF(AA692&lt;&gt;"",AA692,IF(V692&lt;&gt;"",V692,"")))</f>
        <v/>
      </c>
      <c r="AK692" s="83" t="str">
        <f aca="false">IF(E692="","",IF(P692="","À SOUDER",IF(S692="","VT EN ATTENTE",IF(S692="R","VT REJETÉ – À REPRENDRE",IF(AJ692="","À RADIOGRAPHIER",IF(AJ692="A","ACCEPTÉ",IF(AJ692="NX","NX – RT À REFAIRE",IF(IF(AI692=1,X692,IF(AI692=2,AC692,""))="A","RÉPARÉ – À RADIOGRAPHIER",IF(IF(AI692=1,X692,IF(AI692=2,AC692,""))="R","VT REJETÉ – À REPRENDRE",IF(AJ692="CO","COUPE – À RESOUDER","À RÉPARER"))))))))))</f>
        <v/>
      </c>
      <c r="AL692" s="82" t="str">
        <f aca="false">IF(AND(ISNUMBER(P692),OR(AK692="À RADIOGRAPHIER",AK692="RÉPARÉ – À RADIOGRAPHIER",AK692="NX – RT À REFAIRE",AK692="À RÉPARER",AK692="COUPE – À RESOUDER",AK692="VT REJETÉ – À REPRENDRE")),MAX(0,'PROGRAMME RT'!$C$4-P692),"")</f>
        <v/>
      </c>
      <c r="AM692" s="78" t="n">
        <f aca="false">IF(AND(OR(AK692="À RADIOGRAPHIER",AK692="RÉPARÉ – À RADIOGRAPHIER",AK692="NX – RT À REFAIRE"),OR('PROGRAMME RT'!$D$5="TOUTES",B692='PROGRAMME RT'!$D$5)),1,0)</f>
        <v>0</v>
      </c>
      <c r="AN692" s="78" t="str">
        <f aca="false">IF(AM692=1,SUM(AM$7:AM692),"")</f>
        <v/>
      </c>
      <c r="AO692" s="78" t="n">
        <f aca="false">IF(AND(OR(AK692="À RÉPARER",AK692="COUPE – À RESOUDER",AK692="VT REJETÉ – À REPRENDRE"),OR(RÉPARATIONS!$D$5="TOUTES",B692=RÉPARATIONS!$D$5)),1,0)</f>
        <v>0</v>
      </c>
      <c r="AP692" s="78" t="str">
        <f aca="false">IF(AO692=1,SUM(AO$7:AO692),"")</f>
        <v/>
      </c>
    </row>
    <row r="693" customFormat="false" ht="15" hidden="false" customHeight="false" outlineLevel="0" collapsed="false">
      <c r="A693" s="78" t="str">
        <f aca="false">IF(E693="","",ROW()-6)</f>
        <v/>
      </c>
      <c r="B693" s="79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1"/>
      <c r="Q693" s="81"/>
      <c r="R693" s="80"/>
      <c r="S693" s="80"/>
      <c r="T693" s="81"/>
      <c r="U693" s="80"/>
      <c r="V693" s="80"/>
      <c r="W693" s="80"/>
      <c r="X693" s="80"/>
      <c r="Y693" s="81"/>
      <c r="Z693" s="80"/>
      <c r="AA693" s="80"/>
      <c r="AB693" s="80"/>
      <c r="AC693" s="80"/>
      <c r="AD693" s="81"/>
      <c r="AE693" s="80"/>
      <c r="AF693" s="80"/>
      <c r="AG693" s="81"/>
      <c r="AH693" s="79"/>
      <c r="AI693" s="78" t="str">
        <f aca="false">IF(E693="","",(V693&lt;&gt;"")+(AA693&lt;&gt;"")+(AF693&lt;&gt;""))</f>
        <v/>
      </c>
      <c r="AJ693" s="82" t="str">
        <f aca="false">IF(AF693&lt;&gt;"",AF693,IF(AA693&lt;&gt;"",AA693,IF(V693&lt;&gt;"",V693,"")))</f>
        <v/>
      </c>
      <c r="AK693" s="83" t="str">
        <f aca="false">IF(E693="","",IF(P693="","À SOUDER",IF(S693="","VT EN ATTENTE",IF(S693="R","VT REJETÉ – À REPRENDRE",IF(AJ693="","À RADIOGRAPHIER",IF(AJ693="A","ACCEPTÉ",IF(AJ693="NX","NX – RT À REFAIRE",IF(IF(AI693=1,X693,IF(AI693=2,AC693,""))="A","RÉPARÉ – À RADIOGRAPHIER",IF(IF(AI693=1,X693,IF(AI693=2,AC693,""))="R","VT REJETÉ – À REPRENDRE",IF(AJ693="CO","COUPE – À RESOUDER","À RÉPARER"))))))))))</f>
        <v/>
      </c>
      <c r="AL693" s="82" t="str">
        <f aca="false">IF(AND(ISNUMBER(P693),OR(AK693="À RADIOGRAPHIER",AK693="RÉPARÉ – À RADIOGRAPHIER",AK693="NX – RT À REFAIRE",AK693="À RÉPARER",AK693="COUPE – À RESOUDER",AK693="VT REJETÉ – À REPRENDRE")),MAX(0,'PROGRAMME RT'!$C$4-P693),"")</f>
        <v/>
      </c>
      <c r="AM693" s="78" t="n">
        <f aca="false">IF(AND(OR(AK693="À RADIOGRAPHIER",AK693="RÉPARÉ – À RADIOGRAPHIER",AK693="NX – RT À REFAIRE"),OR('PROGRAMME RT'!$D$5="TOUTES",B693='PROGRAMME RT'!$D$5)),1,0)</f>
        <v>0</v>
      </c>
      <c r="AN693" s="78" t="str">
        <f aca="false">IF(AM693=1,SUM(AM$7:AM693),"")</f>
        <v/>
      </c>
      <c r="AO693" s="78" t="n">
        <f aca="false">IF(AND(OR(AK693="À RÉPARER",AK693="COUPE – À RESOUDER",AK693="VT REJETÉ – À REPRENDRE"),OR(RÉPARATIONS!$D$5="TOUTES",B693=RÉPARATIONS!$D$5)),1,0)</f>
        <v>0</v>
      </c>
      <c r="AP693" s="78" t="str">
        <f aca="false">IF(AO693=1,SUM(AO$7:AO693),"")</f>
        <v/>
      </c>
    </row>
    <row r="694" customFormat="false" ht="15" hidden="false" customHeight="false" outlineLevel="0" collapsed="false">
      <c r="A694" s="78" t="str">
        <f aca="false">IF(E694="","",ROW()-6)</f>
        <v/>
      </c>
      <c r="B694" s="79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1"/>
      <c r="Q694" s="81"/>
      <c r="R694" s="80"/>
      <c r="S694" s="80"/>
      <c r="T694" s="81"/>
      <c r="U694" s="80"/>
      <c r="V694" s="80"/>
      <c r="W694" s="80"/>
      <c r="X694" s="80"/>
      <c r="Y694" s="81"/>
      <c r="Z694" s="80"/>
      <c r="AA694" s="80"/>
      <c r="AB694" s="80"/>
      <c r="AC694" s="80"/>
      <c r="AD694" s="81"/>
      <c r="AE694" s="80"/>
      <c r="AF694" s="80"/>
      <c r="AG694" s="81"/>
      <c r="AH694" s="79"/>
      <c r="AI694" s="78" t="str">
        <f aca="false">IF(E694="","",(V694&lt;&gt;"")+(AA694&lt;&gt;"")+(AF694&lt;&gt;""))</f>
        <v/>
      </c>
      <c r="AJ694" s="82" t="str">
        <f aca="false">IF(AF694&lt;&gt;"",AF694,IF(AA694&lt;&gt;"",AA694,IF(V694&lt;&gt;"",V694,"")))</f>
        <v/>
      </c>
      <c r="AK694" s="83" t="str">
        <f aca="false">IF(E694="","",IF(P694="","À SOUDER",IF(S694="","VT EN ATTENTE",IF(S694="R","VT REJETÉ – À REPRENDRE",IF(AJ694="","À RADIOGRAPHIER",IF(AJ694="A","ACCEPTÉ",IF(AJ694="NX","NX – RT À REFAIRE",IF(IF(AI694=1,X694,IF(AI694=2,AC694,""))="A","RÉPARÉ – À RADIOGRAPHIER",IF(IF(AI694=1,X694,IF(AI694=2,AC694,""))="R","VT REJETÉ – À REPRENDRE",IF(AJ694="CO","COUPE – À RESOUDER","À RÉPARER"))))))))))</f>
        <v/>
      </c>
      <c r="AL694" s="82" t="str">
        <f aca="false">IF(AND(ISNUMBER(P694),OR(AK694="À RADIOGRAPHIER",AK694="RÉPARÉ – À RADIOGRAPHIER",AK694="NX – RT À REFAIRE",AK694="À RÉPARER",AK694="COUPE – À RESOUDER",AK694="VT REJETÉ – À REPRENDRE")),MAX(0,'PROGRAMME RT'!$C$4-P694),"")</f>
        <v/>
      </c>
      <c r="AM694" s="78" t="n">
        <f aca="false">IF(AND(OR(AK694="À RADIOGRAPHIER",AK694="RÉPARÉ – À RADIOGRAPHIER",AK694="NX – RT À REFAIRE"),OR('PROGRAMME RT'!$D$5="TOUTES",B694='PROGRAMME RT'!$D$5)),1,0)</f>
        <v>0</v>
      </c>
      <c r="AN694" s="78" t="str">
        <f aca="false">IF(AM694=1,SUM(AM$7:AM694),"")</f>
        <v/>
      </c>
      <c r="AO694" s="78" t="n">
        <f aca="false">IF(AND(OR(AK694="À RÉPARER",AK694="COUPE – À RESOUDER",AK694="VT REJETÉ – À REPRENDRE"),OR(RÉPARATIONS!$D$5="TOUTES",B694=RÉPARATIONS!$D$5)),1,0)</f>
        <v>0</v>
      </c>
      <c r="AP694" s="78" t="str">
        <f aca="false">IF(AO694=1,SUM(AO$7:AO694),"")</f>
        <v/>
      </c>
    </row>
    <row r="695" customFormat="false" ht="15" hidden="false" customHeight="false" outlineLevel="0" collapsed="false">
      <c r="A695" s="78" t="str">
        <f aca="false">IF(E695="","",ROW()-6)</f>
        <v/>
      </c>
      <c r="B695" s="79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1"/>
      <c r="Q695" s="81"/>
      <c r="R695" s="80"/>
      <c r="S695" s="80"/>
      <c r="T695" s="81"/>
      <c r="U695" s="80"/>
      <c r="V695" s="80"/>
      <c r="W695" s="80"/>
      <c r="X695" s="80"/>
      <c r="Y695" s="81"/>
      <c r="Z695" s="80"/>
      <c r="AA695" s="80"/>
      <c r="AB695" s="80"/>
      <c r="AC695" s="80"/>
      <c r="AD695" s="81"/>
      <c r="AE695" s="80"/>
      <c r="AF695" s="80"/>
      <c r="AG695" s="81"/>
      <c r="AH695" s="79"/>
      <c r="AI695" s="78" t="str">
        <f aca="false">IF(E695="","",(V695&lt;&gt;"")+(AA695&lt;&gt;"")+(AF695&lt;&gt;""))</f>
        <v/>
      </c>
      <c r="AJ695" s="82" t="str">
        <f aca="false">IF(AF695&lt;&gt;"",AF695,IF(AA695&lt;&gt;"",AA695,IF(V695&lt;&gt;"",V695,"")))</f>
        <v/>
      </c>
      <c r="AK695" s="83" t="str">
        <f aca="false">IF(E695="","",IF(P695="","À SOUDER",IF(S695="","VT EN ATTENTE",IF(S695="R","VT REJETÉ – À REPRENDRE",IF(AJ695="","À RADIOGRAPHIER",IF(AJ695="A","ACCEPTÉ",IF(AJ695="NX","NX – RT À REFAIRE",IF(IF(AI695=1,X695,IF(AI695=2,AC695,""))="A","RÉPARÉ – À RADIOGRAPHIER",IF(IF(AI695=1,X695,IF(AI695=2,AC695,""))="R","VT REJETÉ – À REPRENDRE",IF(AJ695="CO","COUPE – À RESOUDER","À RÉPARER"))))))))))</f>
        <v/>
      </c>
      <c r="AL695" s="82" t="str">
        <f aca="false">IF(AND(ISNUMBER(P695),OR(AK695="À RADIOGRAPHIER",AK695="RÉPARÉ – À RADIOGRAPHIER",AK695="NX – RT À REFAIRE",AK695="À RÉPARER",AK695="COUPE – À RESOUDER",AK695="VT REJETÉ – À REPRENDRE")),MAX(0,'PROGRAMME RT'!$C$4-P695),"")</f>
        <v/>
      </c>
      <c r="AM695" s="78" t="n">
        <f aca="false">IF(AND(OR(AK695="À RADIOGRAPHIER",AK695="RÉPARÉ – À RADIOGRAPHIER",AK695="NX – RT À REFAIRE"),OR('PROGRAMME RT'!$D$5="TOUTES",B695='PROGRAMME RT'!$D$5)),1,0)</f>
        <v>0</v>
      </c>
      <c r="AN695" s="78" t="str">
        <f aca="false">IF(AM695=1,SUM(AM$7:AM695),"")</f>
        <v/>
      </c>
      <c r="AO695" s="78" t="n">
        <f aca="false">IF(AND(OR(AK695="À RÉPARER",AK695="COUPE – À RESOUDER",AK695="VT REJETÉ – À REPRENDRE"),OR(RÉPARATIONS!$D$5="TOUTES",B695=RÉPARATIONS!$D$5)),1,0)</f>
        <v>0</v>
      </c>
      <c r="AP695" s="78" t="str">
        <f aca="false">IF(AO695=1,SUM(AO$7:AO695),"")</f>
        <v/>
      </c>
    </row>
    <row r="696" customFormat="false" ht="15" hidden="false" customHeight="false" outlineLevel="0" collapsed="false">
      <c r="A696" s="78" t="str">
        <f aca="false">IF(E696="","",ROW()-6)</f>
        <v/>
      </c>
      <c r="B696" s="79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1"/>
      <c r="Q696" s="81"/>
      <c r="R696" s="80"/>
      <c r="S696" s="80"/>
      <c r="T696" s="81"/>
      <c r="U696" s="80"/>
      <c r="V696" s="80"/>
      <c r="W696" s="80"/>
      <c r="X696" s="80"/>
      <c r="Y696" s="81"/>
      <c r="Z696" s="80"/>
      <c r="AA696" s="80"/>
      <c r="AB696" s="80"/>
      <c r="AC696" s="80"/>
      <c r="AD696" s="81"/>
      <c r="AE696" s="80"/>
      <c r="AF696" s="80"/>
      <c r="AG696" s="81"/>
      <c r="AH696" s="79"/>
      <c r="AI696" s="78" t="str">
        <f aca="false">IF(E696="","",(V696&lt;&gt;"")+(AA696&lt;&gt;"")+(AF696&lt;&gt;""))</f>
        <v/>
      </c>
      <c r="AJ696" s="82" t="str">
        <f aca="false">IF(AF696&lt;&gt;"",AF696,IF(AA696&lt;&gt;"",AA696,IF(V696&lt;&gt;"",V696,"")))</f>
        <v/>
      </c>
      <c r="AK696" s="83" t="str">
        <f aca="false">IF(E696="","",IF(P696="","À SOUDER",IF(S696="","VT EN ATTENTE",IF(S696="R","VT REJETÉ – À REPRENDRE",IF(AJ696="","À RADIOGRAPHIER",IF(AJ696="A","ACCEPTÉ",IF(AJ696="NX","NX – RT À REFAIRE",IF(IF(AI696=1,X696,IF(AI696=2,AC696,""))="A","RÉPARÉ – À RADIOGRAPHIER",IF(IF(AI696=1,X696,IF(AI696=2,AC696,""))="R","VT REJETÉ – À REPRENDRE",IF(AJ696="CO","COUPE – À RESOUDER","À RÉPARER"))))))))))</f>
        <v/>
      </c>
      <c r="AL696" s="82" t="str">
        <f aca="false">IF(AND(ISNUMBER(P696),OR(AK696="À RADIOGRAPHIER",AK696="RÉPARÉ – À RADIOGRAPHIER",AK696="NX – RT À REFAIRE",AK696="À RÉPARER",AK696="COUPE – À RESOUDER",AK696="VT REJETÉ – À REPRENDRE")),MAX(0,'PROGRAMME RT'!$C$4-P696),"")</f>
        <v/>
      </c>
      <c r="AM696" s="78" t="n">
        <f aca="false">IF(AND(OR(AK696="À RADIOGRAPHIER",AK696="RÉPARÉ – À RADIOGRAPHIER",AK696="NX – RT À REFAIRE"),OR('PROGRAMME RT'!$D$5="TOUTES",B696='PROGRAMME RT'!$D$5)),1,0)</f>
        <v>0</v>
      </c>
      <c r="AN696" s="78" t="str">
        <f aca="false">IF(AM696=1,SUM(AM$7:AM696),"")</f>
        <v/>
      </c>
      <c r="AO696" s="78" t="n">
        <f aca="false">IF(AND(OR(AK696="À RÉPARER",AK696="COUPE – À RESOUDER",AK696="VT REJETÉ – À REPRENDRE"),OR(RÉPARATIONS!$D$5="TOUTES",B696=RÉPARATIONS!$D$5)),1,0)</f>
        <v>0</v>
      </c>
      <c r="AP696" s="78" t="str">
        <f aca="false">IF(AO696=1,SUM(AO$7:AO696),"")</f>
        <v/>
      </c>
    </row>
    <row r="697" customFormat="false" ht="15" hidden="false" customHeight="false" outlineLevel="0" collapsed="false">
      <c r="A697" s="78" t="str">
        <f aca="false">IF(E697="","",ROW()-6)</f>
        <v/>
      </c>
      <c r="B697" s="79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1"/>
      <c r="Q697" s="81"/>
      <c r="R697" s="80"/>
      <c r="S697" s="80"/>
      <c r="T697" s="81"/>
      <c r="U697" s="80"/>
      <c r="V697" s="80"/>
      <c r="W697" s="80"/>
      <c r="X697" s="80"/>
      <c r="Y697" s="81"/>
      <c r="Z697" s="80"/>
      <c r="AA697" s="80"/>
      <c r="AB697" s="80"/>
      <c r="AC697" s="80"/>
      <c r="AD697" s="81"/>
      <c r="AE697" s="80"/>
      <c r="AF697" s="80"/>
      <c r="AG697" s="81"/>
      <c r="AH697" s="79"/>
      <c r="AI697" s="78" t="str">
        <f aca="false">IF(E697="","",(V697&lt;&gt;"")+(AA697&lt;&gt;"")+(AF697&lt;&gt;""))</f>
        <v/>
      </c>
      <c r="AJ697" s="82" t="str">
        <f aca="false">IF(AF697&lt;&gt;"",AF697,IF(AA697&lt;&gt;"",AA697,IF(V697&lt;&gt;"",V697,"")))</f>
        <v/>
      </c>
      <c r="AK697" s="83" t="str">
        <f aca="false">IF(E697="","",IF(P697="","À SOUDER",IF(S697="","VT EN ATTENTE",IF(S697="R","VT REJETÉ – À REPRENDRE",IF(AJ697="","À RADIOGRAPHIER",IF(AJ697="A","ACCEPTÉ",IF(AJ697="NX","NX – RT À REFAIRE",IF(IF(AI697=1,X697,IF(AI697=2,AC697,""))="A","RÉPARÉ – À RADIOGRAPHIER",IF(IF(AI697=1,X697,IF(AI697=2,AC697,""))="R","VT REJETÉ – À REPRENDRE",IF(AJ697="CO","COUPE – À RESOUDER","À RÉPARER"))))))))))</f>
        <v/>
      </c>
      <c r="AL697" s="82" t="str">
        <f aca="false">IF(AND(ISNUMBER(P697),OR(AK697="À RADIOGRAPHIER",AK697="RÉPARÉ – À RADIOGRAPHIER",AK697="NX – RT À REFAIRE",AK697="À RÉPARER",AK697="COUPE – À RESOUDER",AK697="VT REJETÉ – À REPRENDRE")),MAX(0,'PROGRAMME RT'!$C$4-P697),"")</f>
        <v/>
      </c>
      <c r="AM697" s="78" t="n">
        <f aca="false">IF(AND(OR(AK697="À RADIOGRAPHIER",AK697="RÉPARÉ – À RADIOGRAPHIER",AK697="NX – RT À REFAIRE"),OR('PROGRAMME RT'!$D$5="TOUTES",B697='PROGRAMME RT'!$D$5)),1,0)</f>
        <v>0</v>
      </c>
      <c r="AN697" s="78" t="str">
        <f aca="false">IF(AM697=1,SUM(AM$7:AM697),"")</f>
        <v/>
      </c>
      <c r="AO697" s="78" t="n">
        <f aca="false">IF(AND(OR(AK697="À RÉPARER",AK697="COUPE – À RESOUDER",AK697="VT REJETÉ – À REPRENDRE"),OR(RÉPARATIONS!$D$5="TOUTES",B697=RÉPARATIONS!$D$5)),1,0)</f>
        <v>0</v>
      </c>
      <c r="AP697" s="78" t="str">
        <f aca="false">IF(AO697=1,SUM(AO$7:AO697),"")</f>
        <v/>
      </c>
    </row>
    <row r="698" customFormat="false" ht="15" hidden="false" customHeight="false" outlineLevel="0" collapsed="false">
      <c r="A698" s="78" t="str">
        <f aca="false">IF(E698="","",ROW()-6)</f>
        <v/>
      </c>
      <c r="B698" s="79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1"/>
      <c r="Q698" s="81"/>
      <c r="R698" s="80"/>
      <c r="S698" s="80"/>
      <c r="T698" s="81"/>
      <c r="U698" s="80"/>
      <c r="V698" s="80"/>
      <c r="W698" s="80"/>
      <c r="X698" s="80"/>
      <c r="Y698" s="81"/>
      <c r="Z698" s="80"/>
      <c r="AA698" s="80"/>
      <c r="AB698" s="80"/>
      <c r="AC698" s="80"/>
      <c r="AD698" s="81"/>
      <c r="AE698" s="80"/>
      <c r="AF698" s="80"/>
      <c r="AG698" s="81"/>
      <c r="AH698" s="79"/>
      <c r="AI698" s="78" t="str">
        <f aca="false">IF(E698="","",(V698&lt;&gt;"")+(AA698&lt;&gt;"")+(AF698&lt;&gt;""))</f>
        <v/>
      </c>
      <c r="AJ698" s="82" t="str">
        <f aca="false">IF(AF698&lt;&gt;"",AF698,IF(AA698&lt;&gt;"",AA698,IF(V698&lt;&gt;"",V698,"")))</f>
        <v/>
      </c>
      <c r="AK698" s="83" t="str">
        <f aca="false">IF(E698="","",IF(P698="","À SOUDER",IF(S698="","VT EN ATTENTE",IF(S698="R","VT REJETÉ – À REPRENDRE",IF(AJ698="","À RADIOGRAPHIER",IF(AJ698="A","ACCEPTÉ",IF(AJ698="NX","NX – RT À REFAIRE",IF(IF(AI698=1,X698,IF(AI698=2,AC698,""))="A","RÉPARÉ – À RADIOGRAPHIER",IF(IF(AI698=1,X698,IF(AI698=2,AC698,""))="R","VT REJETÉ – À REPRENDRE",IF(AJ698="CO","COUPE – À RESOUDER","À RÉPARER"))))))))))</f>
        <v/>
      </c>
      <c r="AL698" s="82" t="str">
        <f aca="false">IF(AND(ISNUMBER(P698),OR(AK698="À RADIOGRAPHIER",AK698="RÉPARÉ – À RADIOGRAPHIER",AK698="NX – RT À REFAIRE",AK698="À RÉPARER",AK698="COUPE – À RESOUDER",AK698="VT REJETÉ – À REPRENDRE")),MAX(0,'PROGRAMME RT'!$C$4-P698),"")</f>
        <v/>
      </c>
      <c r="AM698" s="78" t="n">
        <f aca="false">IF(AND(OR(AK698="À RADIOGRAPHIER",AK698="RÉPARÉ – À RADIOGRAPHIER",AK698="NX – RT À REFAIRE"),OR('PROGRAMME RT'!$D$5="TOUTES",B698='PROGRAMME RT'!$D$5)),1,0)</f>
        <v>0</v>
      </c>
      <c r="AN698" s="78" t="str">
        <f aca="false">IF(AM698=1,SUM(AM$7:AM698),"")</f>
        <v/>
      </c>
      <c r="AO698" s="78" t="n">
        <f aca="false">IF(AND(OR(AK698="À RÉPARER",AK698="COUPE – À RESOUDER",AK698="VT REJETÉ – À REPRENDRE"),OR(RÉPARATIONS!$D$5="TOUTES",B698=RÉPARATIONS!$D$5)),1,0)</f>
        <v>0</v>
      </c>
      <c r="AP698" s="78" t="str">
        <f aca="false">IF(AO698=1,SUM(AO$7:AO698),"")</f>
        <v/>
      </c>
    </row>
    <row r="699" customFormat="false" ht="15" hidden="false" customHeight="false" outlineLevel="0" collapsed="false">
      <c r="A699" s="78" t="str">
        <f aca="false">IF(E699="","",ROW()-6)</f>
        <v/>
      </c>
      <c r="B699" s="79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1"/>
      <c r="Q699" s="81"/>
      <c r="R699" s="80"/>
      <c r="S699" s="80"/>
      <c r="T699" s="81"/>
      <c r="U699" s="80"/>
      <c r="V699" s="80"/>
      <c r="W699" s="80"/>
      <c r="X699" s="80"/>
      <c r="Y699" s="81"/>
      <c r="Z699" s="80"/>
      <c r="AA699" s="80"/>
      <c r="AB699" s="80"/>
      <c r="AC699" s="80"/>
      <c r="AD699" s="81"/>
      <c r="AE699" s="80"/>
      <c r="AF699" s="80"/>
      <c r="AG699" s="81"/>
      <c r="AH699" s="79"/>
      <c r="AI699" s="78" t="str">
        <f aca="false">IF(E699="","",(V699&lt;&gt;"")+(AA699&lt;&gt;"")+(AF699&lt;&gt;""))</f>
        <v/>
      </c>
      <c r="AJ699" s="82" t="str">
        <f aca="false">IF(AF699&lt;&gt;"",AF699,IF(AA699&lt;&gt;"",AA699,IF(V699&lt;&gt;"",V699,"")))</f>
        <v/>
      </c>
      <c r="AK699" s="83" t="str">
        <f aca="false">IF(E699="","",IF(P699="","À SOUDER",IF(S699="","VT EN ATTENTE",IF(S699="R","VT REJETÉ – À REPRENDRE",IF(AJ699="","À RADIOGRAPHIER",IF(AJ699="A","ACCEPTÉ",IF(AJ699="NX","NX – RT À REFAIRE",IF(IF(AI699=1,X699,IF(AI699=2,AC699,""))="A","RÉPARÉ – À RADIOGRAPHIER",IF(IF(AI699=1,X699,IF(AI699=2,AC699,""))="R","VT REJETÉ – À REPRENDRE",IF(AJ699="CO","COUPE – À RESOUDER","À RÉPARER"))))))))))</f>
        <v/>
      </c>
      <c r="AL699" s="82" t="str">
        <f aca="false">IF(AND(ISNUMBER(P699),OR(AK699="À RADIOGRAPHIER",AK699="RÉPARÉ – À RADIOGRAPHIER",AK699="NX – RT À REFAIRE",AK699="À RÉPARER",AK699="COUPE – À RESOUDER",AK699="VT REJETÉ – À REPRENDRE")),MAX(0,'PROGRAMME RT'!$C$4-P699),"")</f>
        <v/>
      </c>
      <c r="AM699" s="78" t="n">
        <f aca="false">IF(AND(OR(AK699="À RADIOGRAPHIER",AK699="RÉPARÉ – À RADIOGRAPHIER",AK699="NX – RT À REFAIRE"),OR('PROGRAMME RT'!$D$5="TOUTES",B699='PROGRAMME RT'!$D$5)),1,0)</f>
        <v>0</v>
      </c>
      <c r="AN699" s="78" t="str">
        <f aca="false">IF(AM699=1,SUM(AM$7:AM699),"")</f>
        <v/>
      </c>
      <c r="AO699" s="78" t="n">
        <f aca="false">IF(AND(OR(AK699="À RÉPARER",AK699="COUPE – À RESOUDER",AK699="VT REJETÉ – À REPRENDRE"),OR(RÉPARATIONS!$D$5="TOUTES",B699=RÉPARATIONS!$D$5)),1,0)</f>
        <v>0</v>
      </c>
      <c r="AP699" s="78" t="str">
        <f aca="false">IF(AO699=1,SUM(AO$7:AO699),"")</f>
        <v/>
      </c>
    </row>
    <row r="700" customFormat="false" ht="15" hidden="false" customHeight="false" outlineLevel="0" collapsed="false">
      <c r="A700" s="78" t="str">
        <f aca="false">IF(E700="","",ROW()-6)</f>
        <v/>
      </c>
      <c r="B700" s="79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1"/>
      <c r="Q700" s="81"/>
      <c r="R700" s="80"/>
      <c r="S700" s="80"/>
      <c r="T700" s="81"/>
      <c r="U700" s="80"/>
      <c r="V700" s="80"/>
      <c r="W700" s="80"/>
      <c r="X700" s="80"/>
      <c r="Y700" s="81"/>
      <c r="Z700" s="80"/>
      <c r="AA700" s="80"/>
      <c r="AB700" s="80"/>
      <c r="AC700" s="80"/>
      <c r="AD700" s="81"/>
      <c r="AE700" s="80"/>
      <c r="AF700" s="80"/>
      <c r="AG700" s="81"/>
      <c r="AH700" s="79"/>
      <c r="AI700" s="78" t="str">
        <f aca="false">IF(E700="","",(V700&lt;&gt;"")+(AA700&lt;&gt;"")+(AF700&lt;&gt;""))</f>
        <v/>
      </c>
      <c r="AJ700" s="82" t="str">
        <f aca="false">IF(AF700&lt;&gt;"",AF700,IF(AA700&lt;&gt;"",AA700,IF(V700&lt;&gt;"",V700,"")))</f>
        <v/>
      </c>
      <c r="AK700" s="83" t="str">
        <f aca="false">IF(E700="","",IF(P700="","À SOUDER",IF(S700="","VT EN ATTENTE",IF(S700="R","VT REJETÉ – À REPRENDRE",IF(AJ700="","À RADIOGRAPHIER",IF(AJ700="A","ACCEPTÉ",IF(AJ700="NX","NX – RT À REFAIRE",IF(IF(AI700=1,X700,IF(AI700=2,AC700,""))="A","RÉPARÉ – À RADIOGRAPHIER",IF(IF(AI700=1,X700,IF(AI700=2,AC700,""))="R","VT REJETÉ – À REPRENDRE",IF(AJ700="CO","COUPE – À RESOUDER","À RÉPARER"))))))))))</f>
        <v/>
      </c>
      <c r="AL700" s="82" t="str">
        <f aca="false">IF(AND(ISNUMBER(P700),OR(AK700="À RADIOGRAPHIER",AK700="RÉPARÉ – À RADIOGRAPHIER",AK700="NX – RT À REFAIRE",AK700="À RÉPARER",AK700="COUPE – À RESOUDER",AK700="VT REJETÉ – À REPRENDRE")),MAX(0,'PROGRAMME RT'!$C$4-P700),"")</f>
        <v/>
      </c>
      <c r="AM700" s="78" t="n">
        <f aca="false">IF(AND(OR(AK700="À RADIOGRAPHIER",AK700="RÉPARÉ – À RADIOGRAPHIER",AK700="NX – RT À REFAIRE"),OR('PROGRAMME RT'!$D$5="TOUTES",B700='PROGRAMME RT'!$D$5)),1,0)</f>
        <v>0</v>
      </c>
      <c r="AN700" s="78" t="str">
        <f aca="false">IF(AM700=1,SUM(AM$7:AM700),"")</f>
        <v/>
      </c>
      <c r="AO700" s="78" t="n">
        <f aca="false">IF(AND(OR(AK700="À RÉPARER",AK700="COUPE – À RESOUDER",AK700="VT REJETÉ – À REPRENDRE"),OR(RÉPARATIONS!$D$5="TOUTES",B700=RÉPARATIONS!$D$5)),1,0)</f>
        <v>0</v>
      </c>
      <c r="AP700" s="78" t="str">
        <f aca="false">IF(AO700=1,SUM(AO$7:AO700),"")</f>
        <v/>
      </c>
    </row>
    <row r="701" customFormat="false" ht="15" hidden="false" customHeight="false" outlineLevel="0" collapsed="false">
      <c r="A701" s="78" t="str">
        <f aca="false">IF(E701="","",ROW()-6)</f>
        <v/>
      </c>
      <c r="B701" s="79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1"/>
      <c r="Q701" s="81"/>
      <c r="R701" s="80"/>
      <c r="S701" s="80"/>
      <c r="T701" s="81"/>
      <c r="U701" s="80"/>
      <c r="V701" s="80"/>
      <c r="W701" s="80"/>
      <c r="X701" s="80"/>
      <c r="Y701" s="81"/>
      <c r="Z701" s="80"/>
      <c r="AA701" s="80"/>
      <c r="AB701" s="80"/>
      <c r="AC701" s="80"/>
      <c r="AD701" s="81"/>
      <c r="AE701" s="80"/>
      <c r="AF701" s="80"/>
      <c r="AG701" s="81"/>
      <c r="AH701" s="79"/>
      <c r="AI701" s="78" t="str">
        <f aca="false">IF(E701="","",(V701&lt;&gt;"")+(AA701&lt;&gt;"")+(AF701&lt;&gt;""))</f>
        <v/>
      </c>
      <c r="AJ701" s="82" t="str">
        <f aca="false">IF(AF701&lt;&gt;"",AF701,IF(AA701&lt;&gt;"",AA701,IF(V701&lt;&gt;"",V701,"")))</f>
        <v/>
      </c>
      <c r="AK701" s="83" t="str">
        <f aca="false">IF(E701="","",IF(P701="","À SOUDER",IF(S701="","VT EN ATTENTE",IF(S701="R","VT REJETÉ – À REPRENDRE",IF(AJ701="","À RADIOGRAPHIER",IF(AJ701="A","ACCEPTÉ",IF(AJ701="NX","NX – RT À REFAIRE",IF(IF(AI701=1,X701,IF(AI701=2,AC701,""))="A","RÉPARÉ – À RADIOGRAPHIER",IF(IF(AI701=1,X701,IF(AI701=2,AC701,""))="R","VT REJETÉ – À REPRENDRE",IF(AJ701="CO","COUPE – À RESOUDER","À RÉPARER"))))))))))</f>
        <v/>
      </c>
      <c r="AL701" s="82" t="str">
        <f aca="false">IF(AND(ISNUMBER(P701),OR(AK701="À RADIOGRAPHIER",AK701="RÉPARÉ – À RADIOGRAPHIER",AK701="NX – RT À REFAIRE",AK701="À RÉPARER",AK701="COUPE – À RESOUDER",AK701="VT REJETÉ – À REPRENDRE")),MAX(0,'PROGRAMME RT'!$C$4-P701),"")</f>
        <v/>
      </c>
      <c r="AM701" s="78" t="n">
        <f aca="false">IF(AND(OR(AK701="À RADIOGRAPHIER",AK701="RÉPARÉ – À RADIOGRAPHIER",AK701="NX – RT À REFAIRE"),OR('PROGRAMME RT'!$D$5="TOUTES",B701='PROGRAMME RT'!$D$5)),1,0)</f>
        <v>0</v>
      </c>
      <c r="AN701" s="78" t="str">
        <f aca="false">IF(AM701=1,SUM(AM$7:AM701),"")</f>
        <v/>
      </c>
      <c r="AO701" s="78" t="n">
        <f aca="false">IF(AND(OR(AK701="À RÉPARER",AK701="COUPE – À RESOUDER",AK701="VT REJETÉ – À REPRENDRE"),OR(RÉPARATIONS!$D$5="TOUTES",B701=RÉPARATIONS!$D$5)),1,0)</f>
        <v>0</v>
      </c>
      <c r="AP701" s="78" t="str">
        <f aca="false">IF(AO701=1,SUM(AO$7:AO701),"")</f>
        <v/>
      </c>
    </row>
    <row r="702" customFormat="false" ht="15" hidden="false" customHeight="false" outlineLevel="0" collapsed="false">
      <c r="A702" s="78" t="str">
        <f aca="false">IF(E702="","",ROW()-6)</f>
        <v/>
      </c>
      <c r="B702" s="79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1"/>
      <c r="Q702" s="81"/>
      <c r="R702" s="80"/>
      <c r="S702" s="80"/>
      <c r="T702" s="81"/>
      <c r="U702" s="80"/>
      <c r="V702" s="80"/>
      <c r="W702" s="80"/>
      <c r="X702" s="80"/>
      <c r="Y702" s="81"/>
      <c r="Z702" s="80"/>
      <c r="AA702" s="80"/>
      <c r="AB702" s="80"/>
      <c r="AC702" s="80"/>
      <c r="AD702" s="81"/>
      <c r="AE702" s="80"/>
      <c r="AF702" s="80"/>
      <c r="AG702" s="81"/>
      <c r="AH702" s="79"/>
      <c r="AI702" s="78" t="str">
        <f aca="false">IF(E702="","",(V702&lt;&gt;"")+(AA702&lt;&gt;"")+(AF702&lt;&gt;""))</f>
        <v/>
      </c>
      <c r="AJ702" s="82" t="str">
        <f aca="false">IF(AF702&lt;&gt;"",AF702,IF(AA702&lt;&gt;"",AA702,IF(V702&lt;&gt;"",V702,"")))</f>
        <v/>
      </c>
      <c r="AK702" s="83" t="str">
        <f aca="false">IF(E702="","",IF(P702="","À SOUDER",IF(S702="","VT EN ATTENTE",IF(S702="R","VT REJETÉ – À REPRENDRE",IF(AJ702="","À RADIOGRAPHIER",IF(AJ702="A","ACCEPTÉ",IF(AJ702="NX","NX – RT À REFAIRE",IF(IF(AI702=1,X702,IF(AI702=2,AC702,""))="A","RÉPARÉ – À RADIOGRAPHIER",IF(IF(AI702=1,X702,IF(AI702=2,AC702,""))="R","VT REJETÉ – À REPRENDRE",IF(AJ702="CO","COUPE – À RESOUDER","À RÉPARER"))))))))))</f>
        <v/>
      </c>
      <c r="AL702" s="82" t="str">
        <f aca="false">IF(AND(ISNUMBER(P702),OR(AK702="À RADIOGRAPHIER",AK702="RÉPARÉ – À RADIOGRAPHIER",AK702="NX – RT À REFAIRE",AK702="À RÉPARER",AK702="COUPE – À RESOUDER",AK702="VT REJETÉ – À REPRENDRE")),MAX(0,'PROGRAMME RT'!$C$4-P702),"")</f>
        <v/>
      </c>
      <c r="AM702" s="78" t="n">
        <f aca="false">IF(AND(OR(AK702="À RADIOGRAPHIER",AK702="RÉPARÉ – À RADIOGRAPHIER",AK702="NX – RT À REFAIRE"),OR('PROGRAMME RT'!$D$5="TOUTES",B702='PROGRAMME RT'!$D$5)),1,0)</f>
        <v>0</v>
      </c>
      <c r="AN702" s="78" t="str">
        <f aca="false">IF(AM702=1,SUM(AM$7:AM702),"")</f>
        <v/>
      </c>
      <c r="AO702" s="78" t="n">
        <f aca="false">IF(AND(OR(AK702="À RÉPARER",AK702="COUPE – À RESOUDER",AK702="VT REJETÉ – À REPRENDRE"),OR(RÉPARATIONS!$D$5="TOUTES",B702=RÉPARATIONS!$D$5)),1,0)</f>
        <v>0</v>
      </c>
      <c r="AP702" s="78" t="str">
        <f aca="false">IF(AO702=1,SUM(AO$7:AO702),"")</f>
        <v/>
      </c>
    </row>
    <row r="703" customFormat="false" ht="15" hidden="false" customHeight="false" outlineLevel="0" collapsed="false">
      <c r="A703" s="78" t="str">
        <f aca="false">IF(E703="","",ROW()-6)</f>
        <v/>
      </c>
      <c r="B703" s="79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1"/>
      <c r="Q703" s="81"/>
      <c r="R703" s="80"/>
      <c r="S703" s="80"/>
      <c r="T703" s="81"/>
      <c r="U703" s="80"/>
      <c r="V703" s="80"/>
      <c r="W703" s="80"/>
      <c r="X703" s="80"/>
      <c r="Y703" s="81"/>
      <c r="Z703" s="80"/>
      <c r="AA703" s="80"/>
      <c r="AB703" s="80"/>
      <c r="AC703" s="80"/>
      <c r="AD703" s="81"/>
      <c r="AE703" s="80"/>
      <c r="AF703" s="80"/>
      <c r="AG703" s="81"/>
      <c r="AH703" s="79"/>
      <c r="AI703" s="78" t="str">
        <f aca="false">IF(E703="","",(V703&lt;&gt;"")+(AA703&lt;&gt;"")+(AF703&lt;&gt;""))</f>
        <v/>
      </c>
      <c r="AJ703" s="82" t="str">
        <f aca="false">IF(AF703&lt;&gt;"",AF703,IF(AA703&lt;&gt;"",AA703,IF(V703&lt;&gt;"",V703,"")))</f>
        <v/>
      </c>
      <c r="AK703" s="83" t="str">
        <f aca="false">IF(E703="","",IF(P703="","À SOUDER",IF(S703="","VT EN ATTENTE",IF(S703="R","VT REJETÉ – À REPRENDRE",IF(AJ703="","À RADIOGRAPHIER",IF(AJ703="A","ACCEPTÉ",IF(AJ703="NX","NX – RT À REFAIRE",IF(IF(AI703=1,X703,IF(AI703=2,AC703,""))="A","RÉPARÉ – À RADIOGRAPHIER",IF(IF(AI703=1,X703,IF(AI703=2,AC703,""))="R","VT REJETÉ – À REPRENDRE",IF(AJ703="CO","COUPE – À RESOUDER","À RÉPARER"))))))))))</f>
        <v/>
      </c>
      <c r="AL703" s="82" t="str">
        <f aca="false">IF(AND(ISNUMBER(P703),OR(AK703="À RADIOGRAPHIER",AK703="RÉPARÉ – À RADIOGRAPHIER",AK703="NX – RT À REFAIRE",AK703="À RÉPARER",AK703="COUPE – À RESOUDER",AK703="VT REJETÉ – À REPRENDRE")),MAX(0,'PROGRAMME RT'!$C$4-P703),"")</f>
        <v/>
      </c>
      <c r="AM703" s="78" t="n">
        <f aca="false">IF(AND(OR(AK703="À RADIOGRAPHIER",AK703="RÉPARÉ – À RADIOGRAPHIER",AK703="NX – RT À REFAIRE"),OR('PROGRAMME RT'!$D$5="TOUTES",B703='PROGRAMME RT'!$D$5)),1,0)</f>
        <v>0</v>
      </c>
      <c r="AN703" s="78" t="str">
        <f aca="false">IF(AM703=1,SUM(AM$7:AM703),"")</f>
        <v/>
      </c>
      <c r="AO703" s="78" t="n">
        <f aca="false">IF(AND(OR(AK703="À RÉPARER",AK703="COUPE – À RESOUDER",AK703="VT REJETÉ – À REPRENDRE"),OR(RÉPARATIONS!$D$5="TOUTES",B703=RÉPARATIONS!$D$5)),1,0)</f>
        <v>0</v>
      </c>
      <c r="AP703" s="78" t="str">
        <f aca="false">IF(AO703=1,SUM(AO$7:AO703),"")</f>
        <v/>
      </c>
    </row>
    <row r="704" customFormat="false" ht="15" hidden="false" customHeight="false" outlineLevel="0" collapsed="false">
      <c r="A704" s="78" t="str">
        <f aca="false">IF(E704="","",ROW()-6)</f>
        <v/>
      </c>
      <c r="B704" s="79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1"/>
      <c r="Q704" s="81"/>
      <c r="R704" s="80"/>
      <c r="S704" s="80"/>
      <c r="T704" s="81"/>
      <c r="U704" s="80"/>
      <c r="V704" s="80"/>
      <c r="W704" s="80"/>
      <c r="X704" s="80"/>
      <c r="Y704" s="81"/>
      <c r="Z704" s="80"/>
      <c r="AA704" s="80"/>
      <c r="AB704" s="80"/>
      <c r="AC704" s="80"/>
      <c r="AD704" s="81"/>
      <c r="AE704" s="80"/>
      <c r="AF704" s="80"/>
      <c r="AG704" s="81"/>
      <c r="AH704" s="79"/>
      <c r="AI704" s="78" t="str">
        <f aca="false">IF(E704="","",(V704&lt;&gt;"")+(AA704&lt;&gt;"")+(AF704&lt;&gt;""))</f>
        <v/>
      </c>
      <c r="AJ704" s="82" t="str">
        <f aca="false">IF(AF704&lt;&gt;"",AF704,IF(AA704&lt;&gt;"",AA704,IF(V704&lt;&gt;"",V704,"")))</f>
        <v/>
      </c>
      <c r="AK704" s="83" t="str">
        <f aca="false">IF(E704="","",IF(P704="","À SOUDER",IF(S704="","VT EN ATTENTE",IF(S704="R","VT REJETÉ – À REPRENDRE",IF(AJ704="","À RADIOGRAPHIER",IF(AJ704="A","ACCEPTÉ",IF(AJ704="NX","NX – RT À REFAIRE",IF(IF(AI704=1,X704,IF(AI704=2,AC704,""))="A","RÉPARÉ – À RADIOGRAPHIER",IF(IF(AI704=1,X704,IF(AI704=2,AC704,""))="R","VT REJETÉ – À REPRENDRE",IF(AJ704="CO","COUPE – À RESOUDER","À RÉPARER"))))))))))</f>
        <v/>
      </c>
      <c r="AL704" s="82" t="str">
        <f aca="false">IF(AND(ISNUMBER(P704),OR(AK704="À RADIOGRAPHIER",AK704="RÉPARÉ – À RADIOGRAPHIER",AK704="NX – RT À REFAIRE",AK704="À RÉPARER",AK704="COUPE – À RESOUDER",AK704="VT REJETÉ – À REPRENDRE")),MAX(0,'PROGRAMME RT'!$C$4-P704),"")</f>
        <v/>
      </c>
      <c r="AM704" s="78" t="n">
        <f aca="false">IF(AND(OR(AK704="À RADIOGRAPHIER",AK704="RÉPARÉ – À RADIOGRAPHIER",AK704="NX – RT À REFAIRE"),OR('PROGRAMME RT'!$D$5="TOUTES",B704='PROGRAMME RT'!$D$5)),1,0)</f>
        <v>0</v>
      </c>
      <c r="AN704" s="78" t="str">
        <f aca="false">IF(AM704=1,SUM(AM$7:AM704),"")</f>
        <v/>
      </c>
      <c r="AO704" s="78" t="n">
        <f aca="false">IF(AND(OR(AK704="À RÉPARER",AK704="COUPE – À RESOUDER",AK704="VT REJETÉ – À REPRENDRE"),OR(RÉPARATIONS!$D$5="TOUTES",B704=RÉPARATIONS!$D$5)),1,0)</f>
        <v>0</v>
      </c>
      <c r="AP704" s="78" t="str">
        <f aca="false">IF(AO704=1,SUM(AO$7:AO704),"")</f>
        <v/>
      </c>
    </row>
    <row r="705" customFormat="false" ht="15" hidden="false" customHeight="false" outlineLevel="0" collapsed="false">
      <c r="A705" s="78" t="str">
        <f aca="false">IF(E705="","",ROW()-6)</f>
        <v/>
      </c>
      <c r="B705" s="79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1"/>
      <c r="Q705" s="81"/>
      <c r="R705" s="80"/>
      <c r="S705" s="80"/>
      <c r="T705" s="81"/>
      <c r="U705" s="80"/>
      <c r="V705" s="80"/>
      <c r="W705" s="80"/>
      <c r="X705" s="80"/>
      <c r="Y705" s="81"/>
      <c r="Z705" s="80"/>
      <c r="AA705" s="80"/>
      <c r="AB705" s="80"/>
      <c r="AC705" s="80"/>
      <c r="AD705" s="81"/>
      <c r="AE705" s="80"/>
      <c r="AF705" s="80"/>
      <c r="AG705" s="81"/>
      <c r="AH705" s="79"/>
      <c r="AI705" s="78" t="str">
        <f aca="false">IF(E705="","",(V705&lt;&gt;"")+(AA705&lt;&gt;"")+(AF705&lt;&gt;""))</f>
        <v/>
      </c>
      <c r="AJ705" s="82" t="str">
        <f aca="false">IF(AF705&lt;&gt;"",AF705,IF(AA705&lt;&gt;"",AA705,IF(V705&lt;&gt;"",V705,"")))</f>
        <v/>
      </c>
      <c r="AK705" s="83" t="str">
        <f aca="false">IF(E705="","",IF(P705="","À SOUDER",IF(S705="","VT EN ATTENTE",IF(S705="R","VT REJETÉ – À REPRENDRE",IF(AJ705="","À RADIOGRAPHIER",IF(AJ705="A","ACCEPTÉ",IF(AJ705="NX","NX – RT À REFAIRE",IF(IF(AI705=1,X705,IF(AI705=2,AC705,""))="A","RÉPARÉ – À RADIOGRAPHIER",IF(IF(AI705=1,X705,IF(AI705=2,AC705,""))="R","VT REJETÉ – À REPRENDRE",IF(AJ705="CO","COUPE – À RESOUDER","À RÉPARER"))))))))))</f>
        <v/>
      </c>
      <c r="AL705" s="82" t="str">
        <f aca="false">IF(AND(ISNUMBER(P705),OR(AK705="À RADIOGRAPHIER",AK705="RÉPARÉ – À RADIOGRAPHIER",AK705="NX – RT À REFAIRE",AK705="À RÉPARER",AK705="COUPE – À RESOUDER",AK705="VT REJETÉ – À REPRENDRE")),MAX(0,'PROGRAMME RT'!$C$4-P705),"")</f>
        <v/>
      </c>
      <c r="AM705" s="78" t="n">
        <f aca="false">IF(AND(OR(AK705="À RADIOGRAPHIER",AK705="RÉPARÉ – À RADIOGRAPHIER",AK705="NX – RT À REFAIRE"),OR('PROGRAMME RT'!$D$5="TOUTES",B705='PROGRAMME RT'!$D$5)),1,0)</f>
        <v>0</v>
      </c>
      <c r="AN705" s="78" t="str">
        <f aca="false">IF(AM705=1,SUM(AM$7:AM705),"")</f>
        <v/>
      </c>
      <c r="AO705" s="78" t="n">
        <f aca="false">IF(AND(OR(AK705="À RÉPARER",AK705="COUPE – À RESOUDER",AK705="VT REJETÉ – À REPRENDRE"),OR(RÉPARATIONS!$D$5="TOUTES",B705=RÉPARATIONS!$D$5)),1,0)</f>
        <v>0</v>
      </c>
      <c r="AP705" s="78" t="str">
        <f aca="false">IF(AO705=1,SUM(AO$7:AO705),"")</f>
        <v/>
      </c>
    </row>
    <row r="706" customFormat="false" ht="15" hidden="false" customHeight="false" outlineLevel="0" collapsed="false">
      <c r="A706" s="78" t="str">
        <f aca="false">IF(E706="","",ROW()-6)</f>
        <v/>
      </c>
      <c r="B706" s="79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1"/>
      <c r="Q706" s="81"/>
      <c r="R706" s="80"/>
      <c r="S706" s="80"/>
      <c r="T706" s="81"/>
      <c r="U706" s="80"/>
      <c r="V706" s="80"/>
      <c r="W706" s="80"/>
      <c r="X706" s="80"/>
      <c r="Y706" s="81"/>
      <c r="Z706" s="80"/>
      <c r="AA706" s="80"/>
      <c r="AB706" s="80"/>
      <c r="AC706" s="80"/>
      <c r="AD706" s="81"/>
      <c r="AE706" s="80"/>
      <c r="AF706" s="80"/>
      <c r="AG706" s="81"/>
      <c r="AH706" s="79"/>
      <c r="AI706" s="78" t="str">
        <f aca="false">IF(E706="","",(V706&lt;&gt;"")+(AA706&lt;&gt;"")+(AF706&lt;&gt;""))</f>
        <v/>
      </c>
      <c r="AJ706" s="82" t="str">
        <f aca="false">IF(AF706&lt;&gt;"",AF706,IF(AA706&lt;&gt;"",AA706,IF(V706&lt;&gt;"",V706,"")))</f>
        <v/>
      </c>
      <c r="AK706" s="83" t="str">
        <f aca="false">IF(E706="","",IF(P706="","À SOUDER",IF(S706="","VT EN ATTENTE",IF(S706="R","VT REJETÉ – À REPRENDRE",IF(AJ706="","À RADIOGRAPHIER",IF(AJ706="A","ACCEPTÉ",IF(AJ706="NX","NX – RT À REFAIRE",IF(IF(AI706=1,X706,IF(AI706=2,AC706,""))="A","RÉPARÉ – À RADIOGRAPHIER",IF(IF(AI706=1,X706,IF(AI706=2,AC706,""))="R","VT REJETÉ – À REPRENDRE",IF(AJ706="CO","COUPE – À RESOUDER","À RÉPARER"))))))))))</f>
        <v/>
      </c>
      <c r="AL706" s="82" t="str">
        <f aca="false">IF(AND(ISNUMBER(P706),OR(AK706="À RADIOGRAPHIER",AK706="RÉPARÉ – À RADIOGRAPHIER",AK706="NX – RT À REFAIRE",AK706="À RÉPARER",AK706="COUPE – À RESOUDER",AK706="VT REJETÉ – À REPRENDRE")),MAX(0,'PROGRAMME RT'!$C$4-P706),"")</f>
        <v/>
      </c>
      <c r="AM706" s="78" t="n">
        <f aca="false">IF(AND(OR(AK706="À RADIOGRAPHIER",AK706="RÉPARÉ – À RADIOGRAPHIER",AK706="NX – RT À REFAIRE"),OR('PROGRAMME RT'!$D$5="TOUTES",B706='PROGRAMME RT'!$D$5)),1,0)</f>
        <v>0</v>
      </c>
      <c r="AN706" s="78" t="str">
        <f aca="false">IF(AM706=1,SUM(AM$7:AM706),"")</f>
        <v/>
      </c>
      <c r="AO706" s="78" t="n">
        <f aca="false">IF(AND(OR(AK706="À RÉPARER",AK706="COUPE – À RESOUDER",AK706="VT REJETÉ – À REPRENDRE"),OR(RÉPARATIONS!$D$5="TOUTES",B706=RÉPARATIONS!$D$5)),1,0)</f>
        <v>0</v>
      </c>
      <c r="AP706" s="78" t="str">
        <f aca="false">IF(AO706=1,SUM(AO$7:AO706),"")</f>
        <v/>
      </c>
    </row>
    <row r="707" customFormat="false" ht="15" hidden="false" customHeight="false" outlineLevel="0" collapsed="false">
      <c r="A707" s="78" t="str">
        <f aca="false">IF(E707="","",ROW()-6)</f>
        <v/>
      </c>
      <c r="B707" s="79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1"/>
      <c r="Q707" s="81"/>
      <c r="R707" s="80"/>
      <c r="S707" s="80"/>
      <c r="T707" s="81"/>
      <c r="U707" s="80"/>
      <c r="V707" s="80"/>
      <c r="W707" s="80"/>
      <c r="X707" s="80"/>
      <c r="Y707" s="81"/>
      <c r="Z707" s="80"/>
      <c r="AA707" s="80"/>
      <c r="AB707" s="80"/>
      <c r="AC707" s="80"/>
      <c r="AD707" s="81"/>
      <c r="AE707" s="80"/>
      <c r="AF707" s="80"/>
      <c r="AG707" s="81"/>
      <c r="AH707" s="79"/>
      <c r="AI707" s="78" t="str">
        <f aca="false">IF(E707="","",(V707&lt;&gt;"")+(AA707&lt;&gt;"")+(AF707&lt;&gt;""))</f>
        <v/>
      </c>
      <c r="AJ707" s="82" t="str">
        <f aca="false">IF(AF707&lt;&gt;"",AF707,IF(AA707&lt;&gt;"",AA707,IF(V707&lt;&gt;"",V707,"")))</f>
        <v/>
      </c>
      <c r="AK707" s="83" t="str">
        <f aca="false">IF(E707="","",IF(P707="","À SOUDER",IF(S707="","VT EN ATTENTE",IF(S707="R","VT REJETÉ – À REPRENDRE",IF(AJ707="","À RADIOGRAPHIER",IF(AJ707="A","ACCEPTÉ",IF(AJ707="NX","NX – RT À REFAIRE",IF(IF(AI707=1,X707,IF(AI707=2,AC707,""))="A","RÉPARÉ – À RADIOGRAPHIER",IF(IF(AI707=1,X707,IF(AI707=2,AC707,""))="R","VT REJETÉ – À REPRENDRE",IF(AJ707="CO","COUPE – À RESOUDER","À RÉPARER"))))))))))</f>
        <v/>
      </c>
      <c r="AL707" s="82" t="str">
        <f aca="false">IF(AND(ISNUMBER(P707),OR(AK707="À RADIOGRAPHIER",AK707="RÉPARÉ – À RADIOGRAPHIER",AK707="NX – RT À REFAIRE",AK707="À RÉPARER",AK707="COUPE – À RESOUDER",AK707="VT REJETÉ – À REPRENDRE")),MAX(0,'PROGRAMME RT'!$C$4-P707),"")</f>
        <v/>
      </c>
      <c r="AM707" s="78" t="n">
        <f aca="false">IF(AND(OR(AK707="À RADIOGRAPHIER",AK707="RÉPARÉ – À RADIOGRAPHIER",AK707="NX – RT À REFAIRE"),OR('PROGRAMME RT'!$D$5="TOUTES",B707='PROGRAMME RT'!$D$5)),1,0)</f>
        <v>0</v>
      </c>
      <c r="AN707" s="78" t="str">
        <f aca="false">IF(AM707=1,SUM(AM$7:AM707),"")</f>
        <v/>
      </c>
      <c r="AO707" s="78" t="n">
        <f aca="false">IF(AND(OR(AK707="À RÉPARER",AK707="COUPE – À RESOUDER",AK707="VT REJETÉ – À REPRENDRE"),OR(RÉPARATIONS!$D$5="TOUTES",B707=RÉPARATIONS!$D$5)),1,0)</f>
        <v>0</v>
      </c>
      <c r="AP707" s="78" t="str">
        <f aca="false">IF(AO707=1,SUM(AO$7:AO707),"")</f>
        <v/>
      </c>
    </row>
    <row r="708" customFormat="false" ht="15" hidden="false" customHeight="false" outlineLevel="0" collapsed="false">
      <c r="A708" s="78" t="str">
        <f aca="false">IF(E708="","",ROW()-6)</f>
        <v/>
      </c>
      <c r="B708" s="79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1"/>
      <c r="Q708" s="81"/>
      <c r="R708" s="80"/>
      <c r="S708" s="80"/>
      <c r="T708" s="81"/>
      <c r="U708" s="80"/>
      <c r="V708" s="80"/>
      <c r="W708" s="80"/>
      <c r="X708" s="80"/>
      <c r="Y708" s="81"/>
      <c r="Z708" s="80"/>
      <c r="AA708" s="80"/>
      <c r="AB708" s="80"/>
      <c r="AC708" s="80"/>
      <c r="AD708" s="81"/>
      <c r="AE708" s="80"/>
      <c r="AF708" s="80"/>
      <c r="AG708" s="81"/>
      <c r="AH708" s="79"/>
      <c r="AI708" s="78" t="str">
        <f aca="false">IF(E708="","",(V708&lt;&gt;"")+(AA708&lt;&gt;"")+(AF708&lt;&gt;""))</f>
        <v/>
      </c>
      <c r="AJ708" s="82" t="str">
        <f aca="false">IF(AF708&lt;&gt;"",AF708,IF(AA708&lt;&gt;"",AA708,IF(V708&lt;&gt;"",V708,"")))</f>
        <v/>
      </c>
      <c r="AK708" s="83" t="str">
        <f aca="false">IF(E708="","",IF(P708="","À SOUDER",IF(S708="","VT EN ATTENTE",IF(S708="R","VT REJETÉ – À REPRENDRE",IF(AJ708="","À RADIOGRAPHIER",IF(AJ708="A","ACCEPTÉ",IF(AJ708="NX","NX – RT À REFAIRE",IF(IF(AI708=1,X708,IF(AI708=2,AC708,""))="A","RÉPARÉ – À RADIOGRAPHIER",IF(IF(AI708=1,X708,IF(AI708=2,AC708,""))="R","VT REJETÉ – À REPRENDRE",IF(AJ708="CO","COUPE – À RESOUDER","À RÉPARER"))))))))))</f>
        <v/>
      </c>
      <c r="AL708" s="82" t="str">
        <f aca="false">IF(AND(ISNUMBER(P708),OR(AK708="À RADIOGRAPHIER",AK708="RÉPARÉ – À RADIOGRAPHIER",AK708="NX – RT À REFAIRE",AK708="À RÉPARER",AK708="COUPE – À RESOUDER",AK708="VT REJETÉ – À REPRENDRE")),MAX(0,'PROGRAMME RT'!$C$4-P708),"")</f>
        <v/>
      </c>
      <c r="AM708" s="78" t="n">
        <f aca="false">IF(AND(OR(AK708="À RADIOGRAPHIER",AK708="RÉPARÉ – À RADIOGRAPHIER",AK708="NX – RT À REFAIRE"),OR('PROGRAMME RT'!$D$5="TOUTES",B708='PROGRAMME RT'!$D$5)),1,0)</f>
        <v>0</v>
      </c>
      <c r="AN708" s="78" t="str">
        <f aca="false">IF(AM708=1,SUM(AM$7:AM708),"")</f>
        <v/>
      </c>
      <c r="AO708" s="78" t="n">
        <f aca="false">IF(AND(OR(AK708="À RÉPARER",AK708="COUPE – À RESOUDER",AK708="VT REJETÉ – À REPRENDRE"),OR(RÉPARATIONS!$D$5="TOUTES",B708=RÉPARATIONS!$D$5)),1,0)</f>
        <v>0</v>
      </c>
      <c r="AP708" s="78" t="str">
        <f aca="false">IF(AO708=1,SUM(AO$7:AO708),"")</f>
        <v/>
      </c>
    </row>
    <row r="709" customFormat="false" ht="15" hidden="false" customHeight="false" outlineLevel="0" collapsed="false">
      <c r="A709" s="78" t="str">
        <f aca="false">IF(E709="","",ROW()-6)</f>
        <v/>
      </c>
      <c r="B709" s="79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1"/>
      <c r="Q709" s="81"/>
      <c r="R709" s="80"/>
      <c r="S709" s="80"/>
      <c r="T709" s="81"/>
      <c r="U709" s="80"/>
      <c r="V709" s="80"/>
      <c r="W709" s="80"/>
      <c r="X709" s="80"/>
      <c r="Y709" s="81"/>
      <c r="Z709" s="80"/>
      <c r="AA709" s="80"/>
      <c r="AB709" s="80"/>
      <c r="AC709" s="80"/>
      <c r="AD709" s="81"/>
      <c r="AE709" s="80"/>
      <c r="AF709" s="80"/>
      <c r="AG709" s="81"/>
      <c r="AH709" s="79"/>
      <c r="AI709" s="78" t="str">
        <f aca="false">IF(E709="","",(V709&lt;&gt;"")+(AA709&lt;&gt;"")+(AF709&lt;&gt;""))</f>
        <v/>
      </c>
      <c r="AJ709" s="82" t="str">
        <f aca="false">IF(AF709&lt;&gt;"",AF709,IF(AA709&lt;&gt;"",AA709,IF(V709&lt;&gt;"",V709,"")))</f>
        <v/>
      </c>
      <c r="AK709" s="83" t="str">
        <f aca="false">IF(E709="","",IF(P709="","À SOUDER",IF(S709="","VT EN ATTENTE",IF(S709="R","VT REJETÉ – À REPRENDRE",IF(AJ709="","À RADIOGRAPHIER",IF(AJ709="A","ACCEPTÉ",IF(AJ709="NX","NX – RT À REFAIRE",IF(IF(AI709=1,X709,IF(AI709=2,AC709,""))="A","RÉPARÉ – À RADIOGRAPHIER",IF(IF(AI709=1,X709,IF(AI709=2,AC709,""))="R","VT REJETÉ – À REPRENDRE",IF(AJ709="CO","COUPE – À RESOUDER","À RÉPARER"))))))))))</f>
        <v/>
      </c>
      <c r="AL709" s="82" t="str">
        <f aca="false">IF(AND(ISNUMBER(P709),OR(AK709="À RADIOGRAPHIER",AK709="RÉPARÉ – À RADIOGRAPHIER",AK709="NX – RT À REFAIRE",AK709="À RÉPARER",AK709="COUPE – À RESOUDER",AK709="VT REJETÉ – À REPRENDRE")),MAX(0,'PROGRAMME RT'!$C$4-P709),"")</f>
        <v/>
      </c>
      <c r="AM709" s="78" t="n">
        <f aca="false">IF(AND(OR(AK709="À RADIOGRAPHIER",AK709="RÉPARÉ – À RADIOGRAPHIER",AK709="NX – RT À REFAIRE"),OR('PROGRAMME RT'!$D$5="TOUTES",B709='PROGRAMME RT'!$D$5)),1,0)</f>
        <v>0</v>
      </c>
      <c r="AN709" s="78" t="str">
        <f aca="false">IF(AM709=1,SUM(AM$7:AM709),"")</f>
        <v/>
      </c>
      <c r="AO709" s="78" t="n">
        <f aca="false">IF(AND(OR(AK709="À RÉPARER",AK709="COUPE – À RESOUDER",AK709="VT REJETÉ – À REPRENDRE"),OR(RÉPARATIONS!$D$5="TOUTES",B709=RÉPARATIONS!$D$5)),1,0)</f>
        <v>0</v>
      </c>
      <c r="AP709" s="78" t="str">
        <f aca="false">IF(AO709=1,SUM(AO$7:AO709),"")</f>
        <v/>
      </c>
    </row>
    <row r="710" customFormat="false" ht="15" hidden="false" customHeight="false" outlineLevel="0" collapsed="false">
      <c r="A710" s="78" t="str">
        <f aca="false">IF(E710="","",ROW()-6)</f>
        <v/>
      </c>
      <c r="B710" s="79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1"/>
      <c r="Q710" s="81"/>
      <c r="R710" s="80"/>
      <c r="S710" s="80"/>
      <c r="T710" s="81"/>
      <c r="U710" s="80"/>
      <c r="V710" s="80"/>
      <c r="W710" s="80"/>
      <c r="X710" s="80"/>
      <c r="Y710" s="81"/>
      <c r="Z710" s="80"/>
      <c r="AA710" s="80"/>
      <c r="AB710" s="80"/>
      <c r="AC710" s="80"/>
      <c r="AD710" s="81"/>
      <c r="AE710" s="80"/>
      <c r="AF710" s="80"/>
      <c r="AG710" s="81"/>
      <c r="AH710" s="79"/>
      <c r="AI710" s="78" t="str">
        <f aca="false">IF(E710="","",(V710&lt;&gt;"")+(AA710&lt;&gt;"")+(AF710&lt;&gt;""))</f>
        <v/>
      </c>
      <c r="AJ710" s="82" t="str">
        <f aca="false">IF(AF710&lt;&gt;"",AF710,IF(AA710&lt;&gt;"",AA710,IF(V710&lt;&gt;"",V710,"")))</f>
        <v/>
      </c>
      <c r="AK710" s="83" t="str">
        <f aca="false">IF(E710="","",IF(P710="","À SOUDER",IF(S710="","VT EN ATTENTE",IF(S710="R","VT REJETÉ – À REPRENDRE",IF(AJ710="","À RADIOGRAPHIER",IF(AJ710="A","ACCEPTÉ",IF(AJ710="NX","NX – RT À REFAIRE",IF(IF(AI710=1,X710,IF(AI710=2,AC710,""))="A","RÉPARÉ – À RADIOGRAPHIER",IF(IF(AI710=1,X710,IF(AI710=2,AC710,""))="R","VT REJETÉ – À REPRENDRE",IF(AJ710="CO","COUPE – À RESOUDER","À RÉPARER"))))))))))</f>
        <v/>
      </c>
      <c r="AL710" s="82" t="str">
        <f aca="false">IF(AND(ISNUMBER(P710),OR(AK710="À RADIOGRAPHIER",AK710="RÉPARÉ – À RADIOGRAPHIER",AK710="NX – RT À REFAIRE",AK710="À RÉPARER",AK710="COUPE – À RESOUDER",AK710="VT REJETÉ – À REPRENDRE")),MAX(0,'PROGRAMME RT'!$C$4-P710),"")</f>
        <v/>
      </c>
      <c r="AM710" s="78" t="n">
        <f aca="false">IF(AND(OR(AK710="À RADIOGRAPHIER",AK710="RÉPARÉ – À RADIOGRAPHIER",AK710="NX – RT À REFAIRE"),OR('PROGRAMME RT'!$D$5="TOUTES",B710='PROGRAMME RT'!$D$5)),1,0)</f>
        <v>0</v>
      </c>
      <c r="AN710" s="78" t="str">
        <f aca="false">IF(AM710=1,SUM(AM$7:AM710),"")</f>
        <v/>
      </c>
      <c r="AO710" s="78" t="n">
        <f aca="false">IF(AND(OR(AK710="À RÉPARER",AK710="COUPE – À RESOUDER",AK710="VT REJETÉ – À REPRENDRE"),OR(RÉPARATIONS!$D$5="TOUTES",B710=RÉPARATIONS!$D$5)),1,0)</f>
        <v>0</v>
      </c>
      <c r="AP710" s="78" t="str">
        <f aca="false">IF(AO710=1,SUM(AO$7:AO710),"")</f>
        <v/>
      </c>
    </row>
    <row r="711" customFormat="false" ht="15" hidden="false" customHeight="false" outlineLevel="0" collapsed="false">
      <c r="A711" s="78" t="str">
        <f aca="false">IF(E711="","",ROW()-6)</f>
        <v/>
      </c>
      <c r="B711" s="79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1"/>
      <c r="Q711" s="81"/>
      <c r="R711" s="80"/>
      <c r="S711" s="80"/>
      <c r="T711" s="81"/>
      <c r="U711" s="80"/>
      <c r="V711" s="80"/>
      <c r="W711" s="80"/>
      <c r="X711" s="80"/>
      <c r="Y711" s="81"/>
      <c r="Z711" s="80"/>
      <c r="AA711" s="80"/>
      <c r="AB711" s="80"/>
      <c r="AC711" s="80"/>
      <c r="AD711" s="81"/>
      <c r="AE711" s="80"/>
      <c r="AF711" s="80"/>
      <c r="AG711" s="81"/>
      <c r="AH711" s="79"/>
      <c r="AI711" s="78" t="str">
        <f aca="false">IF(E711="","",(V711&lt;&gt;"")+(AA711&lt;&gt;"")+(AF711&lt;&gt;""))</f>
        <v/>
      </c>
      <c r="AJ711" s="82" t="str">
        <f aca="false">IF(AF711&lt;&gt;"",AF711,IF(AA711&lt;&gt;"",AA711,IF(V711&lt;&gt;"",V711,"")))</f>
        <v/>
      </c>
      <c r="AK711" s="83" t="str">
        <f aca="false">IF(E711="","",IF(P711="","À SOUDER",IF(S711="","VT EN ATTENTE",IF(S711="R","VT REJETÉ – À REPRENDRE",IF(AJ711="","À RADIOGRAPHIER",IF(AJ711="A","ACCEPTÉ",IF(AJ711="NX","NX – RT À REFAIRE",IF(IF(AI711=1,X711,IF(AI711=2,AC711,""))="A","RÉPARÉ – À RADIOGRAPHIER",IF(IF(AI711=1,X711,IF(AI711=2,AC711,""))="R","VT REJETÉ – À REPRENDRE",IF(AJ711="CO","COUPE – À RESOUDER","À RÉPARER"))))))))))</f>
        <v/>
      </c>
      <c r="AL711" s="82" t="str">
        <f aca="false">IF(AND(ISNUMBER(P711),OR(AK711="À RADIOGRAPHIER",AK711="RÉPARÉ – À RADIOGRAPHIER",AK711="NX – RT À REFAIRE",AK711="À RÉPARER",AK711="COUPE – À RESOUDER",AK711="VT REJETÉ – À REPRENDRE")),MAX(0,'PROGRAMME RT'!$C$4-P711),"")</f>
        <v/>
      </c>
      <c r="AM711" s="78" t="n">
        <f aca="false">IF(AND(OR(AK711="À RADIOGRAPHIER",AK711="RÉPARÉ – À RADIOGRAPHIER",AK711="NX – RT À REFAIRE"),OR('PROGRAMME RT'!$D$5="TOUTES",B711='PROGRAMME RT'!$D$5)),1,0)</f>
        <v>0</v>
      </c>
      <c r="AN711" s="78" t="str">
        <f aca="false">IF(AM711=1,SUM(AM$7:AM711),"")</f>
        <v/>
      </c>
      <c r="AO711" s="78" t="n">
        <f aca="false">IF(AND(OR(AK711="À RÉPARER",AK711="COUPE – À RESOUDER",AK711="VT REJETÉ – À REPRENDRE"),OR(RÉPARATIONS!$D$5="TOUTES",B711=RÉPARATIONS!$D$5)),1,0)</f>
        <v>0</v>
      </c>
      <c r="AP711" s="78" t="str">
        <f aca="false">IF(AO711=1,SUM(AO$7:AO711),"")</f>
        <v/>
      </c>
    </row>
    <row r="712" customFormat="false" ht="15" hidden="false" customHeight="false" outlineLevel="0" collapsed="false">
      <c r="A712" s="78" t="str">
        <f aca="false">IF(E712="","",ROW()-6)</f>
        <v/>
      </c>
      <c r="B712" s="79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1"/>
      <c r="Q712" s="81"/>
      <c r="R712" s="80"/>
      <c r="S712" s="80"/>
      <c r="T712" s="81"/>
      <c r="U712" s="80"/>
      <c r="V712" s="80"/>
      <c r="W712" s="80"/>
      <c r="X712" s="80"/>
      <c r="Y712" s="81"/>
      <c r="Z712" s="80"/>
      <c r="AA712" s="80"/>
      <c r="AB712" s="80"/>
      <c r="AC712" s="80"/>
      <c r="AD712" s="81"/>
      <c r="AE712" s="80"/>
      <c r="AF712" s="80"/>
      <c r="AG712" s="81"/>
      <c r="AH712" s="79"/>
      <c r="AI712" s="78" t="str">
        <f aca="false">IF(E712="","",(V712&lt;&gt;"")+(AA712&lt;&gt;"")+(AF712&lt;&gt;""))</f>
        <v/>
      </c>
      <c r="AJ712" s="82" t="str">
        <f aca="false">IF(AF712&lt;&gt;"",AF712,IF(AA712&lt;&gt;"",AA712,IF(V712&lt;&gt;"",V712,"")))</f>
        <v/>
      </c>
      <c r="AK712" s="83" t="str">
        <f aca="false">IF(E712="","",IF(P712="","À SOUDER",IF(S712="","VT EN ATTENTE",IF(S712="R","VT REJETÉ – À REPRENDRE",IF(AJ712="","À RADIOGRAPHIER",IF(AJ712="A","ACCEPTÉ",IF(AJ712="NX","NX – RT À REFAIRE",IF(IF(AI712=1,X712,IF(AI712=2,AC712,""))="A","RÉPARÉ – À RADIOGRAPHIER",IF(IF(AI712=1,X712,IF(AI712=2,AC712,""))="R","VT REJETÉ – À REPRENDRE",IF(AJ712="CO","COUPE – À RESOUDER","À RÉPARER"))))))))))</f>
        <v/>
      </c>
      <c r="AL712" s="82" t="str">
        <f aca="false">IF(AND(ISNUMBER(P712),OR(AK712="À RADIOGRAPHIER",AK712="RÉPARÉ – À RADIOGRAPHIER",AK712="NX – RT À REFAIRE",AK712="À RÉPARER",AK712="COUPE – À RESOUDER",AK712="VT REJETÉ – À REPRENDRE")),MAX(0,'PROGRAMME RT'!$C$4-P712),"")</f>
        <v/>
      </c>
      <c r="AM712" s="78" t="n">
        <f aca="false">IF(AND(OR(AK712="À RADIOGRAPHIER",AK712="RÉPARÉ – À RADIOGRAPHIER",AK712="NX – RT À REFAIRE"),OR('PROGRAMME RT'!$D$5="TOUTES",B712='PROGRAMME RT'!$D$5)),1,0)</f>
        <v>0</v>
      </c>
      <c r="AN712" s="78" t="str">
        <f aca="false">IF(AM712=1,SUM(AM$7:AM712),"")</f>
        <v/>
      </c>
      <c r="AO712" s="78" t="n">
        <f aca="false">IF(AND(OR(AK712="À RÉPARER",AK712="COUPE – À RESOUDER",AK712="VT REJETÉ – À REPRENDRE"),OR(RÉPARATIONS!$D$5="TOUTES",B712=RÉPARATIONS!$D$5)),1,0)</f>
        <v>0</v>
      </c>
      <c r="AP712" s="78" t="str">
        <f aca="false">IF(AO712=1,SUM(AO$7:AO712),"")</f>
        <v/>
      </c>
    </row>
    <row r="713" customFormat="false" ht="15" hidden="false" customHeight="false" outlineLevel="0" collapsed="false">
      <c r="A713" s="78" t="str">
        <f aca="false">IF(E713="","",ROW()-6)</f>
        <v/>
      </c>
      <c r="B713" s="79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1"/>
      <c r="Q713" s="81"/>
      <c r="R713" s="80"/>
      <c r="S713" s="80"/>
      <c r="T713" s="81"/>
      <c r="U713" s="80"/>
      <c r="V713" s="80"/>
      <c r="W713" s="80"/>
      <c r="X713" s="80"/>
      <c r="Y713" s="81"/>
      <c r="Z713" s="80"/>
      <c r="AA713" s="80"/>
      <c r="AB713" s="80"/>
      <c r="AC713" s="80"/>
      <c r="AD713" s="81"/>
      <c r="AE713" s="80"/>
      <c r="AF713" s="80"/>
      <c r="AG713" s="81"/>
      <c r="AH713" s="79"/>
      <c r="AI713" s="78" t="str">
        <f aca="false">IF(E713="","",(V713&lt;&gt;"")+(AA713&lt;&gt;"")+(AF713&lt;&gt;""))</f>
        <v/>
      </c>
      <c r="AJ713" s="82" t="str">
        <f aca="false">IF(AF713&lt;&gt;"",AF713,IF(AA713&lt;&gt;"",AA713,IF(V713&lt;&gt;"",V713,"")))</f>
        <v/>
      </c>
      <c r="AK713" s="83" t="str">
        <f aca="false">IF(E713="","",IF(P713="","À SOUDER",IF(S713="","VT EN ATTENTE",IF(S713="R","VT REJETÉ – À REPRENDRE",IF(AJ713="","À RADIOGRAPHIER",IF(AJ713="A","ACCEPTÉ",IF(AJ713="NX","NX – RT À REFAIRE",IF(IF(AI713=1,X713,IF(AI713=2,AC713,""))="A","RÉPARÉ – À RADIOGRAPHIER",IF(IF(AI713=1,X713,IF(AI713=2,AC713,""))="R","VT REJETÉ – À REPRENDRE",IF(AJ713="CO","COUPE – À RESOUDER","À RÉPARER"))))))))))</f>
        <v/>
      </c>
      <c r="AL713" s="82" t="str">
        <f aca="false">IF(AND(ISNUMBER(P713),OR(AK713="À RADIOGRAPHIER",AK713="RÉPARÉ – À RADIOGRAPHIER",AK713="NX – RT À REFAIRE",AK713="À RÉPARER",AK713="COUPE – À RESOUDER",AK713="VT REJETÉ – À REPRENDRE")),MAX(0,'PROGRAMME RT'!$C$4-P713),"")</f>
        <v/>
      </c>
      <c r="AM713" s="78" t="n">
        <f aca="false">IF(AND(OR(AK713="À RADIOGRAPHIER",AK713="RÉPARÉ – À RADIOGRAPHIER",AK713="NX – RT À REFAIRE"),OR('PROGRAMME RT'!$D$5="TOUTES",B713='PROGRAMME RT'!$D$5)),1,0)</f>
        <v>0</v>
      </c>
      <c r="AN713" s="78" t="str">
        <f aca="false">IF(AM713=1,SUM(AM$7:AM713),"")</f>
        <v/>
      </c>
      <c r="AO713" s="78" t="n">
        <f aca="false">IF(AND(OR(AK713="À RÉPARER",AK713="COUPE – À RESOUDER",AK713="VT REJETÉ – À REPRENDRE"),OR(RÉPARATIONS!$D$5="TOUTES",B713=RÉPARATIONS!$D$5)),1,0)</f>
        <v>0</v>
      </c>
      <c r="AP713" s="78" t="str">
        <f aca="false">IF(AO713=1,SUM(AO$7:AO713),"")</f>
        <v/>
      </c>
    </row>
    <row r="714" customFormat="false" ht="15" hidden="false" customHeight="false" outlineLevel="0" collapsed="false">
      <c r="A714" s="78" t="str">
        <f aca="false">IF(E714="","",ROW()-6)</f>
        <v/>
      </c>
      <c r="B714" s="79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1"/>
      <c r="Q714" s="81"/>
      <c r="R714" s="80"/>
      <c r="S714" s="80"/>
      <c r="T714" s="81"/>
      <c r="U714" s="80"/>
      <c r="V714" s="80"/>
      <c r="W714" s="80"/>
      <c r="X714" s="80"/>
      <c r="Y714" s="81"/>
      <c r="Z714" s="80"/>
      <c r="AA714" s="80"/>
      <c r="AB714" s="80"/>
      <c r="AC714" s="80"/>
      <c r="AD714" s="81"/>
      <c r="AE714" s="80"/>
      <c r="AF714" s="80"/>
      <c r="AG714" s="81"/>
      <c r="AH714" s="79"/>
      <c r="AI714" s="78" t="str">
        <f aca="false">IF(E714="","",(V714&lt;&gt;"")+(AA714&lt;&gt;"")+(AF714&lt;&gt;""))</f>
        <v/>
      </c>
      <c r="AJ714" s="82" t="str">
        <f aca="false">IF(AF714&lt;&gt;"",AF714,IF(AA714&lt;&gt;"",AA714,IF(V714&lt;&gt;"",V714,"")))</f>
        <v/>
      </c>
      <c r="AK714" s="83" t="str">
        <f aca="false">IF(E714="","",IF(P714="","À SOUDER",IF(S714="","VT EN ATTENTE",IF(S714="R","VT REJETÉ – À REPRENDRE",IF(AJ714="","À RADIOGRAPHIER",IF(AJ714="A","ACCEPTÉ",IF(AJ714="NX","NX – RT À REFAIRE",IF(IF(AI714=1,X714,IF(AI714=2,AC714,""))="A","RÉPARÉ – À RADIOGRAPHIER",IF(IF(AI714=1,X714,IF(AI714=2,AC714,""))="R","VT REJETÉ – À REPRENDRE",IF(AJ714="CO","COUPE – À RESOUDER","À RÉPARER"))))))))))</f>
        <v/>
      </c>
      <c r="AL714" s="82" t="str">
        <f aca="false">IF(AND(ISNUMBER(P714),OR(AK714="À RADIOGRAPHIER",AK714="RÉPARÉ – À RADIOGRAPHIER",AK714="NX – RT À REFAIRE",AK714="À RÉPARER",AK714="COUPE – À RESOUDER",AK714="VT REJETÉ – À REPRENDRE")),MAX(0,'PROGRAMME RT'!$C$4-P714),"")</f>
        <v/>
      </c>
      <c r="AM714" s="78" t="n">
        <f aca="false">IF(AND(OR(AK714="À RADIOGRAPHIER",AK714="RÉPARÉ – À RADIOGRAPHIER",AK714="NX – RT À REFAIRE"),OR('PROGRAMME RT'!$D$5="TOUTES",B714='PROGRAMME RT'!$D$5)),1,0)</f>
        <v>0</v>
      </c>
      <c r="AN714" s="78" t="str">
        <f aca="false">IF(AM714=1,SUM(AM$7:AM714),"")</f>
        <v/>
      </c>
      <c r="AO714" s="78" t="n">
        <f aca="false">IF(AND(OR(AK714="À RÉPARER",AK714="COUPE – À RESOUDER",AK714="VT REJETÉ – À REPRENDRE"),OR(RÉPARATIONS!$D$5="TOUTES",B714=RÉPARATIONS!$D$5)),1,0)</f>
        <v>0</v>
      </c>
      <c r="AP714" s="78" t="str">
        <f aca="false">IF(AO714=1,SUM(AO$7:AO714),"")</f>
        <v/>
      </c>
    </row>
    <row r="715" customFormat="false" ht="15" hidden="false" customHeight="false" outlineLevel="0" collapsed="false">
      <c r="A715" s="78" t="str">
        <f aca="false">IF(E715="","",ROW()-6)</f>
        <v/>
      </c>
      <c r="B715" s="79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1"/>
      <c r="Q715" s="81"/>
      <c r="R715" s="80"/>
      <c r="S715" s="80"/>
      <c r="T715" s="81"/>
      <c r="U715" s="80"/>
      <c r="V715" s="80"/>
      <c r="W715" s="80"/>
      <c r="X715" s="80"/>
      <c r="Y715" s="81"/>
      <c r="Z715" s="80"/>
      <c r="AA715" s="80"/>
      <c r="AB715" s="80"/>
      <c r="AC715" s="80"/>
      <c r="AD715" s="81"/>
      <c r="AE715" s="80"/>
      <c r="AF715" s="80"/>
      <c r="AG715" s="81"/>
      <c r="AH715" s="79"/>
      <c r="AI715" s="78" t="str">
        <f aca="false">IF(E715="","",(V715&lt;&gt;"")+(AA715&lt;&gt;"")+(AF715&lt;&gt;""))</f>
        <v/>
      </c>
      <c r="AJ715" s="82" t="str">
        <f aca="false">IF(AF715&lt;&gt;"",AF715,IF(AA715&lt;&gt;"",AA715,IF(V715&lt;&gt;"",V715,"")))</f>
        <v/>
      </c>
      <c r="AK715" s="83" t="str">
        <f aca="false">IF(E715="","",IF(P715="","À SOUDER",IF(S715="","VT EN ATTENTE",IF(S715="R","VT REJETÉ – À REPRENDRE",IF(AJ715="","À RADIOGRAPHIER",IF(AJ715="A","ACCEPTÉ",IF(AJ715="NX","NX – RT À REFAIRE",IF(IF(AI715=1,X715,IF(AI715=2,AC715,""))="A","RÉPARÉ – À RADIOGRAPHIER",IF(IF(AI715=1,X715,IF(AI715=2,AC715,""))="R","VT REJETÉ – À REPRENDRE",IF(AJ715="CO","COUPE – À RESOUDER","À RÉPARER"))))))))))</f>
        <v/>
      </c>
      <c r="AL715" s="82" t="str">
        <f aca="false">IF(AND(ISNUMBER(P715),OR(AK715="À RADIOGRAPHIER",AK715="RÉPARÉ – À RADIOGRAPHIER",AK715="NX – RT À REFAIRE",AK715="À RÉPARER",AK715="COUPE – À RESOUDER",AK715="VT REJETÉ – À REPRENDRE")),MAX(0,'PROGRAMME RT'!$C$4-P715),"")</f>
        <v/>
      </c>
      <c r="AM715" s="78" t="n">
        <f aca="false">IF(AND(OR(AK715="À RADIOGRAPHIER",AK715="RÉPARÉ – À RADIOGRAPHIER",AK715="NX – RT À REFAIRE"),OR('PROGRAMME RT'!$D$5="TOUTES",B715='PROGRAMME RT'!$D$5)),1,0)</f>
        <v>0</v>
      </c>
      <c r="AN715" s="78" t="str">
        <f aca="false">IF(AM715=1,SUM(AM$7:AM715),"")</f>
        <v/>
      </c>
      <c r="AO715" s="78" t="n">
        <f aca="false">IF(AND(OR(AK715="À RÉPARER",AK715="COUPE – À RESOUDER",AK715="VT REJETÉ – À REPRENDRE"),OR(RÉPARATIONS!$D$5="TOUTES",B715=RÉPARATIONS!$D$5)),1,0)</f>
        <v>0</v>
      </c>
      <c r="AP715" s="78" t="str">
        <f aca="false">IF(AO715=1,SUM(AO$7:AO715),"")</f>
        <v/>
      </c>
    </row>
    <row r="716" customFormat="false" ht="15" hidden="false" customHeight="false" outlineLevel="0" collapsed="false">
      <c r="A716" s="78" t="str">
        <f aca="false">IF(E716="","",ROW()-6)</f>
        <v/>
      </c>
      <c r="B716" s="79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1"/>
      <c r="Q716" s="81"/>
      <c r="R716" s="80"/>
      <c r="S716" s="80"/>
      <c r="T716" s="81"/>
      <c r="U716" s="80"/>
      <c r="V716" s="80"/>
      <c r="W716" s="80"/>
      <c r="X716" s="80"/>
      <c r="Y716" s="81"/>
      <c r="Z716" s="80"/>
      <c r="AA716" s="80"/>
      <c r="AB716" s="80"/>
      <c r="AC716" s="80"/>
      <c r="AD716" s="81"/>
      <c r="AE716" s="80"/>
      <c r="AF716" s="80"/>
      <c r="AG716" s="81"/>
      <c r="AH716" s="79"/>
      <c r="AI716" s="78" t="str">
        <f aca="false">IF(E716="","",(V716&lt;&gt;"")+(AA716&lt;&gt;"")+(AF716&lt;&gt;""))</f>
        <v/>
      </c>
      <c r="AJ716" s="82" t="str">
        <f aca="false">IF(AF716&lt;&gt;"",AF716,IF(AA716&lt;&gt;"",AA716,IF(V716&lt;&gt;"",V716,"")))</f>
        <v/>
      </c>
      <c r="AK716" s="83" t="str">
        <f aca="false">IF(E716="","",IF(P716="","À SOUDER",IF(S716="","VT EN ATTENTE",IF(S716="R","VT REJETÉ – À REPRENDRE",IF(AJ716="","À RADIOGRAPHIER",IF(AJ716="A","ACCEPTÉ",IF(AJ716="NX","NX – RT À REFAIRE",IF(IF(AI716=1,X716,IF(AI716=2,AC716,""))="A","RÉPARÉ – À RADIOGRAPHIER",IF(IF(AI716=1,X716,IF(AI716=2,AC716,""))="R","VT REJETÉ – À REPRENDRE",IF(AJ716="CO","COUPE – À RESOUDER","À RÉPARER"))))))))))</f>
        <v/>
      </c>
      <c r="AL716" s="82" t="str">
        <f aca="false">IF(AND(ISNUMBER(P716),OR(AK716="À RADIOGRAPHIER",AK716="RÉPARÉ – À RADIOGRAPHIER",AK716="NX – RT À REFAIRE",AK716="À RÉPARER",AK716="COUPE – À RESOUDER",AK716="VT REJETÉ – À REPRENDRE")),MAX(0,'PROGRAMME RT'!$C$4-P716),"")</f>
        <v/>
      </c>
      <c r="AM716" s="78" t="n">
        <f aca="false">IF(AND(OR(AK716="À RADIOGRAPHIER",AK716="RÉPARÉ – À RADIOGRAPHIER",AK716="NX – RT À REFAIRE"),OR('PROGRAMME RT'!$D$5="TOUTES",B716='PROGRAMME RT'!$D$5)),1,0)</f>
        <v>0</v>
      </c>
      <c r="AN716" s="78" t="str">
        <f aca="false">IF(AM716=1,SUM(AM$7:AM716),"")</f>
        <v/>
      </c>
      <c r="AO716" s="78" t="n">
        <f aca="false">IF(AND(OR(AK716="À RÉPARER",AK716="COUPE – À RESOUDER",AK716="VT REJETÉ – À REPRENDRE"),OR(RÉPARATIONS!$D$5="TOUTES",B716=RÉPARATIONS!$D$5)),1,0)</f>
        <v>0</v>
      </c>
      <c r="AP716" s="78" t="str">
        <f aca="false">IF(AO716=1,SUM(AO$7:AO716),"")</f>
        <v/>
      </c>
    </row>
    <row r="717" customFormat="false" ht="15" hidden="false" customHeight="false" outlineLevel="0" collapsed="false">
      <c r="A717" s="78" t="str">
        <f aca="false">IF(E717="","",ROW()-6)</f>
        <v/>
      </c>
      <c r="B717" s="79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1"/>
      <c r="Q717" s="81"/>
      <c r="R717" s="80"/>
      <c r="S717" s="80"/>
      <c r="T717" s="81"/>
      <c r="U717" s="80"/>
      <c r="V717" s="80"/>
      <c r="W717" s="80"/>
      <c r="X717" s="80"/>
      <c r="Y717" s="81"/>
      <c r="Z717" s="80"/>
      <c r="AA717" s="80"/>
      <c r="AB717" s="80"/>
      <c r="AC717" s="80"/>
      <c r="AD717" s="81"/>
      <c r="AE717" s="80"/>
      <c r="AF717" s="80"/>
      <c r="AG717" s="81"/>
      <c r="AH717" s="79"/>
      <c r="AI717" s="78" t="str">
        <f aca="false">IF(E717="","",(V717&lt;&gt;"")+(AA717&lt;&gt;"")+(AF717&lt;&gt;""))</f>
        <v/>
      </c>
      <c r="AJ717" s="82" t="str">
        <f aca="false">IF(AF717&lt;&gt;"",AF717,IF(AA717&lt;&gt;"",AA717,IF(V717&lt;&gt;"",V717,"")))</f>
        <v/>
      </c>
      <c r="AK717" s="83" t="str">
        <f aca="false">IF(E717="","",IF(P717="","À SOUDER",IF(S717="","VT EN ATTENTE",IF(S717="R","VT REJETÉ – À REPRENDRE",IF(AJ717="","À RADIOGRAPHIER",IF(AJ717="A","ACCEPTÉ",IF(AJ717="NX","NX – RT À REFAIRE",IF(IF(AI717=1,X717,IF(AI717=2,AC717,""))="A","RÉPARÉ – À RADIOGRAPHIER",IF(IF(AI717=1,X717,IF(AI717=2,AC717,""))="R","VT REJETÉ – À REPRENDRE",IF(AJ717="CO","COUPE – À RESOUDER","À RÉPARER"))))))))))</f>
        <v/>
      </c>
      <c r="AL717" s="82" t="str">
        <f aca="false">IF(AND(ISNUMBER(P717),OR(AK717="À RADIOGRAPHIER",AK717="RÉPARÉ – À RADIOGRAPHIER",AK717="NX – RT À REFAIRE",AK717="À RÉPARER",AK717="COUPE – À RESOUDER",AK717="VT REJETÉ – À REPRENDRE")),MAX(0,'PROGRAMME RT'!$C$4-P717),"")</f>
        <v/>
      </c>
      <c r="AM717" s="78" t="n">
        <f aca="false">IF(AND(OR(AK717="À RADIOGRAPHIER",AK717="RÉPARÉ – À RADIOGRAPHIER",AK717="NX – RT À REFAIRE"),OR('PROGRAMME RT'!$D$5="TOUTES",B717='PROGRAMME RT'!$D$5)),1,0)</f>
        <v>0</v>
      </c>
      <c r="AN717" s="78" t="str">
        <f aca="false">IF(AM717=1,SUM(AM$7:AM717),"")</f>
        <v/>
      </c>
      <c r="AO717" s="78" t="n">
        <f aca="false">IF(AND(OR(AK717="À RÉPARER",AK717="COUPE – À RESOUDER",AK717="VT REJETÉ – À REPRENDRE"),OR(RÉPARATIONS!$D$5="TOUTES",B717=RÉPARATIONS!$D$5)),1,0)</f>
        <v>0</v>
      </c>
      <c r="AP717" s="78" t="str">
        <f aca="false">IF(AO717=1,SUM(AO$7:AO717),"")</f>
        <v/>
      </c>
    </row>
    <row r="718" customFormat="false" ht="15" hidden="false" customHeight="false" outlineLevel="0" collapsed="false">
      <c r="A718" s="78" t="str">
        <f aca="false">IF(E718="","",ROW()-6)</f>
        <v/>
      </c>
      <c r="B718" s="79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1"/>
      <c r="Q718" s="81"/>
      <c r="R718" s="80"/>
      <c r="S718" s="80"/>
      <c r="T718" s="81"/>
      <c r="U718" s="80"/>
      <c r="V718" s="80"/>
      <c r="W718" s="80"/>
      <c r="X718" s="80"/>
      <c r="Y718" s="81"/>
      <c r="Z718" s="80"/>
      <c r="AA718" s="80"/>
      <c r="AB718" s="80"/>
      <c r="AC718" s="80"/>
      <c r="AD718" s="81"/>
      <c r="AE718" s="80"/>
      <c r="AF718" s="80"/>
      <c r="AG718" s="81"/>
      <c r="AH718" s="79"/>
      <c r="AI718" s="78" t="str">
        <f aca="false">IF(E718="","",(V718&lt;&gt;"")+(AA718&lt;&gt;"")+(AF718&lt;&gt;""))</f>
        <v/>
      </c>
      <c r="AJ718" s="82" t="str">
        <f aca="false">IF(AF718&lt;&gt;"",AF718,IF(AA718&lt;&gt;"",AA718,IF(V718&lt;&gt;"",V718,"")))</f>
        <v/>
      </c>
      <c r="AK718" s="83" t="str">
        <f aca="false">IF(E718="","",IF(P718="","À SOUDER",IF(S718="","VT EN ATTENTE",IF(S718="R","VT REJETÉ – À REPRENDRE",IF(AJ718="","À RADIOGRAPHIER",IF(AJ718="A","ACCEPTÉ",IF(AJ718="NX","NX – RT À REFAIRE",IF(IF(AI718=1,X718,IF(AI718=2,AC718,""))="A","RÉPARÉ – À RADIOGRAPHIER",IF(IF(AI718=1,X718,IF(AI718=2,AC718,""))="R","VT REJETÉ – À REPRENDRE",IF(AJ718="CO","COUPE – À RESOUDER","À RÉPARER"))))))))))</f>
        <v/>
      </c>
      <c r="AL718" s="82" t="str">
        <f aca="false">IF(AND(ISNUMBER(P718),OR(AK718="À RADIOGRAPHIER",AK718="RÉPARÉ – À RADIOGRAPHIER",AK718="NX – RT À REFAIRE",AK718="À RÉPARER",AK718="COUPE – À RESOUDER",AK718="VT REJETÉ – À REPRENDRE")),MAX(0,'PROGRAMME RT'!$C$4-P718),"")</f>
        <v/>
      </c>
      <c r="AM718" s="78" t="n">
        <f aca="false">IF(AND(OR(AK718="À RADIOGRAPHIER",AK718="RÉPARÉ – À RADIOGRAPHIER",AK718="NX – RT À REFAIRE"),OR('PROGRAMME RT'!$D$5="TOUTES",B718='PROGRAMME RT'!$D$5)),1,0)</f>
        <v>0</v>
      </c>
      <c r="AN718" s="78" t="str">
        <f aca="false">IF(AM718=1,SUM(AM$7:AM718),"")</f>
        <v/>
      </c>
      <c r="AO718" s="78" t="n">
        <f aca="false">IF(AND(OR(AK718="À RÉPARER",AK718="COUPE – À RESOUDER",AK718="VT REJETÉ – À REPRENDRE"),OR(RÉPARATIONS!$D$5="TOUTES",B718=RÉPARATIONS!$D$5)),1,0)</f>
        <v>0</v>
      </c>
      <c r="AP718" s="78" t="str">
        <f aca="false">IF(AO718=1,SUM(AO$7:AO718),"")</f>
        <v/>
      </c>
    </row>
    <row r="719" customFormat="false" ht="15" hidden="false" customHeight="false" outlineLevel="0" collapsed="false">
      <c r="A719" s="78" t="str">
        <f aca="false">IF(E719="","",ROW()-6)</f>
        <v/>
      </c>
      <c r="B719" s="79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1"/>
      <c r="Q719" s="81"/>
      <c r="R719" s="80"/>
      <c r="S719" s="80"/>
      <c r="T719" s="81"/>
      <c r="U719" s="80"/>
      <c r="V719" s="80"/>
      <c r="W719" s="80"/>
      <c r="X719" s="80"/>
      <c r="Y719" s="81"/>
      <c r="Z719" s="80"/>
      <c r="AA719" s="80"/>
      <c r="AB719" s="80"/>
      <c r="AC719" s="80"/>
      <c r="AD719" s="81"/>
      <c r="AE719" s="80"/>
      <c r="AF719" s="80"/>
      <c r="AG719" s="81"/>
      <c r="AH719" s="79"/>
      <c r="AI719" s="78" t="str">
        <f aca="false">IF(E719="","",(V719&lt;&gt;"")+(AA719&lt;&gt;"")+(AF719&lt;&gt;""))</f>
        <v/>
      </c>
      <c r="AJ719" s="82" t="str">
        <f aca="false">IF(AF719&lt;&gt;"",AF719,IF(AA719&lt;&gt;"",AA719,IF(V719&lt;&gt;"",V719,"")))</f>
        <v/>
      </c>
      <c r="AK719" s="83" t="str">
        <f aca="false">IF(E719="","",IF(P719="","À SOUDER",IF(S719="","VT EN ATTENTE",IF(S719="R","VT REJETÉ – À REPRENDRE",IF(AJ719="","À RADIOGRAPHIER",IF(AJ719="A","ACCEPTÉ",IF(AJ719="NX","NX – RT À REFAIRE",IF(IF(AI719=1,X719,IF(AI719=2,AC719,""))="A","RÉPARÉ – À RADIOGRAPHIER",IF(IF(AI719=1,X719,IF(AI719=2,AC719,""))="R","VT REJETÉ – À REPRENDRE",IF(AJ719="CO","COUPE – À RESOUDER","À RÉPARER"))))))))))</f>
        <v/>
      </c>
      <c r="AL719" s="82" t="str">
        <f aca="false">IF(AND(ISNUMBER(P719),OR(AK719="À RADIOGRAPHIER",AK719="RÉPARÉ – À RADIOGRAPHIER",AK719="NX – RT À REFAIRE",AK719="À RÉPARER",AK719="COUPE – À RESOUDER",AK719="VT REJETÉ – À REPRENDRE")),MAX(0,'PROGRAMME RT'!$C$4-P719),"")</f>
        <v/>
      </c>
      <c r="AM719" s="78" t="n">
        <f aca="false">IF(AND(OR(AK719="À RADIOGRAPHIER",AK719="RÉPARÉ – À RADIOGRAPHIER",AK719="NX – RT À REFAIRE"),OR('PROGRAMME RT'!$D$5="TOUTES",B719='PROGRAMME RT'!$D$5)),1,0)</f>
        <v>0</v>
      </c>
      <c r="AN719" s="78" t="str">
        <f aca="false">IF(AM719=1,SUM(AM$7:AM719),"")</f>
        <v/>
      </c>
      <c r="AO719" s="78" t="n">
        <f aca="false">IF(AND(OR(AK719="À RÉPARER",AK719="COUPE – À RESOUDER",AK719="VT REJETÉ – À REPRENDRE"),OR(RÉPARATIONS!$D$5="TOUTES",B719=RÉPARATIONS!$D$5)),1,0)</f>
        <v>0</v>
      </c>
      <c r="AP719" s="78" t="str">
        <f aca="false">IF(AO719=1,SUM(AO$7:AO719),"")</f>
        <v/>
      </c>
    </row>
    <row r="720" customFormat="false" ht="15" hidden="false" customHeight="false" outlineLevel="0" collapsed="false">
      <c r="A720" s="78" t="str">
        <f aca="false">IF(E720="","",ROW()-6)</f>
        <v/>
      </c>
      <c r="B720" s="79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1"/>
      <c r="Q720" s="81"/>
      <c r="R720" s="80"/>
      <c r="S720" s="80"/>
      <c r="T720" s="81"/>
      <c r="U720" s="80"/>
      <c r="V720" s="80"/>
      <c r="W720" s="80"/>
      <c r="X720" s="80"/>
      <c r="Y720" s="81"/>
      <c r="Z720" s="80"/>
      <c r="AA720" s="80"/>
      <c r="AB720" s="80"/>
      <c r="AC720" s="80"/>
      <c r="AD720" s="81"/>
      <c r="AE720" s="80"/>
      <c r="AF720" s="80"/>
      <c r="AG720" s="81"/>
      <c r="AH720" s="79"/>
      <c r="AI720" s="78" t="str">
        <f aca="false">IF(E720="","",(V720&lt;&gt;"")+(AA720&lt;&gt;"")+(AF720&lt;&gt;""))</f>
        <v/>
      </c>
      <c r="AJ720" s="82" t="str">
        <f aca="false">IF(AF720&lt;&gt;"",AF720,IF(AA720&lt;&gt;"",AA720,IF(V720&lt;&gt;"",V720,"")))</f>
        <v/>
      </c>
      <c r="AK720" s="83" t="str">
        <f aca="false">IF(E720="","",IF(P720="","À SOUDER",IF(S720="","VT EN ATTENTE",IF(S720="R","VT REJETÉ – À REPRENDRE",IF(AJ720="","À RADIOGRAPHIER",IF(AJ720="A","ACCEPTÉ",IF(AJ720="NX","NX – RT À REFAIRE",IF(IF(AI720=1,X720,IF(AI720=2,AC720,""))="A","RÉPARÉ – À RADIOGRAPHIER",IF(IF(AI720=1,X720,IF(AI720=2,AC720,""))="R","VT REJETÉ – À REPRENDRE",IF(AJ720="CO","COUPE – À RESOUDER","À RÉPARER"))))))))))</f>
        <v/>
      </c>
      <c r="AL720" s="82" t="str">
        <f aca="false">IF(AND(ISNUMBER(P720),OR(AK720="À RADIOGRAPHIER",AK720="RÉPARÉ – À RADIOGRAPHIER",AK720="NX – RT À REFAIRE",AK720="À RÉPARER",AK720="COUPE – À RESOUDER",AK720="VT REJETÉ – À REPRENDRE")),MAX(0,'PROGRAMME RT'!$C$4-P720),"")</f>
        <v/>
      </c>
      <c r="AM720" s="78" t="n">
        <f aca="false">IF(AND(OR(AK720="À RADIOGRAPHIER",AK720="RÉPARÉ – À RADIOGRAPHIER",AK720="NX – RT À REFAIRE"),OR('PROGRAMME RT'!$D$5="TOUTES",B720='PROGRAMME RT'!$D$5)),1,0)</f>
        <v>0</v>
      </c>
      <c r="AN720" s="78" t="str">
        <f aca="false">IF(AM720=1,SUM(AM$7:AM720),"")</f>
        <v/>
      </c>
      <c r="AO720" s="78" t="n">
        <f aca="false">IF(AND(OR(AK720="À RÉPARER",AK720="COUPE – À RESOUDER",AK720="VT REJETÉ – À REPRENDRE"),OR(RÉPARATIONS!$D$5="TOUTES",B720=RÉPARATIONS!$D$5)),1,0)</f>
        <v>0</v>
      </c>
      <c r="AP720" s="78" t="str">
        <f aca="false">IF(AO720=1,SUM(AO$7:AO720),"")</f>
        <v/>
      </c>
    </row>
    <row r="721" customFormat="false" ht="15" hidden="false" customHeight="false" outlineLevel="0" collapsed="false">
      <c r="A721" s="78" t="str">
        <f aca="false">IF(E721="","",ROW()-6)</f>
        <v/>
      </c>
      <c r="B721" s="79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1"/>
      <c r="Q721" s="81"/>
      <c r="R721" s="80"/>
      <c r="S721" s="80"/>
      <c r="T721" s="81"/>
      <c r="U721" s="80"/>
      <c r="V721" s="80"/>
      <c r="W721" s="80"/>
      <c r="X721" s="80"/>
      <c r="Y721" s="81"/>
      <c r="Z721" s="80"/>
      <c r="AA721" s="80"/>
      <c r="AB721" s="80"/>
      <c r="AC721" s="80"/>
      <c r="AD721" s="81"/>
      <c r="AE721" s="80"/>
      <c r="AF721" s="80"/>
      <c r="AG721" s="81"/>
      <c r="AH721" s="79"/>
      <c r="AI721" s="78" t="str">
        <f aca="false">IF(E721="","",(V721&lt;&gt;"")+(AA721&lt;&gt;"")+(AF721&lt;&gt;""))</f>
        <v/>
      </c>
      <c r="AJ721" s="82" t="str">
        <f aca="false">IF(AF721&lt;&gt;"",AF721,IF(AA721&lt;&gt;"",AA721,IF(V721&lt;&gt;"",V721,"")))</f>
        <v/>
      </c>
      <c r="AK721" s="83" t="str">
        <f aca="false">IF(E721="","",IF(P721="","À SOUDER",IF(S721="","VT EN ATTENTE",IF(S721="R","VT REJETÉ – À REPRENDRE",IF(AJ721="","À RADIOGRAPHIER",IF(AJ721="A","ACCEPTÉ",IF(AJ721="NX","NX – RT À REFAIRE",IF(IF(AI721=1,X721,IF(AI721=2,AC721,""))="A","RÉPARÉ – À RADIOGRAPHIER",IF(IF(AI721=1,X721,IF(AI721=2,AC721,""))="R","VT REJETÉ – À REPRENDRE",IF(AJ721="CO","COUPE – À RESOUDER","À RÉPARER"))))))))))</f>
        <v/>
      </c>
      <c r="AL721" s="82" t="str">
        <f aca="false">IF(AND(ISNUMBER(P721),OR(AK721="À RADIOGRAPHIER",AK721="RÉPARÉ – À RADIOGRAPHIER",AK721="NX – RT À REFAIRE",AK721="À RÉPARER",AK721="COUPE – À RESOUDER",AK721="VT REJETÉ – À REPRENDRE")),MAX(0,'PROGRAMME RT'!$C$4-P721),"")</f>
        <v/>
      </c>
      <c r="AM721" s="78" t="n">
        <f aca="false">IF(AND(OR(AK721="À RADIOGRAPHIER",AK721="RÉPARÉ – À RADIOGRAPHIER",AK721="NX – RT À REFAIRE"),OR('PROGRAMME RT'!$D$5="TOUTES",B721='PROGRAMME RT'!$D$5)),1,0)</f>
        <v>0</v>
      </c>
      <c r="AN721" s="78" t="str">
        <f aca="false">IF(AM721=1,SUM(AM$7:AM721),"")</f>
        <v/>
      </c>
      <c r="AO721" s="78" t="n">
        <f aca="false">IF(AND(OR(AK721="À RÉPARER",AK721="COUPE – À RESOUDER",AK721="VT REJETÉ – À REPRENDRE"),OR(RÉPARATIONS!$D$5="TOUTES",B721=RÉPARATIONS!$D$5)),1,0)</f>
        <v>0</v>
      </c>
      <c r="AP721" s="78" t="str">
        <f aca="false">IF(AO721=1,SUM(AO$7:AO721),"")</f>
        <v/>
      </c>
    </row>
    <row r="722" customFormat="false" ht="15" hidden="false" customHeight="false" outlineLevel="0" collapsed="false">
      <c r="A722" s="78" t="str">
        <f aca="false">IF(E722="","",ROW()-6)</f>
        <v/>
      </c>
      <c r="B722" s="79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1"/>
      <c r="Q722" s="81"/>
      <c r="R722" s="80"/>
      <c r="S722" s="80"/>
      <c r="T722" s="81"/>
      <c r="U722" s="80"/>
      <c r="V722" s="80"/>
      <c r="W722" s="80"/>
      <c r="X722" s="80"/>
      <c r="Y722" s="81"/>
      <c r="Z722" s="80"/>
      <c r="AA722" s="80"/>
      <c r="AB722" s="80"/>
      <c r="AC722" s="80"/>
      <c r="AD722" s="81"/>
      <c r="AE722" s="80"/>
      <c r="AF722" s="80"/>
      <c r="AG722" s="81"/>
      <c r="AH722" s="79"/>
      <c r="AI722" s="78" t="str">
        <f aca="false">IF(E722="","",(V722&lt;&gt;"")+(AA722&lt;&gt;"")+(AF722&lt;&gt;""))</f>
        <v/>
      </c>
      <c r="AJ722" s="82" t="str">
        <f aca="false">IF(AF722&lt;&gt;"",AF722,IF(AA722&lt;&gt;"",AA722,IF(V722&lt;&gt;"",V722,"")))</f>
        <v/>
      </c>
      <c r="AK722" s="83" t="str">
        <f aca="false">IF(E722="","",IF(P722="","À SOUDER",IF(S722="","VT EN ATTENTE",IF(S722="R","VT REJETÉ – À REPRENDRE",IF(AJ722="","À RADIOGRAPHIER",IF(AJ722="A","ACCEPTÉ",IF(AJ722="NX","NX – RT À REFAIRE",IF(IF(AI722=1,X722,IF(AI722=2,AC722,""))="A","RÉPARÉ – À RADIOGRAPHIER",IF(IF(AI722=1,X722,IF(AI722=2,AC722,""))="R","VT REJETÉ – À REPRENDRE",IF(AJ722="CO","COUPE – À RESOUDER","À RÉPARER"))))))))))</f>
        <v/>
      </c>
      <c r="AL722" s="82" t="str">
        <f aca="false">IF(AND(ISNUMBER(P722),OR(AK722="À RADIOGRAPHIER",AK722="RÉPARÉ – À RADIOGRAPHIER",AK722="NX – RT À REFAIRE",AK722="À RÉPARER",AK722="COUPE – À RESOUDER",AK722="VT REJETÉ – À REPRENDRE")),MAX(0,'PROGRAMME RT'!$C$4-P722),"")</f>
        <v/>
      </c>
      <c r="AM722" s="78" t="n">
        <f aca="false">IF(AND(OR(AK722="À RADIOGRAPHIER",AK722="RÉPARÉ – À RADIOGRAPHIER",AK722="NX – RT À REFAIRE"),OR('PROGRAMME RT'!$D$5="TOUTES",B722='PROGRAMME RT'!$D$5)),1,0)</f>
        <v>0</v>
      </c>
      <c r="AN722" s="78" t="str">
        <f aca="false">IF(AM722=1,SUM(AM$7:AM722),"")</f>
        <v/>
      </c>
      <c r="AO722" s="78" t="n">
        <f aca="false">IF(AND(OR(AK722="À RÉPARER",AK722="COUPE – À RESOUDER",AK722="VT REJETÉ – À REPRENDRE"),OR(RÉPARATIONS!$D$5="TOUTES",B722=RÉPARATIONS!$D$5)),1,0)</f>
        <v>0</v>
      </c>
      <c r="AP722" s="78" t="str">
        <f aca="false">IF(AO722=1,SUM(AO$7:AO722),"")</f>
        <v/>
      </c>
    </row>
    <row r="723" customFormat="false" ht="15" hidden="false" customHeight="false" outlineLevel="0" collapsed="false">
      <c r="A723" s="78" t="str">
        <f aca="false">IF(E723="","",ROW()-6)</f>
        <v/>
      </c>
      <c r="B723" s="79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1"/>
      <c r="Q723" s="81"/>
      <c r="R723" s="80"/>
      <c r="S723" s="80"/>
      <c r="T723" s="81"/>
      <c r="U723" s="80"/>
      <c r="V723" s="80"/>
      <c r="W723" s="80"/>
      <c r="X723" s="80"/>
      <c r="Y723" s="81"/>
      <c r="Z723" s="80"/>
      <c r="AA723" s="80"/>
      <c r="AB723" s="80"/>
      <c r="AC723" s="80"/>
      <c r="AD723" s="81"/>
      <c r="AE723" s="80"/>
      <c r="AF723" s="80"/>
      <c r="AG723" s="81"/>
      <c r="AH723" s="79"/>
      <c r="AI723" s="78" t="str">
        <f aca="false">IF(E723="","",(V723&lt;&gt;"")+(AA723&lt;&gt;"")+(AF723&lt;&gt;""))</f>
        <v/>
      </c>
      <c r="AJ723" s="82" t="str">
        <f aca="false">IF(AF723&lt;&gt;"",AF723,IF(AA723&lt;&gt;"",AA723,IF(V723&lt;&gt;"",V723,"")))</f>
        <v/>
      </c>
      <c r="AK723" s="83" t="str">
        <f aca="false">IF(E723="","",IF(P723="","À SOUDER",IF(S723="","VT EN ATTENTE",IF(S723="R","VT REJETÉ – À REPRENDRE",IF(AJ723="","À RADIOGRAPHIER",IF(AJ723="A","ACCEPTÉ",IF(AJ723="NX","NX – RT À REFAIRE",IF(IF(AI723=1,X723,IF(AI723=2,AC723,""))="A","RÉPARÉ – À RADIOGRAPHIER",IF(IF(AI723=1,X723,IF(AI723=2,AC723,""))="R","VT REJETÉ – À REPRENDRE",IF(AJ723="CO","COUPE – À RESOUDER","À RÉPARER"))))))))))</f>
        <v/>
      </c>
      <c r="AL723" s="82" t="str">
        <f aca="false">IF(AND(ISNUMBER(P723),OR(AK723="À RADIOGRAPHIER",AK723="RÉPARÉ – À RADIOGRAPHIER",AK723="NX – RT À REFAIRE",AK723="À RÉPARER",AK723="COUPE – À RESOUDER",AK723="VT REJETÉ – À REPRENDRE")),MAX(0,'PROGRAMME RT'!$C$4-P723),"")</f>
        <v/>
      </c>
      <c r="AM723" s="78" t="n">
        <f aca="false">IF(AND(OR(AK723="À RADIOGRAPHIER",AK723="RÉPARÉ – À RADIOGRAPHIER",AK723="NX – RT À REFAIRE"),OR('PROGRAMME RT'!$D$5="TOUTES",B723='PROGRAMME RT'!$D$5)),1,0)</f>
        <v>0</v>
      </c>
      <c r="AN723" s="78" t="str">
        <f aca="false">IF(AM723=1,SUM(AM$7:AM723),"")</f>
        <v/>
      </c>
      <c r="AO723" s="78" t="n">
        <f aca="false">IF(AND(OR(AK723="À RÉPARER",AK723="COUPE – À RESOUDER",AK723="VT REJETÉ – À REPRENDRE"),OR(RÉPARATIONS!$D$5="TOUTES",B723=RÉPARATIONS!$D$5)),1,0)</f>
        <v>0</v>
      </c>
      <c r="AP723" s="78" t="str">
        <f aca="false">IF(AO723=1,SUM(AO$7:AO723),"")</f>
        <v/>
      </c>
    </row>
    <row r="724" customFormat="false" ht="15" hidden="false" customHeight="false" outlineLevel="0" collapsed="false">
      <c r="A724" s="78" t="str">
        <f aca="false">IF(E724="","",ROW()-6)</f>
        <v/>
      </c>
      <c r="B724" s="79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1"/>
      <c r="Q724" s="81"/>
      <c r="R724" s="80"/>
      <c r="S724" s="80"/>
      <c r="T724" s="81"/>
      <c r="U724" s="80"/>
      <c r="V724" s="80"/>
      <c r="W724" s="80"/>
      <c r="X724" s="80"/>
      <c r="Y724" s="81"/>
      <c r="Z724" s="80"/>
      <c r="AA724" s="80"/>
      <c r="AB724" s="80"/>
      <c r="AC724" s="80"/>
      <c r="AD724" s="81"/>
      <c r="AE724" s="80"/>
      <c r="AF724" s="80"/>
      <c r="AG724" s="81"/>
      <c r="AH724" s="79"/>
      <c r="AI724" s="78" t="str">
        <f aca="false">IF(E724="","",(V724&lt;&gt;"")+(AA724&lt;&gt;"")+(AF724&lt;&gt;""))</f>
        <v/>
      </c>
      <c r="AJ724" s="82" t="str">
        <f aca="false">IF(AF724&lt;&gt;"",AF724,IF(AA724&lt;&gt;"",AA724,IF(V724&lt;&gt;"",V724,"")))</f>
        <v/>
      </c>
      <c r="AK724" s="83" t="str">
        <f aca="false">IF(E724="","",IF(P724="","À SOUDER",IF(S724="","VT EN ATTENTE",IF(S724="R","VT REJETÉ – À REPRENDRE",IF(AJ724="","À RADIOGRAPHIER",IF(AJ724="A","ACCEPTÉ",IF(AJ724="NX","NX – RT À REFAIRE",IF(IF(AI724=1,X724,IF(AI724=2,AC724,""))="A","RÉPARÉ – À RADIOGRAPHIER",IF(IF(AI724=1,X724,IF(AI724=2,AC724,""))="R","VT REJETÉ – À REPRENDRE",IF(AJ724="CO","COUPE – À RESOUDER","À RÉPARER"))))))))))</f>
        <v/>
      </c>
      <c r="AL724" s="82" t="str">
        <f aca="false">IF(AND(ISNUMBER(P724),OR(AK724="À RADIOGRAPHIER",AK724="RÉPARÉ – À RADIOGRAPHIER",AK724="NX – RT À REFAIRE",AK724="À RÉPARER",AK724="COUPE – À RESOUDER",AK724="VT REJETÉ – À REPRENDRE")),MAX(0,'PROGRAMME RT'!$C$4-P724),"")</f>
        <v/>
      </c>
      <c r="AM724" s="78" t="n">
        <f aca="false">IF(AND(OR(AK724="À RADIOGRAPHIER",AK724="RÉPARÉ – À RADIOGRAPHIER",AK724="NX – RT À REFAIRE"),OR('PROGRAMME RT'!$D$5="TOUTES",B724='PROGRAMME RT'!$D$5)),1,0)</f>
        <v>0</v>
      </c>
      <c r="AN724" s="78" t="str">
        <f aca="false">IF(AM724=1,SUM(AM$7:AM724),"")</f>
        <v/>
      </c>
      <c r="AO724" s="78" t="n">
        <f aca="false">IF(AND(OR(AK724="À RÉPARER",AK724="COUPE – À RESOUDER",AK724="VT REJETÉ – À REPRENDRE"),OR(RÉPARATIONS!$D$5="TOUTES",B724=RÉPARATIONS!$D$5)),1,0)</f>
        <v>0</v>
      </c>
      <c r="AP724" s="78" t="str">
        <f aca="false">IF(AO724=1,SUM(AO$7:AO724),"")</f>
        <v/>
      </c>
    </row>
    <row r="725" customFormat="false" ht="15" hidden="false" customHeight="false" outlineLevel="0" collapsed="false">
      <c r="A725" s="78" t="str">
        <f aca="false">IF(E725="","",ROW()-6)</f>
        <v/>
      </c>
      <c r="B725" s="79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1"/>
      <c r="Q725" s="81"/>
      <c r="R725" s="80"/>
      <c r="S725" s="80"/>
      <c r="T725" s="81"/>
      <c r="U725" s="80"/>
      <c r="V725" s="80"/>
      <c r="W725" s="80"/>
      <c r="X725" s="80"/>
      <c r="Y725" s="81"/>
      <c r="Z725" s="80"/>
      <c r="AA725" s="80"/>
      <c r="AB725" s="80"/>
      <c r="AC725" s="80"/>
      <c r="AD725" s="81"/>
      <c r="AE725" s="80"/>
      <c r="AF725" s="80"/>
      <c r="AG725" s="81"/>
      <c r="AH725" s="79"/>
      <c r="AI725" s="78" t="str">
        <f aca="false">IF(E725="","",(V725&lt;&gt;"")+(AA725&lt;&gt;"")+(AF725&lt;&gt;""))</f>
        <v/>
      </c>
      <c r="AJ725" s="82" t="str">
        <f aca="false">IF(AF725&lt;&gt;"",AF725,IF(AA725&lt;&gt;"",AA725,IF(V725&lt;&gt;"",V725,"")))</f>
        <v/>
      </c>
      <c r="AK725" s="83" t="str">
        <f aca="false">IF(E725="","",IF(P725="","À SOUDER",IF(S725="","VT EN ATTENTE",IF(S725="R","VT REJETÉ – À REPRENDRE",IF(AJ725="","À RADIOGRAPHIER",IF(AJ725="A","ACCEPTÉ",IF(AJ725="NX","NX – RT À REFAIRE",IF(IF(AI725=1,X725,IF(AI725=2,AC725,""))="A","RÉPARÉ – À RADIOGRAPHIER",IF(IF(AI725=1,X725,IF(AI725=2,AC725,""))="R","VT REJETÉ – À REPRENDRE",IF(AJ725="CO","COUPE – À RESOUDER","À RÉPARER"))))))))))</f>
        <v/>
      </c>
      <c r="AL725" s="82" t="str">
        <f aca="false">IF(AND(ISNUMBER(P725),OR(AK725="À RADIOGRAPHIER",AK725="RÉPARÉ – À RADIOGRAPHIER",AK725="NX – RT À REFAIRE",AK725="À RÉPARER",AK725="COUPE – À RESOUDER",AK725="VT REJETÉ – À REPRENDRE")),MAX(0,'PROGRAMME RT'!$C$4-P725),"")</f>
        <v/>
      </c>
      <c r="AM725" s="78" t="n">
        <f aca="false">IF(AND(OR(AK725="À RADIOGRAPHIER",AK725="RÉPARÉ – À RADIOGRAPHIER",AK725="NX – RT À REFAIRE"),OR('PROGRAMME RT'!$D$5="TOUTES",B725='PROGRAMME RT'!$D$5)),1,0)</f>
        <v>0</v>
      </c>
      <c r="AN725" s="78" t="str">
        <f aca="false">IF(AM725=1,SUM(AM$7:AM725),"")</f>
        <v/>
      </c>
      <c r="AO725" s="78" t="n">
        <f aca="false">IF(AND(OR(AK725="À RÉPARER",AK725="COUPE – À RESOUDER",AK725="VT REJETÉ – À REPRENDRE"),OR(RÉPARATIONS!$D$5="TOUTES",B725=RÉPARATIONS!$D$5)),1,0)</f>
        <v>0</v>
      </c>
      <c r="AP725" s="78" t="str">
        <f aca="false">IF(AO725=1,SUM(AO$7:AO725),"")</f>
        <v/>
      </c>
    </row>
    <row r="726" customFormat="false" ht="15" hidden="false" customHeight="false" outlineLevel="0" collapsed="false">
      <c r="A726" s="78" t="str">
        <f aca="false">IF(E726="","",ROW()-6)</f>
        <v/>
      </c>
      <c r="B726" s="79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1"/>
      <c r="Q726" s="81"/>
      <c r="R726" s="80"/>
      <c r="S726" s="80"/>
      <c r="T726" s="81"/>
      <c r="U726" s="80"/>
      <c r="V726" s="80"/>
      <c r="W726" s="80"/>
      <c r="X726" s="80"/>
      <c r="Y726" s="81"/>
      <c r="Z726" s="80"/>
      <c r="AA726" s="80"/>
      <c r="AB726" s="80"/>
      <c r="AC726" s="80"/>
      <c r="AD726" s="81"/>
      <c r="AE726" s="80"/>
      <c r="AF726" s="80"/>
      <c r="AG726" s="81"/>
      <c r="AH726" s="79"/>
      <c r="AI726" s="78" t="str">
        <f aca="false">IF(E726="","",(V726&lt;&gt;"")+(AA726&lt;&gt;"")+(AF726&lt;&gt;""))</f>
        <v/>
      </c>
      <c r="AJ726" s="82" t="str">
        <f aca="false">IF(AF726&lt;&gt;"",AF726,IF(AA726&lt;&gt;"",AA726,IF(V726&lt;&gt;"",V726,"")))</f>
        <v/>
      </c>
      <c r="AK726" s="83" t="str">
        <f aca="false">IF(E726="","",IF(P726="","À SOUDER",IF(S726="","VT EN ATTENTE",IF(S726="R","VT REJETÉ – À REPRENDRE",IF(AJ726="","À RADIOGRAPHIER",IF(AJ726="A","ACCEPTÉ",IF(AJ726="NX","NX – RT À REFAIRE",IF(IF(AI726=1,X726,IF(AI726=2,AC726,""))="A","RÉPARÉ – À RADIOGRAPHIER",IF(IF(AI726=1,X726,IF(AI726=2,AC726,""))="R","VT REJETÉ – À REPRENDRE",IF(AJ726="CO","COUPE – À RESOUDER","À RÉPARER"))))))))))</f>
        <v/>
      </c>
      <c r="AL726" s="82" t="str">
        <f aca="false">IF(AND(ISNUMBER(P726),OR(AK726="À RADIOGRAPHIER",AK726="RÉPARÉ – À RADIOGRAPHIER",AK726="NX – RT À REFAIRE",AK726="À RÉPARER",AK726="COUPE – À RESOUDER",AK726="VT REJETÉ – À REPRENDRE")),MAX(0,'PROGRAMME RT'!$C$4-P726),"")</f>
        <v/>
      </c>
      <c r="AM726" s="78" t="n">
        <f aca="false">IF(AND(OR(AK726="À RADIOGRAPHIER",AK726="RÉPARÉ – À RADIOGRAPHIER",AK726="NX – RT À REFAIRE"),OR('PROGRAMME RT'!$D$5="TOUTES",B726='PROGRAMME RT'!$D$5)),1,0)</f>
        <v>0</v>
      </c>
      <c r="AN726" s="78" t="str">
        <f aca="false">IF(AM726=1,SUM(AM$7:AM726),"")</f>
        <v/>
      </c>
      <c r="AO726" s="78" t="n">
        <f aca="false">IF(AND(OR(AK726="À RÉPARER",AK726="COUPE – À RESOUDER",AK726="VT REJETÉ – À REPRENDRE"),OR(RÉPARATIONS!$D$5="TOUTES",B726=RÉPARATIONS!$D$5)),1,0)</f>
        <v>0</v>
      </c>
      <c r="AP726" s="78" t="str">
        <f aca="false">IF(AO726=1,SUM(AO$7:AO726),"")</f>
        <v/>
      </c>
    </row>
    <row r="727" customFormat="false" ht="15" hidden="false" customHeight="false" outlineLevel="0" collapsed="false">
      <c r="A727" s="78" t="str">
        <f aca="false">IF(E727="","",ROW()-6)</f>
        <v/>
      </c>
      <c r="B727" s="79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1"/>
      <c r="Q727" s="81"/>
      <c r="R727" s="80"/>
      <c r="S727" s="80"/>
      <c r="T727" s="81"/>
      <c r="U727" s="80"/>
      <c r="V727" s="80"/>
      <c r="W727" s="80"/>
      <c r="X727" s="80"/>
      <c r="Y727" s="81"/>
      <c r="Z727" s="80"/>
      <c r="AA727" s="80"/>
      <c r="AB727" s="80"/>
      <c r="AC727" s="80"/>
      <c r="AD727" s="81"/>
      <c r="AE727" s="80"/>
      <c r="AF727" s="80"/>
      <c r="AG727" s="81"/>
      <c r="AH727" s="79"/>
      <c r="AI727" s="78" t="str">
        <f aca="false">IF(E727="","",(V727&lt;&gt;"")+(AA727&lt;&gt;"")+(AF727&lt;&gt;""))</f>
        <v/>
      </c>
      <c r="AJ727" s="82" t="str">
        <f aca="false">IF(AF727&lt;&gt;"",AF727,IF(AA727&lt;&gt;"",AA727,IF(V727&lt;&gt;"",V727,"")))</f>
        <v/>
      </c>
      <c r="AK727" s="83" t="str">
        <f aca="false">IF(E727="","",IF(P727="","À SOUDER",IF(S727="","VT EN ATTENTE",IF(S727="R","VT REJETÉ – À REPRENDRE",IF(AJ727="","À RADIOGRAPHIER",IF(AJ727="A","ACCEPTÉ",IF(AJ727="NX","NX – RT À REFAIRE",IF(IF(AI727=1,X727,IF(AI727=2,AC727,""))="A","RÉPARÉ – À RADIOGRAPHIER",IF(IF(AI727=1,X727,IF(AI727=2,AC727,""))="R","VT REJETÉ – À REPRENDRE",IF(AJ727="CO","COUPE – À RESOUDER","À RÉPARER"))))))))))</f>
        <v/>
      </c>
      <c r="AL727" s="82" t="str">
        <f aca="false">IF(AND(ISNUMBER(P727),OR(AK727="À RADIOGRAPHIER",AK727="RÉPARÉ – À RADIOGRAPHIER",AK727="NX – RT À REFAIRE",AK727="À RÉPARER",AK727="COUPE – À RESOUDER",AK727="VT REJETÉ – À REPRENDRE")),MAX(0,'PROGRAMME RT'!$C$4-P727),"")</f>
        <v/>
      </c>
      <c r="AM727" s="78" t="n">
        <f aca="false">IF(AND(OR(AK727="À RADIOGRAPHIER",AK727="RÉPARÉ – À RADIOGRAPHIER",AK727="NX – RT À REFAIRE"),OR('PROGRAMME RT'!$D$5="TOUTES",B727='PROGRAMME RT'!$D$5)),1,0)</f>
        <v>0</v>
      </c>
      <c r="AN727" s="78" t="str">
        <f aca="false">IF(AM727=1,SUM(AM$7:AM727),"")</f>
        <v/>
      </c>
      <c r="AO727" s="78" t="n">
        <f aca="false">IF(AND(OR(AK727="À RÉPARER",AK727="COUPE – À RESOUDER",AK727="VT REJETÉ – À REPRENDRE"),OR(RÉPARATIONS!$D$5="TOUTES",B727=RÉPARATIONS!$D$5)),1,0)</f>
        <v>0</v>
      </c>
      <c r="AP727" s="78" t="str">
        <f aca="false">IF(AO727=1,SUM(AO$7:AO727),"")</f>
        <v/>
      </c>
    </row>
    <row r="728" customFormat="false" ht="15" hidden="false" customHeight="false" outlineLevel="0" collapsed="false">
      <c r="A728" s="78" t="str">
        <f aca="false">IF(E728="","",ROW()-6)</f>
        <v/>
      </c>
      <c r="B728" s="79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1"/>
      <c r="Q728" s="81"/>
      <c r="R728" s="80"/>
      <c r="S728" s="80"/>
      <c r="T728" s="81"/>
      <c r="U728" s="80"/>
      <c r="V728" s="80"/>
      <c r="W728" s="80"/>
      <c r="X728" s="80"/>
      <c r="Y728" s="81"/>
      <c r="Z728" s="80"/>
      <c r="AA728" s="80"/>
      <c r="AB728" s="80"/>
      <c r="AC728" s="80"/>
      <c r="AD728" s="81"/>
      <c r="AE728" s="80"/>
      <c r="AF728" s="80"/>
      <c r="AG728" s="81"/>
      <c r="AH728" s="79"/>
      <c r="AI728" s="78" t="str">
        <f aca="false">IF(E728="","",(V728&lt;&gt;"")+(AA728&lt;&gt;"")+(AF728&lt;&gt;""))</f>
        <v/>
      </c>
      <c r="AJ728" s="82" t="str">
        <f aca="false">IF(AF728&lt;&gt;"",AF728,IF(AA728&lt;&gt;"",AA728,IF(V728&lt;&gt;"",V728,"")))</f>
        <v/>
      </c>
      <c r="AK728" s="83" t="str">
        <f aca="false">IF(E728="","",IF(P728="","À SOUDER",IF(S728="","VT EN ATTENTE",IF(S728="R","VT REJETÉ – À REPRENDRE",IF(AJ728="","À RADIOGRAPHIER",IF(AJ728="A","ACCEPTÉ",IF(AJ728="NX","NX – RT À REFAIRE",IF(IF(AI728=1,X728,IF(AI728=2,AC728,""))="A","RÉPARÉ – À RADIOGRAPHIER",IF(IF(AI728=1,X728,IF(AI728=2,AC728,""))="R","VT REJETÉ – À REPRENDRE",IF(AJ728="CO","COUPE – À RESOUDER","À RÉPARER"))))))))))</f>
        <v/>
      </c>
      <c r="AL728" s="82" t="str">
        <f aca="false">IF(AND(ISNUMBER(P728),OR(AK728="À RADIOGRAPHIER",AK728="RÉPARÉ – À RADIOGRAPHIER",AK728="NX – RT À REFAIRE",AK728="À RÉPARER",AK728="COUPE – À RESOUDER",AK728="VT REJETÉ – À REPRENDRE")),MAX(0,'PROGRAMME RT'!$C$4-P728),"")</f>
        <v/>
      </c>
      <c r="AM728" s="78" t="n">
        <f aca="false">IF(AND(OR(AK728="À RADIOGRAPHIER",AK728="RÉPARÉ – À RADIOGRAPHIER",AK728="NX – RT À REFAIRE"),OR('PROGRAMME RT'!$D$5="TOUTES",B728='PROGRAMME RT'!$D$5)),1,0)</f>
        <v>0</v>
      </c>
      <c r="AN728" s="78" t="str">
        <f aca="false">IF(AM728=1,SUM(AM$7:AM728),"")</f>
        <v/>
      </c>
      <c r="AO728" s="78" t="n">
        <f aca="false">IF(AND(OR(AK728="À RÉPARER",AK728="COUPE – À RESOUDER",AK728="VT REJETÉ – À REPRENDRE"),OR(RÉPARATIONS!$D$5="TOUTES",B728=RÉPARATIONS!$D$5)),1,0)</f>
        <v>0</v>
      </c>
      <c r="AP728" s="78" t="str">
        <f aca="false">IF(AO728=1,SUM(AO$7:AO728),"")</f>
        <v/>
      </c>
    </row>
    <row r="729" customFormat="false" ht="15" hidden="false" customHeight="false" outlineLevel="0" collapsed="false">
      <c r="A729" s="78" t="str">
        <f aca="false">IF(E729="","",ROW()-6)</f>
        <v/>
      </c>
      <c r="B729" s="79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1"/>
      <c r="Q729" s="81"/>
      <c r="R729" s="80"/>
      <c r="S729" s="80"/>
      <c r="T729" s="81"/>
      <c r="U729" s="80"/>
      <c r="V729" s="80"/>
      <c r="W729" s="80"/>
      <c r="X729" s="80"/>
      <c r="Y729" s="81"/>
      <c r="Z729" s="80"/>
      <c r="AA729" s="80"/>
      <c r="AB729" s="80"/>
      <c r="AC729" s="80"/>
      <c r="AD729" s="81"/>
      <c r="AE729" s="80"/>
      <c r="AF729" s="80"/>
      <c r="AG729" s="81"/>
      <c r="AH729" s="79"/>
      <c r="AI729" s="78" t="str">
        <f aca="false">IF(E729="","",(V729&lt;&gt;"")+(AA729&lt;&gt;"")+(AF729&lt;&gt;""))</f>
        <v/>
      </c>
      <c r="AJ729" s="82" t="str">
        <f aca="false">IF(AF729&lt;&gt;"",AF729,IF(AA729&lt;&gt;"",AA729,IF(V729&lt;&gt;"",V729,"")))</f>
        <v/>
      </c>
      <c r="AK729" s="83" t="str">
        <f aca="false">IF(E729="","",IF(P729="","À SOUDER",IF(S729="","VT EN ATTENTE",IF(S729="R","VT REJETÉ – À REPRENDRE",IF(AJ729="","À RADIOGRAPHIER",IF(AJ729="A","ACCEPTÉ",IF(AJ729="NX","NX – RT À REFAIRE",IF(IF(AI729=1,X729,IF(AI729=2,AC729,""))="A","RÉPARÉ – À RADIOGRAPHIER",IF(IF(AI729=1,X729,IF(AI729=2,AC729,""))="R","VT REJETÉ – À REPRENDRE",IF(AJ729="CO","COUPE – À RESOUDER","À RÉPARER"))))))))))</f>
        <v/>
      </c>
      <c r="AL729" s="82" t="str">
        <f aca="false">IF(AND(ISNUMBER(P729),OR(AK729="À RADIOGRAPHIER",AK729="RÉPARÉ – À RADIOGRAPHIER",AK729="NX – RT À REFAIRE",AK729="À RÉPARER",AK729="COUPE – À RESOUDER",AK729="VT REJETÉ – À REPRENDRE")),MAX(0,'PROGRAMME RT'!$C$4-P729),"")</f>
        <v/>
      </c>
      <c r="AM729" s="78" t="n">
        <f aca="false">IF(AND(OR(AK729="À RADIOGRAPHIER",AK729="RÉPARÉ – À RADIOGRAPHIER",AK729="NX – RT À REFAIRE"),OR('PROGRAMME RT'!$D$5="TOUTES",B729='PROGRAMME RT'!$D$5)),1,0)</f>
        <v>0</v>
      </c>
      <c r="AN729" s="78" t="str">
        <f aca="false">IF(AM729=1,SUM(AM$7:AM729),"")</f>
        <v/>
      </c>
      <c r="AO729" s="78" t="n">
        <f aca="false">IF(AND(OR(AK729="À RÉPARER",AK729="COUPE – À RESOUDER",AK729="VT REJETÉ – À REPRENDRE"),OR(RÉPARATIONS!$D$5="TOUTES",B729=RÉPARATIONS!$D$5)),1,0)</f>
        <v>0</v>
      </c>
      <c r="AP729" s="78" t="str">
        <f aca="false">IF(AO729=1,SUM(AO$7:AO729),"")</f>
        <v/>
      </c>
    </row>
    <row r="730" customFormat="false" ht="15" hidden="false" customHeight="false" outlineLevel="0" collapsed="false">
      <c r="A730" s="78" t="str">
        <f aca="false">IF(E730="","",ROW()-6)</f>
        <v/>
      </c>
      <c r="B730" s="79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1"/>
      <c r="Q730" s="81"/>
      <c r="R730" s="80"/>
      <c r="S730" s="80"/>
      <c r="T730" s="81"/>
      <c r="U730" s="80"/>
      <c r="V730" s="80"/>
      <c r="W730" s="80"/>
      <c r="X730" s="80"/>
      <c r="Y730" s="81"/>
      <c r="Z730" s="80"/>
      <c r="AA730" s="80"/>
      <c r="AB730" s="80"/>
      <c r="AC730" s="80"/>
      <c r="AD730" s="81"/>
      <c r="AE730" s="80"/>
      <c r="AF730" s="80"/>
      <c r="AG730" s="81"/>
      <c r="AH730" s="79"/>
      <c r="AI730" s="78" t="str">
        <f aca="false">IF(E730="","",(V730&lt;&gt;"")+(AA730&lt;&gt;"")+(AF730&lt;&gt;""))</f>
        <v/>
      </c>
      <c r="AJ730" s="82" t="str">
        <f aca="false">IF(AF730&lt;&gt;"",AF730,IF(AA730&lt;&gt;"",AA730,IF(V730&lt;&gt;"",V730,"")))</f>
        <v/>
      </c>
      <c r="AK730" s="83" t="str">
        <f aca="false">IF(E730="","",IF(P730="","À SOUDER",IF(S730="","VT EN ATTENTE",IF(S730="R","VT REJETÉ – À REPRENDRE",IF(AJ730="","À RADIOGRAPHIER",IF(AJ730="A","ACCEPTÉ",IF(AJ730="NX","NX – RT À REFAIRE",IF(IF(AI730=1,X730,IF(AI730=2,AC730,""))="A","RÉPARÉ – À RADIOGRAPHIER",IF(IF(AI730=1,X730,IF(AI730=2,AC730,""))="R","VT REJETÉ – À REPRENDRE",IF(AJ730="CO","COUPE – À RESOUDER","À RÉPARER"))))))))))</f>
        <v/>
      </c>
      <c r="AL730" s="82" t="str">
        <f aca="false">IF(AND(ISNUMBER(P730),OR(AK730="À RADIOGRAPHIER",AK730="RÉPARÉ – À RADIOGRAPHIER",AK730="NX – RT À REFAIRE",AK730="À RÉPARER",AK730="COUPE – À RESOUDER",AK730="VT REJETÉ – À REPRENDRE")),MAX(0,'PROGRAMME RT'!$C$4-P730),"")</f>
        <v/>
      </c>
      <c r="AM730" s="78" t="n">
        <f aca="false">IF(AND(OR(AK730="À RADIOGRAPHIER",AK730="RÉPARÉ – À RADIOGRAPHIER",AK730="NX – RT À REFAIRE"),OR('PROGRAMME RT'!$D$5="TOUTES",B730='PROGRAMME RT'!$D$5)),1,0)</f>
        <v>0</v>
      </c>
      <c r="AN730" s="78" t="str">
        <f aca="false">IF(AM730=1,SUM(AM$7:AM730),"")</f>
        <v/>
      </c>
      <c r="AO730" s="78" t="n">
        <f aca="false">IF(AND(OR(AK730="À RÉPARER",AK730="COUPE – À RESOUDER",AK730="VT REJETÉ – À REPRENDRE"),OR(RÉPARATIONS!$D$5="TOUTES",B730=RÉPARATIONS!$D$5)),1,0)</f>
        <v>0</v>
      </c>
      <c r="AP730" s="78" t="str">
        <f aca="false">IF(AO730=1,SUM(AO$7:AO730),"")</f>
        <v/>
      </c>
    </row>
    <row r="731" customFormat="false" ht="15" hidden="false" customHeight="false" outlineLevel="0" collapsed="false">
      <c r="A731" s="78" t="str">
        <f aca="false">IF(E731="","",ROW()-6)</f>
        <v/>
      </c>
      <c r="B731" s="79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1"/>
      <c r="Q731" s="81"/>
      <c r="R731" s="80"/>
      <c r="S731" s="80"/>
      <c r="T731" s="81"/>
      <c r="U731" s="80"/>
      <c r="V731" s="80"/>
      <c r="W731" s="80"/>
      <c r="X731" s="80"/>
      <c r="Y731" s="81"/>
      <c r="Z731" s="80"/>
      <c r="AA731" s="80"/>
      <c r="AB731" s="80"/>
      <c r="AC731" s="80"/>
      <c r="AD731" s="81"/>
      <c r="AE731" s="80"/>
      <c r="AF731" s="80"/>
      <c r="AG731" s="81"/>
      <c r="AH731" s="79"/>
      <c r="AI731" s="78" t="str">
        <f aca="false">IF(E731="","",(V731&lt;&gt;"")+(AA731&lt;&gt;"")+(AF731&lt;&gt;""))</f>
        <v/>
      </c>
      <c r="AJ731" s="82" t="str">
        <f aca="false">IF(AF731&lt;&gt;"",AF731,IF(AA731&lt;&gt;"",AA731,IF(V731&lt;&gt;"",V731,"")))</f>
        <v/>
      </c>
      <c r="AK731" s="83" t="str">
        <f aca="false">IF(E731="","",IF(P731="","À SOUDER",IF(S731="","VT EN ATTENTE",IF(S731="R","VT REJETÉ – À REPRENDRE",IF(AJ731="","À RADIOGRAPHIER",IF(AJ731="A","ACCEPTÉ",IF(AJ731="NX","NX – RT À REFAIRE",IF(IF(AI731=1,X731,IF(AI731=2,AC731,""))="A","RÉPARÉ – À RADIOGRAPHIER",IF(IF(AI731=1,X731,IF(AI731=2,AC731,""))="R","VT REJETÉ – À REPRENDRE",IF(AJ731="CO","COUPE – À RESOUDER","À RÉPARER"))))))))))</f>
        <v/>
      </c>
      <c r="AL731" s="82" t="str">
        <f aca="false">IF(AND(ISNUMBER(P731),OR(AK731="À RADIOGRAPHIER",AK731="RÉPARÉ – À RADIOGRAPHIER",AK731="NX – RT À REFAIRE",AK731="À RÉPARER",AK731="COUPE – À RESOUDER",AK731="VT REJETÉ – À REPRENDRE")),MAX(0,'PROGRAMME RT'!$C$4-P731),"")</f>
        <v/>
      </c>
      <c r="AM731" s="78" t="n">
        <f aca="false">IF(AND(OR(AK731="À RADIOGRAPHIER",AK731="RÉPARÉ – À RADIOGRAPHIER",AK731="NX – RT À REFAIRE"),OR('PROGRAMME RT'!$D$5="TOUTES",B731='PROGRAMME RT'!$D$5)),1,0)</f>
        <v>0</v>
      </c>
      <c r="AN731" s="78" t="str">
        <f aca="false">IF(AM731=1,SUM(AM$7:AM731),"")</f>
        <v/>
      </c>
      <c r="AO731" s="78" t="n">
        <f aca="false">IF(AND(OR(AK731="À RÉPARER",AK731="COUPE – À RESOUDER",AK731="VT REJETÉ – À REPRENDRE"),OR(RÉPARATIONS!$D$5="TOUTES",B731=RÉPARATIONS!$D$5)),1,0)</f>
        <v>0</v>
      </c>
      <c r="AP731" s="78" t="str">
        <f aca="false">IF(AO731=1,SUM(AO$7:AO731),"")</f>
        <v/>
      </c>
    </row>
    <row r="732" customFormat="false" ht="15" hidden="false" customHeight="false" outlineLevel="0" collapsed="false">
      <c r="A732" s="78" t="str">
        <f aca="false">IF(E732="","",ROW()-6)</f>
        <v/>
      </c>
      <c r="B732" s="79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1"/>
      <c r="Q732" s="81"/>
      <c r="R732" s="80"/>
      <c r="S732" s="80"/>
      <c r="T732" s="81"/>
      <c r="U732" s="80"/>
      <c r="V732" s="80"/>
      <c r="W732" s="80"/>
      <c r="X732" s="80"/>
      <c r="Y732" s="81"/>
      <c r="Z732" s="80"/>
      <c r="AA732" s="80"/>
      <c r="AB732" s="80"/>
      <c r="AC732" s="80"/>
      <c r="AD732" s="81"/>
      <c r="AE732" s="80"/>
      <c r="AF732" s="80"/>
      <c r="AG732" s="81"/>
      <c r="AH732" s="79"/>
      <c r="AI732" s="78" t="str">
        <f aca="false">IF(E732="","",(V732&lt;&gt;"")+(AA732&lt;&gt;"")+(AF732&lt;&gt;""))</f>
        <v/>
      </c>
      <c r="AJ732" s="82" t="str">
        <f aca="false">IF(AF732&lt;&gt;"",AF732,IF(AA732&lt;&gt;"",AA732,IF(V732&lt;&gt;"",V732,"")))</f>
        <v/>
      </c>
      <c r="AK732" s="83" t="str">
        <f aca="false">IF(E732="","",IF(P732="","À SOUDER",IF(S732="","VT EN ATTENTE",IF(S732="R","VT REJETÉ – À REPRENDRE",IF(AJ732="","À RADIOGRAPHIER",IF(AJ732="A","ACCEPTÉ",IF(AJ732="NX","NX – RT À REFAIRE",IF(IF(AI732=1,X732,IF(AI732=2,AC732,""))="A","RÉPARÉ – À RADIOGRAPHIER",IF(IF(AI732=1,X732,IF(AI732=2,AC732,""))="R","VT REJETÉ – À REPRENDRE",IF(AJ732="CO","COUPE – À RESOUDER","À RÉPARER"))))))))))</f>
        <v/>
      </c>
      <c r="AL732" s="82" t="str">
        <f aca="false">IF(AND(ISNUMBER(P732),OR(AK732="À RADIOGRAPHIER",AK732="RÉPARÉ – À RADIOGRAPHIER",AK732="NX – RT À REFAIRE",AK732="À RÉPARER",AK732="COUPE – À RESOUDER",AK732="VT REJETÉ – À REPRENDRE")),MAX(0,'PROGRAMME RT'!$C$4-P732),"")</f>
        <v/>
      </c>
      <c r="AM732" s="78" t="n">
        <f aca="false">IF(AND(OR(AK732="À RADIOGRAPHIER",AK732="RÉPARÉ – À RADIOGRAPHIER",AK732="NX – RT À REFAIRE"),OR('PROGRAMME RT'!$D$5="TOUTES",B732='PROGRAMME RT'!$D$5)),1,0)</f>
        <v>0</v>
      </c>
      <c r="AN732" s="78" t="str">
        <f aca="false">IF(AM732=1,SUM(AM$7:AM732),"")</f>
        <v/>
      </c>
      <c r="AO732" s="78" t="n">
        <f aca="false">IF(AND(OR(AK732="À RÉPARER",AK732="COUPE – À RESOUDER",AK732="VT REJETÉ – À REPRENDRE"),OR(RÉPARATIONS!$D$5="TOUTES",B732=RÉPARATIONS!$D$5)),1,0)</f>
        <v>0</v>
      </c>
      <c r="AP732" s="78" t="str">
        <f aca="false">IF(AO732=1,SUM(AO$7:AO732),"")</f>
        <v/>
      </c>
    </row>
    <row r="733" customFormat="false" ht="15" hidden="false" customHeight="false" outlineLevel="0" collapsed="false">
      <c r="A733" s="78" t="str">
        <f aca="false">IF(E733="","",ROW()-6)</f>
        <v/>
      </c>
      <c r="B733" s="79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1"/>
      <c r="Q733" s="81"/>
      <c r="R733" s="80"/>
      <c r="S733" s="80"/>
      <c r="T733" s="81"/>
      <c r="U733" s="80"/>
      <c r="V733" s="80"/>
      <c r="W733" s="80"/>
      <c r="X733" s="80"/>
      <c r="Y733" s="81"/>
      <c r="Z733" s="80"/>
      <c r="AA733" s="80"/>
      <c r="AB733" s="80"/>
      <c r="AC733" s="80"/>
      <c r="AD733" s="81"/>
      <c r="AE733" s="80"/>
      <c r="AF733" s="80"/>
      <c r="AG733" s="81"/>
      <c r="AH733" s="79"/>
      <c r="AI733" s="78" t="str">
        <f aca="false">IF(E733="","",(V733&lt;&gt;"")+(AA733&lt;&gt;"")+(AF733&lt;&gt;""))</f>
        <v/>
      </c>
      <c r="AJ733" s="82" t="str">
        <f aca="false">IF(AF733&lt;&gt;"",AF733,IF(AA733&lt;&gt;"",AA733,IF(V733&lt;&gt;"",V733,"")))</f>
        <v/>
      </c>
      <c r="AK733" s="83" t="str">
        <f aca="false">IF(E733="","",IF(P733="","À SOUDER",IF(S733="","VT EN ATTENTE",IF(S733="R","VT REJETÉ – À REPRENDRE",IF(AJ733="","À RADIOGRAPHIER",IF(AJ733="A","ACCEPTÉ",IF(AJ733="NX","NX – RT À REFAIRE",IF(IF(AI733=1,X733,IF(AI733=2,AC733,""))="A","RÉPARÉ – À RADIOGRAPHIER",IF(IF(AI733=1,X733,IF(AI733=2,AC733,""))="R","VT REJETÉ – À REPRENDRE",IF(AJ733="CO","COUPE – À RESOUDER","À RÉPARER"))))))))))</f>
        <v/>
      </c>
      <c r="AL733" s="82" t="str">
        <f aca="false">IF(AND(ISNUMBER(P733),OR(AK733="À RADIOGRAPHIER",AK733="RÉPARÉ – À RADIOGRAPHIER",AK733="NX – RT À REFAIRE",AK733="À RÉPARER",AK733="COUPE – À RESOUDER",AK733="VT REJETÉ – À REPRENDRE")),MAX(0,'PROGRAMME RT'!$C$4-P733),"")</f>
        <v/>
      </c>
      <c r="AM733" s="78" t="n">
        <f aca="false">IF(AND(OR(AK733="À RADIOGRAPHIER",AK733="RÉPARÉ – À RADIOGRAPHIER",AK733="NX – RT À REFAIRE"),OR('PROGRAMME RT'!$D$5="TOUTES",B733='PROGRAMME RT'!$D$5)),1,0)</f>
        <v>0</v>
      </c>
      <c r="AN733" s="78" t="str">
        <f aca="false">IF(AM733=1,SUM(AM$7:AM733),"")</f>
        <v/>
      </c>
      <c r="AO733" s="78" t="n">
        <f aca="false">IF(AND(OR(AK733="À RÉPARER",AK733="COUPE – À RESOUDER",AK733="VT REJETÉ – À REPRENDRE"),OR(RÉPARATIONS!$D$5="TOUTES",B733=RÉPARATIONS!$D$5)),1,0)</f>
        <v>0</v>
      </c>
      <c r="AP733" s="78" t="str">
        <f aca="false">IF(AO733=1,SUM(AO$7:AO733),"")</f>
        <v/>
      </c>
    </row>
    <row r="734" customFormat="false" ht="15" hidden="false" customHeight="false" outlineLevel="0" collapsed="false">
      <c r="A734" s="78" t="str">
        <f aca="false">IF(E734="","",ROW()-6)</f>
        <v/>
      </c>
      <c r="B734" s="79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1"/>
      <c r="Q734" s="81"/>
      <c r="R734" s="80"/>
      <c r="S734" s="80"/>
      <c r="T734" s="81"/>
      <c r="U734" s="80"/>
      <c r="V734" s="80"/>
      <c r="W734" s="80"/>
      <c r="X734" s="80"/>
      <c r="Y734" s="81"/>
      <c r="Z734" s="80"/>
      <c r="AA734" s="80"/>
      <c r="AB734" s="80"/>
      <c r="AC734" s="80"/>
      <c r="AD734" s="81"/>
      <c r="AE734" s="80"/>
      <c r="AF734" s="80"/>
      <c r="AG734" s="81"/>
      <c r="AH734" s="79"/>
      <c r="AI734" s="78" t="str">
        <f aca="false">IF(E734="","",(V734&lt;&gt;"")+(AA734&lt;&gt;"")+(AF734&lt;&gt;""))</f>
        <v/>
      </c>
      <c r="AJ734" s="82" t="str">
        <f aca="false">IF(AF734&lt;&gt;"",AF734,IF(AA734&lt;&gt;"",AA734,IF(V734&lt;&gt;"",V734,"")))</f>
        <v/>
      </c>
      <c r="AK734" s="83" t="str">
        <f aca="false">IF(E734="","",IF(P734="","À SOUDER",IF(S734="","VT EN ATTENTE",IF(S734="R","VT REJETÉ – À REPRENDRE",IF(AJ734="","À RADIOGRAPHIER",IF(AJ734="A","ACCEPTÉ",IF(AJ734="NX","NX – RT À REFAIRE",IF(IF(AI734=1,X734,IF(AI734=2,AC734,""))="A","RÉPARÉ – À RADIOGRAPHIER",IF(IF(AI734=1,X734,IF(AI734=2,AC734,""))="R","VT REJETÉ – À REPRENDRE",IF(AJ734="CO","COUPE – À RESOUDER","À RÉPARER"))))))))))</f>
        <v/>
      </c>
      <c r="AL734" s="82" t="str">
        <f aca="false">IF(AND(ISNUMBER(P734),OR(AK734="À RADIOGRAPHIER",AK734="RÉPARÉ – À RADIOGRAPHIER",AK734="NX – RT À REFAIRE",AK734="À RÉPARER",AK734="COUPE – À RESOUDER",AK734="VT REJETÉ – À REPRENDRE")),MAX(0,'PROGRAMME RT'!$C$4-P734),"")</f>
        <v/>
      </c>
      <c r="AM734" s="78" t="n">
        <f aca="false">IF(AND(OR(AK734="À RADIOGRAPHIER",AK734="RÉPARÉ – À RADIOGRAPHIER",AK734="NX – RT À REFAIRE"),OR('PROGRAMME RT'!$D$5="TOUTES",B734='PROGRAMME RT'!$D$5)),1,0)</f>
        <v>0</v>
      </c>
      <c r="AN734" s="78" t="str">
        <f aca="false">IF(AM734=1,SUM(AM$7:AM734),"")</f>
        <v/>
      </c>
      <c r="AO734" s="78" t="n">
        <f aca="false">IF(AND(OR(AK734="À RÉPARER",AK734="COUPE – À RESOUDER",AK734="VT REJETÉ – À REPRENDRE"),OR(RÉPARATIONS!$D$5="TOUTES",B734=RÉPARATIONS!$D$5)),1,0)</f>
        <v>0</v>
      </c>
      <c r="AP734" s="78" t="str">
        <f aca="false">IF(AO734=1,SUM(AO$7:AO734),"")</f>
        <v/>
      </c>
    </row>
    <row r="735" customFormat="false" ht="15" hidden="false" customHeight="false" outlineLevel="0" collapsed="false">
      <c r="A735" s="78" t="str">
        <f aca="false">IF(E735="","",ROW()-6)</f>
        <v/>
      </c>
      <c r="B735" s="79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1"/>
      <c r="Q735" s="81"/>
      <c r="R735" s="80"/>
      <c r="S735" s="80"/>
      <c r="T735" s="81"/>
      <c r="U735" s="80"/>
      <c r="V735" s="80"/>
      <c r="W735" s="80"/>
      <c r="X735" s="80"/>
      <c r="Y735" s="81"/>
      <c r="Z735" s="80"/>
      <c r="AA735" s="80"/>
      <c r="AB735" s="80"/>
      <c r="AC735" s="80"/>
      <c r="AD735" s="81"/>
      <c r="AE735" s="80"/>
      <c r="AF735" s="80"/>
      <c r="AG735" s="81"/>
      <c r="AH735" s="79"/>
      <c r="AI735" s="78" t="str">
        <f aca="false">IF(E735="","",(V735&lt;&gt;"")+(AA735&lt;&gt;"")+(AF735&lt;&gt;""))</f>
        <v/>
      </c>
      <c r="AJ735" s="82" t="str">
        <f aca="false">IF(AF735&lt;&gt;"",AF735,IF(AA735&lt;&gt;"",AA735,IF(V735&lt;&gt;"",V735,"")))</f>
        <v/>
      </c>
      <c r="AK735" s="83" t="str">
        <f aca="false">IF(E735="","",IF(P735="","À SOUDER",IF(S735="","VT EN ATTENTE",IF(S735="R","VT REJETÉ – À REPRENDRE",IF(AJ735="","À RADIOGRAPHIER",IF(AJ735="A","ACCEPTÉ",IF(AJ735="NX","NX – RT À REFAIRE",IF(IF(AI735=1,X735,IF(AI735=2,AC735,""))="A","RÉPARÉ – À RADIOGRAPHIER",IF(IF(AI735=1,X735,IF(AI735=2,AC735,""))="R","VT REJETÉ – À REPRENDRE",IF(AJ735="CO","COUPE – À RESOUDER","À RÉPARER"))))))))))</f>
        <v/>
      </c>
      <c r="AL735" s="82" t="str">
        <f aca="false">IF(AND(ISNUMBER(P735),OR(AK735="À RADIOGRAPHIER",AK735="RÉPARÉ – À RADIOGRAPHIER",AK735="NX – RT À REFAIRE",AK735="À RÉPARER",AK735="COUPE – À RESOUDER",AK735="VT REJETÉ – À REPRENDRE")),MAX(0,'PROGRAMME RT'!$C$4-P735),"")</f>
        <v/>
      </c>
      <c r="AM735" s="78" t="n">
        <f aca="false">IF(AND(OR(AK735="À RADIOGRAPHIER",AK735="RÉPARÉ – À RADIOGRAPHIER",AK735="NX – RT À REFAIRE"),OR('PROGRAMME RT'!$D$5="TOUTES",B735='PROGRAMME RT'!$D$5)),1,0)</f>
        <v>0</v>
      </c>
      <c r="AN735" s="78" t="str">
        <f aca="false">IF(AM735=1,SUM(AM$7:AM735),"")</f>
        <v/>
      </c>
      <c r="AO735" s="78" t="n">
        <f aca="false">IF(AND(OR(AK735="À RÉPARER",AK735="COUPE – À RESOUDER",AK735="VT REJETÉ – À REPRENDRE"),OR(RÉPARATIONS!$D$5="TOUTES",B735=RÉPARATIONS!$D$5)),1,0)</f>
        <v>0</v>
      </c>
      <c r="AP735" s="78" t="str">
        <f aca="false">IF(AO735=1,SUM(AO$7:AO735),"")</f>
        <v/>
      </c>
    </row>
    <row r="736" customFormat="false" ht="15" hidden="false" customHeight="false" outlineLevel="0" collapsed="false">
      <c r="A736" s="78" t="str">
        <f aca="false">IF(E736="","",ROW()-6)</f>
        <v/>
      </c>
      <c r="B736" s="79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1"/>
      <c r="Q736" s="81"/>
      <c r="R736" s="80"/>
      <c r="S736" s="80"/>
      <c r="T736" s="81"/>
      <c r="U736" s="80"/>
      <c r="V736" s="80"/>
      <c r="W736" s="80"/>
      <c r="X736" s="80"/>
      <c r="Y736" s="81"/>
      <c r="Z736" s="80"/>
      <c r="AA736" s="80"/>
      <c r="AB736" s="80"/>
      <c r="AC736" s="80"/>
      <c r="AD736" s="81"/>
      <c r="AE736" s="80"/>
      <c r="AF736" s="80"/>
      <c r="AG736" s="81"/>
      <c r="AH736" s="79"/>
      <c r="AI736" s="78" t="str">
        <f aca="false">IF(E736="","",(V736&lt;&gt;"")+(AA736&lt;&gt;"")+(AF736&lt;&gt;""))</f>
        <v/>
      </c>
      <c r="AJ736" s="82" t="str">
        <f aca="false">IF(AF736&lt;&gt;"",AF736,IF(AA736&lt;&gt;"",AA736,IF(V736&lt;&gt;"",V736,"")))</f>
        <v/>
      </c>
      <c r="AK736" s="83" t="str">
        <f aca="false">IF(E736="","",IF(P736="","À SOUDER",IF(S736="","VT EN ATTENTE",IF(S736="R","VT REJETÉ – À REPRENDRE",IF(AJ736="","À RADIOGRAPHIER",IF(AJ736="A","ACCEPTÉ",IF(AJ736="NX","NX – RT À REFAIRE",IF(IF(AI736=1,X736,IF(AI736=2,AC736,""))="A","RÉPARÉ – À RADIOGRAPHIER",IF(IF(AI736=1,X736,IF(AI736=2,AC736,""))="R","VT REJETÉ – À REPRENDRE",IF(AJ736="CO","COUPE – À RESOUDER","À RÉPARER"))))))))))</f>
        <v/>
      </c>
      <c r="AL736" s="82" t="str">
        <f aca="false">IF(AND(ISNUMBER(P736),OR(AK736="À RADIOGRAPHIER",AK736="RÉPARÉ – À RADIOGRAPHIER",AK736="NX – RT À REFAIRE",AK736="À RÉPARER",AK736="COUPE – À RESOUDER",AK736="VT REJETÉ – À REPRENDRE")),MAX(0,'PROGRAMME RT'!$C$4-P736),"")</f>
        <v/>
      </c>
      <c r="AM736" s="78" t="n">
        <f aca="false">IF(AND(OR(AK736="À RADIOGRAPHIER",AK736="RÉPARÉ – À RADIOGRAPHIER",AK736="NX – RT À REFAIRE"),OR('PROGRAMME RT'!$D$5="TOUTES",B736='PROGRAMME RT'!$D$5)),1,0)</f>
        <v>0</v>
      </c>
      <c r="AN736" s="78" t="str">
        <f aca="false">IF(AM736=1,SUM(AM$7:AM736),"")</f>
        <v/>
      </c>
      <c r="AO736" s="78" t="n">
        <f aca="false">IF(AND(OR(AK736="À RÉPARER",AK736="COUPE – À RESOUDER",AK736="VT REJETÉ – À REPRENDRE"),OR(RÉPARATIONS!$D$5="TOUTES",B736=RÉPARATIONS!$D$5)),1,0)</f>
        <v>0</v>
      </c>
      <c r="AP736" s="78" t="str">
        <f aca="false">IF(AO736=1,SUM(AO$7:AO736),"")</f>
        <v/>
      </c>
    </row>
    <row r="737" customFormat="false" ht="15" hidden="false" customHeight="false" outlineLevel="0" collapsed="false">
      <c r="A737" s="78" t="str">
        <f aca="false">IF(E737="","",ROW()-6)</f>
        <v/>
      </c>
      <c r="B737" s="79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1"/>
      <c r="Q737" s="81"/>
      <c r="R737" s="80"/>
      <c r="S737" s="80"/>
      <c r="T737" s="81"/>
      <c r="U737" s="80"/>
      <c r="V737" s="80"/>
      <c r="W737" s="80"/>
      <c r="X737" s="80"/>
      <c r="Y737" s="81"/>
      <c r="Z737" s="80"/>
      <c r="AA737" s="80"/>
      <c r="AB737" s="80"/>
      <c r="AC737" s="80"/>
      <c r="AD737" s="81"/>
      <c r="AE737" s="80"/>
      <c r="AF737" s="80"/>
      <c r="AG737" s="81"/>
      <c r="AH737" s="79"/>
      <c r="AI737" s="78" t="str">
        <f aca="false">IF(E737="","",(V737&lt;&gt;"")+(AA737&lt;&gt;"")+(AF737&lt;&gt;""))</f>
        <v/>
      </c>
      <c r="AJ737" s="82" t="str">
        <f aca="false">IF(AF737&lt;&gt;"",AF737,IF(AA737&lt;&gt;"",AA737,IF(V737&lt;&gt;"",V737,"")))</f>
        <v/>
      </c>
      <c r="AK737" s="83" t="str">
        <f aca="false">IF(E737="","",IF(P737="","À SOUDER",IF(S737="","VT EN ATTENTE",IF(S737="R","VT REJETÉ – À REPRENDRE",IF(AJ737="","À RADIOGRAPHIER",IF(AJ737="A","ACCEPTÉ",IF(AJ737="NX","NX – RT À REFAIRE",IF(IF(AI737=1,X737,IF(AI737=2,AC737,""))="A","RÉPARÉ – À RADIOGRAPHIER",IF(IF(AI737=1,X737,IF(AI737=2,AC737,""))="R","VT REJETÉ – À REPRENDRE",IF(AJ737="CO","COUPE – À RESOUDER","À RÉPARER"))))))))))</f>
        <v/>
      </c>
      <c r="AL737" s="82" t="str">
        <f aca="false">IF(AND(ISNUMBER(P737),OR(AK737="À RADIOGRAPHIER",AK737="RÉPARÉ – À RADIOGRAPHIER",AK737="NX – RT À REFAIRE",AK737="À RÉPARER",AK737="COUPE – À RESOUDER",AK737="VT REJETÉ – À REPRENDRE")),MAX(0,'PROGRAMME RT'!$C$4-P737),"")</f>
        <v/>
      </c>
      <c r="AM737" s="78" t="n">
        <f aca="false">IF(AND(OR(AK737="À RADIOGRAPHIER",AK737="RÉPARÉ – À RADIOGRAPHIER",AK737="NX – RT À REFAIRE"),OR('PROGRAMME RT'!$D$5="TOUTES",B737='PROGRAMME RT'!$D$5)),1,0)</f>
        <v>0</v>
      </c>
      <c r="AN737" s="78" t="str">
        <f aca="false">IF(AM737=1,SUM(AM$7:AM737),"")</f>
        <v/>
      </c>
      <c r="AO737" s="78" t="n">
        <f aca="false">IF(AND(OR(AK737="À RÉPARER",AK737="COUPE – À RESOUDER",AK737="VT REJETÉ – À REPRENDRE"),OR(RÉPARATIONS!$D$5="TOUTES",B737=RÉPARATIONS!$D$5)),1,0)</f>
        <v>0</v>
      </c>
      <c r="AP737" s="78" t="str">
        <f aca="false">IF(AO737=1,SUM(AO$7:AO737),"")</f>
        <v/>
      </c>
    </row>
    <row r="738" customFormat="false" ht="15" hidden="false" customHeight="false" outlineLevel="0" collapsed="false">
      <c r="A738" s="78" t="str">
        <f aca="false">IF(E738="","",ROW()-6)</f>
        <v/>
      </c>
      <c r="B738" s="79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1"/>
      <c r="Q738" s="81"/>
      <c r="R738" s="80"/>
      <c r="S738" s="80"/>
      <c r="T738" s="81"/>
      <c r="U738" s="80"/>
      <c r="V738" s="80"/>
      <c r="W738" s="80"/>
      <c r="X738" s="80"/>
      <c r="Y738" s="81"/>
      <c r="Z738" s="80"/>
      <c r="AA738" s="80"/>
      <c r="AB738" s="80"/>
      <c r="AC738" s="80"/>
      <c r="AD738" s="81"/>
      <c r="AE738" s="80"/>
      <c r="AF738" s="80"/>
      <c r="AG738" s="81"/>
      <c r="AH738" s="79"/>
      <c r="AI738" s="78" t="str">
        <f aca="false">IF(E738="","",(V738&lt;&gt;"")+(AA738&lt;&gt;"")+(AF738&lt;&gt;""))</f>
        <v/>
      </c>
      <c r="AJ738" s="82" t="str">
        <f aca="false">IF(AF738&lt;&gt;"",AF738,IF(AA738&lt;&gt;"",AA738,IF(V738&lt;&gt;"",V738,"")))</f>
        <v/>
      </c>
      <c r="AK738" s="83" t="str">
        <f aca="false">IF(E738="","",IF(P738="","À SOUDER",IF(S738="","VT EN ATTENTE",IF(S738="R","VT REJETÉ – À REPRENDRE",IF(AJ738="","À RADIOGRAPHIER",IF(AJ738="A","ACCEPTÉ",IF(AJ738="NX","NX – RT À REFAIRE",IF(IF(AI738=1,X738,IF(AI738=2,AC738,""))="A","RÉPARÉ – À RADIOGRAPHIER",IF(IF(AI738=1,X738,IF(AI738=2,AC738,""))="R","VT REJETÉ – À REPRENDRE",IF(AJ738="CO","COUPE – À RESOUDER","À RÉPARER"))))))))))</f>
        <v/>
      </c>
      <c r="AL738" s="82" t="str">
        <f aca="false">IF(AND(ISNUMBER(P738),OR(AK738="À RADIOGRAPHIER",AK738="RÉPARÉ – À RADIOGRAPHIER",AK738="NX – RT À REFAIRE",AK738="À RÉPARER",AK738="COUPE – À RESOUDER",AK738="VT REJETÉ – À REPRENDRE")),MAX(0,'PROGRAMME RT'!$C$4-P738),"")</f>
        <v/>
      </c>
      <c r="AM738" s="78" t="n">
        <f aca="false">IF(AND(OR(AK738="À RADIOGRAPHIER",AK738="RÉPARÉ – À RADIOGRAPHIER",AK738="NX – RT À REFAIRE"),OR('PROGRAMME RT'!$D$5="TOUTES",B738='PROGRAMME RT'!$D$5)),1,0)</f>
        <v>0</v>
      </c>
      <c r="AN738" s="78" t="str">
        <f aca="false">IF(AM738=1,SUM(AM$7:AM738),"")</f>
        <v/>
      </c>
      <c r="AO738" s="78" t="n">
        <f aca="false">IF(AND(OR(AK738="À RÉPARER",AK738="COUPE – À RESOUDER",AK738="VT REJETÉ – À REPRENDRE"),OR(RÉPARATIONS!$D$5="TOUTES",B738=RÉPARATIONS!$D$5)),1,0)</f>
        <v>0</v>
      </c>
      <c r="AP738" s="78" t="str">
        <f aca="false">IF(AO738=1,SUM(AO$7:AO738),"")</f>
        <v/>
      </c>
    </row>
    <row r="739" customFormat="false" ht="15" hidden="false" customHeight="false" outlineLevel="0" collapsed="false">
      <c r="A739" s="78" t="str">
        <f aca="false">IF(E739="","",ROW()-6)</f>
        <v/>
      </c>
      <c r="B739" s="79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1"/>
      <c r="Q739" s="81"/>
      <c r="R739" s="80"/>
      <c r="S739" s="80"/>
      <c r="T739" s="81"/>
      <c r="U739" s="80"/>
      <c r="V739" s="80"/>
      <c r="W739" s="80"/>
      <c r="X739" s="80"/>
      <c r="Y739" s="81"/>
      <c r="Z739" s="80"/>
      <c r="AA739" s="80"/>
      <c r="AB739" s="80"/>
      <c r="AC739" s="80"/>
      <c r="AD739" s="81"/>
      <c r="AE739" s="80"/>
      <c r="AF739" s="80"/>
      <c r="AG739" s="81"/>
      <c r="AH739" s="79"/>
      <c r="AI739" s="78" t="str">
        <f aca="false">IF(E739="","",(V739&lt;&gt;"")+(AA739&lt;&gt;"")+(AF739&lt;&gt;""))</f>
        <v/>
      </c>
      <c r="AJ739" s="82" t="str">
        <f aca="false">IF(AF739&lt;&gt;"",AF739,IF(AA739&lt;&gt;"",AA739,IF(V739&lt;&gt;"",V739,"")))</f>
        <v/>
      </c>
      <c r="AK739" s="83" t="str">
        <f aca="false">IF(E739="","",IF(P739="","À SOUDER",IF(S739="","VT EN ATTENTE",IF(S739="R","VT REJETÉ – À REPRENDRE",IF(AJ739="","À RADIOGRAPHIER",IF(AJ739="A","ACCEPTÉ",IF(AJ739="NX","NX – RT À REFAIRE",IF(IF(AI739=1,X739,IF(AI739=2,AC739,""))="A","RÉPARÉ – À RADIOGRAPHIER",IF(IF(AI739=1,X739,IF(AI739=2,AC739,""))="R","VT REJETÉ – À REPRENDRE",IF(AJ739="CO","COUPE – À RESOUDER","À RÉPARER"))))))))))</f>
        <v/>
      </c>
      <c r="AL739" s="82" t="str">
        <f aca="false">IF(AND(ISNUMBER(P739),OR(AK739="À RADIOGRAPHIER",AK739="RÉPARÉ – À RADIOGRAPHIER",AK739="NX – RT À REFAIRE",AK739="À RÉPARER",AK739="COUPE – À RESOUDER",AK739="VT REJETÉ – À REPRENDRE")),MAX(0,'PROGRAMME RT'!$C$4-P739),"")</f>
        <v/>
      </c>
      <c r="AM739" s="78" t="n">
        <f aca="false">IF(AND(OR(AK739="À RADIOGRAPHIER",AK739="RÉPARÉ – À RADIOGRAPHIER",AK739="NX – RT À REFAIRE"),OR('PROGRAMME RT'!$D$5="TOUTES",B739='PROGRAMME RT'!$D$5)),1,0)</f>
        <v>0</v>
      </c>
      <c r="AN739" s="78" t="str">
        <f aca="false">IF(AM739=1,SUM(AM$7:AM739),"")</f>
        <v/>
      </c>
      <c r="AO739" s="78" t="n">
        <f aca="false">IF(AND(OR(AK739="À RÉPARER",AK739="COUPE – À RESOUDER",AK739="VT REJETÉ – À REPRENDRE"),OR(RÉPARATIONS!$D$5="TOUTES",B739=RÉPARATIONS!$D$5)),1,0)</f>
        <v>0</v>
      </c>
      <c r="AP739" s="78" t="str">
        <f aca="false">IF(AO739=1,SUM(AO$7:AO739),"")</f>
        <v/>
      </c>
    </row>
    <row r="740" customFormat="false" ht="15" hidden="false" customHeight="false" outlineLevel="0" collapsed="false">
      <c r="A740" s="78" t="str">
        <f aca="false">IF(E740="","",ROW()-6)</f>
        <v/>
      </c>
      <c r="B740" s="79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1"/>
      <c r="Q740" s="81"/>
      <c r="R740" s="80"/>
      <c r="S740" s="80"/>
      <c r="T740" s="81"/>
      <c r="U740" s="80"/>
      <c r="V740" s="80"/>
      <c r="W740" s="80"/>
      <c r="X740" s="80"/>
      <c r="Y740" s="81"/>
      <c r="Z740" s="80"/>
      <c r="AA740" s="80"/>
      <c r="AB740" s="80"/>
      <c r="AC740" s="80"/>
      <c r="AD740" s="81"/>
      <c r="AE740" s="80"/>
      <c r="AF740" s="80"/>
      <c r="AG740" s="81"/>
      <c r="AH740" s="79"/>
      <c r="AI740" s="78" t="str">
        <f aca="false">IF(E740="","",(V740&lt;&gt;"")+(AA740&lt;&gt;"")+(AF740&lt;&gt;""))</f>
        <v/>
      </c>
      <c r="AJ740" s="82" t="str">
        <f aca="false">IF(AF740&lt;&gt;"",AF740,IF(AA740&lt;&gt;"",AA740,IF(V740&lt;&gt;"",V740,"")))</f>
        <v/>
      </c>
      <c r="AK740" s="83" t="str">
        <f aca="false">IF(E740="","",IF(P740="","À SOUDER",IF(S740="","VT EN ATTENTE",IF(S740="R","VT REJETÉ – À REPRENDRE",IF(AJ740="","À RADIOGRAPHIER",IF(AJ740="A","ACCEPTÉ",IF(AJ740="NX","NX – RT À REFAIRE",IF(IF(AI740=1,X740,IF(AI740=2,AC740,""))="A","RÉPARÉ – À RADIOGRAPHIER",IF(IF(AI740=1,X740,IF(AI740=2,AC740,""))="R","VT REJETÉ – À REPRENDRE",IF(AJ740="CO","COUPE – À RESOUDER","À RÉPARER"))))))))))</f>
        <v/>
      </c>
      <c r="AL740" s="82" t="str">
        <f aca="false">IF(AND(ISNUMBER(P740),OR(AK740="À RADIOGRAPHIER",AK740="RÉPARÉ – À RADIOGRAPHIER",AK740="NX – RT À REFAIRE",AK740="À RÉPARER",AK740="COUPE – À RESOUDER",AK740="VT REJETÉ – À REPRENDRE")),MAX(0,'PROGRAMME RT'!$C$4-P740),"")</f>
        <v/>
      </c>
      <c r="AM740" s="78" t="n">
        <f aca="false">IF(AND(OR(AK740="À RADIOGRAPHIER",AK740="RÉPARÉ – À RADIOGRAPHIER",AK740="NX – RT À REFAIRE"),OR('PROGRAMME RT'!$D$5="TOUTES",B740='PROGRAMME RT'!$D$5)),1,0)</f>
        <v>0</v>
      </c>
      <c r="AN740" s="78" t="str">
        <f aca="false">IF(AM740=1,SUM(AM$7:AM740),"")</f>
        <v/>
      </c>
      <c r="AO740" s="78" t="n">
        <f aca="false">IF(AND(OR(AK740="À RÉPARER",AK740="COUPE – À RESOUDER",AK740="VT REJETÉ – À REPRENDRE"),OR(RÉPARATIONS!$D$5="TOUTES",B740=RÉPARATIONS!$D$5)),1,0)</f>
        <v>0</v>
      </c>
      <c r="AP740" s="78" t="str">
        <f aca="false">IF(AO740=1,SUM(AO$7:AO740),"")</f>
        <v/>
      </c>
    </row>
    <row r="741" customFormat="false" ht="15" hidden="false" customHeight="false" outlineLevel="0" collapsed="false">
      <c r="A741" s="78" t="str">
        <f aca="false">IF(E741="","",ROW()-6)</f>
        <v/>
      </c>
      <c r="B741" s="79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1"/>
      <c r="Q741" s="81"/>
      <c r="R741" s="80"/>
      <c r="S741" s="80"/>
      <c r="T741" s="81"/>
      <c r="U741" s="80"/>
      <c r="V741" s="80"/>
      <c r="W741" s="80"/>
      <c r="X741" s="80"/>
      <c r="Y741" s="81"/>
      <c r="Z741" s="80"/>
      <c r="AA741" s="80"/>
      <c r="AB741" s="80"/>
      <c r="AC741" s="80"/>
      <c r="AD741" s="81"/>
      <c r="AE741" s="80"/>
      <c r="AF741" s="80"/>
      <c r="AG741" s="81"/>
      <c r="AH741" s="79"/>
      <c r="AI741" s="78" t="str">
        <f aca="false">IF(E741="","",(V741&lt;&gt;"")+(AA741&lt;&gt;"")+(AF741&lt;&gt;""))</f>
        <v/>
      </c>
      <c r="AJ741" s="82" t="str">
        <f aca="false">IF(AF741&lt;&gt;"",AF741,IF(AA741&lt;&gt;"",AA741,IF(V741&lt;&gt;"",V741,"")))</f>
        <v/>
      </c>
      <c r="AK741" s="83" t="str">
        <f aca="false">IF(E741="","",IF(P741="","À SOUDER",IF(S741="","VT EN ATTENTE",IF(S741="R","VT REJETÉ – À REPRENDRE",IF(AJ741="","À RADIOGRAPHIER",IF(AJ741="A","ACCEPTÉ",IF(AJ741="NX","NX – RT À REFAIRE",IF(IF(AI741=1,X741,IF(AI741=2,AC741,""))="A","RÉPARÉ – À RADIOGRAPHIER",IF(IF(AI741=1,X741,IF(AI741=2,AC741,""))="R","VT REJETÉ – À REPRENDRE",IF(AJ741="CO","COUPE – À RESOUDER","À RÉPARER"))))))))))</f>
        <v/>
      </c>
      <c r="AL741" s="82" t="str">
        <f aca="false">IF(AND(ISNUMBER(P741),OR(AK741="À RADIOGRAPHIER",AK741="RÉPARÉ – À RADIOGRAPHIER",AK741="NX – RT À REFAIRE",AK741="À RÉPARER",AK741="COUPE – À RESOUDER",AK741="VT REJETÉ – À REPRENDRE")),MAX(0,'PROGRAMME RT'!$C$4-P741),"")</f>
        <v/>
      </c>
      <c r="AM741" s="78" t="n">
        <f aca="false">IF(AND(OR(AK741="À RADIOGRAPHIER",AK741="RÉPARÉ – À RADIOGRAPHIER",AK741="NX – RT À REFAIRE"),OR('PROGRAMME RT'!$D$5="TOUTES",B741='PROGRAMME RT'!$D$5)),1,0)</f>
        <v>0</v>
      </c>
      <c r="AN741" s="78" t="str">
        <f aca="false">IF(AM741=1,SUM(AM$7:AM741),"")</f>
        <v/>
      </c>
      <c r="AO741" s="78" t="n">
        <f aca="false">IF(AND(OR(AK741="À RÉPARER",AK741="COUPE – À RESOUDER",AK741="VT REJETÉ – À REPRENDRE"),OR(RÉPARATIONS!$D$5="TOUTES",B741=RÉPARATIONS!$D$5)),1,0)</f>
        <v>0</v>
      </c>
      <c r="AP741" s="78" t="str">
        <f aca="false">IF(AO741=1,SUM(AO$7:AO741),"")</f>
        <v/>
      </c>
    </row>
    <row r="742" customFormat="false" ht="15" hidden="false" customHeight="false" outlineLevel="0" collapsed="false">
      <c r="A742" s="78" t="str">
        <f aca="false">IF(E742="","",ROW()-6)</f>
        <v/>
      </c>
      <c r="B742" s="79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1"/>
      <c r="Q742" s="81"/>
      <c r="R742" s="80"/>
      <c r="S742" s="80"/>
      <c r="T742" s="81"/>
      <c r="U742" s="80"/>
      <c r="V742" s="80"/>
      <c r="W742" s="80"/>
      <c r="X742" s="80"/>
      <c r="Y742" s="81"/>
      <c r="Z742" s="80"/>
      <c r="AA742" s="80"/>
      <c r="AB742" s="80"/>
      <c r="AC742" s="80"/>
      <c r="AD742" s="81"/>
      <c r="AE742" s="80"/>
      <c r="AF742" s="80"/>
      <c r="AG742" s="81"/>
      <c r="AH742" s="79"/>
      <c r="AI742" s="78" t="str">
        <f aca="false">IF(E742="","",(V742&lt;&gt;"")+(AA742&lt;&gt;"")+(AF742&lt;&gt;""))</f>
        <v/>
      </c>
      <c r="AJ742" s="82" t="str">
        <f aca="false">IF(AF742&lt;&gt;"",AF742,IF(AA742&lt;&gt;"",AA742,IF(V742&lt;&gt;"",V742,"")))</f>
        <v/>
      </c>
      <c r="AK742" s="83" t="str">
        <f aca="false">IF(E742="","",IF(P742="","À SOUDER",IF(S742="","VT EN ATTENTE",IF(S742="R","VT REJETÉ – À REPRENDRE",IF(AJ742="","À RADIOGRAPHIER",IF(AJ742="A","ACCEPTÉ",IF(AJ742="NX","NX – RT À REFAIRE",IF(IF(AI742=1,X742,IF(AI742=2,AC742,""))="A","RÉPARÉ – À RADIOGRAPHIER",IF(IF(AI742=1,X742,IF(AI742=2,AC742,""))="R","VT REJETÉ – À REPRENDRE",IF(AJ742="CO","COUPE – À RESOUDER","À RÉPARER"))))))))))</f>
        <v/>
      </c>
      <c r="AL742" s="82" t="str">
        <f aca="false">IF(AND(ISNUMBER(P742),OR(AK742="À RADIOGRAPHIER",AK742="RÉPARÉ – À RADIOGRAPHIER",AK742="NX – RT À REFAIRE",AK742="À RÉPARER",AK742="COUPE – À RESOUDER",AK742="VT REJETÉ – À REPRENDRE")),MAX(0,'PROGRAMME RT'!$C$4-P742),"")</f>
        <v/>
      </c>
      <c r="AM742" s="78" t="n">
        <f aca="false">IF(AND(OR(AK742="À RADIOGRAPHIER",AK742="RÉPARÉ – À RADIOGRAPHIER",AK742="NX – RT À REFAIRE"),OR('PROGRAMME RT'!$D$5="TOUTES",B742='PROGRAMME RT'!$D$5)),1,0)</f>
        <v>0</v>
      </c>
      <c r="AN742" s="78" t="str">
        <f aca="false">IF(AM742=1,SUM(AM$7:AM742),"")</f>
        <v/>
      </c>
      <c r="AO742" s="78" t="n">
        <f aca="false">IF(AND(OR(AK742="À RÉPARER",AK742="COUPE – À RESOUDER",AK742="VT REJETÉ – À REPRENDRE"),OR(RÉPARATIONS!$D$5="TOUTES",B742=RÉPARATIONS!$D$5)),1,0)</f>
        <v>0</v>
      </c>
      <c r="AP742" s="78" t="str">
        <f aca="false">IF(AO742=1,SUM(AO$7:AO742),"")</f>
        <v/>
      </c>
    </row>
    <row r="743" customFormat="false" ht="15" hidden="false" customHeight="false" outlineLevel="0" collapsed="false">
      <c r="A743" s="78" t="str">
        <f aca="false">IF(E743="","",ROW()-6)</f>
        <v/>
      </c>
      <c r="B743" s="79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1"/>
      <c r="Q743" s="81"/>
      <c r="R743" s="80"/>
      <c r="S743" s="80"/>
      <c r="T743" s="81"/>
      <c r="U743" s="80"/>
      <c r="V743" s="80"/>
      <c r="W743" s="80"/>
      <c r="X743" s="80"/>
      <c r="Y743" s="81"/>
      <c r="Z743" s="80"/>
      <c r="AA743" s="80"/>
      <c r="AB743" s="80"/>
      <c r="AC743" s="80"/>
      <c r="AD743" s="81"/>
      <c r="AE743" s="80"/>
      <c r="AF743" s="80"/>
      <c r="AG743" s="81"/>
      <c r="AH743" s="79"/>
      <c r="AI743" s="78" t="str">
        <f aca="false">IF(E743="","",(V743&lt;&gt;"")+(AA743&lt;&gt;"")+(AF743&lt;&gt;""))</f>
        <v/>
      </c>
      <c r="AJ743" s="82" t="str">
        <f aca="false">IF(AF743&lt;&gt;"",AF743,IF(AA743&lt;&gt;"",AA743,IF(V743&lt;&gt;"",V743,"")))</f>
        <v/>
      </c>
      <c r="AK743" s="83" t="str">
        <f aca="false">IF(E743="","",IF(P743="","À SOUDER",IF(S743="","VT EN ATTENTE",IF(S743="R","VT REJETÉ – À REPRENDRE",IF(AJ743="","À RADIOGRAPHIER",IF(AJ743="A","ACCEPTÉ",IF(AJ743="NX","NX – RT À REFAIRE",IF(IF(AI743=1,X743,IF(AI743=2,AC743,""))="A","RÉPARÉ – À RADIOGRAPHIER",IF(IF(AI743=1,X743,IF(AI743=2,AC743,""))="R","VT REJETÉ – À REPRENDRE",IF(AJ743="CO","COUPE – À RESOUDER","À RÉPARER"))))))))))</f>
        <v/>
      </c>
      <c r="AL743" s="82" t="str">
        <f aca="false">IF(AND(ISNUMBER(P743),OR(AK743="À RADIOGRAPHIER",AK743="RÉPARÉ – À RADIOGRAPHIER",AK743="NX – RT À REFAIRE",AK743="À RÉPARER",AK743="COUPE – À RESOUDER",AK743="VT REJETÉ – À REPRENDRE")),MAX(0,'PROGRAMME RT'!$C$4-P743),"")</f>
        <v/>
      </c>
      <c r="AM743" s="78" t="n">
        <f aca="false">IF(AND(OR(AK743="À RADIOGRAPHIER",AK743="RÉPARÉ – À RADIOGRAPHIER",AK743="NX – RT À REFAIRE"),OR('PROGRAMME RT'!$D$5="TOUTES",B743='PROGRAMME RT'!$D$5)),1,0)</f>
        <v>0</v>
      </c>
      <c r="AN743" s="78" t="str">
        <f aca="false">IF(AM743=1,SUM(AM$7:AM743),"")</f>
        <v/>
      </c>
      <c r="AO743" s="78" t="n">
        <f aca="false">IF(AND(OR(AK743="À RÉPARER",AK743="COUPE – À RESOUDER",AK743="VT REJETÉ – À REPRENDRE"),OR(RÉPARATIONS!$D$5="TOUTES",B743=RÉPARATIONS!$D$5)),1,0)</f>
        <v>0</v>
      </c>
      <c r="AP743" s="78" t="str">
        <f aca="false">IF(AO743=1,SUM(AO$7:AO743),"")</f>
        <v/>
      </c>
    </row>
    <row r="744" customFormat="false" ht="15" hidden="false" customHeight="false" outlineLevel="0" collapsed="false">
      <c r="A744" s="78" t="str">
        <f aca="false">IF(E744="","",ROW()-6)</f>
        <v/>
      </c>
      <c r="B744" s="79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1"/>
      <c r="Q744" s="81"/>
      <c r="R744" s="80"/>
      <c r="S744" s="80"/>
      <c r="T744" s="81"/>
      <c r="U744" s="80"/>
      <c r="V744" s="80"/>
      <c r="W744" s="80"/>
      <c r="X744" s="80"/>
      <c r="Y744" s="81"/>
      <c r="Z744" s="80"/>
      <c r="AA744" s="80"/>
      <c r="AB744" s="80"/>
      <c r="AC744" s="80"/>
      <c r="AD744" s="81"/>
      <c r="AE744" s="80"/>
      <c r="AF744" s="80"/>
      <c r="AG744" s="81"/>
      <c r="AH744" s="79"/>
      <c r="AI744" s="78" t="str">
        <f aca="false">IF(E744="","",(V744&lt;&gt;"")+(AA744&lt;&gt;"")+(AF744&lt;&gt;""))</f>
        <v/>
      </c>
      <c r="AJ744" s="82" t="str">
        <f aca="false">IF(AF744&lt;&gt;"",AF744,IF(AA744&lt;&gt;"",AA744,IF(V744&lt;&gt;"",V744,"")))</f>
        <v/>
      </c>
      <c r="AK744" s="83" t="str">
        <f aca="false">IF(E744="","",IF(P744="","À SOUDER",IF(S744="","VT EN ATTENTE",IF(S744="R","VT REJETÉ – À REPRENDRE",IF(AJ744="","À RADIOGRAPHIER",IF(AJ744="A","ACCEPTÉ",IF(AJ744="NX","NX – RT À REFAIRE",IF(IF(AI744=1,X744,IF(AI744=2,AC744,""))="A","RÉPARÉ – À RADIOGRAPHIER",IF(IF(AI744=1,X744,IF(AI744=2,AC744,""))="R","VT REJETÉ – À REPRENDRE",IF(AJ744="CO","COUPE – À RESOUDER","À RÉPARER"))))))))))</f>
        <v/>
      </c>
      <c r="AL744" s="82" t="str">
        <f aca="false">IF(AND(ISNUMBER(P744),OR(AK744="À RADIOGRAPHIER",AK744="RÉPARÉ – À RADIOGRAPHIER",AK744="NX – RT À REFAIRE",AK744="À RÉPARER",AK744="COUPE – À RESOUDER",AK744="VT REJETÉ – À REPRENDRE")),MAX(0,'PROGRAMME RT'!$C$4-P744),"")</f>
        <v/>
      </c>
      <c r="AM744" s="78" t="n">
        <f aca="false">IF(AND(OR(AK744="À RADIOGRAPHIER",AK744="RÉPARÉ – À RADIOGRAPHIER",AK744="NX – RT À REFAIRE"),OR('PROGRAMME RT'!$D$5="TOUTES",B744='PROGRAMME RT'!$D$5)),1,0)</f>
        <v>0</v>
      </c>
      <c r="AN744" s="78" t="str">
        <f aca="false">IF(AM744=1,SUM(AM$7:AM744),"")</f>
        <v/>
      </c>
      <c r="AO744" s="78" t="n">
        <f aca="false">IF(AND(OR(AK744="À RÉPARER",AK744="COUPE – À RESOUDER",AK744="VT REJETÉ – À REPRENDRE"),OR(RÉPARATIONS!$D$5="TOUTES",B744=RÉPARATIONS!$D$5)),1,0)</f>
        <v>0</v>
      </c>
      <c r="AP744" s="78" t="str">
        <f aca="false">IF(AO744=1,SUM(AO$7:AO744),"")</f>
        <v/>
      </c>
    </row>
    <row r="745" customFormat="false" ht="15" hidden="false" customHeight="false" outlineLevel="0" collapsed="false">
      <c r="A745" s="78" t="str">
        <f aca="false">IF(E745="","",ROW()-6)</f>
        <v/>
      </c>
      <c r="B745" s="79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1"/>
      <c r="Q745" s="81"/>
      <c r="R745" s="80"/>
      <c r="S745" s="80"/>
      <c r="T745" s="81"/>
      <c r="U745" s="80"/>
      <c r="V745" s="80"/>
      <c r="W745" s="80"/>
      <c r="X745" s="80"/>
      <c r="Y745" s="81"/>
      <c r="Z745" s="80"/>
      <c r="AA745" s="80"/>
      <c r="AB745" s="80"/>
      <c r="AC745" s="80"/>
      <c r="AD745" s="81"/>
      <c r="AE745" s="80"/>
      <c r="AF745" s="80"/>
      <c r="AG745" s="81"/>
      <c r="AH745" s="79"/>
      <c r="AI745" s="78" t="str">
        <f aca="false">IF(E745="","",(V745&lt;&gt;"")+(AA745&lt;&gt;"")+(AF745&lt;&gt;""))</f>
        <v/>
      </c>
      <c r="AJ745" s="82" t="str">
        <f aca="false">IF(AF745&lt;&gt;"",AF745,IF(AA745&lt;&gt;"",AA745,IF(V745&lt;&gt;"",V745,"")))</f>
        <v/>
      </c>
      <c r="AK745" s="83" t="str">
        <f aca="false">IF(E745="","",IF(P745="","À SOUDER",IF(S745="","VT EN ATTENTE",IF(S745="R","VT REJETÉ – À REPRENDRE",IF(AJ745="","À RADIOGRAPHIER",IF(AJ745="A","ACCEPTÉ",IF(AJ745="NX","NX – RT À REFAIRE",IF(IF(AI745=1,X745,IF(AI745=2,AC745,""))="A","RÉPARÉ – À RADIOGRAPHIER",IF(IF(AI745=1,X745,IF(AI745=2,AC745,""))="R","VT REJETÉ – À REPRENDRE",IF(AJ745="CO","COUPE – À RESOUDER","À RÉPARER"))))))))))</f>
        <v/>
      </c>
      <c r="AL745" s="82" t="str">
        <f aca="false">IF(AND(ISNUMBER(P745),OR(AK745="À RADIOGRAPHIER",AK745="RÉPARÉ – À RADIOGRAPHIER",AK745="NX – RT À REFAIRE",AK745="À RÉPARER",AK745="COUPE – À RESOUDER",AK745="VT REJETÉ – À REPRENDRE")),MAX(0,'PROGRAMME RT'!$C$4-P745),"")</f>
        <v/>
      </c>
      <c r="AM745" s="78" t="n">
        <f aca="false">IF(AND(OR(AK745="À RADIOGRAPHIER",AK745="RÉPARÉ – À RADIOGRAPHIER",AK745="NX – RT À REFAIRE"),OR('PROGRAMME RT'!$D$5="TOUTES",B745='PROGRAMME RT'!$D$5)),1,0)</f>
        <v>0</v>
      </c>
      <c r="AN745" s="78" t="str">
        <f aca="false">IF(AM745=1,SUM(AM$7:AM745),"")</f>
        <v/>
      </c>
      <c r="AO745" s="78" t="n">
        <f aca="false">IF(AND(OR(AK745="À RÉPARER",AK745="COUPE – À RESOUDER",AK745="VT REJETÉ – À REPRENDRE"),OR(RÉPARATIONS!$D$5="TOUTES",B745=RÉPARATIONS!$D$5)),1,0)</f>
        <v>0</v>
      </c>
      <c r="AP745" s="78" t="str">
        <f aca="false">IF(AO745=1,SUM(AO$7:AO745),"")</f>
        <v/>
      </c>
    </row>
    <row r="746" customFormat="false" ht="15" hidden="false" customHeight="false" outlineLevel="0" collapsed="false">
      <c r="A746" s="78" t="str">
        <f aca="false">IF(E746="","",ROW()-6)</f>
        <v/>
      </c>
      <c r="B746" s="79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1"/>
      <c r="Q746" s="81"/>
      <c r="R746" s="80"/>
      <c r="S746" s="80"/>
      <c r="T746" s="81"/>
      <c r="U746" s="80"/>
      <c r="V746" s="80"/>
      <c r="W746" s="80"/>
      <c r="X746" s="80"/>
      <c r="Y746" s="81"/>
      <c r="Z746" s="80"/>
      <c r="AA746" s="80"/>
      <c r="AB746" s="80"/>
      <c r="AC746" s="80"/>
      <c r="AD746" s="81"/>
      <c r="AE746" s="80"/>
      <c r="AF746" s="80"/>
      <c r="AG746" s="81"/>
      <c r="AH746" s="79"/>
      <c r="AI746" s="78" t="str">
        <f aca="false">IF(E746="","",(V746&lt;&gt;"")+(AA746&lt;&gt;"")+(AF746&lt;&gt;""))</f>
        <v/>
      </c>
      <c r="AJ746" s="82" t="str">
        <f aca="false">IF(AF746&lt;&gt;"",AF746,IF(AA746&lt;&gt;"",AA746,IF(V746&lt;&gt;"",V746,"")))</f>
        <v/>
      </c>
      <c r="AK746" s="83" t="str">
        <f aca="false">IF(E746="","",IF(P746="","À SOUDER",IF(S746="","VT EN ATTENTE",IF(S746="R","VT REJETÉ – À REPRENDRE",IF(AJ746="","À RADIOGRAPHIER",IF(AJ746="A","ACCEPTÉ",IF(AJ746="NX","NX – RT À REFAIRE",IF(IF(AI746=1,X746,IF(AI746=2,AC746,""))="A","RÉPARÉ – À RADIOGRAPHIER",IF(IF(AI746=1,X746,IF(AI746=2,AC746,""))="R","VT REJETÉ – À REPRENDRE",IF(AJ746="CO","COUPE – À RESOUDER","À RÉPARER"))))))))))</f>
        <v/>
      </c>
      <c r="AL746" s="82" t="str">
        <f aca="false">IF(AND(ISNUMBER(P746),OR(AK746="À RADIOGRAPHIER",AK746="RÉPARÉ – À RADIOGRAPHIER",AK746="NX – RT À REFAIRE",AK746="À RÉPARER",AK746="COUPE – À RESOUDER",AK746="VT REJETÉ – À REPRENDRE")),MAX(0,'PROGRAMME RT'!$C$4-P746),"")</f>
        <v/>
      </c>
      <c r="AM746" s="78" t="n">
        <f aca="false">IF(AND(OR(AK746="À RADIOGRAPHIER",AK746="RÉPARÉ – À RADIOGRAPHIER",AK746="NX – RT À REFAIRE"),OR('PROGRAMME RT'!$D$5="TOUTES",B746='PROGRAMME RT'!$D$5)),1,0)</f>
        <v>0</v>
      </c>
      <c r="AN746" s="78" t="str">
        <f aca="false">IF(AM746=1,SUM(AM$7:AM746),"")</f>
        <v/>
      </c>
      <c r="AO746" s="78" t="n">
        <f aca="false">IF(AND(OR(AK746="À RÉPARER",AK746="COUPE – À RESOUDER",AK746="VT REJETÉ – À REPRENDRE"),OR(RÉPARATIONS!$D$5="TOUTES",B746=RÉPARATIONS!$D$5)),1,0)</f>
        <v>0</v>
      </c>
      <c r="AP746" s="78" t="str">
        <f aca="false">IF(AO746=1,SUM(AO$7:AO746),"")</f>
        <v/>
      </c>
    </row>
    <row r="747" customFormat="false" ht="15" hidden="false" customHeight="false" outlineLevel="0" collapsed="false">
      <c r="A747" s="78" t="str">
        <f aca="false">IF(E747="","",ROW()-6)</f>
        <v/>
      </c>
      <c r="B747" s="79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1"/>
      <c r="Q747" s="81"/>
      <c r="R747" s="80"/>
      <c r="S747" s="80"/>
      <c r="T747" s="81"/>
      <c r="U747" s="80"/>
      <c r="V747" s="80"/>
      <c r="W747" s="80"/>
      <c r="X747" s="80"/>
      <c r="Y747" s="81"/>
      <c r="Z747" s="80"/>
      <c r="AA747" s="80"/>
      <c r="AB747" s="80"/>
      <c r="AC747" s="80"/>
      <c r="AD747" s="81"/>
      <c r="AE747" s="80"/>
      <c r="AF747" s="80"/>
      <c r="AG747" s="81"/>
      <c r="AH747" s="79"/>
      <c r="AI747" s="78" t="str">
        <f aca="false">IF(E747="","",(V747&lt;&gt;"")+(AA747&lt;&gt;"")+(AF747&lt;&gt;""))</f>
        <v/>
      </c>
      <c r="AJ747" s="82" t="str">
        <f aca="false">IF(AF747&lt;&gt;"",AF747,IF(AA747&lt;&gt;"",AA747,IF(V747&lt;&gt;"",V747,"")))</f>
        <v/>
      </c>
      <c r="AK747" s="83" t="str">
        <f aca="false">IF(E747="","",IF(P747="","À SOUDER",IF(S747="","VT EN ATTENTE",IF(S747="R","VT REJETÉ – À REPRENDRE",IF(AJ747="","À RADIOGRAPHIER",IF(AJ747="A","ACCEPTÉ",IF(AJ747="NX","NX – RT À REFAIRE",IF(IF(AI747=1,X747,IF(AI747=2,AC747,""))="A","RÉPARÉ – À RADIOGRAPHIER",IF(IF(AI747=1,X747,IF(AI747=2,AC747,""))="R","VT REJETÉ – À REPRENDRE",IF(AJ747="CO","COUPE – À RESOUDER","À RÉPARER"))))))))))</f>
        <v/>
      </c>
      <c r="AL747" s="82" t="str">
        <f aca="false">IF(AND(ISNUMBER(P747),OR(AK747="À RADIOGRAPHIER",AK747="RÉPARÉ – À RADIOGRAPHIER",AK747="NX – RT À REFAIRE",AK747="À RÉPARER",AK747="COUPE – À RESOUDER",AK747="VT REJETÉ – À REPRENDRE")),MAX(0,'PROGRAMME RT'!$C$4-P747),"")</f>
        <v/>
      </c>
      <c r="AM747" s="78" t="n">
        <f aca="false">IF(AND(OR(AK747="À RADIOGRAPHIER",AK747="RÉPARÉ – À RADIOGRAPHIER",AK747="NX – RT À REFAIRE"),OR('PROGRAMME RT'!$D$5="TOUTES",B747='PROGRAMME RT'!$D$5)),1,0)</f>
        <v>0</v>
      </c>
      <c r="AN747" s="78" t="str">
        <f aca="false">IF(AM747=1,SUM(AM$7:AM747),"")</f>
        <v/>
      </c>
      <c r="AO747" s="78" t="n">
        <f aca="false">IF(AND(OR(AK747="À RÉPARER",AK747="COUPE – À RESOUDER",AK747="VT REJETÉ – À REPRENDRE"),OR(RÉPARATIONS!$D$5="TOUTES",B747=RÉPARATIONS!$D$5)),1,0)</f>
        <v>0</v>
      </c>
      <c r="AP747" s="78" t="str">
        <f aca="false">IF(AO747=1,SUM(AO$7:AO747),"")</f>
        <v/>
      </c>
    </row>
    <row r="748" customFormat="false" ht="15" hidden="false" customHeight="false" outlineLevel="0" collapsed="false">
      <c r="A748" s="78" t="str">
        <f aca="false">IF(E748="","",ROW()-6)</f>
        <v/>
      </c>
      <c r="B748" s="79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1"/>
      <c r="Q748" s="81"/>
      <c r="R748" s="80"/>
      <c r="S748" s="80"/>
      <c r="T748" s="81"/>
      <c r="U748" s="80"/>
      <c r="V748" s="80"/>
      <c r="W748" s="80"/>
      <c r="X748" s="80"/>
      <c r="Y748" s="81"/>
      <c r="Z748" s="80"/>
      <c r="AA748" s="80"/>
      <c r="AB748" s="80"/>
      <c r="AC748" s="80"/>
      <c r="AD748" s="81"/>
      <c r="AE748" s="80"/>
      <c r="AF748" s="80"/>
      <c r="AG748" s="81"/>
      <c r="AH748" s="79"/>
      <c r="AI748" s="78" t="str">
        <f aca="false">IF(E748="","",(V748&lt;&gt;"")+(AA748&lt;&gt;"")+(AF748&lt;&gt;""))</f>
        <v/>
      </c>
      <c r="AJ748" s="82" t="str">
        <f aca="false">IF(AF748&lt;&gt;"",AF748,IF(AA748&lt;&gt;"",AA748,IF(V748&lt;&gt;"",V748,"")))</f>
        <v/>
      </c>
      <c r="AK748" s="83" t="str">
        <f aca="false">IF(E748="","",IF(P748="","À SOUDER",IF(S748="","VT EN ATTENTE",IF(S748="R","VT REJETÉ – À REPRENDRE",IF(AJ748="","À RADIOGRAPHIER",IF(AJ748="A","ACCEPTÉ",IF(AJ748="NX","NX – RT À REFAIRE",IF(IF(AI748=1,X748,IF(AI748=2,AC748,""))="A","RÉPARÉ – À RADIOGRAPHIER",IF(IF(AI748=1,X748,IF(AI748=2,AC748,""))="R","VT REJETÉ – À REPRENDRE",IF(AJ748="CO","COUPE – À RESOUDER","À RÉPARER"))))))))))</f>
        <v/>
      </c>
      <c r="AL748" s="82" t="str">
        <f aca="false">IF(AND(ISNUMBER(P748),OR(AK748="À RADIOGRAPHIER",AK748="RÉPARÉ – À RADIOGRAPHIER",AK748="NX – RT À REFAIRE",AK748="À RÉPARER",AK748="COUPE – À RESOUDER",AK748="VT REJETÉ – À REPRENDRE")),MAX(0,'PROGRAMME RT'!$C$4-P748),"")</f>
        <v/>
      </c>
      <c r="AM748" s="78" t="n">
        <f aca="false">IF(AND(OR(AK748="À RADIOGRAPHIER",AK748="RÉPARÉ – À RADIOGRAPHIER",AK748="NX – RT À REFAIRE"),OR('PROGRAMME RT'!$D$5="TOUTES",B748='PROGRAMME RT'!$D$5)),1,0)</f>
        <v>0</v>
      </c>
      <c r="AN748" s="78" t="str">
        <f aca="false">IF(AM748=1,SUM(AM$7:AM748),"")</f>
        <v/>
      </c>
      <c r="AO748" s="78" t="n">
        <f aca="false">IF(AND(OR(AK748="À RÉPARER",AK748="COUPE – À RESOUDER",AK748="VT REJETÉ – À REPRENDRE"),OR(RÉPARATIONS!$D$5="TOUTES",B748=RÉPARATIONS!$D$5)),1,0)</f>
        <v>0</v>
      </c>
      <c r="AP748" s="78" t="str">
        <f aca="false">IF(AO748=1,SUM(AO$7:AO748),"")</f>
        <v/>
      </c>
    </row>
    <row r="749" customFormat="false" ht="15" hidden="false" customHeight="false" outlineLevel="0" collapsed="false">
      <c r="A749" s="78" t="str">
        <f aca="false">IF(E749="","",ROW()-6)</f>
        <v/>
      </c>
      <c r="B749" s="79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1"/>
      <c r="Q749" s="81"/>
      <c r="R749" s="80"/>
      <c r="S749" s="80"/>
      <c r="T749" s="81"/>
      <c r="U749" s="80"/>
      <c r="V749" s="80"/>
      <c r="W749" s="80"/>
      <c r="X749" s="80"/>
      <c r="Y749" s="81"/>
      <c r="Z749" s="80"/>
      <c r="AA749" s="80"/>
      <c r="AB749" s="80"/>
      <c r="AC749" s="80"/>
      <c r="AD749" s="81"/>
      <c r="AE749" s="80"/>
      <c r="AF749" s="80"/>
      <c r="AG749" s="81"/>
      <c r="AH749" s="79"/>
      <c r="AI749" s="78" t="str">
        <f aca="false">IF(E749="","",(V749&lt;&gt;"")+(AA749&lt;&gt;"")+(AF749&lt;&gt;""))</f>
        <v/>
      </c>
      <c r="AJ749" s="82" t="str">
        <f aca="false">IF(AF749&lt;&gt;"",AF749,IF(AA749&lt;&gt;"",AA749,IF(V749&lt;&gt;"",V749,"")))</f>
        <v/>
      </c>
      <c r="AK749" s="83" t="str">
        <f aca="false">IF(E749="","",IF(P749="","À SOUDER",IF(S749="","VT EN ATTENTE",IF(S749="R","VT REJETÉ – À REPRENDRE",IF(AJ749="","À RADIOGRAPHIER",IF(AJ749="A","ACCEPTÉ",IF(AJ749="NX","NX – RT À REFAIRE",IF(IF(AI749=1,X749,IF(AI749=2,AC749,""))="A","RÉPARÉ – À RADIOGRAPHIER",IF(IF(AI749=1,X749,IF(AI749=2,AC749,""))="R","VT REJETÉ – À REPRENDRE",IF(AJ749="CO","COUPE – À RESOUDER","À RÉPARER"))))))))))</f>
        <v/>
      </c>
      <c r="AL749" s="82" t="str">
        <f aca="false">IF(AND(ISNUMBER(P749),OR(AK749="À RADIOGRAPHIER",AK749="RÉPARÉ – À RADIOGRAPHIER",AK749="NX – RT À REFAIRE",AK749="À RÉPARER",AK749="COUPE – À RESOUDER",AK749="VT REJETÉ – À REPRENDRE")),MAX(0,'PROGRAMME RT'!$C$4-P749),"")</f>
        <v/>
      </c>
      <c r="AM749" s="78" t="n">
        <f aca="false">IF(AND(OR(AK749="À RADIOGRAPHIER",AK749="RÉPARÉ – À RADIOGRAPHIER",AK749="NX – RT À REFAIRE"),OR('PROGRAMME RT'!$D$5="TOUTES",B749='PROGRAMME RT'!$D$5)),1,0)</f>
        <v>0</v>
      </c>
      <c r="AN749" s="78" t="str">
        <f aca="false">IF(AM749=1,SUM(AM$7:AM749),"")</f>
        <v/>
      </c>
      <c r="AO749" s="78" t="n">
        <f aca="false">IF(AND(OR(AK749="À RÉPARER",AK749="COUPE – À RESOUDER",AK749="VT REJETÉ – À REPRENDRE"),OR(RÉPARATIONS!$D$5="TOUTES",B749=RÉPARATIONS!$D$5)),1,0)</f>
        <v>0</v>
      </c>
      <c r="AP749" s="78" t="str">
        <f aca="false">IF(AO749=1,SUM(AO$7:AO749),"")</f>
        <v/>
      </c>
    </row>
    <row r="750" customFormat="false" ht="15" hidden="false" customHeight="false" outlineLevel="0" collapsed="false">
      <c r="A750" s="78" t="str">
        <f aca="false">IF(E750="","",ROW()-6)</f>
        <v/>
      </c>
      <c r="B750" s="79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1"/>
      <c r="Q750" s="81"/>
      <c r="R750" s="80"/>
      <c r="S750" s="80"/>
      <c r="T750" s="81"/>
      <c r="U750" s="80"/>
      <c r="V750" s="80"/>
      <c r="W750" s="80"/>
      <c r="X750" s="80"/>
      <c r="Y750" s="81"/>
      <c r="Z750" s="80"/>
      <c r="AA750" s="80"/>
      <c r="AB750" s="80"/>
      <c r="AC750" s="80"/>
      <c r="AD750" s="81"/>
      <c r="AE750" s="80"/>
      <c r="AF750" s="80"/>
      <c r="AG750" s="81"/>
      <c r="AH750" s="79"/>
      <c r="AI750" s="78" t="str">
        <f aca="false">IF(E750="","",(V750&lt;&gt;"")+(AA750&lt;&gt;"")+(AF750&lt;&gt;""))</f>
        <v/>
      </c>
      <c r="AJ750" s="82" t="str">
        <f aca="false">IF(AF750&lt;&gt;"",AF750,IF(AA750&lt;&gt;"",AA750,IF(V750&lt;&gt;"",V750,"")))</f>
        <v/>
      </c>
      <c r="AK750" s="83" t="str">
        <f aca="false">IF(E750="","",IF(P750="","À SOUDER",IF(S750="","VT EN ATTENTE",IF(S750="R","VT REJETÉ – À REPRENDRE",IF(AJ750="","À RADIOGRAPHIER",IF(AJ750="A","ACCEPTÉ",IF(AJ750="NX","NX – RT À REFAIRE",IF(IF(AI750=1,X750,IF(AI750=2,AC750,""))="A","RÉPARÉ – À RADIOGRAPHIER",IF(IF(AI750=1,X750,IF(AI750=2,AC750,""))="R","VT REJETÉ – À REPRENDRE",IF(AJ750="CO","COUPE – À RESOUDER","À RÉPARER"))))))))))</f>
        <v/>
      </c>
      <c r="AL750" s="82" t="str">
        <f aca="false">IF(AND(ISNUMBER(P750),OR(AK750="À RADIOGRAPHIER",AK750="RÉPARÉ – À RADIOGRAPHIER",AK750="NX – RT À REFAIRE",AK750="À RÉPARER",AK750="COUPE – À RESOUDER",AK750="VT REJETÉ – À REPRENDRE")),MAX(0,'PROGRAMME RT'!$C$4-P750),"")</f>
        <v/>
      </c>
      <c r="AM750" s="78" t="n">
        <f aca="false">IF(AND(OR(AK750="À RADIOGRAPHIER",AK750="RÉPARÉ – À RADIOGRAPHIER",AK750="NX – RT À REFAIRE"),OR('PROGRAMME RT'!$D$5="TOUTES",B750='PROGRAMME RT'!$D$5)),1,0)</f>
        <v>0</v>
      </c>
      <c r="AN750" s="78" t="str">
        <f aca="false">IF(AM750=1,SUM(AM$7:AM750),"")</f>
        <v/>
      </c>
      <c r="AO750" s="78" t="n">
        <f aca="false">IF(AND(OR(AK750="À RÉPARER",AK750="COUPE – À RESOUDER",AK750="VT REJETÉ – À REPRENDRE"),OR(RÉPARATIONS!$D$5="TOUTES",B750=RÉPARATIONS!$D$5)),1,0)</f>
        <v>0</v>
      </c>
      <c r="AP750" s="78" t="str">
        <f aca="false">IF(AO750=1,SUM(AO$7:AO750),"")</f>
        <v/>
      </c>
    </row>
    <row r="751" customFormat="false" ht="15" hidden="false" customHeight="false" outlineLevel="0" collapsed="false">
      <c r="A751" s="78" t="str">
        <f aca="false">IF(E751="","",ROW()-6)</f>
        <v/>
      </c>
      <c r="B751" s="79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1"/>
      <c r="Q751" s="81"/>
      <c r="R751" s="80"/>
      <c r="S751" s="80"/>
      <c r="T751" s="81"/>
      <c r="U751" s="80"/>
      <c r="V751" s="80"/>
      <c r="W751" s="80"/>
      <c r="X751" s="80"/>
      <c r="Y751" s="81"/>
      <c r="Z751" s="80"/>
      <c r="AA751" s="80"/>
      <c r="AB751" s="80"/>
      <c r="AC751" s="80"/>
      <c r="AD751" s="81"/>
      <c r="AE751" s="80"/>
      <c r="AF751" s="80"/>
      <c r="AG751" s="81"/>
      <c r="AH751" s="79"/>
      <c r="AI751" s="78" t="str">
        <f aca="false">IF(E751="","",(V751&lt;&gt;"")+(AA751&lt;&gt;"")+(AF751&lt;&gt;""))</f>
        <v/>
      </c>
      <c r="AJ751" s="82" t="str">
        <f aca="false">IF(AF751&lt;&gt;"",AF751,IF(AA751&lt;&gt;"",AA751,IF(V751&lt;&gt;"",V751,"")))</f>
        <v/>
      </c>
      <c r="AK751" s="83" t="str">
        <f aca="false">IF(E751="","",IF(P751="","À SOUDER",IF(S751="","VT EN ATTENTE",IF(S751="R","VT REJETÉ – À REPRENDRE",IF(AJ751="","À RADIOGRAPHIER",IF(AJ751="A","ACCEPTÉ",IF(AJ751="NX","NX – RT À REFAIRE",IF(IF(AI751=1,X751,IF(AI751=2,AC751,""))="A","RÉPARÉ – À RADIOGRAPHIER",IF(IF(AI751=1,X751,IF(AI751=2,AC751,""))="R","VT REJETÉ – À REPRENDRE",IF(AJ751="CO","COUPE – À RESOUDER","À RÉPARER"))))))))))</f>
        <v/>
      </c>
      <c r="AL751" s="82" t="str">
        <f aca="false">IF(AND(ISNUMBER(P751),OR(AK751="À RADIOGRAPHIER",AK751="RÉPARÉ – À RADIOGRAPHIER",AK751="NX – RT À REFAIRE",AK751="À RÉPARER",AK751="COUPE – À RESOUDER",AK751="VT REJETÉ – À REPRENDRE")),MAX(0,'PROGRAMME RT'!$C$4-P751),"")</f>
        <v/>
      </c>
      <c r="AM751" s="78" t="n">
        <f aca="false">IF(AND(OR(AK751="À RADIOGRAPHIER",AK751="RÉPARÉ – À RADIOGRAPHIER",AK751="NX – RT À REFAIRE"),OR('PROGRAMME RT'!$D$5="TOUTES",B751='PROGRAMME RT'!$D$5)),1,0)</f>
        <v>0</v>
      </c>
      <c r="AN751" s="78" t="str">
        <f aca="false">IF(AM751=1,SUM(AM$7:AM751),"")</f>
        <v/>
      </c>
      <c r="AO751" s="78" t="n">
        <f aca="false">IF(AND(OR(AK751="À RÉPARER",AK751="COUPE – À RESOUDER",AK751="VT REJETÉ – À REPRENDRE"),OR(RÉPARATIONS!$D$5="TOUTES",B751=RÉPARATIONS!$D$5)),1,0)</f>
        <v>0</v>
      </c>
      <c r="AP751" s="78" t="str">
        <f aca="false">IF(AO751=1,SUM(AO$7:AO751),"")</f>
        <v/>
      </c>
    </row>
    <row r="752" customFormat="false" ht="15" hidden="false" customHeight="false" outlineLevel="0" collapsed="false">
      <c r="A752" s="78" t="str">
        <f aca="false">IF(E752="","",ROW()-6)</f>
        <v/>
      </c>
      <c r="B752" s="79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1"/>
      <c r="Q752" s="81"/>
      <c r="R752" s="80"/>
      <c r="S752" s="80"/>
      <c r="T752" s="81"/>
      <c r="U752" s="80"/>
      <c r="V752" s="80"/>
      <c r="W752" s="80"/>
      <c r="X752" s="80"/>
      <c r="Y752" s="81"/>
      <c r="Z752" s="80"/>
      <c r="AA752" s="80"/>
      <c r="AB752" s="80"/>
      <c r="AC752" s="80"/>
      <c r="AD752" s="81"/>
      <c r="AE752" s="80"/>
      <c r="AF752" s="80"/>
      <c r="AG752" s="81"/>
      <c r="AH752" s="79"/>
      <c r="AI752" s="78" t="str">
        <f aca="false">IF(E752="","",(V752&lt;&gt;"")+(AA752&lt;&gt;"")+(AF752&lt;&gt;""))</f>
        <v/>
      </c>
      <c r="AJ752" s="82" t="str">
        <f aca="false">IF(AF752&lt;&gt;"",AF752,IF(AA752&lt;&gt;"",AA752,IF(V752&lt;&gt;"",V752,"")))</f>
        <v/>
      </c>
      <c r="AK752" s="83" t="str">
        <f aca="false">IF(E752="","",IF(P752="","À SOUDER",IF(S752="","VT EN ATTENTE",IF(S752="R","VT REJETÉ – À REPRENDRE",IF(AJ752="","À RADIOGRAPHIER",IF(AJ752="A","ACCEPTÉ",IF(AJ752="NX","NX – RT À REFAIRE",IF(IF(AI752=1,X752,IF(AI752=2,AC752,""))="A","RÉPARÉ – À RADIOGRAPHIER",IF(IF(AI752=1,X752,IF(AI752=2,AC752,""))="R","VT REJETÉ – À REPRENDRE",IF(AJ752="CO","COUPE – À RESOUDER","À RÉPARER"))))))))))</f>
        <v/>
      </c>
      <c r="AL752" s="82" t="str">
        <f aca="false">IF(AND(ISNUMBER(P752),OR(AK752="À RADIOGRAPHIER",AK752="RÉPARÉ – À RADIOGRAPHIER",AK752="NX – RT À REFAIRE",AK752="À RÉPARER",AK752="COUPE – À RESOUDER",AK752="VT REJETÉ – À REPRENDRE")),MAX(0,'PROGRAMME RT'!$C$4-P752),"")</f>
        <v/>
      </c>
      <c r="AM752" s="78" t="n">
        <f aca="false">IF(AND(OR(AK752="À RADIOGRAPHIER",AK752="RÉPARÉ – À RADIOGRAPHIER",AK752="NX – RT À REFAIRE"),OR('PROGRAMME RT'!$D$5="TOUTES",B752='PROGRAMME RT'!$D$5)),1,0)</f>
        <v>0</v>
      </c>
      <c r="AN752" s="78" t="str">
        <f aca="false">IF(AM752=1,SUM(AM$7:AM752),"")</f>
        <v/>
      </c>
      <c r="AO752" s="78" t="n">
        <f aca="false">IF(AND(OR(AK752="À RÉPARER",AK752="COUPE – À RESOUDER",AK752="VT REJETÉ – À REPRENDRE"),OR(RÉPARATIONS!$D$5="TOUTES",B752=RÉPARATIONS!$D$5)),1,0)</f>
        <v>0</v>
      </c>
      <c r="AP752" s="78" t="str">
        <f aca="false">IF(AO752=1,SUM(AO$7:AO752),"")</f>
        <v/>
      </c>
    </row>
    <row r="753" customFormat="false" ht="15" hidden="false" customHeight="false" outlineLevel="0" collapsed="false">
      <c r="A753" s="78" t="str">
        <f aca="false">IF(E753="","",ROW()-6)</f>
        <v/>
      </c>
      <c r="B753" s="79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1"/>
      <c r="Q753" s="81"/>
      <c r="R753" s="80"/>
      <c r="S753" s="80"/>
      <c r="T753" s="81"/>
      <c r="U753" s="80"/>
      <c r="V753" s="80"/>
      <c r="W753" s="80"/>
      <c r="X753" s="80"/>
      <c r="Y753" s="81"/>
      <c r="Z753" s="80"/>
      <c r="AA753" s="80"/>
      <c r="AB753" s="80"/>
      <c r="AC753" s="80"/>
      <c r="AD753" s="81"/>
      <c r="AE753" s="80"/>
      <c r="AF753" s="80"/>
      <c r="AG753" s="81"/>
      <c r="AH753" s="79"/>
      <c r="AI753" s="78" t="str">
        <f aca="false">IF(E753="","",(V753&lt;&gt;"")+(AA753&lt;&gt;"")+(AF753&lt;&gt;""))</f>
        <v/>
      </c>
      <c r="AJ753" s="82" t="str">
        <f aca="false">IF(AF753&lt;&gt;"",AF753,IF(AA753&lt;&gt;"",AA753,IF(V753&lt;&gt;"",V753,"")))</f>
        <v/>
      </c>
      <c r="AK753" s="83" t="str">
        <f aca="false">IF(E753="","",IF(P753="","À SOUDER",IF(S753="","VT EN ATTENTE",IF(S753="R","VT REJETÉ – À REPRENDRE",IF(AJ753="","À RADIOGRAPHIER",IF(AJ753="A","ACCEPTÉ",IF(AJ753="NX","NX – RT À REFAIRE",IF(IF(AI753=1,X753,IF(AI753=2,AC753,""))="A","RÉPARÉ – À RADIOGRAPHIER",IF(IF(AI753=1,X753,IF(AI753=2,AC753,""))="R","VT REJETÉ – À REPRENDRE",IF(AJ753="CO","COUPE – À RESOUDER","À RÉPARER"))))))))))</f>
        <v/>
      </c>
      <c r="AL753" s="82" t="str">
        <f aca="false">IF(AND(ISNUMBER(P753),OR(AK753="À RADIOGRAPHIER",AK753="RÉPARÉ – À RADIOGRAPHIER",AK753="NX – RT À REFAIRE",AK753="À RÉPARER",AK753="COUPE – À RESOUDER",AK753="VT REJETÉ – À REPRENDRE")),MAX(0,'PROGRAMME RT'!$C$4-P753),"")</f>
        <v/>
      </c>
      <c r="AM753" s="78" t="n">
        <f aca="false">IF(AND(OR(AK753="À RADIOGRAPHIER",AK753="RÉPARÉ – À RADIOGRAPHIER",AK753="NX – RT À REFAIRE"),OR('PROGRAMME RT'!$D$5="TOUTES",B753='PROGRAMME RT'!$D$5)),1,0)</f>
        <v>0</v>
      </c>
      <c r="AN753" s="78" t="str">
        <f aca="false">IF(AM753=1,SUM(AM$7:AM753),"")</f>
        <v/>
      </c>
      <c r="AO753" s="78" t="n">
        <f aca="false">IF(AND(OR(AK753="À RÉPARER",AK753="COUPE – À RESOUDER",AK753="VT REJETÉ – À REPRENDRE"),OR(RÉPARATIONS!$D$5="TOUTES",B753=RÉPARATIONS!$D$5)),1,0)</f>
        <v>0</v>
      </c>
      <c r="AP753" s="78" t="str">
        <f aca="false">IF(AO753=1,SUM(AO$7:AO753),"")</f>
        <v/>
      </c>
    </row>
    <row r="754" customFormat="false" ht="15" hidden="false" customHeight="false" outlineLevel="0" collapsed="false">
      <c r="A754" s="78" t="str">
        <f aca="false">IF(E754="","",ROW()-6)</f>
        <v/>
      </c>
      <c r="B754" s="79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1"/>
      <c r="Q754" s="81"/>
      <c r="R754" s="80"/>
      <c r="S754" s="80"/>
      <c r="T754" s="81"/>
      <c r="U754" s="80"/>
      <c r="V754" s="80"/>
      <c r="W754" s="80"/>
      <c r="X754" s="80"/>
      <c r="Y754" s="81"/>
      <c r="Z754" s="80"/>
      <c r="AA754" s="80"/>
      <c r="AB754" s="80"/>
      <c r="AC754" s="80"/>
      <c r="AD754" s="81"/>
      <c r="AE754" s="80"/>
      <c r="AF754" s="80"/>
      <c r="AG754" s="81"/>
      <c r="AH754" s="79"/>
      <c r="AI754" s="78" t="str">
        <f aca="false">IF(E754="","",(V754&lt;&gt;"")+(AA754&lt;&gt;"")+(AF754&lt;&gt;""))</f>
        <v/>
      </c>
      <c r="AJ754" s="82" t="str">
        <f aca="false">IF(AF754&lt;&gt;"",AF754,IF(AA754&lt;&gt;"",AA754,IF(V754&lt;&gt;"",V754,"")))</f>
        <v/>
      </c>
      <c r="AK754" s="83" t="str">
        <f aca="false">IF(E754="","",IF(P754="","À SOUDER",IF(S754="","VT EN ATTENTE",IF(S754="R","VT REJETÉ – À REPRENDRE",IF(AJ754="","À RADIOGRAPHIER",IF(AJ754="A","ACCEPTÉ",IF(AJ754="NX","NX – RT À REFAIRE",IF(IF(AI754=1,X754,IF(AI754=2,AC754,""))="A","RÉPARÉ – À RADIOGRAPHIER",IF(IF(AI754=1,X754,IF(AI754=2,AC754,""))="R","VT REJETÉ – À REPRENDRE",IF(AJ754="CO","COUPE – À RESOUDER","À RÉPARER"))))))))))</f>
        <v/>
      </c>
      <c r="AL754" s="82" t="str">
        <f aca="false">IF(AND(ISNUMBER(P754),OR(AK754="À RADIOGRAPHIER",AK754="RÉPARÉ – À RADIOGRAPHIER",AK754="NX – RT À REFAIRE",AK754="À RÉPARER",AK754="COUPE – À RESOUDER",AK754="VT REJETÉ – À REPRENDRE")),MAX(0,'PROGRAMME RT'!$C$4-P754),"")</f>
        <v/>
      </c>
      <c r="AM754" s="78" t="n">
        <f aca="false">IF(AND(OR(AK754="À RADIOGRAPHIER",AK754="RÉPARÉ – À RADIOGRAPHIER",AK754="NX – RT À REFAIRE"),OR('PROGRAMME RT'!$D$5="TOUTES",B754='PROGRAMME RT'!$D$5)),1,0)</f>
        <v>0</v>
      </c>
      <c r="AN754" s="78" t="str">
        <f aca="false">IF(AM754=1,SUM(AM$7:AM754),"")</f>
        <v/>
      </c>
      <c r="AO754" s="78" t="n">
        <f aca="false">IF(AND(OR(AK754="À RÉPARER",AK754="COUPE – À RESOUDER",AK754="VT REJETÉ – À REPRENDRE"),OR(RÉPARATIONS!$D$5="TOUTES",B754=RÉPARATIONS!$D$5)),1,0)</f>
        <v>0</v>
      </c>
      <c r="AP754" s="78" t="str">
        <f aca="false">IF(AO754=1,SUM(AO$7:AO754),"")</f>
        <v/>
      </c>
    </row>
    <row r="755" customFormat="false" ht="15" hidden="false" customHeight="false" outlineLevel="0" collapsed="false">
      <c r="A755" s="78" t="str">
        <f aca="false">IF(E755="","",ROW()-6)</f>
        <v/>
      </c>
      <c r="B755" s="79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1"/>
      <c r="Q755" s="81"/>
      <c r="R755" s="80"/>
      <c r="S755" s="80"/>
      <c r="T755" s="81"/>
      <c r="U755" s="80"/>
      <c r="V755" s="80"/>
      <c r="W755" s="80"/>
      <c r="X755" s="80"/>
      <c r="Y755" s="81"/>
      <c r="Z755" s="80"/>
      <c r="AA755" s="80"/>
      <c r="AB755" s="80"/>
      <c r="AC755" s="80"/>
      <c r="AD755" s="81"/>
      <c r="AE755" s="80"/>
      <c r="AF755" s="80"/>
      <c r="AG755" s="81"/>
      <c r="AH755" s="79"/>
      <c r="AI755" s="78" t="str">
        <f aca="false">IF(E755="","",(V755&lt;&gt;"")+(AA755&lt;&gt;"")+(AF755&lt;&gt;""))</f>
        <v/>
      </c>
      <c r="AJ755" s="82" t="str">
        <f aca="false">IF(AF755&lt;&gt;"",AF755,IF(AA755&lt;&gt;"",AA755,IF(V755&lt;&gt;"",V755,"")))</f>
        <v/>
      </c>
      <c r="AK755" s="83" t="str">
        <f aca="false">IF(E755="","",IF(P755="","À SOUDER",IF(S755="","VT EN ATTENTE",IF(S755="R","VT REJETÉ – À REPRENDRE",IF(AJ755="","À RADIOGRAPHIER",IF(AJ755="A","ACCEPTÉ",IF(AJ755="NX","NX – RT À REFAIRE",IF(IF(AI755=1,X755,IF(AI755=2,AC755,""))="A","RÉPARÉ – À RADIOGRAPHIER",IF(IF(AI755=1,X755,IF(AI755=2,AC755,""))="R","VT REJETÉ – À REPRENDRE",IF(AJ755="CO","COUPE – À RESOUDER","À RÉPARER"))))))))))</f>
        <v/>
      </c>
      <c r="AL755" s="82" t="str">
        <f aca="false">IF(AND(ISNUMBER(P755),OR(AK755="À RADIOGRAPHIER",AK755="RÉPARÉ – À RADIOGRAPHIER",AK755="NX – RT À REFAIRE",AK755="À RÉPARER",AK755="COUPE – À RESOUDER",AK755="VT REJETÉ – À REPRENDRE")),MAX(0,'PROGRAMME RT'!$C$4-P755),"")</f>
        <v/>
      </c>
      <c r="AM755" s="78" t="n">
        <f aca="false">IF(AND(OR(AK755="À RADIOGRAPHIER",AK755="RÉPARÉ – À RADIOGRAPHIER",AK755="NX – RT À REFAIRE"),OR('PROGRAMME RT'!$D$5="TOUTES",B755='PROGRAMME RT'!$D$5)),1,0)</f>
        <v>0</v>
      </c>
      <c r="AN755" s="78" t="str">
        <f aca="false">IF(AM755=1,SUM(AM$7:AM755),"")</f>
        <v/>
      </c>
      <c r="AO755" s="78" t="n">
        <f aca="false">IF(AND(OR(AK755="À RÉPARER",AK755="COUPE – À RESOUDER",AK755="VT REJETÉ – À REPRENDRE"),OR(RÉPARATIONS!$D$5="TOUTES",B755=RÉPARATIONS!$D$5)),1,0)</f>
        <v>0</v>
      </c>
      <c r="AP755" s="78" t="str">
        <f aca="false">IF(AO755=1,SUM(AO$7:AO755),"")</f>
        <v/>
      </c>
    </row>
    <row r="756" customFormat="false" ht="15" hidden="false" customHeight="false" outlineLevel="0" collapsed="false">
      <c r="A756" s="78" t="str">
        <f aca="false">IF(E756="","",ROW()-6)</f>
        <v/>
      </c>
      <c r="B756" s="79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1"/>
      <c r="Q756" s="81"/>
      <c r="R756" s="80"/>
      <c r="S756" s="80"/>
      <c r="T756" s="81"/>
      <c r="U756" s="80"/>
      <c r="V756" s="80"/>
      <c r="W756" s="80"/>
      <c r="X756" s="80"/>
      <c r="Y756" s="81"/>
      <c r="Z756" s="80"/>
      <c r="AA756" s="80"/>
      <c r="AB756" s="80"/>
      <c r="AC756" s="80"/>
      <c r="AD756" s="81"/>
      <c r="AE756" s="80"/>
      <c r="AF756" s="80"/>
      <c r="AG756" s="81"/>
      <c r="AH756" s="79"/>
      <c r="AI756" s="78" t="str">
        <f aca="false">IF(E756="","",(V756&lt;&gt;"")+(AA756&lt;&gt;"")+(AF756&lt;&gt;""))</f>
        <v/>
      </c>
      <c r="AJ756" s="82" t="str">
        <f aca="false">IF(AF756&lt;&gt;"",AF756,IF(AA756&lt;&gt;"",AA756,IF(V756&lt;&gt;"",V756,"")))</f>
        <v/>
      </c>
      <c r="AK756" s="83" t="str">
        <f aca="false">IF(E756="","",IF(P756="","À SOUDER",IF(S756="","VT EN ATTENTE",IF(S756="R","VT REJETÉ – À REPRENDRE",IF(AJ756="","À RADIOGRAPHIER",IF(AJ756="A","ACCEPTÉ",IF(AJ756="NX","NX – RT À REFAIRE",IF(IF(AI756=1,X756,IF(AI756=2,AC756,""))="A","RÉPARÉ – À RADIOGRAPHIER",IF(IF(AI756=1,X756,IF(AI756=2,AC756,""))="R","VT REJETÉ – À REPRENDRE",IF(AJ756="CO","COUPE – À RESOUDER","À RÉPARER"))))))))))</f>
        <v/>
      </c>
      <c r="AL756" s="82" t="str">
        <f aca="false">IF(AND(ISNUMBER(P756),OR(AK756="À RADIOGRAPHIER",AK756="RÉPARÉ – À RADIOGRAPHIER",AK756="NX – RT À REFAIRE",AK756="À RÉPARER",AK756="COUPE – À RESOUDER",AK756="VT REJETÉ – À REPRENDRE")),MAX(0,'PROGRAMME RT'!$C$4-P756),"")</f>
        <v/>
      </c>
      <c r="AM756" s="78" t="n">
        <f aca="false">IF(AND(OR(AK756="À RADIOGRAPHIER",AK756="RÉPARÉ – À RADIOGRAPHIER",AK756="NX – RT À REFAIRE"),OR('PROGRAMME RT'!$D$5="TOUTES",B756='PROGRAMME RT'!$D$5)),1,0)</f>
        <v>0</v>
      </c>
      <c r="AN756" s="78" t="str">
        <f aca="false">IF(AM756=1,SUM(AM$7:AM756),"")</f>
        <v/>
      </c>
      <c r="AO756" s="78" t="n">
        <f aca="false">IF(AND(OR(AK756="À RÉPARER",AK756="COUPE – À RESOUDER",AK756="VT REJETÉ – À REPRENDRE"),OR(RÉPARATIONS!$D$5="TOUTES",B756=RÉPARATIONS!$D$5)),1,0)</f>
        <v>0</v>
      </c>
      <c r="AP756" s="78" t="str">
        <f aca="false">IF(AO756=1,SUM(AO$7:AO756),"")</f>
        <v/>
      </c>
    </row>
    <row r="757" customFormat="false" ht="15" hidden="false" customHeight="false" outlineLevel="0" collapsed="false">
      <c r="A757" s="78" t="str">
        <f aca="false">IF(E757="","",ROW()-6)</f>
        <v/>
      </c>
      <c r="B757" s="79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1"/>
      <c r="Q757" s="81"/>
      <c r="R757" s="80"/>
      <c r="S757" s="80"/>
      <c r="T757" s="81"/>
      <c r="U757" s="80"/>
      <c r="V757" s="80"/>
      <c r="W757" s="80"/>
      <c r="X757" s="80"/>
      <c r="Y757" s="81"/>
      <c r="Z757" s="80"/>
      <c r="AA757" s="80"/>
      <c r="AB757" s="80"/>
      <c r="AC757" s="80"/>
      <c r="AD757" s="81"/>
      <c r="AE757" s="80"/>
      <c r="AF757" s="80"/>
      <c r="AG757" s="81"/>
      <c r="AH757" s="79"/>
      <c r="AI757" s="78" t="str">
        <f aca="false">IF(E757="","",(V757&lt;&gt;"")+(AA757&lt;&gt;"")+(AF757&lt;&gt;""))</f>
        <v/>
      </c>
      <c r="AJ757" s="82" t="str">
        <f aca="false">IF(AF757&lt;&gt;"",AF757,IF(AA757&lt;&gt;"",AA757,IF(V757&lt;&gt;"",V757,"")))</f>
        <v/>
      </c>
      <c r="AK757" s="83" t="str">
        <f aca="false">IF(E757="","",IF(P757="","À SOUDER",IF(S757="","VT EN ATTENTE",IF(S757="R","VT REJETÉ – À REPRENDRE",IF(AJ757="","À RADIOGRAPHIER",IF(AJ757="A","ACCEPTÉ",IF(AJ757="NX","NX – RT À REFAIRE",IF(IF(AI757=1,X757,IF(AI757=2,AC757,""))="A","RÉPARÉ – À RADIOGRAPHIER",IF(IF(AI757=1,X757,IF(AI757=2,AC757,""))="R","VT REJETÉ – À REPRENDRE",IF(AJ757="CO","COUPE – À RESOUDER","À RÉPARER"))))))))))</f>
        <v/>
      </c>
      <c r="AL757" s="82" t="str">
        <f aca="false">IF(AND(ISNUMBER(P757),OR(AK757="À RADIOGRAPHIER",AK757="RÉPARÉ – À RADIOGRAPHIER",AK757="NX – RT À REFAIRE",AK757="À RÉPARER",AK757="COUPE – À RESOUDER",AK757="VT REJETÉ – À REPRENDRE")),MAX(0,'PROGRAMME RT'!$C$4-P757),"")</f>
        <v/>
      </c>
      <c r="AM757" s="78" t="n">
        <f aca="false">IF(AND(OR(AK757="À RADIOGRAPHIER",AK757="RÉPARÉ – À RADIOGRAPHIER",AK757="NX – RT À REFAIRE"),OR('PROGRAMME RT'!$D$5="TOUTES",B757='PROGRAMME RT'!$D$5)),1,0)</f>
        <v>0</v>
      </c>
      <c r="AN757" s="78" t="str">
        <f aca="false">IF(AM757=1,SUM(AM$7:AM757),"")</f>
        <v/>
      </c>
      <c r="AO757" s="78" t="n">
        <f aca="false">IF(AND(OR(AK757="À RÉPARER",AK757="COUPE – À RESOUDER",AK757="VT REJETÉ – À REPRENDRE"),OR(RÉPARATIONS!$D$5="TOUTES",B757=RÉPARATIONS!$D$5)),1,0)</f>
        <v>0</v>
      </c>
      <c r="AP757" s="78" t="str">
        <f aca="false">IF(AO757=1,SUM(AO$7:AO757),"")</f>
        <v/>
      </c>
    </row>
    <row r="758" customFormat="false" ht="15" hidden="false" customHeight="false" outlineLevel="0" collapsed="false">
      <c r="A758" s="78" t="str">
        <f aca="false">IF(E758="","",ROW()-6)</f>
        <v/>
      </c>
      <c r="B758" s="79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1"/>
      <c r="Q758" s="81"/>
      <c r="R758" s="80"/>
      <c r="S758" s="80"/>
      <c r="T758" s="81"/>
      <c r="U758" s="80"/>
      <c r="V758" s="80"/>
      <c r="W758" s="80"/>
      <c r="X758" s="80"/>
      <c r="Y758" s="81"/>
      <c r="Z758" s="80"/>
      <c r="AA758" s="80"/>
      <c r="AB758" s="80"/>
      <c r="AC758" s="80"/>
      <c r="AD758" s="81"/>
      <c r="AE758" s="80"/>
      <c r="AF758" s="80"/>
      <c r="AG758" s="81"/>
      <c r="AH758" s="79"/>
      <c r="AI758" s="78" t="str">
        <f aca="false">IF(E758="","",(V758&lt;&gt;"")+(AA758&lt;&gt;"")+(AF758&lt;&gt;""))</f>
        <v/>
      </c>
      <c r="AJ758" s="82" t="str">
        <f aca="false">IF(AF758&lt;&gt;"",AF758,IF(AA758&lt;&gt;"",AA758,IF(V758&lt;&gt;"",V758,"")))</f>
        <v/>
      </c>
      <c r="AK758" s="83" t="str">
        <f aca="false">IF(E758="","",IF(P758="","À SOUDER",IF(S758="","VT EN ATTENTE",IF(S758="R","VT REJETÉ – À REPRENDRE",IF(AJ758="","À RADIOGRAPHIER",IF(AJ758="A","ACCEPTÉ",IF(AJ758="NX","NX – RT À REFAIRE",IF(IF(AI758=1,X758,IF(AI758=2,AC758,""))="A","RÉPARÉ – À RADIOGRAPHIER",IF(IF(AI758=1,X758,IF(AI758=2,AC758,""))="R","VT REJETÉ – À REPRENDRE",IF(AJ758="CO","COUPE – À RESOUDER","À RÉPARER"))))))))))</f>
        <v/>
      </c>
      <c r="AL758" s="82" t="str">
        <f aca="false">IF(AND(ISNUMBER(P758),OR(AK758="À RADIOGRAPHIER",AK758="RÉPARÉ – À RADIOGRAPHIER",AK758="NX – RT À REFAIRE",AK758="À RÉPARER",AK758="COUPE – À RESOUDER",AK758="VT REJETÉ – À REPRENDRE")),MAX(0,'PROGRAMME RT'!$C$4-P758),"")</f>
        <v/>
      </c>
      <c r="AM758" s="78" t="n">
        <f aca="false">IF(AND(OR(AK758="À RADIOGRAPHIER",AK758="RÉPARÉ – À RADIOGRAPHIER",AK758="NX – RT À REFAIRE"),OR('PROGRAMME RT'!$D$5="TOUTES",B758='PROGRAMME RT'!$D$5)),1,0)</f>
        <v>0</v>
      </c>
      <c r="AN758" s="78" t="str">
        <f aca="false">IF(AM758=1,SUM(AM$7:AM758),"")</f>
        <v/>
      </c>
      <c r="AO758" s="78" t="n">
        <f aca="false">IF(AND(OR(AK758="À RÉPARER",AK758="COUPE – À RESOUDER",AK758="VT REJETÉ – À REPRENDRE"),OR(RÉPARATIONS!$D$5="TOUTES",B758=RÉPARATIONS!$D$5)),1,0)</f>
        <v>0</v>
      </c>
      <c r="AP758" s="78" t="str">
        <f aca="false">IF(AO758=1,SUM(AO$7:AO758),"")</f>
        <v/>
      </c>
    </row>
    <row r="759" customFormat="false" ht="15" hidden="false" customHeight="false" outlineLevel="0" collapsed="false">
      <c r="A759" s="78" t="str">
        <f aca="false">IF(E759="","",ROW()-6)</f>
        <v/>
      </c>
      <c r="B759" s="79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1"/>
      <c r="Q759" s="81"/>
      <c r="R759" s="80"/>
      <c r="S759" s="80"/>
      <c r="T759" s="81"/>
      <c r="U759" s="80"/>
      <c r="V759" s="80"/>
      <c r="W759" s="80"/>
      <c r="X759" s="80"/>
      <c r="Y759" s="81"/>
      <c r="Z759" s="80"/>
      <c r="AA759" s="80"/>
      <c r="AB759" s="80"/>
      <c r="AC759" s="80"/>
      <c r="AD759" s="81"/>
      <c r="AE759" s="80"/>
      <c r="AF759" s="80"/>
      <c r="AG759" s="81"/>
      <c r="AH759" s="79"/>
      <c r="AI759" s="78" t="str">
        <f aca="false">IF(E759="","",(V759&lt;&gt;"")+(AA759&lt;&gt;"")+(AF759&lt;&gt;""))</f>
        <v/>
      </c>
      <c r="AJ759" s="82" t="str">
        <f aca="false">IF(AF759&lt;&gt;"",AF759,IF(AA759&lt;&gt;"",AA759,IF(V759&lt;&gt;"",V759,"")))</f>
        <v/>
      </c>
      <c r="AK759" s="83" t="str">
        <f aca="false">IF(E759="","",IF(P759="","À SOUDER",IF(S759="","VT EN ATTENTE",IF(S759="R","VT REJETÉ – À REPRENDRE",IF(AJ759="","À RADIOGRAPHIER",IF(AJ759="A","ACCEPTÉ",IF(AJ759="NX","NX – RT À REFAIRE",IF(IF(AI759=1,X759,IF(AI759=2,AC759,""))="A","RÉPARÉ – À RADIOGRAPHIER",IF(IF(AI759=1,X759,IF(AI759=2,AC759,""))="R","VT REJETÉ – À REPRENDRE",IF(AJ759="CO","COUPE – À RESOUDER","À RÉPARER"))))))))))</f>
        <v/>
      </c>
      <c r="AL759" s="82" t="str">
        <f aca="false">IF(AND(ISNUMBER(P759),OR(AK759="À RADIOGRAPHIER",AK759="RÉPARÉ – À RADIOGRAPHIER",AK759="NX – RT À REFAIRE",AK759="À RÉPARER",AK759="COUPE – À RESOUDER",AK759="VT REJETÉ – À REPRENDRE")),MAX(0,'PROGRAMME RT'!$C$4-P759),"")</f>
        <v/>
      </c>
      <c r="AM759" s="78" t="n">
        <f aca="false">IF(AND(OR(AK759="À RADIOGRAPHIER",AK759="RÉPARÉ – À RADIOGRAPHIER",AK759="NX – RT À REFAIRE"),OR('PROGRAMME RT'!$D$5="TOUTES",B759='PROGRAMME RT'!$D$5)),1,0)</f>
        <v>0</v>
      </c>
      <c r="AN759" s="78" t="str">
        <f aca="false">IF(AM759=1,SUM(AM$7:AM759),"")</f>
        <v/>
      </c>
      <c r="AO759" s="78" t="n">
        <f aca="false">IF(AND(OR(AK759="À RÉPARER",AK759="COUPE – À RESOUDER",AK759="VT REJETÉ – À REPRENDRE"),OR(RÉPARATIONS!$D$5="TOUTES",B759=RÉPARATIONS!$D$5)),1,0)</f>
        <v>0</v>
      </c>
      <c r="AP759" s="78" t="str">
        <f aca="false">IF(AO759=1,SUM(AO$7:AO759),"")</f>
        <v/>
      </c>
    </row>
    <row r="760" customFormat="false" ht="15" hidden="false" customHeight="false" outlineLevel="0" collapsed="false">
      <c r="A760" s="78" t="str">
        <f aca="false">IF(E760="","",ROW()-6)</f>
        <v/>
      </c>
      <c r="B760" s="79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1"/>
      <c r="Q760" s="81"/>
      <c r="R760" s="80"/>
      <c r="S760" s="80"/>
      <c r="T760" s="81"/>
      <c r="U760" s="80"/>
      <c r="V760" s="80"/>
      <c r="W760" s="80"/>
      <c r="X760" s="80"/>
      <c r="Y760" s="81"/>
      <c r="Z760" s="80"/>
      <c r="AA760" s="80"/>
      <c r="AB760" s="80"/>
      <c r="AC760" s="80"/>
      <c r="AD760" s="81"/>
      <c r="AE760" s="80"/>
      <c r="AF760" s="80"/>
      <c r="AG760" s="81"/>
      <c r="AH760" s="79"/>
      <c r="AI760" s="78" t="str">
        <f aca="false">IF(E760="","",(V760&lt;&gt;"")+(AA760&lt;&gt;"")+(AF760&lt;&gt;""))</f>
        <v/>
      </c>
      <c r="AJ760" s="82" t="str">
        <f aca="false">IF(AF760&lt;&gt;"",AF760,IF(AA760&lt;&gt;"",AA760,IF(V760&lt;&gt;"",V760,"")))</f>
        <v/>
      </c>
      <c r="AK760" s="83" t="str">
        <f aca="false">IF(E760="","",IF(P760="","À SOUDER",IF(S760="","VT EN ATTENTE",IF(S760="R","VT REJETÉ – À REPRENDRE",IF(AJ760="","À RADIOGRAPHIER",IF(AJ760="A","ACCEPTÉ",IF(AJ760="NX","NX – RT À REFAIRE",IF(IF(AI760=1,X760,IF(AI760=2,AC760,""))="A","RÉPARÉ – À RADIOGRAPHIER",IF(IF(AI760=1,X760,IF(AI760=2,AC760,""))="R","VT REJETÉ – À REPRENDRE",IF(AJ760="CO","COUPE – À RESOUDER","À RÉPARER"))))))))))</f>
        <v/>
      </c>
      <c r="AL760" s="82" t="str">
        <f aca="false">IF(AND(ISNUMBER(P760),OR(AK760="À RADIOGRAPHIER",AK760="RÉPARÉ – À RADIOGRAPHIER",AK760="NX – RT À REFAIRE",AK760="À RÉPARER",AK760="COUPE – À RESOUDER",AK760="VT REJETÉ – À REPRENDRE")),MAX(0,'PROGRAMME RT'!$C$4-P760),"")</f>
        <v/>
      </c>
      <c r="AM760" s="78" t="n">
        <f aca="false">IF(AND(OR(AK760="À RADIOGRAPHIER",AK760="RÉPARÉ – À RADIOGRAPHIER",AK760="NX – RT À REFAIRE"),OR('PROGRAMME RT'!$D$5="TOUTES",B760='PROGRAMME RT'!$D$5)),1,0)</f>
        <v>0</v>
      </c>
      <c r="AN760" s="78" t="str">
        <f aca="false">IF(AM760=1,SUM(AM$7:AM760),"")</f>
        <v/>
      </c>
      <c r="AO760" s="78" t="n">
        <f aca="false">IF(AND(OR(AK760="À RÉPARER",AK760="COUPE – À RESOUDER",AK760="VT REJETÉ – À REPRENDRE"),OR(RÉPARATIONS!$D$5="TOUTES",B760=RÉPARATIONS!$D$5)),1,0)</f>
        <v>0</v>
      </c>
      <c r="AP760" s="78" t="str">
        <f aca="false">IF(AO760=1,SUM(AO$7:AO760),"")</f>
        <v/>
      </c>
    </row>
    <row r="761" customFormat="false" ht="15" hidden="false" customHeight="false" outlineLevel="0" collapsed="false">
      <c r="A761" s="78" t="str">
        <f aca="false">IF(E761="","",ROW()-6)</f>
        <v/>
      </c>
      <c r="B761" s="79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1"/>
      <c r="Q761" s="81"/>
      <c r="R761" s="80"/>
      <c r="S761" s="80"/>
      <c r="T761" s="81"/>
      <c r="U761" s="80"/>
      <c r="V761" s="80"/>
      <c r="W761" s="80"/>
      <c r="X761" s="80"/>
      <c r="Y761" s="81"/>
      <c r="Z761" s="80"/>
      <c r="AA761" s="80"/>
      <c r="AB761" s="80"/>
      <c r="AC761" s="80"/>
      <c r="AD761" s="81"/>
      <c r="AE761" s="80"/>
      <c r="AF761" s="80"/>
      <c r="AG761" s="81"/>
      <c r="AH761" s="79"/>
      <c r="AI761" s="78" t="str">
        <f aca="false">IF(E761="","",(V761&lt;&gt;"")+(AA761&lt;&gt;"")+(AF761&lt;&gt;""))</f>
        <v/>
      </c>
      <c r="AJ761" s="82" t="str">
        <f aca="false">IF(AF761&lt;&gt;"",AF761,IF(AA761&lt;&gt;"",AA761,IF(V761&lt;&gt;"",V761,"")))</f>
        <v/>
      </c>
      <c r="AK761" s="83" t="str">
        <f aca="false">IF(E761="","",IF(P761="","À SOUDER",IF(S761="","VT EN ATTENTE",IF(S761="R","VT REJETÉ – À REPRENDRE",IF(AJ761="","À RADIOGRAPHIER",IF(AJ761="A","ACCEPTÉ",IF(AJ761="NX","NX – RT À REFAIRE",IF(IF(AI761=1,X761,IF(AI761=2,AC761,""))="A","RÉPARÉ – À RADIOGRAPHIER",IF(IF(AI761=1,X761,IF(AI761=2,AC761,""))="R","VT REJETÉ – À REPRENDRE",IF(AJ761="CO","COUPE – À RESOUDER","À RÉPARER"))))))))))</f>
        <v/>
      </c>
      <c r="AL761" s="82" t="str">
        <f aca="false">IF(AND(ISNUMBER(P761),OR(AK761="À RADIOGRAPHIER",AK761="RÉPARÉ – À RADIOGRAPHIER",AK761="NX – RT À REFAIRE",AK761="À RÉPARER",AK761="COUPE – À RESOUDER",AK761="VT REJETÉ – À REPRENDRE")),MAX(0,'PROGRAMME RT'!$C$4-P761),"")</f>
        <v/>
      </c>
      <c r="AM761" s="78" t="n">
        <f aca="false">IF(AND(OR(AK761="À RADIOGRAPHIER",AK761="RÉPARÉ – À RADIOGRAPHIER",AK761="NX – RT À REFAIRE"),OR('PROGRAMME RT'!$D$5="TOUTES",B761='PROGRAMME RT'!$D$5)),1,0)</f>
        <v>0</v>
      </c>
      <c r="AN761" s="78" t="str">
        <f aca="false">IF(AM761=1,SUM(AM$7:AM761),"")</f>
        <v/>
      </c>
      <c r="AO761" s="78" t="n">
        <f aca="false">IF(AND(OR(AK761="À RÉPARER",AK761="COUPE – À RESOUDER",AK761="VT REJETÉ – À REPRENDRE"),OR(RÉPARATIONS!$D$5="TOUTES",B761=RÉPARATIONS!$D$5)),1,0)</f>
        <v>0</v>
      </c>
      <c r="AP761" s="78" t="str">
        <f aca="false">IF(AO761=1,SUM(AO$7:AO761),"")</f>
        <v/>
      </c>
    </row>
    <row r="762" customFormat="false" ht="15" hidden="false" customHeight="false" outlineLevel="0" collapsed="false">
      <c r="A762" s="78" t="str">
        <f aca="false">IF(E762="","",ROW()-6)</f>
        <v/>
      </c>
      <c r="B762" s="79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1"/>
      <c r="Q762" s="81"/>
      <c r="R762" s="80"/>
      <c r="S762" s="80"/>
      <c r="T762" s="81"/>
      <c r="U762" s="80"/>
      <c r="V762" s="80"/>
      <c r="W762" s="80"/>
      <c r="X762" s="80"/>
      <c r="Y762" s="81"/>
      <c r="Z762" s="80"/>
      <c r="AA762" s="80"/>
      <c r="AB762" s="80"/>
      <c r="AC762" s="80"/>
      <c r="AD762" s="81"/>
      <c r="AE762" s="80"/>
      <c r="AF762" s="80"/>
      <c r="AG762" s="81"/>
      <c r="AH762" s="79"/>
      <c r="AI762" s="78" t="str">
        <f aca="false">IF(E762="","",(V762&lt;&gt;"")+(AA762&lt;&gt;"")+(AF762&lt;&gt;""))</f>
        <v/>
      </c>
      <c r="AJ762" s="82" t="str">
        <f aca="false">IF(AF762&lt;&gt;"",AF762,IF(AA762&lt;&gt;"",AA762,IF(V762&lt;&gt;"",V762,"")))</f>
        <v/>
      </c>
      <c r="AK762" s="83" t="str">
        <f aca="false">IF(E762="","",IF(P762="","À SOUDER",IF(S762="","VT EN ATTENTE",IF(S762="R","VT REJETÉ – À REPRENDRE",IF(AJ762="","À RADIOGRAPHIER",IF(AJ762="A","ACCEPTÉ",IF(AJ762="NX","NX – RT À REFAIRE",IF(IF(AI762=1,X762,IF(AI762=2,AC762,""))="A","RÉPARÉ – À RADIOGRAPHIER",IF(IF(AI762=1,X762,IF(AI762=2,AC762,""))="R","VT REJETÉ – À REPRENDRE",IF(AJ762="CO","COUPE – À RESOUDER","À RÉPARER"))))))))))</f>
        <v/>
      </c>
      <c r="AL762" s="82" t="str">
        <f aca="false">IF(AND(ISNUMBER(P762),OR(AK762="À RADIOGRAPHIER",AK762="RÉPARÉ – À RADIOGRAPHIER",AK762="NX – RT À REFAIRE",AK762="À RÉPARER",AK762="COUPE – À RESOUDER",AK762="VT REJETÉ – À REPRENDRE")),MAX(0,'PROGRAMME RT'!$C$4-P762),"")</f>
        <v/>
      </c>
      <c r="AM762" s="78" t="n">
        <f aca="false">IF(AND(OR(AK762="À RADIOGRAPHIER",AK762="RÉPARÉ – À RADIOGRAPHIER",AK762="NX – RT À REFAIRE"),OR('PROGRAMME RT'!$D$5="TOUTES",B762='PROGRAMME RT'!$D$5)),1,0)</f>
        <v>0</v>
      </c>
      <c r="AN762" s="78" t="str">
        <f aca="false">IF(AM762=1,SUM(AM$7:AM762),"")</f>
        <v/>
      </c>
      <c r="AO762" s="78" t="n">
        <f aca="false">IF(AND(OR(AK762="À RÉPARER",AK762="COUPE – À RESOUDER",AK762="VT REJETÉ – À REPRENDRE"),OR(RÉPARATIONS!$D$5="TOUTES",B762=RÉPARATIONS!$D$5)),1,0)</f>
        <v>0</v>
      </c>
      <c r="AP762" s="78" t="str">
        <f aca="false">IF(AO762=1,SUM(AO$7:AO762),"")</f>
        <v/>
      </c>
    </row>
    <row r="763" customFormat="false" ht="15" hidden="false" customHeight="false" outlineLevel="0" collapsed="false">
      <c r="A763" s="78" t="str">
        <f aca="false">IF(E763="","",ROW()-6)</f>
        <v/>
      </c>
      <c r="B763" s="79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1"/>
      <c r="Q763" s="81"/>
      <c r="R763" s="80"/>
      <c r="S763" s="80"/>
      <c r="T763" s="81"/>
      <c r="U763" s="80"/>
      <c r="V763" s="80"/>
      <c r="W763" s="80"/>
      <c r="X763" s="80"/>
      <c r="Y763" s="81"/>
      <c r="Z763" s="80"/>
      <c r="AA763" s="80"/>
      <c r="AB763" s="80"/>
      <c r="AC763" s="80"/>
      <c r="AD763" s="81"/>
      <c r="AE763" s="80"/>
      <c r="AF763" s="80"/>
      <c r="AG763" s="81"/>
      <c r="AH763" s="79"/>
      <c r="AI763" s="78" t="str">
        <f aca="false">IF(E763="","",(V763&lt;&gt;"")+(AA763&lt;&gt;"")+(AF763&lt;&gt;""))</f>
        <v/>
      </c>
      <c r="AJ763" s="82" t="str">
        <f aca="false">IF(AF763&lt;&gt;"",AF763,IF(AA763&lt;&gt;"",AA763,IF(V763&lt;&gt;"",V763,"")))</f>
        <v/>
      </c>
      <c r="AK763" s="83" t="str">
        <f aca="false">IF(E763="","",IF(P763="","À SOUDER",IF(S763="","VT EN ATTENTE",IF(S763="R","VT REJETÉ – À REPRENDRE",IF(AJ763="","À RADIOGRAPHIER",IF(AJ763="A","ACCEPTÉ",IF(AJ763="NX","NX – RT À REFAIRE",IF(IF(AI763=1,X763,IF(AI763=2,AC763,""))="A","RÉPARÉ – À RADIOGRAPHIER",IF(IF(AI763=1,X763,IF(AI763=2,AC763,""))="R","VT REJETÉ – À REPRENDRE",IF(AJ763="CO","COUPE – À RESOUDER","À RÉPARER"))))))))))</f>
        <v/>
      </c>
      <c r="AL763" s="82" t="str">
        <f aca="false">IF(AND(ISNUMBER(P763),OR(AK763="À RADIOGRAPHIER",AK763="RÉPARÉ – À RADIOGRAPHIER",AK763="NX – RT À REFAIRE",AK763="À RÉPARER",AK763="COUPE – À RESOUDER",AK763="VT REJETÉ – À REPRENDRE")),MAX(0,'PROGRAMME RT'!$C$4-P763),"")</f>
        <v/>
      </c>
      <c r="AM763" s="78" t="n">
        <f aca="false">IF(AND(OR(AK763="À RADIOGRAPHIER",AK763="RÉPARÉ – À RADIOGRAPHIER",AK763="NX – RT À REFAIRE"),OR('PROGRAMME RT'!$D$5="TOUTES",B763='PROGRAMME RT'!$D$5)),1,0)</f>
        <v>0</v>
      </c>
      <c r="AN763" s="78" t="str">
        <f aca="false">IF(AM763=1,SUM(AM$7:AM763),"")</f>
        <v/>
      </c>
      <c r="AO763" s="78" t="n">
        <f aca="false">IF(AND(OR(AK763="À RÉPARER",AK763="COUPE – À RESOUDER",AK763="VT REJETÉ – À REPRENDRE"),OR(RÉPARATIONS!$D$5="TOUTES",B763=RÉPARATIONS!$D$5)),1,0)</f>
        <v>0</v>
      </c>
      <c r="AP763" s="78" t="str">
        <f aca="false">IF(AO763=1,SUM(AO$7:AO763),"")</f>
        <v/>
      </c>
    </row>
    <row r="764" customFormat="false" ht="15" hidden="false" customHeight="false" outlineLevel="0" collapsed="false">
      <c r="A764" s="78" t="str">
        <f aca="false">IF(E764="","",ROW()-6)</f>
        <v/>
      </c>
      <c r="B764" s="79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1"/>
      <c r="Q764" s="81"/>
      <c r="R764" s="80"/>
      <c r="S764" s="80"/>
      <c r="T764" s="81"/>
      <c r="U764" s="80"/>
      <c r="V764" s="80"/>
      <c r="W764" s="80"/>
      <c r="X764" s="80"/>
      <c r="Y764" s="81"/>
      <c r="Z764" s="80"/>
      <c r="AA764" s="80"/>
      <c r="AB764" s="80"/>
      <c r="AC764" s="80"/>
      <c r="AD764" s="81"/>
      <c r="AE764" s="80"/>
      <c r="AF764" s="80"/>
      <c r="AG764" s="81"/>
      <c r="AH764" s="79"/>
      <c r="AI764" s="78" t="str">
        <f aca="false">IF(E764="","",(V764&lt;&gt;"")+(AA764&lt;&gt;"")+(AF764&lt;&gt;""))</f>
        <v/>
      </c>
      <c r="AJ764" s="82" t="str">
        <f aca="false">IF(AF764&lt;&gt;"",AF764,IF(AA764&lt;&gt;"",AA764,IF(V764&lt;&gt;"",V764,"")))</f>
        <v/>
      </c>
      <c r="AK764" s="83" t="str">
        <f aca="false">IF(E764="","",IF(P764="","À SOUDER",IF(S764="","VT EN ATTENTE",IF(S764="R","VT REJETÉ – À REPRENDRE",IF(AJ764="","À RADIOGRAPHIER",IF(AJ764="A","ACCEPTÉ",IF(AJ764="NX","NX – RT À REFAIRE",IF(IF(AI764=1,X764,IF(AI764=2,AC764,""))="A","RÉPARÉ – À RADIOGRAPHIER",IF(IF(AI764=1,X764,IF(AI764=2,AC764,""))="R","VT REJETÉ – À REPRENDRE",IF(AJ764="CO","COUPE – À RESOUDER","À RÉPARER"))))))))))</f>
        <v/>
      </c>
      <c r="AL764" s="82" t="str">
        <f aca="false">IF(AND(ISNUMBER(P764),OR(AK764="À RADIOGRAPHIER",AK764="RÉPARÉ – À RADIOGRAPHIER",AK764="NX – RT À REFAIRE",AK764="À RÉPARER",AK764="COUPE – À RESOUDER",AK764="VT REJETÉ – À REPRENDRE")),MAX(0,'PROGRAMME RT'!$C$4-P764),"")</f>
        <v/>
      </c>
      <c r="AM764" s="78" t="n">
        <f aca="false">IF(AND(OR(AK764="À RADIOGRAPHIER",AK764="RÉPARÉ – À RADIOGRAPHIER",AK764="NX – RT À REFAIRE"),OR('PROGRAMME RT'!$D$5="TOUTES",B764='PROGRAMME RT'!$D$5)),1,0)</f>
        <v>0</v>
      </c>
      <c r="AN764" s="78" t="str">
        <f aca="false">IF(AM764=1,SUM(AM$7:AM764),"")</f>
        <v/>
      </c>
      <c r="AO764" s="78" t="n">
        <f aca="false">IF(AND(OR(AK764="À RÉPARER",AK764="COUPE – À RESOUDER",AK764="VT REJETÉ – À REPRENDRE"),OR(RÉPARATIONS!$D$5="TOUTES",B764=RÉPARATIONS!$D$5)),1,0)</f>
        <v>0</v>
      </c>
      <c r="AP764" s="78" t="str">
        <f aca="false">IF(AO764=1,SUM(AO$7:AO764),"")</f>
        <v/>
      </c>
    </row>
    <row r="765" customFormat="false" ht="15" hidden="false" customHeight="false" outlineLevel="0" collapsed="false">
      <c r="A765" s="78" t="str">
        <f aca="false">IF(E765="","",ROW()-6)</f>
        <v/>
      </c>
      <c r="B765" s="79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1"/>
      <c r="Q765" s="81"/>
      <c r="R765" s="80"/>
      <c r="S765" s="80"/>
      <c r="T765" s="81"/>
      <c r="U765" s="80"/>
      <c r="V765" s="80"/>
      <c r="W765" s="80"/>
      <c r="X765" s="80"/>
      <c r="Y765" s="81"/>
      <c r="Z765" s="80"/>
      <c r="AA765" s="80"/>
      <c r="AB765" s="80"/>
      <c r="AC765" s="80"/>
      <c r="AD765" s="81"/>
      <c r="AE765" s="80"/>
      <c r="AF765" s="80"/>
      <c r="AG765" s="81"/>
      <c r="AH765" s="79"/>
      <c r="AI765" s="78" t="str">
        <f aca="false">IF(E765="","",(V765&lt;&gt;"")+(AA765&lt;&gt;"")+(AF765&lt;&gt;""))</f>
        <v/>
      </c>
      <c r="AJ765" s="82" t="str">
        <f aca="false">IF(AF765&lt;&gt;"",AF765,IF(AA765&lt;&gt;"",AA765,IF(V765&lt;&gt;"",V765,"")))</f>
        <v/>
      </c>
      <c r="AK765" s="83" t="str">
        <f aca="false">IF(E765="","",IF(P765="","À SOUDER",IF(S765="","VT EN ATTENTE",IF(S765="R","VT REJETÉ – À REPRENDRE",IF(AJ765="","À RADIOGRAPHIER",IF(AJ765="A","ACCEPTÉ",IF(AJ765="NX","NX – RT À REFAIRE",IF(IF(AI765=1,X765,IF(AI765=2,AC765,""))="A","RÉPARÉ – À RADIOGRAPHIER",IF(IF(AI765=1,X765,IF(AI765=2,AC765,""))="R","VT REJETÉ – À REPRENDRE",IF(AJ765="CO","COUPE – À RESOUDER","À RÉPARER"))))))))))</f>
        <v/>
      </c>
      <c r="AL765" s="82" t="str">
        <f aca="false">IF(AND(ISNUMBER(P765),OR(AK765="À RADIOGRAPHIER",AK765="RÉPARÉ – À RADIOGRAPHIER",AK765="NX – RT À REFAIRE",AK765="À RÉPARER",AK765="COUPE – À RESOUDER",AK765="VT REJETÉ – À REPRENDRE")),MAX(0,'PROGRAMME RT'!$C$4-P765),"")</f>
        <v/>
      </c>
      <c r="AM765" s="78" t="n">
        <f aca="false">IF(AND(OR(AK765="À RADIOGRAPHIER",AK765="RÉPARÉ – À RADIOGRAPHIER",AK765="NX – RT À REFAIRE"),OR('PROGRAMME RT'!$D$5="TOUTES",B765='PROGRAMME RT'!$D$5)),1,0)</f>
        <v>0</v>
      </c>
      <c r="AN765" s="78" t="str">
        <f aca="false">IF(AM765=1,SUM(AM$7:AM765),"")</f>
        <v/>
      </c>
      <c r="AO765" s="78" t="n">
        <f aca="false">IF(AND(OR(AK765="À RÉPARER",AK765="COUPE – À RESOUDER",AK765="VT REJETÉ – À REPRENDRE"),OR(RÉPARATIONS!$D$5="TOUTES",B765=RÉPARATIONS!$D$5)),1,0)</f>
        <v>0</v>
      </c>
      <c r="AP765" s="78" t="str">
        <f aca="false">IF(AO765=1,SUM(AO$7:AO765),"")</f>
        <v/>
      </c>
    </row>
    <row r="766" customFormat="false" ht="15" hidden="false" customHeight="false" outlineLevel="0" collapsed="false">
      <c r="A766" s="78" t="str">
        <f aca="false">IF(E766="","",ROW()-6)</f>
        <v/>
      </c>
      <c r="B766" s="79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1"/>
      <c r="Q766" s="81"/>
      <c r="R766" s="80"/>
      <c r="S766" s="80"/>
      <c r="T766" s="81"/>
      <c r="U766" s="80"/>
      <c r="V766" s="80"/>
      <c r="W766" s="80"/>
      <c r="X766" s="80"/>
      <c r="Y766" s="81"/>
      <c r="Z766" s="80"/>
      <c r="AA766" s="80"/>
      <c r="AB766" s="80"/>
      <c r="AC766" s="80"/>
      <c r="AD766" s="81"/>
      <c r="AE766" s="80"/>
      <c r="AF766" s="80"/>
      <c r="AG766" s="81"/>
      <c r="AH766" s="79"/>
      <c r="AI766" s="78" t="str">
        <f aca="false">IF(E766="","",(V766&lt;&gt;"")+(AA766&lt;&gt;"")+(AF766&lt;&gt;""))</f>
        <v/>
      </c>
      <c r="AJ766" s="82" t="str">
        <f aca="false">IF(AF766&lt;&gt;"",AF766,IF(AA766&lt;&gt;"",AA766,IF(V766&lt;&gt;"",V766,"")))</f>
        <v/>
      </c>
      <c r="AK766" s="83" t="str">
        <f aca="false">IF(E766="","",IF(P766="","À SOUDER",IF(S766="","VT EN ATTENTE",IF(S766="R","VT REJETÉ – À REPRENDRE",IF(AJ766="","À RADIOGRAPHIER",IF(AJ766="A","ACCEPTÉ",IF(AJ766="NX","NX – RT À REFAIRE",IF(IF(AI766=1,X766,IF(AI766=2,AC766,""))="A","RÉPARÉ – À RADIOGRAPHIER",IF(IF(AI766=1,X766,IF(AI766=2,AC766,""))="R","VT REJETÉ – À REPRENDRE",IF(AJ766="CO","COUPE – À RESOUDER","À RÉPARER"))))))))))</f>
        <v/>
      </c>
      <c r="AL766" s="82" t="str">
        <f aca="false">IF(AND(ISNUMBER(P766),OR(AK766="À RADIOGRAPHIER",AK766="RÉPARÉ – À RADIOGRAPHIER",AK766="NX – RT À REFAIRE",AK766="À RÉPARER",AK766="COUPE – À RESOUDER",AK766="VT REJETÉ – À REPRENDRE")),MAX(0,'PROGRAMME RT'!$C$4-P766),"")</f>
        <v/>
      </c>
      <c r="AM766" s="78" t="n">
        <f aca="false">IF(AND(OR(AK766="À RADIOGRAPHIER",AK766="RÉPARÉ – À RADIOGRAPHIER",AK766="NX – RT À REFAIRE"),OR('PROGRAMME RT'!$D$5="TOUTES",B766='PROGRAMME RT'!$D$5)),1,0)</f>
        <v>0</v>
      </c>
      <c r="AN766" s="78" t="str">
        <f aca="false">IF(AM766=1,SUM(AM$7:AM766),"")</f>
        <v/>
      </c>
      <c r="AO766" s="78" t="n">
        <f aca="false">IF(AND(OR(AK766="À RÉPARER",AK766="COUPE – À RESOUDER",AK766="VT REJETÉ – À REPRENDRE"),OR(RÉPARATIONS!$D$5="TOUTES",B766=RÉPARATIONS!$D$5)),1,0)</f>
        <v>0</v>
      </c>
      <c r="AP766" s="78" t="str">
        <f aca="false">IF(AO766=1,SUM(AO$7:AO766),"")</f>
        <v/>
      </c>
    </row>
    <row r="767" customFormat="false" ht="15" hidden="false" customHeight="false" outlineLevel="0" collapsed="false">
      <c r="A767" s="78" t="str">
        <f aca="false">IF(E767="","",ROW()-6)</f>
        <v/>
      </c>
      <c r="B767" s="79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1"/>
      <c r="Q767" s="81"/>
      <c r="R767" s="80"/>
      <c r="S767" s="80"/>
      <c r="T767" s="81"/>
      <c r="U767" s="80"/>
      <c r="V767" s="80"/>
      <c r="W767" s="80"/>
      <c r="X767" s="80"/>
      <c r="Y767" s="81"/>
      <c r="Z767" s="80"/>
      <c r="AA767" s="80"/>
      <c r="AB767" s="80"/>
      <c r="AC767" s="80"/>
      <c r="AD767" s="81"/>
      <c r="AE767" s="80"/>
      <c r="AF767" s="80"/>
      <c r="AG767" s="81"/>
      <c r="AH767" s="79"/>
      <c r="AI767" s="78" t="str">
        <f aca="false">IF(E767="","",(V767&lt;&gt;"")+(AA767&lt;&gt;"")+(AF767&lt;&gt;""))</f>
        <v/>
      </c>
      <c r="AJ767" s="82" t="str">
        <f aca="false">IF(AF767&lt;&gt;"",AF767,IF(AA767&lt;&gt;"",AA767,IF(V767&lt;&gt;"",V767,"")))</f>
        <v/>
      </c>
      <c r="AK767" s="83" t="str">
        <f aca="false">IF(E767="","",IF(P767="","À SOUDER",IF(S767="","VT EN ATTENTE",IF(S767="R","VT REJETÉ – À REPRENDRE",IF(AJ767="","À RADIOGRAPHIER",IF(AJ767="A","ACCEPTÉ",IF(AJ767="NX","NX – RT À REFAIRE",IF(IF(AI767=1,X767,IF(AI767=2,AC767,""))="A","RÉPARÉ – À RADIOGRAPHIER",IF(IF(AI767=1,X767,IF(AI767=2,AC767,""))="R","VT REJETÉ – À REPRENDRE",IF(AJ767="CO","COUPE – À RESOUDER","À RÉPARER"))))))))))</f>
        <v/>
      </c>
      <c r="AL767" s="82" t="str">
        <f aca="false">IF(AND(ISNUMBER(P767),OR(AK767="À RADIOGRAPHIER",AK767="RÉPARÉ – À RADIOGRAPHIER",AK767="NX – RT À REFAIRE",AK767="À RÉPARER",AK767="COUPE – À RESOUDER",AK767="VT REJETÉ – À REPRENDRE")),MAX(0,'PROGRAMME RT'!$C$4-P767),"")</f>
        <v/>
      </c>
      <c r="AM767" s="78" t="n">
        <f aca="false">IF(AND(OR(AK767="À RADIOGRAPHIER",AK767="RÉPARÉ – À RADIOGRAPHIER",AK767="NX – RT À REFAIRE"),OR('PROGRAMME RT'!$D$5="TOUTES",B767='PROGRAMME RT'!$D$5)),1,0)</f>
        <v>0</v>
      </c>
      <c r="AN767" s="78" t="str">
        <f aca="false">IF(AM767=1,SUM(AM$7:AM767),"")</f>
        <v/>
      </c>
      <c r="AO767" s="78" t="n">
        <f aca="false">IF(AND(OR(AK767="À RÉPARER",AK767="COUPE – À RESOUDER",AK767="VT REJETÉ – À REPRENDRE"),OR(RÉPARATIONS!$D$5="TOUTES",B767=RÉPARATIONS!$D$5)),1,0)</f>
        <v>0</v>
      </c>
      <c r="AP767" s="78" t="str">
        <f aca="false">IF(AO767=1,SUM(AO$7:AO767),"")</f>
        <v/>
      </c>
    </row>
    <row r="768" customFormat="false" ht="15" hidden="false" customHeight="false" outlineLevel="0" collapsed="false">
      <c r="A768" s="78" t="str">
        <f aca="false">IF(E768="","",ROW()-6)</f>
        <v/>
      </c>
      <c r="B768" s="79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1"/>
      <c r="Q768" s="81"/>
      <c r="R768" s="80"/>
      <c r="S768" s="80"/>
      <c r="T768" s="81"/>
      <c r="U768" s="80"/>
      <c r="V768" s="80"/>
      <c r="W768" s="80"/>
      <c r="X768" s="80"/>
      <c r="Y768" s="81"/>
      <c r="Z768" s="80"/>
      <c r="AA768" s="80"/>
      <c r="AB768" s="80"/>
      <c r="AC768" s="80"/>
      <c r="AD768" s="81"/>
      <c r="AE768" s="80"/>
      <c r="AF768" s="80"/>
      <c r="AG768" s="81"/>
      <c r="AH768" s="79"/>
      <c r="AI768" s="78" t="str">
        <f aca="false">IF(E768="","",(V768&lt;&gt;"")+(AA768&lt;&gt;"")+(AF768&lt;&gt;""))</f>
        <v/>
      </c>
      <c r="AJ768" s="82" t="str">
        <f aca="false">IF(AF768&lt;&gt;"",AF768,IF(AA768&lt;&gt;"",AA768,IF(V768&lt;&gt;"",V768,"")))</f>
        <v/>
      </c>
      <c r="AK768" s="83" t="str">
        <f aca="false">IF(E768="","",IF(P768="","À SOUDER",IF(S768="","VT EN ATTENTE",IF(S768="R","VT REJETÉ – À REPRENDRE",IF(AJ768="","À RADIOGRAPHIER",IF(AJ768="A","ACCEPTÉ",IF(AJ768="NX","NX – RT À REFAIRE",IF(IF(AI768=1,X768,IF(AI768=2,AC768,""))="A","RÉPARÉ – À RADIOGRAPHIER",IF(IF(AI768=1,X768,IF(AI768=2,AC768,""))="R","VT REJETÉ – À REPRENDRE",IF(AJ768="CO","COUPE – À RESOUDER","À RÉPARER"))))))))))</f>
        <v/>
      </c>
      <c r="AL768" s="82" t="str">
        <f aca="false">IF(AND(ISNUMBER(P768),OR(AK768="À RADIOGRAPHIER",AK768="RÉPARÉ – À RADIOGRAPHIER",AK768="NX – RT À REFAIRE",AK768="À RÉPARER",AK768="COUPE – À RESOUDER",AK768="VT REJETÉ – À REPRENDRE")),MAX(0,'PROGRAMME RT'!$C$4-P768),"")</f>
        <v/>
      </c>
      <c r="AM768" s="78" t="n">
        <f aca="false">IF(AND(OR(AK768="À RADIOGRAPHIER",AK768="RÉPARÉ – À RADIOGRAPHIER",AK768="NX – RT À REFAIRE"),OR('PROGRAMME RT'!$D$5="TOUTES",B768='PROGRAMME RT'!$D$5)),1,0)</f>
        <v>0</v>
      </c>
      <c r="AN768" s="78" t="str">
        <f aca="false">IF(AM768=1,SUM(AM$7:AM768),"")</f>
        <v/>
      </c>
      <c r="AO768" s="78" t="n">
        <f aca="false">IF(AND(OR(AK768="À RÉPARER",AK768="COUPE – À RESOUDER",AK768="VT REJETÉ – À REPRENDRE"),OR(RÉPARATIONS!$D$5="TOUTES",B768=RÉPARATIONS!$D$5)),1,0)</f>
        <v>0</v>
      </c>
      <c r="AP768" s="78" t="str">
        <f aca="false">IF(AO768=1,SUM(AO$7:AO768),"")</f>
        <v/>
      </c>
    </row>
    <row r="769" customFormat="false" ht="15" hidden="false" customHeight="false" outlineLevel="0" collapsed="false">
      <c r="A769" s="78" t="str">
        <f aca="false">IF(E769="","",ROW()-6)</f>
        <v/>
      </c>
      <c r="B769" s="79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1"/>
      <c r="Q769" s="81"/>
      <c r="R769" s="80"/>
      <c r="S769" s="80"/>
      <c r="T769" s="81"/>
      <c r="U769" s="80"/>
      <c r="V769" s="80"/>
      <c r="W769" s="80"/>
      <c r="X769" s="80"/>
      <c r="Y769" s="81"/>
      <c r="Z769" s="80"/>
      <c r="AA769" s="80"/>
      <c r="AB769" s="80"/>
      <c r="AC769" s="80"/>
      <c r="AD769" s="81"/>
      <c r="AE769" s="80"/>
      <c r="AF769" s="80"/>
      <c r="AG769" s="81"/>
      <c r="AH769" s="79"/>
      <c r="AI769" s="78" t="str">
        <f aca="false">IF(E769="","",(V769&lt;&gt;"")+(AA769&lt;&gt;"")+(AF769&lt;&gt;""))</f>
        <v/>
      </c>
      <c r="AJ769" s="82" t="str">
        <f aca="false">IF(AF769&lt;&gt;"",AF769,IF(AA769&lt;&gt;"",AA769,IF(V769&lt;&gt;"",V769,"")))</f>
        <v/>
      </c>
      <c r="AK769" s="83" t="str">
        <f aca="false">IF(E769="","",IF(P769="","À SOUDER",IF(S769="","VT EN ATTENTE",IF(S769="R","VT REJETÉ – À REPRENDRE",IF(AJ769="","À RADIOGRAPHIER",IF(AJ769="A","ACCEPTÉ",IF(AJ769="NX","NX – RT À REFAIRE",IF(IF(AI769=1,X769,IF(AI769=2,AC769,""))="A","RÉPARÉ – À RADIOGRAPHIER",IF(IF(AI769=1,X769,IF(AI769=2,AC769,""))="R","VT REJETÉ – À REPRENDRE",IF(AJ769="CO","COUPE – À RESOUDER","À RÉPARER"))))))))))</f>
        <v/>
      </c>
      <c r="AL769" s="82" t="str">
        <f aca="false">IF(AND(ISNUMBER(P769),OR(AK769="À RADIOGRAPHIER",AK769="RÉPARÉ – À RADIOGRAPHIER",AK769="NX – RT À REFAIRE",AK769="À RÉPARER",AK769="COUPE – À RESOUDER",AK769="VT REJETÉ – À REPRENDRE")),MAX(0,'PROGRAMME RT'!$C$4-P769),"")</f>
        <v/>
      </c>
      <c r="AM769" s="78" t="n">
        <f aca="false">IF(AND(OR(AK769="À RADIOGRAPHIER",AK769="RÉPARÉ – À RADIOGRAPHIER",AK769="NX – RT À REFAIRE"),OR('PROGRAMME RT'!$D$5="TOUTES",B769='PROGRAMME RT'!$D$5)),1,0)</f>
        <v>0</v>
      </c>
      <c r="AN769" s="78" t="str">
        <f aca="false">IF(AM769=1,SUM(AM$7:AM769),"")</f>
        <v/>
      </c>
      <c r="AO769" s="78" t="n">
        <f aca="false">IF(AND(OR(AK769="À RÉPARER",AK769="COUPE – À RESOUDER",AK769="VT REJETÉ – À REPRENDRE"),OR(RÉPARATIONS!$D$5="TOUTES",B769=RÉPARATIONS!$D$5)),1,0)</f>
        <v>0</v>
      </c>
      <c r="AP769" s="78" t="str">
        <f aca="false">IF(AO769=1,SUM(AO$7:AO769),"")</f>
        <v/>
      </c>
    </row>
    <row r="770" customFormat="false" ht="15" hidden="false" customHeight="false" outlineLevel="0" collapsed="false">
      <c r="A770" s="78" t="str">
        <f aca="false">IF(E770="","",ROW()-6)</f>
        <v/>
      </c>
      <c r="B770" s="79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1"/>
      <c r="Q770" s="81"/>
      <c r="R770" s="80"/>
      <c r="S770" s="80"/>
      <c r="T770" s="81"/>
      <c r="U770" s="80"/>
      <c r="V770" s="80"/>
      <c r="W770" s="80"/>
      <c r="X770" s="80"/>
      <c r="Y770" s="81"/>
      <c r="Z770" s="80"/>
      <c r="AA770" s="80"/>
      <c r="AB770" s="80"/>
      <c r="AC770" s="80"/>
      <c r="AD770" s="81"/>
      <c r="AE770" s="80"/>
      <c r="AF770" s="80"/>
      <c r="AG770" s="81"/>
      <c r="AH770" s="79"/>
      <c r="AI770" s="78" t="str">
        <f aca="false">IF(E770="","",(V770&lt;&gt;"")+(AA770&lt;&gt;"")+(AF770&lt;&gt;""))</f>
        <v/>
      </c>
      <c r="AJ770" s="82" t="str">
        <f aca="false">IF(AF770&lt;&gt;"",AF770,IF(AA770&lt;&gt;"",AA770,IF(V770&lt;&gt;"",V770,"")))</f>
        <v/>
      </c>
      <c r="AK770" s="83" t="str">
        <f aca="false">IF(E770="","",IF(P770="","À SOUDER",IF(S770="","VT EN ATTENTE",IF(S770="R","VT REJETÉ – À REPRENDRE",IF(AJ770="","À RADIOGRAPHIER",IF(AJ770="A","ACCEPTÉ",IF(AJ770="NX","NX – RT À REFAIRE",IF(IF(AI770=1,X770,IF(AI770=2,AC770,""))="A","RÉPARÉ – À RADIOGRAPHIER",IF(IF(AI770=1,X770,IF(AI770=2,AC770,""))="R","VT REJETÉ – À REPRENDRE",IF(AJ770="CO","COUPE – À RESOUDER","À RÉPARER"))))))))))</f>
        <v/>
      </c>
      <c r="AL770" s="82" t="str">
        <f aca="false">IF(AND(ISNUMBER(P770),OR(AK770="À RADIOGRAPHIER",AK770="RÉPARÉ – À RADIOGRAPHIER",AK770="NX – RT À REFAIRE",AK770="À RÉPARER",AK770="COUPE – À RESOUDER",AK770="VT REJETÉ – À REPRENDRE")),MAX(0,'PROGRAMME RT'!$C$4-P770),"")</f>
        <v/>
      </c>
      <c r="AM770" s="78" t="n">
        <f aca="false">IF(AND(OR(AK770="À RADIOGRAPHIER",AK770="RÉPARÉ – À RADIOGRAPHIER",AK770="NX – RT À REFAIRE"),OR('PROGRAMME RT'!$D$5="TOUTES",B770='PROGRAMME RT'!$D$5)),1,0)</f>
        <v>0</v>
      </c>
      <c r="AN770" s="78" t="str">
        <f aca="false">IF(AM770=1,SUM(AM$7:AM770),"")</f>
        <v/>
      </c>
      <c r="AO770" s="78" t="n">
        <f aca="false">IF(AND(OR(AK770="À RÉPARER",AK770="COUPE – À RESOUDER",AK770="VT REJETÉ – À REPRENDRE"),OR(RÉPARATIONS!$D$5="TOUTES",B770=RÉPARATIONS!$D$5)),1,0)</f>
        <v>0</v>
      </c>
      <c r="AP770" s="78" t="str">
        <f aca="false">IF(AO770=1,SUM(AO$7:AO770),"")</f>
        <v/>
      </c>
    </row>
    <row r="771" customFormat="false" ht="15" hidden="false" customHeight="false" outlineLevel="0" collapsed="false">
      <c r="A771" s="78" t="str">
        <f aca="false">IF(E771="","",ROW()-6)</f>
        <v/>
      </c>
      <c r="B771" s="79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1"/>
      <c r="Q771" s="81"/>
      <c r="R771" s="80"/>
      <c r="S771" s="80"/>
      <c r="T771" s="81"/>
      <c r="U771" s="80"/>
      <c r="V771" s="80"/>
      <c r="W771" s="80"/>
      <c r="X771" s="80"/>
      <c r="Y771" s="81"/>
      <c r="Z771" s="80"/>
      <c r="AA771" s="80"/>
      <c r="AB771" s="80"/>
      <c r="AC771" s="80"/>
      <c r="AD771" s="81"/>
      <c r="AE771" s="80"/>
      <c r="AF771" s="80"/>
      <c r="AG771" s="81"/>
      <c r="AH771" s="79"/>
      <c r="AI771" s="78" t="str">
        <f aca="false">IF(E771="","",(V771&lt;&gt;"")+(AA771&lt;&gt;"")+(AF771&lt;&gt;""))</f>
        <v/>
      </c>
      <c r="AJ771" s="82" t="str">
        <f aca="false">IF(AF771&lt;&gt;"",AF771,IF(AA771&lt;&gt;"",AA771,IF(V771&lt;&gt;"",V771,"")))</f>
        <v/>
      </c>
      <c r="AK771" s="83" t="str">
        <f aca="false">IF(E771="","",IF(P771="","À SOUDER",IF(S771="","VT EN ATTENTE",IF(S771="R","VT REJETÉ – À REPRENDRE",IF(AJ771="","À RADIOGRAPHIER",IF(AJ771="A","ACCEPTÉ",IF(AJ771="NX","NX – RT À REFAIRE",IF(IF(AI771=1,X771,IF(AI771=2,AC771,""))="A","RÉPARÉ – À RADIOGRAPHIER",IF(IF(AI771=1,X771,IF(AI771=2,AC771,""))="R","VT REJETÉ – À REPRENDRE",IF(AJ771="CO","COUPE – À RESOUDER","À RÉPARER"))))))))))</f>
        <v/>
      </c>
      <c r="AL771" s="82" t="str">
        <f aca="false">IF(AND(ISNUMBER(P771),OR(AK771="À RADIOGRAPHIER",AK771="RÉPARÉ – À RADIOGRAPHIER",AK771="NX – RT À REFAIRE",AK771="À RÉPARER",AK771="COUPE – À RESOUDER",AK771="VT REJETÉ – À REPRENDRE")),MAX(0,'PROGRAMME RT'!$C$4-P771),"")</f>
        <v/>
      </c>
      <c r="AM771" s="78" t="n">
        <f aca="false">IF(AND(OR(AK771="À RADIOGRAPHIER",AK771="RÉPARÉ – À RADIOGRAPHIER",AK771="NX – RT À REFAIRE"),OR('PROGRAMME RT'!$D$5="TOUTES",B771='PROGRAMME RT'!$D$5)),1,0)</f>
        <v>0</v>
      </c>
      <c r="AN771" s="78" t="str">
        <f aca="false">IF(AM771=1,SUM(AM$7:AM771),"")</f>
        <v/>
      </c>
      <c r="AO771" s="78" t="n">
        <f aca="false">IF(AND(OR(AK771="À RÉPARER",AK771="COUPE – À RESOUDER",AK771="VT REJETÉ – À REPRENDRE"),OR(RÉPARATIONS!$D$5="TOUTES",B771=RÉPARATIONS!$D$5)),1,0)</f>
        <v>0</v>
      </c>
      <c r="AP771" s="78" t="str">
        <f aca="false">IF(AO771=1,SUM(AO$7:AO771),"")</f>
        <v/>
      </c>
    </row>
    <row r="772" customFormat="false" ht="15" hidden="false" customHeight="false" outlineLevel="0" collapsed="false">
      <c r="A772" s="78" t="str">
        <f aca="false">IF(E772="","",ROW()-6)</f>
        <v/>
      </c>
      <c r="B772" s="79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1"/>
      <c r="Q772" s="81"/>
      <c r="R772" s="80"/>
      <c r="S772" s="80"/>
      <c r="T772" s="81"/>
      <c r="U772" s="80"/>
      <c r="V772" s="80"/>
      <c r="W772" s="80"/>
      <c r="X772" s="80"/>
      <c r="Y772" s="81"/>
      <c r="Z772" s="80"/>
      <c r="AA772" s="80"/>
      <c r="AB772" s="80"/>
      <c r="AC772" s="80"/>
      <c r="AD772" s="81"/>
      <c r="AE772" s="80"/>
      <c r="AF772" s="80"/>
      <c r="AG772" s="81"/>
      <c r="AH772" s="79"/>
      <c r="AI772" s="78" t="str">
        <f aca="false">IF(E772="","",(V772&lt;&gt;"")+(AA772&lt;&gt;"")+(AF772&lt;&gt;""))</f>
        <v/>
      </c>
      <c r="AJ772" s="82" t="str">
        <f aca="false">IF(AF772&lt;&gt;"",AF772,IF(AA772&lt;&gt;"",AA772,IF(V772&lt;&gt;"",V772,"")))</f>
        <v/>
      </c>
      <c r="AK772" s="83" t="str">
        <f aca="false">IF(E772="","",IF(P772="","À SOUDER",IF(S772="","VT EN ATTENTE",IF(S772="R","VT REJETÉ – À REPRENDRE",IF(AJ772="","À RADIOGRAPHIER",IF(AJ772="A","ACCEPTÉ",IF(AJ772="NX","NX – RT À REFAIRE",IF(IF(AI772=1,X772,IF(AI772=2,AC772,""))="A","RÉPARÉ – À RADIOGRAPHIER",IF(IF(AI772=1,X772,IF(AI772=2,AC772,""))="R","VT REJETÉ – À REPRENDRE",IF(AJ772="CO","COUPE – À RESOUDER","À RÉPARER"))))))))))</f>
        <v/>
      </c>
      <c r="AL772" s="82" t="str">
        <f aca="false">IF(AND(ISNUMBER(P772),OR(AK772="À RADIOGRAPHIER",AK772="RÉPARÉ – À RADIOGRAPHIER",AK772="NX – RT À REFAIRE",AK772="À RÉPARER",AK772="COUPE – À RESOUDER",AK772="VT REJETÉ – À REPRENDRE")),MAX(0,'PROGRAMME RT'!$C$4-P772),"")</f>
        <v/>
      </c>
      <c r="AM772" s="78" t="n">
        <f aca="false">IF(AND(OR(AK772="À RADIOGRAPHIER",AK772="RÉPARÉ – À RADIOGRAPHIER",AK772="NX – RT À REFAIRE"),OR('PROGRAMME RT'!$D$5="TOUTES",B772='PROGRAMME RT'!$D$5)),1,0)</f>
        <v>0</v>
      </c>
      <c r="AN772" s="78" t="str">
        <f aca="false">IF(AM772=1,SUM(AM$7:AM772),"")</f>
        <v/>
      </c>
      <c r="AO772" s="78" t="n">
        <f aca="false">IF(AND(OR(AK772="À RÉPARER",AK772="COUPE – À RESOUDER",AK772="VT REJETÉ – À REPRENDRE"),OR(RÉPARATIONS!$D$5="TOUTES",B772=RÉPARATIONS!$D$5)),1,0)</f>
        <v>0</v>
      </c>
      <c r="AP772" s="78" t="str">
        <f aca="false">IF(AO772=1,SUM(AO$7:AO772),"")</f>
        <v/>
      </c>
    </row>
    <row r="773" customFormat="false" ht="15" hidden="false" customHeight="false" outlineLevel="0" collapsed="false">
      <c r="A773" s="78" t="str">
        <f aca="false">IF(E773="","",ROW()-6)</f>
        <v/>
      </c>
      <c r="B773" s="79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1"/>
      <c r="Q773" s="81"/>
      <c r="R773" s="80"/>
      <c r="S773" s="80"/>
      <c r="T773" s="81"/>
      <c r="U773" s="80"/>
      <c r="V773" s="80"/>
      <c r="W773" s="80"/>
      <c r="X773" s="80"/>
      <c r="Y773" s="81"/>
      <c r="Z773" s="80"/>
      <c r="AA773" s="80"/>
      <c r="AB773" s="80"/>
      <c r="AC773" s="80"/>
      <c r="AD773" s="81"/>
      <c r="AE773" s="80"/>
      <c r="AF773" s="80"/>
      <c r="AG773" s="81"/>
      <c r="AH773" s="79"/>
      <c r="AI773" s="78" t="str">
        <f aca="false">IF(E773="","",(V773&lt;&gt;"")+(AA773&lt;&gt;"")+(AF773&lt;&gt;""))</f>
        <v/>
      </c>
      <c r="AJ773" s="82" t="str">
        <f aca="false">IF(AF773&lt;&gt;"",AF773,IF(AA773&lt;&gt;"",AA773,IF(V773&lt;&gt;"",V773,"")))</f>
        <v/>
      </c>
      <c r="AK773" s="83" t="str">
        <f aca="false">IF(E773="","",IF(P773="","À SOUDER",IF(S773="","VT EN ATTENTE",IF(S773="R","VT REJETÉ – À REPRENDRE",IF(AJ773="","À RADIOGRAPHIER",IF(AJ773="A","ACCEPTÉ",IF(AJ773="NX","NX – RT À REFAIRE",IF(IF(AI773=1,X773,IF(AI773=2,AC773,""))="A","RÉPARÉ – À RADIOGRAPHIER",IF(IF(AI773=1,X773,IF(AI773=2,AC773,""))="R","VT REJETÉ – À REPRENDRE",IF(AJ773="CO","COUPE – À RESOUDER","À RÉPARER"))))))))))</f>
        <v/>
      </c>
      <c r="AL773" s="82" t="str">
        <f aca="false">IF(AND(ISNUMBER(P773),OR(AK773="À RADIOGRAPHIER",AK773="RÉPARÉ – À RADIOGRAPHIER",AK773="NX – RT À REFAIRE",AK773="À RÉPARER",AK773="COUPE – À RESOUDER",AK773="VT REJETÉ – À REPRENDRE")),MAX(0,'PROGRAMME RT'!$C$4-P773),"")</f>
        <v/>
      </c>
      <c r="AM773" s="78" t="n">
        <f aca="false">IF(AND(OR(AK773="À RADIOGRAPHIER",AK773="RÉPARÉ – À RADIOGRAPHIER",AK773="NX – RT À REFAIRE"),OR('PROGRAMME RT'!$D$5="TOUTES",B773='PROGRAMME RT'!$D$5)),1,0)</f>
        <v>0</v>
      </c>
      <c r="AN773" s="78" t="str">
        <f aca="false">IF(AM773=1,SUM(AM$7:AM773),"")</f>
        <v/>
      </c>
      <c r="AO773" s="78" t="n">
        <f aca="false">IF(AND(OR(AK773="À RÉPARER",AK773="COUPE – À RESOUDER",AK773="VT REJETÉ – À REPRENDRE"),OR(RÉPARATIONS!$D$5="TOUTES",B773=RÉPARATIONS!$D$5)),1,0)</f>
        <v>0</v>
      </c>
      <c r="AP773" s="78" t="str">
        <f aca="false">IF(AO773=1,SUM(AO$7:AO773),"")</f>
        <v/>
      </c>
    </row>
    <row r="774" customFormat="false" ht="15" hidden="false" customHeight="false" outlineLevel="0" collapsed="false">
      <c r="A774" s="78" t="str">
        <f aca="false">IF(E774="","",ROW()-6)</f>
        <v/>
      </c>
      <c r="B774" s="79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1"/>
      <c r="Q774" s="81"/>
      <c r="R774" s="80"/>
      <c r="S774" s="80"/>
      <c r="T774" s="81"/>
      <c r="U774" s="80"/>
      <c r="V774" s="80"/>
      <c r="W774" s="80"/>
      <c r="X774" s="80"/>
      <c r="Y774" s="81"/>
      <c r="Z774" s="80"/>
      <c r="AA774" s="80"/>
      <c r="AB774" s="80"/>
      <c r="AC774" s="80"/>
      <c r="AD774" s="81"/>
      <c r="AE774" s="80"/>
      <c r="AF774" s="80"/>
      <c r="AG774" s="81"/>
      <c r="AH774" s="79"/>
      <c r="AI774" s="78" t="str">
        <f aca="false">IF(E774="","",(V774&lt;&gt;"")+(AA774&lt;&gt;"")+(AF774&lt;&gt;""))</f>
        <v/>
      </c>
      <c r="AJ774" s="82" t="str">
        <f aca="false">IF(AF774&lt;&gt;"",AF774,IF(AA774&lt;&gt;"",AA774,IF(V774&lt;&gt;"",V774,"")))</f>
        <v/>
      </c>
      <c r="AK774" s="83" t="str">
        <f aca="false">IF(E774="","",IF(P774="","À SOUDER",IF(S774="","VT EN ATTENTE",IF(S774="R","VT REJETÉ – À REPRENDRE",IF(AJ774="","À RADIOGRAPHIER",IF(AJ774="A","ACCEPTÉ",IF(AJ774="NX","NX – RT À REFAIRE",IF(IF(AI774=1,X774,IF(AI774=2,AC774,""))="A","RÉPARÉ – À RADIOGRAPHIER",IF(IF(AI774=1,X774,IF(AI774=2,AC774,""))="R","VT REJETÉ – À REPRENDRE",IF(AJ774="CO","COUPE – À RESOUDER","À RÉPARER"))))))))))</f>
        <v/>
      </c>
      <c r="AL774" s="82" t="str">
        <f aca="false">IF(AND(ISNUMBER(P774),OR(AK774="À RADIOGRAPHIER",AK774="RÉPARÉ – À RADIOGRAPHIER",AK774="NX – RT À REFAIRE",AK774="À RÉPARER",AK774="COUPE – À RESOUDER",AK774="VT REJETÉ – À REPRENDRE")),MAX(0,'PROGRAMME RT'!$C$4-P774),"")</f>
        <v/>
      </c>
      <c r="AM774" s="78" t="n">
        <f aca="false">IF(AND(OR(AK774="À RADIOGRAPHIER",AK774="RÉPARÉ – À RADIOGRAPHIER",AK774="NX – RT À REFAIRE"),OR('PROGRAMME RT'!$D$5="TOUTES",B774='PROGRAMME RT'!$D$5)),1,0)</f>
        <v>0</v>
      </c>
      <c r="AN774" s="78" t="str">
        <f aca="false">IF(AM774=1,SUM(AM$7:AM774),"")</f>
        <v/>
      </c>
      <c r="AO774" s="78" t="n">
        <f aca="false">IF(AND(OR(AK774="À RÉPARER",AK774="COUPE – À RESOUDER",AK774="VT REJETÉ – À REPRENDRE"),OR(RÉPARATIONS!$D$5="TOUTES",B774=RÉPARATIONS!$D$5)),1,0)</f>
        <v>0</v>
      </c>
      <c r="AP774" s="78" t="str">
        <f aca="false">IF(AO774=1,SUM(AO$7:AO774),"")</f>
        <v/>
      </c>
    </row>
    <row r="775" customFormat="false" ht="15" hidden="false" customHeight="false" outlineLevel="0" collapsed="false">
      <c r="A775" s="78" t="str">
        <f aca="false">IF(E775="","",ROW()-6)</f>
        <v/>
      </c>
      <c r="B775" s="79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1"/>
      <c r="Q775" s="81"/>
      <c r="R775" s="80"/>
      <c r="S775" s="80"/>
      <c r="T775" s="81"/>
      <c r="U775" s="80"/>
      <c r="V775" s="80"/>
      <c r="W775" s="80"/>
      <c r="X775" s="80"/>
      <c r="Y775" s="81"/>
      <c r="Z775" s="80"/>
      <c r="AA775" s="80"/>
      <c r="AB775" s="80"/>
      <c r="AC775" s="80"/>
      <c r="AD775" s="81"/>
      <c r="AE775" s="80"/>
      <c r="AF775" s="80"/>
      <c r="AG775" s="81"/>
      <c r="AH775" s="79"/>
      <c r="AI775" s="78" t="str">
        <f aca="false">IF(E775="","",(V775&lt;&gt;"")+(AA775&lt;&gt;"")+(AF775&lt;&gt;""))</f>
        <v/>
      </c>
      <c r="AJ775" s="82" t="str">
        <f aca="false">IF(AF775&lt;&gt;"",AF775,IF(AA775&lt;&gt;"",AA775,IF(V775&lt;&gt;"",V775,"")))</f>
        <v/>
      </c>
      <c r="AK775" s="83" t="str">
        <f aca="false">IF(E775="","",IF(P775="","À SOUDER",IF(S775="","VT EN ATTENTE",IF(S775="R","VT REJETÉ – À REPRENDRE",IF(AJ775="","À RADIOGRAPHIER",IF(AJ775="A","ACCEPTÉ",IF(AJ775="NX","NX – RT À REFAIRE",IF(IF(AI775=1,X775,IF(AI775=2,AC775,""))="A","RÉPARÉ – À RADIOGRAPHIER",IF(IF(AI775=1,X775,IF(AI775=2,AC775,""))="R","VT REJETÉ – À REPRENDRE",IF(AJ775="CO","COUPE – À RESOUDER","À RÉPARER"))))))))))</f>
        <v/>
      </c>
      <c r="AL775" s="82" t="str">
        <f aca="false">IF(AND(ISNUMBER(P775),OR(AK775="À RADIOGRAPHIER",AK775="RÉPARÉ – À RADIOGRAPHIER",AK775="NX – RT À REFAIRE",AK775="À RÉPARER",AK775="COUPE – À RESOUDER",AK775="VT REJETÉ – À REPRENDRE")),MAX(0,'PROGRAMME RT'!$C$4-P775),"")</f>
        <v/>
      </c>
      <c r="AM775" s="78" t="n">
        <f aca="false">IF(AND(OR(AK775="À RADIOGRAPHIER",AK775="RÉPARÉ – À RADIOGRAPHIER",AK775="NX – RT À REFAIRE"),OR('PROGRAMME RT'!$D$5="TOUTES",B775='PROGRAMME RT'!$D$5)),1,0)</f>
        <v>0</v>
      </c>
      <c r="AN775" s="78" t="str">
        <f aca="false">IF(AM775=1,SUM(AM$7:AM775),"")</f>
        <v/>
      </c>
      <c r="AO775" s="78" t="n">
        <f aca="false">IF(AND(OR(AK775="À RÉPARER",AK775="COUPE – À RESOUDER",AK775="VT REJETÉ – À REPRENDRE"),OR(RÉPARATIONS!$D$5="TOUTES",B775=RÉPARATIONS!$D$5)),1,0)</f>
        <v>0</v>
      </c>
      <c r="AP775" s="78" t="str">
        <f aca="false">IF(AO775=1,SUM(AO$7:AO775),"")</f>
        <v/>
      </c>
    </row>
    <row r="776" customFormat="false" ht="15" hidden="false" customHeight="false" outlineLevel="0" collapsed="false">
      <c r="A776" s="78" t="str">
        <f aca="false">IF(E776="","",ROW()-6)</f>
        <v/>
      </c>
      <c r="B776" s="79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1"/>
      <c r="Q776" s="81"/>
      <c r="R776" s="80"/>
      <c r="S776" s="80"/>
      <c r="T776" s="81"/>
      <c r="U776" s="80"/>
      <c r="V776" s="80"/>
      <c r="W776" s="80"/>
      <c r="X776" s="80"/>
      <c r="Y776" s="81"/>
      <c r="Z776" s="80"/>
      <c r="AA776" s="80"/>
      <c r="AB776" s="80"/>
      <c r="AC776" s="80"/>
      <c r="AD776" s="81"/>
      <c r="AE776" s="80"/>
      <c r="AF776" s="80"/>
      <c r="AG776" s="81"/>
      <c r="AH776" s="79"/>
      <c r="AI776" s="78" t="str">
        <f aca="false">IF(E776="","",(V776&lt;&gt;"")+(AA776&lt;&gt;"")+(AF776&lt;&gt;""))</f>
        <v/>
      </c>
      <c r="AJ776" s="82" t="str">
        <f aca="false">IF(AF776&lt;&gt;"",AF776,IF(AA776&lt;&gt;"",AA776,IF(V776&lt;&gt;"",V776,"")))</f>
        <v/>
      </c>
      <c r="AK776" s="83" t="str">
        <f aca="false">IF(E776="","",IF(P776="","À SOUDER",IF(S776="","VT EN ATTENTE",IF(S776="R","VT REJETÉ – À REPRENDRE",IF(AJ776="","À RADIOGRAPHIER",IF(AJ776="A","ACCEPTÉ",IF(AJ776="NX","NX – RT À REFAIRE",IF(IF(AI776=1,X776,IF(AI776=2,AC776,""))="A","RÉPARÉ – À RADIOGRAPHIER",IF(IF(AI776=1,X776,IF(AI776=2,AC776,""))="R","VT REJETÉ – À REPRENDRE",IF(AJ776="CO","COUPE – À RESOUDER","À RÉPARER"))))))))))</f>
        <v/>
      </c>
      <c r="AL776" s="82" t="str">
        <f aca="false">IF(AND(ISNUMBER(P776),OR(AK776="À RADIOGRAPHIER",AK776="RÉPARÉ – À RADIOGRAPHIER",AK776="NX – RT À REFAIRE",AK776="À RÉPARER",AK776="COUPE – À RESOUDER",AK776="VT REJETÉ – À REPRENDRE")),MAX(0,'PROGRAMME RT'!$C$4-P776),"")</f>
        <v/>
      </c>
      <c r="AM776" s="78" t="n">
        <f aca="false">IF(AND(OR(AK776="À RADIOGRAPHIER",AK776="RÉPARÉ – À RADIOGRAPHIER",AK776="NX – RT À REFAIRE"),OR('PROGRAMME RT'!$D$5="TOUTES",B776='PROGRAMME RT'!$D$5)),1,0)</f>
        <v>0</v>
      </c>
      <c r="AN776" s="78" t="str">
        <f aca="false">IF(AM776=1,SUM(AM$7:AM776),"")</f>
        <v/>
      </c>
      <c r="AO776" s="78" t="n">
        <f aca="false">IF(AND(OR(AK776="À RÉPARER",AK776="COUPE – À RESOUDER",AK776="VT REJETÉ – À REPRENDRE"),OR(RÉPARATIONS!$D$5="TOUTES",B776=RÉPARATIONS!$D$5)),1,0)</f>
        <v>0</v>
      </c>
      <c r="AP776" s="78" t="str">
        <f aca="false">IF(AO776=1,SUM(AO$7:AO776),"")</f>
        <v/>
      </c>
    </row>
    <row r="777" customFormat="false" ht="15" hidden="false" customHeight="false" outlineLevel="0" collapsed="false">
      <c r="A777" s="78" t="str">
        <f aca="false">IF(E777="","",ROW()-6)</f>
        <v/>
      </c>
      <c r="B777" s="79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1"/>
      <c r="Q777" s="81"/>
      <c r="R777" s="80"/>
      <c r="S777" s="80"/>
      <c r="T777" s="81"/>
      <c r="U777" s="80"/>
      <c r="V777" s="80"/>
      <c r="W777" s="80"/>
      <c r="X777" s="80"/>
      <c r="Y777" s="81"/>
      <c r="Z777" s="80"/>
      <c r="AA777" s="80"/>
      <c r="AB777" s="80"/>
      <c r="AC777" s="80"/>
      <c r="AD777" s="81"/>
      <c r="AE777" s="80"/>
      <c r="AF777" s="80"/>
      <c r="AG777" s="81"/>
      <c r="AH777" s="79"/>
      <c r="AI777" s="78" t="str">
        <f aca="false">IF(E777="","",(V777&lt;&gt;"")+(AA777&lt;&gt;"")+(AF777&lt;&gt;""))</f>
        <v/>
      </c>
      <c r="AJ777" s="82" t="str">
        <f aca="false">IF(AF777&lt;&gt;"",AF777,IF(AA777&lt;&gt;"",AA777,IF(V777&lt;&gt;"",V777,"")))</f>
        <v/>
      </c>
      <c r="AK777" s="83" t="str">
        <f aca="false">IF(E777="","",IF(P777="","À SOUDER",IF(S777="","VT EN ATTENTE",IF(S777="R","VT REJETÉ – À REPRENDRE",IF(AJ777="","À RADIOGRAPHIER",IF(AJ777="A","ACCEPTÉ",IF(AJ777="NX","NX – RT À REFAIRE",IF(IF(AI777=1,X777,IF(AI777=2,AC777,""))="A","RÉPARÉ – À RADIOGRAPHIER",IF(IF(AI777=1,X777,IF(AI777=2,AC777,""))="R","VT REJETÉ – À REPRENDRE",IF(AJ777="CO","COUPE – À RESOUDER","À RÉPARER"))))))))))</f>
        <v/>
      </c>
      <c r="AL777" s="82" t="str">
        <f aca="false">IF(AND(ISNUMBER(P777),OR(AK777="À RADIOGRAPHIER",AK777="RÉPARÉ – À RADIOGRAPHIER",AK777="NX – RT À REFAIRE",AK777="À RÉPARER",AK777="COUPE – À RESOUDER",AK777="VT REJETÉ – À REPRENDRE")),MAX(0,'PROGRAMME RT'!$C$4-P777),"")</f>
        <v/>
      </c>
      <c r="AM777" s="78" t="n">
        <f aca="false">IF(AND(OR(AK777="À RADIOGRAPHIER",AK777="RÉPARÉ – À RADIOGRAPHIER",AK777="NX – RT À REFAIRE"),OR('PROGRAMME RT'!$D$5="TOUTES",B777='PROGRAMME RT'!$D$5)),1,0)</f>
        <v>0</v>
      </c>
      <c r="AN777" s="78" t="str">
        <f aca="false">IF(AM777=1,SUM(AM$7:AM777),"")</f>
        <v/>
      </c>
      <c r="AO777" s="78" t="n">
        <f aca="false">IF(AND(OR(AK777="À RÉPARER",AK777="COUPE – À RESOUDER",AK777="VT REJETÉ – À REPRENDRE"),OR(RÉPARATIONS!$D$5="TOUTES",B777=RÉPARATIONS!$D$5)),1,0)</f>
        <v>0</v>
      </c>
      <c r="AP777" s="78" t="str">
        <f aca="false">IF(AO777=1,SUM(AO$7:AO777),"")</f>
        <v/>
      </c>
    </row>
    <row r="778" customFormat="false" ht="15" hidden="false" customHeight="false" outlineLevel="0" collapsed="false">
      <c r="A778" s="78" t="str">
        <f aca="false">IF(E778="","",ROW()-6)</f>
        <v/>
      </c>
      <c r="B778" s="79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1"/>
      <c r="Q778" s="81"/>
      <c r="R778" s="80"/>
      <c r="S778" s="80"/>
      <c r="T778" s="81"/>
      <c r="U778" s="80"/>
      <c r="V778" s="80"/>
      <c r="W778" s="80"/>
      <c r="X778" s="80"/>
      <c r="Y778" s="81"/>
      <c r="Z778" s="80"/>
      <c r="AA778" s="80"/>
      <c r="AB778" s="80"/>
      <c r="AC778" s="80"/>
      <c r="AD778" s="81"/>
      <c r="AE778" s="80"/>
      <c r="AF778" s="80"/>
      <c r="AG778" s="81"/>
      <c r="AH778" s="79"/>
      <c r="AI778" s="78" t="str">
        <f aca="false">IF(E778="","",(V778&lt;&gt;"")+(AA778&lt;&gt;"")+(AF778&lt;&gt;""))</f>
        <v/>
      </c>
      <c r="AJ778" s="82" t="str">
        <f aca="false">IF(AF778&lt;&gt;"",AF778,IF(AA778&lt;&gt;"",AA778,IF(V778&lt;&gt;"",V778,"")))</f>
        <v/>
      </c>
      <c r="AK778" s="83" t="str">
        <f aca="false">IF(E778="","",IF(P778="","À SOUDER",IF(S778="","VT EN ATTENTE",IF(S778="R","VT REJETÉ – À REPRENDRE",IF(AJ778="","À RADIOGRAPHIER",IF(AJ778="A","ACCEPTÉ",IF(AJ778="NX","NX – RT À REFAIRE",IF(IF(AI778=1,X778,IF(AI778=2,AC778,""))="A","RÉPARÉ – À RADIOGRAPHIER",IF(IF(AI778=1,X778,IF(AI778=2,AC778,""))="R","VT REJETÉ – À REPRENDRE",IF(AJ778="CO","COUPE – À RESOUDER","À RÉPARER"))))))))))</f>
        <v/>
      </c>
      <c r="AL778" s="82" t="str">
        <f aca="false">IF(AND(ISNUMBER(P778),OR(AK778="À RADIOGRAPHIER",AK778="RÉPARÉ – À RADIOGRAPHIER",AK778="NX – RT À REFAIRE",AK778="À RÉPARER",AK778="COUPE – À RESOUDER",AK778="VT REJETÉ – À REPRENDRE")),MAX(0,'PROGRAMME RT'!$C$4-P778),"")</f>
        <v/>
      </c>
      <c r="AM778" s="78" t="n">
        <f aca="false">IF(AND(OR(AK778="À RADIOGRAPHIER",AK778="RÉPARÉ – À RADIOGRAPHIER",AK778="NX – RT À REFAIRE"),OR('PROGRAMME RT'!$D$5="TOUTES",B778='PROGRAMME RT'!$D$5)),1,0)</f>
        <v>0</v>
      </c>
      <c r="AN778" s="78" t="str">
        <f aca="false">IF(AM778=1,SUM(AM$7:AM778),"")</f>
        <v/>
      </c>
      <c r="AO778" s="78" t="n">
        <f aca="false">IF(AND(OR(AK778="À RÉPARER",AK778="COUPE – À RESOUDER",AK778="VT REJETÉ – À REPRENDRE"),OR(RÉPARATIONS!$D$5="TOUTES",B778=RÉPARATIONS!$D$5)),1,0)</f>
        <v>0</v>
      </c>
      <c r="AP778" s="78" t="str">
        <f aca="false">IF(AO778=1,SUM(AO$7:AO778),"")</f>
        <v/>
      </c>
    </row>
    <row r="779" customFormat="false" ht="15" hidden="false" customHeight="false" outlineLevel="0" collapsed="false">
      <c r="A779" s="78" t="str">
        <f aca="false">IF(E779="","",ROW()-6)</f>
        <v/>
      </c>
      <c r="B779" s="79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1"/>
      <c r="Q779" s="81"/>
      <c r="R779" s="80"/>
      <c r="S779" s="80"/>
      <c r="T779" s="81"/>
      <c r="U779" s="80"/>
      <c r="V779" s="80"/>
      <c r="W779" s="80"/>
      <c r="X779" s="80"/>
      <c r="Y779" s="81"/>
      <c r="Z779" s="80"/>
      <c r="AA779" s="80"/>
      <c r="AB779" s="80"/>
      <c r="AC779" s="80"/>
      <c r="AD779" s="81"/>
      <c r="AE779" s="80"/>
      <c r="AF779" s="80"/>
      <c r="AG779" s="81"/>
      <c r="AH779" s="79"/>
      <c r="AI779" s="78" t="str">
        <f aca="false">IF(E779="","",(V779&lt;&gt;"")+(AA779&lt;&gt;"")+(AF779&lt;&gt;""))</f>
        <v/>
      </c>
      <c r="AJ779" s="82" t="str">
        <f aca="false">IF(AF779&lt;&gt;"",AF779,IF(AA779&lt;&gt;"",AA779,IF(V779&lt;&gt;"",V779,"")))</f>
        <v/>
      </c>
      <c r="AK779" s="83" t="str">
        <f aca="false">IF(E779="","",IF(P779="","À SOUDER",IF(S779="","VT EN ATTENTE",IF(S779="R","VT REJETÉ – À REPRENDRE",IF(AJ779="","À RADIOGRAPHIER",IF(AJ779="A","ACCEPTÉ",IF(AJ779="NX","NX – RT À REFAIRE",IF(IF(AI779=1,X779,IF(AI779=2,AC779,""))="A","RÉPARÉ – À RADIOGRAPHIER",IF(IF(AI779=1,X779,IF(AI779=2,AC779,""))="R","VT REJETÉ – À REPRENDRE",IF(AJ779="CO","COUPE – À RESOUDER","À RÉPARER"))))))))))</f>
        <v/>
      </c>
      <c r="AL779" s="82" t="str">
        <f aca="false">IF(AND(ISNUMBER(P779),OR(AK779="À RADIOGRAPHIER",AK779="RÉPARÉ – À RADIOGRAPHIER",AK779="NX – RT À REFAIRE",AK779="À RÉPARER",AK779="COUPE – À RESOUDER",AK779="VT REJETÉ – À REPRENDRE")),MAX(0,'PROGRAMME RT'!$C$4-P779),"")</f>
        <v/>
      </c>
      <c r="AM779" s="78" t="n">
        <f aca="false">IF(AND(OR(AK779="À RADIOGRAPHIER",AK779="RÉPARÉ – À RADIOGRAPHIER",AK779="NX – RT À REFAIRE"),OR('PROGRAMME RT'!$D$5="TOUTES",B779='PROGRAMME RT'!$D$5)),1,0)</f>
        <v>0</v>
      </c>
      <c r="AN779" s="78" t="str">
        <f aca="false">IF(AM779=1,SUM(AM$7:AM779),"")</f>
        <v/>
      </c>
      <c r="AO779" s="78" t="n">
        <f aca="false">IF(AND(OR(AK779="À RÉPARER",AK779="COUPE – À RESOUDER",AK779="VT REJETÉ – À REPRENDRE"),OR(RÉPARATIONS!$D$5="TOUTES",B779=RÉPARATIONS!$D$5)),1,0)</f>
        <v>0</v>
      </c>
      <c r="AP779" s="78" t="str">
        <f aca="false">IF(AO779=1,SUM(AO$7:AO779),"")</f>
        <v/>
      </c>
    </row>
    <row r="780" customFormat="false" ht="15" hidden="false" customHeight="false" outlineLevel="0" collapsed="false">
      <c r="A780" s="78" t="str">
        <f aca="false">IF(E780="","",ROW()-6)</f>
        <v/>
      </c>
      <c r="B780" s="79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1"/>
      <c r="Q780" s="81"/>
      <c r="R780" s="80"/>
      <c r="S780" s="80"/>
      <c r="T780" s="81"/>
      <c r="U780" s="80"/>
      <c r="V780" s="80"/>
      <c r="W780" s="80"/>
      <c r="X780" s="80"/>
      <c r="Y780" s="81"/>
      <c r="Z780" s="80"/>
      <c r="AA780" s="80"/>
      <c r="AB780" s="80"/>
      <c r="AC780" s="80"/>
      <c r="AD780" s="81"/>
      <c r="AE780" s="80"/>
      <c r="AF780" s="80"/>
      <c r="AG780" s="81"/>
      <c r="AH780" s="79"/>
      <c r="AI780" s="78" t="str">
        <f aca="false">IF(E780="","",(V780&lt;&gt;"")+(AA780&lt;&gt;"")+(AF780&lt;&gt;""))</f>
        <v/>
      </c>
      <c r="AJ780" s="82" t="str">
        <f aca="false">IF(AF780&lt;&gt;"",AF780,IF(AA780&lt;&gt;"",AA780,IF(V780&lt;&gt;"",V780,"")))</f>
        <v/>
      </c>
      <c r="AK780" s="83" t="str">
        <f aca="false">IF(E780="","",IF(P780="","À SOUDER",IF(S780="","VT EN ATTENTE",IF(S780="R","VT REJETÉ – À REPRENDRE",IF(AJ780="","À RADIOGRAPHIER",IF(AJ780="A","ACCEPTÉ",IF(AJ780="NX","NX – RT À REFAIRE",IF(IF(AI780=1,X780,IF(AI780=2,AC780,""))="A","RÉPARÉ – À RADIOGRAPHIER",IF(IF(AI780=1,X780,IF(AI780=2,AC780,""))="R","VT REJETÉ – À REPRENDRE",IF(AJ780="CO","COUPE – À RESOUDER","À RÉPARER"))))))))))</f>
        <v/>
      </c>
      <c r="AL780" s="82" t="str">
        <f aca="false">IF(AND(ISNUMBER(P780),OR(AK780="À RADIOGRAPHIER",AK780="RÉPARÉ – À RADIOGRAPHIER",AK780="NX – RT À REFAIRE",AK780="À RÉPARER",AK780="COUPE – À RESOUDER",AK780="VT REJETÉ – À REPRENDRE")),MAX(0,'PROGRAMME RT'!$C$4-P780),"")</f>
        <v/>
      </c>
      <c r="AM780" s="78" t="n">
        <f aca="false">IF(AND(OR(AK780="À RADIOGRAPHIER",AK780="RÉPARÉ – À RADIOGRAPHIER",AK780="NX – RT À REFAIRE"),OR('PROGRAMME RT'!$D$5="TOUTES",B780='PROGRAMME RT'!$D$5)),1,0)</f>
        <v>0</v>
      </c>
      <c r="AN780" s="78" t="str">
        <f aca="false">IF(AM780=1,SUM(AM$7:AM780),"")</f>
        <v/>
      </c>
      <c r="AO780" s="78" t="n">
        <f aca="false">IF(AND(OR(AK780="À RÉPARER",AK780="COUPE – À RESOUDER",AK780="VT REJETÉ – À REPRENDRE"),OR(RÉPARATIONS!$D$5="TOUTES",B780=RÉPARATIONS!$D$5)),1,0)</f>
        <v>0</v>
      </c>
      <c r="AP780" s="78" t="str">
        <f aca="false">IF(AO780=1,SUM(AO$7:AO780),"")</f>
        <v/>
      </c>
    </row>
    <row r="781" customFormat="false" ht="15" hidden="false" customHeight="false" outlineLevel="0" collapsed="false">
      <c r="A781" s="78" t="str">
        <f aca="false">IF(E781="","",ROW()-6)</f>
        <v/>
      </c>
      <c r="B781" s="79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1"/>
      <c r="Q781" s="81"/>
      <c r="R781" s="80"/>
      <c r="S781" s="80"/>
      <c r="T781" s="81"/>
      <c r="U781" s="80"/>
      <c r="V781" s="80"/>
      <c r="W781" s="80"/>
      <c r="X781" s="80"/>
      <c r="Y781" s="81"/>
      <c r="Z781" s="80"/>
      <c r="AA781" s="80"/>
      <c r="AB781" s="80"/>
      <c r="AC781" s="80"/>
      <c r="AD781" s="81"/>
      <c r="AE781" s="80"/>
      <c r="AF781" s="80"/>
      <c r="AG781" s="81"/>
      <c r="AH781" s="79"/>
      <c r="AI781" s="78" t="str">
        <f aca="false">IF(E781="","",(V781&lt;&gt;"")+(AA781&lt;&gt;"")+(AF781&lt;&gt;""))</f>
        <v/>
      </c>
      <c r="AJ781" s="82" t="str">
        <f aca="false">IF(AF781&lt;&gt;"",AF781,IF(AA781&lt;&gt;"",AA781,IF(V781&lt;&gt;"",V781,"")))</f>
        <v/>
      </c>
      <c r="AK781" s="83" t="str">
        <f aca="false">IF(E781="","",IF(P781="","À SOUDER",IF(S781="","VT EN ATTENTE",IF(S781="R","VT REJETÉ – À REPRENDRE",IF(AJ781="","À RADIOGRAPHIER",IF(AJ781="A","ACCEPTÉ",IF(AJ781="NX","NX – RT À REFAIRE",IF(IF(AI781=1,X781,IF(AI781=2,AC781,""))="A","RÉPARÉ – À RADIOGRAPHIER",IF(IF(AI781=1,X781,IF(AI781=2,AC781,""))="R","VT REJETÉ – À REPRENDRE",IF(AJ781="CO","COUPE – À RESOUDER","À RÉPARER"))))))))))</f>
        <v/>
      </c>
      <c r="AL781" s="82" t="str">
        <f aca="false">IF(AND(ISNUMBER(P781),OR(AK781="À RADIOGRAPHIER",AK781="RÉPARÉ – À RADIOGRAPHIER",AK781="NX – RT À REFAIRE",AK781="À RÉPARER",AK781="COUPE – À RESOUDER",AK781="VT REJETÉ – À REPRENDRE")),MAX(0,'PROGRAMME RT'!$C$4-P781),"")</f>
        <v/>
      </c>
      <c r="AM781" s="78" t="n">
        <f aca="false">IF(AND(OR(AK781="À RADIOGRAPHIER",AK781="RÉPARÉ – À RADIOGRAPHIER",AK781="NX – RT À REFAIRE"),OR('PROGRAMME RT'!$D$5="TOUTES",B781='PROGRAMME RT'!$D$5)),1,0)</f>
        <v>0</v>
      </c>
      <c r="AN781" s="78" t="str">
        <f aca="false">IF(AM781=1,SUM(AM$7:AM781),"")</f>
        <v/>
      </c>
      <c r="AO781" s="78" t="n">
        <f aca="false">IF(AND(OR(AK781="À RÉPARER",AK781="COUPE – À RESOUDER",AK781="VT REJETÉ – À REPRENDRE"),OR(RÉPARATIONS!$D$5="TOUTES",B781=RÉPARATIONS!$D$5)),1,0)</f>
        <v>0</v>
      </c>
      <c r="AP781" s="78" t="str">
        <f aca="false">IF(AO781=1,SUM(AO$7:AO781),"")</f>
        <v/>
      </c>
    </row>
    <row r="782" customFormat="false" ht="15" hidden="false" customHeight="false" outlineLevel="0" collapsed="false">
      <c r="A782" s="78" t="str">
        <f aca="false">IF(E782="","",ROW()-6)</f>
        <v/>
      </c>
      <c r="B782" s="79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1"/>
      <c r="Q782" s="81"/>
      <c r="R782" s="80"/>
      <c r="S782" s="80"/>
      <c r="T782" s="81"/>
      <c r="U782" s="80"/>
      <c r="V782" s="80"/>
      <c r="W782" s="80"/>
      <c r="X782" s="80"/>
      <c r="Y782" s="81"/>
      <c r="Z782" s="80"/>
      <c r="AA782" s="80"/>
      <c r="AB782" s="80"/>
      <c r="AC782" s="80"/>
      <c r="AD782" s="81"/>
      <c r="AE782" s="80"/>
      <c r="AF782" s="80"/>
      <c r="AG782" s="81"/>
      <c r="AH782" s="79"/>
      <c r="AI782" s="78" t="str">
        <f aca="false">IF(E782="","",(V782&lt;&gt;"")+(AA782&lt;&gt;"")+(AF782&lt;&gt;""))</f>
        <v/>
      </c>
      <c r="AJ782" s="82" t="str">
        <f aca="false">IF(AF782&lt;&gt;"",AF782,IF(AA782&lt;&gt;"",AA782,IF(V782&lt;&gt;"",V782,"")))</f>
        <v/>
      </c>
      <c r="AK782" s="83" t="str">
        <f aca="false">IF(E782="","",IF(P782="","À SOUDER",IF(S782="","VT EN ATTENTE",IF(S782="R","VT REJETÉ – À REPRENDRE",IF(AJ782="","À RADIOGRAPHIER",IF(AJ782="A","ACCEPTÉ",IF(AJ782="NX","NX – RT À REFAIRE",IF(IF(AI782=1,X782,IF(AI782=2,AC782,""))="A","RÉPARÉ – À RADIOGRAPHIER",IF(IF(AI782=1,X782,IF(AI782=2,AC782,""))="R","VT REJETÉ – À REPRENDRE",IF(AJ782="CO","COUPE – À RESOUDER","À RÉPARER"))))))))))</f>
        <v/>
      </c>
      <c r="AL782" s="82" t="str">
        <f aca="false">IF(AND(ISNUMBER(P782),OR(AK782="À RADIOGRAPHIER",AK782="RÉPARÉ – À RADIOGRAPHIER",AK782="NX – RT À REFAIRE",AK782="À RÉPARER",AK782="COUPE – À RESOUDER",AK782="VT REJETÉ – À REPRENDRE")),MAX(0,'PROGRAMME RT'!$C$4-P782),"")</f>
        <v/>
      </c>
      <c r="AM782" s="78" t="n">
        <f aca="false">IF(AND(OR(AK782="À RADIOGRAPHIER",AK782="RÉPARÉ – À RADIOGRAPHIER",AK782="NX – RT À REFAIRE"),OR('PROGRAMME RT'!$D$5="TOUTES",B782='PROGRAMME RT'!$D$5)),1,0)</f>
        <v>0</v>
      </c>
      <c r="AN782" s="78" t="str">
        <f aca="false">IF(AM782=1,SUM(AM$7:AM782),"")</f>
        <v/>
      </c>
      <c r="AO782" s="78" t="n">
        <f aca="false">IF(AND(OR(AK782="À RÉPARER",AK782="COUPE – À RESOUDER",AK782="VT REJETÉ – À REPRENDRE"),OR(RÉPARATIONS!$D$5="TOUTES",B782=RÉPARATIONS!$D$5)),1,0)</f>
        <v>0</v>
      </c>
      <c r="AP782" s="78" t="str">
        <f aca="false">IF(AO782=1,SUM(AO$7:AO782),"")</f>
        <v/>
      </c>
    </row>
    <row r="783" customFormat="false" ht="15" hidden="false" customHeight="false" outlineLevel="0" collapsed="false">
      <c r="A783" s="78" t="str">
        <f aca="false">IF(E783="","",ROW()-6)</f>
        <v/>
      </c>
      <c r="B783" s="79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1"/>
      <c r="Q783" s="81"/>
      <c r="R783" s="80"/>
      <c r="S783" s="80"/>
      <c r="T783" s="81"/>
      <c r="U783" s="80"/>
      <c r="V783" s="80"/>
      <c r="W783" s="80"/>
      <c r="X783" s="80"/>
      <c r="Y783" s="81"/>
      <c r="Z783" s="80"/>
      <c r="AA783" s="80"/>
      <c r="AB783" s="80"/>
      <c r="AC783" s="80"/>
      <c r="AD783" s="81"/>
      <c r="AE783" s="80"/>
      <c r="AF783" s="80"/>
      <c r="AG783" s="81"/>
      <c r="AH783" s="79"/>
      <c r="AI783" s="78" t="str">
        <f aca="false">IF(E783="","",(V783&lt;&gt;"")+(AA783&lt;&gt;"")+(AF783&lt;&gt;""))</f>
        <v/>
      </c>
      <c r="AJ783" s="82" t="str">
        <f aca="false">IF(AF783&lt;&gt;"",AF783,IF(AA783&lt;&gt;"",AA783,IF(V783&lt;&gt;"",V783,"")))</f>
        <v/>
      </c>
      <c r="AK783" s="83" t="str">
        <f aca="false">IF(E783="","",IF(P783="","À SOUDER",IF(S783="","VT EN ATTENTE",IF(S783="R","VT REJETÉ – À REPRENDRE",IF(AJ783="","À RADIOGRAPHIER",IF(AJ783="A","ACCEPTÉ",IF(AJ783="NX","NX – RT À REFAIRE",IF(IF(AI783=1,X783,IF(AI783=2,AC783,""))="A","RÉPARÉ – À RADIOGRAPHIER",IF(IF(AI783=1,X783,IF(AI783=2,AC783,""))="R","VT REJETÉ – À REPRENDRE",IF(AJ783="CO","COUPE – À RESOUDER","À RÉPARER"))))))))))</f>
        <v/>
      </c>
      <c r="AL783" s="82" t="str">
        <f aca="false">IF(AND(ISNUMBER(P783),OR(AK783="À RADIOGRAPHIER",AK783="RÉPARÉ – À RADIOGRAPHIER",AK783="NX – RT À REFAIRE",AK783="À RÉPARER",AK783="COUPE – À RESOUDER",AK783="VT REJETÉ – À REPRENDRE")),MAX(0,'PROGRAMME RT'!$C$4-P783),"")</f>
        <v/>
      </c>
      <c r="AM783" s="78" t="n">
        <f aca="false">IF(AND(OR(AK783="À RADIOGRAPHIER",AK783="RÉPARÉ – À RADIOGRAPHIER",AK783="NX – RT À REFAIRE"),OR('PROGRAMME RT'!$D$5="TOUTES",B783='PROGRAMME RT'!$D$5)),1,0)</f>
        <v>0</v>
      </c>
      <c r="AN783" s="78" t="str">
        <f aca="false">IF(AM783=1,SUM(AM$7:AM783),"")</f>
        <v/>
      </c>
      <c r="AO783" s="78" t="n">
        <f aca="false">IF(AND(OR(AK783="À RÉPARER",AK783="COUPE – À RESOUDER",AK783="VT REJETÉ – À REPRENDRE"),OR(RÉPARATIONS!$D$5="TOUTES",B783=RÉPARATIONS!$D$5)),1,0)</f>
        <v>0</v>
      </c>
      <c r="AP783" s="78" t="str">
        <f aca="false">IF(AO783=1,SUM(AO$7:AO783),"")</f>
        <v/>
      </c>
    </row>
    <row r="784" customFormat="false" ht="15" hidden="false" customHeight="false" outlineLevel="0" collapsed="false">
      <c r="A784" s="78" t="str">
        <f aca="false">IF(E784="","",ROW()-6)</f>
        <v/>
      </c>
      <c r="B784" s="79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1"/>
      <c r="Q784" s="81"/>
      <c r="R784" s="80"/>
      <c r="S784" s="80"/>
      <c r="T784" s="81"/>
      <c r="U784" s="80"/>
      <c r="V784" s="80"/>
      <c r="W784" s="80"/>
      <c r="X784" s="80"/>
      <c r="Y784" s="81"/>
      <c r="Z784" s="80"/>
      <c r="AA784" s="80"/>
      <c r="AB784" s="80"/>
      <c r="AC784" s="80"/>
      <c r="AD784" s="81"/>
      <c r="AE784" s="80"/>
      <c r="AF784" s="80"/>
      <c r="AG784" s="81"/>
      <c r="AH784" s="79"/>
      <c r="AI784" s="78" t="str">
        <f aca="false">IF(E784="","",(V784&lt;&gt;"")+(AA784&lt;&gt;"")+(AF784&lt;&gt;""))</f>
        <v/>
      </c>
      <c r="AJ784" s="82" t="str">
        <f aca="false">IF(AF784&lt;&gt;"",AF784,IF(AA784&lt;&gt;"",AA784,IF(V784&lt;&gt;"",V784,"")))</f>
        <v/>
      </c>
      <c r="AK784" s="83" t="str">
        <f aca="false">IF(E784="","",IF(P784="","À SOUDER",IF(S784="","VT EN ATTENTE",IF(S784="R","VT REJETÉ – À REPRENDRE",IF(AJ784="","À RADIOGRAPHIER",IF(AJ784="A","ACCEPTÉ",IF(AJ784="NX","NX – RT À REFAIRE",IF(IF(AI784=1,X784,IF(AI784=2,AC784,""))="A","RÉPARÉ – À RADIOGRAPHIER",IF(IF(AI784=1,X784,IF(AI784=2,AC784,""))="R","VT REJETÉ – À REPRENDRE",IF(AJ784="CO","COUPE – À RESOUDER","À RÉPARER"))))))))))</f>
        <v/>
      </c>
      <c r="AL784" s="82" t="str">
        <f aca="false">IF(AND(ISNUMBER(P784),OR(AK784="À RADIOGRAPHIER",AK784="RÉPARÉ – À RADIOGRAPHIER",AK784="NX – RT À REFAIRE",AK784="À RÉPARER",AK784="COUPE – À RESOUDER",AK784="VT REJETÉ – À REPRENDRE")),MAX(0,'PROGRAMME RT'!$C$4-P784),"")</f>
        <v/>
      </c>
      <c r="AM784" s="78" t="n">
        <f aca="false">IF(AND(OR(AK784="À RADIOGRAPHIER",AK784="RÉPARÉ – À RADIOGRAPHIER",AK784="NX – RT À REFAIRE"),OR('PROGRAMME RT'!$D$5="TOUTES",B784='PROGRAMME RT'!$D$5)),1,0)</f>
        <v>0</v>
      </c>
      <c r="AN784" s="78" t="str">
        <f aca="false">IF(AM784=1,SUM(AM$7:AM784),"")</f>
        <v/>
      </c>
      <c r="AO784" s="78" t="n">
        <f aca="false">IF(AND(OR(AK784="À RÉPARER",AK784="COUPE – À RESOUDER",AK784="VT REJETÉ – À REPRENDRE"),OR(RÉPARATIONS!$D$5="TOUTES",B784=RÉPARATIONS!$D$5)),1,0)</f>
        <v>0</v>
      </c>
      <c r="AP784" s="78" t="str">
        <f aca="false">IF(AO784=1,SUM(AO$7:AO784),"")</f>
        <v/>
      </c>
    </row>
    <row r="785" customFormat="false" ht="15" hidden="false" customHeight="false" outlineLevel="0" collapsed="false">
      <c r="A785" s="78" t="str">
        <f aca="false">IF(E785="","",ROW()-6)</f>
        <v/>
      </c>
      <c r="B785" s="79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1"/>
      <c r="Q785" s="81"/>
      <c r="R785" s="80"/>
      <c r="S785" s="80"/>
      <c r="T785" s="81"/>
      <c r="U785" s="80"/>
      <c r="V785" s="80"/>
      <c r="W785" s="80"/>
      <c r="X785" s="80"/>
      <c r="Y785" s="81"/>
      <c r="Z785" s="80"/>
      <c r="AA785" s="80"/>
      <c r="AB785" s="80"/>
      <c r="AC785" s="80"/>
      <c r="AD785" s="81"/>
      <c r="AE785" s="80"/>
      <c r="AF785" s="80"/>
      <c r="AG785" s="81"/>
      <c r="AH785" s="79"/>
      <c r="AI785" s="78" t="str">
        <f aca="false">IF(E785="","",(V785&lt;&gt;"")+(AA785&lt;&gt;"")+(AF785&lt;&gt;""))</f>
        <v/>
      </c>
      <c r="AJ785" s="82" t="str">
        <f aca="false">IF(AF785&lt;&gt;"",AF785,IF(AA785&lt;&gt;"",AA785,IF(V785&lt;&gt;"",V785,"")))</f>
        <v/>
      </c>
      <c r="AK785" s="83" t="str">
        <f aca="false">IF(E785="","",IF(P785="","À SOUDER",IF(S785="","VT EN ATTENTE",IF(S785="R","VT REJETÉ – À REPRENDRE",IF(AJ785="","À RADIOGRAPHIER",IF(AJ785="A","ACCEPTÉ",IF(AJ785="NX","NX – RT À REFAIRE",IF(IF(AI785=1,X785,IF(AI785=2,AC785,""))="A","RÉPARÉ – À RADIOGRAPHIER",IF(IF(AI785=1,X785,IF(AI785=2,AC785,""))="R","VT REJETÉ – À REPRENDRE",IF(AJ785="CO","COUPE – À RESOUDER","À RÉPARER"))))))))))</f>
        <v/>
      </c>
      <c r="AL785" s="82" t="str">
        <f aca="false">IF(AND(ISNUMBER(P785),OR(AK785="À RADIOGRAPHIER",AK785="RÉPARÉ – À RADIOGRAPHIER",AK785="NX – RT À REFAIRE",AK785="À RÉPARER",AK785="COUPE – À RESOUDER",AK785="VT REJETÉ – À REPRENDRE")),MAX(0,'PROGRAMME RT'!$C$4-P785),"")</f>
        <v/>
      </c>
      <c r="AM785" s="78" t="n">
        <f aca="false">IF(AND(OR(AK785="À RADIOGRAPHIER",AK785="RÉPARÉ – À RADIOGRAPHIER",AK785="NX – RT À REFAIRE"),OR('PROGRAMME RT'!$D$5="TOUTES",B785='PROGRAMME RT'!$D$5)),1,0)</f>
        <v>0</v>
      </c>
      <c r="AN785" s="78" t="str">
        <f aca="false">IF(AM785=1,SUM(AM$7:AM785),"")</f>
        <v/>
      </c>
      <c r="AO785" s="78" t="n">
        <f aca="false">IF(AND(OR(AK785="À RÉPARER",AK785="COUPE – À RESOUDER",AK785="VT REJETÉ – À REPRENDRE"),OR(RÉPARATIONS!$D$5="TOUTES",B785=RÉPARATIONS!$D$5)),1,0)</f>
        <v>0</v>
      </c>
      <c r="AP785" s="78" t="str">
        <f aca="false">IF(AO785=1,SUM(AO$7:AO785),"")</f>
        <v/>
      </c>
    </row>
    <row r="786" customFormat="false" ht="15" hidden="false" customHeight="false" outlineLevel="0" collapsed="false">
      <c r="A786" s="78" t="str">
        <f aca="false">IF(E786="","",ROW()-6)</f>
        <v/>
      </c>
      <c r="B786" s="79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1"/>
      <c r="Q786" s="81"/>
      <c r="R786" s="80"/>
      <c r="S786" s="80"/>
      <c r="T786" s="81"/>
      <c r="U786" s="80"/>
      <c r="V786" s="80"/>
      <c r="W786" s="80"/>
      <c r="X786" s="80"/>
      <c r="Y786" s="81"/>
      <c r="Z786" s="80"/>
      <c r="AA786" s="80"/>
      <c r="AB786" s="80"/>
      <c r="AC786" s="80"/>
      <c r="AD786" s="81"/>
      <c r="AE786" s="80"/>
      <c r="AF786" s="80"/>
      <c r="AG786" s="81"/>
      <c r="AH786" s="79"/>
      <c r="AI786" s="78" t="str">
        <f aca="false">IF(E786="","",(V786&lt;&gt;"")+(AA786&lt;&gt;"")+(AF786&lt;&gt;""))</f>
        <v/>
      </c>
      <c r="AJ786" s="82" t="str">
        <f aca="false">IF(AF786&lt;&gt;"",AF786,IF(AA786&lt;&gt;"",AA786,IF(V786&lt;&gt;"",V786,"")))</f>
        <v/>
      </c>
      <c r="AK786" s="83" t="str">
        <f aca="false">IF(E786="","",IF(P786="","À SOUDER",IF(S786="","VT EN ATTENTE",IF(S786="R","VT REJETÉ – À REPRENDRE",IF(AJ786="","À RADIOGRAPHIER",IF(AJ786="A","ACCEPTÉ",IF(AJ786="NX","NX – RT À REFAIRE",IF(IF(AI786=1,X786,IF(AI786=2,AC786,""))="A","RÉPARÉ – À RADIOGRAPHIER",IF(IF(AI786=1,X786,IF(AI786=2,AC786,""))="R","VT REJETÉ – À REPRENDRE",IF(AJ786="CO","COUPE – À RESOUDER","À RÉPARER"))))))))))</f>
        <v/>
      </c>
      <c r="AL786" s="82" t="str">
        <f aca="false">IF(AND(ISNUMBER(P786),OR(AK786="À RADIOGRAPHIER",AK786="RÉPARÉ – À RADIOGRAPHIER",AK786="NX – RT À REFAIRE",AK786="À RÉPARER",AK786="COUPE – À RESOUDER",AK786="VT REJETÉ – À REPRENDRE")),MAX(0,'PROGRAMME RT'!$C$4-P786),"")</f>
        <v/>
      </c>
      <c r="AM786" s="78" t="n">
        <f aca="false">IF(AND(OR(AK786="À RADIOGRAPHIER",AK786="RÉPARÉ – À RADIOGRAPHIER",AK786="NX – RT À REFAIRE"),OR('PROGRAMME RT'!$D$5="TOUTES",B786='PROGRAMME RT'!$D$5)),1,0)</f>
        <v>0</v>
      </c>
      <c r="AN786" s="78" t="str">
        <f aca="false">IF(AM786=1,SUM(AM$7:AM786),"")</f>
        <v/>
      </c>
      <c r="AO786" s="78" t="n">
        <f aca="false">IF(AND(OR(AK786="À RÉPARER",AK786="COUPE – À RESOUDER",AK786="VT REJETÉ – À REPRENDRE"),OR(RÉPARATIONS!$D$5="TOUTES",B786=RÉPARATIONS!$D$5)),1,0)</f>
        <v>0</v>
      </c>
      <c r="AP786" s="78" t="str">
        <f aca="false">IF(AO786=1,SUM(AO$7:AO786),"")</f>
        <v/>
      </c>
    </row>
    <row r="787" customFormat="false" ht="15" hidden="false" customHeight="false" outlineLevel="0" collapsed="false">
      <c r="A787" s="78" t="str">
        <f aca="false">IF(E787="","",ROW()-6)</f>
        <v/>
      </c>
      <c r="B787" s="79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1"/>
      <c r="Q787" s="81"/>
      <c r="R787" s="80"/>
      <c r="S787" s="80"/>
      <c r="T787" s="81"/>
      <c r="U787" s="80"/>
      <c r="V787" s="80"/>
      <c r="W787" s="80"/>
      <c r="X787" s="80"/>
      <c r="Y787" s="81"/>
      <c r="Z787" s="80"/>
      <c r="AA787" s="80"/>
      <c r="AB787" s="80"/>
      <c r="AC787" s="80"/>
      <c r="AD787" s="81"/>
      <c r="AE787" s="80"/>
      <c r="AF787" s="80"/>
      <c r="AG787" s="81"/>
      <c r="AH787" s="79"/>
      <c r="AI787" s="78" t="str">
        <f aca="false">IF(E787="","",(V787&lt;&gt;"")+(AA787&lt;&gt;"")+(AF787&lt;&gt;""))</f>
        <v/>
      </c>
      <c r="AJ787" s="82" t="str">
        <f aca="false">IF(AF787&lt;&gt;"",AF787,IF(AA787&lt;&gt;"",AA787,IF(V787&lt;&gt;"",V787,"")))</f>
        <v/>
      </c>
      <c r="AK787" s="83" t="str">
        <f aca="false">IF(E787="","",IF(P787="","À SOUDER",IF(S787="","VT EN ATTENTE",IF(S787="R","VT REJETÉ – À REPRENDRE",IF(AJ787="","À RADIOGRAPHIER",IF(AJ787="A","ACCEPTÉ",IF(AJ787="NX","NX – RT À REFAIRE",IF(IF(AI787=1,X787,IF(AI787=2,AC787,""))="A","RÉPARÉ – À RADIOGRAPHIER",IF(IF(AI787=1,X787,IF(AI787=2,AC787,""))="R","VT REJETÉ – À REPRENDRE",IF(AJ787="CO","COUPE – À RESOUDER","À RÉPARER"))))))))))</f>
        <v/>
      </c>
      <c r="AL787" s="82" t="str">
        <f aca="false">IF(AND(ISNUMBER(P787),OR(AK787="À RADIOGRAPHIER",AK787="RÉPARÉ – À RADIOGRAPHIER",AK787="NX – RT À REFAIRE",AK787="À RÉPARER",AK787="COUPE – À RESOUDER",AK787="VT REJETÉ – À REPRENDRE")),MAX(0,'PROGRAMME RT'!$C$4-P787),"")</f>
        <v/>
      </c>
      <c r="AM787" s="78" t="n">
        <f aca="false">IF(AND(OR(AK787="À RADIOGRAPHIER",AK787="RÉPARÉ – À RADIOGRAPHIER",AK787="NX – RT À REFAIRE"),OR('PROGRAMME RT'!$D$5="TOUTES",B787='PROGRAMME RT'!$D$5)),1,0)</f>
        <v>0</v>
      </c>
      <c r="AN787" s="78" t="str">
        <f aca="false">IF(AM787=1,SUM(AM$7:AM787),"")</f>
        <v/>
      </c>
      <c r="AO787" s="78" t="n">
        <f aca="false">IF(AND(OR(AK787="À RÉPARER",AK787="COUPE – À RESOUDER",AK787="VT REJETÉ – À REPRENDRE"),OR(RÉPARATIONS!$D$5="TOUTES",B787=RÉPARATIONS!$D$5)),1,0)</f>
        <v>0</v>
      </c>
      <c r="AP787" s="78" t="str">
        <f aca="false">IF(AO787=1,SUM(AO$7:AO787),"")</f>
        <v/>
      </c>
    </row>
    <row r="788" customFormat="false" ht="15" hidden="false" customHeight="false" outlineLevel="0" collapsed="false">
      <c r="A788" s="78" t="str">
        <f aca="false">IF(E788="","",ROW()-6)</f>
        <v/>
      </c>
      <c r="B788" s="79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1"/>
      <c r="Q788" s="81"/>
      <c r="R788" s="80"/>
      <c r="S788" s="80"/>
      <c r="T788" s="81"/>
      <c r="U788" s="80"/>
      <c r="V788" s="80"/>
      <c r="W788" s="80"/>
      <c r="X788" s="80"/>
      <c r="Y788" s="81"/>
      <c r="Z788" s="80"/>
      <c r="AA788" s="80"/>
      <c r="AB788" s="80"/>
      <c r="AC788" s="80"/>
      <c r="AD788" s="81"/>
      <c r="AE788" s="80"/>
      <c r="AF788" s="80"/>
      <c r="AG788" s="81"/>
      <c r="AH788" s="79"/>
      <c r="AI788" s="78" t="str">
        <f aca="false">IF(E788="","",(V788&lt;&gt;"")+(AA788&lt;&gt;"")+(AF788&lt;&gt;""))</f>
        <v/>
      </c>
      <c r="AJ788" s="82" t="str">
        <f aca="false">IF(AF788&lt;&gt;"",AF788,IF(AA788&lt;&gt;"",AA788,IF(V788&lt;&gt;"",V788,"")))</f>
        <v/>
      </c>
      <c r="AK788" s="83" t="str">
        <f aca="false">IF(E788="","",IF(P788="","À SOUDER",IF(S788="","VT EN ATTENTE",IF(S788="R","VT REJETÉ – À REPRENDRE",IF(AJ788="","À RADIOGRAPHIER",IF(AJ788="A","ACCEPTÉ",IF(AJ788="NX","NX – RT À REFAIRE",IF(IF(AI788=1,X788,IF(AI788=2,AC788,""))="A","RÉPARÉ – À RADIOGRAPHIER",IF(IF(AI788=1,X788,IF(AI788=2,AC788,""))="R","VT REJETÉ – À REPRENDRE",IF(AJ788="CO","COUPE – À RESOUDER","À RÉPARER"))))))))))</f>
        <v/>
      </c>
      <c r="AL788" s="82" t="str">
        <f aca="false">IF(AND(ISNUMBER(P788),OR(AK788="À RADIOGRAPHIER",AK788="RÉPARÉ – À RADIOGRAPHIER",AK788="NX – RT À REFAIRE",AK788="À RÉPARER",AK788="COUPE – À RESOUDER",AK788="VT REJETÉ – À REPRENDRE")),MAX(0,'PROGRAMME RT'!$C$4-P788),"")</f>
        <v/>
      </c>
      <c r="AM788" s="78" t="n">
        <f aca="false">IF(AND(OR(AK788="À RADIOGRAPHIER",AK788="RÉPARÉ – À RADIOGRAPHIER",AK788="NX – RT À REFAIRE"),OR('PROGRAMME RT'!$D$5="TOUTES",B788='PROGRAMME RT'!$D$5)),1,0)</f>
        <v>0</v>
      </c>
      <c r="AN788" s="78" t="str">
        <f aca="false">IF(AM788=1,SUM(AM$7:AM788),"")</f>
        <v/>
      </c>
      <c r="AO788" s="78" t="n">
        <f aca="false">IF(AND(OR(AK788="À RÉPARER",AK788="COUPE – À RESOUDER",AK788="VT REJETÉ – À REPRENDRE"),OR(RÉPARATIONS!$D$5="TOUTES",B788=RÉPARATIONS!$D$5)),1,0)</f>
        <v>0</v>
      </c>
      <c r="AP788" s="78" t="str">
        <f aca="false">IF(AO788=1,SUM(AO$7:AO788),"")</f>
        <v/>
      </c>
    </row>
    <row r="789" customFormat="false" ht="15" hidden="false" customHeight="false" outlineLevel="0" collapsed="false">
      <c r="A789" s="78" t="str">
        <f aca="false">IF(E789="","",ROW()-6)</f>
        <v/>
      </c>
      <c r="B789" s="79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1"/>
      <c r="Q789" s="81"/>
      <c r="R789" s="80"/>
      <c r="S789" s="80"/>
      <c r="T789" s="81"/>
      <c r="U789" s="80"/>
      <c r="V789" s="80"/>
      <c r="W789" s="80"/>
      <c r="X789" s="80"/>
      <c r="Y789" s="81"/>
      <c r="Z789" s="80"/>
      <c r="AA789" s="80"/>
      <c r="AB789" s="80"/>
      <c r="AC789" s="80"/>
      <c r="AD789" s="81"/>
      <c r="AE789" s="80"/>
      <c r="AF789" s="80"/>
      <c r="AG789" s="81"/>
      <c r="AH789" s="79"/>
      <c r="AI789" s="78" t="str">
        <f aca="false">IF(E789="","",(V789&lt;&gt;"")+(AA789&lt;&gt;"")+(AF789&lt;&gt;""))</f>
        <v/>
      </c>
      <c r="AJ789" s="82" t="str">
        <f aca="false">IF(AF789&lt;&gt;"",AF789,IF(AA789&lt;&gt;"",AA789,IF(V789&lt;&gt;"",V789,"")))</f>
        <v/>
      </c>
      <c r="AK789" s="83" t="str">
        <f aca="false">IF(E789="","",IF(P789="","À SOUDER",IF(S789="","VT EN ATTENTE",IF(S789="R","VT REJETÉ – À REPRENDRE",IF(AJ789="","À RADIOGRAPHIER",IF(AJ789="A","ACCEPTÉ",IF(AJ789="NX","NX – RT À REFAIRE",IF(IF(AI789=1,X789,IF(AI789=2,AC789,""))="A","RÉPARÉ – À RADIOGRAPHIER",IF(IF(AI789=1,X789,IF(AI789=2,AC789,""))="R","VT REJETÉ – À REPRENDRE",IF(AJ789="CO","COUPE – À RESOUDER","À RÉPARER"))))))))))</f>
        <v/>
      </c>
      <c r="AL789" s="82" t="str">
        <f aca="false">IF(AND(ISNUMBER(P789),OR(AK789="À RADIOGRAPHIER",AK789="RÉPARÉ – À RADIOGRAPHIER",AK789="NX – RT À REFAIRE",AK789="À RÉPARER",AK789="COUPE – À RESOUDER",AK789="VT REJETÉ – À REPRENDRE")),MAX(0,'PROGRAMME RT'!$C$4-P789),"")</f>
        <v/>
      </c>
      <c r="AM789" s="78" t="n">
        <f aca="false">IF(AND(OR(AK789="À RADIOGRAPHIER",AK789="RÉPARÉ – À RADIOGRAPHIER",AK789="NX – RT À REFAIRE"),OR('PROGRAMME RT'!$D$5="TOUTES",B789='PROGRAMME RT'!$D$5)),1,0)</f>
        <v>0</v>
      </c>
      <c r="AN789" s="78" t="str">
        <f aca="false">IF(AM789=1,SUM(AM$7:AM789),"")</f>
        <v/>
      </c>
      <c r="AO789" s="78" t="n">
        <f aca="false">IF(AND(OR(AK789="À RÉPARER",AK789="COUPE – À RESOUDER",AK789="VT REJETÉ – À REPRENDRE"),OR(RÉPARATIONS!$D$5="TOUTES",B789=RÉPARATIONS!$D$5)),1,0)</f>
        <v>0</v>
      </c>
      <c r="AP789" s="78" t="str">
        <f aca="false">IF(AO789=1,SUM(AO$7:AO789),"")</f>
        <v/>
      </c>
    </row>
    <row r="790" customFormat="false" ht="15" hidden="false" customHeight="false" outlineLevel="0" collapsed="false">
      <c r="A790" s="78" t="str">
        <f aca="false">IF(E790="","",ROW()-6)</f>
        <v/>
      </c>
      <c r="B790" s="79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1"/>
      <c r="Q790" s="81"/>
      <c r="R790" s="80"/>
      <c r="S790" s="80"/>
      <c r="T790" s="81"/>
      <c r="U790" s="80"/>
      <c r="V790" s="80"/>
      <c r="W790" s="80"/>
      <c r="X790" s="80"/>
      <c r="Y790" s="81"/>
      <c r="Z790" s="80"/>
      <c r="AA790" s="80"/>
      <c r="AB790" s="80"/>
      <c r="AC790" s="80"/>
      <c r="AD790" s="81"/>
      <c r="AE790" s="80"/>
      <c r="AF790" s="80"/>
      <c r="AG790" s="81"/>
      <c r="AH790" s="79"/>
      <c r="AI790" s="78" t="str">
        <f aca="false">IF(E790="","",(V790&lt;&gt;"")+(AA790&lt;&gt;"")+(AF790&lt;&gt;""))</f>
        <v/>
      </c>
      <c r="AJ790" s="82" t="str">
        <f aca="false">IF(AF790&lt;&gt;"",AF790,IF(AA790&lt;&gt;"",AA790,IF(V790&lt;&gt;"",V790,"")))</f>
        <v/>
      </c>
      <c r="AK790" s="83" t="str">
        <f aca="false">IF(E790="","",IF(P790="","À SOUDER",IF(S790="","VT EN ATTENTE",IF(S790="R","VT REJETÉ – À REPRENDRE",IF(AJ790="","À RADIOGRAPHIER",IF(AJ790="A","ACCEPTÉ",IF(AJ790="NX","NX – RT À REFAIRE",IF(IF(AI790=1,X790,IF(AI790=2,AC790,""))="A","RÉPARÉ – À RADIOGRAPHIER",IF(IF(AI790=1,X790,IF(AI790=2,AC790,""))="R","VT REJETÉ – À REPRENDRE",IF(AJ790="CO","COUPE – À RESOUDER","À RÉPARER"))))))))))</f>
        <v/>
      </c>
      <c r="AL790" s="82" t="str">
        <f aca="false">IF(AND(ISNUMBER(P790),OR(AK790="À RADIOGRAPHIER",AK790="RÉPARÉ – À RADIOGRAPHIER",AK790="NX – RT À REFAIRE",AK790="À RÉPARER",AK790="COUPE – À RESOUDER",AK790="VT REJETÉ – À REPRENDRE")),MAX(0,'PROGRAMME RT'!$C$4-P790),"")</f>
        <v/>
      </c>
      <c r="AM790" s="78" t="n">
        <f aca="false">IF(AND(OR(AK790="À RADIOGRAPHIER",AK790="RÉPARÉ – À RADIOGRAPHIER",AK790="NX – RT À REFAIRE"),OR('PROGRAMME RT'!$D$5="TOUTES",B790='PROGRAMME RT'!$D$5)),1,0)</f>
        <v>0</v>
      </c>
      <c r="AN790" s="78" t="str">
        <f aca="false">IF(AM790=1,SUM(AM$7:AM790),"")</f>
        <v/>
      </c>
      <c r="AO790" s="78" t="n">
        <f aca="false">IF(AND(OR(AK790="À RÉPARER",AK790="COUPE – À RESOUDER",AK790="VT REJETÉ – À REPRENDRE"),OR(RÉPARATIONS!$D$5="TOUTES",B790=RÉPARATIONS!$D$5)),1,0)</f>
        <v>0</v>
      </c>
      <c r="AP790" s="78" t="str">
        <f aca="false">IF(AO790=1,SUM(AO$7:AO790),"")</f>
        <v/>
      </c>
    </row>
    <row r="791" customFormat="false" ht="15" hidden="false" customHeight="false" outlineLevel="0" collapsed="false">
      <c r="A791" s="78" t="str">
        <f aca="false">IF(E791="","",ROW()-6)</f>
        <v/>
      </c>
      <c r="B791" s="79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1"/>
      <c r="Q791" s="81"/>
      <c r="R791" s="80"/>
      <c r="S791" s="80"/>
      <c r="T791" s="81"/>
      <c r="U791" s="80"/>
      <c r="V791" s="80"/>
      <c r="W791" s="80"/>
      <c r="X791" s="80"/>
      <c r="Y791" s="81"/>
      <c r="Z791" s="80"/>
      <c r="AA791" s="80"/>
      <c r="AB791" s="80"/>
      <c r="AC791" s="80"/>
      <c r="AD791" s="81"/>
      <c r="AE791" s="80"/>
      <c r="AF791" s="80"/>
      <c r="AG791" s="81"/>
      <c r="AH791" s="79"/>
      <c r="AI791" s="78" t="str">
        <f aca="false">IF(E791="","",(V791&lt;&gt;"")+(AA791&lt;&gt;"")+(AF791&lt;&gt;""))</f>
        <v/>
      </c>
      <c r="AJ791" s="82" t="str">
        <f aca="false">IF(AF791&lt;&gt;"",AF791,IF(AA791&lt;&gt;"",AA791,IF(V791&lt;&gt;"",V791,"")))</f>
        <v/>
      </c>
      <c r="AK791" s="83" t="str">
        <f aca="false">IF(E791="","",IF(P791="","À SOUDER",IF(S791="","VT EN ATTENTE",IF(S791="R","VT REJETÉ – À REPRENDRE",IF(AJ791="","À RADIOGRAPHIER",IF(AJ791="A","ACCEPTÉ",IF(AJ791="NX","NX – RT À REFAIRE",IF(IF(AI791=1,X791,IF(AI791=2,AC791,""))="A","RÉPARÉ – À RADIOGRAPHIER",IF(IF(AI791=1,X791,IF(AI791=2,AC791,""))="R","VT REJETÉ – À REPRENDRE",IF(AJ791="CO","COUPE – À RESOUDER","À RÉPARER"))))))))))</f>
        <v/>
      </c>
      <c r="AL791" s="82" t="str">
        <f aca="false">IF(AND(ISNUMBER(P791),OR(AK791="À RADIOGRAPHIER",AK791="RÉPARÉ – À RADIOGRAPHIER",AK791="NX – RT À REFAIRE",AK791="À RÉPARER",AK791="COUPE – À RESOUDER",AK791="VT REJETÉ – À REPRENDRE")),MAX(0,'PROGRAMME RT'!$C$4-P791),"")</f>
        <v/>
      </c>
      <c r="AM791" s="78" t="n">
        <f aca="false">IF(AND(OR(AK791="À RADIOGRAPHIER",AK791="RÉPARÉ – À RADIOGRAPHIER",AK791="NX – RT À REFAIRE"),OR('PROGRAMME RT'!$D$5="TOUTES",B791='PROGRAMME RT'!$D$5)),1,0)</f>
        <v>0</v>
      </c>
      <c r="AN791" s="78" t="str">
        <f aca="false">IF(AM791=1,SUM(AM$7:AM791),"")</f>
        <v/>
      </c>
      <c r="AO791" s="78" t="n">
        <f aca="false">IF(AND(OR(AK791="À RÉPARER",AK791="COUPE – À RESOUDER",AK791="VT REJETÉ – À REPRENDRE"),OR(RÉPARATIONS!$D$5="TOUTES",B791=RÉPARATIONS!$D$5)),1,0)</f>
        <v>0</v>
      </c>
      <c r="AP791" s="78" t="str">
        <f aca="false">IF(AO791=1,SUM(AO$7:AO791),"")</f>
        <v/>
      </c>
    </row>
    <row r="792" customFormat="false" ht="15" hidden="false" customHeight="false" outlineLevel="0" collapsed="false">
      <c r="A792" s="78" t="str">
        <f aca="false">IF(E792="","",ROW()-6)</f>
        <v/>
      </c>
      <c r="B792" s="79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1"/>
      <c r="Q792" s="81"/>
      <c r="R792" s="80"/>
      <c r="S792" s="80"/>
      <c r="T792" s="81"/>
      <c r="U792" s="80"/>
      <c r="V792" s="80"/>
      <c r="W792" s="80"/>
      <c r="X792" s="80"/>
      <c r="Y792" s="81"/>
      <c r="Z792" s="80"/>
      <c r="AA792" s="80"/>
      <c r="AB792" s="80"/>
      <c r="AC792" s="80"/>
      <c r="AD792" s="81"/>
      <c r="AE792" s="80"/>
      <c r="AF792" s="80"/>
      <c r="AG792" s="81"/>
      <c r="AH792" s="79"/>
      <c r="AI792" s="78" t="str">
        <f aca="false">IF(E792="","",(V792&lt;&gt;"")+(AA792&lt;&gt;"")+(AF792&lt;&gt;""))</f>
        <v/>
      </c>
      <c r="AJ792" s="82" t="str">
        <f aca="false">IF(AF792&lt;&gt;"",AF792,IF(AA792&lt;&gt;"",AA792,IF(V792&lt;&gt;"",V792,"")))</f>
        <v/>
      </c>
      <c r="AK792" s="83" t="str">
        <f aca="false">IF(E792="","",IF(P792="","À SOUDER",IF(S792="","VT EN ATTENTE",IF(S792="R","VT REJETÉ – À REPRENDRE",IF(AJ792="","À RADIOGRAPHIER",IF(AJ792="A","ACCEPTÉ",IF(AJ792="NX","NX – RT À REFAIRE",IF(IF(AI792=1,X792,IF(AI792=2,AC792,""))="A","RÉPARÉ – À RADIOGRAPHIER",IF(IF(AI792=1,X792,IF(AI792=2,AC792,""))="R","VT REJETÉ – À REPRENDRE",IF(AJ792="CO","COUPE – À RESOUDER","À RÉPARER"))))))))))</f>
        <v/>
      </c>
      <c r="AL792" s="82" t="str">
        <f aca="false">IF(AND(ISNUMBER(P792),OR(AK792="À RADIOGRAPHIER",AK792="RÉPARÉ – À RADIOGRAPHIER",AK792="NX – RT À REFAIRE",AK792="À RÉPARER",AK792="COUPE – À RESOUDER",AK792="VT REJETÉ – À REPRENDRE")),MAX(0,'PROGRAMME RT'!$C$4-P792),"")</f>
        <v/>
      </c>
      <c r="AM792" s="78" t="n">
        <f aca="false">IF(AND(OR(AK792="À RADIOGRAPHIER",AK792="RÉPARÉ – À RADIOGRAPHIER",AK792="NX – RT À REFAIRE"),OR('PROGRAMME RT'!$D$5="TOUTES",B792='PROGRAMME RT'!$D$5)),1,0)</f>
        <v>0</v>
      </c>
      <c r="AN792" s="78" t="str">
        <f aca="false">IF(AM792=1,SUM(AM$7:AM792),"")</f>
        <v/>
      </c>
      <c r="AO792" s="78" t="n">
        <f aca="false">IF(AND(OR(AK792="À RÉPARER",AK792="COUPE – À RESOUDER",AK792="VT REJETÉ – À REPRENDRE"),OR(RÉPARATIONS!$D$5="TOUTES",B792=RÉPARATIONS!$D$5)),1,0)</f>
        <v>0</v>
      </c>
      <c r="AP792" s="78" t="str">
        <f aca="false">IF(AO792=1,SUM(AO$7:AO792),"")</f>
        <v/>
      </c>
    </row>
    <row r="793" customFormat="false" ht="15" hidden="false" customHeight="false" outlineLevel="0" collapsed="false">
      <c r="A793" s="78" t="str">
        <f aca="false">IF(E793="","",ROW()-6)</f>
        <v/>
      </c>
      <c r="B793" s="79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1"/>
      <c r="Q793" s="81"/>
      <c r="R793" s="80"/>
      <c r="S793" s="80"/>
      <c r="T793" s="81"/>
      <c r="U793" s="80"/>
      <c r="V793" s="80"/>
      <c r="W793" s="80"/>
      <c r="X793" s="80"/>
      <c r="Y793" s="81"/>
      <c r="Z793" s="80"/>
      <c r="AA793" s="80"/>
      <c r="AB793" s="80"/>
      <c r="AC793" s="80"/>
      <c r="AD793" s="81"/>
      <c r="AE793" s="80"/>
      <c r="AF793" s="80"/>
      <c r="AG793" s="81"/>
      <c r="AH793" s="79"/>
      <c r="AI793" s="78" t="str">
        <f aca="false">IF(E793="","",(V793&lt;&gt;"")+(AA793&lt;&gt;"")+(AF793&lt;&gt;""))</f>
        <v/>
      </c>
      <c r="AJ793" s="82" t="str">
        <f aca="false">IF(AF793&lt;&gt;"",AF793,IF(AA793&lt;&gt;"",AA793,IF(V793&lt;&gt;"",V793,"")))</f>
        <v/>
      </c>
      <c r="AK793" s="83" t="str">
        <f aca="false">IF(E793="","",IF(P793="","À SOUDER",IF(S793="","VT EN ATTENTE",IF(S793="R","VT REJETÉ – À REPRENDRE",IF(AJ793="","À RADIOGRAPHIER",IF(AJ793="A","ACCEPTÉ",IF(AJ793="NX","NX – RT À REFAIRE",IF(IF(AI793=1,X793,IF(AI793=2,AC793,""))="A","RÉPARÉ – À RADIOGRAPHIER",IF(IF(AI793=1,X793,IF(AI793=2,AC793,""))="R","VT REJETÉ – À REPRENDRE",IF(AJ793="CO","COUPE – À RESOUDER","À RÉPARER"))))))))))</f>
        <v/>
      </c>
      <c r="AL793" s="82" t="str">
        <f aca="false">IF(AND(ISNUMBER(P793),OR(AK793="À RADIOGRAPHIER",AK793="RÉPARÉ – À RADIOGRAPHIER",AK793="NX – RT À REFAIRE",AK793="À RÉPARER",AK793="COUPE – À RESOUDER",AK793="VT REJETÉ – À REPRENDRE")),MAX(0,'PROGRAMME RT'!$C$4-P793),"")</f>
        <v/>
      </c>
      <c r="AM793" s="78" t="n">
        <f aca="false">IF(AND(OR(AK793="À RADIOGRAPHIER",AK793="RÉPARÉ – À RADIOGRAPHIER",AK793="NX – RT À REFAIRE"),OR('PROGRAMME RT'!$D$5="TOUTES",B793='PROGRAMME RT'!$D$5)),1,0)</f>
        <v>0</v>
      </c>
      <c r="AN793" s="78" t="str">
        <f aca="false">IF(AM793=1,SUM(AM$7:AM793),"")</f>
        <v/>
      </c>
      <c r="AO793" s="78" t="n">
        <f aca="false">IF(AND(OR(AK793="À RÉPARER",AK793="COUPE – À RESOUDER",AK793="VT REJETÉ – À REPRENDRE"),OR(RÉPARATIONS!$D$5="TOUTES",B793=RÉPARATIONS!$D$5)),1,0)</f>
        <v>0</v>
      </c>
      <c r="AP793" s="78" t="str">
        <f aca="false">IF(AO793=1,SUM(AO$7:AO793),"")</f>
        <v/>
      </c>
    </row>
    <row r="794" customFormat="false" ht="15" hidden="false" customHeight="false" outlineLevel="0" collapsed="false">
      <c r="A794" s="78" t="str">
        <f aca="false">IF(E794="","",ROW()-6)</f>
        <v/>
      </c>
      <c r="B794" s="79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1"/>
      <c r="Q794" s="81"/>
      <c r="R794" s="80"/>
      <c r="S794" s="80"/>
      <c r="T794" s="81"/>
      <c r="U794" s="80"/>
      <c r="V794" s="80"/>
      <c r="W794" s="80"/>
      <c r="X794" s="80"/>
      <c r="Y794" s="81"/>
      <c r="Z794" s="80"/>
      <c r="AA794" s="80"/>
      <c r="AB794" s="80"/>
      <c r="AC794" s="80"/>
      <c r="AD794" s="81"/>
      <c r="AE794" s="80"/>
      <c r="AF794" s="80"/>
      <c r="AG794" s="81"/>
      <c r="AH794" s="79"/>
      <c r="AI794" s="78" t="str">
        <f aca="false">IF(E794="","",(V794&lt;&gt;"")+(AA794&lt;&gt;"")+(AF794&lt;&gt;""))</f>
        <v/>
      </c>
      <c r="AJ794" s="82" t="str">
        <f aca="false">IF(AF794&lt;&gt;"",AF794,IF(AA794&lt;&gt;"",AA794,IF(V794&lt;&gt;"",V794,"")))</f>
        <v/>
      </c>
      <c r="AK794" s="83" t="str">
        <f aca="false">IF(E794="","",IF(P794="","À SOUDER",IF(S794="","VT EN ATTENTE",IF(S794="R","VT REJETÉ – À REPRENDRE",IF(AJ794="","À RADIOGRAPHIER",IF(AJ794="A","ACCEPTÉ",IF(AJ794="NX","NX – RT À REFAIRE",IF(IF(AI794=1,X794,IF(AI794=2,AC794,""))="A","RÉPARÉ – À RADIOGRAPHIER",IF(IF(AI794=1,X794,IF(AI794=2,AC794,""))="R","VT REJETÉ – À REPRENDRE",IF(AJ794="CO","COUPE – À RESOUDER","À RÉPARER"))))))))))</f>
        <v/>
      </c>
      <c r="AL794" s="82" t="str">
        <f aca="false">IF(AND(ISNUMBER(P794),OR(AK794="À RADIOGRAPHIER",AK794="RÉPARÉ – À RADIOGRAPHIER",AK794="NX – RT À REFAIRE",AK794="À RÉPARER",AK794="COUPE – À RESOUDER",AK794="VT REJETÉ – À REPRENDRE")),MAX(0,'PROGRAMME RT'!$C$4-P794),"")</f>
        <v/>
      </c>
      <c r="AM794" s="78" t="n">
        <f aca="false">IF(AND(OR(AK794="À RADIOGRAPHIER",AK794="RÉPARÉ – À RADIOGRAPHIER",AK794="NX – RT À REFAIRE"),OR('PROGRAMME RT'!$D$5="TOUTES",B794='PROGRAMME RT'!$D$5)),1,0)</f>
        <v>0</v>
      </c>
      <c r="AN794" s="78" t="str">
        <f aca="false">IF(AM794=1,SUM(AM$7:AM794),"")</f>
        <v/>
      </c>
      <c r="AO794" s="78" t="n">
        <f aca="false">IF(AND(OR(AK794="À RÉPARER",AK794="COUPE – À RESOUDER",AK794="VT REJETÉ – À REPRENDRE"),OR(RÉPARATIONS!$D$5="TOUTES",B794=RÉPARATIONS!$D$5)),1,0)</f>
        <v>0</v>
      </c>
      <c r="AP794" s="78" t="str">
        <f aca="false">IF(AO794=1,SUM(AO$7:AO794),"")</f>
        <v/>
      </c>
    </row>
    <row r="795" customFormat="false" ht="15" hidden="false" customHeight="false" outlineLevel="0" collapsed="false">
      <c r="A795" s="78" t="str">
        <f aca="false">IF(E795="","",ROW()-6)</f>
        <v/>
      </c>
      <c r="B795" s="79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1"/>
      <c r="Q795" s="81"/>
      <c r="R795" s="80"/>
      <c r="S795" s="80"/>
      <c r="T795" s="81"/>
      <c r="U795" s="80"/>
      <c r="V795" s="80"/>
      <c r="W795" s="80"/>
      <c r="X795" s="80"/>
      <c r="Y795" s="81"/>
      <c r="Z795" s="80"/>
      <c r="AA795" s="80"/>
      <c r="AB795" s="80"/>
      <c r="AC795" s="80"/>
      <c r="AD795" s="81"/>
      <c r="AE795" s="80"/>
      <c r="AF795" s="80"/>
      <c r="AG795" s="81"/>
      <c r="AH795" s="79"/>
      <c r="AI795" s="78" t="str">
        <f aca="false">IF(E795="","",(V795&lt;&gt;"")+(AA795&lt;&gt;"")+(AF795&lt;&gt;""))</f>
        <v/>
      </c>
      <c r="AJ795" s="82" t="str">
        <f aca="false">IF(AF795&lt;&gt;"",AF795,IF(AA795&lt;&gt;"",AA795,IF(V795&lt;&gt;"",V795,"")))</f>
        <v/>
      </c>
      <c r="AK795" s="83" t="str">
        <f aca="false">IF(E795="","",IF(P795="","À SOUDER",IF(S795="","VT EN ATTENTE",IF(S795="R","VT REJETÉ – À REPRENDRE",IF(AJ795="","À RADIOGRAPHIER",IF(AJ795="A","ACCEPTÉ",IF(AJ795="NX","NX – RT À REFAIRE",IF(IF(AI795=1,X795,IF(AI795=2,AC795,""))="A","RÉPARÉ – À RADIOGRAPHIER",IF(IF(AI795=1,X795,IF(AI795=2,AC795,""))="R","VT REJETÉ – À REPRENDRE",IF(AJ795="CO","COUPE – À RESOUDER","À RÉPARER"))))))))))</f>
        <v/>
      </c>
      <c r="AL795" s="82" t="str">
        <f aca="false">IF(AND(ISNUMBER(P795),OR(AK795="À RADIOGRAPHIER",AK795="RÉPARÉ – À RADIOGRAPHIER",AK795="NX – RT À REFAIRE",AK795="À RÉPARER",AK795="COUPE – À RESOUDER",AK795="VT REJETÉ – À REPRENDRE")),MAX(0,'PROGRAMME RT'!$C$4-P795),"")</f>
        <v/>
      </c>
      <c r="AM795" s="78" t="n">
        <f aca="false">IF(AND(OR(AK795="À RADIOGRAPHIER",AK795="RÉPARÉ – À RADIOGRAPHIER",AK795="NX – RT À REFAIRE"),OR('PROGRAMME RT'!$D$5="TOUTES",B795='PROGRAMME RT'!$D$5)),1,0)</f>
        <v>0</v>
      </c>
      <c r="AN795" s="78" t="str">
        <f aca="false">IF(AM795=1,SUM(AM$7:AM795),"")</f>
        <v/>
      </c>
      <c r="AO795" s="78" t="n">
        <f aca="false">IF(AND(OR(AK795="À RÉPARER",AK795="COUPE – À RESOUDER",AK795="VT REJETÉ – À REPRENDRE"),OR(RÉPARATIONS!$D$5="TOUTES",B795=RÉPARATIONS!$D$5)),1,0)</f>
        <v>0</v>
      </c>
      <c r="AP795" s="78" t="str">
        <f aca="false">IF(AO795=1,SUM(AO$7:AO795),"")</f>
        <v/>
      </c>
    </row>
    <row r="796" customFormat="false" ht="15" hidden="false" customHeight="false" outlineLevel="0" collapsed="false">
      <c r="A796" s="78" t="str">
        <f aca="false">IF(E796="","",ROW()-6)</f>
        <v/>
      </c>
      <c r="B796" s="79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1"/>
      <c r="Q796" s="81"/>
      <c r="R796" s="80"/>
      <c r="S796" s="80"/>
      <c r="T796" s="81"/>
      <c r="U796" s="80"/>
      <c r="V796" s="80"/>
      <c r="W796" s="80"/>
      <c r="X796" s="80"/>
      <c r="Y796" s="81"/>
      <c r="Z796" s="80"/>
      <c r="AA796" s="80"/>
      <c r="AB796" s="80"/>
      <c r="AC796" s="80"/>
      <c r="AD796" s="81"/>
      <c r="AE796" s="80"/>
      <c r="AF796" s="80"/>
      <c r="AG796" s="81"/>
      <c r="AH796" s="79"/>
      <c r="AI796" s="78" t="str">
        <f aca="false">IF(E796="","",(V796&lt;&gt;"")+(AA796&lt;&gt;"")+(AF796&lt;&gt;""))</f>
        <v/>
      </c>
      <c r="AJ796" s="82" t="str">
        <f aca="false">IF(AF796&lt;&gt;"",AF796,IF(AA796&lt;&gt;"",AA796,IF(V796&lt;&gt;"",V796,"")))</f>
        <v/>
      </c>
      <c r="AK796" s="83" t="str">
        <f aca="false">IF(E796="","",IF(P796="","À SOUDER",IF(S796="","VT EN ATTENTE",IF(S796="R","VT REJETÉ – À REPRENDRE",IF(AJ796="","À RADIOGRAPHIER",IF(AJ796="A","ACCEPTÉ",IF(AJ796="NX","NX – RT À REFAIRE",IF(IF(AI796=1,X796,IF(AI796=2,AC796,""))="A","RÉPARÉ – À RADIOGRAPHIER",IF(IF(AI796=1,X796,IF(AI796=2,AC796,""))="R","VT REJETÉ – À REPRENDRE",IF(AJ796="CO","COUPE – À RESOUDER","À RÉPARER"))))))))))</f>
        <v/>
      </c>
      <c r="AL796" s="82" t="str">
        <f aca="false">IF(AND(ISNUMBER(P796),OR(AK796="À RADIOGRAPHIER",AK796="RÉPARÉ – À RADIOGRAPHIER",AK796="NX – RT À REFAIRE",AK796="À RÉPARER",AK796="COUPE – À RESOUDER",AK796="VT REJETÉ – À REPRENDRE")),MAX(0,'PROGRAMME RT'!$C$4-P796),"")</f>
        <v/>
      </c>
      <c r="AM796" s="78" t="n">
        <f aca="false">IF(AND(OR(AK796="À RADIOGRAPHIER",AK796="RÉPARÉ – À RADIOGRAPHIER",AK796="NX – RT À REFAIRE"),OR('PROGRAMME RT'!$D$5="TOUTES",B796='PROGRAMME RT'!$D$5)),1,0)</f>
        <v>0</v>
      </c>
      <c r="AN796" s="78" t="str">
        <f aca="false">IF(AM796=1,SUM(AM$7:AM796),"")</f>
        <v/>
      </c>
      <c r="AO796" s="78" t="n">
        <f aca="false">IF(AND(OR(AK796="À RÉPARER",AK796="COUPE – À RESOUDER",AK796="VT REJETÉ – À REPRENDRE"),OR(RÉPARATIONS!$D$5="TOUTES",B796=RÉPARATIONS!$D$5)),1,0)</f>
        <v>0</v>
      </c>
      <c r="AP796" s="78" t="str">
        <f aca="false">IF(AO796=1,SUM(AO$7:AO796),"")</f>
        <v/>
      </c>
    </row>
    <row r="797" customFormat="false" ht="15" hidden="false" customHeight="false" outlineLevel="0" collapsed="false">
      <c r="A797" s="78" t="str">
        <f aca="false">IF(E797="","",ROW()-6)</f>
        <v/>
      </c>
      <c r="B797" s="79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1"/>
      <c r="Q797" s="81"/>
      <c r="R797" s="80"/>
      <c r="S797" s="80"/>
      <c r="T797" s="81"/>
      <c r="U797" s="80"/>
      <c r="V797" s="80"/>
      <c r="W797" s="80"/>
      <c r="X797" s="80"/>
      <c r="Y797" s="81"/>
      <c r="Z797" s="80"/>
      <c r="AA797" s="80"/>
      <c r="AB797" s="80"/>
      <c r="AC797" s="80"/>
      <c r="AD797" s="81"/>
      <c r="AE797" s="80"/>
      <c r="AF797" s="80"/>
      <c r="AG797" s="81"/>
      <c r="AH797" s="79"/>
      <c r="AI797" s="78" t="str">
        <f aca="false">IF(E797="","",(V797&lt;&gt;"")+(AA797&lt;&gt;"")+(AF797&lt;&gt;""))</f>
        <v/>
      </c>
      <c r="AJ797" s="82" t="str">
        <f aca="false">IF(AF797&lt;&gt;"",AF797,IF(AA797&lt;&gt;"",AA797,IF(V797&lt;&gt;"",V797,"")))</f>
        <v/>
      </c>
      <c r="AK797" s="83" t="str">
        <f aca="false">IF(E797="","",IF(P797="","À SOUDER",IF(S797="","VT EN ATTENTE",IF(S797="R","VT REJETÉ – À REPRENDRE",IF(AJ797="","À RADIOGRAPHIER",IF(AJ797="A","ACCEPTÉ",IF(AJ797="NX","NX – RT À REFAIRE",IF(IF(AI797=1,X797,IF(AI797=2,AC797,""))="A","RÉPARÉ – À RADIOGRAPHIER",IF(IF(AI797=1,X797,IF(AI797=2,AC797,""))="R","VT REJETÉ – À REPRENDRE",IF(AJ797="CO","COUPE – À RESOUDER","À RÉPARER"))))))))))</f>
        <v/>
      </c>
      <c r="AL797" s="82" t="str">
        <f aca="false">IF(AND(ISNUMBER(P797),OR(AK797="À RADIOGRAPHIER",AK797="RÉPARÉ – À RADIOGRAPHIER",AK797="NX – RT À REFAIRE",AK797="À RÉPARER",AK797="COUPE – À RESOUDER",AK797="VT REJETÉ – À REPRENDRE")),MAX(0,'PROGRAMME RT'!$C$4-P797),"")</f>
        <v/>
      </c>
      <c r="AM797" s="78" t="n">
        <f aca="false">IF(AND(OR(AK797="À RADIOGRAPHIER",AK797="RÉPARÉ – À RADIOGRAPHIER",AK797="NX – RT À REFAIRE"),OR('PROGRAMME RT'!$D$5="TOUTES",B797='PROGRAMME RT'!$D$5)),1,0)</f>
        <v>0</v>
      </c>
      <c r="AN797" s="78" t="str">
        <f aca="false">IF(AM797=1,SUM(AM$7:AM797),"")</f>
        <v/>
      </c>
      <c r="AO797" s="78" t="n">
        <f aca="false">IF(AND(OR(AK797="À RÉPARER",AK797="COUPE – À RESOUDER",AK797="VT REJETÉ – À REPRENDRE"),OR(RÉPARATIONS!$D$5="TOUTES",B797=RÉPARATIONS!$D$5)),1,0)</f>
        <v>0</v>
      </c>
      <c r="AP797" s="78" t="str">
        <f aca="false">IF(AO797=1,SUM(AO$7:AO797),"")</f>
        <v/>
      </c>
    </row>
    <row r="798" customFormat="false" ht="15" hidden="false" customHeight="false" outlineLevel="0" collapsed="false">
      <c r="A798" s="78" t="str">
        <f aca="false">IF(E798="","",ROW()-6)</f>
        <v/>
      </c>
      <c r="B798" s="79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1"/>
      <c r="Q798" s="81"/>
      <c r="R798" s="80"/>
      <c r="S798" s="80"/>
      <c r="T798" s="81"/>
      <c r="U798" s="80"/>
      <c r="V798" s="80"/>
      <c r="W798" s="80"/>
      <c r="X798" s="80"/>
      <c r="Y798" s="81"/>
      <c r="Z798" s="80"/>
      <c r="AA798" s="80"/>
      <c r="AB798" s="80"/>
      <c r="AC798" s="80"/>
      <c r="AD798" s="81"/>
      <c r="AE798" s="80"/>
      <c r="AF798" s="80"/>
      <c r="AG798" s="81"/>
      <c r="AH798" s="79"/>
      <c r="AI798" s="78" t="str">
        <f aca="false">IF(E798="","",(V798&lt;&gt;"")+(AA798&lt;&gt;"")+(AF798&lt;&gt;""))</f>
        <v/>
      </c>
      <c r="AJ798" s="82" t="str">
        <f aca="false">IF(AF798&lt;&gt;"",AF798,IF(AA798&lt;&gt;"",AA798,IF(V798&lt;&gt;"",V798,"")))</f>
        <v/>
      </c>
      <c r="AK798" s="83" t="str">
        <f aca="false">IF(E798="","",IF(P798="","À SOUDER",IF(S798="","VT EN ATTENTE",IF(S798="R","VT REJETÉ – À REPRENDRE",IF(AJ798="","À RADIOGRAPHIER",IF(AJ798="A","ACCEPTÉ",IF(AJ798="NX","NX – RT À REFAIRE",IF(IF(AI798=1,X798,IF(AI798=2,AC798,""))="A","RÉPARÉ – À RADIOGRAPHIER",IF(IF(AI798=1,X798,IF(AI798=2,AC798,""))="R","VT REJETÉ – À REPRENDRE",IF(AJ798="CO","COUPE – À RESOUDER","À RÉPARER"))))))))))</f>
        <v/>
      </c>
      <c r="AL798" s="82" t="str">
        <f aca="false">IF(AND(ISNUMBER(P798),OR(AK798="À RADIOGRAPHIER",AK798="RÉPARÉ – À RADIOGRAPHIER",AK798="NX – RT À REFAIRE",AK798="À RÉPARER",AK798="COUPE – À RESOUDER",AK798="VT REJETÉ – À REPRENDRE")),MAX(0,'PROGRAMME RT'!$C$4-P798),"")</f>
        <v/>
      </c>
      <c r="AM798" s="78" t="n">
        <f aca="false">IF(AND(OR(AK798="À RADIOGRAPHIER",AK798="RÉPARÉ – À RADIOGRAPHIER",AK798="NX – RT À REFAIRE"),OR('PROGRAMME RT'!$D$5="TOUTES",B798='PROGRAMME RT'!$D$5)),1,0)</f>
        <v>0</v>
      </c>
      <c r="AN798" s="78" t="str">
        <f aca="false">IF(AM798=1,SUM(AM$7:AM798),"")</f>
        <v/>
      </c>
      <c r="AO798" s="78" t="n">
        <f aca="false">IF(AND(OR(AK798="À RÉPARER",AK798="COUPE – À RESOUDER",AK798="VT REJETÉ – À REPRENDRE"),OR(RÉPARATIONS!$D$5="TOUTES",B798=RÉPARATIONS!$D$5)),1,0)</f>
        <v>0</v>
      </c>
      <c r="AP798" s="78" t="str">
        <f aca="false">IF(AO798=1,SUM(AO$7:AO798),"")</f>
        <v/>
      </c>
    </row>
    <row r="799" customFormat="false" ht="15" hidden="false" customHeight="false" outlineLevel="0" collapsed="false">
      <c r="A799" s="78" t="str">
        <f aca="false">IF(E799="","",ROW()-6)</f>
        <v/>
      </c>
      <c r="B799" s="79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1"/>
      <c r="Q799" s="81"/>
      <c r="R799" s="80"/>
      <c r="S799" s="80"/>
      <c r="T799" s="81"/>
      <c r="U799" s="80"/>
      <c r="V799" s="80"/>
      <c r="W799" s="80"/>
      <c r="X799" s="80"/>
      <c r="Y799" s="81"/>
      <c r="Z799" s="80"/>
      <c r="AA799" s="80"/>
      <c r="AB799" s="80"/>
      <c r="AC799" s="80"/>
      <c r="AD799" s="81"/>
      <c r="AE799" s="80"/>
      <c r="AF799" s="80"/>
      <c r="AG799" s="81"/>
      <c r="AH799" s="79"/>
      <c r="AI799" s="78" t="str">
        <f aca="false">IF(E799="","",(V799&lt;&gt;"")+(AA799&lt;&gt;"")+(AF799&lt;&gt;""))</f>
        <v/>
      </c>
      <c r="AJ799" s="82" t="str">
        <f aca="false">IF(AF799&lt;&gt;"",AF799,IF(AA799&lt;&gt;"",AA799,IF(V799&lt;&gt;"",V799,"")))</f>
        <v/>
      </c>
      <c r="AK799" s="83" t="str">
        <f aca="false">IF(E799="","",IF(P799="","À SOUDER",IF(S799="","VT EN ATTENTE",IF(S799="R","VT REJETÉ – À REPRENDRE",IF(AJ799="","À RADIOGRAPHIER",IF(AJ799="A","ACCEPTÉ",IF(AJ799="NX","NX – RT À REFAIRE",IF(IF(AI799=1,X799,IF(AI799=2,AC799,""))="A","RÉPARÉ – À RADIOGRAPHIER",IF(IF(AI799=1,X799,IF(AI799=2,AC799,""))="R","VT REJETÉ – À REPRENDRE",IF(AJ799="CO","COUPE – À RESOUDER","À RÉPARER"))))))))))</f>
        <v/>
      </c>
      <c r="AL799" s="82" t="str">
        <f aca="false">IF(AND(ISNUMBER(P799),OR(AK799="À RADIOGRAPHIER",AK799="RÉPARÉ – À RADIOGRAPHIER",AK799="NX – RT À REFAIRE",AK799="À RÉPARER",AK799="COUPE – À RESOUDER",AK799="VT REJETÉ – À REPRENDRE")),MAX(0,'PROGRAMME RT'!$C$4-P799),"")</f>
        <v/>
      </c>
      <c r="AM799" s="78" t="n">
        <f aca="false">IF(AND(OR(AK799="À RADIOGRAPHIER",AK799="RÉPARÉ – À RADIOGRAPHIER",AK799="NX – RT À REFAIRE"),OR('PROGRAMME RT'!$D$5="TOUTES",B799='PROGRAMME RT'!$D$5)),1,0)</f>
        <v>0</v>
      </c>
      <c r="AN799" s="78" t="str">
        <f aca="false">IF(AM799=1,SUM(AM$7:AM799),"")</f>
        <v/>
      </c>
      <c r="AO799" s="78" t="n">
        <f aca="false">IF(AND(OR(AK799="À RÉPARER",AK799="COUPE – À RESOUDER",AK799="VT REJETÉ – À REPRENDRE"),OR(RÉPARATIONS!$D$5="TOUTES",B799=RÉPARATIONS!$D$5)),1,0)</f>
        <v>0</v>
      </c>
      <c r="AP799" s="78" t="str">
        <f aca="false">IF(AO799=1,SUM(AO$7:AO799),"")</f>
        <v/>
      </c>
    </row>
    <row r="800" customFormat="false" ht="15" hidden="false" customHeight="false" outlineLevel="0" collapsed="false">
      <c r="A800" s="78" t="str">
        <f aca="false">IF(E800="","",ROW()-6)</f>
        <v/>
      </c>
      <c r="B800" s="79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1"/>
      <c r="Q800" s="81"/>
      <c r="R800" s="80"/>
      <c r="S800" s="80"/>
      <c r="T800" s="81"/>
      <c r="U800" s="80"/>
      <c r="V800" s="80"/>
      <c r="W800" s="80"/>
      <c r="X800" s="80"/>
      <c r="Y800" s="81"/>
      <c r="Z800" s="80"/>
      <c r="AA800" s="80"/>
      <c r="AB800" s="80"/>
      <c r="AC800" s="80"/>
      <c r="AD800" s="81"/>
      <c r="AE800" s="80"/>
      <c r="AF800" s="80"/>
      <c r="AG800" s="81"/>
      <c r="AH800" s="79"/>
      <c r="AI800" s="78" t="str">
        <f aca="false">IF(E800="","",(V800&lt;&gt;"")+(AA800&lt;&gt;"")+(AF800&lt;&gt;""))</f>
        <v/>
      </c>
      <c r="AJ800" s="82" t="str">
        <f aca="false">IF(AF800&lt;&gt;"",AF800,IF(AA800&lt;&gt;"",AA800,IF(V800&lt;&gt;"",V800,"")))</f>
        <v/>
      </c>
      <c r="AK800" s="83" t="str">
        <f aca="false">IF(E800="","",IF(P800="","À SOUDER",IF(S800="","VT EN ATTENTE",IF(S800="R","VT REJETÉ – À REPRENDRE",IF(AJ800="","À RADIOGRAPHIER",IF(AJ800="A","ACCEPTÉ",IF(AJ800="NX","NX – RT À REFAIRE",IF(IF(AI800=1,X800,IF(AI800=2,AC800,""))="A","RÉPARÉ – À RADIOGRAPHIER",IF(IF(AI800=1,X800,IF(AI800=2,AC800,""))="R","VT REJETÉ – À REPRENDRE",IF(AJ800="CO","COUPE – À RESOUDER","À RÉPARER"))))))))))</f>
        <v/>
      </c>
      <c r="AL800" s="82" t="str">
        <f aca="false">IF(AND(ISNUMBER(P800),OR(AK800="À RADIOGRAPHIER",AK800="RÉPARÉ – À RADIOGRAPHIER",AK800="NX – RT À REFAIRE",AK800="À RÉPARER",AK800="COUPE – À RESOUDER",AK800="VT REJETÉ – À REPRENDRE")),MAX(0,'PROGRAMME RT'!$C$4-P800),"")</f>
        <v/>
      </c>
      <c r="AM800" s="78" t="n">
        <f aca="false">IF(AND(OR(AK800="À RADIOGRAPHIER",AK800="RÉPARÉ – À RADIOGRAPHIER",AK800="NX – RT À REFAIRE"),OR('PROGRAMME RT'!$D$5="TOUTES",B800='PROGRAMME RT'!$D$5)),1,0)</f>
        <v>0</v>
      </c>
      <c r="AN800" s="78" t="str">
        <f aca="false">IF(AM800=1,SUM(AM$7:AM800),"")</f>
        <v/>
      </c>
      <c r="AO800" s="78" t="n">
        <f aca="false">IF(AND(OR(AK800="À RÉPARER",AK800="COUPE – À RESOUDER",AK800="VT REJETÉ – À REPRENDRE"),OR(RÉPARATIONS!$D$5="TOUTES",B800=RÉPARATIONS!$D$5)),1,0)</f>
        <v>0</v>
      </c>
      <c r="AP800" s="78" t="str">
        <f aca="false">IF(AO800=1,SUM(AO$7:AO800),"")</f>
        <v/>
      </c>
    </row>
    <row r="801" customFormat="false" ht="15" hidden="false" customHeight="false" outlineLevel="0" collapsed="false">
      <c r="A801" s="78" t="str">
        <f aca="false">IF(E801="","",ROW()-6)</f>
        <v/>
      </c>
      <c r="B801" s="79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1"/>
      <c r="Q801" s="81"/>
      <c r="R801" s="80"/>
      <c r="S801" s="80"/>
      <c r="T801" s="81"/>
      <c r="U801" s="80"/>
      <c r="V801" s="80"/>
      <c r="W801" s="80"/>
      <c r="X801" s="80"/>
      <c r="Y801" s="81"/>
      <c r="Z801" s="80"/>
      <c r="AA801" s="80"/>
      <c r="AB801" s="80"/>
      <c r="AC801" s="80"/>
      <c r="AD801" s="81"/>
      <c r="AE801" s="80"/>
      <c r="AF801" s="80"/>
      <c r="AG801" s="81"/>
      <c r="AH801" s="79"/>
      <c r="AI801" s="78" t="str">
        <f aca="false">IF(E801="","",(V801&lt;&gt;"")+(AA801&lt;&gt;"")+(AF801&lt;&gt;""))</f>
        <v/>
      </c>
      <c r="AJ801" s="82" t="str">
        <f aca="false">IF(AF801&lt;&gt;"",AF801,IF(AA801&lt;&gt;"",AA801,IF(V801&lt;&gt;"",V801,"")))</f>
        <v/>
      </c>
      <c r="AK801" s="83" t="str">
        <f aca="false">IF(E801="","",IF(P801="","À SOUDER",IF(S801="","VT EN ATTENTE",IF(S801="R","VT REJETÉ – À REPRENDRE",IF(AJ801="","À RADIOGRAPHIER",IF(AJ801="A","ACCEPTÉ",IF(AJ801="NX","NX – RT À REFAIRE",IF(IF(AI801=1,X801,IF(AI801=2,AC801,""))="A","RÉPARÉ – À RADIOGRAPHIER",IF(IF(AI801=1,X801,IF(AI801=2,AC801,""))="R","VT REJETÉ – À REPRENDRE",IF(AJ801="CO","COUPE – À RESOUDER","À RÉPARER"))))))))))</f>
        <v/>
      </c>
      <c r="AL801" s="82" t="str">
        <f aca="false">IF(AND(ISNUMBER(P801),OR(AK801="À RADIOGRAPHIER",AK801="RÉPARÉ – À RADIOGRAPHIER",AK801="NX – RT À REFAIRE",AK801="À RÉPARER",AK801="COUPE – À RESOUDER",AK801="VT REJETÉ – À REPRENDRE")),MAX(0,'PROGRAMME RT'!$C$4-P801),"")</f>
        <v/>
      </c>
      <c r="AM801" s="78" t="n">
        <f aca="false">IF(AND(OR(AK801="À RADIOGRAPHIER",AK801="RÉPARÉ – À RADIOGRAPHIER",AK801="NX – RT À REFAIRE"),OR('PROGRAMME RT'!$D$5="TOUTES",B801='PROGRAMME RT'!$D$5)),1,0)</f>
        <v>0</v>
      </c>
      <c r="AN801" s="78" t="str">
        <f aca="false">IF(AM801=1,SUM(AM$7:AM801),"")</f>
        <v/>
      </c>
      <c r="AO801" s="78" t="n">
        <f aca="false">IF(AND(OR(AK801="À RÉPARER",AK801="COUPE – À RESOUDER",AK801="VT REJETÉ – À REPRENDRE"),OR(RÉPARATIONS!$D$5="TOUTES",B801=RÉPARATIONS!$D$5)),1,0)</f>
        <v>0</v>
      </c>
      <c r="AP801" s="78" t="str">
        <f aca="false">IF(AO801=1,SUM(AO$7:AO801),"")</f>
        <v/>
      </c>
    </row>
    <row r="802" customFormat="false" ht="15" hidden="false" customHeight="false" outlineLevel="0" collapsed="false">
      <c r="A802" s="78" t="str">
        <f aca="false">IF(E802="","",ROW()-6)</f>
        <v/>
      </c>
      <c r="B802" s="79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1"/>
      <c r="Q802" s="81"/>
      <c r="R802" s="80"/>
      <c r="S802" s="80"/>
      <c r="T802" s="81"/>
      <c r="U802" s="80"/>
      <c r="V802" s="80"/>
      <c r="W802" s="80"/>
      <c r="X802" s="80"/>
      <c r="Y802" s="81"/>
      <c r="Z802" s="80"/>
      <c r="AA802" s="80"/>
      <c r="AB802" s="80"/>
      <c r="AC802" s="80"/>
      <c r="AD802" s="81"/>
      <c r="AE802" s="80"/>
      <c r="AF802" s="80"/>
      <c r="AG802" s="81"/>
      <c r="AH802" s="79"/>
      <c r="AI802" s="78" t="str">
        <f aca="false">IF(E802="","",(V802&lt;&gt;"")+(AA802&lt;&gt;"")+(AF802&lt;&gt;""))</f>
        <v/>
      </c>
      <c r="AJ802" s="82" t="str">
        <f aca="false">IF(AF802&lt;&gt;"",AF802,IF(AA802&lt;&gt;"",AA802,IF(V802&lt;&gt;"",V802,"")))</f>
        <v/>
      </c>
      <c r="AK802" s="83" t="str">
        <f aca="false">IF(E802="","",IF(P802="","À SOUDER",IF(S802="","VT EN ATTENTE",IF(S802="R","VT REJETÉ – À REPRENDRE",IF(AJ802="","À RADIOGRAPHIER",IF(AJ802="A","ACCEPTÉ",IF(AJ802="NX","NX – RT À REFAIRE",IF(IF(AI802=1,X802,IF(AI802=2,AC802,""))="A","RÉPARÉ – À RADIOGRAPHIER",IF(IF(AI802=1,X802,IF(AI802=2,AC802,""))="R","VT REJETÉ – À REPRENDRE",IF(AJ802="CO","COUPE – À RESOUDER","À RÉPARER"))))))))))</f>
        <v/>
      </c>
      <c r="AL802" s="82" t="str">
        <f aca="false">IF(AND(ISNUMBER(P802),OR(AK802="À RADIOGRAPHIER",AK802="RÉPARÉ – À RADIOGRAPHIER",AK802="NX – RT À REFAIRE",AK802="À RÉPARER",AK802="COUPE – À RESOUDER",AK802="VT REJETÉ – À REPRENDRE")),MAX(0,'PROGRAMME RT'!$C$4-P802),"")</f>
        <v/>
      </c>
      <c r="AM802" s="78" t="n">
        <f aca="false">IF(AND(OR(AK802="À RADIOGRAPHIER",AK802="RÉPARÉ – À RADIOGRAPHIER",AK802="NX – RT À REFAIRE"),OR('PROGRAMME RT'!$D$5="TOUTES",B802='PROGRAMME RT'!$D$5)),1,0)</f>
        <v>0</v>
      </c>
      <c r="AN802" s="78" t="str">
        <f aca="false">IF(AM802=1,SUM(AM$7:AM802),"")</f>
        <v/>
      </c>
      <c r="AO802" s="78" t="n">
        <f aca="false">IF(AND(OR(AK802="À RÉPARER",AK802="COUPE – À RESOUDER",AK802="VT REJETÉ – À REPRENDRE"),OR(RÉPARATIONS!$D$5="TOUTES",B802=RÉPARATIONS!$D$5)),1,0)</f>
        <v>0</v>
      </c>
      <c r="AP802" s="78" t="str">
        <f aca="false">IF(AO802=1,SUM(AO$7:AO802),"")</f>
        <v/>
      </c>
    </row>
    <row r="803" customFormat="false" ht="15" hidden="false" customHeight="false" outlineLevel="0" collapsed="false">
      <c r="A803" s="78" t="str">
        <f aca="false">IF(E803="","",ROW()-6)</f>
        <v/>
      </c>
      <c r="B803" s="79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1"/>
      <c r="Q803" s="81"/>
      <c r="R803" s="80"/>
      <c r="S803" s="80"/>
      <c r="T803" s="81"/>
      <c r="U803" s="80"/>
      <c r="V803" s="80"/>
      <c r="W803" s="80"/>
      <c r="X803" s="80"/>
      <c r="Y803" s="81"/>
      <c r="Z803" s="80"/>
      <c r="AA803" s="80"/>
      <c r="AB803" s="80"/>
      <c r="AC803" s="80"/>
      <c r="AD803" s="81"/>
      <c r="AE803" s="80"/>
      <c r="AF803" s="80"/>
      <c r="AG803" s="81"/>
      <c r="AH803" s="79"/>
      <c r="AI803" s="78" t="str">
        <f aca="false">IF(E803="","",(V803&lt;&gt;"")+(AA803&lt;&gt;"")+(AF803&lt;&gt;""))</f>
        <v/>
      </c>
      <c r="AJ803" s="82" t="str">
        <f aca="false">IF(AF803&lt;&gt;"",AF803,IF(AA803&lt;&gt;"",AA803,IF(V803&lt;&gt;"",V803,"")))</f>
        <v/>
      </c>
      <c r="AK803" s="83" t="str">
        <f aca="false">IF(E803="","",IF(P803="","À SOUDER",IF(S803="","VT EN ATTENTE",IF(S803="R","VT REJETÉ – À REPRENDRE",IF(AJ803="","À RADIOGRAPHIER",IF(AJ803="A","ACCEPTÉ",IF(AJ803="NX","NX – RT À REFAIRE",IF(IF(AI803=1,X803,IF(AI803=2,AC803,""))="A","RÉPARÉ – À RADIOGRAPHIER",IF(IF(AI803=1,X803,IF(AI803=2,AC803,""))="R","VT REJETÉ – À REPRENDRE",IF(AJ803="CO","COUPE – À RESOUDER","À RÉPARER"))))))))))</f>
        <v/>
      </c>
      <c r="AL803" s="82" t="str">
        <f aca="false">IF(AND(ISNUMBER(P803),OR(AK803="À RADIOGRAPHIER",AK803="RÉPARÉ – À RADIOGRAPHIER",AK803="NX – RT À REFAIRE",AK803="À RÉPARER",AK803="COUPE – À RESOUDER",AK803="VT REJETÉ – À REPRENDRE")),MAX(0,'PROGRAMME RT'!$C$4-P803),"")</f>
        <v/>
      </c>
      <c r="AM803" s="78" t="n">
        <f aca="false">IF(AND(OR(AK803="À RADIOGRAPHIER",AK803="RÉPARÉ – À RADIOGRAPHIER",AK803="NX – RT À REFAIRE"),OR('PROGRAMME RT'!$D$5="TOUTES",B803='PROGRAMME RT'!$D$5)),1,0)</f>
        <v>0</v>
      </c>
      <c r="AN803" s="78" t="str">
        <f aca="false">IF(AM803=1,SUM(AM$7:AM803),"")</f>
        <v/>
      </c>
      <c r="AO803" s="78" t="n">
        <f aca="false">IF(AND(OR(AK803="À RÉPARER",AK803="COUPE – À RESOUDER",AK803="VT REJETÉ – À REPRENDRE"),OR(RÉPARATIONS!$D$5="TOUTES",B803=RÉPARATIONS!$D$5)),1,0)</f>
        <v>0</v>
      </c>
      <c r="AP803" s="78" t="str">
        <f aca="false">IF(AO803=1,SUM(AO$7:AO803),"")</f>
        <v/>
      </c>
    </row>
    <row r="804" customFormat="false" ht="15" hidden="false" customHeight="false" outlineLevel="0" collapsed="false">
      <c r="A804" s="78" t="str">
        <f aca="false">IF(E804="","",ROW()-6)</f>
        <v/>
      </c>
      <c r="B804" s="79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1"/>
      <c r="Q804" s="81"/>
      <c r="R804" s="80"/>
      <c r="S804" s="80"/>
      <c r="T804" s="81"/>
      <c r="U804" s="80"/>
      <c r="V804" s="80"/>
      <c r="W804" s="80"/>
      <c r="X804" s="80"/>
      <c r="Y804" s="81"/>
      <c r="Z804" s="80"/>
      <c r="AA804" s="80"/>
      <c r="AB804" s="80"/>
      <c r="AC804" s="80"/>
      <c r="AD804" s="81"/>
      <c r="AE804" s="80"/>
      <c r="AF804" s="80"/>
      <c r="AG804" s="81"/>
      <c r="AH804" s="79"/>
      <c r="AI804" s="78" t="str">
        <f aca="false">IF(E804="","",(V804&lt;&gt;"")+(AA804&lt;&gt;"")+(AF804&lt;&gt;""))</f>
        <v/>
      </c>
      <c r="AJ804" s="82" t="str">
        <f aca="false">IF(AF804&lt;&gt;"",AF804,IF(AA804&lt;&gt;"",AA804,IF(V804&lt;&gt;"",V804,"")))</f>
        <v/>
      </c>
      <c r="AK804" s="83" t="str">
        <f aca="false">IF(E804="","",IF(P804="","À SOUDER",IF(S804="","VT EN ATTENTE",IF(S804="R","VT REJETÉ – À REPRENDRE",IF(AJ804="","À RADIOGRAPHIER",IF(AJ804="A","ACCEPTÉ",IF(AJ804="NX","NX – RT À REFAIRE",IF(IF(AI804=1,X804,IF(AI804=2,AC804,""))="A","RÉPARÉ – À RADIOGRAPHIER",IF(IF(AI804=1,X804,IF(AI804=2,AC804,""))="R","VT REJETÉ – À REPRENDRE",IF(AJ804="CO","COUPE – À RESOUDER","À RÉPARER"))))))))))</f>
        <v/>
      </c>
      <c r="AL804" s="82" t="str">
        <f aca="false">IF(AND(ISNUMBER(P804),OR(AK804="À RADIOGRAPHIER",AK804="RÉPARÉ – À RADIOGRAPHIER",AK804="NX – RT À REFAIRE",AK804="À RÉPARER",AK804="COUPE – À RESOUDER",AK804="VT REJETÉ – À REPRENDRE")),MAX(0,'PROGRAMME RT'!$C$4-P804),"")</f>
        <v/>
      </c>
      <c r="AM804" s="78" t="n">
        <f aca="false">IF(AND(OR(AK804="À RADIOGRAPHIER",AK804="RÉPARÉ – À RADIOGRAPHIER",AK804="NX – RT À REFAIRE"),OR('PROGRAMME RT'!$D$5="TOUTES",B804='PROGRAMME RT'!$D$5)),1,0)</f>
        <v>0</v>
      </c>
      <c r="AN804" s="78" t="str">
        <f aca="false">IF(AM804=1,SUM(AM$7:AM804),"")</f>
        <v/>
      </c>
      <c r="AO804" s="78" t="n">
        <f aca="false">IF(AND(OR(AK804="À RÉPARER",AK804="COUPE – À RESOUDER",AK804="VT REJETÉ – À REPRENDRE"),OR(RÉPARATIONS!$D$5="TOUTES",B804=RÉPARATIONS!$D$5)),1,0)</f>
        <v>0</v>
      </c>
      <c r="AP804" s="78" t="str">
        <f aca="false">IF(AO804=1,SUM(AO$7:AO804),"")</f>
        <v/>
      </c>
    </row>
    <row r="805" customFormat="false" ht="15" hidden="false" customHeight="false" outlineLevel="0" collapsed="false">
      <c r="A805" s="78" t="str">
        <f aca="false">IF(E805="","",ROW()-6)</f>
        <v/>
      </c>
      <c r="B805" s="79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1"/>
      <c r="Q805" s="81"/>
      <c r="R805" s="80"/>
      <c r="S805" s="80"/>
      <c r="T805" s="81"/>
      <c r="U805" s="80"/>
      <c r="V805" s="80"/>
      <c r="W805" s="80"/>
      <c r="X805" s="80"/>
      <c r="Y805" s="81"/>
      <c r="Z805" s="80"/>
      <c r="AA805" s="80"/>
      <c r="AB805" s="80"/>
      <c r="AC805" s="80"/>
      <c r="AD805" s="81"/>
      <c r="AE805" s="80"/>
      <c r="AF805" s="80"/>
      <c r="AG805" s="81"/>
      <c r="AH805" s="79"/>
      <c r="AI805" s="78" t="str">
        <f aca="false">IF(E805="","",(V805&lt;&gt;"")+(AA805&lt;&gt;"")+(AF805&lt;&gt;""))</f>
        <v/>
      </c>
      <c r="AJ805" s="82" t="str">
        <f aca="false">IF(AF805&lt;&gt;"",AF805,IF(AA805&lt;&gt;"",AA805,IF(V805&lt;&gt;"",V805,"")))</f>
        <v/>
      </c>
      <c r="AK805" s="83" t="str">
        <f aca="false">IF(E805="","",IF(P805="","À SOUDER",IF(S805="","VT EN ATTENTE",IF(S805="R","VT REJETÉ – À REPRENDRE",IF(AJ805="","À RADIOGRAPHIER",IF(AJ805="A","ACCEPTÉ",IF(AJ805="NX","NX – RT À REFAIRE",IF(IF(AI805=1,X805,IF(AI805=2,AC805,""))="A","RÉPARÉ – À RADIOGRAPHIER",IF(IF(AI805=1,X805,IF(AI805=2,AC805,""))="R","VT REJETÉ – À REPRENDRE",IF(AJ805="CO","COUPE – À RESOUDER","À RÉPARER"))))))))))</f>
        <v/>
      </c>
      <c r="AL805" s="82" t="str">
        <f aca="false">IF(AND(ISNUMBER(P805),OR(AK805="À RADIOGRAPHIER",AK805="RÉPARÉ – À RADIOGRAPHIER",AK805="NX – RT À REFAIRE",AK805="À RÉPARER",AK805="COUPE – À RESOUDER",AK805="VT REJETÉ – À REPRENDRE")),MAX(0,'PROGRAMME RT'!$C$4-P805),"")</f>
        <v/>
      </c>
      <c r="AM805" s="78" t="n">
        <f aca="false">IF(AND(OR(AK805="À RADIOGRAPHIER",AK805="RÉPARÉ – À RADIOGRAPHIER",AK805="NX – RT À REFAIRE"),OR('PROGRAMME RT'!$D$5="TOUTES",B805='PROGRAMME RT'!$D$5)),1,0)</f>
        <v>0</v>
      </c>
      <c r="AN805" s="78" t="str">
        <f aca="false">IF(AM805=1,SUM(AM$7:AM805),"")</f>
        <v/>
      </c>
      <c r="AO805" s="78" t="n">
        <f aca="false">IF(AND(OR(AK805="À RÉPARER",AK805="COUPE – À RESOUDER",AK805="VT REJETÉ – À REPRENDRE"),OR(RÉPARATIONS!$D$5="TOUTES",B805=RÉPARATIONS!$D$5)),1,0)</f>
        <v>0</v>
      </c>
      <c r="AP805" s="78" t="str">
        <f aca="false">IF(AO805=1,SUM(AO$7:AO805),"")</f>
        <v/>
      </c>
    </row>
    <row r="806" customFormat="false" ht="15" hidden="false" customHeight="false" outlineLevel="0" collapsed="false">
      <c r="A806" s="78" t="str">
        <f aca="false">IF(E806="","",ROW()-6)</f>
        <v/>
      </c>
      <c r="B806" s="79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1"/>
      <c r="Q806" s="81"/>
      <c r="R806" s="80"/>
      <c r="S806" s="80"/>
      <c r="T806" s="81"/>
      <c r="U806" s="80"/>
      <c r="V806" s="80"/>
      <c r="W806" s="80"/>
      <c r="X806" s="80"/>
      <c r="Y806" s="81"/>
      <c r="Z806" s="80"/>
      <c r="AA806" s="80"/>
      <c r="AB806" s="80"/>
      <c r="AC806" s="80"/>
      <c r="AD806" s="81"/>
      <c r="AE806" s="80"/>
      <c r="AF806" s="80"/>
      <c r="AG806" s="81"/>
      <c r="AH806" s="79"/>
      <c r="AI806" s="78" t="str">
        <f aca="false">IF(E806="","",(V806&lt;&gt;"")+(AA806&lt;&gt;"")+(AF806&lt;&gt;""))</f>
        <v/>
      </c>
      <c r="AJ806" s="82" t="str">
        <f aca="false">IF(AF806&lt;&gt;"",AF806,IF(AA806&lt;&gt;"",AA806,IF(V806&lt;&gt;"",V806,"")))</f>
        <v/>
      </c>
      <c r="AK806" s="83" t="str">
        <f aca="false">IF(E806="","",IF(P806="","À SOUDER",IF(S806="","VT EN ATTENTE",IF(S806="R","VT REJETÉ – À REPRENDRE",IF(AJ806="","À RADIOGRAPHIER",IF(AJ806="A","ACCEPTÉ",IF(AJ806="NX","NX – RT À REFAIRE",IF(IF(AI806=1,X806,IF(AI806=2,AC806,""))="A","RÉPARÉ – À RADIOGRAPHIER",IF(IF(AI806=1,X806,IF(AI806=2,AC806,""))="R","VT REJETÉ – À REPRENDRE",IF(AJ806="CO","COUPE – À RESOUDER","À RÉPARER"))))))))))</f>
        <v/>
      </c>
      <c r="AL806" s="82" t="str">
        <f aca="false">IF(AND(ISNUMBER(P806),OR(AK806="À RADIOGRAPHIER",AK806="RÉPARÉ – À RADIOGRAPHIER",AK806="NX – RT À REFAIRE",AK806="À RÉPARER",AK806="COUPE – À RESOUDER",AK806="VT REJETÉ – À REPRENDRE")),MAX(0,'PROGRAMME RT'!$C$4-P806),"")</f>
        <v/>
      </c>
      <c r="AM806" s="78" t="n">
        <f aca="false">IF(AND(OR(AK806="À RADIOGRAPHIER",AK806="RÉPARÉ – À RADIOGRAPHIER",AK806="NX – RT À REFAIRE"),OR('PROGRAMME RT'!$D$5="TOUTES",B806='PROGRAMME RT'!$D$5)),1,0)</f>
        <v>0</v>
      </c>
      <c r="AN806" s="78" t="str">
        <f aca="false">IF(AM806=1,SUM(AM$7:AM806),"")</f>
        <v/>
      </c>
      <c r="AO806" s="78" t="n">
        <f aca="false">IF(AND(OR(AK806="À RÉPARER",AK806="COUPE – À RESOUDER",AK806="VT REJETÉ – À REPRENDRE"),OR(RÉPARATIONS!$D$5="TOUTES",B806=RÉPARATIONS!$D$5)),1,0)</f>
        <v>0</v>
      </c>
      <c r="AP806" s="78" t="str">
        <f aca="false">IF(AO806=1,SUM(AO$7:AO806),"")</f>
        <v/>
      </c>
    </row>
    <row r="807" customFormat="false" ht="15" hidden="false" customHeight="false" outlineLevel="0" collapsed="false">
      <c r="A807" s="78" t="str">
        <f aca="false">IF(E807="","",ROW()-6)</f>
        <v/>
      </c>
      <c r="B807" s="79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1"/>
      <c r="Q807" s="81"/>
      <c r="R807" s="80"/>
      <c r="S807" s="80"/>
      <c r="T807" s="81"/>
      <c r="U807" s="80"/>
      <c r="V807" s="80"/>
      <c r="W807" s="80"/>
      <c r="X807" s="80"/>
      <c r="Y807" s="81"/>
      <c r="Z807" s="80"/>
      <c r="AA807" s="80"/>
      <c r="AB807" s="80"/>
      <c r="AC807" s="80"/>
      <c r="AD807" s="81"/>
      <c r="AE807" s="80"/>
      <c r="AF807" s="80"/>
      <c r="AG807" s="81"/>
      <c r="AH807" s="79"/>
      <c r="AI807" s="78" t="str">
        <f aca="false">IF(E807="","",(V807&lt;&gt;"")+(AA807&lt;&gt;"")+(AF807&lt;&gt;""))</f>
        <v/>
      </c>
      <c r="AJ807" s="82" t="str">
        <f aca="false">IF(AF807&lt;&gt;"",AF807,IF(AA807&lt;&gt;"",AA807,IF(V807&lt;&gt;"",V807,"")))</f>
        <v/>
      </c>
      <c r="AK807" s="83" t="str">
        <f aca="false">IF(E807="","",IF(P807="","À SOUDER",IF(S807="","VT EN ATTENTE",IF(S807="R","VT REJETÉ – À REPRENDRE",IF(AJ807="","À RADIOGRAPHIER",IF(AJ807="A","ACCEPTÉ",IF(AJ807="NX","NX – RT À REFAIRE",IF(IF(AI807=1,X807,IF(AI807=2,AC807,""))="A","RÉPARÉ – À RADIOGRAPHIER",IF(IF(AI807=1,X807,IF(AI807=2,AC807,""))="R","VT REJETÉ – À REPRENDRE",IF(AJ807="CO","COUPE – À RESOUDER","À RÉPARER"))))))))))</f>
        <v/>
      </c>
      <c r="AL807" s="82" t="str">
        <f aca="false">IF(AND(ISNUMBER(P807),OR(AK807="À RADIOGRAPHIER",AK807="RÉPARÉ – À RADIOGRAPHIER",AK807="NX – RT À REFAIRE",AK807="À RÉPARER",AK807="COUPE – À RESOUDER",AK807="VT REJETÉ – À REPRENDRE")),MAX(0,'PROGRAMME RT'!$C$4-P807),"")</f>
        <v/>
      </c>
      <c r="AM807" s="78" t="n">
        <f aca="false">IF(AND(OR(AK807="À RADIOGRAPHIER",AK807="RÉPARÉ – À RADIOGRAPHIER",AK807="NX – RT À REFAIRE"),OR('PROGRAMME RT'!$D$5="TOUTES",B807='PROGRAMME RT'!$D$5)),1,0)</f>
        <v>0</v>
      </c>
      <c r="AN807" s="78" t="str">
        <f aca="false">IF(AM807=1,SUM(AM$7:AM807),"")</f>
        <v/>
      </c>
      <c r="AO807" s="78" t="n">
        <f aca="false">IF(AND(OR(AK807="À RÉPARER",AK807="COUPE – À RESOUDER",AK807="VT REJETÉ – À REPRENDRE"),OR(RÉPARATIONS!$D$5="TOUTES",B807=RÉPARATIONS!$D$5)),1,0)</f>
        <v>0</v>
      </c>
      <c r="AP807" s="78" t="str">
        <f aca="false">IF(AO807=1,SUM(AO$7:AO807),"")</f>
        <v/>
      </c>
    </row>
    <row r="808" customFormat="false" ht="15" hidden="false" customHeight="false" outlineLevel="0" collapsed="false">
      <c r="A808" s="78" t="str">
        <f aca="false">IF(E808="","",ROW()-6)</f>
        <v/>
      </c>
      <c r="B808" s="79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1"/>
      <c r="Q808" s="81"/>
      <c r="R808" s="80"/>
      <c r="S808" s="80"/>
      <c r="T808" s="81"/>
      <c r="U808" s="80"/>
      <c r="V808" s="80"/>
      <c r="W808" s="80"/>
      <c r="X808" s="80"/>
      <c r="Y808" s="81"/>
      <c r="Z808" s="80"/>
      <c r="AA808" s="80"/>
      <c r="AB808" s="80"/>
      <c r="AC808" s="80"/>
      <c r="AD808" s="81"/>
      <c r="AE808" s="80"/>
      <c r="AF808" s="80"/>
      <c r="AG808" s="81"/>
      <c r="AH808" s="79"/>
      <c r="AI808" s="78" t="str">
        <f aca="false">IF(E808="","",(V808&lt;&gt;"")+(AA808&lt;&gt;"")+(AF808&lt;&gt;""))</f>
        <v/>
      </c>
      <c r="AJ808" s="82" t="str">
        <f aca="false">IF(AF808&lt;&gt;"",AF808,IF(AA808&lt;&gt;"",AA808,IF(V808&lt;&gt;"",V808,"")))</f>
        <v/>
      </c>
      <c r="AK808" s="83" t="str">
        <f aca="false">IF(E808="","",IF(P808="","À SOUDER",IF(S808="","VT EN ATTENTE",IF(S808="R","VT REJETÉ – À REPRENDRE",IF(AJ808="","À RADIOGRAPHIER",IF(AJ808="A","ACCEPTÉ",IF(AJ808="NX","NX – RT À REFAIRE",IF(IF(AI808=1,X808,IF(AI808=2,AC808,""))="A","RÉPARÉ – À RADIOGRAPHIER",IF(IF(AI808=1,X808,IF(AI808=2,AC808,""))="R","VT REJETÉ – À REPRENDRE",IF(AJ808="CO","COUPE – À RESOUDER","À RÉPARER"))))))))))</f>
        <v/>
      </c>
      <c r="AL808" s="82" t="str">
        <f aca="false">IF(AND(ISNUMBER(P808),OR(AK808="À RADIOGRAPHIER",AK808="RÉPARÉ – À RADIOGRAPHIER",AK808="NX – RT À REFAIRE",AK808="À RÉPARER",AK808="COUPE – À RESOUDER",AK808="VT REJETÉ – À REPRENDRE")),MAX(0,'PROGRAMME RT'!$C$4-P808),"")</f>
        <v/>
      </c>
      <c r="AM808" s="78" t="n">
        <f aca="false">IF(AND(OR(AK808="À RADIOGRAPHIER",AK808="RÉPARÉ – À RADIOGRAPHIER",AK808="NX – RT À REFAIRE"),OR('PROGRAMME RT'!$D$5="TOUTES",B808='PROGRAMME RT'!$D$5)),1,0)</f>
        <v>0</v>
      </c>
      <c r="AN808" s="78" t="str">
        <f aca="false">IF(AM808=1,SUM(AM$7:AM808),"")</f>
        <v/>
      </c>
      <c r="AO808" s="78" t="n">
        <f aca="false">IF(AND(OR(AK808="À RÉPARER",AK808="COUPE – À RESOUDER",AK808="VT REJETÉ – À REPRENDRE"),OR(RÉPARATIONS!$D$5="TOUTES",B808=RÉPARATIONS!$D$5)),1,0)</f>
        <v>0</v>
      </c>
      <c r="AP808" s="78" t="str">
        <f aca="false">IF(AO808=1,SUM(AO$7:AO808),"")</f>
        <v/>
      </c>
    </row>
    <row r="809" customFormat="false" ht="15" hidden="false" customHeight="false" outlineLevel="0" collapsed="false">
      <c r="A809" s="78" t="str">
        <f aca="false">IF(E809="","",ROW()-6)</f>
        <v/>
      </c>
      <c r="B809" s="79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1"/>
      <c r="Q809" s="81"/>
      <c r="R809" s="80"/>
      <c r="S809" s="80"/>
      <c r="T809" s="81"/>
      <c r="U809" s="80"/>
      <c r="V809" s="80"/>
      <c r="W809" s="80"/>
      <c r="X809" s="80"/>
      <c r="Y809" s="81"/>
      <c r="Z809" s="80"/>
      <c r="AA809" s="80"/>
      <c r="AB809" s="80"/>
      <c r="AC809" s="80"/>
      <c r="AD809" s="81"/>
      <c r="AE809" s="80"/>
      <c r="AF809" s="80"/>
      <c r="AG809" s="81"/>
      <c r="AH809" s="79"/>
      <c r="AI809" s="78" t="str">
        <f aca="false">IF(E809="","",(V809&lt;&gt;"")+(AA809&lt;&gt;"")+(AF809&lt;&gt;""))</f>
        <v/>
      </c>
      <c r="AJ809" s="82" t="str">
        <f aca="false">IF(AF809&lt;&gt;"",AF809,IF(AA809&lt;&gt;"",AA809,IF(V809&lt;&gt;"",V809,"")))</f>
        <v/>
      </c>
      <c r="AK809" s="83" t="str">
        <f aca="false">IF(E809="","",IF(P809="","À SOUDER",IF(S809="","VT EN ATTENTE",IF(S809="R","VT REJETÉ – À REPRENDRE",IF(AJ809="","À RADIOGRAPHIER",IF(AJ809="A","ACCEPTÉ",IF(AJ809="NX","NX – RT À REFAIRE",IF(IF(AI809=1,X809,IF(AI809=2,AC809,""))="A","RÉPARÉ – À RADIOGRAPHIER",IF(IF(AI809=1,X809,IF(AI809=2,AC809,""))="R","VT REJETÉ – À REPRENDRE",IF(AJ809="CO","COUPE – À RESOUDER","À RÉPARER"))))))))))</f>
        <v/>
      </c>
      <c r="AL809" s="82" t="str">
        <f aca="false">IF(AND(ISNUMBER(P809),OR(AK809="À RADIOGRAPHIER",AK809="RÉPARÉ – À RADIOGRAPHIER",AK809="NX – RT À REFAIRE",AK809="À RÉPARER",AK809="COUPE – À RESOUDER",AK809="VT REJETÉ – À REPRENDRE")),MAX(0,'PROGRAMME RT'!$C$4-P809),"")</f>
        <v/>
      </c>
      <c r="AM809" s="78" t="n">
        <f aca="false">IF(AND(OR(AK809="À RADIOGRAPHIER",AK809="RÉPARÉ – À RADIOGRAPHIER",AK809="NX – RT À REFAIRE"),OR('PROGRAMME RT'!$D$5="TOUTES",B809='PROGRAMME RT'!$D$5)),1,0)</f>
        <v>0</v>
      </c>
      <c r="AN809" s="78" t="str">
        <f aca="false">IF(AM809=1,SUM(AM$7:AM809),"")</f>
        <v/>
      </c>
      <c r="AO809" s="78" t="n">
        <f aca="false">IF(AND(OR(AK809="À RÉPARER",AK809="COUPE – À RESOUDER",AK809="VT REJETÉ – À REPRENDRE"),OR(RÉPARATIONS!$D$5="TOUTES",B809=RÉPARATIONS!$D$5)),1,0)</f>
        <v>0</v>
      </c>
      <c r="AP809" s="78" t="str">
        <f aca="false">IF(AO809=1,SUM(AO$7:AO809),"")</f>
        <v/>
      </c>
    </row>
    <row r="810" customFormat="false" ht="15" hidden="false" customHeight="false" outlineLevel="0" collapsed="false">
      <c r="A810" s="78" t="str">
        <f aca="false">IF(E810="","",ROW()-6)</f>
        <v/>
      </c>
      <c r="B810" s="79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1"/>
      <c r="Q810" s="81"/>
      <c r="R810" s="80"/>
      <c r="S810" s="80"/>
      <c r="T810" s="81"/>
      <c r="U810" s="80"/>
      <c r="V810" s="80"/>
      <c r="W810" s="80"/>
      <c r="X810" s="80"/>
      <c r="Y810" s="81"/>
      <c r="Z810" s="80"/>
      <c r="AA810" s="80"/>
      <c r="AB810" s="80"/>
      <c r="AC810" s="80"/>
      <c r="AD810" s="81"/>
      <c r="AE810" s="80"/>
      <c r="AF810" s="80"/>
      <c r="AG810" s="81"/>
      <c r="AH810" s="79"/>
      <c r="AI810" s="78" t="str">
        <f aca="false">IF(E810="","",(V810&lt;&gt;"")+(AA810&lt;&gt;"")+(AF810&lt;&gt;""))</f>
        <v/>
      </c>
      <c r="AJ810" s="82" t="str">
        <f aca="false">IF(AF810&lt;&gt;"",AF810,IF(AA810&lt;&gt;"",AA810,IF(V810&lt;&gt;"",V810,"")))</f>
        <v/>
      </c>
      <c r="AK810" s="83" t="str">
        <f aca="false">IF(E810="","",IF(P810="","À SOUDER",IF(S810="","VT EN ATTENTE",IF(S810="R","VT REJETÉ – À REPRENDRE",IF(AJ810="","À RADIOGRAPHIER",IF(AJ810="A","ACCEPTÉ",IF(AJ810="NX","NX – RT À REFAIRE",IF(IF(AI810=1,X810,IF(AI810=2,AC810,""))="A","RÉPARÉ – À RADIOGRAPHIER",IF(IF(AI810=1,X810,IF(AI810=2,AC810,""))="R","VT REJETÉ – À REPRENDRE",IF(AJ810="CO","COUPE – À RESOUDER","À RÉPARER"))))))))))</f>
        <v/>
      </c>
      <c r="AL810" s="82" t="str">
        <f aca="false">IF(AND(ISNUMBER(P810),OR(AK810="À RADIOGRAPHIER",AK810="RÉPARÉ – À RADIOGRAPHIER",AK810="NX – RT À REFAIRE",AK810="À RÉPARER",AK810="COUPE – À RESOUDER",AK810="VT REJETÉ – À REPRENDRE")),MAX(0,'PROGRAMME RT'!$C$4-P810),"")</f>
        <v/>
      </c>
      <c r="AM810" s="78" t="n">
        <f aca="false">IF(AND(OR(AK810="À RADIOGRAPHIER",AK810="RÉPARÉ – À RADIOGRAPHIER",AK810="NX – RT À REFAIRE"),OR('PROGRAMME RT'!$D$5="TOUTES",B810='PROGRAMME RT'!$D$5)),1,0)</f>
        <v>0</v>
      </c>
      <c r="AN810" s="78" t="str">
        <f aca="false">IF(AM810=1,SUM(AM$7:AM810),"")</f>
        <v/>
      </c>
      <c r="AO810" s="78" t="n">
        <f aca="false">IF(AND(OR(AK810="À RÉPARER",AK810="COUPE – À RESOUDER",AK810="VT REJETÉ – À REPRENDRE"),OR(RÉPARATIONS!$D$5="TOUTES",B810=RÉPARATIONS!$D$5)),1,0)</f>
        <v>0</v>
      </c>
      <c r="AP810" s="78" t="str">
        <f aca="false">IF(AO810=1,SUM(AO$7:AO810),"")</f>
        <v/>
      </c>
    </row>
    <row r="811" customFormat="false" ht="15" hidden="false" customHeight="false" outlineLevel="0" collapsed="false">
      <c r="A811" s="78" t="str">
        <f aca="false">IF(E811="","",ROW()-6)</f>
        <v/>
      </c>
      <c r="B811" s="79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1"/>
      <c r="Q811" s="81"/>
      <c r="R811" s="80"/>
      <c r="S811" s="80"/>
      <c r="T811" s="81"/>
      <c r="U811" s="80"/>
      <c r="V811" s="80"/>
      <c r="W811" s="80"/>
      <c r="X811" s="80"/>
      <c r="Y811" s="81"/>
      <c r="Z811" s="80"/>
      <c r="AA811" s="80"/>
      <c r="AB811" s="80"/>
      <c r="AC811" s="80"/>
      <c r="AD811" s="81"/>
      <c r="AE811" s="80"/>
      <c r="AF811" s="80"/>
      <c r="AG811" s="81"/>
      <c r="AH811" s="79"/>
      <c r="AI811" s="78" t="str">
        <f aca="false">IF(E811="","",(V811&lt;&gt;"")+(AA811&lt;&gt;"")+(AF811&lt;&gt;""))</f>
        <v/>
      </c>
      <c r="AJ811" s="82" t="str">
        <f aca="false">IF(AF811&lt;&gt;"",AF811,IF(AA811&lt;&gt;"",AA811,IF(V811&lt;&gt;"",V811,"")))</f>
        <v/>
      </c>
      <c r="AK811" s="83" t="str">
        <f aca="false">IF(E811="","",IF(P811="","À SOUDER",IF(S811="","VT EN ATTENTE",IF(S811="R","VT REJETÉ – À REPRENDRE",IF(AJ811="","À RADIOGRAPHIER",IF(AJ811="A","ACCEPTÉ",IF(AJ811="NX","NX – RT À REFAIRE",IF(IF(AI811=1,X811,IF(AI811=2,AC811,""))="A","RÉPARÉ – À RADIOGRAPHIER",IF(IF(AI811=1,X811,IF(AI811=2,AC811,""))="R","VT REJETÉ – À REPRENDRE",IF(AJ811="CO","COUPE – À RESOUDER","À RÉPARER"))))))))))</f>
        <v/>
      </c>
      <c r="AL811" s="82" t="str">
        <f aca="false">IF(AND(ISNUMBER(P811),OR(AK811="À RADIOGRAPHIER",AK811="RÉPARÉ – À RADIOGRAPHIER",AK811="NX – RT À REFAIRE",AK811="À RÉPARER",AK811="COUPE – À RESOUDER",AK811="VT REJETÉ – À REPRENDRE")),MAX(0,'PROGRAMME RT'!$C$4-P811),"")</f>
        <v/>
      </c>
      <c r="AM811" s="78" t="n">
        <f aca="false">IF(AND(OR(AK811="À RADIOGRAPHIER",AK811="RÉPARÉ – À RADIOGRAPHIER",AK811="NX – RT À REFAIRE"),OR('PROGRAMME RT'!$D$5="TOUTES",B811='PROGRAMME RT'!$D$5)),1,0)</f>
        <v>0</v>
      </c>
      <c r="AN811" s="78" t="str">
        <f aca="false">IF(AM811=1,SUM(AM$7:AM811),"")</f>
        <v/>
      </c>
      <c r="AO811" s="78" t="n">
        <f aca="false">IF(AND(OR(AK811="À RÉPARER",AK811="COUPE – À RESOUDER",AK811="VT REJETÉ – À REPRENDRE"),OR(RÉPARATIONS!$D$5="TOUTES",B811=RÉPARATIONS!$D$5)),1,0)</f>
        <v>0</v>
      </c>
      <c r="AP811" s="78" t="str">
        <f aca="false">IF(AO811=1,SUM(AO$7:AO811),"")</f>
        <v/>
      </c>
    </row>
    <row r="812" customFormat="false" ht="15" hidden="false" customHeight="false" outlineLevel="0" collapsed="false">
      <c r="A812" s="78" t="str">
        <f aca="false">IF(E812="","",ROW()-6)</f>
        <v/>
      </c>
      <c r="B812" s="79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1"/>
      <c r="Q812" s="81"/>
      <c r="R812" s="80"/>
      <c r="S812" s="80"/>
      <c r="T812" s="81"/>
      <c r="U812" s="80"/>
      <c r="V812" s="80"/>
      <c r="W812" s="80"/>
      <c r="X812" s="80"/>
      <c r="Y812" s="81"/>
      <c r="Z812" s="80"/>
      <c r="AA812" s="80"/>
      <c r="AB812" s="80"/>
      <c r="AC812" s="80"/>
      <c r="AD812" s="81"/>
      <c r="AE812" s="80"/>
      <c r="AF812" s="80"/>
      <c r="AG812" s="81"/>
      <c r="AH812" s="79"/>
      <c r="AI812" s="78" t="str">
        <f aca="false">IF(E812="","",(V812&lt;&gt;"")+(AA812&lt;&gt;"")+(AF812&lt;&gt;""))</f>
        <v/>
      </c>
      <c r="AJ812" s="82" t="str">
        <f aca="false">IF(AF812&lt;&gt;"",AF812,IF(AA812&lt;&gt;"",AA812,IF(V812&lt;&gt;"",V812,"")))</f>
        <v/>
      </c>
      <c r="AK812" s="83" t="str">
        <f aca="false">IF(E812="","",IF(P812="","À SOUDER",IF(S812="","VT EN ATTENTE",IF(S812="R","VT REJETÉ – À REPRENDRE",IF(AJ812="","À RADIOGRAPHIER",IF(AJ812="A","ACCEPTÉ",IF(AJ812="NX","NX – RT À REFAIRE",IF(IF(AI812=1,X812,IF(AI812=2,AC812,""))="A","RÉPARÉ – À RADIOGRAPHIER",IF(IF(AI812=1,X812,IF(AI812=2,AC812,""))="R","VT REJETÉ – À REPRENDRE",IF(AJ812="CO","COUPE – À RESOUDER","À RÉPARER"))))))))))</f>
        <v/>
      </c>
      <c r="AL812" s="82" t="str">
        <f aca="false">IF(AND(ISNUMBER(P812),OR(AK812="À RADIOGRAPHIER",AK812="RÉPARÉ – À RADIOGRAPHIER",AK812="NX – RT À REFAIRE",AK812="À RÉPARER",AK812="COUPE – À RESOUDER",AK812="VT REJETÉ – À REPRENDRE")),MAX(0,'PROGRAMME RT'!$C$4-P812),"")</f>
        <v/>
      </c>
      <c r="AM812" s="78" t="n">
        <f aca="false">IF(AND(OR(AK812="À RADIOGRAPHIER",AK812="RÉPARÉ – À RADIOGRAPHIER",AK812="NX – RT À REFAIRE"),OR('PROGRAMME RT'!$D$5="TOUTES",B812='PROGRAMME RT'!$D$5)),1,0)</f>
        <v>0</v>
      </c>
      <c r="AN812" s="78" t="str">
        <f aca="false">IF(AM812=1,SUM(AM$7:AM812),"")</f>
        <v/>
      </c>
      <c r="AO812" s="78" t="n">
        <f aca="false">IF(AND(OR(AK812="À RÉPARER",AK812="COUPE – À RESOUDER",AK812="VT REJETÉ – À REPRENDRE"),OR(RÉPARATIONS!$D$5="TOUTES",B812=RÉPARATIONS!$D$5)),1,0)</f>
        <v>0</v>
      </c>
      <c r="AP812" s="78" t="str">
        <f aca="false">IF(AO812=1,SUM(AO$7:AO812),"")</f>
        <v/>
      </c>
    </row>
    <row r="813" customFormat="false" ht="15" hidden="false" customHeight="false" outlineLevel="0" collapsed="false">
      <c r="A813" s="78" t="str">
        <f aca="false">IF(E813="","",ROW()-6)</f>
        <v/>
      </c>
      <c r="B813" s="79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1"/>
      <c r="Q813" s="81"/>
      <c r="R813" s="80"/>
      <c r="S813" s="80"/>
      <c r="T813" s="81"/>
      <c r="U813" s="80"/>
      <c r="V813" s="80"/>
      <c r="W813" s="80"/>
      <c r="X813" s="80"/>
      <c r="Y813" s="81"/>
      <c r="Z813" s="80"/>
      <c r="AA813" s="80"/>
      <c r="AB813" s="80"/>
      <c r="AC813" s="80"/>
      <c r="AD813" s="81"/>
      <c r="AE813" s="80"/>
      <c r="AF813" s="80"/>
      <c r="AG813" s="81"/>
      <c r="AH813" s="79"/>
      <c r="AI813" s="78" t="str">
        <f aca="false">IF(E813="","",(V813&lt;&gt;"")+(AA813&lt;&gt;"")+(AF813&lt;&gt;""))</f>
        <v/>
      </c>
      <c r="AJ813" s="82" t="str">
        <f aca="false">IF(AF813&lt;&gt;"",AF813,IF(AA813&lt;&gt;"",AA813,IF(V813&lt;&gt;"",V813,"")))</f>
        <v/>
      </c>
      <c r="AK813" s="83" t="str">
        <f aca="false">IF(E813="","",IF(P813="","À SOUDER",IF(S813="","VT EN ATTENTE",IF(S813="R","VT REJETÉ – À REPRENDRE",IF(AJ813="","À RADIOGRAPHIER",IF(AJ813="A","ACCEPTÉ",IF(AJ813="NX","NX – RT À REFAIRE",IF(IF(AI813=1,X813,IF(AI813=2,AC813,""))="A","RÉPARÉ – À RADIOGRAPHIER",IF(IF(AI813=1,X813,IF(AI813=2,AC813,""))="R","VT REJETÉ – À REPRENDRE",IF(AJ813="CO","COUPE – À RESOUDER","À RÉPARER"))))))))))</f>
        <v/>
      </c>
      <c r="AL813" s="82" t="str">
        <f aca="false">IF(AND(ISNUMBER(P813),OR(AK813="À RADIOGRAPHIER",AK813="RÉPARÉ – À RADIOGRAPHIER",AK813="NX – RT À REFAIRE",AK813="À RÉPARER",AK813="COUPE – À RESOUDER",AK813="VT REJETÉ – À REPRENDRE")),MAX(0,'PROGRAMME RT'!$C$4-P813),"")</f>
        <v/>
      </c>
      <c r="AM813" s="78" t="n">
        <f aca="false">IF(AND(OR(AK813="À RADIOGRAPHIER",AK813="RÉPARÉ – À RADIOGRAPHIER",AK813="NX – RT À REFAIRE"),OR('PROGRAMME RT'!$D$5="TOUTES",B813='PROGRAMME RT'!$D$5)),1,0)</f>
        <v>0</v>
      </c>
      <c r="AN813" s="78" t="str">
        <f aca="false">IF(AM813=1,SUM(AM$7:AM813),"")</f>
        <v/>
      </c>
      <c r="AO813" s="78" t="n">
        <f aca="false">IF(AND(OR(AK813="À RÉPARER",AK813="COUPE – À RESOUDER",AK813="VT REJETÉ – À REPRENDRE"),OR(RÉPARATIONS!$D$5="TOUTES",B813=RÉPARATIONS!$D$5)),1,0)</f>
        <v>0</v>
      </c>
      <c r="AP813" s="78" t="str">
        <f aca="false">IF(AO813=1,SUM(AO$7:AO813),"")</f>
        <v/>
      </c>
    </row>
    <row r="814" customFormat="false" ht="15" hidden="false" customHeight="false" outlineLevel="0" collapsed="false">
      <c r="A814" s="78" t="str">
        <f aca="false">IF(E814="","",ROW()-6)</f>
        <v/>
      </c>
      <c r="B814" s="79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1"/>
      <c r="Q814" s="81"/>
      <c r="R814" s="80"/>
      <c r="S814" s="80"/>
      <c r="T814" s="81"/>
      <c r="U814" s="80"/>
      <c r="V814" s="80"/>
      <c r="W814" s="80"/>
      <c r="X814" s="80"/>
      <c r="Y814" s="81"/>
      <c r="Z814" s="80"/>
      <c r="AA814" s="80"/>
      <c r="AB814" s="80"/>
      <c r="AC814" s="80"/>
      <c r="AD814" s="81"/>
      <c r="AE814" s="80"/>
      <c r="AF814" s="80"/>
      <c r="AG814" s="81"/>
      <c r="AH814" s="79"/>
      <c r="AI814" s="78" t="str">
        <f aca="false">IF(E814="","",(V814&lt;&gt;"")+(AA814&lt;&gt;"")+(AF814&lt;&gt;""))</f>
        <v/>
      </c>
      <c r="AJ814" s="82" t="str">
        <f aca="false">IF(AF814&lt;&gt;"",AF814,IF(AA814&lt;&gt;"",AA814,IF(V814&lt;&gt;"",V814,"")))</f>
        <v/>
      </c>
      <c r="AK814" s="83" t="str">
        <f aca="false">IF(E814="","",IF(P814="","À SOUDER",IF(S814="","VT EN ATTENTE",IF(S814="R","VT REJETÉ – À REPRENDRE",IF(AJ814="","À RADIOGRAPHIER",IF(AJ814="A","ACCEPTÉ",IF(AJ814="NX","NX – RT À REFAIRE",IF(IF(AI814=1,X814,IF(AI814=2,AC814,""))="A","RÉPARÉ – À RADIOGRAPHIER",IF(IF(AI814=1,X814,IF(AI814=2,AC814,""))="R","VT REJETÉ – À REPRENDRE",IF(AJ814="CO","COUPE – À RESOUDER","À RÉPARER"))))))))))</f>
        <v/>
      </c>
      <c r="AL814" s="82" t="str">
        <f aca="false">IF(AND(ISNUMBER(P814),OR(AK814="À RADIOGRAPHIER",AK814="RÉPARÉ – À RADIOGRAPHIER",AK814="NX – RT À REFAIRE",AK814="À RÉPARER",AK814="COUPE – À RESOUDER",AK814="VT REJETÉ – À REPRENDRE")),MAX(0,'PROGRAMME RT'!$C$4-P814),"")</f>
        <v/>
      </c>
      <c r="AM814" s="78" t="n">
        <f aca="false">IF(AND(OR(AK814="À RADIOGRAPHIER",AK814="RÉPARÉ – À RADIOGRAPHIER",AK814="NX – RT À REFAIRE"),OR('PROGRAMME RT'!$D$5="TOUTES",B814='PROGRAMME RT'!$D$5)),1,0)</f>
        <v>0</v>
      </c>
      <c r="AN814" s="78" t="str">
        <f aca="false">IF(AM814=1,SUM(AM$7:AM814),"")</f>
        <v/>
      </c>
      <c r="AO814" s="78" t="n">
        <f aca="false">IF(AND(OR(AK814="À RÉPARER",AK814="COUPE – À RESOUDER",AK814="VT REJETÉ – À REPRENDRE"),OR(RÉPARATIONS!$D$5="TOUTES",B814=RÉPARATIONS!$D$5)),1,0)</f>
        <v>0</v>
      </c>
      <c r="AP814" s="78" t="str">
        <f aca="false">IF(AO814=1,SUM(AO$7:AO814),"")</f>
        <v/>
      </c>
    </row>
    <row r="815" customFormat="false" ht="15" hidden="false" customHeight="false" outlineLevel="0" collapsed="false">
      <c r="A815" s="78" t="str">
        <f aca="false">IF(E815="","",ROW()-6)</f>
        <v/>
      </c>
      <c r="B815" s="79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1"/>
      <c r="Q815" s="81"/>
      <c r="R815" s="80"/>
      <c r="S815" s="80"/>
      <c r="T815" s="81"/>
      <c r="U815" s="80"/>
      <c r="V815" s="80"/>
      <c r="W815" s="80"/>
      <c r="X815" s="80"/>
      <c r="Y815" s="81"/>
      <c r="Z815" s="80"/>
      <c r="AA815" s="80"/>
      <c r="AB815" s="80"/>
      <c r="AC815" s="80"/>
      <c r="AD815" s="81"/>
      <c r="AE815" s="80"/>
      <c r="AF815" s="80"/>
      <c r="AG815" s="81"/>
      <c r="AH815" s="79"/>
      <c r="AI815" s="78" t="str">
        <f aca="false">IF(E815="","",(V815&lt;&gt;"")+(AA815&lt;&gt;"")+(AF815&lt;&gt;""))</f>
        <v/>
      </c>
      <c r="AJ815" s="82" t="str">
        <f aca="false">IF(AF815&lt;&gt;"",AF815,IF(AA815&lt;&gt;"",AA815,IF(V815&lt;&gt;"",V815,"")))</f>
        <v/>
      </c>
      <c r="AK815" s="83" t="str">
        <f aca="false">IF(E815="","",IF(P815="","À SOUDER",IF(S815="","VT EN ATTENTE",IF(S815="R","VT REJETÉ – À REPRENDRE",IF(AJ815="","À RADIOGRAPHIER",IF(AJ815="A","ACCEPTÉ",IF(AJ815="NX","NX – RT À REFAIRE",IF(IF(AI815=1,X815,IF(AI815=2,AC815,""))="A","RÉPARÉ – À RADIOGRAPHIER",IF(IF(AI815=1,X815,IF(AI815=2,AC815,""))="R","VT REJETÉ – À REPRENDRE",IF(AJ815="CO","COUPE – À RESOUDER","À RÉPARER"))))))))))</f>
        <v/>
      </c>
      <c r="AL815" s="82" t="str">
        <f aca="false">IF(AND(ISNUMBER(P815),OR(AK815="À RADIOGRAPHIER",AK815="RÉPARÉ – À RADIOGRAPHIER",AK815="NX – RT À REFAIRE",AK815="À RÉPARER",AK815="COUPE – À RESOUDER",AK815="VT REJETÉ – À REPRENDRE")),MAX(0,'PROGRAMME RT'!$C$4-P815),"")</f>
        <v/>
      </c>
      <c r="AM815" s="78" t="n">
        <f aca="false">IF(AND(OR(AK815="À RADIOGRAPHIER",AK815="RÉPARÉ – À RADIOGRAPHIER",AK815="NX – RT À REFAIRE"),OR('PROGRAMME RT'!$D$5="TOUTES",B815='PROGRAMME RT'!$D$5)),1,0)</f>
        <v>0</v>
      </c>
      <c r="AN815" s="78" t="str">
        <f aca="false">IF(AM815=1,SUM(AM$7:AM815),"")</f>
        <v/>
      </c>
      <c r="AO815" s="78" t="n">
        <f aca="false">IF(AND(OR(AK815="À RÉPARER",AK815="COUPE – À RESOUDER",AK815="VT REJETÉ – À REPRENDRE"),OR(RÉPARATIONS!$D$5="TOUTES",B815=RÉPARATIONS!$D$5)),1,0)</f>
        <v>0</v>
      </c>
      <c r="AP815" s="78" t="str">
        <f aca="false">IF(AO815=1,SUM(AO$7:AO815),"")</f>
        <v/>
      </c>
    </row>
    <row r="816" customFormat="false" ht="15" hidden="false" customHeight="false" outlineLevel="0" collapsed="false">
      <c r="A816" s="78" t="str">
        <f aca="false">IF(E816="","",ROW()-6)</f>
        <v/>
      </c>
      <c r="B816" s="79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1"/>
      <c r="Q816" s="81"/>
      <c r="R816" s="80"/>
      <c r="S816" s="80"/>
      <c r="T816" s="81"/>
      <c r="U816" s="80"/>
      <c r="V816" s="80"/>
      <c r="W816" s="80"/>
      <c r="X816" s="80"/>
      <c r="Y816" s="81"/>
      <c r="Z816" s="80"/>
      <c r="AA816" s="80"/>
      <c r="AB816" s="80"/>
      <c r="AC816" s="80"/>
      <c r="AD816" s="81"/>
      <c r="AE816" s="80"/>
      <c r="AF816" s="80"/>
      <c r="AG816" s="81"/>
      <c r="AH816" s="79"/>
      <c r="AI816" s="78" t="str">
        <f aca="false">IF(E816="","",(V816&lt;&gt;"")+(AA816&lt;&gt;"")+(AF816&lt;&gt;""))</f>
        <v/>
      </c>
      <c r="AJ816" s="82" t="str">
        <f aca="false">IF(AF816&lt;&gt;"",AF816,IF(AA816&lt;&gt;"",AA816,IF(V816&lt;&gt;"",V816,"")))</f>
        <v/>
      </c>
      <c r="AK816" s="83" t="str">
        <f aca="false">IF(E816="","",IF(P816="","À SOUDER",IF(S816="","VT EN ATTENTE",IF(S816="R","VT REJETÉ – À REPRENDRE",IF(AJ816="","À RADIOGRAPHIER",IF(AJ816="A","ACCEPTÉ",IF(AJ816="NX","NX – RT À REFAIRE",IF(IF(AI816=1,X816,IF(AI816=2,AC816,""))="A","RÉPARÉ – À RADIOGRAPHIER",IF(IF(AI816=1,X816,IF(AI816=2,AC816,""))="R","VT REJETÉ – À REPRENDRE",IF(AJ816="CO","COUPE – À RESOUDER","À RÉPARER"))))))))))</f>
        <v/>
      </c>
      <c r="AL816" s="82" t="str">
        <f aca="false">IF(AND(ISNUMBER(P816),OR(AK816="À RADIOGRAPHIER",AK816="RÉPARÉ – À RADIOGRAPHIER",AK816="NX – RT À REFAIRE",AK816="À RÉPARER",AK816="COUPE – À RESOUDER",AK816="VT REJETÉ – À REPRENDRE")),MAX(0,'PROGRAMME RT'!$C$4-P816),"")</f>
        <v/>
      </c>
      <c r="AM816" s="78" t="n">
        <f aca="false">IF(AND(OR(AK816="À RADIOGRAPHIER",AK816="RÉPARÉ – À RADIOGRAPHIER",AK816="NX – RT À REFAIRE"),OR('PROGRAMME RT'!$D$5="TOUTES",B816='PROGRAMME RT'!$D$5)),1,0)</f>
        <v>0</v>
      </c>
      <c r="AN816" s="78" t="str">
        <f aca="false">IF(AM816=1,SUM(AM$7:AM816),"")</f>
        <v/>
      </c>
      <c r="AO816" s="78" t="n">
        <f aca="false">IF(AND(OR(AK816="À RÉPARER",AK816="COUPE – À RESOUDER",AK816="VT REJETÉ – À REPRENDRE"),OR(RÉPARATIONS!$D$5="TOUTES",B816=RÉPARATIONS!$D$5)),1,0)</f>
        <v>0</v>
      </c>
      <c r="AP816" s="78" t="str">
        <f aca="false">IF(AO816=1,SUM(AO$7:AO816),"")</f>
        <v/>
      </c>
    </row>
    <row r="817" customFormat="false" ht="15" hidden="false" customHeight="false" outlineLevel="0" collapsed="false">
      <c r="A817" s="78" t="str">
        <f aca="false">IF(E817="","",ROW()-6)</f>
        <v/>
      </c>
      <c r="B817" s="79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1"/>
      <c r="Q817" s="81"/>
      <c r="R817" s="80"/>
      <c r="S817" s="80"/>
      <c r="T817" s="81"/>
      <c r="U817" s="80"/>
      <c r="V817" s="80"/>
      <c r="W817" s="80"/>
      <c r="X817" s="80"/>
      <c r="Y817" s="81"/>
      <c r="Z817" s="80"/>
      <c r="AA817" s="80"/>
      <c r="AB817" s="80"/>
      <c r="AC817" s="80"/>
      <c r="AD817" s="81"/>
      <c r="AE817" s="80"/>
      <c r="AF817" s="80"/>
      <c r="AG817" s="81"/>
      <c r="AH817" s="79"/>
      <c r="AI817" s="78" t="str">
        <f aca="false">IF(E817="","",(V817&lt;&gt;"")+(AA817&lt;&gt;"")+(AF817&lt;&gt;""))</f>
        <v/>
      </c>
      <c r="AJ817" s="82" t="str">
        <f aca="false">IF(AF817&lt;&gt;"",AF817,IF(AA817&lt;&gt;"",AA817,IF(V817&lt;&gt;"",V817,"")))</f>
        <v/>
      </c>
      <c r="AK817" s="83" t="str">
        <f aca="false">IF(E817="","",IF(P817="","À SOUDER",IF(S817="","VT EN ATTENTE",IF(S817="R","VT REJETÉ – À REPRENDRE",IF(AJ817="","À RADIOGRAPHIER",IF(AJ817="A","ACCEPTÉ",IF(AJ817="NX","NX – RT À REFAIRE",IF(IF(AI817=1,X817,IF(AI817=2,AC817,""))="A","RÉPARÉ – À RADIOGRAPHIER",IF(IF(AI817=1,X817,IF(AI817=2,AC817,""))="R","VT REJETÉ – À REPRENDRE",IF(AJ817="CO","COUPE – À RESOUDER","À RÉPARER"))))))))))</f>
        <v/>
      </c>
      <c r="AL817" s="82" t="str">
        <f aca="false">IF(AND(ISNUMBER(P817),OR(AK817="À RADIOGRAPHIER",AK817="RÉPARÉ – À RADIOGRAPHIER",AK817="NX – RT À REFAIRE",AK817="À RÉPARER",AK817="COUPE – À RESOUDER",AK817="VT REJETÉ – À REPRENDRE")),MAX(0,'PROGRAMME RT'!$C$4-P817),"")</f>
        <v/>
      </c>
      <c r="AM817" s="78" t="n">
        <f aca="false">IF(AND(OR(AK817="À RADIOGRAPHIER",AK817="RÉPARÉ – À RADIOGRAPHIER",AK817="NX – RT À REFAIRE"),OR('PROGRAMME RT'!$D$5="TOUTES",B817='PROGRAMME RT'!$D$5)),1,0)</f>
        <v>0</v>
      </c>
      <c r="AN817" s="78" t="str">
        <f aca="false">IF(AM817=1,SUM(AM$7:AM817),"")</f>
        <v/>
      </c>
      <c r="AO817" s="78" t="n">
        <f aca="false">IF(AND(OR(AK817="À RÉPARER",AK817="COUPE – À RESOUDER",AK817="VT REJETÉ – À REPRENDRE"),OR(RÉPARATIONS!$D$5="TOUTES",B817=RÉPARATIONS!$D$5)),1,0)</f>
        <v>0</v>
      </c>
      <c r="AP817" s="78" t="str">
        <f aca="false">IF(AO817=1,SUM(AO$7:AO817),"")</f>
        <v/>
      </c>
    </row>
    <row r="818" customFormat="false" ht="15" hidden="false" customHeight="false" outlineLevel="0" collapsed="false">
      <c r="A818" s="78" t="str">
        <f aca="false">IF(E818="","",ROW()-6)</f>
        <v/>
      </c>
      <c r="B818" s="79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1"/>
      <c r="Q818" s="81"/>
      <c r="R818" s="80"/>
      <c r="S818" s="80"/>
      <c r="T818" s="81"/>
      <c r="U818" s="80"/>
      <c r="V818" s="80"/>
      <c r="W818" s="80"/>
      <c r="X818" s="80"/>
      <c r="Y818" s="81"/>
      <c r="Z818" s="80"/>
      <c r="AA818" s="80"/>
      <c r="AB818" s="80"/>
      <c r="AC818" s="80"/>
      <c r="AD818" s="81"/>
      <c r="AE818" s="80"/>
      <c r="AF818" s="80"/>
      <c r="AG818" s="81"/>
      <c r="AH818" s="79"/>
      <c r="AI818" s="78" t="str">
        <f aca="false">IF(E818="","",(V818&lt;&gt;"")+(AA818&lt;&gt;"")+(AF818&lt;&gt;""))</f>
        <v/>
      </c>
      <c r="AJ818" s="82" t="str">
        <f aca="false">IF(AF818&lt;&gt;"",AF818,IF(AA818&lt;&gt;"",AA818,IF(V818&lt;&gt;"",V818,"")))</f>
        <v/>
      </c>
      <c r="AK818" s="83" t="str">
        <f aca="false">IF(E818="","",IF(P818="","À SOUDER",IF(S818="","VT EN ATTENTE",IF(S818="R","VT REJETÉ – À REPRENDRE",IF(AJ818="","À RADIOGRAPHIER",IF(AJ818="A","ACCEPTÉ",IF(AJ818="NX","NX – RT À REFAIRE",IF(IF(AI818=1,X818,IF(AI818=2,AC818,""))="A","RÉPARÉ – À RADIOGRAPHIER",IF(IF(AI818=1,X818,IF(AI818=2,AC818,""))="R","VT REJETÉ – À REPRENDRE",IF(AJ818="CO","COUPE – À RESOUDER","À RÉPARER"))))))))))</f>
        <v/>
      </c>
      <c r="AL818" s="82" t="str">
        <f aca="false">IF(AND(ISNUMBER(P818),OR(AK818="À RADIOGRAPHIER",AK818="RÉPARÉ – À RADIOGRAPHIER",AK818="NX – RT À REFAIRE",AK818="À RÉPARER",AK818="COUPE – À RESOUDER",AK818="VT REJETÉ – À REPRENDRE")),MAX(0,'PROGRAMME RT'!$C$4-P818),"")</f>
        <v/>
      </c>
      <c r="AM818" s="78" t="n">
        <f aca="false">IF(AND(OR(AK818="À RADIOGRAPHIER",AK818="RÉPARÉ – À RADIOGRAPHIER",AK818="NX – RT À REFAIRE"),OR('PROGRAMME RT'!$D$5="TOUTES",B818='PROGRAMME RT'!$D$5)),1,0)</f>
        <v>0</v>
      </c>
      <c r="AN818" s="78" t="str">
        <f aca="false">IF(AM818=1,SUM(AM$7:AM818),"")</f>
        <v/>
      </c>
      <c r="AO818" s="78" t="n">
        <f aca="false">IF(AND(OR(AK818="À RÉPARER",AK818="COUPE – À RESOUDER",AK818="VT REJETÉ – À REPRENDRE"),OR(RÉPARATIONS!$D$5="TOUTES",B818=RÉPARATIONS!$D$5)),1,0)</f>
        <v>0</v>
      </c>
      <c r="AP818" s="78" t="str">
        <f aca="false">IF(AO818=1,SUM(AO$7:AO818),"")</f>
        <v/>
      </c>
    </row>
    <row r="819" customFormat="false" ht="15" hidden="false" customHeight="false" outlineLevel="0" collapsed="false">
      <c r="A819" s="78" t="str">
        <f aca="false">IF(E819="","",ROW()-6)</f>
        <v/>
      </c>
      <c r="B819" s="79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1"/>
      <c r="Q819" s="81"/>
      <c r="R819" s="80"/>
      <c r="S819" s="80"/>
      <c r="T819" s="81"/>
      <c r="U819" s="80"/>
      <c r="V819" s="80"/>
      <c r="W819" s="80"/>
      <c r="X819" s="80"/>
      <c r="Y819" s="81"/>
      <c r="Z819" s="80"/>
      <c r="AA819" s="80"/>
      <c r="AB819" s="80"/>
      <c r="AC819" s="80"/>
      <c r="AD819" s="81"/>
      <c r="AE819" s="80"/>
      <c r="AF819" s="80"/>
      <c r="AG819" s="81"/>
      <c r="AH819" s="79"/>
      <c r="AI819" s="78" t="str">
        <f aca="false">IF(E819="","",(V819&lt;&gt;"")+(AA819&lt;&gt;"")+(AF819&lt;&gt;""))</f>
        <v/>
      </c>
      <c r="AJ819" s="82" t="str">
        <f aca="false">IF(AF819&lt;&gt;"",AF819,IF(AA819&lt;&gt;"",AA819,IF(V819&lt;&gt;"",V819,"")))</f>
        <v/>
      </c>
      <c r="AK819" s="83" t="str">
        <f aca="false">IF(E819="","",IF(P819="","À SOUDER",IF(S819="","VT EN ATTENTE",IF(S819="R","VT REJETÉ – À REPRENDRE",IF(AJ819="","À RADIOGRAPHIER",IF(AJ819="A","ACCEPTÉ",IF(AJ819="NX","NX – RT À REFAIRE",IF(IF(AI819=1,X819,IF(AI819=2,AC819,""))="A","RÉPARÉ – À RADIOGRAPHIER",IF(IF(AI819=1,X819,IF(AI819=2,AC819,""))="R","VT REJETÉ – À REPRENDRE",IF(AJ819="CO","COUPE – À RESOUDER","À RÉPARER"))))))))))</f>
        <v/>
      </c>
      <c r="AL819" s="82" t="str">
        <f aca="false">IF(AND(ISNUMBER(P819),OR(AK819="À RADIOGRAPHIER",AK819="RÉPARÉ – À RADIOGRAPHIER",AK819="NX – RT À REFAIRE",AK819="À RÉPARER",AK819="COUPE – À RESOUDER",AK819="VT REJETÉ – À REPRENDRE")),MAX(0,'PROGRAMME RT'!$C$4-P819),"")</f>
        <v/>
      </c>
      <c r="AM819" s="78" t="n">
        <f aca="false">IF(AND(OR(AK819="À RADIOGRAPHIER",AK819="RÉPARÉ – À RADIOGRAPHIER",AK819="NX – RT À REFAIRE"),OR('PROGRAMME RT'!$D$5="TOUTES",B819='PROGRAMME RT'!$D$5)),1,0)</f>
        <v>0</v>
      </c>
      <c r="AN819" s="78" t="str">
        <f aca="false">IF(AM819=1,SUM(AM$7:AM819),"")</f>
        <v/>
      </c>
      <c r="AO819" s="78" t="n">
        <f aca="false">IF(AND(OR(AK819="À RÉPARER",AK819="COUPE – À RESOUDER",AK819="VT REJETÉ – À REPRENDRE"),OR(RÉPARATIONS!$D$5="TOUTES",B819=RÉPARATIONS!$D$5)),1,0)</f>
        <v>0</v>
      </c>
      <c r="AP819" s="78" t="str">
        <f aca="false">IF(AO819=1,SUM(AO$7:AO819),"")</f>
        <v/>
      </c>
    </row>
    <row r="820" customFormat="false" ht="15" hidden="false" customHeight="false" outlineLevel="0" collapsed="false">
      <c r="A820" s="78" t="str">
        <f aca="false">IF(E820="","",ROW()-6)</f>
        <v/>
      </c>
      <c r="B820" s="79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1"/>
      <c r="Q820" s="81"/>
      <c r="R820" s="80"/>
      <c r="S820" s="80"/>
      <c r="T820" s="81"/>
      <c r="U820" s="80"/>
      <c r="V820" s="80"/>
      <c r="W820" s="80"/>
      <c r="X820" s="80"/>
      <c r="Y820" s="81"/>
      <c r="Z820" s="80"/>
      <c r="AA820" s="80"/>
      <c r="AB820" s="80"/>
      <c r="AC820" s="80"/>
      <c r="AD820" s="81"/>
      <c r="AE820" s="80"/>
      <c r="AF820" s="80"/>
      <c r="AG820" s="81"/>
      <c r="AH820" s="79"/>
      <c r="AI820" s="78" t="str">
        <f aca="false">IF(E820="","",(V820&lt;&gt;"")+(AA820&lt;&gt;"")+(AF820&lt;&gt;""))</f>
        <v/>
      </c>
      <c r="AJ820" s="82" t="str">
        <f aca="false">IF(AF820&lt;&gt;"",AF820,IF(AA820&lt;&gt;"",AA820,IF(V820&lt;&gt;"",V820,"")))</f>
        <v/>
      </c>
      <c r="AK820" s="83" t="str">
        <f aca="false">IF(E820="","",IF(P820="","À SOUDER",IF(S820="","VT EN ATTENTE",IF(S820="R","VT REJETÉ – À REPRENDRE",IF(AJ820="","À RADIOGRAPHIER",IF(AJ820="A","ACCEPTÉ",IF(AJ820="NX","NX – RT À REFAIRE",IF(IF(AI820=1,X820,IF(AI820=2,AC820,""))="A","RÉPARÉ – À RADIOGRAPHIER",IF(IF(AI820=1,X820,IF(AI820=2,AC820,""))="R","VT REJETÉ – À REPRENDRE",IF(AJ820="CO","COUPE – À RESOUDER","À RÉPARER"))))))))))</f>
        <v/>
      </c>
      <c r="AL820" s="82" t="str">
        <f aca="false">IF(AND(ISNUMBER(P820),OR(AK820="À RADIOGRAPHIER",AK820="RÉPARÉ – À RADIOGRAPHIER",AK820="NX – RT À REFAIRE",AK820="À RÉPARER",AK820="COUPE – À RESOUDER",AK820="VT REJETÉ – À REPRENDRE")),MAX(0,'PROGRAMME RT'!$C$4-P820),"")</f>
        <v/>
      </c>
      <c r="AM820" s="78" t="n">
        <f aca="false">IF(AND(OR(AK820="À RADIOGRAPHIER",AK820="RÉPARÉ – À RADIOGRAPHIER",AK820="NX – RT À REFAIRE"),OR('PROGRAMME RT'!$D$5="TOUTES",B820='PROGRAMME RT'!$D$5)),1,0)</f>
        <v>0</v>
      </c>
      <c r="AN820" s="78" t="str">
        <f aca="false">IF(AM820=1,SUM(AM$7:AM820),"")</f>
        <v/>
      </c>
      <c r="AO820" s="78" t="n">
        <f aca="false">IF(AND(OR(AK820="À RÉPARER",AK820="COUPE – À RESOUDER",AK820="VT REJETÉ – À REPRENDRE"),OR(RÉPARATIONS!$D$5="TOUTES",B820=RÉPARATIONS!$D$5)),1,0)</f>
        <v>0</v>
      </c>
      <c r="AP820" s="78" t="str">
        <f aca="false">IF(AO820=1,SUM(AO$7:AO820),"")</f>
        <v/>
      </c>
    </row>
    <row r="821" customFormat="false" ht="15" hidden="false" customHeight="false" outlineLevel="0" collapsed="false">
      <c r="A821" s="78" t="str">
        <f aca="false">IF(E821="","",ROW()-6)</f>
        <v/>
      </c>
      <c r="B821" s="79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1"/>
      <c r="Q821" s="81"/>
      <c r="R821" s="80"/>
      <c r="S821" s="80"/>
      <c r="T821" s="81"/>
      <c r="U821" s="80"/>
      <c r="V821" s="80"/>
      <c r="W821" s="80"/>
      <c r="X821" s="80"/>
      <c r="Y821" s="81"/>
      <c r="Z821" s="80"/>
      <c r="AA821" s="80"/>
      <c r="AB821" s="80"/>
      <c r="AC821" s="80"/>
      <c r="AD821" s="81"/>
      <c r="AE821" s="80"/>
      <c r="AF821" s="80"/>
      <c r="AG821" s="81"/>
      <c r="AH821" s="79"/>
      <c r="AI821" s="78" t="str">
        <f aca="false">IF(E821="","",(V821&lt;&gt;"")+(AA821&lt;&gt;"")+(AF821&lt;&gt;""))</f>
        <v/>
      </c>
      <c r="AJ821" s="82" t="str">
        <f aca="false">IF(AF821&lt;&gt;"",AF821,IF(AA821&lt;&gt;"",AA821,IF(V821&lt;&gt;"",V821,"")))</f>
        <v/>
      </c>
      <c r="AK821" s="83" t="str">
        <f aca="false">IF(E821="","",IF(P821="","À SOUDER",IF(S821="","VT EN ATTENTE",IF(S821="R","VT REJETÉ – À REPRENDRE",IF(AJ821="","À RADIOGRAPHIER",IF(AJ821="A","ACCEPTÉ",IF(AJ821="NX","NX – RT À REFAIRE",IF(IF(AI821=1,X821,IF(AI821=2,AC821,""))="A","RÉPARÉ – À RADIOGRAPHIER",IF(IF(AI821=1,X821,IF(AI821=2,AC821,""))="R","VT REJETÉ – À REPRENDRE",IF(AJ821="CO","COUPE – À RESOUDER","À RÉPARER"))))))))))</f>
        <v/>
      </c>
      <c r="AL821" s="82" t="str">
        <f aca="false">IF(AND(ISNUMBER(P821),OR(AK821="À RADIOGRAPHIER",AK821="RÉPARÉ – À RADIOGRAPHIER",AK821="NX – RT À REFAIRE",AK821="À RÉPARER",AK821="COUPE – À RESOUDER",AK821="VT REJETÉ – À REPRENDRE")),MAX(0,'PROGRAMME RT'!$C$4-P821),"")</f>
        <v/>
      </c>
      <c r="AM821" s="78" t="n">
        <f aca="false">IF(AND(OR(AK821="À RADIOGRAPHIER",AK821="RÉPARÉ – À RADIOGRAPHIER",AK821="NX – RT À REFAIRE"),OR('PROGRAMME RT'!$D$5="TOUTES",B821='PROGRAMME RT'!$D$5)),1,0)</f>
        <v>0</v>
      </c>
      <c r="AN821" s="78" t="str">
        <f aca="false">IF(AM821=1,SUM(AM$7:AM821),"")</f>
        <v/>
      </c>
      <c r="AO821" s="78" t="n">
        <f aca="false">IF(AND(OR(AK821="À RÉPARER",AK821="COUPE – À RESOUDER",AK821="VT REJETÉ – À REPRENDRE"),OR(RÉPARATIONS!$D$5="TOUTES",B821=RÉPARATIONS!$D$5)),1,0)</f>
        <v>0</v>
      </c>
      <c r="AP821" s="78" t="str">
        <f aca="false">IF(AO821=1,SUM(AO$7:AO821),"")</f>
        <v/>
      </c>
    </row>
    <row r="822" customFormat="false" ht="15" hidden="false" customHeight="false" outlineLevel="0" collapsed="false">
      <c r="A822" s="78" t="str">
        <f aca="false">IF(E822="","",ROW()-6)</f>
        <v/>
      </c>
      <c r="B822" s="79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1"/>
      <c r="Q822" s="81"/>
      <c r="R822" s="80"/>
      <c r="S822" s="80"/>
      <c r="T822" s="81"/>
      <c r="U822" s="80"/>
      <c r="V822" s="80"/>
      <c r="W822" s="80"/>
      <c r="X822" s="80"/>
      <c r="Y822" s="81"/>
      <c r="Z822" s="80"/>
      <c r="AA822" s="80"/>
      <c r="AB822" s="80"/>
      <c r="AC822" s="80"/>
      <c r="AD822" s="81"/>
      <c r="AE822" s="80"/>
      <c r="AF822" s="80"/>
      <c r="AG822" s="81"/>
      <c r="AH822" s="79"/>
      <c r="AI822" s="78" t="str">
        <f aca="false">IF(E822="","",(V822&lt;&gt;"")+(AA822&lt;&gt;"")+(AF822&lt;&gt;""))</f>
        <v/>
      </c>
      <c r="AJ822" s="82" t="str">
        <f aca="false">IF(AF822&lt;&gt;"",AF822,IF(AA822&lt;&gt;"",AA822,IF(V822&lt;&gt;"",V822,"")))</f>
        <v/>
      </c>
      <c r="AK822" s="83" t="str">
        <f aca="false">IF(E822="","",IF(P822="","À SOUDER",IF(S822="","VT EN ATTENTE",IF(S822="R","VT REJETÉ – À REPRENDRE",IF(AJ822="","À RADIOGRAPHIER",IF(AJ822="A","ACCEPTÉ",IF(AJ822="NX","NX – RT À REFAIRE",IF(IF(AI822=1,X822,IF(AI822=2,AC822,""))="A","RÉPARÉ – À RADIOGRAPHIER",IF(IF(AI822=1,X822,IF(AI822=2,AC822,""))="R","VT REJETÉ – À REPRENDRE",IF(AJ822="CO","COUPE – À RESOUDER","À RÉPARER"))))))))))</f>
        <v/>
      </c>
      <c r="AL822" s="82" t="str">
        <f aca="false">IF(AND(ISNUMBER(P822),OR(AK822="À RADIOGRAPHIER",AK822="RÉPARÉ – À RADIOGRAPHIER",AK822="NX – RT À REFAIRE",AK822="À RÉPARER",AK822="COUPE – À RESOUDER",AK822="VT REJETÉ – À REPRENDRE")),MAX(0,'PROGRAMME RT'!$C$4-P822),"")</f>
        <v/>
      </c>
      <c r="AM822" s="78" t="n">
        <f aca="false">IF(AND(OR(AK822="À RADIOGRAPHIER",AK822="RÉPARÉ – À RADIOGRAPHIER",AK822="NX – RT À REFAIRE"),OR('PROGRAMME RT'!$D$5="TOUTES",B822='PROGRAMME RT'!$D$5)),1,0)</f>
        <v>0</v>
      </c>
      <c r="AN822" s="78" t="str">
        <f aca="false">IF(AM822=1,SUM(AM$7:AM822),"")</f>
        <v/>
      </c>
      <c r="AO822" s="78" t="n">
        <f aca="false">IF(AND(OR(AK822="À RÉPARER",AK822="COUPE – À RESOUDER",AK822="VT REJETÉ – À REPRENDRE"),OR(RÉPARATIONS!$D$5="TOUTES",B822=RÉPARATIONS!$D$5)),1,0)</f>
        <v>0</v>
      </c>
      <c r="AP822" s="78" t="str">
        <f aca="false">IF(AO822=1,SUM(AO$7:AO822),"")</f>
        <v/>
      </c>
    </row>
    <row r="823" customFormat="false" ht="15" hidden="false" customHeight="false" outlineLevel="0" collapsed="false">
      <c r="A823" s="78" t="str">
        <f aca="false">IF(E823="","",ROW()-6)</f>
        <v/>
      </c>
      <c r="B823" s="79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1"/>
      <c r="Q823" s="81"/>
      <c r="R823" s="80"/>
      <c r="S823" s="80"/>
      <c r="T823" s="81"/>
      <c r="U823" s="80"/>
      <c r="V823" s="80"/>
      <c r="W823" s="80"/>
      <c r="X823" s="80"/>
      <c r="Y823" s="81"/>
      <c r="Z823" s="80"/>
      <c r="AA823" s="80"/>
      <c r="AB823" s="80"/>
      <c r="AC823" s="80"/>
      <c r="AD823" s="81"/>
      <c r="AE823" s="80"/>
      <c r="AF823" s="80"/>
      <c r="AG823" s="81"/>
      <c r="AH823" s="79"/>
      <c r="AI823" s="78" t="str">
        <f aca="false">IF(E823="","",(V823&lt;&gt;"")+(AA823&lt;&gt;"")+(AF823&lt;&gt;""))</f>
        <v/>
      </c>
      <c r="AJ823" s="82" t="str">
        <f aca="false">IF(AF823&lt;&gt;"",AF823,IF(AA823&lt;&gt;"",AA823,IF(V823&lt;&gt;"",V823,"")))</f>
        <v/>
      </c>
      <c r="AK823" s="83" t="str">
        <f aca="false">IF(E823="","",IF(P823="","À SOUDER",IF(S823="","VT EN ATTENTE",IF(S823="R","VT REJETÉ – À REPRENDRE",IF(AJ823="","À RADIOGRAPHIER",IF(AJ823="A","ACCEPTÉ",IF(AJ823="NX","NX – RT À REFAIRE",IF(IF(AI823=1,X823,IF(AI823=2,AC823,""))="A","RÉPARÉ – À RADIOGRAPHIER",IF(IF(AI823=1,X823,IF(AI823=2,AC823,""))="R","VT REJETÉ – À REPRENDRE",IF(AJ823="CO","COUPE – À RESOUDER","À RÉPARER"))))))))))</f>
        <v/>
      </c>
      <c r="AL823" s="82" t="str">
        <f aca="false">IF(AND(ISNUMBER(P823),OR(AK823="À RADIOGRAPHIER",AK823="RÉPARÉ – À RADIOGRAPHIER",AK823="NX – RT À REFAIRE",AK823="À RÉPARER",AK823="COUPE – À RESOUDER",AK823="VT REJETÉ – À REPRENDRE")),MAX(0,'PROGRAMME RT'!$C$4-P823),"")</f>
        <v/>
      </c>
      <c r="AM823" s="78" t="n">
        <f aca="false">IF(AND(OR(AK823="À RADIOGRAPHIER",AK823="RÉPARÉ – À RADIOGRAPHIER",AK823="NX – RT À REFAIRE"),OR('PROGRAMME RT'!$D$5="TOUTES",B823='PROGRAMME RT'!$D$5)),1,0)</f>
        <v>0</v>
      </c>
      <c r="AN823" s="78" t="str">
        <f aca="false">IF(AM823=1,SUM(AM$7:AM823),"")</f>
        <v/>
      </c>
      <c r="AO823" s="78" t="n">
        <f aca="false">IF(AND(OR(AK823="À RÉPARER",AK823="COUPE – À RESOUDER",AK823="VT REJETÉ – À REPRENDRE"),OR(RÉPARATIONS!$D$5="TOUTES",B823=RÉPARATIONS!$D$5)),1,0)</f>
        <v>0</v>
      </c>
      <c r="AP823" s="78" t="str">
        <f aca="false">IF(AO823=1,SUM(AO$7:AO823),"")</f>
        <v/>
      </c>
    </row>
    <row r="824" customFormat="false" ht="15" hidden="false" customHeight="false" outlineLevel="0" collapsed="false">
      <c r="A824" s="78" t="str">
        <f aca="false">IF(E824="","",ROW()-6)</f>
        <v/>
      </c>
      <c r="B824" s="79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1"/>
      <c r="Q824" s="81"/>
      <c r="R824" s="80"/>
      <c r="S824" s="80"/>
      <c r="T824" s="81"/>
      <c r="U824" s="80"/>
      <c r="V824" s="80"/>
      <c r="W824" s="80"/>
      <c r="X824" s="80"/>
      <c r="Y824" s="81"/>
      <c r="Z824" s="80"/>
      <c r="AA824" s="80"/>
      <c r="AB824" s="80"/>
      <c r="AC824" s="80"/>
      <c r="AD824" s="81"/>
      <c r="AE824" s="80"/>
      <c r="AF824" s="80"/>
      <c r="AG824" s="81"/>
      <c r="AH824" s="79"/>
      <c r="AI824" s="78" t="str">
        <f aca="false">IF(E824="","",(V824&lt;&gt;"")+(AA824&lt;&gt;"")+(AF824&lt;&gt;""))</f>
        <v/>
      </c>
      <c r="AJ824" s="82" t="str">
        <f aca="false">IF(AF824&lt;&gt;"",AF824,IF(AA824&lt;&gt;"",AA824,IF(V824&lt;&gt;"",V824,"")))</f>
        <v/>
      </c>
      <c r="AK824" s="83" t="str">
        <f aca="false">IF(E824="","",IF(P824="","À SOUDER",IF(S824="","VT EN ATTENTE",IF(S824="R","VT REJETÉ – À REPRENDRE",IF(AJ824="","À RADIOGRAPHIER",IF(AJ824="A","ACCEPTÉ",IF(AJ824="NX","NX – RT À REFAIRE",IF(IF(AI824=1,X824,IF(AI824=2,AC824,""))="A","RÉPARÉ – À RADIOGRAPHIER",IF(IF(AI824=1,X824,IF(AI824=2,AC824,""))="R","VT REJETÉ – À REPRENDRE",IF(AJ824="CO","COUPE – À RESOUDER","À RÉPARER"))))))))))</f>
        <v/>
      </c>
      <c r="AL824" s="82" t="str">
        <f aca="false">IF(AND(ISNUMBER(P824),OR(AK824="À RADIOGRAPHIER",AK824="RÉPARÉ – À RADIOGRAPHIER",AK824="NX – RT À REFAIRE",AK824="À RÉPARER",AK824="COUPE – À RESOUDER",AK824="VT REJETÉ – À REPRENDRE")),MAX(0,'PROGRAMME RT'!$C$4-P824),"")</f>
        <v/>
      </c>
      <c r="AM824" s="78" t="n">
        <f aca="false">IF(AND(OR(AK824="À RADIOGRAPHIER",AK824="RÉPARÉ – À RADIOGRAPHIER",AK824="NX – RT À REFAIRE"),OR('PROGRAMME RT'!$D$5="TOUTES",B824='PROGRAMME RT'!$D$5)),1,0)</f>
        <v>0</v>
      </c>
      <c r="AN824" s="78" t="str">
        <f aca="false">IF(AM824=1,SUM(AM$7:AM824),"")</f>
        <v/>
      </c>
      <c r="AO824" s="78" t="n">
        <f aca="false">IF(AND(OR(AK824="À RÉPARER",AK824="COUPE – À RESOUDER",AK824="VT REJETÉ – À REPRENDRE"),OR(RÉPARATIONS!$D$5="TOUTES",B824=RÉPARATIONS!$D$5)),1,0)</f>
        <v>0</v>
      </c>
      <c r="AP824" s="78" t="str">
        <f aca="false">IF(AO824=1,SUM(AO$7:AO824),"")</f>
        <v/>
      </c>
    </row>
    <row r="825" customFormat="false" ht="15" hidden="false" customHeight="false" outlineLevel="0" collapsed="false">
      <c r="A825" s="78" t="str">
        <f aca="false">IF(E825="","",ROW()-6)</f>
        <v/>
      </c>
      <c r="B825" s="79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1"/>
      <c r="Q825" s="81"/>
      <c r="R825" s="80"/>
      <c r="S825" s="80"/>
      <c r="T825" s="81"/>
      <c r="U825" s="80"/>
      <c r="V825" s="80"/>
      <c r="W825" s="80"/>
      <c r="X825" s="80"/>
      <c r="Y825" s="81"/>
      <c r="Z825" s="80"/>
      <c r="AA825" s="80"/>
      <c r="AB825" s="80"/>
      <c r="AC825" s="80"/>
      <c r="AD825" s="81"/>
      <c r="AE825" s="80"/>
      <c r="AF825" s="80"/>
      <c r="AG825" s="81"/>
      <c r="AH825" s="79"/>
      <c r="AI825" s="78" t="str">
        <f aca="false">IF(E825="","",(V825&lt;&gt;"")+(AA825&lt;&gt;"")+(AF825&lt;&gt;""))</f>
        <v/>
      </c>
      <c r="AJ825" s="82" t="str">
        <f aca="false">IF(AF825&lt;&gt;"",AF825,IF(AA825&lt;&gt;"",AA825,IF(V825&lt;&gt;"",V825,"")))</f>
        <v/>
      </c>
      <c r="AK825" s="83" t="str">
        <f aca="false">IF(E825="","",IF(P825="","À SOUDER",IF(S825="","VT EN ATTENTE",IF(S825="R","VT REJETÉ – À REPRENDRE",IF(AJ825="","À RADIOGRAPHIER",IF(AJ825="A","ACCEPTÉ",IF(AJ825="NX","NX – RT À REFAIRE",IF(IF(AI825=1,X825,IF(AI825=2,AC825,""))="A","RÉPARÉ – À RADIOGRAPHIER",IF(IF(AI825=1,X825,IF(AI825=2,AC825,""))="R","VT REJETÉ – À REPRENDRE",IF(AJ825="CO","COUPE – À RESOUDER","À RÉPARER"))))))))))</f>
        <v/>
      </c>
      <c r="AL825" s="82" t="str">
        <f aca="false">IF(AND(ISNUMBER(P825),OR(AK825="À RADIOGRAPHIER",AK825="RÉPARÉ – À RADIOGRAPHIER",AK825="NX – RT À REFAIRE",AK825="À RÉPARER",AK825="COUPE – À RESOUDER",AK825="VT REJETÉ – À REPRENDRE")),MAX(0,'PROGRAMME RT'!$C$4-P825),"")</f>
        <v/>
      </c>
      <c r="AM825" s="78" t="n">
        <f aca="false">IF(AND(OR(AK825="À RADIOGRAPHIER",AK825="RÉPARÉ – À RADIOGRAPHIER",AK825="NX – RT À REFAIRE"),OR('PROGRAMME RT'!$D$5="TOUTES",B825='PROGRAMME RT'!$D$5)),1,0)</f>
        <v>0</v>
      </c>
      <c r="AN825" s="78" t="str">
        <f aca="false">IF(AM825=1,SUM(AM$7:AM825),"")</f>
        <v/>
      </c>
      <c r="AO825" s="78" t="n">
        <f aca="false">IF(AND(OR(AK825="À RÉPARER",AK825="COUPE – À RESOUDER",AK825="VT REJETÉ – À REPRENDRE"),OR(RÉPARATIONS!$D$5="TOUTES",B825=RÉPARATIONS!$D$5)),1,0)</f>
        <v>0</v>
      </c>
      <c r="AP825" s="78" t="str">
        <f aca="false">IF(AO825=1,SUM(AO$7:AO825),"")</f>
        <v/>
      </c>
    </row>
    <row r="826" customFormat="false" ht="15" hidden="false" customHeight="false" outlineLevel="0" collapsed="false">
      <c r="A826" s="78" t="str">
        <f aca="false">IF(E826="","",ROW()-6)</f>
        <v/>
      </c>
      <c r="B826" s="79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1"/>
      <c r="Q826" s="81"/>
      <c r="R826" s="80"/>
      <c r="S826" s="80"/>
      <c r="T826" s="81"/>
      <c r="U826" s="80"/>
      <c r="V826" s="80"/>
      <c r="W826" s="80"/>
      <c r="X826" s="80"/>
      <c r="Y826" s="81"/>
      <c r="Z826" s="80"/>
      <c r="AA826" s="80"/>
      <c r="AB826" s="80"/>
      <c r="AC826" s="80"/>
      <c r="AD826" s="81"/>
      <c r="AE826" s="80"/>
      <c r="AF826" s="80"/>
      <c r="AG826" s="81"/>
      <c r="AH826" s="79"/>
      <c r="AI826" s="78" t="str">
        <f aca="false">IF(E826="","",(V826&lt;&gt;"")+(AA826&lt;&gt;"")+(AF826&lt;&gt;""))</f>
        <v/>
      </c>
      <c r="AJ826" s="82" t="str">
        <f aca="false">IF(AF826&lt;&gt;"",AF826,IF(AA826&lt;&gt;"",AA826,IF(V826&lt;&gt;"",V826,"")))</f>
        <v/>
      </c>
      <c r="AK826" s="83" t="str">
        <f aca="false">IF(E826="","",IF(P826="","À SOUDER",IF(S826="","VT EN ATTENTE",IF(S826="R","VT REJETÉ – À REPRENDRE",IF(AJ826="","À RADIOGRAPHIER",IF(AJ826="A","ACCEPTÉ",IF(AJ826="NX","NX – RT À REFAIRE",IF(IF(AI826=1,X826,IF(AI826=2,AC826,""))="A","RÉPARÉ – À RADIOGRAPHIER",IF(IF(AI826=1,X826,IF(AI826=2,AC826,""))="R","VT REJETÉ – À REPRENDRE",IF(AJ826="CO","COUPE – À RESOUDER","À RÉPARER"))))))))))</f>
        <v/>
      </c>
      <c r="AL826" s="82" t="str">
        <f aca="false">IF(AND(ISNUMBER(P826),OR(AK826="À RADIOGRAPHIER",AK826="RÉPARÉ – À RADIOGRAPHIER",AK826="NX – RT À REFAIRE",AK826="À RÉPARER",AK826="COUPE – À RESOUDER",AK826="VT REJETÉ – À REPRENDRE")),MAX(0,'PROGRAMME RT'!$C$4-P826),"")</f>
        <v/>
      </c>
      <c r="AM826" s="78" t="n">
        <f aca="false">IF(AND(OR(AK826="À RADIOGRAPHIER",AK826="RÉPARÉ – À RADIOGRAPHIER",AK826="NX – RT À REFAIRE"),OR('PROGRAMME RT'!$D$5="TOUTES",B826='PROGRAMME RT'!$D$5)),1,0)</f>
        <v>0</v>
      </c>
      <c r="AN826" s="78" t="str">
        <f aca="false">IF(AM826=1,SUM(AM$7:AM826),"")</f>
        <v/>
      </c>
      <c r="AO826" s="78" t="n">
        <f aca="false">IF(AND(OR(AK826="À RÉPARER",AK826="COUPE – À RESOUDER",AK826="VT REJETÉ – À REPRENDRE"),OR(RÉPARATIONS!$D$5="TOUTES",B826=RÉPARATIONS!$D$5)),1,0)</f>
        <v>0</v>
      </c>
      <c r="AP826" s="78" t="str">
        <f aca="false">IF(AO826=1,SUM(AO$7:AO826),"")</f>
        <v/>
      </c>
    </row>
    <row r="827" customFormat="false" ht="15" hidden="false" customHeight="false" outlineLevel="0" collapsed="false">
      <c r="A827" s="78" t="str">
        <f aca="false">IF(E827="","",ROW()-6)</f>
        <v/>
      </c>
      <c r="B827" s="79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1"/>
      <c r="Q827" s="81"/>
      <c r="R827" s="80"/>
      <c r="S827" s="80"/>
      <c r="T827" s="81"/>
      <c r="U827" s="80"/>
      <c r="V827" s="80"/>
      <c r="W827" s="80"/>
      <c r="X827" s="80"/>
      <c r="Y827" s="81"/>
      <c r="Z827" s="80"/>
      <c r="AA827" s="80"/>
      <c r="AB827" s="80"/>
      <c r="AC827" s="80"/>
      <c r="AD827" s="81"/>
      <c r="AE827" s="80"/>
      <c r="AF827" s="80"/>
      <c r="AG827" s="81"/>
      <c r="AH827" s="79"/>
      <c r="AI827" s="78" t="str">
        <f aca="false">IF(E827="","",(V827&lt;&gt;"")+(AA827&lt;&gt;"")+(AF827&lt;&gt;""))</f>
        <v/>
      </c>
      <c r="AJ827" s="82" t="str">
        <f aca="false">IF(AF827&lt;&gt;"",AF827,IF(AA827&lt;&gt;"",AA827,IF(V827&lt;&gt;"",V827,"")))</f>
        <v/>
      </c>
      <c r="AK827" s="83" t="str">
        <f aca="false">IF(E827="","",IF(P827="","À SOUDER",IF(S827="","VT EN ATTENTE",IF(S827="R","VT REJETÉ – À REPRENDRE",IF(AJ827="","À RADIOGRAPHIER",IF(AJ827="A","ACCEPTÉ",IF(AJ827="NX","NX – RT À REFAIRE",IF(IF(AI827=1,X827,IF(AI827=2,AC827,""))="A","RÉPARÉ – À RADIOGRAPHIER",IF(IF(AI827=1,X827,IF(AI827=2,AC827,""))="R","VT REJETÉ – À REPRENDRE",IF(AJ827="CO","COUPE – À RESOUDER","À RÉPARER"))))))))))</f>
        <v/>
      </c>
      <c r="AL827" s="82" t="str">
        <f aca="false">IF(AND(ISNUMBER(P827),OR(AK827="À RADIOGRAPHIER",AK827="RÉPARÉ – À RADIOGRAPHIER",AK827="NX – RT À REFAIRE",AK827="À RÉPARER",AK827="COUPE – À RESOUDER",AK827="VT REJETÉ – À REPRENDRE")),MAX(0,'PROGRAMME RT'!$C$4-P827),"")</f>
        <v/>
      </c>
      <c r="AM827" s="78" t="n">
        <f aca="false">IF(AND(OR(AK827="À RADIOGRAPHIER",AK827="RÉPARÉ – À RADIOGRAPHIER",AK827="NX – RT À REFAIRE"),OR('PROGRAMME RT'!$D$5="TOUTES",B827='PROGRAMME RT'!$D$5)),1,0)</f>
        <v>0</v>
      </c>
      <c r="AN827" s="78" t="str">
        <f aca="false">IF(AM827=1,SUM(AM$7:AM827),"")</f>
        <v/>
      </c>
      <c r="AO827" s="78" t="n">
        <f aca="false">IF(AND(OR(AK827="À RÉPARER",AK827="COUPE – À RESOUDER",AK827="VT REJETÉ – À REPRENDRE"),OR(RÉPARATIONS!$D$5="TOUTES",B827=RÉPARATIONS!$D$5)),1,0)</f>
        <v>0</v>
      </c>
      <c r="AP827" s="78" t="str">
        <f aca="false">IF(AO827=1,SUM(AO$7:AO827),"")</f>
        <v/>
      </c>
    </row>
    <row r="828" customFormat="false" ht="15" hidden="false" customHeight="false" outlineLevel="0" collapsed="false">
      <c r="A828" s="78" t="str">
        <f aca="false">IF(E828="","",ROW()-6)</f>
        <v/>
      </c>
      <c r="B828" s="79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1"/>
      <c r="Q828" s="81"/>
      <c r="R828" s="80"/>
      <c r="S828" s="80"/>
      <c r="T828" s="81"/>
      <c r="U828" s="80"/>
      <c r="V828" s="80"/>
      <c r="W828" s="80"/>
      <c r="X828" s="80"/>
      <c r="Y828" s="81"/>
      <c r="Z828" s="80"/>
      <c r="AA828" s="80"/>
      <c r="AB828" s="80"/>
      <c r="AC828" s="80"/>
      <c r="AD828" s="81"/>
      <c r="AE828" s="80"/>
      <c r="AF828" s="80"/>
      <c r="AG828" s="81"/>
      <c r="AH828" s="79"/>
      <c r="AI828" s="78" t="str">
        <f aca="false">IF(E828="","",(V828&lt;&gt;"")+(AA828&lt;&gt;"")+(AF828&lt;&gt;""))</f>
        <v/>
      </c>
      <c r="AJ828" s="82" t="str">
        <f aca="false">IF(AF828&lt;&gt;"",AF828,IF(AA828&lt;&gt;"",AA828,IF(V828&lt;&gt;"",V828,"")))</f>
        <v/>
      </c>
      <c r="AK828" s="83" t="str">
        <f aca="false">IF(E828="","",IF(P828="","À SOUDER",IF(S828="","VT EN ATTENTE",IF(S828="R","VT REJETÉ – À REPRENDRE",IF(AJ828="","À RADIOGRAPHIER",IF(AJ828="A","ACCEPTÉ",IF(AJ828="NX","NX – RT À REFAIRE",IF(IF(AI828=1,X828,IF(AI828=2,AC828,""))="A","RÉPARÉ – À RADIOGRAPHIER",IF(IF(AI828=1,X828,IF(AI828=2,AC828,""))="R","VT REJETÉ – À REPRENDRE",IF(AJ828="CO","COUPE – À RESOUDER","À RÉPARER"))))))))))</f>
        <v/>
      </c>
      <c r="AL828" s="82" t="str">
        <f aca="false">IF(AND(ISNUMBER(P828),OR(AK828="À RADIOGRAPHIER",AK828="RÉPARÉ – À RADIOGRAPHIER",AK828="NX – RT À REFAIRE",AK828="À RÉPARER",AK828="COUPE – À RESOUDER",AK828="VT REJETÉ – À REPRENDRE")),MAX(0,'PROGRAMME RT'!$C$4-P828),"")</f>
        <v/>
      </c>
      <c r="AM828" s="78" t="n">
        <f aca="false">IF(AND(OR(AK828="À RADIOGRAPHIER",AK828="RÉPARÉ – À RADIOGRAPHIER",AK828="NX – RT À REFAIRE"),OR('PROGRAMME RT'!$D$5="TOUTES",B828='PROGRAMME RT'!$D$5)),1,0)</f>
        <v>0</v>
      </c>
      <c r="AN828" s="78" t="str">
        <f aca="false">IF(AM828=1,SUM(AM$7:AM828),"")</f>
        <v/>
      </c>
      <c r="AO828" s="78" t="n">
        <f aca="false">IF(AND(OR(AK828="À RÉPARER",AK828="COUPE – À RESOUDER",AK828="VT REJETÉ – À REPRENDRE"),OR(RÉPARATIONS!$D$5="TOUTES",B828=RÉPARATIONS!$D$5)),1,0)</f>
        <v>0</v>
      </c>
      <c r="AP828" s="78" t="str">
        <f aca="false">IF(AO828=1,SUM(AO$7:AO828),"")</f>
        <v/>
      </c>
    </row>
    <row r="829" customFormat="false" ht="15" hidden="false" customHeight="false" outlineLevel="0" collapsed="false">
      <c r="A829" s="78" t="str">
        <f aca="false">IF(E829="","",ROW()-6)</f>
        <v/>
      </c>
      <c r="B829" s="79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1"/>
      <c r="Q829" s="81"/>
      <c r="R829" s="80"/>
      <c r="S829" s="80"/>
      <c r="T829" s="81"/>
      <c r="U829" s="80"/>
      <c r="V829" s="80"/>
      <c r="W829" s="80"/>
      <c r="X829" s="80"/>
      <c r="Y829" s="81"/>
      <c r="Z829" s="80"/>
      <c r="AA829" s="80"/>
      <c r="AB829" s="80"/>
      <c r="AC829" s="80"/>
      <c r="AD829" s="81"/>
      <c r="AE829" s="80"/>
      <c r="AF829" s="80"/>
      <c r="AG829" s="81"/>
      <c r="AH829" s="79"/>
      <c r="AI829" s="78" t="str">
        <f aca="false">IF(E829="","",(V829&lt;&gt;"")+(AA829&lt;&gt;"")+(AF829&lt;&gt;""))</f>
        <v/>
      </c>
      <c r="AJ829" s="82" t="str">
        <f aca="false">IF(AF829&lt;&gt;"",AF829,IF(AA829&lt;&gt;"",AA829,IF(V829&lt;&gt;"",V829,"")))</f>
        <v/>
      </c>
      <c r="AK829" s="83" t="str">
        <f aca="false">IF(E829="","",IF(P829="","À SOUDER",IF(S829="","VT EN ATTENTE",IF(S829="R","VT REJETÉ – À REPRENDRE",IF(AJ829="","À RADIOGRAPHIER",IF(AJ829="A","ACCEPTÉ",IF(AJ829="NX","NX – RT À REFAIRE",IF(IF(AI829=1,X829,IF(AI829=2,AC829,""))="A","RÉPARÉ – À RADIOGRAPHIER",IF(IF(AI829=1,X829,IF(AI829=2,AC829,""))="R","VT REJETÉ – À REPRENDRE",IF(AJ829="CO","COUPE – À RESOUDER","À RÉPARER"))))))))))</f>
        <v/>
      </c>
      <c r="AL829" s="82" t="str">
        <f aca="false">IF(AND(ISNUMBER(P829),OR(AK829="À RADIOGRAPHIER",AK829="RÉPARÉ – À RADIOGRAPHIER",AK829="NX – RT À REFAIRE",AK829="À RÉPARER",AK829="COUPE – À RESOUDER",AK829="VT REJETÉ – À REPRENDRE")),MAX(0,'PROGRAMME RT'!$C$4-P829),"")</f>
        <v/>
      </c>
      <c r="AM829" s="78" t="n">
        <f aca="false">IF(AND(OR(AK829="À RADIOGRAPHIER",AK829="RÉPARÉ – À RADIOGRAPHIER",AK829="NX – RT À REFAIRE"),OR('PROGRAMME RT'!$D$5="TOUTES",B829='PROGRAMME RT'!$D$5)),1,0)</f>
        <v>0</v>
      </c>
      <c r="AN829" s="78" t="str">
        <f aca="false">IF(AM829=1,SUM(AM$7:AM829),"")</f>
        <v/>
      </c>
      <c r="AO829" s="78" t="n">
        <f aca="false">IF(AND(OR(AK829="À RÉPARER",AK829="COUPE – À RESOUDER",AK829="VT REJETÉ – À REPRENDRE"),OR(RÉPARATIONS!$D$5="TOUTES",B829=RÉPARATIONS!$D$5)),1,0)</f>
        <v>0</v>
      </c>
      <c r="AP829" s="78" t="str">
        <f aca="false">IF(AO829=1,SUM(AO$7:AO829),"")</f>
        <v/>
      </c>
    </row>
    <row r="830" customFormat="false" ht="15" hidden="false" customHeight="false" outlineLevel="0" collapsed="false">
      <c r="A830" s="78" t="str">
        <f aca="false">IF(E830="","",ROW()-6)</f>
        <v/>
      </c>
      <c r="B830" s="79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1"/>
      <c r="Q830" s="81"/>
      <c r="R830" s="80"/>
      <c r="S830" s="80"/>
      <c r="T830" s="81"/>
      <c r="U830" s="80"/>
      <c r="V830" s="80"/>
      <c r="W830" s="80"/>
      <c r="X830" s="80"/>
      <c r="Y830" s="81"/>
      <c r="Z830" s="80"/>
      <c r="AA830" s="80"/>
      <c r="AB830" s="80"/>
      <c r="AC830" s="80"/>
      <c r="AD830" s="81"/>
      <c r="AE830" s="80"/>
      <c r="AF830" s="80"/>
      <c r="AG830" s="81"/>
      <c r="AH830" s="79"/>
      <c r="AI830" s="78" t="str">
        <f aca="false">IF(E830="","",(V830&lt;&gt;"")+(AA830&lt;&gt;"")+(AF830&lt;&gt;""))</f>
        <v/>
      </c>
      <c r="AJ830" s="82" t="str">
        <f aca="false">IF(AF830&lt;&gt;"",AF830,IF(AA830&lt;&gt;"",AA830,IF(V830&lt;&gt;"",V830,"")))</f>
        <v/>
      </c>
      <c r="AK830" s="83" t="str">
        <f aca="false">IF(E830="","",IF(P830="","À SOUDER",IF(S830="","VT EN ATTENTE",IF(S830="R","VT REJETÉ – À REPRENDRE",IF(AJ830="","À RADIOGRAPHIER",IF(AJ830="A","ACCEPTÉ",IF(AJ830="NX","NX – RT À REFAIRE",IF(IF(AI830=1,X830,IF(AI830=2,AC830,""))="A","RÉPARÉ – À RADIOGRAPHIER",IF(IF(AI830=1,X830,IF(AI830=2,AC830,""))="R","VT REJETÉ – À REPRENDRE",IF(AJ830="CO","COUPE – À RESOUDER","À RÉPARER"))))))))))</f>
        <v/>
      </c>
      <c r="AL830" s="82" t="str">
        <f aca="false">IF(AND(ISNUMBER(P830),OR(AK830="À RADIOGRAPHIER",AK830="RÉPARÉ – À RADIOGRAPHIER",AK830="NX – RT À REFAIRE",AK830="À RÉPARER",AK830="COUPE – À RESOUDER",AK830="VT REJETÉ – À REPRENDRE")),MAX(0,'PROGRAMME RT'!$C$4-P830),"")</f>
        <v/>
      </c>
      <c r="AM830" s="78" t="n">
        <f aca="false">IF(AND(OR(AK830="À RADIOGRAPHIER",AK830="RÉPARÉ – À RADIOGRAPHIER",AK830="NX – RT À REFAIRE"),OR('PROGRAMME RT'!$D$5="TOUTES",B830='PROGRAMME RT'!$D$5)),1,0)</f>
        <v>0</v>
      </c>
      <c r="AN830" s="78" t="str">
        <f aca="false">IF(AM830=1,SUM(AM$7:AM830),"")</f>
        <v/>
      </c>
      <c r="AO830" s="78" t="n">
        <f aca="false">IF(AND(OR(AK830="À RÉPARER",AK830="COUPE – À RESOUDER",AK830="VT REJETÉ – À REPRENDRE"),OR(RÉPARATIONS!$D$5="TOUTES",B830=RÉPARATIONS!$D$5)),1,0)</f>
        <v>0</v>
      </c>
      <c r="AP830" s="78" t="str">
        <f aca="false">IF(AO830=1,SUM(AO$7:AO830),"")</f>
        <v/>
      </c>
    </row>
    <row r="831" customFormat="false" ht="15" hidden="false" customHeight="false" outlineLevel="0" collapsed="false">
      <c r="A831" s="78" t="str">
        <f aca="false">IF(E831="","",ROW()-6)</f>
        <v/>
      </c>
      <c r="B831" s="79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1"/>
      <c r="Q831" s="81"/>
      <c r="R831" s="80"/>
      <c r="S831" s="80"/>
      <c r="T831" s="81"/>
      <c r="U831" s="80"/>
      <c r="V831" s="80"/>
      <c r="W831" s="80"/>
      <c r="X831" s="80"/>
      <c r="Y831" s="81"/>
      <c r="Z831" s="80"/>
      <c r="AA831" s="80"/>
      <c r="AB831" s="80"/>
      <c r="AC831" s="80"/>
      <c r="AD831" s="81"/>
      <c r="AE831" s="80"/>
      <c r="AF831" s="80"/>
      <c r="AG831" s="81"/>
      <c r="AH831" s="79"/>
      <c r="AI831" s="78" t="str">
        <f aca="false">IF(E831="","",(V831&lt;&gt;"")+(AA831&lt;&gt;"")+(AF831&lt;&gt;""))</f>
        <v/>
      </c>
      <c r="AJ831" s="82" t="str">
        <f aca="false">IF(AF831&lt;&gt;"",AF831,IF(AA831&lt;&gt;"",AA831,IF(V831&lt;&gt;"",V831,"")))</f>
        <v/>
      </c>
      <c r="AK831" s="83" t="str">
        <f aca="false">IF(E831="","",IF(P831="","À SOUDER",IF(S831="","VT EN ATTENTE",IF(S831="R","VT REJETÉ – À REPRENDRE",IF(AJ831="","À RADIOGRAPHIER",IF(AJ831="A","ACCEPTÉ",IF(AJ831="NX","NX – RT À REFAIRE",IF(IF(AI831=1,X831,IF(AI831=2,AC831,""))="A","RÉPARÉ – À RADIOGRAPHIER",IF(IF(AI831=1,X831,IF(AI831=2,AC831,""))="R","VT REJETÉ – À REPRENDRE",IF(AJ831="CO","COUPE – À RESOUDER","À RÉPARER"))))))))))</f>
        <v/>
      </c>
      <c r="AL831" s="82" t="str">
        <f aca="false">IF(AND(ISNUMBER(P831),OR(AK831="À RADIOGRAPHIER",AK831="RÉPARÉ – À RADIOGRAPHIER",AK831="NX – RT À REFAIRE",AK831="À RÉPARER",AK831="COUPE – À RESOUDER",AK831="VT REJETÉ – À REPRENDRE")),MAX(0,'PROGRAMME RT'!$C$4-P831),"")</f>
        <v/>
      </c>
      <c r="AM831" s="78" t="n">
        <f aca="false">IF(AND(OR(AK831="À RADIOGRAPHIER",AK831="RÉPARÉ – À RADIOGRAPHIER",AK831="NX – RT À REFAIRE"),OR('PROGRAMME RT'!$D$5="TOUTES",B831='PROGRAMME RT'!$D$5)),1,0)</f>
        <v>0</v>
      </c>
      <c r="AN831" s="78" t="str">
        <f aca="false">IF(AM831=1,SUM(AM$7:AM831),"")</f>
        <v/>
      </c>
      <c r="AO831" s="78" t="n">
        <f aca="false">IF(AND(OR(AK831="À RÉPARER",AK831="COUPE – À RESOUDER",AK831="VT REJETÉ – À REPRENDRE"),OR(RÉPARATIONS!$D$5="TOUTES",B831=RÉPARATIONS!$D$5)),1,0)</f>
        <v>0</v>
      </c>
      <c r="AP831" s="78" t="str">
        <f aca="false">IF(AO831=1,SUM(AO$7:AO831),"")</f>
        <v/>
      </c>
    </row>
    <row r="832" customFormat="false" ht="15" hidden="false" customHeight="false" outlineLevel="0" collapsed="false">
      <c r="A832" s="78" t="str">
        <f aca="false">IF(E832="","",ROW()-6)</f>
        <v/>
      </c>
      <c r="B832" s="79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1"/>
      <c r="Q832" s="81"/>
      <c r="R832" s="80"/>
      <c r="S832" s="80"/>
      <c r="T832" s="81"/>
      <c r="U832" s="80"/>
      <c r="V832" s="80"/>
      <c r="W832" s="80"/>
      <c r="X832" s="80"/>
      <c r="Y832" s="81"/>
      <c r="Z832" s="80"/>
      <c r="AA832" s="80"/>
      <c r="AB832" s="80"/>
      <c r="AC832" s="80"/>
      <c r="AD832" s="81"/>
      <c r="AE832" s="80"/>
      <c r="AF832" s="80"/>
      <c r="AG832" s="81"/>
      <c r="AH832" s="79"/>
      <c r="AI832" s="78" t="str">
        <f aca="false">IF(E832="","",(V832&lt;&gt;"")+(AA832&lt;&gt;"")+(AF832&lt;&gt;""))</f>
        <v/>
      </c>
      <c r="AJ832" s="82" t="str">
        <f aca="false">IF(AF832&lt;&gt;"",AF832,IF(AA832&lt;&gt;"",AA832,IF(V832&lt;&gt;"",V832,"")))</f>
        <v/>
      </c>
      <c r="AK832" s="83" t="str">
        <f aca="false">IF(E832="","",IF(P832="","À SOUDER",IF(S832="","VT EN ATTENTE",IF(S832="R","VT REJETÉ – À REPRENDRE",IF(AJ832="","À RADIOGRAPHIER",IF(AJ832="A","ACCEPTÉ",IF(AJ832="NX","NX – RT À REFAIRE",IF(IF(AI832=1,X832,IF(AI832=2,AC832,""))="A","RÉPARÉ – À RADIOGRAPHIER",IF(IF(AI832=1,X832,IF(AI832=2,AC832,""))="R","VT REJETÉ – À REPRENDRE",IF(AJ832="CO","COUPE – À RESOUDER","À RÉPARER"))))))))))</f>
        <v/>
      </c>
      <c r="AL832" s="82" t="str">
        <f aca="false">IF(AND(ISNUMBER(P832),OR(AK832="À RADIOGRAPHIER",AK832="RÉPARÉ – À RADIOGRAPHIER",AK832="NX – RT À REFAIRE",AK832="À RÉPARER",AK832="COUPE – À RESOUDER",AK832="VT REJETÉ – À REPRENDRE")),MAX(0,'PROGRAMME RT'!$C$4-P832),"")</f>
        <v/>
      </c>
      <c r="AM832" s="78" t="n">
        <f aca="false">IF(AND(OR(AK832="À RADIOGRAPHIER",AK832="RÉPARÉ – À RADIOGRAPHIER",AK832="NX – RT À REFAIRE"),OR('PROGRAMME RT'!$D$5="TOUTES",B832='PROGRAMME RT'!$D$5)),1,0)</f>
        <v>0</v>
      </c>
      <c r="AN832" s="78" t="str">
        <f aca="false">IF(AM832=1,SUM(AM$7:AM832),"")</f>
        <v/>
      </c>
      <c r="AO832" s="78" t="n">
        <f aca="false">IF(AND(OR(AK832="À RÉPARER",AK832="COUPE – À RESOUDER",AK832="VT REJETÉ – À REPRENDRE"),OR(RÉPARATIONS!$D$5="TOUTES",B832=RÉPARATIONS!$D$5)),1,0)</f>
        <v>0</v>
      </c>
      <c r="AP832" s="78" t="str">
        <f aca="false">IF(AO832=1,SUM(AO$7:AO832),"")</f>
        <v/>
      </c>
    </row>
    <row r="833" customFormat="false" ht="15" hidden="false" customHeight="false" outlineLevel="0" collapsed="false">
      <c r="A833" s="78" t="str">
        <f aca="false">IF(E833="","",ROW()-6)</f>
        <v/>
      </c>
      <c r="B833" s="79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1"/>
      <c r="Q833" s="81"/>
      <c r="R833" s="80"/>
      <c r="S833" s="80"/>
      <c r="T833" s="81"/>
      <c r="U833" s="80"/>
      <c r="V833" s="80"/>
      <c r="W833" s="80"/>
      <c r="X833" s="80"/>
      <c r="Y833" s="81"/>
      <c r="Z833" s="80"/>
      <c r="AA833" s="80"/>
      <c r="AB833" s="80"/>
      <c r="AC833" s="80"/>
      <c r="AD833" s="81"/>
      <c r="AE833" s="80"/>
      <c r="AF833" s="80"/>
      <c r="AG833" s="81"/>
      <c r="AH833" s="79"/>
      <c r="AI833" s="78" t="str">
        <f aca="false">IF(E833="","",(V833&lt;&gt;"")+(AA833&lt;&gt;"")+(AF833&lt;&gt;""))</f>
        <v/>
      </c>
      <c r="AJ833" s="82" t="str">
        <f aca="false">IF(AF833&lt;&gt;"",AF833,IF(AA833&lt;&gt;"",AA833,IF(V833&lt;&gt;"",V833,"")))</f>
        <v/>
      </c>
      <c r="AK833" s="83" t="str">
        <f aca="false">IF(E833="","",IF(P833="","À SOUDER",IF(S833="","VT EN ATTENTE",IF(S833="R","VT REJETÉ – À REPRENDRE",IF(AJ833="","À RADIOGRAPHIER",IF(AJ833="A","ACCEPTÉ",IF(AJ833="NX","NX – RT À REFAIRE",IF(IF(AI833=1,X833,IF(AI833=2,AC833,""))="A","RÉPARÉ – À RADIOGRAPHIER",IF(IF(AI833=1,X833,IF(AI833=2,AC833,""))="R","VT REJETÉ – À REPRENDRE",IF(AJ833="CO","COUPE – À RESOUDER","À RÉPARER"))))))))))</f>
        <v/>
      </c>
      <c r="AL833" s="82" t="str">
        <f aca="false">IF(AND(ISNUMBER(P833),OR(AK833="À RADIOGRAPHIER",AK833="RÉPARÉ – À RADIOGRAPHIER",AK833="NX – RT À REFAIRE",AK833="À RÉPARER",AK833="COUPE – À RESOUDER",AK833="VT REJETÉ – À REPRENDRE")),MAX(0,'PROGRAMME RT'!$C$4-P833),"")</f>
        <v/>
      </c>
      <c r="AM833" s="78" t="n">
        <f aca="false">IF(AND(OR(AK833="À RADIOGRAPHIER",AK833="RÉPARÉ – À RADIOGRAPHIER",AK833="NX – RT À REFAIRE"),OR('PROGRAMME RT'!$D$5="TOUTES",B833='PROGRAMME RT'!$D$5)),1,0)</f>
        <v>0</v>
      </c>
      <c r="AN833" s="78" t="str">
        <f aca="false">IF(AM833=1,SUM(AM$7:AM833),"")</f>
        <v/>
      </c>
      <c r="AO833" s="78" t="n">
        <f aca="false">IF(AND(OR(AK833="À RÉPARER",AK833="COUPE – À RESOUDER",AK833="VT REJETÉ – À REPRENDRE"),OR(RÉPARATIONS!$D$5="TOUTES",B833=RÉPARATIONS!$D$5)),1,0)</f>
        <v>0</v>
      </c>
      <c r="AP833" s="78" t="str">
        <f aca="false">IF(AO833=1,SUM(AO$7:AO833),"")</f>
        <v/>
      </c>
    </row>
    <row r="834" customFormat="false" ht="15" hidden="false" customHeight="false" outlineLevel="0" collapsed="false">
      <c r="A834" s="78" t="str">
        <f aca="false">IF(E834="","",ROW()-6)</f>
        <v/>
      </c>
      <c r="B834" s="79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1"/>
      <c r="Q834" s="81"/>
      <c r="R834" s="80"/>
      <c r="S834" s="80"/>
      <c r="T834" s="81"/>
      <c r="U834" s="80"/>
      <c r="V834" s="80"/>
      <c r="W834" s="80"/>
      <c r="X834" s="80"/>
      <c r="Y834" s="81"/>
      <c r="Z834" s="80"/>
      <c r="AA834" s="80"/>
      <c r="AB834" s="80"/>
      <c r="AC834" s="80"/>
      <c r="AD834" s="81"/>
      <c r="AE834" s="80"/>
      <c r="AF834" s="80"/>
      <c r="AG834" s="81"/>
      <c r="AH834" s="79"/>
      <c r="AI834" s="78" t="str">
        <f aca="false">IF(E834="","",(V834&lt;&gt;"")+(AA834&lt;&gt;"")+(AF834&lt;&gt;""))</f>
        <v/>
      </c>
      <c r="AJ834" s="82" t="str">
        <f aca="false">IF(AF834&lt;&gt;"",AF834,IF(AA834&lt;&gt;"",AA834,IF(V834&lt;&gt;"",V834,"")))</f>
        <v/>
      </c>
      <c r="AK834" s="83" t="str">
        <f aca="false">IF(E834="","",IF(P834="","À SOUDER",IF(S834="","VT EN ATTENTE",IF(S834="R","VT REJETÉ – À REPRENDRE",IF(AJ834="","À RADIOGRAPHIER",IF(AJ834="A","ACCEPTÉ",IF(AJ834="NX","NX – RT À REFAIRE",IF(IF(AI834=1,X834,IF(AI834=2,AC834,""))="A","RÉPARÉ – À RADIOGRAPHIER",IF(IF(AI834=1,X834,IF(AI834=2,AC834,""))="R","VT REJETÉ – À REPRENDRE",IF(AJ834="CO","COUPE – À RESOUDER","À RÉPARER"))))))))))</f>
        <v/>
      </c>
      <c r="AL834" s="82" t="str">
        <f aca="false">IF(AND(ISNUMBER(P834),OR(AK834="À RADIOGRAPHIER",AK834="RÉPARÉ – À RADIOGRAPHIER",AK834="NX – RT À REFAIRE",AK834="À RÉPARER",AK834="COUPE – À RESOUDER",AK834="VT REJETÉ – À REPRENDRE")),MAX(0,'PROGRAMME RT'!$C$4-P834),"")</f>
        <v/>
      </c>
      <c r="AM834" s="78" t="n">
        <f aca="false">IF(AND(OR(AK834="À RADIOGRAPHIER",AK834="RÉPARÉ – À RADIOGRAPHIER",AK834="NX – RT À REFAIRE"),OR('PROGRAMME RT'!$D$5="TOUTES",B834='PROGRAMME RT'!$D$5)),1,0)</f>
        <v>0</v>
      </c>
      <c r="AN834" s="78" t="str">
        <f aca="false">IF(AM834=1,SUM(AM$7:AM834),"")</f>
        <v/>
      </c>
      <c r="AO834" s="78" t="n">
        <f aca="false">IF(AND(OR(AK834="À RÉPARER",AK834="COUPE – À RESOUDER",AK834="VT REJETÉ – À REPRENDRE"),OR(RÉPARATIONS!$D$5="TOUTES",B834=RÉPARATIONS!$D$5)),1,0)</f>
        <v>0</v>
      </c>
      <c r="AP834" s="78" t="str">
        <f aca="false">IF(AO834=1,SUM(AO$7:AO834),"")</f>
        <v/>
      </c>
    </row>
    <row r="835" customFormat="false" ht="15" hidden="false" customHeight="false" outlineLevel="0" collapsed="false">
      <c r="A835" s="78" t="str">
        <f aca="false">IF(E835="","",ROW()-6)</f>
        <v/>
      </c>
      <c r="B835" s="79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1"/>
      <c r="Q835" s="81"/>
      <c r="R835" s="80"/>
      <c r="S835" s="80"/>
      <c r="T835" s="81"/>
      <c r="U835" s="80"/>
      <c r="V835" s="80"/>
      <c r="W835" s="80"/>
      <c r="X835" s="80"/>
      <c r="Y835" s="81"/>
      <c r="Z835" s="80"/>
      <c r="AA835" s="80"/>
      <c r="AB835" s="80"/>
      <c r="AC835" s="80"/>
      <c r="AD835" s="81"/>
      <c r="AE835" s="80"/>
      <c r="AF835" s="80"/>
      <c r="AG835" s="81"/>
      <c r="AH835" s="79"/>
      <c r="AI835" s="78" t="str">
        <f aca="false">IF(E835="","",(V835&lt;&gt;"")+(AA835&lt;&gt;"")+(AF835&lt;&gt;""))</f>
        <v/>
      </c>
      <c r="AJ835" s="82" t="str">
        <f aca="false">IF(AF835&lt;&gt;"",AF835,IF(AA835&lt;&gt;"",AA835,IF(V835&lt;&gt;"",V835,"")))</f>
        <v/>
      </c>
      <c r="AK835" s="83" t="str">
        <f aca="false">IF(E835="","",IF(P835="","À SOUDER",IF(S835="","VT EN ATTENTE",IF(S835="R","VT REJETÉ – À REPRENDRE",IF(AJ835="","À RADIOGRAPHIER",IF(AJ835="A","ACCEPTÉ",IF(AJ835="NX","NX – RT À REFAIRE",IF(IF(AI835=1,X835,IF(AI835=2,AC835,""))="A","RÉPARÉ – À RADIOGRAPHIER",IF(IF(AI835=1,X835,IF(AI835=2,AC835,""))="R","VT REJETÉ – À REPRENDRE",IF(AJ835="CO","COUPE – À RESOUDER","À RÉPARER"))))))))))</f>
        <v/>
      </c>
      <c r="AL835" s="82" t="str">
        <f aca="false">IF(AND(ISNUMBER(P835),OR(AK835="À RADIOGRAPHIER",AK835="RÉPARÉ – À RADIOGRAPHIER",AK835="NX – RT À REFAIRE",AK835="À RÉPARER",AK835="COUPE – À RESOUDER",AK835="VT REJETÉ – À REPRENDRE")),MAX(0,'PROGRAMME RT'!$C$4-P835),"")</f>
        <v/>
      </c>
      <c r="AM835" s="78" t="n">
        <f aca="false">IF(AND(OR(AK835="À RADIOGRAPHIER",AK835="RÉPARÉ – À RADIOGRAPHIER",AK835="NX – RT À REFAIRE"),OR('PROGRAMME RT'!$D$5="TOUTES",B835='PROGRAMME RT'!$D$5)),1,0)</f>
        <v>0</v>
      </c>
      <c r="AN835" s="78" t="str">
        <f aca="false">IF(AM835=1,SUM(AM$7:AM835),"")</f>
        <v/>
      </c>
      <c r="AO835" s="78" t="n">
        <f aca="false">IF(AND(OR(AK835="À RÉPARER",AK835="COUPE – À RESOUDER",AK835="VT REJETÉ – À REPRENDRE"),OR(RÉPARATIONS!$D$5="TOUTES",B835=RÉPARATIONS!$D$5)),1,0)</f>
        <v>0</v>
      </c>
      <c r="AP835" s="78" t="str">
        <f aca="false">IF(AO835=1,SUM(AO$7:AO835),"")</f>
        <v/>
      </c>
    </row>
    <row r="836" customFormat="false" ht="15" hidden="false" customHeight="false" outlineLevel="0" collapsed="false">
      <c r="A836" s="78" t="str">
        <f aca="false">IF(E836="","",ROW()-6)</f>
        <v/>
      </c>
      <c r="B836" s="79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1"/>
      <c r="Q836" s="81"/>
      <c r="R836" s="80"/>
      <c r="S836" s="80"/>
      <c r="T836" s="81"/>
      <c r="U836" s="80"/>
      <c r="V836" s="80"/>
      <c r="W836" s="80"/>
      <c r="X836" s="80"/>
      <c r="Y836" s="81"/>
      <c r="Z836" s="80"/>
      <c r="AA836" s="80"/>
      <c r="AB836" s="80"/>
      <c r="AC836" s="80"/>
      <c r="AD836" s="81"/>
      <c r="AE836" s="80"/>
      <c r="AF836" s="80"/>
      <c r="AG836" s="81"/>
      <c r="AH836" s="79"/>
      <c r="AI836" s="78" t="str">
        <f aca="false">IF(E836="","",(V836&lt;&gt;"")+(AA836&lt;&gt;"")+(AF836&lt;&gt;""))</f>
        <v/>
      </c>
      <c r="AJ836" s="82" t="str">
        <f aca="false">IF(AF836&lt;&gt;"",AF836,IF(AA836&lt;&gt;"",AA836,IF(V836&lt;&gt;"",V836,"")))</f>
        <v/>
      </c>
      <c r="AK836" s="83" t="str">
        <f aca="false">IF(E836="","",IF(P836="","À SOUDER",IF(S836="","VT EN ATTENTE",IF(S836="R","VT REJETÉ – À REPRENDRE",IF(AJ836="","À RADIOGRAPHIER",IF(AJ836="A","ACCEPTÉ",IF(AJ836="NX","NX – RT À REFAIRE",IF(IF(AI836=1,X836,IF(AI836=2,AC836,""))="A","RÉPARÉ – À RADIOGRAPHIER",IF(IF(AI836=1,X836,IF(AI836=2,AC836,""))="R","VT REJETÉ – À REPRENDRE",IF(AJ836="CO","COUPE – À RESOUDER","À RÉPARER"))))))))))</f>
        <v/>
      </c>
      <c r="AL836" s="82" t="str">
        <f aca="false">IF(AND(ISNUMBER(P836),OR(AK836="À RADIOGRAPHIER",AK836="RÉPARÉ – À RADIOGRAPHIER",AK836="NX – RT À REFAIRE",AK836="À RÉPARER",AK836="COUPE – À RESOUDER",AK836="VT REJETÉ – À REPRENDRE")),MAX(0,'PROGRAMME RT'!$C$4-P836),"")</f>
        <v/>
      </c>
      <c r="AM836" s="78" t="n">
        <f aca="false">IF(AND(OR(AK836="À RADIOGRAPHIER",AK836="RÉPARÉ – À RADIOGRAPHIER",AK836="NX – RT À REFAIRE"),OR('PROGRAMME RT'!$D$5="TOUTES",B836='PROGRAMME RT'!$D$5)),1,0)</f>
        <v>0</v>
      </c>
      <c r="AN836" s="78" t="str">
        <f aca="false">IF(AM836=1,SUM(AM$7:AM836),"")</f>
        <v/>
      </c>
      <c r="AO836" s="78" t="n">
        <f aca="false">IF(AND(OR(AK836="À RÉPARER",AK836="COUPE – À RESOUDER",AK836="VT REJETÉ – À REPRENDRE"),OR(RÉPARATIONS!$D$5="TOUTES",B836=RÉPARATIONS!$D$5)),1,0)</f>
        <v>0</v>
      </c>
      <c r="AP836" s="78" t="str">
        <f aca="false">IF(AO836=1,SUM(AO$7:AO836),"")</f>
        <v/>
      </c>
    </row>
    <row r="837" customFormat="false" ht="15" hidden="false" customHeight="false" outlineLevel="0" collapsed="false">
      <c r="A837" s="78" t="str">
        <f aca="false">IF(E837="","",ROW()-6)</f>
        <v/>
      </c>
      <c r="B837" s="79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1"/>
      <c r="Q837" s="81"/>
      <c r="R837" s="80"/>
      <c r="S837" s="80"/>
      <c r="T837" s="81"/>
      <c r="U837" s="80"/>
      <c r="V837" s="80"/>
      <c r="W837" s="80"/>
      <c r="X837" s="80"/>
      <c r="Y837" s="81"/>
      <c r="Z837" s="80"/>
      <c r="AA837" s="80"/>
      <c r="AB837" s="80"/>
      <c r="AC837" s="80"/>
      <c r="AD837" s="81"/>
      <c r="AE837" s="80"/>
      <c r="AF837" s="80"/>
      <c r="AG837" s="81"/>
      <c r="AH837" s="79"/>
      <c r="AI837" s="78" t="str">
        <f aca="false">IF(E837="","",(V837&lt;&gt;"")+(AA837&lt;&gt;"")+(AF837&lt;&gt;""))</f>
        <v/>
      </c>
      <c r="AJ837" s="82" t="str">
        <f aca="false">IF(AF837&lt;&gt;"",AF837,IF(AA837&lt;&gt;"",AA837,IF(V837&lt;&gt;"",V837,"")))</f>
        <v/>
      </c>
      <c r="AK837" s="83" t="str">
        <f aca="false">IF(E837="","",IF(P837="","À SOUDER",IF(S837="","VT EN ATTENTE",IF(S837="R","VT REJETÉ – À REPRENDRE",IF(AJ837="","À RADIOGRAPHIER",IF(AJ837="A","ACCEPTÉ",IF(AJ837="NX","NX – RT À REFAIRE",IF(IF(AI837=1,X837,IF(AI837=2,AC837,""))="A","RÉPARÉ – À RADIOGRAPHIER",IF(IF(AI837=1,X837,IF(AI837=2,AC837,""))="R","VT REJETÉ – À REPRENDRE",IF(AJ837="CO","COUPE – À RESOUDER","À RÉPARER"))))))))))</f>
        <v/>
      </c>
      <c r="AL837" s="82" t="str">
        <f aca="false">IF(AND(ISNUMBER(P837),OR(AK837="À RADIOGRAPHIER",AK837="RÉPARÉ – À RADIOGRAPHIER",AK837="NX – RT À REFAIRE",AK837="À RÉPARER",AK837="COUPE – À RESOUDER",AK837="VT REJETÉ – À REPRENDRE")),MAX(0,'PROGRAMME RT'!$C$4-P837),"")</f>
        <v/>
      </c>
      <c r="AM837" s="78" t="n">
        <f aca="false">IF(AND(OR(AK837="À RADIOGRAPHIER",AK837="RÉPARÉ – À RADIOGRAPHIER",AK837="NX – RT À REFAIRE"),OR('PROGRAMME RT'!$D$5="TOUTES",B837='PROGRAMME RT'!$D$5)),1,0)</f>
        <v>0</v>
      </c>
      <c r="AN837" s="78" t="str">
        <f aca="false">IF(AM837=1,SUM(AM$7:AM837),"")</f>
        <v/>
      </c>
      <c r="AO837" s="78" t="n">
        <f aca="false">IF(AND(OR(AK837="À RÉPARER",AK837="COUPE – À RESOUDER",AK837="VT REJETÉ – À REPRENDRE"),OR(RÉPARATIONS!$D$5="TOUTES",B837=RÉPARATIONS!$D$5)),1,0)</f>
        <v>0</v>
      </c>
      <c r="AP837" s="78" t="str">
        <f aca="false">IF(AO837=1,SUM(AO$7:AO837),"")</f>
        <v/>
      </c>
    </row>
    <row r="838" customFormat="false" ht="15" hidden="false" customHeight="false" outlineLevel="0" collapsed="false">
      <c r="A838" s="78" t="str">
        <f aca="false">IF(E838="","",ROW()-6)</f>
        <v/>
      </c>
      <c r="B838" s="79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1"/>
      <c r="Q838" s="81"/>
      <c r="R838" s="80"/>
      <c r="S838" s="80"/>
      <c r="T838" s="81"/>
      <c r="U838" s="80"/>
      <c r="V838" s="80"/>
      <c r="W838" s="80"/>
      <c r="X838" s="80"/>
      <c r="Y838" s="81"/>
      <c r="Z838" s="80"/>
      <c r="AA838" s="80"/>
      <c r="AB838" s="80"/>
      <c r="AC838" s="80"/>
      <c r="AD838" s="81"/>
      <c r="AE838" s="80"/>
      <c r="AF838" s="80"/>
      <c r="AG838" s="81"/>
      <c r="AH838" s="79"/>
      <c r="AI838" s="78" t="str">
        <f aca="false">IF(E838="","",(V838&lt;&gt;"")+(AA838&lt;&gt;"")+(AF838&lt;&gt;""))</f>
        <v/>
      </c>
      <c r="AJ838" s="82" t="str">
        <f aca="false">IF(AF838&lt;&gt;"",AF838,IF(AA838&lt;&gt;"",AA838,IF(V838&lt;&gt;"",V838,"")))</f>
        <v/>
      </c>
      <c r="AK838" s="83" t="str">
        <f aca="false">IF(E838="","",IF(P838="","À SOUDER",IF(S838="","VT EN ATTENTE",IF(S838="R","VT REJETÉ – À REPRENDRE",IF(AJ838="","À RADIOGRAPHIER",IF(AJ838="A","ACCEPTÉ",IF(AJ838="NX","NX – RT À REFAIRE",IF(IF(AI838=1,X838,IF(AI838=2,AC838,""))="A","RÉPARÉ – À RADIOGRAPHIER",IF(IF(AI838=1,X838,IF(AI838=2,AC838,""))="R","VT REJETÉ – À REPRENDRE",IF(AJ838="CO","COUPE – À RESOUDER","À RÉPARER"))))))))))</f>
        <v/>
      </c>
      <c r="AL838" s="82" t="str">
        <f aca="false">IF(AND(ISNUMBER(P838),OR(AK838="À RADIOGRAPHIER",AK838="RÉPARÉ – À RADIOGRAPHIER",AK838="NX – RT À REFAIRE",AK838="À RÉPARER",AK838="COUPE – À RESOUDER",AK838="VT REJETÉ – À REPRENDRE")),MAX(0,'PROGRAMME RT'!$C$4-P838),"")</f>
        <v/>
      </c>
      <c r="AM838" s="78" t="n">
        <f aca="false">IF(AND(OR(AK838="À RADIOGRAPHIER",AK838="RÉPARÉ – À RADIOGRAPHIER",AK838="NX – RT À REFAIRE"),OR('PROGRAMME RT'!$D$5="TOUTES",B838='PROGRAMME RT'!$D$5)),1,0)</f>
        <v>0</v>
      </c>
      <c r="AN838" s="78" t="str">
        <f aca="false">IF(AM838=1,SUM(AM$7:AM838),"")</f>
        <v/>
      </c>
      <c r="AO838" s="78" t="n">
        <f aca="false">IF(AND(OR(AK838="À RÉPARER",AK838="COUPE – À RESOUDER",AK838="VT REJETÉ – À REPRENDRE"),OR(RÉPARATIONS!$D$5="TOUTES",B838=RÉPARATIONS!$D$5)),1,0)</f>
        <v>0</v>
      </c>
      <c r="AP838" s="78" t="str">
        <f aca="false">IF(AO838=1,SUM(AO$7:AO838),"")</f>
        <v/>
      </c>
    </row>
    <row r="839" customFormat="false" ht="15" hidden="false" customHeight="false" outlineLevel="0" collapsed="false">
      <c r="A839" s="78" t="str">
        <f aca="false">IF(E839="","",ROW()-6)</f>
        <v/>
      </c>
      <c r="B839" s="79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1"/>
      <c r="Q839" s="81"/>
      <c r="R839" s="80"/>
      <c r="S839" s="80"/>
      <c r="T839" s="81"/>
      <c r="U839" s="80"/>
      <c r="V839" s="80"/>
      <c r="W839" s="80"/>
      <c r="X839" s="80"/>
      <c r="Y839" s="81"/>
      <c r="Z839" s="80"/>
      <c r="AA839" s="80"/>
      <c r="AB839" s="80"/>
      <c r="AC839" s="80"/>
      <c r="AD839" s="81"/>
      <c r="AE839" s="80"/>
      <c r="AF839" s="80"/>
      <c r="AG839" s="81"/>
      <c r="AH839" s="79"/>
      <c r="AI839" s="78" t="str">
        <f aca="false">IF(E839="","",(V839&lt;&gt;"")+(AA839&lt;&gt;"")+(AF839&lt;&gt;""))</f>
        <v/>
      </c>
      <c r="AJ839" s="82" t="str">
        <f aca="false">IF(AF839&lt;&gt;"",AF839,IF(AA839&lt;&gt;"",AA839,IF(V839&lt;&gt;"",V839,"")))</f>
        <v/>
      </c>
      <c r="AK839" s="83" t="str">
        <f aca="false">IF(E839="","",IF(P839="","À SOUDER",IF(S839="","VT EN ATTENTE",IF(S839="R","VT REJETÉ – À REPRENDRE",IF(AJ839="","À RADIOGRAPHIER",IF(AJ839="A","ACCEPTÉ",IF(AJ839="NX","NX – RT À REFAIRE",IF(IF(AI839=1,X839,IF(AI839=2,AC839,""))="A","RÉPARÉ – À RADIOGRAPHIER",IF(IF(AI839=1,X839,IF(AI839=2,AC839,""))="R","VT REJETÉ – À REPRENDRE",IF(AJ839="CO","COUPE – À RESOUDER","À RÉPARER"))))))))))</f>
        <v/>
      </c>
      <c r="AL839" s="82" t="str">
        <f aca="false">IF(AND(ISNUMBER(P839),OR(AK839="À RADIOGRAPHIER",AK839="RÉPARÉ – À RADIOGRAPHIER",AK839="NX – RT À REFAIRE",AK839="À RÉPARER",AK839="COUPE – À RESOUDER",AK839="VT REJETÉ – À REPRENDRE")),MAX(0,'PROGRAMME RT'!$C$4-P839),"")</f>
        <v/>
      </c>
      <c r="AM839" s="78" t="n">
        <f aca="false">IF(AND(OR(AK839="À RADIOGRAPHIER",AK839="RÉPARÉ – À RADIOGRAPHIER",AK839="NX – RT À REFAIRE"),OR('PROGRAMME RT'!$D$5="TOUTES",B839='PROGRAMME RT'!$D$5)),1,0)</f>
        <v>0</v>
      </c>
      <c r="AN839" s="78" t="str">
        <f aca="false">IF(AM839=1,SUM(AM$7:AM839),"")</f>
        <v/>
      </c>
      <c r="AO839" s="78" t="n">
        <f aca="false">IF(AND(OR(AK839="À RÉPARER",AK839="COUPE – À RESOUDER",AK839="VT REJETÉ – À REPRENDRE"),OR(RÉPARATIONS!$D$5="TOUTES",B839=RÉPARATIONS!$D$5)),1,0)</f>
        <v>0</v>
      </c>
      <c r="AP839" s="78" t="str">
        <f aca="false">IF(AO839=1,SUM(AO$7:AO839),"")</f>
        <v/>
      </c>
    </row>
    <row r="840" customFormat="false" ht="15" hidden="false" customHeight="false" outlineLevel="0" collapsed="false">
      <c r="A840" s="78" t="str">
        <f aca="false">IF(E840="","",ROW()-6)</f>
        <v/>
      </c>
      <c r="B840" s="79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1"/>
      <c r="Q840" s="81"/>
      <c r="R840" s="80"/>
      <c r="S840" s="80"/>
      <c r="T840" s="81"/>
      <c r="U840" s="80"/>
      <c r="V840" s="80"/>
      <c r="W840" s="80"/>
      <c r="X840" s="80"/>
      <c r="Y840" s="81"/>
      <c r="Z840" s="80"/>
      <c r="AA840" s="80"/>
      <c r="AB840" s="80"/>
      <c r="AC840" s="80"/>
      <c r="AD840" s="81"/>
      <c r="AE840" s="80"/>
      <c r="AF840" s="80"/>
      <c r="AG840" s="81"/>
      <c r="AH840" s="79"/>
      <c r="AI840" s="78" t="str">
        <f aca="false">IF(E840="","",(V840&lt;&gt;"")+(AA840&lt;&gt;"")+(AF840&lt;&gt;""))</f>
        <v/>
      </c>
      <c r="AJ840" s="82" t="str">
        <f aca="false">IF(AF840&lt;&gt;"",AF840,IF(AA840&lt;&gt;"",AA840,IF(V840&lt;&gt;"",V840,"")))</f>
        <v/>
      </c>
      <c r="AK840" s="83" t="str">
        <f aca="false">IF(E840="","",IF(P840="","À SOUDER",IF(S840="","VT EN ATTENTE",IF(S840="R","VT REJETÉ – À REPRENDRE",IF(AJ840="","À RADIOGRAPHIER",IF(AJ840="A","ACCEPTÉ",IF(AJ840="NX","NX – RT À REFAIRE",IF(IF(AI840=1,X840,IF(AI840=2,AC840,""))="A","RÉPARÉ – À RADIOGRAPHIER",IF(IF(AI840=1,X840,IF(AI840=2,AC840,""))="R","VT REJETÉ – À REPRENDRE",IF(AJ840="CO","COUPE – À RESOUDER","À RÉPARER"))))))))))</f>
        <v/>
      </c>
      <c r="AL840" s="82" t="str">
        <f aca="false">IF(AND(ISNUMBER(P840),OR(AK840="À RADIOGRAPHIER",AK840="RÉPARÉ – À RADIOGRAPHIER",AK840="NX – RT À REFAIRE",AK840="À RÉPARER",AK840="COUPE – À RESOUDER",AK840="VT REJETÉ – À REPRENDRE")),MAX(0,'PROGRAMME RT'!$C$4-P840),"")</f>
        <v/>
      </c>
      <c r="AM840" s="78" t="n">
        <f aca="false">IF(AND(OR(AK840="À RADIOGRAPHIER",AK840="RÉPARÉ – À RADIOGRAPHIER",AK840="NX – RT À REFAIRE"),OR('PROGRAMME RT'!$D$5="TOUTES",B840='PROGRAMME RT'!$D$5)),1,0)</f>
        <v>0</v>
      </c>
      <c r="AN840" s="78" t="str">
        <f aca="false">IF(AM840=1,SUM(AM$7:AM840),"")</f>
        <v/>
      </c>
      <c r="AO840" s="78" t="n">
        <f aca="false">IF(AND(OR(AK840="À RÉPARER",AK840="COUPE – À RESOUDER",AK840="VT REJETÉ – À REPRENDRE"),OR(RÉPARATIONS!$D$5="TOUTES",B840=RÉPARATIONS!$D$5)),1,0)</f>
        <v>0</v>
      </c>
      <c r="AP840" s="78" t="str">
        <f aca="false">IF(AO840=1,SUM(AO$7:AO840),"")</f>
        <v/>
      </c>
    </row>
    <row r="841" customFormat="false" ht="15" hidden="false" customHeight="false" outlineLevel="0" collapsed="false">
      <c r="A841" s="78" t="str">
        <f aca="false">IF(E841="","",ROW()-6)</f>
        <v/>
      </c>
      <c r="B841" s="79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1"/>
      <c r="Q841" s="81"/>
      <c r="R841" s="80"/>
      <c r="S841" s="80"/>
      <c r="T841" s="81"/>
      <c r="U841" s="80"/>
      <c r="V841" s="80"/>
      <c r="W841" s="80"/>
      <c r="X841" s="80"/>
      <c r="Y841" s="81"/>
      <c r="Z841" s="80"/>
      <c r="AA841" s="80"/>
      <c r="AB841" s="80"/>
      <c r="AC841" s="80"/>
      <c r="AD841" s="81"/>
      <c r="AE841" s="80"/>
      <c r="AF841" s="80"/>
      <c r="AG841" s="81"/>
      <c r="AH841" s="79"/>
      <c r="AI841" s="78" t="str">
        <f aca="false">IF(E841="","",(V841&lt;&gt;"")+(AA841&lt;&gt;"")+(AF841&lt;&gt;""))</f>
        <v/>
      </c>
      <c r="AJ841" s="82" t="str">
        <f aca="false">IF(AF841&lt;&gt;"",AF841,IF(AA841&lt;&gt;"",AA841,IF(V841&lt;&gt;"",V841,"")))</f>
        <v/>
      </c>
      <c r="AK841" s="83" t="str">
        <f aca="false">IF(E841="","",IF(P841="","À SOUDER",IF(S841="","VT EN ATTENTE",IF(S841="R","VT REJETÉ – À REPRENDRE",IF(AJ841="","À RADIOGRAPHIER",IF(AJ841="A","ACCEPTÉ",IF(AJ841="NX","NX – RT À REFAIRE",IF(IF(AI841=1,X841,IF(AI841=2,AC841,""))="A","RÉPARÉ – À RADIOGRAPHIER",IF(IF(AI841=1,X841,IF(AI841=2,AC841,""))="R","VT REJETÉ – À REPRENDRE",IF(AJ841="CO","COUPE – À RESOUDER","À RÉPARER"))))))))))</f>
        <v/>
      </c>
      <c r="AL841" s="82" t="str">
        <f aca="false">IF(AND(ISNUMBER(P841),OR(AK841="À RADIOGRAPHIER",AK841="RÉPARÉ – À RADIOGRAPHIER",AK841="NX – RT À REFAIRE",AK841="À RÉPARER",AK841="COUPE – À RESOUDER",AK841="VT REJETÉ – À REPRENDRE")),MAX(0,'PROGRAMME RT'!$C$4-P841),"")</f>
        <v/>
      </c>
      <c r="AM841" s="78" t="n">
        <f aca="false">IF(AND(OR(AK841="À RADIOGRAPHIER",AK841="RÉPARÉ – À RADIOGRAPHIER",AK841="NX – RT À REFAIRE"),OR('PROGRAMME RT'!$D$5="TOUTES",B841='PROGRAMME RT'!$D$5)),1,0)</f>
        <v>0</v>
      </c>
      <c r="AN841" s="78" t="str">
        <f aca="false">IF(AM841=1,SUM(AM$7:AM841),"")</f>
        <v/>
      </c>
      <c r="AO841" s="78" t="n">
        <f aca="false">IF(AND(OR(AK841="À RÉPARER",AK841="COUPE – À RESOUDER",AK841="VT REJETÉ – À REPRENDRE"),OR(RÉPARATIONS!$D$5="TOUTES",B841=RÉPARATIONS!$D$5)),1,0)</f>
        <v>0</v>
      </c>
      <c r="AP841" s="78" t="str">
        <f aca="false">IF(AO841=1,SUM(AO$7:AO841),"")</f>
        <v/>
      </c>
    </row>
    <row r="842" customFormat="false" ht="15" hidden="false" customHeight="false" outlineLevel="0" collapsed="false">
      <c r="A842" s="78" t="str">
        <f aca="false">IF(E842="","",ROW()-6)</f>
        <v/>
      </c>
      <c r="B842" s="79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1"/>
      <c r="Q842" s="81"/>
      <c r="R842" s="80"/>
      <c r="S842" s="80"/>
      <c r="T842" s="81"/>
      <c r="U842" s="80"/>
      <c r="V842" s="80"/>
      <c r="W842" s="80"/>
      <c r="X842" s="80"/>
      <c r="Y842" s="81"/>
      <c r="Z842" s="80"/>
      <c r="AA842" s="80"/>
      <c r="AB842" s="80"/>
      <c r="AC842" s="80"/>
      <c r="AD842" s="81"/>
      <c r="AE842" s="80"/>
      <c r="AF842" s="80"/>
      <c r="AG842" s="81"/>
      <c r="AH842" s="79"/>
      <c r="AI842" s="78" t="str">
        <f aca="false">IF(E842="","",(V842&lt;&gt;"")+(AA842&lt;&gt;"")+(AF842&lt;&gt;""))</f>
        <v/>
      </c>
      <c r="AJ842" s="82" t="str">
        <f aca="false">IF(AF842&lt;&gt;"",AF842,IF(AA842&lt;&gt;"",AA842,IF(V842&lt;&gt;"",V842,"")))</f>
        <v/>
      </c>
      <c r="AK842" s="83" t="str">
        <f aca="false">IF(E842="","",IF(P842="","À SOUDER",IF(S842="","VT EN ATTENTE",IF(S842="R","VT REJETÉ – À REPRENDRE",IF(AJ842="","À RADIOGRAPHIER",IF(AJ842="A","ACCEPTÉ",IF(AJ842="NX","NX – RT À REFAIRE",IF(IF(AI842=1,X842,IF(AI842=2,AC842,""))="A","RÉPARÉ – À RADIOGRAPHIER",IF(IF(AI842=1,X842,IF(AI842=2,AC842,""))="R","VT REJETÉ – À REPRENDRE",IF(AJ842="CO","COUPE – À RESOUDER","À RÉPARER"))))))))))</f>
        <v/>
      </c>
      <c r="AL842" s="82" t="str">
        <f aca="false">IF(AND(ISNUMBER(P842),OR(AK842="À RADIOGRAPHIER",AK842="RÉPARÉ – À RADIOGRAPHIER",AK842="NX – RT À REFAIRE",AK842="À RÉPARER",AK842="COUPE – À RESOUDER",AK842="VT REJETÉ – À REPRENDRE")),MAX(0,'PROGRAMME RT'!$C$4-P842),"")</f>
        <v/>
      </c>
      <c r="AM842" s="78" t="n">
        <f aca="false">IF(AND(OR(AK842="À RADIOGRAPHIER",AK842="RÉPARÉ – À RADIOGRAPHIER",AK842="NX – RT À REFAIRE"),OR('PROGRAMME RT'!$D$5="TOUTES",B842='PROGRAMME RT'!$D$5)),1,0)</f>
        <v>0</v>
      </c>
      <c r="AN842" s="78" t="str">
        <f aca="false">IF(AM842=1,SUM(AM$7:AM842),"")</f>
        <v/>
      </c>
      <c r="AO842" s="78" t="n">
        <f aca="false">IF(AND(OR(AK842="À RÉPARER",AK842="COUPE – À RESOUDER",AK842="VT REJETÉ – À REPRENDRE"),OR(RÉPARATIONS!$D$5="TOUTES",B842=RÉPARATIONS!$D$5)),1,0)</f>
        <v>0</v>
      </c>
      <c r="AP842" s="78" t="str">
        <f aca="false">IF(AO842=1,SUM(AO$7:AO842),"")</f>
        <v/>
      </c>
    </row>
    <row r="843" customFormat="false" ht="15" hidden="false" customHeight="false" outlineLevel="0" collapsed="false">
      <c r="A843" s="78" t="str">
        <f aca="false">IF(E843="","",ROW()-6)</f>
        <v/>
      </c>
      <c r="B843" s="79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1"/>
      <c r="Q843" s="81"/>
      <c r="R843" s="80"/>
      <c r="S843" s="80"/>
      <c r="T843" s="81"/>
      <c r="U843" s="80"/>
      <c r="V843" s="80"/>
      <c r="W843" s="80"/>
      <c r="X843" s="80"/>
      <c r="Y843" s="81"/>
      <c r="Z843" s="80"/>
      <c r="AA843" s="80"/>
      <c r="AB843" s="80"/>
      <c r="AC843" s="80"/>
      <c r="AD843" s="81"/>
      <c r="AE843" s="80"/>
      <c r="AF843" s="80"/>
      <c r="AG843" s="81"/>
      <c r="AH843" s="79"/>
      <c r="AI843" s="78" t="str">
        <f aca="false">IF(E843="","",(V843&lt;&gt;"")+(AA843&lt;&gt;"")+(AF843&lt;&gt;""))</f>
        <v/>
      </c>
      <c r="AJ843" s="82" t="str">
        <f aca="false">IF(AF843&lt;&gt;"",AF843,IF(AA843&lt;&gt;"",AA843,IF(V843&lt;&gt;"",V843,"")))</f>
        <v/>
      </c>
      <c r="AK843" s="83" t="str">
        <f aca="false">IF(E843="","",IF(P843="","À SOUDER",IF(S843="","VT EN ATTENTE",IF(S843="R","VT REJETÉ – À REPRENDRE",IF(AJ843="","À RADIOGRAPHIER",IF(AJ843="A","ACCEPTÉ",IF(AJ843="NX","NX – RT À REFAIRE",IF(IF(AI843=1,X843,IF(AI843=2,AC843,""))="A","RÉPARÉ – À RADIOGRAPHIER",IF(IF(AI843=1,X843,IF(AI843=2,AC843,""))="R","VT REJETÉ – À REPRENDRE",IF(AJ843="CO","COUPE – À RESOUDER","À RÉPARER"))))))))))</f>
        <v/>
      </c>
      <c r="AL843" s="82" t="str">
        <f aca="false">IF(AND(ISNUMBER(P843),OR(AK843="À RADIOGRAPHIER",AK843="RÉPARÉ – À RADIOGRAPHIER",AK843="NX – RT À REFAIRE",AK843="À RÉPARER",AK843="COUPE – À RESOUDER",AK843="VT REJETÉ – À REPRENDRE")),MAX(0,'PROGRAMME RT'!$C$4-P843),"")</f>
        <v/>
      </c>
      <c r="AM843" s="78" t="n">
        <f aca="false">IF(AND(OR(AK843="À RADIOGRAPHIER",AK843="RÉPARÉ – À RADIOGRAPHIER",AK843="NX – RT À REFAIRE"),OR('PROGRAMME RT'!$D$5="TOUTES",B843='PROGRAMME RT'!$D$5)),1,0)</f>
        <v>0</v>
      </c>
      <c r="AN843" s="78" t="str">
        <f aca="false">IF(AM843=1,SUM(AM$7:AM843),"")</f>
        <v/>
      </c>
      <c r="AO843" s="78" t="n">
        <f aca="false">IF(AND(OR(AK843="À RÉPARER",AK843="COUPE – À RESOUDER",AK843="VT REJETÉ – À REPRENDRE"),OR(RÉPARATIONS!$D$5="TOUTES",B843=RÉPARATIONS!$D$5)),1,0)</f>
        <v>0</v>
      </c>
      <c r="AP843" s="78" t="str">
        <f aca="false">IF(AO843=1,SUM(AO$7:AO843),"")</f>
        <v/>
      </c>
    </row>
    <row r="844" customFormat="false" ht="15" hidden="false" customHeight="false" outlineLevel="0" collapsed="false">
      <c r="A844" s="78" t="str">
        <f aca="false">IF(E844="","",ROW()-6)</f>
        <v/>
      </c>
      <c r="B844" s="79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1"/>
      <c r="Q844" s="81"/>
      <c r="R844" s="80"/>
      <c r="S844" s="80"/>
      <c r="T844" s="81"/>
      <c r="U844" s="80"/>
      <c r="V844" s="80"/>
      <c r="W844" s="80"/>
      <c r="X844" s="80"/>
      <c r="Y844" s="81"/>
      <c r="Z844" s="80"/>
      <c r="AA844" s="80"/>
      <c r="AB844" s="80"/>
      <c r="AC844" s="80"/>
      <c r="AD844" s="81"/>
      <c r="AE844" s="80"/>
      <c r="AF844" s="80"/>
      <c r="AG844" s="81"/>
      <c r="AH844" s="79"/>
      <c r="AI844" s="78" t="str">
        <f aca="false">IF(E844="","",(V844&lt;&gt;"")+(AA844&lt;&gt;"")+(AF844&lt;&gt;""))</f>
        <v/>
      </c>
      <c r="AJ844" s="82" t="str">
        <f aca="false">IF(AF844&lt;&gt;"",AF844,IF(AA844&lt;&gt;"",AA844,IF(V844&lt;&gt;"",V844,"")))</f>
        <v/>
      </c>
      <c r="AK844" s="83" t="str">
        <f aca="false">IF(E844="","",IF(P844="","À SOUDER",IF(S844="","VT EN ATTENTE",IF(S844="R","VT REJETÉ – À REPRENDRE",IF(AJ844="","À RADIOGRAPHIER",IF(AJ844="A","ACCEPTÉ",IF(AJ844="NX","NX – RT À REFAIRE",IF(IF(AI844=1,X844,IF(AI844=2,AC844,""))="A","RÉPARÉ – À RADIOGRAPHIER",IF(IF(AI844=1,X844,IF(AI844=2,AC844,""))="R","VT REJETÉ – À REPRENDRE",IF(AJ844="CO","COUPE – À RESOUDER","À RÉPARER"))))))))))</f>
        <v/>
      </c>
      <c r="AL844" s="82" t="str">
        <f aca="false">IF(AND(ISNUMBER(P844),OR(AK844="À RADIOGRAPHIER",AK844="RÉPARÉ – À RADIOGRAPHIER",AK844="NX – RT À REFAIRE",AK844="À RÉPARER",AK844="COUPE – À RESOUDER",AK844="VT REJETÉ – À REPRENDRE")),MAX(0,'PROGRAMME RT'!$C$4-P844),"")</f>
        <v/>
      </c>
      <c r="AM844" s="78" t="n">
        <f aca="false">IF(AND(OR(AK844="À RADIOGRAPHIER",AK844="RÉPARÉ – À RADIOGRAPHIER",AK844="NX – RT À REFAIRE"),OR('PROGRAMME RT'!$D$5="TOUTES",B844='PROGRAMME RT'!$D$5)),1,0)</f>
        <v>0</v>
      </c>
      <c r="AN844" s="78" t="str">
        <f aca="false">IF(AM844=1,SUM(AM$7:AM844),"")</f>
        <v/>
      </c>
      <c r="AO844" s="78" t="n">
        <f aca="false">IF(AND(OR(AK844="À RÉPARER",AK844="COUPE – À RESOUDER",AK844="VT REJETÉ – À REPRENDRE"),OR(RÉPARATIONS!$D$5="TOUTES",B844=RÉPARATIONS!$D$5)),1,0)</f>
        <v>0</v>
      </c>
      <c r="AP844" s="78" t="str">
        <f aca="false">IF(AO844=1,SUM(AO$7:AO844),"")</f>
        <v/>
      </c>
    </row>
    <row r="845" customFormat="false" ht="15" hidden="false" customHeight="false" outlineLevel="0" collapsed="false">
      <c r="A845" s="78" t="str">
        <f aca="false">IF(E845="","",ROW()-6)</f>
        <v/>
      </c>
      <c r="B845" s="79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1"/>
      <c r="Q845" s="81"/>
      <c r="R845" s="80"/>
      <c r="S845" s="80"/>
      <c r="T845" s="81"/>
      <c r="U845" s="80"/>
      <c r="V845" s="80"/>
      <c r="W845" s="80"/>
      <c r="X845" s="80"/>
      <c r="Y845" s="81"/>
      <c r="Z845" s="80"/>
      <c r="AA845" s="80"/>
      <c r="AB845" s="80"/>
      <c r="AC845" s="80"/>
      <c r="AD845" s="81"/>
      <c r="AE845" s="80"/>
      <c r="AF845" s="80"/>
      <c r="AG845" s="81"/>
      <c r="AH845" s="79"/>
      <c r="AI845" s="78" t="str">
        <f aca="false">IF(E845="","",(V845&lt;&gt;"")+(AA845&lt;&gt;"")+(AF845&lt;&gt;""))</f>
        <v/>
      </c>
      <c r="AJ845" s="82" t="str">
        <f aca="false">IF(AF845&lt;&gt;"",AF845,IF(AA845&lt;&gt;"",AA845,IF(V845&lt;&gt;"",V845,"")))</f>
        <v/>
      </c>
      <c r="AK845" s="83" t="str">
        <f aca="false">IF(E845="","",IF(P845="","À SOUDER",IF(S845="","VT EN ATTENTE",IF(S845="R","VT REJETÉ – À REPRENDRE",IF(AJ845="","À RADIOGRAPHIER",IF(AJ845="A","ACCEPTÉ",IF(AJ845="NX","NX – RT À REFAIRE",IF(IF(AI845=1,X845,IF(AI845=2,AC845,""))="A","RÉPARÉ – À RADIOGRAPHIER",IF(IF(AI845=1,X845,IF(AI845=2,AC845,""))="R","VT REJETÉ – À REPRENDRE",IF(AJ845="CO","COUPE – À RESOUDER","À RÉPARER"))))))))))</f>
        <v/>
      </c>
      <c r="AL845" s="82" t="str">
        <f aca="false">IF(AND(ISNUMBER(P845),OR(AK845="À RADIOGRAPHIER",AK845="RÉPARÉ – À RADIOGRAPHIER",AK845="NX – RT À REFAIRE",AK845="À RÉPARER",AK845="COUPE – À RESOUDER",AK845="VT REJETÉ – À REPRENDRE")),MAX(0,'PROGRAMME RT'!$C$4-P845),"")</f>
        <v/>
      </c>
      <c r="AM845" s="78" t="n">
        <f aca="false">IF(AND(OR(AK845="À RADIOGRAPHIER",AK845="RÉPARÉ – À RADIOGRAPHIER",AK845="NX – RT À REFAIRE"),OR('PROGRAMME RT'!$D$5="TOUTES",B845='PROGRAMME RT'!$D$5)),1,0)</f>
        <v>0</v>
      </c>
      <c r="AN845" s="78" t="str">
        <f aca="false">IF(AM845=1,SUM(AM$7:AM845),"")</f>
        <v/>
      </c>
      <c r="AO845" s="78" t="n">
        <f aca="false">IF(AND(OR(AK845="À RÉPARER",AK845="COUPE – À RESOUDER",AK845="VT REJETÉ – À REPRENDRE"),OR(RÉPARATIONS!$D$5="TOUTES",B845=RÉPARATIONS!$D$5)),1,0)</f>
        <v>0</v>
      </c>
      <c r="AP845" s="78" t="str">
        <f aca="false">IF(AO845=1,SUM(AO$7:AO845),"")</f>
        <v/>
      </c>
    </row>
    <row r="846" customFormat="false" ht="15" hidden="false" customHeight="false" outlineLevel="0" collapsed="false">
      <c r="A846" s="78" t="str">
        <f aca="false">IF(E846="","",ROW()-6)</f>
        <v/>
      </c>
      <c r="B846" s="79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1"/>
      <c r="Q846" s="81"/>
      <c r="R846" s="80"/>
      <c r="S846" s="80"/>
      <c r="T846" s="81"/>
      <c r="U846" s="80"/>
      <c r="V846" s="80"/>
      <c r="W846" s="80"/>
      <c r="X846" s="80"/>
      <c r="Y846" s="81"/>
      <c r="Z846" s="80"/>
      <c r="AA846" s="80"/>
      <c r="AB846" s="80"/>
      <c r="AC846" s="80"/>
      <c r="AD846" s="81"/>
      <c r="AE846" s="80"/>
      <c r="AF846" s="80"/>
      <c r="AG846" s="81"/>
      <c r="AH846" s="79"/>
      <c r="AI846" s="78" t="str">
        <f aca="false">IF(E846="","",(V846&lt;&gt;"")+(AA846&lt;&gt;"")+(AF846&lt;&gt;""))</f>
        <v/>
      </c>
      <c r="AJ846" s="82" t="str">
        <f aca="false">IF(AF846&lt;&gt;"",AF846,IF(AA846&lt;&gt;"",AA846,IF(V846&lt;&gt;"",V846,"")))</f>
        <v/>
      </c>
      <c r="AK846" s="83" t="str">
        <f aca="false">IF(E846="","",IF(P846="","À SOUDER",IF(S846="","VT EN ATTENTE",IF(S846="R","VT REJETÉ – À REPRENDRE",IF(AJ846="","À RADIOGRAPHIER",IF(AJ846="A","ACCEPTÉ",IF(AJ846="NX","NX – RT À REFAIRE",IF(IF(AI846=1,X846,IF(AI846=2,AC846,""))="A","RÉPARÉ – À RADIOGRAPHIER",IF(IF(AI846=1,X846,IF(AI846=2,AC846,""))="R","VT REJETÉ – À REPRENDRE",IF(AJ846="CO","COUPE – À RESOUDER","À RÉPARER"))))))))))</f>
        <v/>
      </c>
      <c r="AL846" s="82" t="str">
        <f aca="false">IF(AND(ISNUMBER(P846),OR(AK846="À RADIOGRAPHIER",AK846="RÉPARÉ – À RADIOGRAPHIER",AK846="NX – RT À REFAIRE",AK846="À RÉPARER",AK846="COUPE – À RESOUDER",AK846="VT REJETÉ – À REPRENDRE")),MAX(0,'PROGRAMME RT'!$C$4-P846),"")</f>
        <v/>
      </c>
      <c r="AM846" s="78" t="n">
        <f aca="false">IF(AND(OR(AK846="À RADIOGRAPHIER",AK846="RÉPARÉ – À RADIOGRAPHIER",AK846="NX – RT À REFAIRE"),OR('PROGRAMME RT'!$D$5="TOUTES",B846='PROGRAMME RT'!$D$5)),1,0)</f>
        <v>0</v>
      </c>
      <c r="AN846" s="78" t="str">
        <f aca="false">IF(AM846=1,SUM(AM$7:AM846),"")</f>
        <v/>
      </c>
      <c r="AO846" s="78" t="n">
        <f aca="false">IF(AND(OR(AK846="À RÉPARER",AK846="COUPE – À RESOUDER",AK846="VT REJETÉ – À REPRENDRE"),OR(RÉPARATIONS!$D$5="TOUTES",B846=RÉPARATIONS!$D$5)),1,0)</f>
        <v>0</v>
      </c>
      <c r="AP846" s="78" t="str">
        <f aca="false">IF(AO846=1,SUM(AO$7:AO846),"")</f>
        <v/>
      </c>
    </row>
    <row r="847" customFormat="false" ht="15" hidden="false" customHeight="false" outlineLevel="0" collapsed="false">
      <c r="A847" s="78" t="str">
        <f aca="false">IF(E847="","",ROW()-6)</f>
        <v/>
      </c>
      <c r="B847" s="79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1"/>
      <c r="Q847" s="81"/>
      <c r="R847" s="80"/>
      <c r="S847" s="80"/>
      <c r="T847" s="81"/>
      <c r="U847" s="80"/>
      <c r="V847" s="80"/>
      <c r="W847" s="80"/>
      <c r="X847" s="80"/>
      <c r="Y847" s="81"/>
      <c r="Z847" s="80"/>
      <c r="AA847" s="80"/>
      <c r="AB847" s="80"/>
      <c r="AC847" s="80"/>
      <c r="AD847" s="81"/>
      <c r="AE847" s="80"/>
      <c r="AF847" s="80"/>
      <c r="AG847" s="81"/>
      <c r="AH847" s="79"/>
      <c r="AI847" s="78" t="str">
        <f aca="false">IF(E847="","",(V847&lt;&gt;"")+(AA847&lt;&gt;"")+(AF847&lt;&gt;""))</f>
        <v/>
      </c>
      <c r="AJ847" s="82" t="str">
        <f aca="false">IF(AF847&lt;&gt;"",AF847,IF(AA847&lt;&gt;"",AA847,IF(V847&lt;&gt;"",V847,"")))</f>
        <v/>
      </c>
      <c r="AK847" s="83" t="str">
        <f aca="false">IF(E847="","",IF(P847="","À SOUDER",IF(S847="","VT EN ATTENTE",IF(S847="R","VT REJETÉ – À REPRENDRE",IF(AJ847="","À RADIOGRAPHIER",IF(AJ847="A","ACCEPTÉ",IF(AJ847="NX","NX – RT À REFAIRE",IF(IF(AI847=1,X847,IF(AI847=2,AC847,""))="A","RÉPARÉ – À RADIOGRAPHIER",IF(IF(AI847=1,X847,IF(AI847=2,AC847,""))="R","VT REJETÉ – À REPRENDRE",IF(AJ847="CO","COUPE – À RESOUDER","À RÉPARER"))))))))))</f>
        <v/>
      </c>
      <c r="AL847" s="82" t="str">
        <f aca="false">IF(AND(ISNUMBER(P847),OR(AK847="À RADIOGRAPHIER",AK847="RÉPARÉ – À RADIOGRAPHIER",AK847="NX – RT À REFAIRE",AK847="À RÉPARER",AK847="COUPE – À RESOUDER",AK847="VT REJETÉ – À REPRENDRE")),MAX(0,'PROGRAMME RT'!$C$4-P847),"")</f>
        <v/>
      </c>
      <c r="AM847" s="78" t="n">
        <f aca="false">IF(AND(OR(AK847="À RADIOGRAPHIER",AK847="RÉPARÉ – À RADIOGRAPHIER",AK847="NX – RT À REFAIRE"),OR('PROGRAMME RT'!$D$5="TOUTES",B847='PROGRAMME RT'!$D$5)),1,0)</f>
        <v>0</v>
      </c>
      <c r="AN847" s="78" t="str">
        <f aca="false">IF(AM847=1,SUM(AM$7:AM847),"")</f>
        <v/>
      </c>
      <c r="AO847" s="78" t="n">
        <f aca="false">IF(AND(OR(AK847="À RÉPARER",AK847="COUPE – À RESOUDER",AK847="VT REJETÉ – À REPRENDRE"),OR(RÉPARATIONS!$D$5="TOUTES",B847=RÉPARATIONS!$D$5)),1,0)</f>
        <v>0</v>
      </c>
      <c r="AP847" s="78" t="str">
        <f aca="false">IF(AO847=1,SUM(AO$7:AO847),"")</f>
        <v/>
      </c>
    </row>
    <row r="848" customFormat="false" ht="15" hidden="false" customHeight="false" outlineLevel="0" collapsed="false">
      <c r="A848" s="78" t="str">
        <f aca="false">IF(E848="","",ROW()-6)</f>
        <v/>
      </c>
      <c r="B848" s="79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1"/>
      <c r="Q848" s="81"/>
      <c r="R848" s="80"/>
      <c r="S848" s="80"/>
      <c r="T848" s="81"/>
      <c r="U848" s="80"/>
      <c r="V848" s="80"/>
      <c r="W848" s="80"/>
      <c r="X848" s="80"/>
      <c r="Y848" s="81"/>
      <c r="Z848" s="80"/>
      <c r="AA848" s="80"/>
      <c r="AB848" s="80"/>
      <c r="AC848" s="80"/>
      <c r="AD848" s="81"/>
      <c r="AE848" s="80"/>
      <c r="AF848" s="80"/>
      <c r="AG848" s="81"/>
      <c r="AH848" s="79"/>
      <c r="AI848" s="78" t="str">
        <f aca="false">IF(E848="","",(V848&lt;&gt;"")+(AA848&lt;&gt;"")+(AF848&lt;&gt;""))</f>
        <v/>
      </c>
      <c r="AJ848" s="82" t="str">
        <f aca="false">IF(AF848&lt;&gt;"",AF848,IF(AA848&lt;&gt;"",AA848,IF(V848&lt;&gt;"",V848,"")))</f>
        <v/>
      </c>
      <c r="AK848" s="83" t="str">
        <f aca="false">IF(E848="","",IF(P848="","À SOUDER",IF(S848="","VT EN ATTENTE",IF(S848="R","VT REJETÉ – À REPRENDRE",IF(AJ848="","À RADIOGRAPHIER",IF(AJ848="A","ACCEPTÉ",IF(AJ848="NX","NX – RT À REFAIRE",IF(IF(AI848=1,X848,IF(AI848=2,AC848,""))="A","RÉPARÉ – À RADIOGRAPHIER",IF(IF(AI848=1,X848,IF(AI848=2,AC848,""))="R","VT REJETÉ – À REPRENDRE",IF(AJ848="CO","COUPE – À RESOUDER","À RÉPARER"))))))))))</f>
        <v/>
      </c>
      <c r="AL848" s="82" t="str">
        <f aca="false">IF(AND(ISNUMBER(P848),OR(AK848="À RADIOGRAPHIER",AK848="RÉPARÉ – À RADIOGRAPHIER",AK848="NX – RT À REFAIRE",AK848="À RÉPARER",AK848="COUPE – À RESOUDER",AK848="VT REJETÉ – À REPRENDRE")),MAX(0,'PROGRAMME RT'!$C$4-P848),"")</f>
        <v/>
      </c>
      <c r="AM848" s="78" t="n">
        <f aca="false">IF(AND(OR(AK848="À RADIOGRAPHIER",AK848="RÉPARÉ – À RADIOGRAPHIER",AK848="NX – RT À REFAIRE"),OR('PROGRAMME RT'!$D$5="TOUTES",B848='PROGRAMME RT'!$D$5)),1,0)</f>
        <v>0</v>
      </c>
      <c r="AN848" s="78" t="str">
        <f aca="false">IF(AM848=1,SUM(AM$7:AM848),"")</f>
        <v/>
      </c>
      <c r="AO848" s="78" t="n">
        <f aca="false">IF(AND(OR(AK848="À RÉPARER",AK848="COUPE – À RESOUDER",AK848="VT REJETÉ – À REPRENDRE"),OR(RÉPARATIONS!$D$5="TOUTES",B848=RÉPARATIONS!$D$5)),1,0)</f>
        <v>0</v>
      </c>
      <c r="AP848" s="78" t="str">
        <f aca="false">IF(AO848=1,SUM(AO$7:AO848),"")</f>
        <v/>
      </c>
    </row>
    <row r="849" customFormat="false" ht="15" hidden="false" customHeight="false" outlineLevel="0" collapsed="false">
      <c r="A849" s="78" t="str">
        <f aca="false">IF(E849="","",ROW()-6)</f>
        <v/>
      </c>
      <c r="B849" s="79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1"/>
      <c r="Q849" s="81"/>
      <c r="R849" s="80"/>
      <c r="S849" s="80"/>
      <c r="T849" s="81"/>
      <c r="U849" s="80"/>
      <c r="V849" s="80"/>
      <c r="W849" s="80"/>
      <c r="X849" s="80"/>
      <c r="Y849" s="81"/>
      <c r="Z849" s="80"/>
      <c r="AA849" s="80"/>
      <c r="AB849" s="80"/>
      <c r="AC849" s="80"/>
      <c r="AD849" s="81"/>
      <c r="AE849" s="80"/>
      <c r="AF849" s="80"/>
      <c r="AG849" s="81"/>
      <c r="AH849" s="79"/>
      <c r="AI849" s="78" t="str">
        <f aca="false">IF(E849="","",(V849&lt;&gt;"")+(AA849&lt;&gt;"")+(AF849&lt;&gt;""))</f>
        <v/>
      </c>
      <c r="AJ849" s="82" t="str">
        <f aca="false">IF(AF849&lt;&gt;"",AF849,IF(AA849&lt;&gt;"",AA849,IF(V849&lt;&gt;"",V849,"")))</f>
        <v/>
      </c>
      <c r="AK849" s="83" t="str">
        <f aca="false">IF(E849="","",IF(P849="","À SOUDER",IF(S849="","VT EN ATTENTE",IF(S849="R","VT REJETÉ – À REPRENDRE",IF(AJ849="","À RADIOGRAPHIER",IF(AJ849="A","ACCEPTÉ",IF(AJ849="NX","NX – RT À REFAIRE",IF(IF(AI849=1,X849,IF(AI849=2,AC849,""))="A","RÉPARÉ – À RADIOGRAPHIER",IF(IF(AI849=1,X849,IF(AI849=2,AC849,""))="R","VT REJETÉ – À REPRENDRE",IF(AJ849="CO","COUPE – À RESOUDER","À RÉPARER"))))))))))</f>
        <v/>
      </c>
      <c r="AL849" s="82" t="str">
        <f aca="false">IF(AND(ISNUMBER(P849),OR(AK849="À RADIOGRAPHIER",AK849="RÉPARÉ – À RADIOGRAPHIER",AK849="NX – RT À REFAIRE",AK849="À RÉPARER",AK849="COUPE – À RESOUDER",AK849="VT REJETÉ – À REPRENDRE")),MAX(0,'PROGRAMME RT'!$C$4-P849),"")</f>
        <v/>
      </c>
      <c r="AM849" s="78" t="n">
        <f aca="false">IF(AND(OR(AK849="À RADIOGRAPHIER",AK849="RÉPARÉ – À RADIOGRAPHIER",AK849="NX – RT À REFAIRE"),OR('PROGRAMME RT'!$D$5="TOUTES",B849='PROGRAMME RT'!$D$5)),1,0)</f>
        <v>0</v>
      </c>
      <c r="AN849" s="78" t="str">
        <f aca="false">IF(AM849=1,SUM(AM$7:AM849),"")</f>
        <v/>
      </c>
      <c r="AO849" s="78" t="n">
        <f aca="false">IF(AND(OR(AK849="À RÉPARER",AK849="COUPE – À RESOUDER",AK849="VT REJETÉ – À REPRENDRE"),OR(RÉPARATIONS!$D$5="TOUTES",B849=RÉPARATIONS!$D$5)),1,0)</f>
        <v>0</v>
      </c>
      <c r="AP849" s="78" t="str">
        <f aca="false">IF(AO849=1,SUM(AO$7:AO849),"")</f>
        <v/>
      </c>
    </row>
    <row r="850" customFormat="false" ht="15" hidden="false" customHeight="false" outlineLevel="0" collapsed="false">
      <c r="A850" s="78" t="str">
        <f aca="false">IF(E850="","",ROW()-6)</f>
        <v/>
      </c>
      <c r="B850" s="79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1"/>
      <c r="Q850" s="81"/>
      <c r="R850" s="80"/>
      <c r="S850" s="80"/>
      <c r="T850" s="81"/>
      <c r="U850" s="80"/>
      <c r="V850" s="80"/>
      <c r="W850" s="80"/>
      <c r="X850" s="80"/>
      <c r="Y850" s="81"/>
      <c r="Z850" s="80"/>
      <c r="AA850" s="80"/>
      <c r="AB850" s="80"/>
      <c r="AC850" s="80"/>
      <c r="AD850" s="81"/>
      <c r="AE850" s="80"/>
      <c r="AF850" s="80"/>
      <c r="AG850" s="81"/>
      <c r="AH850" s="79"/>
      <c r="AI850" s="78" t="str">
        <f aca="false">IF(E850="","",(V850&lt;&gt;"")+(AA850&lt;&gt;"")+(AF850&lt;&gt;""))</f>
        <v/>
      </c>
      <c r="AJ850" s="82" t="str">
        <f aca="false">IF(AF850&lt;&gt;"",AF850,IF(AA850&lt;&gt;"",AA850,IF(V850&lt;&gt;"",V850,"")))</f>
        <v/>
      </c>
      <c r="AK850" s="83" t="str">
        <f aca="false">IF(E850="","",IF(P850="","À SOUDER",IF(S850="","VT EN ATTENTE",IF(S850="R","VT REJETÉ – À REPRENDRE",IF(AJ850="","À RADIOGRAPHIER",IF(AJ850="A","ACCEPTÉ",IF(AJ850="NX","NX – RT À REFAIRE",IF(IF(AI850=1,X850,IF(AI850=2,AC850,""))="A","RÉPARÉ – À RADIOGRAPHIER",IF(IF(AI850=1,X850,IF(AI850=2,AC850,""))="R","VT REJETÉ – À REPRENDRE",IF(AJ850="CO","COUPE – À RESOUDER","À RÉPARER"))))))))))</f>
        <v/>
      </c>
      <c r="AL850" s="82" t="str">
        <f aca="false">IF(AND(ISNUMBER(P850),OR(AK850="À RADIOGRAPHIER",AK850="RÉPARÉ – À RADIOGRAPHIER",AK850="NX – RT À REFAIRE",AK850="À RÉPARER",AK850="COUPE – À RESOUDER",AK850="VT REJETÉ – À REPRENDRE")),MAX(0,'PROGRAMME RT'!$C$4-P850),"")</f>
        <v/>
      </c>
      <c r="AM850" s="78" t="n">
        <f aca="false">IF(AND(OR(AK850="À RADIOGRAPHIER",AK850="RÉPARÉ – À RADIOGRAPHIER",AK850="NX – RT À REFAIRE"),OR('PROGRAMME RT'!$D$5="TOUTES",B850='PROGRAMME RT'!$D$5)),1,0)</f>
        <v>0</v>
      </c>
      <c r="AN850" s="78" t="str">
        <f aca="false">IF(AM850=1,SUM(AM$7:AM850),"")</f>
        <v/>
      </c>
      <c r="AO850" s="78" t="n">
        <f aca="false">IF(AND(OR(AK850="À RÉPARER",AK850="COUPE – À RESOUDER",AK850="VT REJETÉ – À REPRENDRE"),OR(RÉPARATIONS!$D$5="TOUTES",B850=RÉPARATIONS!$D$5)),1,0)</f>
        <v>0</v>
      </c>
      <c r="AP850" s="78" t="str">
        <f aca="false">IF(AO850=1,SUM(AO$7:AO850),"")</f>
        <v/>
      </c>
    </row>
    <row r="851" customFormat="false" ht="15" hidden="false" customHeight="false" outlineLevel="0" collapsed="false">
      <c r="A851" s="78" t="str">
        <f aca="false">IF(E851="","",ROW()-6)</f>
        <v/>
      </c>
      <c r="B851" s="79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1"/>
      <c r="Q851" s="81"/>
      <c r="R851" s="80"/>
      <c r="S851" s="80"/>
      <c r="T851" s="81"/>
      <c r="U851" s="80"/>
      <c r="V851" s="80"/>
      <c r="W851" s="80"/>
      <c r="X851" s="80"/>
      <c r="Y851" s="81"/>
      <c r="Z851" s="80"/>
      <c r="AA851" s="80"/>
      <c r="AB851" s="80"/>
      <c r="AC851" s="80"/>
      <c r="AD851" s="81"/>
      <c r="AE851" s="80"/>
      <c r="AF851" s="80"/>
      <c r="AG851" s="81"/>
      <c r="AH851" s="79"/>
      <c r="AI851" s="78" t="str">
        <f aca="false">IF(E851="","",(V851&lt;&gt;"")+(AA851&lt;&gt;"")+(AF851&lt;&gt;""))</f>
        <v/>
      </c>
      <c r="AJ851" s="82" t="str">
        <f aca="false">IF(AF851&lt;&gt;"",AF851,IF(AA851&lt;&gt;"",AA851,IF(V851&lt;&gt;"",V851,"")))</f>
        <v/>
      </c>
      <c r="AK851" s="83" t="str">
        <f aca="false">IF(E851="","",IF(P851="","À SOUDER",IF(S851="","VT EN ATTENTE",IF(S851="R","VT REJETÉ – À REPRENDRE",IF(AJ851="","À RADIOGRAPHIER",IF(AJ851="A","ACCEPTÉ",IF(AJ851="NX","NX – RT À REFAIRE",IF(IF(AI851=1,X851,IF(AI851=2,AC851,""))="A","RÉPARÉ – À RADIOGRAPHIER",IF(IF(AI851=1,X851,IF(AI851=2,AC851,""))="R","VT REJETÉ – À REPRENDRE",IF(AJ851="CO","COUPE – À RESOUDER","À RÉPARER"))))))))))</f>
        <v/>
      </c>
      <c r="AL851" s="82" t="str">
        <f aca="false">IF(AND(ISNUMBER(P851),OR(AK851="À RADIOGRAPHIER",AK851="RÉPARÉ – À RADIOGRAPHIER",AK851="NX – RT À REFAIRE",AK851="À RÉPARER",AK851="COUPE – À RESOUDER",AK851="VT REJETÉ – À REPRENDRE")),MAX(0,'PROGRAMME RT'!$C$4-P851),"")</f>
        <v/>
      </c>
      <c r="AM851" s="78" t="n">
        <f aca="false">IF(AND(OR(AK851="À RADIOGRAPHIER",AK851="RÉPARÉ – À RADIOGRAPHIER",AK851="NX – RT À REFAIRE"),OR('PROGRAMME RT'!$D$5="TOUTES",B851='PROGRAMME RT'!$D$5)),1,0)</f>
        <v>0</v>
      </c>
      <c r="AN851" s="78" t="str">
        <f aca="false">IF(AM851=1,SUM(AM$7:AM851),"")</f>
        <v/>
      </c>
      <c r="AO851" s="78" t="n">
        <f aca="false">IF(AND(OR(AK851="À RÉPARER",AK851="COUPE – À RESOUDER",AK851="VT REJETÉ – À REPRENDRE"),OR(RÉPARATIONS!$D$5="TOUTES",B851=RÉPARATIONS!$D$5)),1,0)</f>
        <v>0</v>
      </c>
      <c r="AP851" s="78" t="str">
        <f aca="false">IF(AO851=1,SUM(AO$7:AO851),"")</f>
        <v/>
      </c>
    </row>
    <row r="852" customFormat="false" ht="15" hidden="false" customHeight="false" outlineLevel="0" collapsed="false">
      <c r="A852" s="78" t="str">
        <f aca="false">IF(E852="","",ROW()-6)</f>
        <v/>
      </c>
      <c r="B852" s="79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1"/>
      <c r="Q852" s="81"/>
      <c r="R852" s="80"/>
      <c r="S852" s="80"/>
      <c r="T852" s="81"/>
      <c r="U852" s="80"/>
      <c r="V852" s="80"/>
      <c r="W852" s="80"/>
      <c r="X852" s="80"/>
      <c r="Y852" s="81"/>
      <c r="Z852" s="80"/>
      <c r="AA852" s="80"/>
      <c r="AB852" s="80"/>
      <c r="AC852" s="80"/>
      <c r="AD852" s="81"/>
      <c r="AE852" s="80"/>
      <c r="AF852" s="80"/>
      <c r="AG852" s="81"/>
      <c r="AH852" s="79"/>
      <c r="AI852" s="78" t="str">
        <f aca="false">IF(E852="","",(V852&lt;&gt;"")+(AA852&lt;&gt;"")+(AF852&lt;&gt;""))</f>
        <v/>
      </c>
      <c r="AJ852" s="82" t="str">
        <f aca="false">IF(AF852&lt;&gt;"",AF852,IF(AA852&lt;&gt;"",AA852,IF(V852&lt;&gt;"",V852,"")))</f>
        <v/>
      </c>
      <c r="AK852" s="83" t="str">
        <f aca="false">IF(E852="","",IF(P852="","À SOUDER",IF(S852="","VT EN ATTENTE",IF(S852="R","VT REJETÉ – À REPRENDRE",IF(AJ852="","À RADIOGRAPHIER",IF(AJ852="A","ACCEPTÉ",IF(AJ852="NX","NX – RT À REFAIRE",IF(IF(AI852=1,X852,IF(AI852=2,AC852,""))="A","RÉPARÉ – À RADIOGRAPHIER",IF(IF(AI852=1,X852,IF(AI852=2,AC852,""))="R","VT REJETÉ – À REPRENDRE",IF(AJ852="CO","COUPE – À RESOUDER","À RÉPARER"))))))))))</f>
        <v/>
      </c>
      <c r="AL852" s="82" t="str">
        <f aca="false">IF(AND(ISNUMBER(P852),OR(AK852="À RADIOGRAPHIER",AK852="RÉPARÉ – À RADIOGRAPHIER",AK852="NX – RT À REFAIRE",AK852="À RÉPARER",AK852="COUPE – À RESOUDER",AK852="VT REJETÉ – À REPRENDRE")),MAX(0,'PROGRAMME RT'!$C$4-P852),"")</f>
        <v/>
      </c>
      <c r="AM852" s="78" t="n">
        <f aca="false">IF(AND(OR(AK852="À RADIOGRAPHIER",AK852="RÉPARÉ – À RADIOGRAPHIER",AK852="NX – RT À REFAIRE"),OR('PROGRAMME RT'!$D$5="TOUTES",B852='PROGRAMME RT'!$D$5)),1,0)</f>
        <v>0</v>
      </c>
      <c r="AN852" s="78" t="str">
        <f aca="false">IF(AM852=1,SUM(AM$7:AM852),"")</f>
        <v/>
      </c>
      <c r="AO852" s="78" t="n">
        <f aca="false">IF(AND(OR(AK852="À RÉPARER",AK852="COUPE – À RESOUDER",AK852="VT REJETÉ – À REPRENDRE"),OR(RÉPARATIONS!$D$5="TOUTES",B852=RÉPARATIONS!$D$5)),1,0)</f>
        <v>0</v>
      </c>
      <c r="AP852" s="78" t="str">
        <f aca="false">IF(AO852=1,SUM(AO$7:AO852),"")</f>
        <v/>
      </c>
    </row>
    <row r="853" customFormat="false" ht="15" hidden="false" customHeight="false" outlineLevel="0" collapsed="false">
      <c r="A853" s="78" t="str">
        <f aca="false">IF(E853="","",ROW()-6)</f>
        <v/>
      </c>
      <c r="B853" s="79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1"/>
      <c r="Q853" s="81"/>
      <c r="R853" s="80"/>
      <c r="S853" s="80"/>
      <c r="T853" s="81"/>
      <c r="U853" s="80"/>
      <c r="V853" s="80"/>
      <c r="W853" s="80"/>
      <c r="X853" s="80"/>
      <c r="Y853" s="81"/>
      <c r="Z853" s="80"/>
      <c r="AA853" s="80"/>
      <c r="AB853" s="80"/>
      <c r="AC853" s="80"/>
      <c r="AD853" s="81"/>
      <c r="AE853" s="80"/>
      <c r="AF853" s="80"/>
      <c r="AG853" s="81"/>
      <c r="AH853" s="79"/>
      <c r="AI853" s="78" t="str">
        <f aca="false">IF(E853="","",(V853&lt;&gt;"")+(AA853&lt;&gt;"")+(AF853&lt;&gt;""))</f>
        <v/>
      </c>
      <c r="AJ853" s="82" t="str">
        <f aca="false">IF(AF853&lt;&gt;"",AF853,IF(AA853&lt;&gt;"",AA853,IF(V853&lt;&gt;"",V853,"")))</f>
        <v/>
      </c>
      <c r="AK853" s="83" t="str">
        <f aca="false">IF(E853="","",IF(P853="","À SOUDER",IF(S853="","VT EN ATTENTE",IF(S853="R","VT REJETÉ – À REPRENDRE",IF(AJ853="","À RADIOGRAPHIER",IF(AJ853="A","ACCEPTÉ",IF(AJ853="NX","NX – RT À REFAIRE",IF(IF(AI853=1,X853,IF(AI853=2,AC853,""))="A","RÉPARÉ – À RADIOGRAPHIER",IF(IF(AI853=1,X853,IF(AI853=2,AC853,""))="R","VT REJETÉ – À REPRENDRE",IF(AJ853="CO","COUPE – À RESOUDER","À RÉPARER"))))))))))</f>
        <v/>
      </c>
      <c r="AL853" s="82" t="str">
        <f aca="false">IF(AND(ISNUMBER(P853),OR(AK853="À RADIOGRAPHIER",AK853="RÉPARÉ – À RADIOGRAPHIER",AK853="NX – RT À REFAIRE",AK853="À RÉPARER",AK853="COUPE – À RESOUDER",AK853="VT REJETÉ – À REPRENDRE")),MAX(0,'PROGRAMME RT'!$C$4-P853),"")</f>
        <v/>
      </c>
      <c r="AM853" s="78" t="n">
        <f aca="false">IF(AND(OR(AK853="À RADIOGRAPHIER",AK853="RÉPARÉ – À RADIOGRAPHIER",AK853="NX – RT À REFAIRE"),OR('PROGRAMME RT'!$D$5="TOUTES",B853='PROGRAMME RT'!$D$5)),1,0)</f>
        <v>0</v>
      </c>
      <c r="AN853" s="78" t="str">
        <f aca="false">IF(AM853=1,SUM(AM$7:AM853),"")</f>
        <v/>
      </c>
      <c r="AO853" s="78" t="n">
        <f aca="false">IF(AND(OR(AK853="À RÉPARER",AK853="COUPE – À RESOUDER",AK853="VT REJETÉ – À REPRENDRE"),OR(RÉPARATIONS!$D$5="TOUTES",B853=RÉPARATIONS!$D$5)),1,0)</f>
        <v>0</v>
      </c>
      <c r="AP853" s="78" t="str">
        <f aca="false">IF(AO853=1,SUM(AO$7:AO853),"")</f>
        <v/>
      </c>
    </row>
    <row r="854" customFormat="false" ht="15" hidden="false" customHeight="false" outlineLevel="0" collapsed="false">
      <c r="A854" s="78" t="str">
        <f aca="false">IF(E854="","",ROW()-6)</f>
        <v/>
      </c>
      <c r="B854" s="79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1"/>
      <c r="Q854" s="81"/>
      <c r="R854" s="80"/>
      <c r="S854" s="80"/>
      <c r="T854" s="81"/>
      <c r="U854" s="80"/>
      <c r="V854" s="80"/>
      <c r="W854" s="80"/>
      <c r="X854" s="80"/>
      <c r="Y854" s="81"/>
      <c r="Z854" s="80"/>
      <c r="AA854" s="80"/>
      <c r="AB854" s="80"/>
      <c r="AC854" s="80"/>
      <c r="AD854" s="81"/>
      <c r="AE854" s="80"/>
      <c r="AF854" s="80"/>
      <c r="AG854" s="81"/>
      <c r="AH854" s="79"/>
      <c r="AI854" s="78" t="str">
        <f aca="false">IF(E854="","",(V854&lt;&gt;"")+(AA854&lt;&gt;"")+(AF854&lt;&gt;""))</f>
        <v/>
      </c>
      <c r="AJ854" s="82" t="str">
        <f aca="false">IF(AF854&lt;&gt;"",AF854,IF(AA854&lt;&gt;"",AA854,IF(V854&lt;&gt;"",V854,"")))</f>
        <v/>
      </c>
      <c r="AK854" s="83" t="str">
        <f aca="false">IF(E854="","",IF(P854="","À SOUDER",IF(S854="","VT EN ATTENTE",IF(S854="R","VT REJETÉ – À REPRENDRE",IF(AJ854="","À RADIOGRAPHIER",IF(AJ854="A","ACCEPTÉ",IF(AJ854="NX","NX – RT À REFAIRE",IF(IF(AI854=1,X854,IF(AI854=2,AC854,""))="A","RÉPARÉ – À RADIOGRAPHIER",IF(IF(AI854=1,X854,IF(AI854=2,AC854,""))="R","VT REJETÉ – À REPRENDRE",IF(AJ854="CO","COUPE – À RESOUDER","À RÉPARER"))))))))))</f>
        <v/>
      </c>
      <c r="AL854" s="82" t="str">
        <f aca="false">IF(AND(ISNUMBER(P854),OR(AK854="À RADIOGRAPHIER",AK854="RÉPARÉ – À RADIOGRAPHIER",AK854="NX – RT À REFAIRE",AK854="À RÉPARER",AK854="COUPE – À RESOUDER",AK854="VT REJETÉ – À REPRENDRE")),MAX(0,'PROGRAMME RT'!$C$4-P854),"")</f>
        <v/>
      </c>
      <c r="AM854" s="78" t="n">
        <f aca="false">IF(AND(OR(AK854="À RADIOGRAPHIER",AK854="RÉPARÉ – À RADIOGRAPHIER",AK854="NX – RT À REFAIRE"),OR('PROGRAMME RT'!$D$5="TOUTES",B854='PROGRAMME RT'!$D$5)),1,0)</f>
        <v>0</v>
      </c>
      <c r="AN854" s="78" t="str">
        <f aca="false">IF(AM854=1,SUM(AM$7:AM854),"")</f>
        <v/>
      </c>
      <c r="AO854" s="78" t="n">
        <f aca="false">IF(AND(OR(AK854="À RÉPARER",AK854="COUPE – À RESOUDER",AK854="VT REJETÉ – À REPRENDRE"),OR(RÉPARATIONS!$D$5="TOUTES",B854=RÉPARATIONS!$D$5)),1,0)</f>
        <v>0</v>
      </c>
      <c r="AP854" s="78" t="str">
        <f aca="false">IF(AO854=1,SUM(AO$7:AO854),"")</f>
        <v/>
      </c>
    </row>
    <row r="855" customFormat="false" ht="15" hidden="false" customHeight="false" outlineLevel="0" collapsed="false">
      <c r="A855" s="78" t="str">
        <f aca="false">IF(E855="","",ROW()-6)</f>
        <v/>
      </c>
      <c r="B855" s="79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1"/>
      <c r="Q855" s="81"/>
      <c r="R855" s="80"/>
      <c r="S855" s="80"/>
      <c r="T855" s="81"/>
      <c r="U855" s="80"/>
      <c r="V855" s="80"/>
      <c r="W855" s="80"/>
      <c r="X855" s="80"/>
      <c r="Y855" s="81"/>
      <c r="Z855" s="80"/>
      <c r="AA855" s="80"/>
      <c r="AB855" s="80"/>
      <c r="AC855" s="80"/>
      <c r="AD855" s="81"/>
      <c r="AE855" s="80"/>
      <c r="AF855" s="80"/>
      <c r="AG855" s="81"/>
      <c r="AH855" s="79"/>
      <c r="AI855" s="78" t="str">
        <f aca="false">IF(E855="","",(V855&lt;&gt;"")+(AA855&lt;&gt;"")+(AF855&lt;&gt;""))</f>
        <v/>
      </c>
      <c r="AJ855" s="82" t="str">
        <f aca="false">IF(AF855&lt;&gt;"",AF855,IF(AA855&lt;&gt;"",AA855,IF(V855&lt;&gt;"",V855,"")))</f>
        <v/>
      </c>
      <c r="AK855" s="83" t="str">
        <f aca="false">IF(E855="","",IF(P855="","À SOUDER",IF(S855="","VT EN ATTENTE",IF(S855="R","VT REJETÉ – À REPRENDRE",IF(AJ855="","À RADIOGRAPHIER",IF(AJ855="A","ACCEPTÉ",IF(AJ855="NX","NX – RT À REFAIRE",IF(IF(AI855=1,X855,IF(AI855=2,AC855,""))="A","RÉPARÉ – À RADIOGRAPHIER",IF(IF(AI855=1,X855,IF(AI855=2,AC855,""))="R","VT REJETÉ – À REPRENDRE",IF(AJ855="CO","COUPE – À RESOUDER","À RÉPARER"))))))))))</f>
        <v/>
      </c>
      <c r="AL855" s="82" t="str">
        <f aca="false">IF(AND(ISNUMBER(P855),OR(AK855="À RADIOGRAPHIER",AK855="RÉPARÉ – À RADIOGRAPHIER",AK855="NX – RT À REFAIRE",AK855="À RÉPARER",AK855="COUPE – À RESOUDER",AK855="VT REJETÉ – À REPRENDRE")),MAX(0,'PROGRAMME RT'!$C$4-P855),"")</f>
        <v/>
      </c>
      <c r="AM855" s="78" t="n">
        <f aca="false">IF(AND(OR(AK855="À RADIOGRAPHIER",AK855="RÉPARÉ – À RADIOGRAPHIER",AK855="NX – RT À REFAIRE"),OR('PROGRAMME RT'!$D$5="TOUTES",B855='PROGRAMME RT'!$D$5)),1,0)</f>
        <v>0</v>
      </c>
      <c r="AN855" s="78" t="str">
        <f aca="false">IF(AM855=1,SUM(AM$7:AM855),"")</f>
        <v/>
      </c>
      <c r="AO855" s="78" t="n">
        <f aca="false">IF(AND(OR(AK855="À RÉPARER",AK855="COUPE – À RESOUDER",AK855="VT REJETÉ – À REPRENDRE"),OR(RÉPARATIONS!$D$5="TOUTES",B855=RÉPARATIONS!$D$5)),1,0)</f>
        <v>0</v>
      </c>
      <c r="AP855" s="78" t="str">
        <f aca="false">IF(AO855=1,SUM(AO$7:AO855),"")</f>
        <v/>
      </c>
    </row>
    <row r="856" customFormat="false" ht="15" hidden="false" customHeight="false" outlineLevel="0" collapsed="false">
      <c r="A856" s="78" t="str">
        <f aca="false">IF(E856="","",ROW()-6)</f>
        <v/>
      </c>
      <c r="B856" s="79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1"/>
      <c r="Q856" s="81"/>
      <c r="R856" s="80"/>
      <c r="S856" s="80"/>
      <c r="T856" s="81"/>
      <c r="U856" s="80"/>
      <c r="V856" s="80"/>
      <c r="W856" s="80"/>
      <c r="X856" s="80"/>
      <c r="Y856" s="81"/>
      <c r="Z856" s="80"/>
      <c r="AA856" s="80"/>
      <c r="AB856" s="80"/>
      <c r="AC856" s="80"/>
      <c r="AD856" s="81"/>
      <c r="AE856" s="80"/>
      <c r="AF856" s="80"/>
      <c r="AG856" s="81"/>
      <c r="AH856" s="79"/>
      <c r="AI856" s="78" t="str">
        <f aca="false">IF(E856="","",(V856&lt;&gt;"")+(AA856&lt;&gt;"")+(AF856&lt;&gt;""))</f>
        <v/>
      </c>
      <c r="AJ856" s="82" t="str">
        <f aca="false">IF(AF856&lt;&gt;"",AF856,IF(AA856&lt;&gt;"",AA856,IF(V856&lt;&gt;"",V856,"")))</f>
        <v/>
      </c>
      <c r="AK856" s="83" t="str">
        <f aca="false">IF(E856="","",IF(P856="","À SOUDER",IF(S856="","VT EN ATTENTE",IF(S856="R","VT REJETÉ – À REPRENDRE",IF(AJ856="","À RADIOGRAPHIER",IF(AJ856="A","ACCEPTÉ",IF(AJ856="NX","NX – RT À REFAIRE",IF(IF(AI856=1,X856,IF(AI856=2,AC856,""))="A","RÉPARÉ – À RADIOGRAPHIER",IF(IF(AI856=1,X856,IF(AI856=2,AC856,""))="R","VT REJETÉ – À REPRENDRE",IF(AJ856="CO","COUPE – À RESOUDER","À RÉPARER"))))))))))</f>
        <v/>
      </c>
      <c r="AL856" s="82" t="str">
        <f aca="false">IF(AND(ISNUMBER(P856),OR(AK856="À RADIOGRAPHIER",AK856="RÉPARÉ – À RADIOGRAPHIER",AK856="NX – RT À REFAIRE",AK856="À RÉPARER",AK856="COUPE – À RESOUDER",AK856="VT REJETÉ – À REPRENDRE")),MAX(0,'PROGRAMME RT'!$C$4-P856),"")</f>
        <v/>
      </c>
      <c r="AM856" s="78" t="n">
        <f aca="false">IF(AND(OR(AK856="À RADIOGRAPHIER",AK856="RÉPARÉ – À RADIOGRAPHIER",AK856="NX – RT À REFAIRE"),OR('PROGRAMME RT'!$D$5="TOUTES",B856='PROGRAMME RT'!$D$5)),1,0)</f>
        <v>0</v>
      </c>
      <c r="AN856" s="78" t="str">
        <f aca="false">IF(AM856=1,SUM(AM$7:AM856),"")</f>
        <v/>
      </c>
      <c r="AO856" s="78" t="n">
        <f aca="false">IF(AND(OR(AK856="À RÉPARER",AK856="COUPE – À RESOUDER",AK856="VT REJETÉ – À REPRENDRE"),OR(RÉPARATIONS!$D$5="TOUTES",B856=RÉPARATIONS!$D$5)),1,0)</f>
        <v>0</v>
      </c>
      <c r="AP856" s="78" t="str">
        <f aca="false">IF(AO856=1,SUM(AO$7:AO856),"")</f>
        <v/>
      </c>
    </row>
    <row r="857" customFormat="false" ht="15" hidden="false" customHeight="false" outlineLevel="0" collapsed="false">
      <c r="A857" s="78" t="str">
        <f aca="false">IF(E857="","",ROW()-6)</f>
        <v/>
      </c>
      <c r="B857" s="79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1"/>
      <c r="Q857" s="81"/>
      <c r="R857" s="80"/>
      <c r="S857" s="80"/>
      <c r="T857" s="81"/>
      <c r="U857" s="80"/>
      <c r="V857" s="80"/>
      <c r="W857" s="80"/>
      <c r="X857" s="80"/>
      <c r="Y857" s="81"/>
      <c r="Z857" s="80"/>
      <c r="AA857" s="80"/>
      <c r="AB857" s="80"/>
      <c r="AC857" s="80"/>
      <c r="AD857" s="81"/>
      <c r="AE857" s="80"/>
      <c r="AF857" s="80"/>
      <c r="AG857" s="81"/>
      <c r="AH857" s="79"/>
      <c r="AI857" s="78" t="str">
        <f aca="false">IF(E857="","",(V857&lt;&gt;"")+(AA857&lt;&gt;"")+(AF857&lt;&gt;""))</f>
        <v/>
      </c>
      <c r="AJ857" s="82" t="str">
        <f aca="false">IF(AF857&lt;&gt;"",AF857,IF(AA857&lt;&gt;"",AA857,IF(V857&lt;&gt;"",V857,"")))</f>
        <v/>
      </c>
      <c r="AK857" s="83" t="str">
        <f aca="false">IF(E857="","",IF(P857="","À SOUDER",IF(S857="","VT EN ATTENTE",IF(S857="R","VT REJETÉ – À REPRENDRE",IF(AJ857="","À RADIOGRAPHIER",IF(AJ857="A","ACCEPTÉ",IF(AJ857="NX","NX – RT À REFAIRE",IF(IF(AI857=1,X857,IF(AI857=2,AC857,""))="A","RÉPARÉ – À RADIOGRAPHIER",IF(IF(AI857=1,X857,IF(AI857=2,AC857,""))="R","VT REJETÉ – À REPRENDRE",IF(AJ857="CO","COUPE – À RESOUDER","À RÉPARER"))))))))))</f>
        <v/>
      </c>
      <c r="AL857" s="82" t="str">
        <f aca="false">IF(AND(ISNUMBER(P857),OR(AK857="À RADIOGRAPHIER",AK857="RÉPARÉ – À RADIOGRAPHIER",AK857="NX – RT À REFAIRE",AK857="À RÉPARER",AK857="COUPE – À RESOUDER",AK857="VT REJETÉ – À REPRENDRE")),MAX(0,'PROGRAMME RT'!$C$4-P857),"")</f>
        <v/>
      </c>
      <c r="AM857" s="78" t="n">
        <f aca="false">IF(AND(OR(AK857="À RADIOGRAPHIER",AK857="RÉPARÉ – À RADIOGRAPHIER",AK857="NX – RT À REFAIRE"),OR('PROGRAMME RT'!$D$5="TOUTES",B857='PROGRAMME RT'!$D$5)),1,0)</f>
        <v>0</v>
      </c>
      <c r="AN857" s="78" t="str">
        <f aca="false">IF(AM857=1,SUM(AM$7:AM857),"")</f>
        <v/>
      </c>
      <c r="AO857" s="78" t="n">
        <f aca="false">IF(AND(OR(AK857="À RÉPARER",AK857="COUPE – À RESOUDER",AK857="VT REJETÉ – À REPRENDRE"),OR(RÉPARATIONS!$D$5="TOUTES",B857=RÉPARATIONS!$D$5)),1,0)</f>
        <v>0</v>
      </c>
      <c r="AP857" s="78" t="str">
        <f aca="false">IF(AO857=1,SUM(AO$7:AO857),"")</f>
        <v/>
      </c>
    </row>
    <row r="858" customFormat="false" ht="15" hidden="false" customHeight="false" outlineLevel="0" collapsed="false">
      <c r="A858" s="78" t="str">
        <f aca="false">IF(E858="","",ROW()-6)</f>
        <v/>
      </c>
      <c r="B858" s="79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1"/>
      <c r="Q858" s="81"/>
      <c r="R858" s="80"/>
      <c r="S858" s="80"/>
      <c r="T858" s="81"/>
      <c r="U858" s="80"/>
      <c r="V858" s="80"/>
      <c r="W858" s="80"/>
      <c r="X858" s="80"/>
      <c r="Y858" s="81"/>
      <c r="Z858" s="80"/>
      <c r="AA858" s="80"/>
      <c r="AB858" s="80"/>
      <c r="AC858" s="80"/>
      <c r="AD858" s="81"/>
      <c r="AE858" s="80"/>
      <c r="AF858" s="80"/>
      <c r="AG858" s="81"/>
      <c r="AH858" s="79"/>
      <c r="AI858" s="78" t="str">
        <f aca="false">IF(E858="","",(V858&lt;&gt;"")+(AA858&lt;&gt;"")+(AF858&lt;&gt;""))</f>
        <v/>
      </c>
      <c r="AJ858" s="82" t="str">
        <f aca="false">IF(AF858&lt;&gt;"",AF858,IF(AA858&lt;&gt;"",AA858,IF(V858&lt;&gt;"",V858,"")))</f>
        <v/>
      </c>
      <c r="AK858" s="83" t="str">
        <f aca="false">IF(E858="","",IF(P858="","À SOUDER",IF(S858="","VT EN ATTENTE",IF(S858="R","VT REJETÉ – À REPRENDRE",IF(AJ858="","À RADIOGRAPHIER",IF(AJ858="A","ACCEPTÉ",IF(AJ858="NX","NX – RT À REFAIRE",IF(IF(AI858=1,X858,IF(AI858=2,AC858,""))="A","RÉPARÉ – À RADIOGRAPHIER",IF(IF(AI858=1,X858,IF(AI858=2,AC858,""))="R","VT REJETÉ – À REPRENDRE",IF(AJ858="CO","COUPE – À RESOUDER","À RÉPARER"))))))))))</f>
        <v/>
      </c>
      <c r="AL858" s="82" t="str">
        <f aca="false">IF(AND(ISNUMBER(P858),OR(AK858="À RADIOGRAPHIER",AK858="RÉPARÉ – À RADIOGRAPHIER",AK858="NX – RT À REFAIRE",AK858="À RÉPARER",AK858="COUPE – À RESOUDER",AK858="VT REJETÉ – À REPRENDRE")),MAX(0,'PROGRAMME RT'!$C$4-P858),"")</f>
        <v/>
      </c>
      <c r="AM858" s="78" t="n">
        <f aca="false">IF(AND(OR(AK858="À RADIOGRAPHIER",AK858="RÉPARÉ – À RADIOGRAPHIER",AK858="NX – RT À REFAIRE"),OR('PROGRAMME RT'!$D$5="TOUTES",B858='PROGRAMME RT'!$D$5)),1,0)</f>
        <v>0</v>
      </c>
      <c r="AN858" s="78" t="str">
        <f aca="false">IF(AM858=1,SUM(AM$7:AM858),"")</f>
        <v/>
      </c>
      <c r="AO858" s="78" t="n">
        <f aca="false">IF(AND(OR(AK858="À RÉPARER",AK858="COUPE – À RESOUDER",AK858="VT REJETÉ – À REPRENDRE"),OR(RÉPARATIONS!$D$5="TOUTES",B858=RÉPARATIONS!$D$5)),1,0)</f>
        <v>0</v>
      </c>
      <c r="AP858" s="78" t="str">
        <f aca="false">IF(AO858=1,SUM(AO$7:AO858),"")</f>
        <v/>
      </c>
    </row>
    <row r="859" customFormat="false" ht="15" hidden="false" customHeight="false" outlineLevel="0" collapsed="false">
      <c r="A859" s="78" t="str">
        <f aca="false">IF(E859="","",ROW()-6)</f>
        <v/>
      </c>
      <c r="B859" s="79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1"/>
      <c r="Q859" s="81"/>
      <c r="R859" s="80"/>
      <c r="S859" s="80"/>
      <c r="T859" s="81"/>
      <c r="U859" s="80"/>
      <c r="V859" s="80"/>
      <c r="W859" s="80"/>
      <c r="X859" s="80"/>
      <c r="Y859" s="81"/>
      <c r="Z859" s="80"/>
      <c r="AA859" s="80"/>
      <c r="AB859" s="80"/>
      <c r="AC859" s="80"/>
      <c r="AD859" s="81"/>
      <c r="AE859" s="80"/>
      <c r="AF859" s="80"/>
      <c r="AG859" s="81"/>
      <c r="AH859" s="79"/>
      <c r="AI859" s="78" t="str">
        <f aca="false">IF(E859="","",(V859&lt;&gt;"")+(AA859&lt;&gt;"")+(AF859&lt;&gt;""))</f>
        <v/>
      </c>
      <c r="AJ859" s="82" t="str">
        <f aca="false">IF(AF859&lt;&gt;"",AF859,IF(AA859&lt;&gt;"",AA859,IF(V859&lt;&gt;"",V859,"")))</f>
        <v/>
      </c>
      <c r="AK859" s="83" t="str">
        <f aca="false">IF(E859="","",IF(P859="","À SOUDER",IF(S859="","VT EN ATTENTE",IF(S859="R","VT REJETÉ – À REPRENDRE",IF(AJ859="","À RADIOGRAPHIER",IF(AJ859="A","ACCEPTÉ",IF(AJ859="NX","NX – RT À REFAIRE",IF(IF(AI859=1,X859,IF(AI859=2,AC859,""))="A","RÉPARÉ – À RADIOGRAPHIER",IF(IF(AI859=1,X859,IF(AI859=2,AC859,""))="R","VT REJETÉ – À REPRENDRE",IF(AJ859="CO","COUPE – À RESOUDER","À RÉPARER"))))))))))</f>
        <v/>
      </c>
      <c r="AL859" s="82" t="str">
        <f aca="false">IF(AND(ISNUMBER(P859),OR(AK859="À RADIOGRAPHIER",AK859="RÉPARÉ – À RADIOGRAPHIER",AK859="NX – RT À REFAIRE",AK859="À RÉPARER",AK859="COUPE – À RESOUDER",AK859="VT REJETÉ – À REPRENDRE")),MAX(0,'PROGRAMME RT'!$C$4-P859),"")</f>
        <v/>
      </c>
      <c r="AM859" s="78" t="n">
        <f aca="false">IF(AND(OR(AK859="À RADIOGRAPHIER",AK859="RÉPARÉ – À RADIOGRAPHIER",AK859="NX – RT À REFAIRE"),OR('PROGRAMME RT'!$D$5="TOUTES",B859='PROGRAMME RT'!$D$5)),1,0)</f>
        <v>0</v>
      </c>
      <c r="AN859" s="78" t="str">
        <f aca="false">IF(AM859=1,SUM(AM$7:AM859),"")</f>
        <v/>
      </c>
      <c r="AO859" s="78" t="n">
        <f aca="false">IF(AND(OR(AK859="À RÉPARER",AK859="COUPE – À RESOUDER",AK859="VT REJETÉ – À REPRENDRE"),OR(RÉPARATIONS!$D$5="TOUTES",B859=RÉPARATIONS!$D$5)),1,0)</f>
        <v>0</v>
      </c>
      <c r="AP859" s="78" t="str">
        <f aca="false">IF(AO859=1,SUM(AO$7:AO859),"")</f>
        <v/>
      </c>
    </row>
    <row r="860" customFormat="false" ht="15" hidden="false" customHeight="false" outlineLevel="0" collapsed="false">
      <c r="A860" s="78" t="str">
        <f aca="false">IF(E860="","",ROW()-6)</f>
        <v/>
      </c>
      <c r="B860" s="79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1"/>
      <c r="Q860" s="81"/>
      <c r="R860" s="80"/>
      <c r="S860" s="80"/>
      <c r="T860" s="81"/>
      <c r="U860" s="80"/>
      <c r="V860" s="80"/>
      <c r="W860" s="80"/>
      <c r="X860" s="80"/>
      <c r="Y860" s="81"/>
      <c r="Z860" s="80"/>
      <c r="AA860" s="80"/>
      <c r="AB860" s="80"/>
      <c r="AC860" s="80"/>
      <c r="AD860" s="81"/>
      <c r="AE860" s="80"/>
      <c r="AF860" s="80"/>
      <c r="AG860" s="81"/>
      <c r="AH860" s="79"/>
      <c r="AI860" s="78" t="str">
        <f aca="false">IF(E860="","",(V860&lt;&gt;"")+(AA860&lt;&gt;"")+(AF860&lt;&gt;""))</f>
        <v/>
      </c>
      <c r="AJ860" s="82" t="str">
        <f aca="false">IF(AF860&lt;&gt;"",AF860,IF(AA860&lt;&gt;"",AA860,IF(V860&lt;&gt;"",V860,"")))</f>
        <v/>
      </c>
      <c r="AK860" s="83" t="str">
        <f aca="false">IF(E860="","",IF(P860="","À SOUDER",IF(S860="","VT EN ATTENTE",IF(S860="R","VT REJETÉ – À REPRENDRE",IF(AJ860="","À RADIOGRAPHIER",IF(AJ860="A","ACCEPTÉ",IF(AJ860="NX","NX – RT À REFAIRE",IF(IF(AI860=1,X860,IF(AI860=2,AC860,""))="A","RÉPARÉ – À RADIOGRAPHIER",IF(IF(AI860=1,X860,IF(AI860=2,AC860,""))="R","VT REJETÉ – À REPRENDRE",IF(AJ860="CO","COUPE – À RESOUDER","À RÉPARER"))))))))))</f>
        <v/>
      </c>
      <c r="AL860" s="82" t="str">
        <f aca="false">IF(AND(ISNUMBER(P860),OR(AK860="À RADIOGRAPHIER",AK860="RÉPARÉ – À RADIOGRAPHIER",AK860="NX – RT À REFAIRE",AK860="À RÉPARER",AK860="COUPE – À RESOUDER",AK860="VT REJETÉ – À REPRENDRE")),MAX(0,'PROGRAMME RT'!$C$4-P860),"")</f>
        <v/>
      </c>
      <c r="AM860" s="78" t="n">
        <f aca="false">IF(AND(OR(AK860="À RADIOGRAPHIER",AK860="RÉPARÉ – À RADIOGRAPHIER",AK860="NX – RT À REFAIRE"),OR('PROGRAMME RT'!$D$5="TOUTES",B860='PROGRAMME RT'!$D$5)),1,0)</f>
        <v>0</v>
      </c>
      <c r="AN860" s="78" t="str">
        <f aca="false">IF(AM860=1,SUM(AM$7:AM860),"")</f>
        <v/>
      </c>
      <c r="AO860" s="78" t="n">
        <f aca="false">IF(AND(OR(AK860="À RÉPARER",AK860="COUPE – À RESOUDER",AK860="VT REJETÉ – À REPRENDRE"),OR(RÉPARATIONS!$D$5="TOUTES",B860=RÉPARATIONS!$D$5)),1,0)</f>
        <v>0</v>
      </c>
      <c r="AP860" s="78" t="str">
        <f aca="false">IF(AO860=1,SUM(AO$7:AO860),"")</f>
        <v/>
      </c>
    </row>
    <row r="861" customFormat="false" ht="15" hidden="false" customHeight="false" outlineLevel="0" collapsed="false">
      <c r="A861" s="78" t="str">
        <f aca="false">IF(E861="","",ROW()-6)</f>
        <v/>
      </c>
      <c r="B861" s="79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1"/>
      <c r="Q861" s="81"/>
      <c r="R861" s="80"/>
      <c r="S861" s="80"/>
      <c r="T861" s="81"/>
      <c r="U861" s="80"/>
      <c r="V861" s="80"/>
      <c r="W861" s="80"/>
      <c r="X861" s="80"/>
      <c r="Y861" s="81"/>
      <c r="Z861" s="80"/>
      <c r="AA861" s="80"/>
      <c r="AB861" s="80"/>
      <c r="AC861" s="80"/>
      <c r="AD861" s="81"/>
      <c r="AE861" s="80"/>
      <c r="AF861" s="80"/>
      <c r="AG861" s="81"/>
      <c r="AH861" s="79"/>
      <c r="AI861" s="78" t="str">
        <f aca="false">IF(E861="","",(V861&lt;&gt;"")+(AA861&lt;&gt;"")+(AF861&lt;&gt;""))</f>
        <v/>
      </c>
      <c r="AJ861" s="82" t="str">
        <f aca="false">IF(AF861&lt;&gt;"",AF861,IF(AA861&lt;&gt;"",AA861,IF(V861&lt;&gt;"",V861,"")))</f>
        <v/>
      </c>
      <c r="AK861" s="83" t="str">
        <f aca="false">IF(E861="","",IF(P861="","À SOUDER",IF(S861="","VT EN ATTENTE",IF(S861="R","VT REJETÉ – À REPRENDRE",IF(AJ861="","À RADIOGRAPHIER",IF(AJ861="A","ACCEPTÉ",IF(AJ861="NX","NX – RT À REFAIRE",IF(IF(AI861=1,X861,IF(AI861=2,AC861,""))="A","RÉPARÉ – À RADIOGRAPHIER",IF(IF(AI861=1,X861,IF(AI861=2,AC861,""))="R","VT REJETÉ – À REPRENDRE",IF(AJ861="CO","COUPE – À RESOUDER","À RÉPARER"))))))))))</f>
        <v/>
      </c>
      <c r="AL861" s="82" t="str">
        <f aca="false">IF(AND(ISNUMBER(P861),OR(AK861="À RADIOGRAPHIER",AK861="RÉPARÉ – À RADIOGRAPHIER",AK861="NX – RT À REFAIRE",AK861="À RÉPARER",AK861="COUPE – À RESOUDER",AK861="VT REJETÉ – À REPRENDRE")),MAX(0,'PROGRAMME RT'!$C$4-P861),"")</f>
        <v/>
      </c>
      <c r="AM861" s="78" t="n">
        <f aca="false">IF(AND(OR(AK861="À RADIOGRAPHIER",AK861="RÉPARÉ – À RADIOGRAPHIER",AK861="NX – RT À REFAIRE"),OR('PROGRAMME RT'!$D$5="TOUTES",B861='PROGRAMME RT'!$D$5)),1,0)</f>
        <v>0</v>
      </c>
      <c r="AN861" s="78" t="str">
        <f aca="false">IF(AM861=1,SUM(AM$7:AM861),"")</f>
        <v/>
      </c>
      <c r="AO861" s="78" t="n">
        <f aca="false">IF(AND(OR(AK861="À RÉPARER",AK861="COUPE – À RESOUDER",AK861="VT REJETÉ – À REPRENDRE"),OR(RÉPARATIONS!$D$5="TOUTES",B861=RÉPARATIONS!$D$5)),1,0)</f>
        <v>0</v>
      </c>
      <c r="AP861" s="78" t="str">
        <f aca="false">IF(AO861=1,SUM(AO$7:AO861),"")</f>
        <v/>
      </c>
    </row>
    <row r="862" customFormat="false" ht="15" hidden="false" customHeight="false" outlineLevel="0" collapsed="false">
      <c r="A862" s="78" t="str">
        <f aca="false">IF(E862="","",ROW()-6)</f>
        <v/>
      </c>
      <c r="B862" s="79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1"/>
      <c r="Q862" s="81"/>
      <c r="R862" s="80"/>
      <c r="S862" s="80"/>
      <c r="T862" s="81"/>
      <c r="U862" s="80"/>
      <c r="V862" s="80"/>
      <c r="W862" s="80"/>
      <c r="X862" s="80"/>
      <c r="Y862" s="81"/>
      <c r="Z862" s="80"/>
      <c r="AA862" s="80"/>
      <c r="AB862" s="80"/>
      <c r="AC862" s="80"/>
      <c r="AD862" s="81"/>
      <c r="AE862" s="80"/>
      <c r="AF862" s="80"/>
      <c r="AG862" s="81"/>
      <c r="AH862" s="79"/>
      <c r="AI862" s="78" t="str">
        <f aca="false">IF(E862="","",(V862&lt;&gt;"")+(AA862&lt;&gt;"")+(AF862&lt;&gt;""))</f>
        <v/>
      </c>
      <c r="AJ862" s="82" t="str">
        <f aca="false">IF(AF862&lt;&gt;"",AF862,IF(AA862&lt;&gt;"",AA862,IF(V862&lt;&gt;"",V862,"")))</f>
        <v/>
      </c>
      <c r="AK862" s="83" t="str">
        <f aca="false">IF(E862="","",IF(P862="","À SOUDER",IF(S862="","VT EN ATTENTE",IF(S862="R","VT REJETÉ – À REPRENDRE",IF(AJ862="","À RADIOGRAPHIER",IF(AJ862="A","ACCEPTÉ",IF(AJ862="NX","NX – RT À REFAIRE",IF(IF(AI862=1,X862,IF(AI862=2,AC862,""))="A","RÉPARÉ – À RADIOGRAPHIER",IF(IF(AI862=1,X862,IF(AI862=2,AC862,""))="R","VT REJETÉ – À REPRENDRE",IF(AJ862="CO","COUPE – À RESOUDER","À RÉPARER"))))))))))</f>
        <v/>
      </c>
      <c r="AL862" s="82" t="str">
        <f aca="false">IF(AND(ISNUMBER(P862),OR(AK862="À RADIOGRAPHIER",AK862="RÉPARÉ – À RADIOGRAPHIER",AK862="NX – RT À REFAIRE",AK862="À RÉPARER",AK862="COUPE – À RESOUDER",AK862="VT REJETÉ – À REPRENDRE")),MAX(0,'PROGRAMME RT'!$C$4-P862),"")</f>
        <v/>
      </c>
      <c r="AM862" s="78" t="n">
        <f aca="false">IF(AND(OR(AK862="À RADIOGRAPHIER",AK862="RÉPARÉ – À RADIOGRAPHIER",AK862="NX – RT À REFAIRE"),OR('PROGRAMME RT'!$D$5="TOUTES",B862='PROGRAMME RT'!$D$5)),1,0)</f>
        <v>0</v>
      </c>
      <c r="AN862" s="78" t="str">
        <f aca="false">IF(AM862=1,SUM(AM$7:AM862),"")</f>
        <v/>
      </c>
      <c r="AO862" s="78" t="n">
        <f aca="false">IF(AND(OR(AK862="À RÉPARER",AK862="COUPE – À RESOUDER",AK862="VT REJETÉ – À REPRENDRE"),OR(RÉPARATIONS!$D$5="TOUTES",B862=RÉPARATIONS!$D$5)),1,0)</f>
        <v>0</v>
      </c>
      <c r="AP862" s="78" t="str">
        <f aca="false">IF(AO862=1,SUM(AO$7:AO862),"")</f>
        <v/>
      </c>
    </row>
    <row r="863" customFormat="false" ht="15" hidden="false" customHeight="false" outlineLevel="0" collapsed="false">
      <c r="A863" s="78" t="str">
        <f aca="false">IF(E863="","",ROW()-6)</f>
        <v/>
      </c>
      <c r="B863" s="79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1"/>
      <c r="Q863" s="81"/>
      <c r="R863" s="80"/>
      <c r="S863" s="80"/>
      <c r="T863" s="81"/>
      <c r="U863" s="80"/>
      <c r="V863" s="80"/>
      <c r="W863" s="80"/>
      <c r="X863" s="80"/>
      <c r="Y863" s="81"/>
      <c r="Z863" s="80"/>
      <c r="AA863" s="80"/>
      <c r="AB863" s="80"/>
      <c r="AC863" s="80"/>
      <c r="AD863" s="81"/>
      <c r="AE863" s="80"/>
      <c r="AF863" s="80"/>
      <c r="AG863" s="81"/>
      <c r="AH863" s="79"/>
      <c r="AI863" s="78" t="str">
        <f aca="false">IF(E863="","",(V863&lt;&gt;"")+(AA863&lt;&gt;"")+(AF863&lt;&gt;""))</f>
        <v/>
      </c>
      <c r="AJ863" s="82" t="str">
        <f aca="false">IF(AF863&lt;&gt;"",AF863,IF(AA863&lt;&gt;"",AA863,IF(V863&lt;&gt;"",V863,"")))</f>
        <v/>
      </c>
      <c r="AK863" s="83" t="str">
        <f aca="false">IF(E863="","",IF(P863="","À SOUDER",IF(S863="","VT EN ATTENTE",IF(S863="R","VT REJETÉ – À REPRENDRE",IF(AJ863="","À RADIOGRAPHIER",IF(AJ863="A","ACCEPTÉ",IF(AJ863="NX","NX – RT À REFAIRE",IF(IF(AI863=1,X863,IF(AI863=2,AC863,""))="A","RÉPARÉ – À RADIOGRAPHIER",IF(IF(AI863=1,X863,IF(AI863=2,AC863,""))="R","VT REJETÉ – À REPRENDRE",IF(AJ863="CO","COUPE – À RESOUDER","À RÉPARER"))))))))))</f>
        <v/>
      </c>
      <c r="AL863" s="82" t="str">
        <f aca="false">IF(AND(ISNUMBER(P863),OR(AK863="À RADIOGRAPHIER",AK863="RÉPARÉ – À RADIOGRAPHIER",AK863="NX – RT À REFAIRE",AK863="À RÉPARER",AK863="COUPE – À RESOUDER",AK863="VT REJETÉ – À REPRENDRE")),MAX(0,'PROGRAMME RT'!$C$4-P863),"")</f>
        <v/>
      </c>
      <c r="AM863" s="78" t="n">
        <f aca="false">IF(AND(OR(AK863="À RADIOGRAPHIER",AK863="RÉPARÉ – À RADIOGRAPHIER",AK863="NX – RT À REFAIRE"),OR('PROGRAMME RT'!$D$5="TOUTES",B863='PROGRAMME RT'!$D$5)),1,0)</f>
        <v>0</v>
      </c>
      <c r="AN863" s="78" t="str">
        <f aca="false">IF(AM863=1,SUM(AM$7:AM863),"")</f>
        <v/>
      </c>
      <c r="AO863" s="78" t="n">
        <f aca="false">IF(AND(OR(AK863="À RÉPARER",AK863="COUPE – À RESOUDER",AK863="VT REJETÉ – À REPRENDRE"),OR(RÉPARATIONS!$D$5="TOUTES",B863=RÉPARATIONS!$D$5)),1,0)</f>
        <v>0</v>
      </c>
      <c r="AP863" s="78" t="str">
        <f aca="false">IF(AO863=1,SUM(AO$7:AO863),"")</f>
        <v/>
      </c>
    </row>
    <row r="864" customFormat="false" ht="15" hidden="false" customHeight="false" outlineLevel="0" collapsed="false">
      <c r="A864" s="78" t="str">
        <f aca="false">IF(E864="","",ROW()-6)</f>
        <v/>
      </c>
      <c r="B864" s="79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1"/>
      <c r="Q864" s="81"/>
      <c r="R864" s="80"/>
      <c r="S864" s="80"/>
      <c r="T864" s="81"/>
      <c r="U864" s="80"/>
      <c r="V864" s="80"/>
      <c r="W864" s="80"/>
      <c r="X864" s="80"/>
      <c r="Y864" s="81"/>
      <c r="Z864" s="80"/>
      <c r="AA864" s="80"/>
      <c r="AB864" s="80"/>
      <c r="AC864" s="80"/>
      <c r="AD864" s="81"/>
      <c r="AE864" s="80"/>
      <c r="AF864" s="80"/>
      <c r="AG864" s="81"/>
      <c r="AH864" s="79"/>
      <c r="AI864" s="78" t="str">
        <f aca="false">IF(E864="","",(V864&lt;&gt;"")+(AA864&lt;&gt;"")+(AF864&lt;&gt;""))</f>
        <v/>
      </c>
      <c r="AJ864" s="82" t="str">
        <f aca="false">IF(AF864&lt;&gt;"",AF864,IF(AA864&lt;&gt;"",AA864,IF(V864&lt;&gt;"",V864,"")))</f>
        <v/>
      </c>
      <c r="AK864" s="83" t="str">
        <f aca="false">IF(E864="","",IF(P864="","À SOUDER",IF(S864="","VT EN ATTENTE",IF(S864="R","VT REJETÉ – À REPRENDRE",IF(AJ864="","À RADIOGRAPHIER",IF(AJ864="A","ACCEPTÉ",IF(AJ864="NX","NX – RT À REFAIRE",IF(IF(AI864=1,X864,IF(AI864=2,AC864,""))="A","RÉPARÉ – À RADIOGRAPHIER",IF(IF(AI864=1,X864,IF(AI864=2,AC864,""))="R","VT REJETÉ – À REPRENDRE",IF(AJ864="CO","COUPE – À RESOUDER","À RÉPARER"))))))))))</f>
        <v/>
      </c>
      <c r="AL864" s="82" t="str">
        <f aca="false">IF(AND(ISNUMBER(P864),OR(AK864="À RADIOGRAPHIER",AK864="RÉPARÉ – À RADIOGRAPHIER",AK864="NX – RT À REFAIRE",AK864="À RÉPARER",AK864="COUPE – À RESOUDER",AK864="VT REJETÉ – À REPRENDRE")),MAX(0,'PROGRAMME RT'!$C$4-P864),"")</f>
        <v/>
      </c>
      <c r="AM864" s="78" t="n">
        <f aca="false">IF(AND(OR(AK864="À RADIOGRAPHIER",AK864="RÉPARÉ – À RADIOGRAPHIER",AK864="NX – RT À REFAIRE"),OR('PROGRAMME RT'!$D$5="TOUTES",B864='PROGRAMME RT'!$D$5)),1,0)</f>
        <v>0</v>
      </c>
      <c r="AN864" s="78" t="str">
        <f aca="false">IF(AM864=1,SUM(AM$7:AM864),"")</f>
        <v/>
      </c>
      <c r="AO864" s="78" t="n">
        <f aca="false">IF(AND(OR(AK864="À RÉPARER",AK864="COUPE – À RESOUDER",AK864="VT REJETÉ – À REPRENDRE"),OR(RÉPARATIONS!$D$5="TOUTES",B864=RÉPARATIONS!$D$5)),1,0)</f>
        <v>0</v>
      </c>
      <c r="AP864" s="78" t="str">
        <f aca="false">IF(AO864=1,SUM(AO$7:AO864),"")</f>
        <v/>
      </c>
    </row>
    <row r="865" customFormat="false" ht="15" hidden="false" customHeight="false" outlineLevel="0" collapsed="false">
      <c r="A865" s="78" t="str">
        <f aca="false">IF(E865="","",ROW()-6)</f>
        <v/>
      </c>
      <c r="B865" s="79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1"/>
      <c r="Q865" s="81"/>
      <c r="R865" s="80"/>
      <c r="S865" s="80"/>
      <c r="T865" s="81"/>
      <c r="U865" s="80"/>
      <c r="V865" s="80"/>
      <c r="W865" s="80"/>
      <c r="X865" s="80"/>
      <c r="Y865" s="81"/>
      <c r="Z865" s="80"/>
      <c r="AA865" s="80"/>
      <c r="AB865" s="80"/>
      <c r="AC865" s="80"/>
      <c r="AD865" s="81"/>
      <c r="AE865" s="80"/>
      <c r="AF865" s="80"/>
      <c r="AG865" s="81"/>
      <c r="AH865" s="79"/>
      <c r="AI865" s="78" t="str">
        <f aca="false">IF(E865="","",(V865&lt;&gt;"")+(AA865&lt;&gt;"")+(AF865&lt;&gt;""))</f>
        <v/>
      </c>
      <c r="AJ865" s="82" t="str">
        <f aca="false">IF(AF865&lt;&gt;"",AF865,IF(AA865&lt;&gt;"",AA865,IF(V865&lt;&gt;"",V865,"")))</f>
        <v/>
      </c>
      <c r="AK865" s="83" t="str">
        <f aca="false">IF(E865="","",IF(P865="","À SOUDER",IF(S865="","VT EN ATTENTE",IF(S865="R","VT REJETÉ – À REPRENDRE",IF(AJ865="","À RADIOGRAPHIER",IF(AJ865="A","ACCEPTÉ",IF(AJ865="NX","NX – RT À REFAIRE",IF(IF(AI865=1,X865,IF(AI865=2,AC865,""))="A","RÉPARÉ – À RADIOGRAPHIER",IF(IF(AI865=1,X865,IF(AI865=2,AC865,""))="R","VT REJETÉ – À REPRENDRE",IF(AJ865="CO","COUPE – À RESOUDER","À RÉPARER"))))))))))</f>
        <v/>
      </c>
      <c r="AL865" s="82" t="str">
        <f aca="false">IF(AND(ISNUMBER(P865),OR(AK865="À RADIOGRAPHIER",AK865="RÉPARÉ – À RADIOGRAPHIER",AK865="NX – RT À REFAIRE",AK865="À RÉPARER",AK865="COUPE – À RESOUDER",AK865="VT REJETÉ – À REPRENDRE")),MAX(0,'PROGRAMME RT'!$C$4-P865),"")</f>
        <v/>
      </c>
      <c r="AM865" s="78" t="n">
        <f aca="false">IF(AND(OR(AK865="À RADIOGRAPHIER",AK865="RÉPARÉ – À RADIOGRAPHIER",AK865="NX – RT À REFAIRE"),OR('PROGRAMME RT'!$D$5="TOUTES",B865='PROGRAMME RT'!$D$5)),1,0)</f>
        <v>0</v>
      </c>
      <c r="AN865" s="78" t="str">
        <f aca="false">IF(AM865=1,SUM(AM$7:AM865),"")</f>
        <v/>
      </c>
      <c r="AO865" s="78" t="n">
        <f aca="false">IF(AND(OR(AK865="À RÉPARER",AK865="COUPE – À RESOUDER",AK865="VT REJETÉ – À REPRENDRE"),OR(RÉPARATIONS!$D$5="TOUTES",B865=RÉPARATIONS!$D$5)),1,0)</f>
        <v>0</v>
      </c>
      <c r="AP865" s="78" t="str">
        <f aca="false">IF(AO865=1,SUM(AO$7:AO865),"")</f>
        <v/>
      </c>
    </row>
    <row r="866" customFormat="false" ht="15" hidden="false" customHeight="false" outlineLevel="0" collapsed="false">
      <c r="A866" s="78" t="str">
        <f aca="false">IF(E866="","",ROW()-6)</f>
        <v/>
      </c>
      <c r="B866" s="79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1"/>
      <c r="Q866" s="81"/>
      <c r="R866" s="80"/>
      <c r="S866" s="80"/>
      <c r="T866" s="81"/>
      <c r="U866" s="80"/>
      <c r="V866" s="80"/>
      <c r="W866" s="80"/>
      <c r="X866" s="80"/>
      <c r="Y866" s="81"/>
      <c r="Z866" s="80"/>
      <c r="AA866" s="80"/>
      <c r="AB866" s="80"/>
      <c r="AC866" s="80"/>
      <c r="AD866" s="81"/>
      <c r="AE866" s="80"/>
      <c r="AF866" s="80"/>
      <c r="AG866" s="81"/>
      <c r="AH866" s="79"/>
      <c r="AI866" s="78" t="str">
        <f aca="false">IF(E866="","",(V866&lt;&gt;"")+(AA866&lt;&gt;"")+(AF866&lt;&gt;""))</f>
        <v/>
      </c>
      <c r="AJ866" s="82" t="str">
        <f aca="false">IF(AF866&lt;&gt;"",AF866,IF(AA866&lt;&gt;"",AA866,IF(V866&lt;&gt;"",V866,"")))</f>
        <v/>
      </c>
      <c r="AK866" s="83" t="str">
        <f aca="false">IF(E866="","",IF(P866="","À SOUDER",IF(S866="","VT EN ATTENTE",IF(S866="R","VT REJETÉ – À REPRENDRE",IF(AJ866="","À RADIOGRAPHIER",IF(AJ866="A","ACCEPTÉ",IF(AJ866="NX","NX – RT À REFAIRE",IF(IF(AI866=1,X866,IF(AI866=2,AC866,""))="A","RÉPARÉ – À RADIOGRAPHIER",IF(IF(AI866=1,X866,IF(AI866=2,AC866,""))="R","VT REJETÉ – À REPRENDRE",IF(AJ866="CO","COUPE – À RESOUDER","À RÉPARER"))))))))))</f>
        <v/>
      </c>
      <c r="AL866" s="82" t="str">
        <f aca="false">IF(AND(ISNUMBER(P866),OR(AK866="À RADIOGRAPHIER",AK866="RÉPARÉ – À RADIOGRAPHIER",AK866="NX – RT À REFAIRE",AK866="À RÉPARER",AK866="COUPE – À RESOUDER",AK866="VT REJETÉ – À REPRENDRE")),MAX(0,'PROGRAMME RT'!$C$4-P866),"")</f>
        <v/>
      </c>
      <c r="AM866" s="78" t="n">
        <f aca="false">IF(AND(OR(AK866="À RADIOGRAPHIER",AK866="RÉPARÉ – À RADIOGRAPHIER",AK866="NX – RT À REFAIRE"),OR('PROGRAMME RT'!$D$5="TOUTES",B866='PROGRAMME RT'!$D$5)),1,0)</f>
        <v>0</v>
      </c>
      <c r="AN866" s="78" t="str">
        <f aca="false">IF(AM866=1,SUM(AM$7:AM866),"")</f>
        <v/>
      </c>
      <c r="AO866" s="78" t="n">
        <f aca="false">IF(AND(OR(AK866="À RÉPARER",AK866="COUPE – À RESOUDER",AK866="VT REJETÉ – À REPRENDRE"),OR(RÉPARATIONS!$D$5="TOUTES",B866=RÉPARATIONS!$D$5)),1,0)</f>
        <v>0</v>
      </c>
      <c r="AP866" s="78" t="str">
        <f aca="false">IF(AO866=1,SUM(AO$7:AO866),"")</f>
        <v/>
      </c>
    </row>
    <row r="867" customFormat="false" ht="15" hidden="false" customHeight="false" outlineLevel="0" collapsed="false">
      <c r="A867" s="78" t="str">
        <f aca="false">IF(E867="","",ROW()-6)</f>
        <v/>
      </c>
      <c r="B867" s="79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1"/>
      <c r="Q867" s="81"/>
      <c r="R867" s="80"/>
      <c r="S867" s="80"/>
      <c r="T867" s="81"/>
      <c r="U867" s="80"/>
      <c r="V867" s="80"/>
      <c r="W867" s="80"/>
      <c r="X867" s="80"/>
      <c r="Y867" s="81"/>
      <c r="Z867" s="80"/>
      <c r="AA867" s="80"/>
      <c r="AB867" s="80"/>
      <c r="AC867" s="80"/>
      <c r="AD867" s="81"/>
      <c r="AE867" s="80"/>
      <c r="AF867" s="80"/>
      <c r="AG867" s="81"/>
      <c r="AH867" s="79"/>
      <c r="AI867" s="78" t="str">
        <f aca="false">IF(E867="","",(V867&lt;&gt;"")+(AA867&lt;&gt;"")+(AF867&lt;&gt;""))</f>
        <v/>
      </c>
      <c r="AJ867" s="82" t="str">
        <f aca="false">IF(AF867&lt;&gt;"",AF867,IF(AA867&lt;&gt;"",AA867,IF(V867&lt;&gt;"",V867,"")))</f>
        <v/>
      </c>
      <c r="AK867" s="83" t="str">
        <f aca="false">IF(E867="","",IF(P867="","À SOUDER",IF(S867="","VT EN ATTENTE",IF(S867="R","VT REJETÉ – À REPRENDRE",IF(AJ867="","À RADIOGRAPHIER",IF(AJ867="A","ACCEPTÉ",IF(AJ867="NX","NX – RT À REFAIRE",IF(IF(AI867=1,X867,IF(AI867=2,AC867,""))="A","RÉPARÉ – À RADIOGRAPHIER",IF(IF(AI867=1,X867,IF(AI867=2,AC867,""))="R","VT REJETÉ – À REPRENDRE",IF(AJ867="CO","COUPE – À RESOUDER","À RÉPARER"))))))))))</f>
        <v/>
      </c>
      <c r="AL867" s="82" t="str">
        <f aca="false">IF(AND(ISNUMBER(P867),OR(AK867="À RADIOGRAPHIER",AK867="RÉPARÉ – À RADIOGRAPHIER",AK867="NX – RT À REFAIRE",AK867="À RÉPARER",AK867="COUPE – À RESOUDER",AK867="VT REJETÉ – À REPRENDRE")),MAX(0,'PROGRAMME RT'!$C$4-P867),"")</f>
        <v/>
      </c>
      <c r="AM867" s="78" t="n">
        <f aca="false">IF(AND(OR(AK867="À RADIOGRAPHIER",AK867="RÉPARÉ – À RADIOGRAPHIER",AK867="NX – RT À REFAIRE"),OR('PROGRAMME RT'!$D$5="TOUTES",B867='PROGRAMME RT'!$D$5)),1,0)</f>
        <v>0</v>
      </c>
      <c r="AN867" s="78" t="str">
        <f aca="false">IF(AM867=1,SUM(AM$7:AM867),"")</f>
        <v/>
      </c>
      <c r="AO867" s="78" t="n">
        <f aca="false">IF(AND(OR(AK867="À RÉPARER",AK867="COUPE – À RESOUDER",AK867="VT REJETÉ – À REPRENDRE"),OR(RÉPARATIONS!$D$5="TOUTES",B867=RÉPARATIONS!$D$5)),1,0)</f>
        <v>0</v>
      </c>
      <c r="AP867" s="78" t="str">
        <f aca="false">IF(AO867=1,SUM(AO$7:AO867),"")</f>
        <v/>
      </c>
    </row>
    <row r="868" customFormat="false" ht="15" hidden="false" customHeight="false" outlineLevel="0" collapsed="false">
      <c r="A868" s="78" t="str">
        <f aca="false">IF(E868="","",ROW()-6)</f>
        <v/>
      </c>
      <c r="B868" s="79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1"/>
      <c r="Q868" s="81"/>
      <c r="R868" s="80"/>
      <c r="S868" s="80"/>
      <c r="T868" s="81"/>
      <c r="U868" s="80"/>
      <c r="V868" s="80"/>
      <c r="W868" s="80"/>
      <c r="X868" s="80"/>
      <c r="Y868" s="81"/>
      <c r="Z868" s="80"/>
      <c r="AA868" s="80"/>
      <c r="AB868" s="80"/>
      <c r="AC868" s="80"/>
      <c r="AD868" s="81"/>
      <c r="AE868" s="80"/>
      <c r="AF868" s="80"/>
      <c r="AG868" s="81"/>
      <c r="AH868" s="79"/>
      <c r="AI868" s="78" t="str">
        <f aca="false">IF(E868="","",(V868&lt;&gt;"")+(AA868&lt;&gt;"")+(AF868&lt;&gt;""))</f>
        <v/>
      </c>
      <c r="AJ868" s="82" t="str">
        <f aca="false">IF(AF868&lt;&gt;"",AF868,IF(AA868&lt;&gt;"",AA868,IF(V868&lt;&gt;"",V868,"")))</f>
        <v/>
      </c>
      <c r="AK868" s="83" t="str">
        <f aca="false">IF(E868="","",IF(P868="","À SOUDER",IF(S868="","VT EN ATTENTE",IF(S868="R","VT REJETÉ – À REPRENDRE",IF(AJ868="","À RADIOGRAPHIER",IF(AJ868="A","ACCEPTÉ",IF(AJ868="NX","NX – RT À REFAIRE",IF(IF(AI868=1,X868,IF(AI868=2,AC868,""))="A","RÉPARÉ – À RADIOGRAPHIER",IF(IF(AI868=1,X868,IF(AI868=2,AC868,""))="R","VT REJETÉ – À REPRENDRE",IF(AJ868="CO","COUPE – À RESOUDER","À RÉPARER"))))))))))</f>
        <v/>
      </c>
      <c r="AL868" s="82" t="str">
        <f aca="false">IF(AND(ISNUMBER(P868),OR(AK868="À RADIOGRAPHIER",AK868="RÉPARÉ – À RADIOGRAPHIER",AK868="NX – RT À REFAIRE",AK868="À RÉPARER",AK868="COUPE – À RESOUDER",AK868="VT REJETÉ – À REPRENDRE")),MAX(0,'PROGRAMME RT'!$C$4-P868),"")</f>
        <v/>
      </c>
      <c r="AM868" s="78" t="n">
        <f aca="false">IF(AND(OR(AK868="À RADIOGRAPHIER",AK868="RÉPARÉ – À RADIOGRAPHIER",AK868="NX – RT À REFAIRE"),OR('PROGRAMME RT'!$D$5="TOUTES",B868='PROGRAMME RT'!$D$5)),1,0)</f>
        <v>0</v>
      </c>
      <c r="AN868" s="78" t="str">
        <f aca="false">IF(AM868=1,SUM(AM$7:AM868),"")</f>
        <v/>
      </c>
      <c r="AO868" s="78" t="n">
        <f aca="false">IF(AND(OR(AK868="À RÉPARER",AK868="COUPE – À RESOUDER",AK868="VT REJETÉ – À REPRENDRE"),OR(RÉPARATIONS!$D$5="TOUTES",B868=RÉPARATIONS!$D$5)),1,0)</f>
        <v>0</v>
      </c>
      <c r="AP868" s="78" t="str">
        <f aca="false">IF(AO868=1,SUM(AO$7:AO868),"")</f>
        <v/>
      </c>
    </row>
    <row r="869" customFormat="false" ht="15" hidden="false" customHeight="false" outlineLevel="0" collapsed="false">
      <c r="A869" s="78" t="str">
        <f aca="false">IF(E869="","",ROW()-6)</f>
        <v/>
      </c>
      <c r="B869" s="79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1"/>
      <c r="Q869" s="81"/>
      <c r="R869" s="80"/>
      <c r="S869" s="80"/>
      <c r="T869" s="81"/>
      <c r="U869" s="80"/>
      <c r="V869" s="80"/>
      <c r="W869" s="80"/>
      <c r="X869" s="80"/>
      <c r="Y869" s="81"/>
      <c r="Z869" s="80"/>
      <c r="AA869" s="80"/>
      <c r="AB869" s="80"/>
      <c r="AC869" s="80"/>
      <c r="AD869" s="81"/>
      <c r="AE869" s="80"/>
      <c r="AF869" s="80"/>
      <c r="AG869" s="81"/>
      <c r="AH869" s="79"/>
      <c r="AI869" s="78" t="str">
        <f aca="false">IF(E869="","",(V869&lt;&gt;"")+(AA869&lt;&gt;"")+(AF869&lt;&gt;""))</f>
        <v/>
      </c>
      <c r="AJ869" s="82" t="str">
        <f aca="false">IF(AF869&lt;&gt;"",AF869,IF(AA869&lt;&gt;"",AA869,IF(V869&lt;&gt;"",V869,"")))</f>
        <v/>
      </c>
      <c r="AK869" s="83" t="str">
        <f aca="false">IF(E869="","",IF(P869="","À SOUDER",IF(S869="","VT EN ATTENTE",IF(S869="R","VT REJETÉ – À REPRENDRE",IF(AJ869="","À RADIOGRAPHIER",IF(AJ869="A","ACCEPTÉ",IF(AJ869="NX","NX – RT À REFAIRE",IF(IF(AI869=1,X869,IF(AI869=2,AC869,""))="A","RÉPARÉ – À RADIOGRAPHIER",IF(IF(AI869=1,X869,IF(AI869=2,AC869,""))="R","VT REJETÉ – À REPRENDRE",IF(AJ869="CO","COUPE – À RESOUDER","À RÉPARER"))))))))))</f>
        <v/>
      </c>
      <c r="AL869" s="82" t="str">
        <f aca="false">IF(AND(ISNUMBER(P869),OR(AK869="À RADIOGRAPHIER",AK869="RÉPARÉ – À RADIOGRAPHIER",AK869="NX – RT À REFAIRE",AK869="À RÉPARER",AK869="COUPE – À RESOUDER",AK869="VT REJETÉ – À REPRENDRE")),MAX(0,'PROGRAMME RT'!$C$4-P869),"")</f>
        <v/>
      </c>
      <c r="AM869" s="78" t="n">
        <f aca="false">IF(AND(OR(AK869="À RADIOGRAPHIER",AK869="RÉPARÉ – À RADIOGRAPHIER",AK869="NX – RT À REFAIRE"),OR('PROGRAMME RT'!$D$5="TOUTES",B869='PROGRAMME RT'!$D$5)),1,0)</f>
        <v>0</v>
      </c>
      <c r="AN869" s="78" t="str">
        <f aca="false">IF(AM869=1,SUM(AM$7:AM869),"")</f>
        <v/>
      </c>
      <c r="AO869" s="78" t="n">
        <f aca="false">IF(AND(OR(AK869="À RÉPARER",AK869="COUPE – À RESOUDER",AK869="VT REJETÉ – À REPRENDRE"),OR(RÉPARATIONS!$D$5="TOUTES",B869=RÉPARATIONS!$D$5)),1,0)</f>
        <v>0</v>
      </c>
      <c r="AP869" s="78" t="str">
        <f aca="false">IF(AO869=1,SUM(AO$7:AO869),"")</f>
        <v/>
      </c>
    </row>
    <row r="870" customFormat="false" ht="15" hidden="false" customHeight="false" outlineLevel="0" collapsed="false">
      <c r="A870" s="78" t="str">
        <f aca="false">IF(E870="","",ROW()-6)</f>
        <v/>
      </c>
      <c r="B870" s="79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1"/>
      <c r="Q870" s="81"/>
      <c r="R870" s="80"/>
      <c r="S870" s="80"/>
      <c r="T870" s="81"/>
      <c r="U870" s="80"/>
      <c r="V870" s="80"/>
      <c r="W870" s="80"/>
      <c r="X870" s="80"/>
      <c r="Y870" s="81"/>
      <c r="Z870" s="80"/>
      <c r="AA870" s="80"/>
      <c r="AB870" s="80"/>
      <c r="AC870" s="80"/>
      <c r="AD870" s="81"/>
      <c r="AE870" s="80"/>
      <c r="AF870" s="80"/>
      <c r="AG870" s="81"/>
      <c r="AH870" s="79"/>
      <c r="AI870" s="78" t="str">
        <f aca="false">IF(E870="","",(V870&lt;&gt;"")+(AA870&lt;&gt;"")+(AF870&lt;&gt;""))</f>
        <v/>
      </c>
      <c r="AJ870" s="82" t="str">
        <f aca="false">IF(AF870&lt;&gt;"",AF870,IF(AA870&lt;&gt;"",AA870,IF(V870&lt;&gt;"",V870,"")))</f>
        <v/>
      </c>
      <c r="AK870" s="83" t="str">
        <f aca="false">IF(E870="","",IF(P870="","À SOUDER",IF(S870="","VT EN ATTENTE",IF(S870="R","VT REJETÉ – À REPRENDRE",IF(AJ870="","À RADIOGRAPHIER",IF(AJ870="A","ACCEPTÉ",IF(AJ870="NX","NX – RT À REFAIRE",IF(IF(AI870=1,X870,IF(AI870=2,AC870,""))="A","RÉPARÉ – À RADIOGRAPHIER",IF(IF(AI870=1,X870,IF(AI870=2,AC870,""))="R","VT REJETÉ – À REPRENDRE",IF(AJ870="CO","COUPE – À RESOUDER","À RÉPARER"))))))))))</f>
        <v/>
      </c>
      <c r="AL870" s="82" t="str">
        <f aca="false">IF(AND(ISNUMBER(P870),OR(AK870="À RADIOGRAPHIER",AK870="RÉPARÉ – À RADIOGRAPHIER",AK870="NX – RT À REFAIRE",AK870="À RÉPARER",AK870="COUPE – À RESOUDER",AK870="VT REJETÉ – À REPRENDRE")),MAX(0,'PROGRAMME RT'!$C$4-P870),"")</f>
        <v/>
      </c>
      <c r="AM870" s="78" t="n">
        <f aca="false">IF(AND(OR(AK870="À RADIOGRAPHIER",AK870="RÉPARÉ – À RADIOGRAPHIER",AK870="NX – RT À REFAIRE"),OR('PROGRAMME RT'!$D$5="TOUTES",B870='PROGRAMME RT'!$D$5)),1,0)</f>
        <v>0</v>
      </c>
      <c r="AN870" s="78" t="str">
        <f aca="false">IF(AM870=1,SUM(AM$7:AM870),"")</f>
        <v/>
      </c>
      <c r="AO870" s="78" t="n">
        <f aca="false">IF(AND(OR(AK870="À RÉPARER",AK870="COUPE – À RESOUDER",AK870="VT REJETÉ – À REPRENDRE"),OR(RÉPARATIONS!$D$5="TOUTES",B870=RÉPARATIONS!$D$5)),1,0)</f>
        <v>0</v>
      </c>
      <c r="AP870" s="78" t="str">
        <f aca="false">IF(AO870=1,SUM(AO$7:AO870),"")</f>
        <v/>
      </c>
    </row>
    <row r="871" customFormat="false" ht="15" hidden="false" customHeight="false" outlineLevel="0" collapsed="false">
      <c r="A871" s="78" t="str">
        <f aca="false">IF(E871="","",ROW()-6)</f>
        <v/>
      </c>
      <c r="B871" s="79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1"/>
      <c r="Q871" s="81"/>
      <c r="R871" s="80"/>
      <c r="S871" s="80"/>
      <c r="T871" s="81"/>
      <c r="U871" s="80"/>
      <c r="V871" s="80"/>
      <c r="W871" s="80"/>
      <c r="X871" s="80"/>
      <c r="Y871" s="81"/>
      <c r="Z871" s="80"/>
      <c r="AA871" s="80"/>
      <c r="AB871" s="80"/>
      <c r="AC871" s="80"/>
      <c r="AD871" s="81"/>
      <c r="AE871" s="80"/>
      <c r="AF871" s="80"/>
      <c r="AG871" s="81"/>
      <c r="AH871" s="79"/>
      <c r="AI871" s="78" t="str">
        <f aca="false">IF(E871="","",(V871&lt;&gt;"")+(AA871&lt;&gt;"")+(AF871&lt;&gt;""))</f>
        <v/>
      </c>
      <c r="AJ871" s="82" t="str">
        <f aca="false">IF(AF871&lt;&gt;"",AF871,IF(AA871&lt;&gt;"",AA871,IF(V871&lt;&gt;"",V871,"")))</f>
        <v/>
      </c>
      <c r="AK871" s="83" t="str">
        <f aca="false">IF(E871="","",IF(P871="","À SOUDER",IF(S871="","VT EN ATTENTE",IF(S871="R","VT REJETÉ – À REPRENDRE",IF(AJ871="","À RADIOGRAPHIER",IF(AJ871="A","ACCEPTÉ",IF(AJ871="NX","NX – RT À REFAIRE",IF(IF(AI871=1,X871,IF(AI871=2,AC871,""))="A","RÉPARÉ – À RADIOGRAPHIER",IF(IF(AI871=1,X871,IF(AI871=2,AC871,""))="R","VT REJETÉ – À REPRENDRE",IF(AJ871="CO","COUPE – À RESOUDER","À RÉPARER"))))))))))</f>
        <v/>
      </c>
      <c r="AL871" s="82" t="str">
        <f aca="false">IF(AND(ISNUMBER(P871),OR(AK871="À RADIOGRAPHIER",AK871="RÉPARÉ – À RADIOGRAPHIER",AK871="NX – RT À REFAIRE",AK871="À RÉPARER",AK871="COUPE – À RESOUDER",AK871="VT REJETÉ – À REPRENDRE")),MAX(0,'PROGRAMME RT'!$C$4-P871),"")</f>
        <v/>
      </c>
      <c r="AM871" s="78" t="n">
        <f aca="false">IF(AND(OR(AK871="À RADIOGRAPHIER",AK871="RÉPARÉ – À RADIOGRAPHIER",AK871="NX – RT À REFAIRE"),OR('PROGRAMME RT'!$D$5="TOUTES",B871='PROGRAMME RT'!$D$5)),1,0)</f>
        <v>0</v>
      </c>
      <c r="AN871" s="78" t="str">
        <f aca="false">IF(AM871=1,SUM(AM$7:AM871),"")</f>
        <v/>
      </c>
      <c r="AO871" s="78" t="n">
        <f aca="false">IF(AND(OR(AK871="À RÉPARER",AK871="COUPE – À RESOUDER",AK871="VT REJETÉ – À REPRENDRE"),OR(RÉPARATIONS!$D$5="TOUTES",B871=RÉPARATIONS!$D$5)),1,0)</f>
        <v>0</v>
      </c>
      <c r="AP871" s="78" t="str">
        <f aca="false">IF(AO871=1,SUM(AO$7:AO871),"")</f>
        <v/>
      </c>
    </row>
    <row r="872" customFormat="false" ht="15" hidden="false" customHeight="false" outlineLevel="0" collapsed="false">
      <c r="A872" s="78" t="str">
        <f aca="false">IF(E872="","",ROW()-6)</f>
        <v/>
      </c>
      <c r="B872" s="79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1"/>
      <c r="Q872" s="81"/>
      <c r="R872" s="80"/>
      <c r="S872" s="80"/>
      <c r="T872" s="81"/>
      <c r="U872" s="80"/>
      <c r="V872" s="80"/>
      <c r="W872" s="80"/>
      <c r="X872" s="80"/>
      <c r="Y872" s="81"/>
      <c r="Z872" s="80"/>
      <c r="AA872" s="80"/>
      <c r="AB872" s="80"/>
      <c r="AC872" s="80"/>
      <c r="AD872" s="81"/>
      <c r="AE872" s="80"/>
      <c r="AF872" s="80"/>
      <c r="AG872" s="81"/>
      <c r="AH872" s="79"/>
      <c r="AI872" s="78" t="str">
        <f aca="false">IF(E872="","",(V872&lt;&gt;"")+(AA872&lt;&gt;"")+(AF872&lt;&gt;""))</f>
        <v/>
      </c>
      <c r="AJ872" s="82" t="str">
        <f aca="false">IF(AF872&lt;&gt;"",AF872,IF(AA872&lt;&gt;"",AA872,IF(V872&lt;&gt;"",V872,"")))</f>
        <v/>
      </c>
      <c r="AK872" s="83" t="str">
        <f aca="false">IF(E872="","",IF(P872="","À SOUDER",IF(S872="","VT EN ATTENTE",IF(S872="R","VT REJETÉ – À REPRENDRE",IF(AJ872="","À RADIOGRAPHIER",IF(AJ872="A","ACCEPTÉ",IF(AJ872="NX","NX – RT À REFAIRE",IF(IF(AI872=1,X872,IF(AI872=2,AC872,""))="A","RÉPARÉ – À RADIOGRAPHIER",IF(IF(AI872=1,X872,IF(AI872=2,AC872,""))="R","VT REJETÉ – À REPRENDRE",IF(AJ872="CO","COUPE – À RESOUDER","À RÉPARER"))))))))))</f>
        <v/>
      </c>
      <c r="AL872" s="82" t="str">
        <f aca="false">IF(AND(ISNUMBER(P872),OR(AK872="À RADIOGRAPHIER",AK872="RÉPARÉ – À RADIOGRAPHIER",AK872="NX – RT À REFAIRE",AK872="À RÉPARER",AK872="COUPE – À RESOUDER",AK872="VT REJETÉ – À REPRENDRE")),MAX(0,'PROGRAMME RT'!$C$4-P872),"")</f>
        <v/>
      </c>
      <c r="AM872" s="78" t="n">
        <f aca="false">IF(AND(OR(AK872="À RADIOGRAPHIER",AK872="RÉPARÉ – À RADIOGRAPHIER",AK872="NX – RT À REFAIRE"),OR('PROGRAMME RT'!$D$5="TOUTES",B872='PROGRAMME RT'!$D$5)),1,0)</f>
        <v>0</v>
      </c>
      <c r="AN872" s="78" t="str">
        <f aca="false">IF(AM872=1,SUM(AM$7:AM872),"")</f>
        <v/>
      </c>
      <c r="AO872" s="78" t="n">
        <f aca="false">IF(AND(OR(AK872="À RÉPARER",AK872="COUPE – À RESOUDER",AK872="VT REJETÉ – À REPRENDRE"),OR(RÉPARATIONS!$D$5="TOUTES",B872=RÉPARATIONS!$D$5)),1,0)</f>
        <v>0</v>
      </c>
      <c r="AP872" s="78" t="str">
        <f aca="false">IF(AO872=1,SUM(AO$7:AO872),"")</f>
        <v/>
      </c>
    </row>
    <row r="873" customFormat="false" ht="15" hidden="false" customHeight="false" outlineLevel="0" collapsed="false">
      <c r="A873" s="78" t="str">
        <f aca="false">IF(E873="","",ROW()-6)</f>
        <v/>
      </c>
      <c r="B873" s="79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1"/>
      <c r="Q873" s="81"/>
      <c r="R873" s="80"/>
      <c r="S873" s="80"/>
      <c r="T873" s="81"/>
      <c r="U873" s="80"/>
      <c r="V873" s="80"/>
      <c r="W873" s="80"/>
      <c r="X873" s="80"/>
      <c r="Y873" s="81"/>
      <c r="Z873" s="80"/>
      <c r="AA873" s="80"/>
      <c r="AB873" s="80"/>
      <c r="AC873" s="80"/>
      <c r="AD873" s="81"/>
      <c r="AE873" s="80"/>
      <c r="AF873" s="80"/>
      <c r="AG873" s="81"/>
      <c r="AH873" s="79"/>
      <c r="AI873" s="78" t="str">
        <f aca="false">IF(E873="","",(V873&lt;&gt;"")+(AA873&lt;&gt;"")+(AF873&lt;&gt;""))</f>
        <v/>
      </c>
      <c r="AJ873" s="82" t="str">
        <f aca="false">IF(AF873&lt;&gt;"",AF873,IF(AA873&lt;&gt;"",AA873,IF(V873&lt;&gt;"",V873,"")))</f>
        <v/>
      </c>
      <c r="AK873" s="83" t="str">
        <f aca="false">IF(E873="","",IF(P873="","À SOUDER",IF(S873="","VT EN ATTENTE",IF(S873="R","VT REJETÉ – À REPRENDRE",IF(AJ873="","À RADIOGRAPHIER",IF(AJ873="A","ACCEPTÉ",IF(AJ873="NX","NX – RT À REFAIRE",IF(IF(AI873=1,X873,IF(AI873=2,AC873,""))="A","RÉPARÉ – À RADIOGRAPHIER",IF(IF(AI873=1,X873,IF(AI873=2,AC873,""))="R","VT REJETÉ – À REPRENDRE",IF(AJ873="CO","COUPE – À RESOUDER","À RÉPARER"))))))))))</f>
        <v/>
      </c>
      <c r="AL873" s="82" t="str">
        <f aca="false">IF(AND(ISNUMBER(P873),OR(AK873="À RADIOGRAPHIER",AK873="RÉPARÉ – À RADIOGRAPHIER",AK873="NX – RT À REFAIRE",AK873="À RÉPARER",AK873="COUPE – À RESOUDER",AK873="VT REJETÉ – À REPRENDRE")),MAX(0,'PROGRAMME RT'!$C$4-P873),"")</f>
        <v/>
      </c>
      <c r="AM873" s="78" t="n">
        <f aca="false">IF(AND(OR(AK873="À RADIOGRAPHIER",AK873="RÉPARÉ – À RADIOGRAPHIER",AK873="NX – RT À REFAIRE"),OR('PROGRAMME RT'!$D$5="TOUTES",B873='PROGRAMME RT'!$D$5)),1,0)</f>
        <v>0</v>
      </c>
      <c r="AN873" s="78" t="str">
        <f aca="false">IF(AM873=1,SUM(AM$7:AM873),"")</f>
        <v/>
      </c>
      <c r="AO873" s="78" t="n">
        <f aca="false">IF(AND(OR(AK873="À RÉPARER",AK873="COUPE – À RESOUDER",AK873="VT REJETÉ – À REPRENDRE"),OR(RÉPARATIONS!$D$5="TOUTES",B873=RÉPARATIONS!$D$5)),1,0)</f>
        <v>0</v>
      </c>
      <c r="AP873" s="78" t="str">
        <f aca="false">IF(AO873=1,SUM(AO$7:AO873),"")</f>
        <v/>
      </c>
    </row>
    <row r="874" customFormat="false" ht="15" hidden="false" customHeight="false" outlineLevel="0" collapsed="false">
      <c r="A874" s="78" t="str">
        <f aca="false">IF(E874="","",ROW()-6)</f>
        <v/>
      </c>
      <c r="B874" s="79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1"/>
      <c r="Q874" s="81"/>
      <c r="R874" s="80"/>
      <c r="S874" s="80"/>
      <c r="T874" s="81"/>
      <c r="U874" s="80"/>
      <c r="V874" s="80"/>
      <c r="W874" s="80"/>
      <c r="X874" s="80"/>
      <c r="Y874" s="81"/>
      <c r="Z874" s="80"/>
      <c r="AA874" s="80"/>
      <c r="AB874" s="80"/>
      <c r="AC874" s="80"/>
      <c r="AD874" s="81"/>
      <c r="AE874" s="80"/>
      <c r="AF874" s="80"/>
      <c r="AG874" s="81"/>
      <c r="AH874" s="79"/>
      <c r="AI874" s="78" t="str">
        <f aca="false">IF(E874="","",(V874&lt;&gt;"")+(AA874&lt;&gt;"")+(AF874&lt;&gt;""))</f>
        <v/>
      </c>
      <c r="AJ874" s="82" t="str">
        <f aca="false">IF(AF874&lt;&gt;"",AF874,IF(AA874&lt;&gt;"",AA874,IF(V874&lt;&gt;"",V874,"")))</f>
        <v/>
      </c>
      <c r="AK874" s="83" t="str">
        <f aca="false">IF(E874="","",IF(P874="","À SOUDER",IF(S874="","VT EN ATTENTE",IF(S874="R","VT REJETÉ – À REPRENDRE",IF(AJ874="","À RADIOGRAPHIER",IF(AJ874="A","ACCEPTÉ",IF(AJ874="NX","NX – RT À REFAIRE",IF(IF(AI874=1,X874,IF(AI874=2,AC874,""))="A","RÉPARÉ – À RADIOGRAPHIER",IF(IF(AI874=1,X874,IF(AI874=2,AC874,""))="R","VT REJETÉ – À REPRENDRE",IF(AJ874="CO","COUPE – À RESOUDER","À RÉPARER"))))))))))</f>
        <v/>
      </c>
      <c r="AL874" s="82" t="str">
        <f aca="false">IF(AND(ISNUMBER(P874),OR(AK874="À RADIOGRAPHIER",AK874="RÉPARÉ – À RADIOGRAPHIER",AK874="NX – RT À REFAIRE",AK874="À RÉPARER",AK874="COUPE – À RESOUDER",AK874="VT REJETÉ – À REPRENDRE")),MAX(0,'PROGRAMME RT'!$C$4-P874),"")</f>
        <v/>
      </c>
      <c r="AM874" s="78" t="n">
        <f aca="false">IF(AND(OR(AK874="À RADIOGRAPHIER",AK874="RÉPARÉ – À RADIOGRAPHIER",AK874="NX – RT À REFAIRE"),OR('PROGRAMME RT'!$D$5="TOUTES",B874='PROGRAMME RT'!$D$5)),1,0)</f>
        <v>0</v>
      </c>
      <c r="AN874" s="78" t="str">
        <f aca="false">IF(AM874=1,SUM(AM$7:AM874),"")</f>
        <v/>
      </c>
      <c r="AO874" s="78" t="n">
        <f aca="false">IF(AND(OR(AK874="À RÉPARER",AK874="COUPE – À RESOUDER",AK874="VT REJETÉ – À REPRENDRE"),OR(RÉPARATIONS!$D$5="TOUTES",B874=RÉPARATIONS!$D$5)),1,0)</f>
        <v>0</v>
      </c>
      <c r="AP874" s="78" t="str">
        <f aca="false">IF(AO874=1,SUM(AO$7:AO874),"")</f>
        <v/>
      </c>
    </row>
    <row r="875" customFormat="false" ht="15" hidden="false" customHeight="false" outlineLevel="0" collapsed="false">
      <c r="A875" s="78" t="str">
        <f aca="false">IF(E875="","",ROW()-6)</f>
        <v/>
      </c>
      <c r="B875" s="79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1"/>
      <c r="Q875" s="81"/>
      <c r="R875" s="80"/>
      <c r="S875" s="80"/>
      <c r="T875" s="81"/>
      <c r="U875" s="80"/>
      <c r="V875" s="80"/>
      <c r="W875" s="80"/>
      <c r="X875" s="80"/>
      <c r="Y875" s="81"/>
      <c r="Z875" s="80"/>
      <c r="AA875" s="80"/>
      <c r="AB875" s="80"/>
      <c r="AC875" s="80"/>
      <c r="AD875" s="81"/>
      <c r="AE875" s="80"/>
      <c r="AF875" s="80"/>
      <c r="AG875" s="81"/>
      <c r="AH875" s="79"/>
      <c r="AI875" s="78" t="str">
        <f aca="false">IF(E875="","",(V875&lt;&gt;"")+(AA875&lt;&gt;"")+(AF875&lt;&gt;""))</f>
        <v/>
      </c>
      <c r="AJ875" s="82" t="str">
        <f aca="false">IF(AF875&lt;&gt;"",AF875,IF(AA875&lt;&gt;"",AA875,IF(V875&lt;&gt;"",V875,"")))</f>
        <v/>
      </c>
      <c r="AK875" s="83" t="str">
        <f aca="false">IF(E875="","",IF(P875="","À SOUDER",IF(S875="","VT EN ATTENTE",IF(S875="R","VT REJETÉ – À REPRENDRE",IF(AJ875="","À RADIOGRAPHIER",IF(AJ875="A","ACCEPTÉ",IF(AJ875="NX","NX – RT À REFAIRE",IF(IF(AI875=1,X875,IF(AI875=2,AC875,""))="A","RÉPARÉ – À RADIOGRAPHIER",IF(IF(AI875=1,X875,IF(AI875=2,AC875,""))="R","VT REJETÉ – À REPRENDRE",IF(AJ875="CO","COUPE – À RESOUDER","À RÉPARER"))))))))))</f>
        <v/>
      </c>
      <c r="AL875" s="82" t="str">
        <f aca="false">IF(AND(ISNUMBER(P875),OR(AK875="À RADIOGRAPHIER",AK875="RÉPARÉ – À RADIOGRAPHIER",AK875="NX – RT À REFAIRE",AK875="À RÉPARER",AK875="COUPE – À RESOUDER",AK875="VT REJETÉ – À REPRENDRE")),MAX(0,'PROGRAMME RT'!$C$4-P875),"")</f>
        <v/>
      </c>
      <c r="AM875" s="78" t="n">
        <f aca="false">IF(AND(OR(AK875="À RADIOGRAPHIER",AK875="RÉPARÉ – À RADIOGRAPHIER",AK875="NX – RT À REFAIRE"),OR('PROGRAMME RT'!$D$5="TOUTES",B875='PROGRAMME RT'!$D$5)),1,0)</f>
        <v>0</v>
      </c>
      <c r="AN875" s="78" t="str">
        <f aca="false">IF(AM875=1,SUM(AM$7:AM875),"")</f>
        <v/>
      </c>
      <c r="AO875" s="78" t="n">
        <f aca="false">IF(AND(OR(AK875="À RÉPARER",AK875="COUPE – À RESOUDER",AK875="VT REJETÉ – À REPRENDRE"),OR(RÉPARATIONS!$D$5="TOUTES",B875=RÉPARATIONS!$D$5)),1,0)</f>
        <v>0</v>
      </c>
      <c r="AP875" s="78" t="str">
        <f aca="false">IF(AO875=1,SUM(AO$7:AO875),"")</f>
        <v/>
      </c>
    </row>
    <row r="876" customFormat="false" ht="15" hidden="false" customHeight="false" outlineLevel="0" collapsed="false">
      <c r="A876" s="78" t="str">
        <f aca="false">IF(E876="","",ROW()-6)</f>
        <v/>
      </c>
      <c r="B876" s="79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1"/>
      <c r="Q876" s="81"/>
      <c r="R876" s="80"/>
      <c r="S876" s="80"/>
      <c r="T876" s="81"/>
      <c r="U876" s="80"/>
      <c r="V876" s="80"/>
      <c r="W876" s="80"/>
      <c r="X876" s="80"/>
      <c r="Y876" s="81"/>
      <c r="Z876" s="80"/>
      <c r="AA876" s="80"/>
      <c r="AB876" s="80"/>
      <c r="AC876" s="80"/>
      <c r="AD876" s="81"/>
      <c r="AE876" s="80"/>
      <c r="AF876" s="80"/>
      <c r="AG876" s="81"/>
      <c r="AH876" s="79"/>
      <c r="AI876" s="78" t="str">
        <f aca="false">IF(E876="","",(V876&lt;&gt;"")+(AA876&lt;&gt;"")+(AF876&lt;&gt;""))</f>
        <v/>
      </c>
      <c r="AJ876" s="82" t="str">
        <f aca="false">IF(AF876&lt;&gt;"",AF876,IF(AA876&lt;&gt;"",AA876,IF(V876&lt;&gt;"",V876,"")))</f>
        <v/>
      </c>
      <c r="AK876" s="83" t="str">
        <f aca="false">IF(E876="","",IF(P876="","À SOUDER",IF(S876="","VT EN ATTENTE",IF(S876="R","VT REJETÉ – À REPRENDRE",IF(AJ876="","À RADIOGRAPHIER",IF(AJ876="A","ACCEPTÉ",IF(AJ876="NX","NX – RT À REFAIRE",IF(IF(AI876=1,X876,IF(AI876=2,AC876,""))="A","RÉPARÉ – À RADIOGRAPHIER",IF(IF(AI876=1,X876,IF(AI876=2,AC876,""))="R","VT REJETÉ – À REPRENDRE",IF(AJ876="CO","COUPE – À RESOUDER","À RÉPARER"))))))))))</f>
        <v/>
      </c>
      <c r="AL876" s="82" t="str">
        <f aca="false">IF(AND(ISNUMBER(P876),OR(AK876="À RADIOGRAPHIER",AK876="RÉPARÉ – À RADIOGRAPHIER",AK876="NX – RT À REFAIRE",AK876="À RÉPARER",AK876="COUPE – À RESOUDER",AK876="VT REJETÉ – À REPRENDRE")),MAX(0,'PROGRAMME RT'!$C$4-P876),"")</f>
        <v/>
      </c>
      <c r="AM876" s="78" t="n">
        <f aca="false">IF(AND(OR(AK876="À RADIOGRAPHIER",AK876="RÉPARÉ – À RADIOGRAPHIER",AK876="NX – RT À REFAIRE"),OR('PROGRAMME RT'!$D$5="TOUTES",B876='PROGRAMME RT'!$D$5)),1,0)</f>
        <v>0</v>
      </c>
      <c r="AN876" s="78" t="str">
        <f aca="false">IF(AM876=1,SUM(AM$7:AM876),"")</f>
        <v/>
      </c>
      <c r="AO876" s="78" t="n">
        <f aca="false">IF(AND(OR(AK876="À RÉPARER",AK876="COUPE – À RESOUDER",AK876="VT REJETÉ – À REPRENDRE"),OR(RÉPARATIONS!$D$5="TOUTES",B876=RÉPARATIONS!$D$5)),1,0)</f>
        <v>0</v>
      </c>
      <c r="AP876" s="78" t="str">
        <f aca="false">IF(AO876=1,SUM(AO$7:AO876),"")</f>
        <v/>
      </c>
    </row>
    <row r="877" customFormat="false" ht="15" hidden="false" customHeight="false" outlineLevel="0" collapsed="false">
      <c r="A877" s="78" t="str">
        <f aca="false">IF(E877="","",ROW()-6)</f>
        <v/>
      </c>
      <c r="B877" s="79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1"/>
      <c r="Q877" s="81"/>
      <c r="R877" s="80"/>
      <c r="S877" s="80"/>
      <c r="T877" s="81"/>
      <c r="U877" s="80"/>
      <c r="V877" s="80"/>
      <c r="W877" s="80"/>
      <c r="X877" s="80"/>
      <c r="Y877" s="81"/>
      <c r="Z877" s="80"/>
      <c r="AA877" s="80"/>
      <c r="AB877" s="80"/>
      <c r="AC877" s="80"/>
      <c r="AD877" s="81"/>
      <c r="AE877" s="80"/>
      <c r="AF877" s="80"/>
      <c r="AG877" s="81"/>
      <c r="AH877" s="79"/>
      <c r="AI877" s="78" t="str">
        <f aca="false">IF(E877="","",(V877&lt;&gt;"")+(AA877&lt;&gt;"")+(AF877&lt;&gt;""))</f>
        <v/>
      </c>
      <c r="AJ877" s="82" t="str">
        <f aca="false">IF(AF877&lt;&gt;"",AF877,IF(AA877&lt;&gt;"",AA877,IF(V877&lt;&gt;"",V877,"")))</f>
        <v/>
      </c>
      <c r="AK877" s="83" t="str">
        <f aca="false">IF(E877="","",IF(P877="","À SOUDER",IF(S877="","VT EN ATTENTE",IF(S877="R","VT REJETÉ – À REPRENDRE",IF(AJ877="","À RADIOGRAPHIER",IF(AJ877="A","ACCEPTÉ",IF(AJ877="NX","NX – RT À REFAIRE",IF(IF(AI877=1,X877,IF(AI877=2,AC877,""))="A","RÉPARÉ – À RADIOGRAPHIER",IF(IF(AI877=1,X877,IF(AI877=2,AC877,""))="R","VT REJETÉ – À REPRENDRE",IF(AJ877="CO","COUPE – À RESOUDER","À RÉPARER"))))))))))</f>
        <v/>
      </c>
      <c r="AL877" s="82" t="str">
        <f aca="false">IF(AND(ISNUMBER(P877),OR(AK877="À RADIOGRAPHIER",AK877="RÉPARÉ – À RADIOGRAPHIER",AK877="NX – RT À REFAIRE",AK877="À RÉPARER",AK877="COUPE – À RESOUDER",AK877="VT REJETÉ – À REPRENDRE")),MAX(0,'PROGRAMME RT'!$C$4-P877),"")</f>
        <v/>
      </c>
      <c r="AM877" s="78" t="n">
        <f aca="false">IF(AND(OR(AK877="À RADIOGRAPHIER",AK877="RÉPARÉ – À RADIOGRAPHIER",AK877="NX – RT À REFAIRE"),OR('PROGRAMME RT'!$D$5="TOUTES",B877='PROGRAMME RT'!$D$5)),1,0)</f>
        <v>0</v>
      </c>
      <c r="AN877" s="78" t="str">
        <f aca="false">IF(AM877=1,SUM(AM$7:AM877),"")</f>
        <v/>
      </c>
      <c r="AO877" s="78" t="n">
        <f aca="false">IF(AND(OR(AK877="À RÉPARER",AK877="COUPE – À RESOUDER",AK877="VT REJETÉ – À REPRENDRE"),OR(RÉPARATIONS!$D$5="TOUTES",B877=RÉPARATIONS!$D$5)),1,0)</f>
        <v>0</v>
      </c>
      <c r="AP877" s="78" t="str">
        <f aca="false">IF(AO877=1,SUM(AO$7:AO877),"")</f>
        <v/>
      </c>
    </row>
    <row r="878" customFormat="false" ht="15" hidden="false" customHeight="false" outlineLevel="0" collapsed="false">
      <c r="A878" s="78" t="str">
        <f aca="false">IF(E878="","",ROW()-6)</f>
        <v/>
      </c>
      <c r="B878" s="79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1"/>
      <c r="Q878" s="81"/>
      <c r="R878" s="80"/>
      <c r="S878" s="80"/>
      <c r="T878" s="81"/>
      <c r="U878" s="80"/>
      <c r="V878" s="80"/>
      <c r="W878" s="80"/>
      <c r="X878" s="80"/>
      <c r="Y878" s="81"/>
      <c r="Z878" s="80"/>
      <c r="AA878" s="80"/>
      <c r="AB878" s="80"/>
      <c r="AC878" s="80"/>
      <c r="AD878" s="81"/>
      <c r="AE878" s="80"/>
      <c r="AF878" s="80"/>
      <c r="AG878" s="81"/>
      <c r="AH878" s="79"/>
      <c r="AI878" s="78" t="str">
        <f aca="false">IF(E878="","",(V878&lt;&gt;"")+(AA878&lt;&gt;"")+(AF878&lt;&gt;""))</f>
        <v/>
      </c>
      <c r="AJ878" s="82" t="str">
        <f aca="false">IF(AF878&lt;&gt;"",AF878,IF(AA878&lt;&gt;"",AA878,IF(V878&lt;&gt;"",V878,"")))</f>
        <v/>
      </c>
      <c r="AK878" s="83" t="str">
        <f aca="false">IF(E878="","",IF(P878="","À SOUDER",IF(S878="","VT EN ATTENTE",IF(S878="R","VT REJETÉ – À REPRENDRE",IF(AJ878="","À RADIOGRAPHIER",IF(AJ878="A","ACCEPTÉ",IF(AJ878="NX","NX – RT À REFAIRE",IF(IF(AI878=1,X878,IF(AI878=2,AC878,""))="A","RÉPARÉ – À RADIOGRAPHIER",IF(IF(AI878=1,X878,IF(AI878=2,AC878,""))="R","VT REJETÉ – À REPRENDRE",IF(AJ878="CO","COUPE – À RESOUDER","À RÉPARER"))))))))))</f>
        <v/>
      </c>
      <c r="AL878" s="82" t="str">
        <f aca="false">IF(AND(ISNUMBER(P878),OR(AK878="À RADIOGRAPHIER",AK878="RÉPARÉ – À RADIOGRAPHIER",AK878="NX – RT À REFAIRE",AK878="À RÉPARER",AK878="COUPE – À RESOUDER",AK878="VT REJETÉ – À REPRENDRE")),MAX(0,'PROGRAMME RT'!$C$4-P878),"")</f>
        <v/>
      </c>
      <c r="AM878" s="78" t="n">
        <f aca="false">IF(AND(OR(AK878="À RADIOGRAPHIER",AK878="RÉPARÉ – À RADIOGRAPHIER",AK878="NX – RT À REFAIRE"),OR('PROGRAMME RT'!$D$5="TOUTES",B878='PROGRAMME RT'!$D$5)),1,0)</f>
        <v>0</v>
      </c>
      <c r="AN878" s="78" t="str">
        <f aca="false">IF(AM878=1,SUM(AM$7:AM878),"")</f>
        <v/>
      </c>
      <c r="AO878" s="78" t="n">
        <f aca="false">IF(AND(OR(AK878="À RÉPARER",AK878="COUPE – À RESOUDER",AK878="VT REJETÉ – À REPRENDRE"),OR(RÉPARATIONS!$D$5="TOUTES",B878=RÉPARATIONS!$D$5)),1,0)</f>
        <v>0</v>
      </c>
      <c r="AP878" s="78" t="str">
        <f aca="false">IF(AO878=1,SUM(AO$7:AO878),"")</f>
        <v/>
      </c>
    </row>
    <row r="879" customFormat="false" ht="15" hidden="false" customHeight="false" outlineLevel="0" collapsed="false">
      <c r="A879" s="78" t="str">
        <f aca="false">IF(E879="","",ROW()-6)</f>
        <v/>
      </c>
      <c r="B879" s="79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1"/>
      <c r="Q879" s="81"/>
      <c r="R879" s="80"/>
      <c r="S879" s="80"/>
      <c r="T879" s="81"/>
      <c r="U879" s="80"/>
      <c r="V879" s="80"/>
      <c r="W879" s="80"/>
      <c r="X879" s="80"/>
      <c r="Y879" s="81"/>
      <c r="Z879" s="80"/>
      <c r="AA879" s="80"/>
      <c r="AB879" s="80"/>
      <c r="AC879" s="80"/>
      <c r="AD879" s="81"/>
      <c r="AE879" s="80"/>
      <c r="AF879" s="80"/>
      <c r="AG879" s="81"/>
      <c r="AH879" s="79"/>
      <c r="AI879" s="78" t="str">
        <f aca="false">IF(E879="","",(V879&lt;&gt;"")+(AA879&lt;&gt;"")+(AF879&lt;&gt;""))</f>
        <v/>
      </c>
      <c r="AJ879" s="82" t="str">
        <f aca="false">IF(AF879&lt;&gt;"",AF879,IF(AA879&lt;&gt;"",AA879,IF(V879&lt;&gt;"",V879,"")))</f>
        <v/>
      </c>
      <c r="AK879" s="83" t="str">
        <f aca="false">IF(E879="","",IF(P879="","À SOUDER",IF(S879="","VT EN ATTENTE",IF(S879="R","VT REJETÉ – À REPRENDRE",IF(AJ879="","À RADIOGRAPHIER",IF(AJ879="A","ACCEPTÉ",IF(AJ879="NX","NX – RT À REFAIRE",IF(IF(AI879=1,X879,IF(AI879=2,AC879,""))="A","RÉPARÉ – À RADIOGRAPHIER",IF(IF(AI879=1,X879,IF(AI879=2,AC879,""))="R","VT REJETÉ – À REPRENDRE",IF(AJ879="CO","COUPE – À RESOUDER","À RÉPARER"))))))))))</f>
        <v/>
      </c>
      <c r="AL879" s="82" t="str">
        <f aca="false">IF(AND(ISNUMBER(P879),OR(AK879="À RADIOGRAPHIER",AK879="RÉPARÉ – À RADIOGRAPHIER",AK879="NX – RT À REFAIRE",AK879="À RÉPARER",AK879="COUPE – À RESOUDER",AK879="VT REJETÉ – À REPRENDRE")),MAX(0,'PROGRAMME RT'!$C$4-P879),"")</f>
        <v/>
      </c>
      <c r="AM879" s="78" t="n">
        <f aca="false">IF(AND(OR(AK879="À RADIOGRAPHIER",AK879="RÉPARÉ – À RADIOGRAPHIER",AK879="NX – RT À REFAIRE"),OR('PROGRAMME RT'!$D$5="TOUTES",B879='PROGRAMME RT'!$D$5)),1,0)</f>
        <v>0</v>
      </c>
      <c r="AN879" s="78" t="str">
        <f aca="false">IF(AM879=1,SUM(AM$7:AM879),"")</f>
        <v/>
      </c>
      <c r="AO879" s="78" t="n">
        <f aca="false">IF(AND(OR(AK879="À RÉPARER",AK879="COUPE – À RESOUDER",AK879="VT REJETÉ – À REPRENDRE"),OR(RÉPARATIONS!$D$5="TOUTES",B879=RÉPARATIONS!$D$5)),1,0)</f>
        <v>0</v>
      </c>
      <c r="AP879" s="78" t="str">
        <f aca="false">IF(AO879=1,SUM(AO$7:AO879),"")</f>
        <v/>
      </c>
    </row>
    <row r="880" customFormat="false" ht="15" hidden="false" customHeight="false" outlineLevel="0" collapsed="false">
      <c r="A880" s="78" t="str">
        <f aca="false">IF(E880="","",ROW()-6)</f>
        <v/>
      </c>
      <c r="B880" s="79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1"/>
      <c r="Q880" s="81"/>
      <c r="R880" s="80"/>
      <c r="S880" s="80"/>
      <c r="T880" s="81"/>
      <c r="U880" s="80"/>
      <c r="V880" s="80"/>
      <c r="W880" s="80"/>
      <c r="X880" s="80"/>
      <c r="Y880" s="81"/>
      <c r="Z880" s="80"/>
      <c r="AA880" s="80"/>
      <c r="AB880" s="80"/>
      <c r="AC880" s="80"/>
      <c r="AD880" s="81"/>
      <c r="AE880" s="80"/>
      <c r="AF880" s="80"/>
      <c r="AG880" s="81"/>
      <c r="AH880" s="79"/>
      <c r="AI880" s="78" t="str">
        <f aca="false">IF(E880="","",(V880&lt;&gt;"")+(AA880&lt;&gt;"")+(AF880&lt;&gt;""))</f>
        <v/>
      </c>
      <c r="AJ880" s="82" t="str">
        <f aca="false">IF(AF880&lt;&gt;"",AF880,IF(AA880&lt;&gt;"",AA880,IF(V880&lt;&gt;"",V880,"")))</f>
        <v/>
      </c>
      <c r="AK880" s="83" t="str">
        <f aca="false">IF(E880="","",IF(P880="","À SOUDER",IF(S880="","VT EN ATTENTE",IF(S880="R","VT REJETÉ – À REPRENDRE",IF(AJ880="","À RADIOGRAPHIER",IF(AJ880="A","ACCEPTÉ",IF(AJ880="NX","NX – RT À REFAIRE",IF(IF(AI880=1,X880,IF(AI880=2,AC880,""))="A","RÉPARÉ – À RADIOGRAPHIER",IF(IF(AI880=1,X880,IF(AI880=2,AC880,""))="R","VT REJETÉ – À REPRENDRE",IF(AJ880="CO","COUPE – À RESOUDER","À RÉPARER"))))))))))</f>
        <v/>
      </c>
      <c r="AL880" s="82" t="str">
        <f aca="false">IF(AND(ISNUMBER(P880),OR(AK880="À RADIOGRAPHIER",AK880="RÉPARÉ – À RADIOGRAPHIER",AK880="NX – RT À REFAIRE",AK880="À RÉPARER",AK880="COUPE – À RESOUDER",AK880="VT REJETÉ – À REPRENDRE")),MAX(0,'PROGRAMME RT'!$C$4-P880),"")</f>
        <v/>
      </c>
      <c r="AM880" s="78" t="n">
        <f aca="false">IF(AND(OR(AK880="À RADIOGRAPHIER",AK880="RÉPARÉ – À RADIOGRAPHIER",AK880="NX – RT À REFAIRE"),OR('PROGRAMME RT'!$D$5="TOUTES",B880='PROGRAMME RT'!$D$5)),1,0)</f>
        <v>0</v>
      </c>
      <c r="AN880" s="78" t="str">
        <f aca="false">IF(AM880=1,SUM(AM$7:AM880),"")</f>
        <v/>
      </c>
      <c r="AO880" s="78" t="n">
        <f aca="false">IF(AND(OR(AK880="À RÉPARER",AK880="COUPE – À RESOUDER",AK880="VT REJETÉ – À REPRENDRE"),OR(RÉPARATIONS!$D$5="TOUTES",B880=RÉPARATIONS!$D$5)),1,0)</f>
        <v>0</v>
      </c>
      <c r="AP880" s="78" t="str">
        <f aca="false">IF(AO880=1,SUM(AO$7:AO880),"")</f>
        <v/>
      </c>
    </row>
    <row r="881" customFormat="false" ht="15" hidden="false" customHeight="false" outlineLevel="0" collapsed="false">
      <c r="A881" s="78" t="str">
        <f aca="false">IF(E881="","",ROW()-6)</f>
        <v/>
      </c>
      <c r="B881" s="79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1"/>
      <c r="Q881" s="81"/>
      <c r="R881" s="80"/>
      <c r="S881" s="80"/>
      <c r="T881" s="81"/>
      <c r="U881" s="80"/>
      <c r="V881" s="80"/>
      <c r="W881" s="80"/>
      <c r="X881" s="80"/>
      <c r="Y881" s="81"/>
      <c r="Z881" s="80"/>
      <c r="AA881" s="80"/>
      <c r="AB881" s="80"/>
      <c r="AC881" s="80"/>
      <c r="AD881" s="81"/>
      <c r="AE881" s="80"/>
      <c r="AF881" s="80"/>
      <c r="AG881" s="81"/>
      <c r="AH881" s="79"/>
      <c r="AI881" s="78" t="str">
        <f aca="false">IF(E881="","",(V881&lt;&gt;"")+(AA881&lt;&gt;"")+(AF881&lt;&gt;""))</f>
        <v/>
      </c>
      <c r="AJ881" s="82" t="str">
        <f aca="false">IF(AF881&lt;&gt;"",AF881,IF(AA881&lt;&gt;"",AA881,IF(V881&lt;&gt;"",V881,"")))</f>
        <v/>
      </c>
      <c r="AK881" s="83" t="str">
        <f aca="false">IF(E881="","",IF(P881="","À SOUDER",IF(S881="","VT EN ATTENTE",IF(S881="R","VT REJETÉ – À REPRENDRE",IF(AJ881="","À RADIOGRAPHIER",IF(AJ881="A","ACCEPTÉ",IF(AJ881="NX","NX – RT À REFAIRE",IF(IF(AI881=1,X881,IF(AI881=2,AC881,""))="A","RÉPARÉ – À RADIOGRAPHIER",IF(IF(AI881=1,X881,IF(AI881=2,AC881,""))="R","VT REJETÉ – À REPRENDRE",IF(AJ881="CO","COUPE – À RESOUDER","À RÉPARER"))))))))))</f>
        <v/>
      </c>
      <c r="AL881" s="82" t="str">
        <f aca="false">IF(AND(ISNUMBER(P881),OR(AK881="À RADIOGRAPHIER",AK881="RÉPARÉ – À RADIOGRAPHIER",AK881="NX – RT À REFAIRE",AK881="À RÉPARER",AK881="COUPE – À RESOUDER",AK881="VT REJETÉ – À REPRENDRE")),MAX(0,'PROGRAMME RT'!$C$4-P881),"")</f>
        <v/>
      </c>
      <c r="AM881" s="78" t="n">
        <f aca="false">IF(AND(OR(AK881="À RADIOGRAPHIER",AK881="RÉPARÉ – À RADIOGRAPHIER",AK881="NX – RT À REFAIRE"),OR('PROGRAMME RT'!$D$5="TOUTES",B881='PROGRAMME RT'!$D$5)),1,0)</f>
        <v>0</v>
      </c>
      <c r="AN881" s="78" t="str">
        <f aca="false">IF(AM881=1,SUM(AM$7:AM881),"")</f>
        <v/>
      </c>
      <c r="AO881" s="78" t="n">
        <f aca="false">IF(AND(OR(AK881="À RÉPARER",AK881="COUPE – À RESOUDER",AK881="VT REJETÉ – À REPRENDRE"),OR(RÉPARATIONS!$D$5="TOUTES",B881=RÉPARATIONS!$D$5)),1,0)</f>
        <v>0</v>
      </c>
      <c r="AP881" s="78" t="str">
        <f aca="false">IF(AO881=1,SUM(AO$7:AO881),"")</f>
        <v/>
      </c>
    </row>
    <row r="882" customFormat="false" ht="15" hidden="false" customHeight="false" outlineLevel="0" collapsed="false">
      <c r="A882" s="78" t="str">
        <f aca="false">IF(E882="","",ROW()-6)</f>
        <v/>
      </c>
      <c r="B882" s="79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1"/>
      <c r="Q882" s="81"/>
      <c r="R882" s="80"/>
      <c r="S882" s="80"/>
      <c r="T882" s="81"/>
      <c r="U882" s="80"/>
      <c r="V882" s="80"/>
      <c r="W882" s="80"/>
      <c r="X882" s="80"/>
      <c r="Y882" s="81"/>
      <c r="Z882" s="80"/>
      <c r="AA882" s="80"/>
      <c r="AB882" s="80"/>
      <c r="AC882" s="80"/>
      <c r="AD882" s="81"/>
      <c r="AE882" s="80"/>
      <c r="AF882" s="80"/>
      <c r="AG882" s="81"/>
      <c r="AH882" s="79"/>
      <c r="AI882" s="78" t="str">
        <f aca="false">IF(E882="","",(V882&lt;&gt;"")+(AA882&lt;&gt;"")+(AF882&lt;&gt;""))</f>
        <v/>
      </c>
      <c r="AJ882" s="82" t="str">
        <f aca="false">IF(AF882&lt;&gt;"",AF882,IF(AA882&lt;&gt;"",AA882,IF(V882&lt;&gt;"",V882,"")))</f>
        <v/>
      </c>
      <c r="AK882" s="83" t="str">
        <f aca="false">IF(E882="","",IF(P882="","À SOUDER",IF(S882="","VT EN ATTENTE",IF(S882="R","VT REJETÉ – À REPRENDRE",IF(AJ882="","À RADIOGRAPHIER",IF(AJ882="A","ACCEPTÉ",IF(AJ882="NX","NX – RT À REFAIRE",IF(IF(AI882=1,X882,IF(AI882=2,AC882,""))="A","RÉPARÉ – À RADIOGRAPHIER",IF(IF(AI882=1,X882,IF(AI882=2,AC882,""))="R","VT REJETÉ – À REPRENDRE",IF(AJ882="CO","COUPE – À RESOUDER","À RÉPARER"))))))))))</f>
        <v/>
      </c>
      <c r="AL882" s="82" t="str">
        <f aca="false">IF(AND(ISNUMBER(P882),OR(AK882="À RADIOGRAPHIER",AK882="RÉPARÉ – À RADIOGRAPHIER",AK882="NX – RT À REFAIRE",AK882="À RÉPARER",AK882="COUPE – À RESOUDER",AK882="VT REJETÉ – À REPRENDRE")),MAX(0,'PROGRAMME RT'!$C$4-P882),"")</f>
        <v/>
      </c>
      <c r="AM882" s="78" t="n">
        <f aca="false">IF(AND(OR(AK882="À RADIOGRAPHIER",AK882="RÉPARÉ – À RADIOGRAPHIER",AK882="NX – RT À REFAIRE"),OR('PROGRAMME RT'!$D$5="TOUTES",B882='PROGRAMME RT'!$D$5)),1,0)</f>
        <v>0</v>
      </c>
      <c r="AN882" s="78" t="str">
        <f aca="false">IF(AM882=1,SUM(AM$7:AM882),"")</f>
        <v/>
      </c>
      <c r="AO882" s="78" t="n">
        <f aca="false">IF(AND(OR(AK882="À RÉPARER",AK882="COUPE – À RESOUDER",AK882="VT REJETÉ – À REPRENDRE"),OR(RÉPARATIONS!$D$5="TOUTES",B882=RÉPARATIONS!$D$5)),1,0)</f>
        <v>0</v>
      </c>
      <c r="AP882" s="78" t="str">
        <f aca="false">IF(AO882=1,SUM(AO$7:AO882),"")</f>
        <v/>
      </c>
    </row>
    <row r="883" customFormat="false" ht="15" hidden="false" customHeight="false" outlineLevel="0" collapsed="false">
      <c r="A883" s="78" t="str">
        <f aca="false">IF(E883="","",ROW()-6)</f>
        <v/>
      </c>
      <c r="B883" s="79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1"/>
      <c r="Q883" s="81"/>
      <c r="R883" s="80"/>
      <c r="S883" s="80"/>
      <c r="T883" s="81"/>
      <c r="U883" s="80"/>
      <c r="V883" s="80"/>
      <c r="W883" s="80"/>
      <c r="X883" s="80"/>
      <c r="Y883" s="81"/>
      <c r="Z883" s="80"/>
      <c r="AA883" s="80"/>
      <c r="AB883" s="80"/>
      <c r="AC883" s="80"/>
      <c r="AD883" s="81"/>
      <c r="AE883" s="80"/>
      <c r="AF883" s="80"/>
      <c r="AG883" s="81"/>
      <c r="AH883" s="79"/>
      <c r="AI883" s="78" t="str">
        <f aca="false">IF(E883="","",(V883&lt;&gt;"")+(AA883&lt;&gt;"")+(AF883&lt;&gt;""))</f>
        <v/>
      </c>
      <c r="AJ883" s="82" t="str">
        <f aca="false">IF(AF883&lt;&gt;"",AF883,IF(AA883&lt;&gt;"",AA883,IF(V883&lt;&gt;"",V883,"")))</f>
        <v/>
      </c>
      <c r="AK883" s="83" t="str">
        <f aca="false">IF(E883="","",IF(P883="","À SOUDER",IF(S883="","VT EN ATTENTE",IF(S883="R","VT REJETÉ – À REPRENDRE",IF(AJ883="","À RADIOGRAPHIER",IF(AJ883="A","ACCEPTÉ",IF(AJ883="NX","NX – RT À REFAIRE",IF(IF(AI883=1,X883,IF(AI883=2,AC883,""))="A","RÉPARÉ – À RADIOGRAPHIER",IF(IF(AI883=1,X883,IF(AI883=2,AC883,""))="R","VT REJETÉ – À REPRENDRE",IF(AJ883="CO","COUPE – À RESOUDER","À RÉPARER"))))))))))</f>
        <v/>
      </c>
      <c r="AL883" s="82" t="str">
        <f aca="false">IF(AND(ISNUMBER(P883),OR(AK883="À RADIOGRAPHIER",AK883="RÉPARÉ – À RADIOGRAPHIER",AK883="NX – RT À REFAIRE",AK883="À RÉPARER",AK883="COUPE – À RESOUDER",AK883="VT REJETÉ – À REPRENDRE")),MAX(0,'PROGRAMME RT'!$C$4-P883),"")</f>
        <v/>
      </c>
      <c r="AM883" s="78" t="n">
        <f aca="false">IF(AND(OR(AK883="À RADIOGRAPHIER",AK883="RÉPARÉ – À RADIOGRAPHIER",AK883="NX – RT À REFAIRE"),OR('PROGRAMME RT'!$D$5="TOUTES",B883='PROGRAMME RT'!$D$5)),1,0)</f>
        <v>0</v>
      </c>
      <c r="AN883" s="78" t="str">
        <f aca="false">IF(AM883=1,SUM(AM$7:AM883),"")</f>
        <v/>
      </c>
      <c r="AO883" s="78" t="n">
        <f aca="false">IF(AND(OR(AK883="À RÉPARER",AK883="COUPE – À RESOUDER",AK883="VT REJETÉ – À REPRENDRE"),OR(RÉPARATIONS!$D$5="TOUTES",B883=RÉPARATIONS!$D$5)),1,0)</f>
        <v>0</v>
      </c>
      <c r="AP883" s="78" t="str">
        <f aca="false">IF(AO883=1,SUM(AO$7:AO883),"")</f>
        <v/>
      </c>
    </row>
    <row r="884" customFormat="false" ht="15" hidden="false" customHeight="false" outlineLevel="0" collapsed="false">
      <c r="A884" s="78" t="str">
        <f aca="false">IF(E884="","",ROW()-6)</f>
        <v/>
      </c>
      <c r="B884" s="79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1"/>
      <c r="Q884" s="81"/>
      <c r="R884" s="80"/>
      <c r="S884" s="80"/>
      <c r="T884" s="81"/>
      <c r="U884" s="80"/>
      <c r="V884" s="80"/>
      <c r="W884" s="80"/>
      <c r="X884" s="80"/>
      <c r="Y884" s="81"/>
      <c r="Z884" s="80"/>
      <c r="AA884" s="80"/>
      <c r="AB884" s="80"/>
      <c r="AC884" s="80"/>
      <c r="AD884" s="81"/>
      <c r="AE884" s="80"/>
      <c r="AF884" s="80"/>
      <c r="AG884" s="81"/>
      <c r="AH884" s="79"/>
      <c r="AI884" s="78" t="str">
        <f aca="false">IF(E884="","",(V884&lt;&gt;"")+(AA884&lt;&gt;"")+(AF884&lt;&gt;""))</f>
        <v/>
      </c>
      <c r="AJ884" s="82" t="str">
        <f aca="false">IF(AF884&lt;&gt;"",AF884,IF(AA884&lt;&gt;"",AA884,IF(V884&lt;&gt;"",V884,"")))</f>
        <v/>
      </c>
      <c r="AK884" s="83" t="str">
        <f aca="false">IF(E884="","",IF(P884="","À SOUDER",IF(S884="","VT EN ATTENTE",IF(S884="R","VT REJETÉ – À REPRENDRE",IF(AJ884="","À RADIOGRAPHIER",IF(AJ884="A","ACCEPTÉ",IF(AJ884="NX","NX – RT À REFAIRE",IF(IF(AI884=1,X884,IF(AI884=2,AC884,""))="A","RÉPARÉ – À RADIOGRAPHIER",IF(IF(AI884=1,X884,IF(AI884=2,AC884,""))="R","VT REJETÉ – À REPRENDRE",IF(AJ884="CO","COUPE – À RESOUDER","À RÉPARER"))))))))))</f>
        <v/>
      </c>
      <c r="AL884" s="82" t="str">
        <f aca="false">IF(AND(ISNUMBER(P884),OR(AK884="À RADIOGRAPHIER",AK884="RÉPARÉ – À RADIOGRAPHIER",AK884="NX – RT À REFAIRE",AK884="À RÉPARER",AK884="COUPE – À RESOUDER",AK884="VT REJETÉ – À REPRENDRE")),MAX(0,'PROGRAMME RT'!$C$4-P884),"")</f>
        <v/>
      </c>
      <c r="AM884" s="78" t="n">
        <f aca="false">IF(AND(OR(AK884="À RADIOGRAPHIER",AK884="RÉPARÉ – À RADIOGRAPHIER",AK884="NX – RT À REFAIRE"),OR('PROGRAMME RT'!$D$5="TOUTES",B884='PROGRAMME RT'!$D$5)),1,0)</f>
        <v>0</v>
      </c>
      <c r="AN884" s="78" t="str">
        <f aca="false">IF(AM884=1,SUM(AM$7:AM884),"")</f>
        <v/>
      </c>
      <c r="AO884" s="78" t="n">
        <f aca="false">IF(AND(OR(AK884="À RÉPARER",AK884="COUPE – À RESOUDER",AK884="VT REJETÉ – À REPRENDRE"),OR(RÉPARATIONS!$D$5="TOUTES",B884=RÉPARATIONS!$D$5)),1,0)</f>
        <v>0</v>
      </c>
      <c r="AP884" s="78" t="str">
        <f aca="false">IF(AO884=1,SUM(AO$7:AO884),"")</f>
        <v/>
      </c>
    </row>
    <row r="885" customFormat="false" ht="15" hidden="false" customHeight="false" outlineLevel="0" collapsed="false">
      <c r="A885" s="78" t="str">
        <f aca="false">IF(E885="","",ROW()-6)</f>
        <v/>
      </c>
      <c r="B885" s="79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1"/>
      <c r="Q885" s="81"/>
      <c r="R885" s="80"/>
      <c r="S885" s="80"/>
      <c r="T885" s="81"/>
      <c r="U885" s="80"/>
      <c r="V885" s="80"/>
      <c r="W885" s="80"/>
      <c r="X885" s="80"/>
      <c r="Y885" s="81"/>
      <c r="Z885" s="80"/>
      <c r="AA885" s="80"/>
      <c r="AB885" s="80"/>
      <c r="AC885" s="80"/>
      <c r="AD885" s="81"/>
      <c r="AE885" s="80"/>
      <c r="AF885" s="80"/>
      <c r="AG885" s="81"/>
      <c r="AH885" s="79"/>
      <c r="AI885" s="78" t="str">
        <f aca="false">IF(E885="","",(V885&lt;&gt;"")+(AA885&lt;&gt;"")+(AF885&lt;&gt;""))</f>
        <v/>
      </c>
      <c r="AJ885" s="82" t="str">
        <f aca="false">IF(AF885&lt;&gt;"",AF885,IF(AA885&lt;&gt;"",AA885,IF(V885&lt;&gt;"",V885,"")))</f>
        <v/>
      </c>
      <c r="AK885" s="83" t="str">
        <f aca="false">IF(E885="","",IF(P885="","À SOUDER",IF(S885="","VT EN ATTENTE",IF(S885="R","VT REJETÉ – À REPRENDRE",IF(AJ885="","À RADIOGRAPHIER",IF(AJ885="A","ACCEPTÉ",IF(AJ885="NX","NX – RT À REFAIRE",IF(IF(AI885=1,X885,IF(AI885=2,AC885,""))="A","RÉPARÉ – À RADIOGRAPHIER",IF(IF(AI885=1,X885,IF(AI885=2,AC885,""))="R","VT REJETÉ – À REPRENDRE",IF(AJ885="CO","COUPE – À RESOUDER","À RÉPARER"))))))))))</f>
        <v/>
      </c>
      <c r="AL885" s="82" t="str">
        <f aca="false">IF(AND(ISNUMBER(P885),OR(AK885="À RADIOGRAPHIER",AK885="RÉPARÉ – À RADIOGRAPHIER",AK885="NX – RT À REFAIRE",AK885="À RÉPARER",AK885="COUPE – À RESOUDER",AK885="VT REJETÉ – À REPRENDRE")),MAX(0,'PROGRAMME RT'!$C$4-P885),"")</f>
        <v/>
      </c>
      <c r="AM885" s="78" t="n">
        <f aca="false">IF(AND(OR(AK885="À RADIOGRAPHIER",AK885="RÉPARÉ – À RADIOGRAPHIER",AK885="NX – RT À REFAIRE"),OR('PROGRAMME RT'!$D$5="TOUTES",B885='PROGRAMME RT'!$D$5)),1,0)</f>
        <v>0</v>
      </c>
      <c r="AN885" s="78" t="str">
        <f aca="false">IF(AM885=1,SUM(AM$7:AM885),"")</f>
        <v/>
      </c>
      <c r="AO885" s="78" t="n">
        <f aca="false">IF(AND(OR(AK885="À RÉPARER",AK885="COUPE – À RESOUDER",AK885="VT REJETÉ – À REPRENDRE"),OR(RÉPARATIONS!$D$5="TOUTES",B885=RÉPARATIONS!$D$5)),1,0)</f>
        <v>0</v>
      </c>
      <c r="AP885" s="78" t="str">
        <f aca="false">IF(AO885=1,SUM(AO$7:AO885),"")</f>
        <v/>
      </c>
    </row>
    <row r="886" customFormat="false" ht="15" hidden="false" customHeight="false" outlineLevel="0" collapsed="false">
      <c r="A886" s="78" t="str">
        <f aca="false">IF(E886="","",ROW()-6)</f>
        <v/>
      </c>
      <c r="B886" s="79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1"/>
      <c r="Q886" s="81"/>
      <c r="R886" s="80"/>
      <c r="S886" s="80"/>
      <c r="T886" s="81"/>
      <c r="U886" s="80"/>
      <c r="V886" s="80"/>
      <c r="W886" s="80"/>
      <c r="X886" s="80"/>
      <c r="Y886" s="81"/>
      <c r="Z886" s="80"/>
      <c r="AA886" s="80"/>
      <c r="AB886" s="80"/>
      <c r="AC886" s="80"/>
      <c r="AD886" s="81"/>
      <c r="AE886" s="80"/>
      <c r="AF886" s="80"/>
      <c r="AG886" s="81"/>
      <c r="AH886" s="79"/>
      <c r="AI886" s="78" t="str">
        <f aca="false">IF(E886="","",(V886&lt;&gt;"")+(AA886&lt;&gt;"")+(AF886&lt;&gt;""))</f>
        <v/>
      </c>
      <c r="AJ886" s="82" t="str">
        <f aca="false">IF(AF886&lt;&gt;"",AF886,IF(AA886&lt;&gt;"",AA886,IF(V886&lt;&gt;"",V886,"")))</f>
        <v/>
      </c>
      <c r="AK886" s="83" t="str">
        <f aca="false">IF(E886="","",IF(P886="","À SOUDER",IF(S886="","VT EN ATTENTE",IF(S886="R","VT REJETÉ – À REPRENDRE",IF(AJ886="","À RADIOGRAPHIER",IF(AJ886="A","ACCEPTÉ",IF(AJ886="NX","NX – RT À REFAIRE",IF(IF(AI886=1,X886,IF(AI886=2,AC886,""))="A","RÉPARÉ – À RADIOGRAPHIER",IF(IF(AI886=1,X886,IF(AI886=2,AC886,""))="R","VT REJETÉ – À REPRENDRE",IF(AJ886="CO","COUPE – À RESOUDER","À RÉPARER"))))))))))</f>
        <v/>
      </c>
      <c r="AL886" s="82" t="str">
        <f aca="false">IF(AND(ISNUMBER(P886),OR(AK886="À RADIOGRAPHIER",AK886="RÉPARÉ – À RADIOGRAPHIER",AK886="NX – RT À REFAIRE",AK886="À RÉPARER",AK886="COUPE – À RESOUDER",AK886="VT REJETÉ – À REPRENDRE")),MAX(0,'PROGRAMME RT'!$C$4-P886),"")</f>
        <v/>
      </c>
      <c r="AM886" s="78" t="n">
        <f aca="false">IF(AND(OR(AK886="À RADIOGRAPHIER",AK886="RÉPARÉ – À RADIOGRAPHIER",AK886="NX – RT À REFAIRE"),OR('PROGRAMME RT'!$D$5="TOUTES",B886='PROGRAMME RT'!$D$5)),1,0)</f>
        <v>0</v>
      </c>
      <c r="AN886" s="78" t="str">
        <f aca="false">IF(AM886=1,SUM(AM$7:AM886),"")</f>
        <v/>
      </c>
      <c r="AO886" s="78" t="n">
        <f aca="false">IF(AND(OR(AK886="À RÉPARER",AK886="COUPE – À RESOUDER",AK886="VT REJETÉ – À REPRENDRE"),OR(RÉPARATIONS!$D$5="TOUTES",B886=RÉPARATIONS!$D$5)),1,0)</f>
        <v>0</v>
      </c>
      <c r="AP886" s="78" t="str">
        <f aca="false">IF(AO886=1,SUM(AO$7:AO886),"")</f>
        <v/>
      </c>
    </row>
    <row r="887" customFormat="false" ht="15" hidden="false" customHeight="false" outlineLevel="0" collapsed="false">
      <c r="A887" s="78" t="str">
        <f aca="false">IF(E887="","",ROW()-6)</f>
        <v/>
      </c>
      <c r="B887" s="79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1"/>
      <c r="Q887" s="81"/>
      <c r="R887" s="80"/>
      <c r="S887" s="80"/>
      <c r="T887" s="81"/>
      <c r="U887" s="80"/>
      <c r="V887" s="80"/>
      <c r="W887" s="80"/>
      <c r="X887" s="80"/>
      <c r="Y887" s="81"/>
      <c r="Z887" s="80"/>
      <c r="AA887" s="80"/>
      <c r="AB887" s="80"/>
      <c r="AC887" s="80"/>
      <c r="AD887" s="81"/>
      <c r="AE887" s="80"/>
      <c r="AF887" s="80"/>
      <c r="AG887" s="81"/>
      <c r="AH887" s="79"/>
      <c r="AI887" s="78" t="str">
        <f aca="false">IF(E887="","",(V887&lt;&gt;"")+(AA887&lt;&gt;"")+(AF887&lt;&gt;""))</f>
        <v/>
      </c>
      <c r="AJ887" s="82" t="str">
        <f aca="false">IF(AF887&lt;&gt;"",AF887,IF(AA887&lt;&gt;"",AA887,IF(V887&lt;&gt;"",V887,"")))</f>
        <v/>
      </c>
      <c r="AK887" s="83" t="str">
        <f aca="false">IF(E887="","",IF(P887="","À SOUDER",IF(S887="","VT EN ATTENTE",IF(S887="R","VT REJETÉ – À REPRENDRE",IF(AJ887="","À RADIOGRAPHIER",IF(AJ887="A","ACCEPTÉ",IF(AJ887="NX","NX – RT À REFAIRE",IF(IF(AI887=1,X887,IF(AI887=2,AC887,""))="A","RÉPARÉ – À RADIOGRAPHIER",IF(IF(AI887=1,X887,IF(AI887=2,AC887,""))="R","VT REJETÉ – À REPRENDRE",IF(AJ887="CO","COUPE – À RESOUDER","À RÉPARER"))))))))))</f>
        <v/>
      </c>
      <c r="AL887" s="82" t="str">
        <f aca="false">IF(AND(ISNUMBER(P887),OR(AK887="À RADIOGRAPHIER",AK887="RÉPARÉ – À RADIOGRAPHIER",AK887="NX – RT À REFAIRE",AK887="À RÉPARER",AK887="COUPE – À RESOUDER",AK887="VT REJETÉ – À REPRENDRE")),MAX(0,'PROGRAMME RT'!$C$4-P887),"")</f>
        <v/>
      </c>
      <c r="AM887" s="78" t="n">
        <f aca="false">IF(AND(OR(AK887="À RADIOGRAPHIER",AK887="RÉPARÉ – À RADIOGRAPHIER",AK887="NX – RT À REFAIRE"),OR('PROGRAMME RT'!$D$5="TOUTES",B887='PROGRAMME RT'!$D$5)),1,0)</f>
        <v>0</v>
      </c>
      <c r="AN887" s="78" t="str">
        <f aca="false">IF(AM887=1,SUM(AM$7:AM887),"")</f>
        <v/>
      </c>
      <c r="AO887" s="78" t="n">
        <f aca="false">IF(AND(OR(AK887="À RÉPARER",AK887="COUPE – À RESOUDER",AK887="VT REJETÉ – À REPRENDRE"),OR(RÉPARATIONS!$D$5="TOUTES",B887=RÉPARATIONS!$D$5)),1,0)</f>
        <v>0</v>
      </c>
      <c r="AP887" s="78" t="str">
        <f aca="false">IF(AO887=1,SUM(AO$7:AO887),"")</f>
        <v/>
      </c>
    </row>
    <row r="888" customFormat="false" ht="15" hidden="false" customHeight="false" outlineLevel="0" collapsed="false">
      <c r="A888" s="78" t="str">
        <f aca="false">IF(E888="","",ROW()-6)</f>
        <v/>
      </c>
      <c r="B888" s="79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1"/>
      <c r="Q888" s="81"/>
      <c r="R888" s="80"/>
      <c r="S888" s="80"/>
      <c r="T888" s="81"/>
      <c r="U888" s="80"/>
      <c r="V888" s="80"/>
      <c r="W888" s="80"/>
      <c r="X888" s="80"/>
      <c r="Y888" s="81"/>
      <c r="Z888" s="80"/>
      <c r="AA888" s="80"/>
      <c r="AB888" s="80"/>
      <c r="AC888" s="80"/>
      <c r="AD888" s="81"/>
      <c r="AE888" s="80"/>
      <c r="AF888" s="80"/>
      <c r="AG888" s="81"/>
      <c r="AH888" s="79"/>
      <c r="AI888" s="78" t="str">
        <f aca="false">IF(E888="","",(V888&lt;&gt;"")+(AA888&lt;&gt;"")+(AF888&lt;&gt;""))</f>
        <v/>
      </c>
      <c r="AJ888" s="82" t="str">
        <f aca="false">IF(AF888&lt;&gt;"",AF888,IF(AA888&lt;&gt;"",AA888,IF(V888&lt;&gt;"",V888,"")))</f>
        <v/>
      </c>
      <c r="AK888" s="83" t="str">
        <f aca="false">IF(E888="","",IF(P888="","À SOUDER",IF(S888="","VT EN ATTENTE",IF(S888="R","VT REJETÉ – À REPRENDRE",IF(AJ888="","À RADIOGRAPHIER",IF(AJ888="A","ACCEPTÉ",IF(AJ888="NX","NX – RT À REFAIRE",IF(IF(AI888=1,X888,IF(AI888=2,AC888,""))="A","RÉPARÉ – À RADIOGRAPHIER",IF(IF(AI888=1,X888,IF(AI888=2,AC888,""))="R","VT REJETÉ – À REPRENDRE",IF(AJ888="CO","COUPE – À RESOUDER","À RÉPARER"))))))))))</f>
        <v/>
      </c>
      <c r="AL888" s="82" t="str">
        <f aca="false">IF(AND(ISNUMBER(P888),OR(AK888="À RADIOGRAPHIER",AK888="RÉPARÉ – À RADIOGRAPHIER",AK888="NX – RT À REFAIRE",AK888="À RÉPARER",AK888="COUPE – À RESOUDER",AK888="VT REJETÉ – À REPRENDRE")),MAX(0,'PROGRAMME RT'!$C$4-P888),"")</f>
        <v/>
      </c>
      <c r="AM888" s="78" t="n">
        <f aca="false">IF(AND(OR(AK888="À RADIOGRAPHIER",AK888="RÉPARÉ – À RADIOGRAPHIER",AK888="NX – RT À REFAIRE"),OR('PROGRAMME RT'!$D$5="TOUTES",B888='PROGRAMME RT'!$D$5)),1,0)</f>
        <v>0</v>
      </c>
      <c r="AN888" s="78" t="str">
        <f aca="false">IF(AM888=1,SUM(AM$7:AM888),"")</f>
        <v/>
      </c>
      <c r="AO888" s="78" t="n">
        <f aca="false">IF(AND(OR(AK888="À RÉPARER",AK888="COUPE – À RESOUDER",AK888="VT REJETÉ – À REPRENDRE"),OR(RÉPARATIONS!$D$5="TOUTES",B888=RÉPARATIONS!$D$5)),1,0)</f>
        <v>0</v>
      </c>
      <c r="AP888" s="78" t="str">
        <f aca="false">IF(AO888=1,SUM(AO$7:AO888),"")</f>
        <v/>
      </c>
    </row>
    <row r="889" customFormat="false" ht="15" hidden="false" customHeight="false" outlineLevel="0" collapsed="false">
      <c r="A889" s="78" t="str">
        <f aca="false">IF(E889="","",ROW()-6)</f>
        <v/>
      </c>
      <c r="B889" s="79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1"/>
      <c r="Q889" s="81"/>
      <c r="R889" s="80"/>
      <c r="S889" s="80"/>
      <c r="T889" s="81"/>
      <c r="U889" s="80"/>
      <c r="V889" s="80"/>
      <c r="W889" s="80"/>
      <c r="X889" s="80"/>
      <c r="Y889" s="81"/>
      <c r="Z889" s="80"/>
      <c r="AA889" s="80"/>
      <c r="AB889" s="80"/>
      <c r="AC889" s="80"/>
      <c r="AD889" s="81"/>
      <c r="AE889" s="80"/>
      <c r="AF889" s="80"/>
      <c r="AG889" s="81"/>
      <c r="AH889" s="79"/>
      <c r="AI889" s="78" t="str">
        <f aca="false">IF(E889="","",(V889&lt;&gt;"")+(AA889&lt;&gt;"")+(AF889&lt;&gt;""))</f>
        <v/>
      </c>
      <c r="AJ889" s="82" t="str">
        <f aca="false">IF(AF889&lt;&gt;"",AF889,IF(AA889&lt;&gt;"",AA889,IF(V889&lt;&gt;"",V889,"")))</f>
        <v/>
      </c>
      <c r="AK889" s="83" t="str">
        <f aca="false">IF(E889="","",IF(P889="","À SOUDER",IF(S889="","VT EN ATTENTE",IF(S889="R","VT REJETÉ – À REPRENDRE",IF(AJ889="","À RADIOGRAPHIER",IF(AJ889="A","ACCEPTÉ",IF(AJ889="NX","NX – RT À REFAIRE",IF(IF(AI889=1,X889,IF(AI889=2,AC889,""))="A","RÉPARÉ – À RADIOGRAPHIER",IF(IF(AI889=1,X889,IF(AI889=2,AC889,""))="R","VT REJETÉ – À REPRENDRE",IF(AJ889="CO","COUPE – À RESOUDER","À RÉPARER"))))))))))</f>
        <v/>
      </c>
      <c r="AL889" s="82" t="str">
        <f aca="false">IF(AND(ISNUMBER(P889),OR(AK889="À RADIOGRAPHIER",AK889="RÉPARÉ – À RADIOGRAPHIER",AK889="NX – RT À REFAIRE",AK889="À RÉPARER",AK889="COUPE – À RESOUDER",AK889="VT REJETÉ – À REPRENDRE")),MAX(0,'PROGRAMME RT'!$C$4-P889),"")</f>
        <v/>
      </c>
      <c r="AM889" s="78" t="n">
        <f aca="false">IF(AND(OR(AK889="À RADIOGRAPHIER",AK889="RÉPARÉ – À RADIOGRAPHIER",AK889="NX – RT À REFAIRE"),OR('PROGRAMME RT'!$D$5="TOUTES",B889='PROGRAMME RT'!$D$5)),1,0)</f>
        <v>0</v>
      </c>
      <c r="AN889" s="78" t="str">
        <f aca="false">IF(AM889=1,SUM(AM$7:AM889),"")</f>
        <v/>
      </c>
      <c r="AO889" s="78" t="n">
        <f aca="false">IF(AND(OR(AK889="À RÉPARER",AK889="COUPE – À RESOUDER",AK889="VT REJETÉ – À REPRENDRE"),OR(RÉPARATIONS!$D$5="TOUTES",B889=RÉPARATIONS!$D$5)),1,0)</f>
        <v>0</v>
      </c>
      <c r="AP889" s="78" t="str">
        <f aca="false">IF(AO889=1,SUM(AO$7:AO889),"")</f>
        <v/>
      </c>
    </row>
    <row r="890" customFormat="false" ht="15" hidden="false" customHeight="false" outlineLevel="0" collapsed="false">
      <c r="A890" s="78" t="str">
        <f aca="false">IF(E890="","",ROW()-6)</f>
        <v/>
      </c>
      <c r="B890" s="79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1"/>
      <c r="Q890" s="81"/>
      <c r="R890" s="80"/>
      <c r="S890" s="80"/>
      <c r="T890" s="81"/>
      <c r="U890" s="80"/>
      <c r="V890" s="80"/>
      <c r="W890" s="80"/>
      <c r="X890" s="80"/>
      <c r="Y890" s="81"/>
      <c r="Z890" s="80"/>
      <c r="AA890" s="80"/>
      <c r="AB890" s="80"/>
      <c r="AC890" s="80"/>
      <c r="AD890" s="81"/>
      <c r="AE890" s="80"/>
      <c r="AF890" s="80"/>
      <c r="AG890" s="81"/>
      <c r="AH890" s="79"/>
      <c r="AI890" s="78" t="str">
        <f aca="false">IF(E890="","",(V890&lt;&gt;"")+(AA890&lt;&gt;"")+(AF890&lt;&gt;""))</f>
        <v/>
      </c>
      <c r="AJ890" s="82" t="str">
        <f aca="false">IF(AF890&lt;&gt;"",AF890,IF(AA890&lt;&gt;"",AA890,IF(V890&lt;&gt;"",V890,"")))</f>
        <v/>
      </c>
      <c r="AK890" s="83" t="str">
        <f aca="false">IF(E890="","",IF(P890="","À SOUDER",IF(S890="","VT EN ATTENTE",IF(S890="R","VT REJETÉ – À REPRENDRE",IF(AJ890="","À RADIOGRAPHIER",IF(AJ890="A","ACCEPTÉ",IF(AJ890="NX","NX – RT À REFAIRE",IF(IF(AI890=1,X890,IF(AI890=2,AC890,""))="A","RÉPARÉ – À RADIOGRAPHIER",IF(IF(AI890=1,X890,IF(AI890=2,AC890,""))="R","VT REJETÉ – À REPRENDRE",IF(AJ890="CO","COUPE – À RESOUDER","À RÉPARER"))))))))))</f>
        <v/>
      </c>
      <c r="AL890" s="82" t="str">
        <f aca="false">IF(AND(ISNUMBER(P890),OR(AK890="À RADIOGRAPHIER",AK890="RÉPARÉ – À RADIOGRAPHIER",AK890="NX – RT À REFAIRE",AK890="À RÉPARER",AK890="COUPE – À RESOUDER",AK890="VT REJETÉ – À REPRENDRE")),MAX(0,'PROGRAMME RT'!$C$4-P890),"")</f>
        <v/>
      </c>
      <c r="AM890" s="78" t="n">
        <f aca="false">IF(AND(OR(AK890="À RADIOGRAPHIER",AK890="RÉPARÉ – À RADIOGRAPHIER",AK890="NX – RT À REFAIRE"),OR('PROGRAMME RT'!$D$5="TOUTES",B890='PROGRAMME RT'!$D$5)),1,0)</f>
        <v>0</v>
      </c>
      <c r="AN890" s="78" t="str">
        <f aca="false">IF(AM890=1,SUM(AM$7:AM890),"")</f>
        <v/>
      </c>
      <c r="AO890" s="78" t="n">
        <f aca="false">IF(AND(OR(AK890="À RÉPARER",AK890="COUPE – À RESOUDER",AK890="VT REJETÉ – À REPRENDRE"),OR(RÉPARATIONS!$D$5="TOUTES",B890=RÉPARATIONS!$D$5)),1,0)</f>
        <v>0</v>
      </c>
      <c r="AP890" s="78" t="str">
        <f aca="false">IF(AO890=1,SUM(AO$7:AO890),"")</f>
        <v/>
      </c>
    </row>
    <row r="891" customFormat="false" ht="15" hidden="false" customHeight="false" outlineLevel="0" collapsed="false">
      <c r="A891" s="78" t="str">
        <f aca="false">IF(E891="","",ROW()-6)</f>
        <v/>
      </c>
      <c r="B891" s="79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1"/>
      <c r="Q891" s="81"/>
      <c r="R891" s="80"/>
      <c r="S891" s="80"/>
      <c r="T891" s="81"/>
      <c r="U891" s="80"/>
      <c r="V891" s="80"/>
      <c r="W891" s="80"/>
      <c r="X891" s="80"/>
      <c r="Y891" s="81"/>
      <c r="Z891" s="80"/>
      <c r="AA891" s="80"/>
      <c r="AB891" s="80"/>
      <c r="AC891" s="80"/>
      <c r="AD891" s="81"/>
      <c r="AE891" s="80"/>
      <c r="AF891" s="80"/>
      <c r="AG891" s="81"/>
      <c r="AH891" s="79"/>
      <c r="AI891" s="78" t="str">
        <f aca="false">IF(E891="","",(V891&lt;&gt;"")+(AA891&lt;&gt;"")+(AF891&lt;&gt;""))</f>
        <v/>
      </c>
      <c r="AJ891" s="82" t="str">
        <f aca="false">IF(AF891&lt;&gt;"",AF891,IF(AA891&lt;&gt;"",AA891,IF(V891&lt;&gt;"",V891,"")))</f>
        <v/>
      </c>
      <c r="AK891" s="83" t="str">
        <f aca="false">IF(E891="","",IF(P891="","À SOUDER",IF(S891="","VT EN ATTENTE",IF(S891="R","VT REJETÉ – À REPRENDRE",IF(AJ891="","À RADIOGRAPHIER",IF(AJ891="A","ACCEPTÉ",IF(AJ891="NX","NX – RT À REFAIRE",IF(IF(AI891=1,X891,IF(AI891=2,AC891,""))="A","RÉPARÉ – À RADIOGRAPHIER",IF(IF(AI891=1,X891,IF(AI891=2,AC891,""))="R","VT REJETÉ – À REPRENDRE",IF(AJ891="CO","COUPE – À RESOUDER","À RÉPARER"))))))))))</f>
        <v/>
      </c>
      <c r="AL891" s="82" t="str">
        <f aca="false">IF(AND(ISNUMBER(P891),OR(AK891="À RADIOGRAPHIER",AK891="RÉPARÉ – À RADIOGRAPHIER",AK891="NX – RT À REFAIRE",AK891="À RÉPARER",AK891="COUPE – À RESOUDER",AK891="VT REJETÉ – À REPRENDRE")),MAX(0,'PROGRAMME RT'!$C$4-P891),"")</f>
        <v/>
      </c>
      <c r="AM891" s="78" t="n">
        <f aca="false">IF(AND(OR(AK891="À RADIOGRAPHIER",AK891="RÉPARÉ – À RADIOGRAPHIER",AK891="NX – RT À REFAIRE"),OR('PROGRAMME RT'!$D$5="TOUTES",B891='PROGRAMME RT'!$D$5)),1,0)</f>
        <v>0</v>
      </c>
      <c r="AN891" s="78" t="str">
        <f aca="false">IF(AM891=1,SUM(AM$7:AM891),"")</f>
        <v/>
      </c>
      <c r="AO891" s="78" t="n">
        <f aca="false">IF(AND(OR(AK891="À RÉPARER",AK891="COUPE – À RESOUDER",AK891="VT REJETÉ – À REPRENDRE"),OR(RÉPARATIONS!$D$5="TOUTES",B891=RÉPARATIONS!$D$5)),1,0)</f>
        <v>0</v>
      </c>
      <c r="AP891" s="78" t="str">
        <f aca="false">IF(AO891=1,SUM(AO$7:AO891),"")</f>
        <v/>
      </c>
    </row>
    <row r="892" customFormat="false" ht="15" hidden="false" customHeight="false" outlineLevel="0" collapsed="false">
      <c r="A892" s="78" t="str">
        <f aca="false">IF(E892="","",ROW()-6)</f>
        <v/>
      </c>
      <c r="B892" s="79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1"/>
      <c r="Q892" s="81"/>
      <c r="R892" s="80"/>
      <c r="S892" s="80"/>
      <c r="T892" s="81"/>
      <c r="U892" s="80"/>
      <c r="V892" s="80"/>
      <c r="W892" s="80"/>
      <c r="X892" s="80"/>
      <c r="Y892" s="81"/>
      <c r="Z892" s="80"/>
      <c r="AA892" s="80"/>
      <c r="AB892" s="80"/>
      <c r="AC892" s="80"/>
      <c r="AD892" s="81"/>
      <c r="AE892" s="80"/>
      <c r="AF892" s="80"/>
      <c r="AG892" s="81"/>
      <c r="AH892" s="79"/>
      <c r="AI892" s="78" t="str">
        <f aca="false">IF(E892="","",(V892&lt;&gt;"")+(AA892&lt;&gt;"")+(AF892&lt;&gt;""))</f>
        <v/>
      </c>
      <c r="AJ892" s="82" t="str">
        <f aca="false">IF(AF892&lt;&gt;"",AF892,IF(AA892&lt;&gt;"",AA892,IF(V892&lt;&gt;"",V892,"")))</f>
        <v/>
      </c>
      <c r="AK892" s="83" t="str">
        <f aca="false">IF(E892="","",IF(P892="","À SOUDER",IF(S892="","VT EN ATTENTE",IF(S892="R","VT REJETÉ – À REPRENDRE",IF(AJ892="","À RADIOGRAPHIER",IF(AJ892="A","ACCEPTÉ",IF(AJ892="NX","NX – RT À REFAIRE",IF(IF(AI892=1,X892,IF(AI892=2,AC892,""))="A","RÉPARÉ – À RADIOGRAPHIER",IF(IF(AI892=1,X892,IF(AI892=2,AC892,""))="R","VT REJETÉ – À REPRENDRE",IF(AJ892="CO","COUPE – À RESOUDER","À RÉPARER"))))))))))</f>
        <v/>
      </c>
      <c r="AL892" s="82" t="str">
        <f aca="false">IF(AND(ISNUMBER(P892),OR(AK892="À RADIOGRAPHIER",AK892="RÉPARÉ – À RADIOGRAPHIER",AK892="NX – RT À REFAIRE",AK892="À RÉPARER",AK892="COUPE – À RESOUDER",AK892="VT REJETÉ – À REPRENDRE")),MAX(0,'PROGRAMME RT'!$C$4-P892),"")</f>
        <v/>
      </c>
      <c r="AM892" s="78" t="n">
        <f aca="false">IF(AND(OR(AK892="À RADIOGRAPHIER",AK892="RÉPARÉ – À RADIOGRAPHIER",AK892="NX – RT À REFAIRE"),OR('PROGRAMME RT'!$D$5="TOUTES",B892='PROGRAMME RT'!$D$5)),1,0)</f>
        <v>0</v>
      </c>
      <c r="AN892" s="78" t="str">
        <f aca="false">IF(AM892=1,SUM(AM$7:AM892),"")</f>
        <v/>
      </c>
      <c r="AO892" s="78" t="n">
        <f aca="false">IF(AND(OR(AK892="À RÉPARER",AK892="COUPE – À RESOUDER",AK892="VT REJETÉ – À REPRENDRE"),OR(RÉPARATIONS!$D$5="TOUTES",B892=RÉPARATIONS!$D$5)),1,0)</f>
        <v>0</v>
      </c>
      <c r="AP892" s="78" t="str">
        <f aca="false">IF(AO892=1,SUM(AO$7:AO892),"")</f>
        <v/>
      </c>
    </row>
    <row r="893" customFormat="false" ht="15" hidden="false" customHeight="false" outlineLevel="0" collapsed="false">
      <c r="A893" s="78" t="str">
        <f aca="false">IF(E893="","",ROW()-6)</f>
        <v/>
      </c>
      <c r="B893" s="79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1"/>
      <c r="Q893" s="81"/>
      <c r="R893" s="80"/>
      <c r="S893" s="80"/>
      <c r="T893" s="81"/>
      <c r="U893" s="80"/>
      <c r="V893" s="80"/>
      <c r="W893" s="80"/>
      <c r="X893" s="80"/>
      <c r="Y893" s="81"/>
      <c r="Z893" s="80"/>
      <c r="AA893" s="80"/>
      <c r="AB893" s="80"/>
      <c r="AC893" s="80"/>
      <c r="AD893" s="81"/>
      <c r="AE893" s="80"/>
      <c r="AF893" s="80"/>
      <c r="AG893" s="81"/>
      <c r="AH893" s="79"/>
      <c r="AI893" s="78" t="str">
        <f aca="false">IF(E893="","",(V893&lt;&gt;"")+(AA893&lt;&gt;"")+(AF893&lt;&gt;""))</f>
        <v/>
      </c>
      <c r="AJ893" s="82" t="str">
        <f aca="false">IF(AF893&lt;&gt;"",AF893,IF(AA893&lt;&gt;"",AA893,IF(V893&lt;&gt;"",V893,"")))</f>
        <v/>
      </c>
      <c r="AK893" s="83" t="str">
        <f aca="false">IF(E893="","",IF(P893="","À SOUDER",IF(S893="","VT EN ATTENTE",IF(S893="R","VT REJETÉ – À REPRENDRE",IF(AJ893="","À RADIOGRAPHIER",IF(AJ893="A","ACCEPTÉ",IF(AJ893="NX","NX – RT À REFAIRE",IF(IF(AI893=1,X893,IF(AI893=2,AC893,""))="A","RÉPARÉ – À RADIOGRAPHIER",IF(IF(AI893=1,X893,IF(AI893=2,AC893,""))="R","VT REJETÉ – À REPRENDRE",IF(AJ893="CO","COUPE – À RESOUDER","À RÉPARER"))))))))))</f>
        <v/>
      </c>
      <c r="AL893" s="82" t="str">
        <f aca="false">IF(AND(ISNUMBER(P893),OR(AK893="À RADIOGRAPHIER",AK893="RÉPARÉ – À RADIOGRAPHIER",AK893="NX – RT À REFAIRE",AK893="À RÉPARER",AK893="COUPE – À RESOUDER",AK893="VT REJETÉ – À REPRENDRE")),MAX(0,'PROGRAMME RT'!$C$4-P893),"")</f>
        <v/>
      </c>
      <c r="AM893" s="78" t="n">
        <f aca="false">IF(AND(OR(AK893="À RADIOGRAPHIER",AK893="RÉPARÉ – À RADIOGRAPHIER",AK893="NX – RT À REFAIRE"),OR('PROGRAMME RT'!$D$5="TOUTES",B893='PROGRAMME RT'!$D$5)),1,0)</f>
        <v>0</v>
      </c>
      <c r="AN893" s="78" t="str">
        <f aca="false">IF(AM893=1,SUM(AM$7:AM893),"")</f>
        <v/>
      </c>
      <c r="AO893" s="78" t="n">
        <f aca="false">IF(AND(OR(AK893="À RÉPARER",AK893="COUPE – À RESOUDER",AK893="VT REJETÉ – À REPRENDRE"),OR(RÉPARATIONS!$D$5="TOUTES",B893=RÉPARATIONS!$D$5)),1,0)</f>
        <v>0</v>
      </c>
      <c r="AP893" s="78" t="str">
        <f aca="false">IF(AO893=1,SUM(AO$7:AO893),"")</f>
        <v/>
      </c>
    </row>
    <row r="894" customFormat="false" ht="15" hidden="false" customHeight="false" outlineLevel="0" collapsed="false">
      <c r="A894" s="78" t="str">
        <f aca="false">IF(E894="","",ROW()-6)</f>
        <v/>
      </c>
      <c r="B894" s="79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1"/>
      <c r="Q894" s="81"/>
      <c r="R894" s="80"/>
      <c r="S894" s="80"/>
      <c r="T894" s="81"/>
      <c r="U894" s="80"/>
      <c r="V894" s="80"/>
      <c r="W894" s="80"/>
      <c r="X894" s="80"/>
      <c r="Y894" s="81"/>
      <c r="Z894" s="80"/>
      <c r="AA894" s="80"/>
      <c r="AB894" s="80"/>
      <c r="AC894" s="80"/>
      <c r="AD894" s="81"/>
      <c r="AE894" s="80"/>
      <c r="AF894" s="80"/>
      <c r="AG894" s="81"/>
      <c r="AH894" s="79"/>
      <c r="AI894" s="78" t="str">
        <f aca="false">IF(E894="","",(V894&lt;&gt;"")+(AA894&lt;&gt;"")+(AF894&lt;&gt;""))</f>
        <v/>
      </c>
      <c r="AJ894" s="82" t="str">
        <f aca="false">IF(AF894&lt;&gt;"",AF894,IF(AA894&lt;&gt;"",AA894,IF(V894&lt;&gt;"",V894,"")))</f>
        <v/>
      </c>
      <c r="AK894" s="83" t="str">
        <f aca="false">IF(E894="","",IF(P894="","À SOUDER",IF(S894="","VT EN ATTENTE",IF(S894="R","VT REJETÉ – À REPRENDRE",IF(AJ894="","À RADIOGRAPHIER",IF(AJ894="A","ACCEPTÉ",IF(AJ894="NX","NX – RT À REFAIRE",IF(IF(AI894=1,X894,IF(AI894=2,AC894,""))="A","RÉPARÉ – À RADIOGRAPHIER",IF(IF(AI894=1,X894,IF(AI894=2,AC894,""))="R","VT REJETÉ – À REPRENDRE",IF(AJ894="CO","COUPE – À RESOUDER","À RÉPARER"))))))))))</f>
        <v/>
      </c>
      <c r="AL894" s="82" t="str">
        <f aca="false">IF(AND(ISNUMBER(P894),OR(AK894="À RADIOGRAPHIER",AK894="RÉPARÉ – À RADIOGRAPHIER",AK894="NX – RT À REFAIRE",AK894="À RÉPARER",AK894="COUPE – À RESOUDER",AK894="VT REJETÉ – À REPRENDRE")),MAX(0,'PROGRAMME RT'!$C$4-P894),"")</f>
        <v/>
      </c>
      <c r="AM894" s="78" t="n">
        <f aca="false">IF(AND(OR(AK894="À RADIOGRAPHIER",AK894="RÉPARÉ – À RADIOGRAPHIER",AK894="NX – RT À REFAIRE"),OR('PROGRAMME RT'!$D$5="TOUTES",B894='PROGRAMME RT'!$D$5)),1,0)</f>
        <v>0</v>
      </c>
      <c r="AN894" s="78" t="str">
        <f aca="false">IF(AM894=1,SUM(AM$7:AM894),"")</f>
        <v/>
      </c>
      <c r="AO894" s="78" t="n">
        <f aca="false">IF(AND(OR(AK894="À RÉPARER",AK894="COUPE – À RESOUDER",AK894="VT REJETÉ – À REPRENDRE"),OR(RÉPARATIONS!$D$5="TOUTES",B894=RÉPARATIONS!$D$5)),1,0)</f>
        <v>0</v>
      </c>
      <c r="AP894" s="78" t="str">
        <f aca="false">IF(AO894=1,SUM(AO$7:AO894),"")</f>
        <v/>
      </c>
    </row>
    <row r="895" customFormat="false" ht="15" hidden="false" customHeight="false" outlineLevel="0" collapsed="false">
      <c r="A895" s="78" t="str">
        <f aca="false">IF(E895="","",ROW()-6)</f>
        <v/>
      </c>
      <c r="B895" s="79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1"/>
      <c r="Q895" s="81"/>
      <c r="R895" s="80"/>
      <c r="S895" s="80"/>
      <c r="T895" s="81"/>
      <c r="U895" s="80"/>
      <c r="V895" s="80"/>
      <c r="W895" s="80"/>
      <c r="X895" s="80"/>
      <c r="Y895" s="81"/>
      <c r="Z895" s="80"/>
      <c r="AA895" s="80"/>
      <c r="AB895" s="80"/>
      <c r="AC895" s="80"/>
      <c r="AD895" s="81"/>
      <c r="AE895" s="80"/>
      <c r="AF895" s="80"/>
      <c r="AG895" s="81"/>
      <c r="AH895" s="79"/>
      <c r="AI895" s="78" t="str">
        <f aca="false">IF(E895="","",(V895&lt;&gt;"")+(AA895&lt;&gt;"")+(AF895&lt;&gt;""))</f>
        <v/>
      </c>
      <c r="AJ895" s="82" t="str">
        <f aca="false">IF(AF895&lt;&gt;"",AF895,IF(AA895&lt;&gt;"",AA895,IF(V895&lt;&gt;"",V895,"")))</f>
        <v/>
      </c>
      <c r="AK895" s="83" t="str">
        <f aca="false">IF(E895="","",IF(P895="","À SOUDER",IF(S895="","VT EN ATTENTE",IF(S895="R","VT REJETÉ – À REPRENDRE",IF(AJ895="","À RADIOGRAPHIER",IF(AJ895="A","ACCEPTÉ",IF(AJ895="NX","NX – RT À REFAIRE",IF(IF(AI895=1,X895,IF(AI895=2,AC895,""))="A","RÉPARÉ – À RADIOGRAPHIER",IF(IF(AI895=1,X895,IF(AI895=2,AC895,""))="R","VT REJETÉ – À REPRENDRE",IF(AJ895="CO","COUPE – À RESOUDER","À RÉPARER"))))))))))</f>
        <v/>
      </c>
      <c r="AL895" s="82" t="str">
        <f aca="false">IF(AND(ISNUMBER(P895),OR(AK895="À RADIOGRAPHIER",AK895="RÉPARÉ – À RADIOGRAPHIER",AK895="NX – RT À REFAIRE",AK895="À RÉPARER",AK895="COUPE – À RESOUDER",AK895="VT REJETÉ – À REPRENDRE")),MAX(0,'PROGRAMME RT'!$C$4-P895),"")</f>
        <v/>
      </c>
      <c r="AM895" s="78" t="n">
        <f aca="false">IF(AND(OR(AK895="À RADIOGRAPHIER",AK895="RÉPARÉ – À RADIOGRAPHIER",AK895="NX – RT À REFAIRE"),OR('PROGRAMME RT'!$D$5="TOUTES",B895='PROGRAMME RT'!$D$5)),1,0)</f>
        <v>0</v>
      </c>
      <c r="AN895" s="78" t="str">
        <f aca="false">IF(AM895=1,SUM(AM$7:AM895),"")</f>
        <v/>
      </c>
      <c r="AO895" s="78" t="n">
        <f aca="false">IF(AND(OR(AK895="À RÉPARER",AK895="COUPE – À RESOUDER",AK895="VT REJETÉ – À REPRENDRE"),OR(RÉPARATIONS!$D$5="TOUTES",B895=RÉPARATIONS!$D$5)),1,0)</f>
        <v>0</v>
      </c>
      <c r="AP895" s="78" t="str">
        <f aca="false">IF(AO895=1,SUM(AO$7:AO895),"")</f>
        <v/>
      </c>
    </row>
    <row r="896" customFormat="false" ht="15" hidden="false" customHeight="false" outlineLevel="0" collapsed="false">
      <c r="A896" s="78" t="str">
        <f aca="false">IF(E896="","",ROW()-6)</f>
        <v/>
      </c>
      <c r="B896" s="79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1"/>
      <c r="Q896" s="81"/>
      <c r="R896" s="80"/>
      <c r="S896" s="80"/>
      <c r="T896" s="81"/>
      <c r="U896" s="80"/>
      <c r="V896" s="80"/>
      <c r="W896" s="80"/>
      <c r="X896" s="80"/>
      <c r="Y896" s="81"/>
      <c r="Z896" s="80"/>
      <c r="AA896" s="80"/>
      <c r="AB896" s="80"/>
      <c r="AC896" s="80"/>
      <c r="AD896" s="81"/>
      <c r="AE896" s="80"/>
      <c r="AF896" s="80"/>
      <c r="AG896" s="81"/>
      <c r="AH896" s="79"/>
      <c r="AI896" s="78" t="str">
        <f aca="false">IF(E896="","",(V896&lt;&gt;"")+(AA896&lt;&gt;"")+(AF896&lt;&gt;""))</f>
        <v/>
      </c>
      <c r="AJ896" s="82" t="str">
        <f aca="false">IF(AF896&lt;&gt;"",AF896,IF(AA896&lt;&gt;"",AA896,IF(V896&lt;&gt;"",V896,"")))</f>
        <v/>
      </c>
      <c r="AK896" s="83" t="str">
        <f aca="false">IF(E896="","",IF(P896="","À SOUDER",IF(S896="","VT EN ATTENTE",IF(S896="R","VT REJETÉ – À REPRENDRE",IF(AJ896="","À RADIOGRAPHIER",IF(AJ896="A","ACCEPTÉ",IF(AJ896="NX","NX – RT À REFAIRE",IF(IF(AI896=1,X896,IF(AI896=2,AC896,""))="A","RÉPARÉ – À RADIOGRAPHIER",IF(IF(AI896=1,X896,IF(AI896=2,AC896,""))="R","VT REJETÉ – À REPRENDRE",IF(AJ896="CO","COUPE – À RESOUDER","À RÉPARER"))))))))))</f>
        <v/>
      </c>
      <c r="AL896" s="82" t="str">
        <f aca="false">IF(AND(ISNUMBER(P896),OR(AK896="À RADIOGRAPHIER",AK896="RÉPARÉ – À RADIOGRAPHIER",AK896="NX – RT À REFAIRE",AK896="À RÉPARER",AK896="COUPE – À RESOUDER",AK896="VT REJETÉ – À REPRENDRE")),MAX(0,'PROGRAMME RT'!$C$4-P896),"")</f>
        <v/>
      </c>
      <c r="AM896" s="78" t="n">
        <f aca="false">IF(AND(OR(AK896="À RADIOGRAPHIER",AK896="RÉPARÉ – À RADIOGRAPHIER",AK896="NX – RT À REFAIRE"),OR('PROGRAMME RT'!$D$5="TOUTES",B896='PROGRAMME RT'!$D$5)),1,0)</f>
        <v>0</v>
      </c>
      <c r="AN896" s="78" t="str">
        <f aca="false">IF(AM896=1,SUM(AM$7:AM896),"")</f>
        <v/>
      </c>
      <c r="AO896" s="78" t="n">
        <f aca="false">IF(AND(OR(AK896="À RÉPARER",AK896="COUPE – À RESOUDER",AK896="VT REJETÉ – À REPRENDRE"),OR(RÉPARATIONS!$D$5="TOUTES",B896=RÉPARATIONS!$D$5)),1,0)</f>
        <v>0</v>
      </c>
      <c r="AP896" s="78" t="str">
        <f aca="false">IF(AO896=1,SUM(AO$7:AO896),"")</f>
        <v/>
      </c>
    </row>
    <row r="897" customFormat="false" ht="15" hidden="false" customHeight="false" outlineLevel="0" collapsed="false">
      <c r="A897" s="78" t="str">
        <f aca="false">IF(E897="","",ROW()-6)</f>
        <v/>
      </c>
      <c r="B897" s="79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1"/>
      <c r="Q897" s="81"/>
      <c r="R897" s="80"/>
      <c r="S897" s="80"/>
      <c r="T897" s="81"/>
      <c r="U897" s="80"/>
      <c r="V897" s="80"/>
      <c r="W897" s="80"/>
      <c r="X897" s="80"/>
      <c r="Y897" s="81"/>
      <c r="Z897" s="80"/>
      <c r="AA897" s="80"/>
      <c r="AB897" s="80"/>
      <c r="AC897" s="80"/>
      <c r="AD897" s="81"/>
      <c r="AE897" s="80"/>
      <c r="AF897" s="80"/>
      <c r="AG897" s="81"/>
      <c r="AH897" s="79"/>
      <c r="AI897" s="78" t="str">
        <f aca="false">IF(E897="","",(V897&lt;&gt;"")+(AA897&lt;&gt;"")+(AF897&lt;&gt;""))</f>
        <v/>
      </c>
      <c r="AJ897" s="82" t="str">
        <f aca="false">IF(AF897&lt;&gt;"",AF897,IF(AA897&lt;&gt;"",AA897,IF(V897&lt;&gt;"",V897,"")))</f>
        <v/>
      </c>
      <c r="AK897" s="83" t="str">
        <f aca="false">IF(E897="","",IF(P897="","À SOUDER",IF(S897="","VT EN ATTENTE",IF(S897="R","VT REJETÉ – À REPRENDRE",IF(AJ897="","À RADIOGRAPHIER",IF(AJ897="A","ACCEPTÉ",IF(AJ897="NX","NX – RT À REFAIRE",IF(IF(AI897=1,X897,IF(AI897=2,AC897,""))="A","RÉPARÉ – À RADIOGRAPHIER",IF(IF(AI897=1,X897,IF(AI897=2,AC897,""))="R","VT REJETÉ – À REPRENDRE",IF(AJ897="CO","COUPE – À RESOUDER","À RÉPARER"))))))))))</f>
        <v/>
      </c>
      <c r="AL897" s="82" t="str">
        <f aca="false">IF(AND(ISNUMBER(P897),OR(AK897="À RADIOGRAPHIER",AK897="RÉPARÉ – À RADIOGRAPHIER",AK897="NX – RT À REFAIRE",AK897="À RÉPARER",AK897="COUPE – À RESOUDER",AK897="VT REJETÉ – À REPRENDRE")),MAX(0,'PROGRAMME RT'!$C$4-P897),"")</f>
        <v/>
      </c>
      <c r="AM897" s="78" t="n">
        <f aca="false">IF(AND(OR(AK897="À RADIOGRAPHIER",AK897="RÉPARÉ – À RADIOGRAPHIER",AK897="NX – RT À REFAIRE"),OR('PROGRAMME RT'!$D$5="TOUTES",B897='PROGRAMME RT'!$D$5)),1,0)</f>
        <v>0</v>
      </c>
      <c r="AN897" s="78" t="str">
        <f aca="false">IF(AM897=1,SUM(AM$7:AM897),"")</f>
        <v/>
      </c>
      <c r="AO897" s="78" t="n">
        <f aca="false">IF(AND(OR(AK897="À RÉPARER",AK897="COUPE – À RESOUDER",AK897="VT REJETÉ – À REPRENDRE"),OR(RÉPARATIONS!$D$5="TOUTES",B897=RÉPARATIONS!$D$5)),1,0)</f>
        <v>0</v>
      </c>
      <c r="AP897" s="78" t="str">
        <f aca="false">IF(AO897=1,SUM(AO$7:AO897),"")</f>
        <v/>
      </c>
    </row>
    <row r="898" customFormat="false" ht="15" hidden="false" customHeight="false" outlineLevel="0" collapsed="false">
      <c r="A898" s="78" t="str">
        <f aca="false">IF(E898="","",ROW()-6)</f>
        <v/>
      </c>
      <c r="B898" s="79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1"/>
      <c r="Q898" s="81"/>
      <c r="R898" s="80"/>
      <c r="S898" s="80"/>
      <c r="T898" s="81"/>
      <c r="U898" s="80"/>
      <c r="V898" s="80"/>
      <c r="W898" s="80"/>
      <c r="X898" s="80"/>
      <c r="Y898" s="81"/>
      <c r="Z898" s="80"/>
      <c r="AA898" s="80"/>
      <c r="AB898" s="80"/>
      <c r="AC898" s="80"/>
      <c r="AD898" s="81"/>
      <c r="AE898" s="80"/>
      <c r="AF898" s="80"/>
      <c r="AG898" s="81"/>
      <c r="AH898" s="79"/>
      <c r="AI898" s="78" t="str">
        <f aca="false">IF(E898="","",(V898&lt;&gt;"")+(AA898&lt;&gt;"")+(AF898&lt;&gt;""))</f>
        <v/>
      </c>
      <c r="AJ898" s="82" t="str">
        <f aca="false">IF(AF898&lt;&gt;"",AF898,IF(AA898&lt;&gt;"",AA898,IF(V898&lt;&gt;"",V898,"")))</f>
        <v/>
      </c>
      <c r="AK898" s="83" t="str">
        <f aca="false">IF(E898="","",IF(P898="","À SOUDER",IF(S898="","VT EN ATTENTE",IF(S898="R","VT REJETÉ – À REPRENDRE",IF(AJ898="","À RADIOGRAPHIER",IF(AJ898="A","ACCEPTÉ",IF(AJ898="NX","NX – RT À REFAIRE",IF(IF(AI898=1,X898,IF(AI898=2,AC898,""))="A","RÉPARÉ – À RADIOGRAPHIER",IF(IF(AI898=1,X898,IF(AI898=2,AC898,""))="R","VT REJETÉ – À REPRENDRE",IF(AJ898="CO","COUPE – À RESOUDER","À RÉPARER"))))))))))</f>
        <v/>
      </c>
      <c r="AL898" s="82" t="str">
        <f aca="false">IF(AND(ISNUMBER(P898),OR(AK898="À RADIOGRAPHIER",AK898="RÉPARÉ – À RADIOGRAPHIER",AK898="NX – RT À REFAIRE",AK898="À RÉPARER",AK898="COUPE – À RESOUDER",AK898="VT REJETÉ – À REPRENDRE")),MAX(0,'PROGRAMME RT'!$C$4-P898),"")</f>
        <v/>
      </c>
      <c r="AM898" s="78" t="n">
        <f aca="false">IF(AND(OR(AK898="À RADIOGRAPHIER",AK898="RÉPARÉ – À RADIOGRAPHIER",AK898="NX – RT À REFAIRE"),OR('PROGRAMME RT'!$D$5="TOUTES",B898='PROGRAMME RT'!$D$5)),1,0)</f>
        <v>0</v>
      </c>
      <c r="AN898" s="78" t="str">
        <f aca="false">IF(AM898=1,SUM(AM$7:AM898),"")</f>
        <v/>
      </c>
      <c r="AO898" s="78" t="n">
        <f aca="false">IF(AND(OR(AK898="À RÉPARER",AK898="COUPE – À RESOUDER",AK898="VT REJETÉ – À REPRENDRE"),OR(RÉPARATIONS!$D$5="TOUTES",B898=RÉPARATIONS!$D$5)),1,0)</f>
        <v>0</v>
      </c>
      <c r="AP898" s="78" t="str">
        <f aca="false">IF(AO898=1,SUM(AO$7:AO898),"")</f>
        <v/>
      </c>
    </row>
    <row r="899" customFormat="false" ht="15" hidden="false" customHeight="false" outlineLevel="0" collapsed="false">
      <c r="A899" s="78" t="str">
        <f aca="false">IF(E899="","",ROW()-6)</f>
        <v/>
      </c>
      <c r="B899" s="79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1"/>
      <c r="Q899" s="81"/>
      <c r="R899" s="80"/>
      <c r="S899" s="80"/>
      <c r="T899" s="81"/>
      <c r="U899" s="80"/>
      <c r="V899" s="80"/>
      <c r="W899" s="80"/>
      <c r="X899" s="80"/>
      <c r="Y899" s="81"/>
      <c r="Z899" s="80"/>
      <c r="AA899" s="80"/>
      <c r="AB899" s="80"/>
      <c r="AC899" s="80"/>
      <c r="AD899" s="81"/>
      <c r="AE899" s="80"/>
      <c r="AF899" s="80"/>
      <c r="AG899" s="81"/>
      <c r="AH899" s="79"/>
      <c r="AI899" s="78" t="str">
        <f aca="false">IF(E899="","",(V899&lt;&gt;"")+(AA899&lt;&gt;"")+(AF899&lt;&gt;""))</f>
        <v/>
      </c>
      <c r="AJ899" s="82" t="str">
        <f aca="false">IF(AF899&lt;&gt;"",AF899,IF(AA899&lt;&gt;"",AA899,IF(V899&lt;&gt;"",V899,"")))</f>
        <v/>
      </c>
      <c r="AK899" s="83" t="str">
        <f aca="false">IF(E899="","",IF(P899="","À SOUDER",IF(S899="","VT EN ATTENTE",IF(S899="R","VT REJETÉ – À REPRENDRE",IF(AJ899="","À RADIOGRAPHIER",IF(AJ899="A","ACCEPTÉ",IF(AJ899="NX","NX – RT À REFAIRE",IF(IF(AI899=1,X899,IF(AI899=2,AC899,""))="A","RÉPARÉ – À RADIOGRAPHIER",IF(IF(AI899=1,X899,IF(AI899=2,AC899,""))="R","VT REJETÉ – À REPRENDRE",IF(AJ899="CO","COUPE – À RESOUDER","À RÉPARER"))))))))))</f>
        <v/>
      </c>
      <c r="AL899" s="82" t="str">
        <f aca="false">IF(AND(ISNUMBER(P899),OR(AK899="À RADIOGRAPHIER",AK899="RÉPARÉ – À RADIOGRAPHIER",AK899="NX – RT À REFAIRE",AK899="À RÉPARER",AK899="COUPE – À RESOUDER",AK899="VT REJETÉ – À REPRENDRE")),MAX(0,'PROGRAMME RT'!$C$4-P899),"")</f>
        <v/>
      </c>
      <c r="AM899" s="78" t="n">
        <f aca="false">IF(AND(OR(AK899="À RADIOGRAPHIER",AK899="RÉPARÉ – À RADIOGRAPHIER",AK899="NX – RT À REFAIRE"),OR('PROGRAMME RT'!$D$5="TOUTES",B899='PROGRAMME RT'!$D$5)),1,0)</f>
        <v>0</v>
      </c>
      <c r="AN899" s="78" t="str">
        <f aca="false">IF(AM899=1,SUM(AM$7:AM899),"")</f>
        <v/>
      </c>
      <c r="AO899" s="78" t="n">
        <f aca="false">IF(AND(OR(AK899="À RÉPARER",AK899="COUPE – À RESOUDER",AK899="VT REJETÉ – À REPRENDRE"),OR(RÉPARATIONS!$D$5="TOUTES",B899=RÉPARATIONS!$D$5)),1,0)</f>
        <v>0</v>
      </c>
      <c r="AP899" s="78" t="str">
        <f aca="false">IF(AO899=1,SUM(AO$7:AO899),"")</f>
        <v/>
      </c>
    </row>
    <row r="900" customFormat="false" ht="15" hidden="false" customHeight="false" outlineLevel="0" collapsed="false">
      <c r="A900" s="78" t="str">
        <f aca="false">IF(E900="","",ROW()-6)</f>
        <v/>
      </c>
      <c r="B900" s="79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1"/>
      <c r="Q900" s="81"/>
      <c r="R900" s="80"/>
      <c r="S900" s="80"/>
      <c r="T900" s="81"/>
      <c r="U900" s="80"/>
      <c r="V900" s="80"/>
      <c r="W900" s="80"/>
      <c r="X900" s="80"/>
      <c r="Y900" s="81"/>
      <c r="Z900" s="80"/>
      <c r="AA900" s="80"/>
      <c r="AB900" s="80"/>
      <c r="AC900" s="80"/>
      <c r="AD900" s="81"/>
      <c r="AE900" s="80"/>
      <c r="AF900" s="80"/>
      <c r="AG900" s="81"/>
      <c r="AH900" s="79"/>
      <c r="AI900" s="78" t="str">
        <f aca="false">IF(E900="","",(V900&lt;&gt;"")+(AA900&lt;&gt;"")+(AF900&lt;&gt;""))</f>
        <v/>
      </c>
      <c r="AJ900" s="82" t="str">
        <f aca="false">IF(AF900&lt;&gt;"",AF900,IF(AA900&lt;&gt;"",AA900,IF(V900&lt;&gt;"",V900,"")))</f>
        <v/>
      </c>
      <c r="AK900" s="83" t="str">
        <f aca="false">IF(E900="","",IF(P900="","À SOUDER",IF(S900="","VT EN ATTENTE",IF(S900="R","VT REJETÉ – À REPRENDRE",IF(AJ900="","À RADIOGRAPHIER",IF(AJ900="A","ACCEPTÉ",IF(AJ900="NX","NX – RT À REFAIRE",IF(IF(AI900=1,X900,IF(AI900=2,AC900,""))="A","RÉPARÉ – À RADIOGRAPHIER",IF(IF(AI900=1,X900,IF(AI900=2,AC900,""))="R","VT REJETÉ – À REPRENDRE",IF(AJ900="CO","COUPE – À RESOUDER","À RÉPARER"))))))))))</f>
        <v/>
      </c>
      <c r="AL900" s="82" t="str">
        <f aca="false">IF(AND(ISNUMBER(P900),OR(AK900="À RADIOGRAPHIER",AK900="RÉPARÉ – À RADIOGRAPHIER",AK900="NX – RT À REFAIRE",AK900="À RÉPARER",AK900="COUPE – À RESOUDER",AK900="VT REJETÉ – À REPRENDRE")),MAX(0,'PROGRAMME RT'!$C$4-P900),"")</f>
        <v/>
      </c>
      <c r="AM900" s="78" t="n">
        <f aca="false">IF(AND(OR(AK900="À RADIOGRAPHIER",AK900="RÉPARÉ – À RADIOGRAPHIER",AK900="NX – RT À REFAIRE"),OR('PROGRAMME RT'!$D$5="TOUTES",B900='PROGRAMME RT'!$D$5)),1,0)</f>
        <v>0</v>
      </c>
      <c r="AN900" s="78" t="str">
        <f aca="false">IF(AM900=1,SUM(AM$7:AM900),"")</f>
        <v/>
      </c>
      <c r="AO900" s="78" t="n">
        <f aca="false">IF(AND(OR(AK900="À RÉPARER",AK900="COUPE – À RESOUDER",AK900="VT REJETÉ – À REPRENDRE"),OR(RÉPARATIONS!$D$5="TOUTES",B900=RÉPARATIONS!$D$5)),1,0)</f>
        <v>0</v>
      </c>
      <c r="AP900" s="78" t="str">
        <f aca="false">IF(AO900=1,SUM(AO$7:AO900),"")</f>
        <v/>
      </c>
    </row>
    <row r="901" customFormat="false" ht="15" hidden="false" customHeight="false" outlineLevel="0" collapsed="false">
      <c r="A901" s="78" t="str">
        <f aca="false">IF(E901="","",ROW()-6)</f>
        <v/>
      </c>
      <c r="B901" s="79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1"/>
      <c r="Q901" s="81"/>
      <c r="R901" s="80"/>
      <c r="S901" s="80"/>
      <c r="T901" s="81"/>
      <c r="U901" s="80"/>
      <c r="V901" s="80"/>
      <c r="W901" s="80"/>
      <c r="X901" s="80"/>
      <c r="Y901" s="81"/>
      <c r="Z901" s="80"/>
      <c r="AA901" s="80"/>
      <c r="AB901" s="80"/>
      <c r="AC901" s="80"/>
      <c r="AD901" s="81"/>
      <c r="AE901" s="80"/>
      <c r="AF901" s="80"/>
      <c r="AG901" s="81"/>
      <c r="AH901" s="79"/>
      <c r="AI901" s="78" t="str">
        <f aca="false">IF(E901="","",(V901&lt;&gt;"")+(AA901&lt;&gt;"")+(AF901&lt;&gt;""))</f>
        <v/>
      </c>
      <c r="AJ901" s="82" t="str">
        <f aca="false">IF(AF901&lt;&gt;"",AF901,IF(AA901&lt;&gt;"",AA901,IF(V901&lt;&gt;"",V901,"")))</f>
        <v/>
      </c>
      <c r="AK901" s="83" t="str">
        <f aca="false">IF(E901="","",IF(P901="","À SOUDER",IF(S901="","VT EN ATTENTE",IF(S901="R","VT REJETÉ – À REPRENDRE",IF(AJ901="","À RADIOGRAPHIER",IF(AJ901="A","ACCEPTÉ",IF(AJ901="NX","NX – RT À REFAIRE",IF(IF(AI901=1,X901,IF(AI901=2,AC901,""))="A","RÉPARÉ – À RADIOGRAPHIER",IF(IF(AI901=1,X901,IF(AI901=2,AC901,""))="R","VT REJETÉ – À REPRENDRE",IF(AJ901="CO","COUPE – À RESOUDER","À RÉPARER"))))))))))</f>
        <v/>
      </c>
      <c r="AL901" s="82" t="str">
        <f aca="false">IF(AND(ISNUMBER(P901),OR(AK901="À RADIOGRAPHIER",AK901="RÉPARÉ – À RADIOGRAPHIER",AK901="NX – RT À REFAIRE",AK901="À RÉPARER",AK901="COUPE – À RESOUDER",AK901="VT REJETÉ – À REPRENDRE")),MAX(0,'PROGRAMME RT'!$C$4-P901),"")</f>
        <v/>
      </c>
      <c r="AM901" s="78" t="n">
        <f aca="false">IF(AND(OR(AK901="À RADIOGRAPHIER",AK901="RÉPARÉ – À RADIOGRAPHIER",AK901="NX – RT À REFAIRE"),OR('PROGRAMME RT'!$D$5="TOUTES",B901='PROGRAMME RT'!$D$5)),1,0)</f>
        <v>0</v>
      </c>
      <c r="AN901" s="78" t="str">
        <f aca="false">IF(AM901=1,SUM(AM$7:AM901),"")</f>
        <v/>
      </c>
      <c r="AO901" s="78" t="n">
        <f aca="false">IF(AND(OR(AK901="À RÉPARER",AK901="COUPE – À RESOUDER",AK901="VT REJETÉ – À REPRENDRE"),OR(RÉPARATIONS!$D$5="TOUTES",B901=RÉPARATIONS!$D$5)),1,0)</f>
        <v>0</v>
      </c>
      <c r="AP901" s="78" t="str">
        <f aca="false">IF(AO901=1,SUM(AO$7:AO901),"")</f>
        <v/>
      </c>
    </row>
    <row r="902" customFormat="false" ht="15" hidden="false" customHeight="false" outlineLevel="0" collapsed="false">
      <c r="A902" s="78" t="str">
        <f aca="false">IF(E902="","",ROW()-6)</f>
        <v/>
      </c>
      <c r="B902" s="79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1"/>
      <c r="Q902" s="81"/>
      <c r="R902" s="80"/>
      <c r="S902" s="80"/>
      <c r="T902" s="81"/>
      <c r="U902" s="80"/>
      <c r="V902" s="80"/>
      <c r="W902" s="80"/>
      <c r="X902" s="80"/>
      <c r="Y902" s="81"/>
      <c r="Z902" s="80"/>
      <c r="AA902" s="80"/>
      <c r="AB902" s="80"/>
      <c r="AC902" s="80"/>
      <c r="AD902" s="81"/>
      <c r="AE902" s="80"/>
      <c r="AF902" s="80"/>
      <c r="AG902" s="81"/>
      <c r="AH902" s="79"/>
      <c r="AI902" s="78" t="str">
        <f aca="false">IF(E902="","",(V902&lt;&gt;"")+(AA902&lt;&gt;"")+(AF902&lt;&gt;""))</f>
        <v/>
      </c>
      <c r="AJ902" s="82" t="str">
        <f aca="false">IF(AF902&lt;&gt;"",AF902,IF(AA902&lt;&gt;"",AA902,IF(V902&lt;&gt;"",V902,"")))</f>
        <v/>
      </c>
      <c r="AK902" s="83" t="str">
        <f aca="false">IF(E902="","",IF(P902="","À SOUDER",IF(S902="","VT EN ATTENTE",IF(S902="R","VT REJETÉ – À REPRENDRE",IF(AJ902="","À RADIOGRAPHIER",IF(AJ902="A","ACCEPTÉ",IF(AJ902="NX","NX – RT À REFAIRE",IF(IF(AI902=1,X902,IF(AI902=2,AC902,""))="A","RÉPARÉ – À RADIOGRAPHIER",IF(IF(AI902=1,X902,IF(AI902=2,AC902,""))="R","VT REJETÉ – À REPRENDRE",IF(AJ902="CO","COUPE – À RESOUDER","À RÉPARER"))))))))))</f>
        <v/>
      </c>
      <c r="AL902" s="82" t="str">
        <f aca="false">IF(AND(ISNUMBER(P902),OR(AK902="À RADIOGRAPHIER",AK902="RÉPARÉ – À RADIOGRAPHIER",AK902="NX – RT À REFAIRE",AK902="À RÉPARER",AK902="COUPE – À RESOUDER",AK902="VT REJETÉ – À REPRENDRE")),MAX(0,'PROGRAMME RT'!$C$4-P902),"")</f>
        <v/>
      </c>
      <c r="AM902" s="78" t="n">
        <f aca="false">IF(AND(OR(AK902="À RADIOGRAPHIER",AK902="RÉPARÉ – À RADIOGRAPHIER",AK902="NX – RT À REFAIRE"),OR('PROGRAMME RT'!$D$5="TOUTES",B902='PROGRAMME RT'!$D$5)),1,0)</f>
        <v>0</v>
      </c>
      <c r="AN902" s="78" t="str">
        <f aca="false">IF(AM902=1,SUM(AM$7:AM902),"")</f>
        <v/>
      </c>
      <c r="AO902" s="78" t="n">
        <f aca="false">IF(AND(OR(AK902="À RÉPARER",AK902="COUPE – À RESOUDER",AK902="VT REJETÉ – À REPRENDRE"),OR(RÉPARATIONS!$D$5="TOUTES",B902=RÉPARATIONS!$D$5)),1,0)</f>
        <v>0</v>
      </c>
      <c r="AP902" s="78" t="str">
        <f aca="false">IF(AO902=1,SUM(AO$7:AO902),"")</f>
        <v/>
      </c>
    </row>
    <row r="903" customFormat="false" ht="15" hidden="false" customHeight="false" outlineLevel="0" collapsed="false">
      <c r="A903" s="78" t="str">
        <f aca="false">IF(E903="","",ROW()-6)</f>
        <v/>
      </c>
      <c r="B903" s="79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1"/>
      <c r="Q903" s="81"/>
      <c r="R903" s="80"/>
      <c r="S903" s="80"/>
      <c r="T903" s="81"/>
      <c r="U903" s="80"/>
      <c r="V903" s="80"/>
      <c r="W903" s="80"/>
      <c r="X903" s="80"/>
      <c r="Y903" s="81"/>
      <c r="Z903" s="80"/>
      <c r="AA903" s="80"/>
      <c r="AB903" s="80"/>
      <c r="AC903" s="80"/>
      <c r="AD903" s="81"/>
      <c r="AE903" s="80"/>
      <c r="AF903" s="80"/>
      <c r="AG903" s="81"/>
      <c r="AH903" s="79"/>
      <c r="AI903" s="78" t="str">
        <f aca="false">IF(E903="","",(V903&lt;&gt;"")+(AA903&lt;&gt;"")+(AF903&lt;&gt;""))</f>
        <v/>
      </c>
      <c r="AJ903" s="82" t="str">
        <f aca="false">IF(AF903&lt;&gt;"",AF903,IF(AA903&lt;&gt;"",AA903,IF(V903&lt;&gt;"",V903,"")))</f>
        <v/>
      </c>
      <c r="AK903" s="83" t="str">
        <f aca="false">IF(E903="","",IF(P903="","À SOUDER",IF(S903="","VT EN ATTENTE",IF(S903="R","VT REJETÉ – À REPRENDRE",IF(AJ903="","À RADIOGRAPHIER",IF(AJ903="A","ACCEPTÉ",IF(AJ903="NX","NX – RT À REFAIRE",IF(IF(AI903=1,X903,IF(AI903=2,AC903,""))="A","RÉPARÉ – À RADIOGRAPHIER",IF(IF(AI903=1,X903,IF(AI903=2,AC903,""))="R","VT REJETÉ – À REPRENDRE",IF(AJ903="CO","COUPE – À RESOUDER","À RÉPARER"))))))))))</f>
        <v/>
      </c>
      <c r="AL903" s="82" t="str">
        <f aca="false">IF(AND(ISNUMBER(P903),OR(AK903="À RADIOGRAPHIER",AK903="RÉPARÉ – À RADIOGRAPHIER",AK903="NX – RT À REFAIRE",AK903="À RÉPARER",AK903="COUPE – À RESOUDER",AK903="VT REJETÉ – À REPRENDRE")),MAX(0,'PROGRAMME RT'!$C$4-P903),"")</f>
        <v/>
      </c>
      <c r="AM903" s="78" t="n">
        <f aca="false">IF(AND(OR(AK903="À RADIOGRAPHIER",AK903="RÉPARÉ – À RADIOGRAPHIER",AK903="NX – RT À REFAIRE"),OR('PROGRAMME RT'!$D$5="TOUTES",B903='PROGRAMME RT'!$D$5)),1,0)</f>
        <v>0</v>
      </c>
      <c r="AN903" s="78" t="str">
        <f aca="false">IF(AM903=1,SUM(AM$7:AM903),"")</f>
        <v/>
      </c>
      <c r="AO903" s="78" t="n">
        <f aca="false">IF(AND(OR(AK903="À RÉPARER",AK903="COUPE – À RESOUDER",AK903="VT REJETÉ – À REPRENDRE"),OR(RÉPARATIONS!$D$5="TOUTES",B903=RÉPARATIONS!$D$5)),1,0)</f>
        <v>0</v>
      </c>
      <c r="AP903" s="78" t="str">
        <f aca="false">IF(AO903=1,SUM(AO$7:AO903),"")</f>
        <v/>
      </c>
    </row>
    <row r="904" customFormat="false" ht="15" hidden="false" customHeight="false" outlineLevel="0" collapsed="false">
      <c r="A904" s="78" t="str">
        <f aca="false">IF(E904="","",ROW()-6)</f>
        <v/>
      </c>
      <c r="B904" s="79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1"/>
      <c r="Q904" s="81"/>
      <c r="R904" s="80"/>
      <c r="S904" s="80"/>
      <c r="T904" s="81"/>
      <c r="U904" s="80"/>
      <c r="V904" s="80"/>
      <c r="W904" s="80"/>
      <c r="X904" s="80"/>
      <c r="Y904" s="81"/>
      <c r="Z904" s="80"/>
      <c r="AA904" s="80"/>
      <c r="AB904" s="80"/>
      <c r="AC904" s="80"/>
      <c r="AD904" s="81"/>
      <c r="AE904" s="80"/>
      <c r="AF904" s="80"/>
      <c r="AG904" s="81"/>
      <c r="AH904" s="79"/>
      <c r="AI904" s="78" t="str">
        <f aca="false">IF(E904="","",(V904&lt;&gt;"")+(AA904&lt;&gt;"")+(AF904&lt;&gt;""))</f>
        <v/>
      </c>
      <c r="AJ904" s="82" t="str">
        <f aca="false">IF(AF904&lt;&gt;"",AF904,IF(AA904&lt;&gt;"",AA904,IF(V904&lt;&gt;"",V904,"")))</f>
        <v/>
      </c>
      <c r="AK904" s="83" t="str">
        <f aca="false">IF(E904="","",IF(P904="","À SOUDER",IF(S904="","VT EN ATTENTE",IF(S904="R","VT REJETÉ – À REPRENDRE",IF(AJ904="","À RADIOGRAPHIER",IF(AJ904="A","ACCEPTÉ",IF(AJ904="NX","NX – RT À REFAIRE",IF(IF(AI904=1,X904,IF(AI904=2,AC904,""))="A","RÉPARÉ – À RADIOGRAPHIER",IF(IF(AI904=1,X904,IF(AI904=2,AC904,""))="R","VT REJETÉ – À REPRENDRE",IF(AJ904="CO","COUPE – À RESOUDER","À RÉPARER"))))))))))</f>
        <v/>
      </c>
      <c r="AL904" s="82" t="str">
        <f aca="false">IF(AND(ISNUMBER(P904),OR(AK904="À RADIOGRAPHIER",AK904="RÉPARÉ – À RADIOGRAPHIER",AK904="NX – RT À REFAIRE",AK904="À RÉPARER",AK904="COUPE – À RESOUDER",AK904="VT REJETÉ – À REPRENDRE")),MAX(0,'PROGRAMME RT'!$C$4-P904),"")</f>
        <v/>
      </c>
      <c r="AM904" s="78" t="n">
        <f aca="false">IF(AND(OR(AK904="À RADIOGRAPHIER",AK904="RÉPARÉ – À RADIOGRAPHIER",AK904="NX – RT À REFAIRE"),OR('PROGRAMME RT'!$D$5="TOUTES",B904='PROGRAMME RT'!$D$5)),1,0)</f>
        <v>0</v>
      </c>
      <c r="AN904" s="78" t="str">
        <f aca="false">IF(AM904=1,SUM(AM$7:AM904),"")</f>
        <v/>
      </c>
      <c r="AO904" s="78" t="n">
        <f aca="false">IF(AND(OR(AK904="À RÉPARER",AK904="COUPE – À RESOUDER",AK904="VT REJETÉ – À REPRENDRE"),OR(RÉPARATIONS!$D$5="TOUTES",B904=RÉPARATIONS!$D$5)),1,0)</f>
        <v>0</v>
      </c>
      <c r="AP904" s="78" t="str">
        <f aca="false">IF(AO904=1,SUM(AO$7:AO904),"")</f>
        <v/>
      </c>
    </row>
    <row r="905" customFormat="false" ht="15" hidden="false" customHeight="false" outlineLevel="0" collapsed="false">
      <c r="A905" s="78" t="str">
        <f aca="false">IF(E905="","",ROW()-6)</f>
        <v/>
      </c>
      <c r="B905" s="79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1"/>
      <c r="Q905" s="81"/>
      <c r="R905" s="80"/>
      <c r="S905" s="80"/>
      <c r="T905" s="81"/>
      <c r="U905" s="80"/>
      <c r="V905" s="80"/>
      <c r="W905" s="80"/>
      <c r="X905" s="80"/>
      <c r="Y905" s="81"/>
      <c r="Z905" s="80"/>
      <c r="AA905" s="80"/>
      <c r="AB905" s="80"/>
      <c r="AC905" s="80"/>
      <c r="AD905" s="81"/>
      <c r="AE905" s="80"/>
      <c r="AF905" s="80"/>
      <c r="AG905" s="81"/>
      <c r="AH905" s="79"/>
      <c r="AI905" s="78" t="str">
        <f aca="false">IF(E905="","",(V905&lt;&gt;"")+(AA905&lt;&gt;"")+(AF905&lt;&gt;""))</f>
        <v/>
      </c>
      <c r="AJ905" s="82" t="str">
        <f aca="false">IF(AF905&lt;&gt;"",AF905,IF(AA905&lt;&gt;"",AA905,IF(V905&lt;&gt;"",V905,"")))</f>
        <v/>
      </c>
      <c r="AK905" s="83" t="str">
        <f aca="false">IF(E905="","",IF(P905="","À SOUDER",IF(S905="","VT EN ATTENTE",IF(S905="R","VT REJETÉ – À REPRENDRE",IF(AJ905="","À RADIOGRAPHIER",IF(AJ905="A","ACCEPTÉ",IF(AJ905="NX","NX – RT À REFAIRE",IF(IF(AI905=1,X905,IF(AI905=2,AC905,""))="A","RÉPARÉ – À RADIOGRAPHIER",IF(IF(AI905=1,X905,IF(AI905=2,AC905,""))="R","VT REJETÉ – À REPRENDRE",IF(AJ905="CO","COUPE – À RESOUDER","À RÉPARER"))))))))))</f>
        <v/>
      </c>
      <c r="AL905" s="82" t="str">
        <f aca="false">IF(AND(ISNUMBER(P905),OR(AK905="À RADIOGRAPHIER",AK905="RÉPARÉ – À RADIOGRAPHIER",AK905="NX – RT À REFAIRE",AK905="À RÉPARER",AK905="COUPE – À RESOUDER",AK905="VT REJETÉ – À REPRENDRE")),MAX(0,'PROGRAMME RT'!$C$4-P905),"")</f>
        <v/>
      </c>
      <c r="AM905" s="78" t="n">
        <f aca="false">IF(AND(OR(AK905="À RADIOGRAPHIER",AK905="RÉPARÉ – À RADIOGRAPHIER",AK905="NX – RT À REFAIRE"),OR('PROGRAMME RT'!$D$5="TOUTES",B905='PROGRAMME RT'!$D$5)),1,0)</f>
        <v>0</v>
      </c>
      <c r="AN905" s="78" t="str">
        <f aca="false">IF(AM905=1,SUM(AM$7:AM905),"")</f>
        <v/>
      </c>
      <c r="AO905" s="78" t="n">
        <f aca="false">IF(AND(OR(AK905="À RÉPARER",AK905="COUPE – À RESOUDER",AK905="VT REJETÉ – À REPRENDRE"),OR(RÉPARATIONS!$D$5="TOUTES",B905=RÉPARATIONS!$D$5)),1,0)</f>
        <v>0</v>
      </c>
      <c r="AP905" s="78" t="str">
        <f aca="false">IF(AO905=1,SUM(AO$7:AO905),"")</f>
        <v/>
      </c>
    </row>
    <row r="906" customFormat="false" ht="15" hidden="false" customHeight="false" outlineLevel="0" collapsed="false">
      <c r="A906" s="78" t="str">
        <f aca="false">IF(E906="","",ROW()-6)</f>
        <v/>
      </c>
      <c r="B906" s="79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1"/>
      <c r="Q906" s="81"/>
      <c r="R906" s="80"/>
      <c r="S906" s="80"/>
      <c r="T906" s="81"/>
      <c r="U906" s="80"/>
      <c r="V906" s="80"/>
      <c r="W906" s="80"/>
      <c r="X906" s="80"/>
      <c r="Y906" s="81"/>
      <c r="Z906" s="80"/>
      <c r="AA906" s="80"/>
      <c r="AB906" s="80"/>
      <c r="AC906" s="80"/>
      <c r="AD906" s="81"/>
      <c r="AE906" s="80"/>
      <c r="AF906" s="80"/>
      <c r="AG906" s="81"/>
      <c r="AH906" s="79"/>
      <c r="AI906" s="78" t="str">
        <f aca="false">IF(E906="","",(V906&lt;&gt;"")+(AA906&lt;&gt;"")+(AF906&lt;&gt;""))</f>
        <v/>
      </c>
      <c r="AJ906" s="82" t="str">
        <f aca="false">IF(AF906&lt;&gt;"",AF906,IF(AA906&lt;&gt;"",AA906,IF(V906&lt;&gt;"",V906,"")))</f>
        <v/>
      </c>
      <c r="AK906" s="83" t="str">
        <f aca="false">IF(E906="","",IF(P906="","À SOUDER",IF(S906="","VT EN ATTENTE",IF(S906="R","VT REJETÉ – À REPRENDRE",IF(AJ906="","À RADIOGRAPHIER",IF(AJ906="A","ACCEPTÉ",IF(AJ906="NX","NX – RT À REFAIRE",IF(IF(AI906=1,X906,IF(AI906=2,AC906,""))="A","RÉPARÉ – À RADIOGRAPHIER",IF(IF(AI906=1,X906,IF(AI906=2,AC906,""))="R","VT REJETÉ – À REPRENDRE",IF(AJ906="CO","COUPE – À RESOUDER","À RÉPARER"))))))))))</f>
        <v/>
      </c>
      <c r="AL906" s="82" t="str">
        <f aca="false">IF(AND(ISNUMBER(P906),OR(AK906="À RADIOGRAPHIER",AK906="RÉPARÉ – À RADIOGRAPHIER",AK906="NX – RT À REFAIRE",AK906="À RÉPARER",AK906="COUPE – À RESOUDER",AK906="VT REJETÉ – À REPRENDRE")),MAX(0,'PROGRAMME RT'!$C$4-P906),"")</f>
        <v/>
      </c>
      <c r="AM906" s="78" t="n">
        <f aca="false">IF(AND(OR(AK906="À RADIOGRAPHIER",AK906="RÉPARÉ – À RADIOGRAPHIER",AK906="NX – RT À REFAIRE"),OR('PROGRAMME RT'!$D$5="TOUTES",B906='PROGRAMME RT'!$D$5)),1,0)</f>
        <v>0</v>
      </c>
      <c r="AN906" s="78" t="str">
        <f aca="false">IF(AM906=1,SUM(AM$7:AM906),"")</f>
        <v/>
      </c>
      <c r="AO906" s="78" t="n">
        <f aca="false">IF(AND(OR(AK906="À RÉPARER",AK906="COUPE – À RESOUDER",AK906="VT REJETÉ – À REPRENDRE"),OR(RÉPARATIONS!$D$5="TOUTES",B906=RÉPARATIONS!$D$5)),1,0)</f>
        <v>0</v>
      </c>
      <c r="AP906" s="78" t="str">
        <f aca="false">IF(AO906=1,SUM(AO$7:AO906),"")</f>
        <v/>
      </c>
    </row>
    <row r="907" customFormat="false" ht="15" hidden="false" customHeight="false" outlineLevel="0" collapsed="false">
      <c r="A907" s="78" t="str">
        <f aca="false">IF(E907="","",ROW()-6)</f>
        <v/>
      </c>
      <c r="B907" s="79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1"/>
      <c r="Q907" s="81"/>
      <c r="R907" s="80"/>
      <c r="S907" s="80"/>
      <c r="T907" s="81"/>
      <c r="U907" s="80"/>
      <c r="V907" s="80"/>
      <c r="W907" s="80"/>
      <c r="X907" s="80"/>
      <c r="Y907" s="81"/>
      <c r="Z907" s="80"/>
      <c r="AA907" s="80"/>
      <c r="AB907" s="80"/>
      <c r="AC907" s="80"/>
      <c r="AD907" s="81"/>
      <c r="AE907" s="80"/>
      <c r="AF907" s="80"/>
      <c r="AG907" s="81"/>
      <c r="AH907" s="79"/>
      <c r="AI907" s="78" t="str">
        <f aca="false">IF(E907="","",(V907&lt;&gt;"")+(AA907&lt;&gt;"")+(AF907&lt;&gt;""))</f>
        <v/>
      </c>
      <c r="AJ907" s="82" t="str">
        <f aca="false">IF(AF907&lt;&gt;"",AF907,IF(AA907&lt;&gt;"",AA907,IF(V907&lt;&gt;"",V907,"")))</f>
        <v/>
      </c>
      <c r="AK907" s="83" t="str">
        <f aca="false">IF(E907="","",IF(P907="","À SOUDER",IF(S907="","VT EN ATTENTE",IF(S907="R","VT REJETÉ – À REPRENDRE",IF(AJ907="","À RADIOGRAPHIER",IF(AJ907="A","ACCEPTÉ",IF(AJ907="NX","NX – RT À REFAIRE",IF(IF(AI907=1,X907,IF(AI907=2,AC907,""))="A","RÉPARÉ – À RADIOGRAPHIER",IF(IF(AI907=1,X907,IF(AI907=2,AC907,""))="R","VT REJETÉ – À REPRENDRE",IF(AJ907="CO","COUPE – À RESOUDER","À RÉPARER"))))))))))</f>
        <v/>
      </c>
      <c r="AL907" s="82" t="str">
        <f aca="false">IF(AND(ISNUMBER(P907),OR(AK907="À RADIOGRAPHIER",AK907="RÉPARÉ – À RADIOGRAPHIER",AK907="NX – RT À REFAIRE",AK907="À RÉPARER",AK907="COUPE – À RESOUDER",AK907="VT REJETÉ – À REPRENDRE")),MAX(0,'PROGRAMME RT'!$C$4-P907),"")</f>
        <v/>
      </c>
      <c r="AM907" s="78" t="n">
        <f aca="false">IF(AND(OR(AK907="À RADIOGRAPHIER",AK907="RÉPARÉ – À RADIOGRAPHIER",AK907="NX – RT À REFAIRE"),OR('PROGRAMME RT'!$D$5="TOUTES",B907='PROGRAMME RT'!$D$5)),1,0)</f>
        <v>0</v>
      </c>
      <c r="AN907" s="78" t="str">
        <f aca="false">IF(AM907=1,SUM(AM$7:AM907),"")</f>
        <v/>
      </c>
      <c r="AO907" s="78" t="n">
        <f aca="false">IF(AND(OR(AK907="À RÉPARER",AK907="COUPE – À RESOUDER",AK907="VT REJETÉ – À REPRENDRE"),OR(RÉPARATIONS!$D$5="TOUTES",B907=RÉPARATIONS!$D$5)),1,0)</f>
        <v>0</v>
      </c>
      <c r="AP907" s="78" t="str">
        <f aca="false">IF(AO907=1,SUM(AO$7:AO907),"")</f>
        <v/>
      </c>
    </row>
    <row r="908" customFormat="false" ht="15" hidden="false" customHeight="false" outlineLevel="0" collapsed="false">
      <c r="A908" s="78" t="str">
        <f aca="false">IF(E908="","",ROW()-6)</f>
        <v/>
      </c>
      <c r="B908" s="79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1"/>
      <c r="Q908" s="81"/>
      <c r="R908" s="80"/>
      <c r="S908" s="80"/>
      <c r="T908" s="81"/>
      <c r="U908" s="80"/>
      <c r="V908" s="80"/>
      <c r="W908" s="80"/>
      <c r="X908" s="80"/>
      <c r="Y908" s="81"/>
      <c r="Z908" s="80"/>
      <c r="AA908" s="80"/>
      <c r="AB908" s="80"/>
      <c r="AC908" s="80"/>
      <c r="AD908" s="81"/>
      <c r="AE908" s="80"/>
      <c r="AF908" s="80"/>
      <c r="AG908" s="81"/>
      <c r="AH908" s="79"/>
      <c r="AI908" s="78" t="str">
        <f aca="false">IF(E908="","",(V908&lt;&gt;"")+(AA908&lt;&gt;"")+(AF908&lt;&gt;""))</f>
        <v/>
      </c>
      <c r="AJ908" s="82" t="str">
        <f aca="false">IF(AF908&lt;&gt;"",AF908,IF(AA908&lt;&gt;"",AA908,IF(V908&lt;&gt;"",V908,"")))</f>
        <v/>
      </c>
      <c r="AK908" s="83" t="str">
        <f aca="false">IF(E908="","",IF(P908="","À SOUDER",IF(S908="","VT EN ATTENTE",IF(S908="R","VT REJETÉ – À REPRENDRE",IF(AJ908="","À RADIOGRAPHIER",IF(AJ908="A","ACCEPTÉ",IF(AJ908="NX","NX – RT À REFAIRE",IF(IF(AI908=1,X908,IF(AI908=2,AC908,""))="A","RÉPARÉ – À RADIOGRAPHIER",IF(IF(AI908=1,X908,IF(AI908=2,AC908,""))="R","VT REJETÉ – À REPRENDRE",IF(AJ908="CO","COUPE – À RESOUDER","À RÉPARER"))))))))))</f>
        <v/>
      </c>
      <c r="AL908" s="82" t="str">
        <f aca="false">IF(AND(ISNUMBER(P908),OR(AK908="À RADIOGRAPHIER",AK908="RÉPARÉ – À RADIOGRAPHIER",AK908="NX – RT À REFAIRE",AK908="À RÉPARER",AK908="COUPE – À RESOUDER",AK908="VT REJETÉ – À REPRENDRE")),MAX(0,'PROGRAMME RT'!$C$4-P908),"")</f>
        <v/>
      </c>
      <c r="AM908" s="78" t="n">
        <f aca="false">IF(AND(OR(AK908="À RADIOGRAPHIER",AK908="RÉPARÉ – À RADIOGRAPHIER",AK908="NX – RT À REFAIRE"),OR('PROGRAMME RT'!$D$5="TOUTES",B908='PROGRAMME RT'!$D$5)),1,0)</f>
        <v>0</v>
      </c>
      <c r="AN908" s="78" t="str">
        <f aca="false">IF(AM908=1,SUM(AM$7:AM908),"")</f>
        <v/>
      </c>
      <c r="AO908" s="78" t="n">
        <f aca="false">IF(AND(OR(AK908="À RÉPARER",AK908="COUPE – À RESOUDER",AK908="VT REJETÉ – À REPRENDRE"),OR(RÉPARATIONS!$D$5="TOUTES",B908=RÉPARATIONS!$D$5)),1,0)</f>
        <v>0</v>
      </c>
      <c r="AP908" s="78" t="str">
        <f aca="false">IF(AO908=1,SUM(AO$7:AO908),"")</f>
        <v/>
      </c>
    </row>
    <row r="909" customFormat="false" ht="15" hidden="false" customHeight="false" outlineLevel="0" collapsed="false">
      <c r="A909" s="78" t="str">
        <f aca="false">IF(E909="","",ROW()-6)</f>
        <v/>
      </c>
      <c r="B909" s="79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1"/>
      <c r="Q909" s="81"/>
      <c r="R909" s="80"/>
      <c r="S909" s="80"/>
      <c r="T909" s="81"/>
      <c r="U909" s="80"/>
      <c r="V909" s="80"/>
      <c r="W909" s="80"/>
      <c r="X909" s="80"/>
      <c r="Y909" s="81"/>
      <c r="Z909" s="80"/>
      <c r="AA909" s="80"/>
      <c r="AB909" s="80"/>
      <c r="AC909" s="80"/>
      <c r="AD909" s="81"/>
      <c r="AE909" s="80"/>
      <c r="AF909" s="80"/>
      <c r="AG909" s="81"/>
      <c r="AH909" s="79"/>
      <c r="AI909" s="78" t="str">
        <f aca="false">IF(E909="","",(V909&lt;&gt;"")+(AA909&lt;&gt;"")+(AF909&lt;&gt;""))</f>
        <v/>
      </c>
      <c r="AJ909" s="82" t="str">
        <f aca="false">IF(AF909&lt;&gt;"",AF909,IF(AA909&lt;&gt;"",AA909,IF(V909&lt;&gt;"",V909,"")))</f>
        <v/>
      </c>
      <c r="AK909" s="83" t="str">
        <f aca="false">IF(E909="","",IF(P909="","À SOUDER",IF(S909="","VT EN ATTENTE",IF(S909="R","VT REJETÉ – À REPRENDRE",IF(AJ909="","À RADIOGRAPHIER",IF(AJ909="A","ACCEPTÉ",IF(AJ909="NX","NX – RT À REFAIRE",IF(IF(AI909=1,X909,IF(AI909=2,AC909,""))="A","RÉPARÉ – À RADIOGRAPHIER",IF(IF(AI909=1,X909,IF(AI909=2,AC909,""))="R","VT REJETÉ – À REPRENDRE",IF(AJ909="CO","COUPE – À RESOUDER","À RÉPARER"))))))))))</f>
        <v/>
      </c>
      <c r="AL909" s="82" t="str">
        <f aca="false">IF(AND(ISNUMBER(P909),OR(AK909="À RADIOGRAPHIER",AK909="RÉPARÉ – À RADIOGRAPHIER",AK909="NX – RT À REFAIRE",AK909="À RÉPARER",AK909="COUPE – À RESOUDER",AK909="VT REJETÉ – À REPRENDRE")),MAX(0,'PROGRAMME RT'!$C$4-P909),"")</f>
        <v/>
      </c>
      <c r="AM909" s="78" t="n">
        <f aca="false">IF(AND(OR(AK909="À RADIOGRAPHIER",AK909="RÉPARÉ – À RADIOGRAPHIER",AK909="NX – RT À REFAIRE"),OR('PROGRAMME RT'!$D$5="TOUTES",B909='PROGRAMME RT'!$D$5)),1,0)</f>
        <v>0</v>
      </c>
      <c r="AN909" s="78" t="str">
        <f aca="false">IF(AM909=1,SUM(AM$7:AM909),"")</f>
        <v/>
      </c>
      <c r="AO909" s="78" t="n">
        <f aca="false">IF(AND(OR(AK909="À RÉPARER",AK909="COUPE – À RESOUDER",AK909="VT REJETÉ – À REPRENDRE"),OR(RÉPARATIONS!$D$5="TOUTES",B909=RÉPARATIONS!$D$5)),1,0)</f>
        <v>0</v>
      </c>
      <c r="AP909" s="78" t="str">
        <f aca="false">IF(AO909=1,SUM(AO$7:AO909),"")</f>
        <v/>
      </c>
    </row>
    <row r="910" customFormat="false" ht="15" hidden="false" customHeight="false" outlineLevel="0" collapsed="false">
      <c r="A910" s="78" t="str">
        <f aca="false">IF(E910="","",ROW()-6)</f>
        <v/>
      </c>
      <c r="B910" s="79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1"/>
      <c r="Q910" s="81"/>
      <c r="R910" s="80"/>
      <c r="S910" s="80"/>
      <c r="T910" s="81"/>
      <c r="U910" s="80"/>
      <c r="V910" s="80"/>
      <c r="W910" s="80"/>
      <c r="X910" s="80"/>
      <c r="Y910" s="81"/>
      <c r="Z910" s="80"/>
      <c r="AA910" s="80"/>
      <c r="AB910" s="80"/>
      <c r="AC910" s="80"/>
      <c r="AD910" s="81"/>
      <c r="AE910" s="80"/>
      <c r="AF910" s="80"/>
      <c r="AG910" s="81"/>
      <c r="AH910" s="79"/>
      <c r="AI910" s="78" t="str">
        <f aca="false">IF(E910="","",(V910&lt;&gt;"")+(AA910&lt;&gt;"")+(AF910&lt;&gt;""))</f>
        <v/>
      </c>
      <c r="AJ910" s="82" t="str">
        <f aca="false">IF(AF910&lt;&gt;"",AF910,IF(AA910&lt;&gt;"",AA910,IF(V910&lt;&gt;"",V910,"")))</f>
        <v/>
      </c>
      <c r="AK910" s="83" t="str">
        <f aca="false">IF(E910="","",IF(P910="","À SOUDER",IF(S910="","VT EN ATTENTE",IF(S910="R","VT REJETÉ – À REPRENDRE",IF(AJ910="","À RADIOGRAPHIER",IF(AJ910="A","ACCEPTÉ",IF(AJ910="NX","NX – RT À REFAIRE",IF(IF(AI910=1,X910,IF(AI910=2,AC910,""))="A","RÉPARÉ – À RADIOGRAPHIER",IF(IF(AI910=1,X910,IF(AI910=2,AC910,""))="R","VT REJETÉ – À REPRENDRE",IF(AJ910="CO","COUPE – À RESOUDER","À RÉPARER"))))))))))</f>
        <v/>
      </c>
      <c r="AL910" s="82" t="str">
        <f aca="false">IF(AND(ISNUMBER(P910),OR(AK910="À RADIOGRAPHIER",AK910="RÉPARÉ – À RADIOGRAPHIER",AK910="NX – RT À REFAIRE",AK910="À RÉPARER",AK910="COUPE – À RESOUDER",AK910="VT REJETÉ – À REPRENDRE")),MAX(0,'PROGRAMME RT'!$C$4-P910),"")</f>
        <v/>
      </c>
      <c r="AM910" s="78" t="n">
        <f aca="false">IF(AND(OR(AK910="À RADIOGRAPHIER",AK910="RÉPARÉ – À RADIOGRAPHIER",AK910="NX – RT À REFAIRE"),OR('PROGRAMME RT'!$D$5="TOUTES",B910='PROGRAMME RT'!$D$5)),1,0)</f>
        <v>0</v>
      </c>
      <c r="AN910" s="78" t="str">
        <f aca="false">IF(AM910=1,SUM(AM$7:AM910),"")</f>
        <v/>
      </c>
      <c r="AO910" s="78" t="n">
        <f aca="false">IF(AND(OR(AK910="À RÉPARER",AK910="COUPE – À RESOUDER",AK910="VT REJETÉ – À REPRENDRE"),OR(RÉPARATIONS!$D$5="TOUTES",B910=RÉPARATIONS!$D$5)),1,0)</f>
        <v>0</v>
      </c>
      <c r="AP910" s="78" t="str">
        <f aca="false">IF(AO910=1,SUM(AO$7:AO910),"")</f>
        <v/>
      </c>
    </row>
    <row r="911" customFormat="false" ht="15" hidden="false" customHeight="false" outlineLevel="0" collapsed="false">
      <c r="A911" s="78" t="str">
        <f aca="false">IF(E911="","",ROW()-6)</f>
        <v/>
      </c>
      <c r="B911" s="79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1"/>
      <c r="Q911" s="81"/>
      <c r="R911" s="80"/>
      <c r="S911" s="80"/>
      <c r="T911" s="81"/>
      <c r="U911" s="80"/>
      <c r="V911" s="80"/>
      <c r="W911" s="80"/>
      <c r="X911" s="80"/>
      <c r="Y911" s="81"/>
      <c r="Z911" s="80"/>
      <c r="AA911" s="80"/>
      <c r="AB911" s="80"/>
      <c r="AC911" s="80"/>
      <c r="AD911" s="81"/>
      <c r="AE911" s="80"/>
      <c r="AF911" s="80"/>
      <c r="AG911" s="81"/>
      <c r="AH911" s="79"/>
      <c r="AI911" s="78" t="str">
        <f aca="false">IF(E911="","",(V911&lt;&gt;"")+(AA911&lt;&gt;"")+(AF911&lt;&gt;""))</f>
        <v/>
      </c>
      <c r="AJ911" s="82" t="str">
        <f aca="false">IF(AF911&lt;&gt;"",AF911,IF(AA911&lt;&gt;"",AA911,IF(V911&lt;&gt;"",V911,"")))</f>
        <v/>
      </c>
      <c r="AK911" s="83" t="str">
        <f aca="false">IF(E911="","",IF(P911="","À SOUDER",IF(S911="","VT EN ATTENTE",IF(S911="R","VT REJETÉ – À REPRENDRE",IF(AJ911="","À RADIOGRAPHIER",IF(AJ911="A","ACCEPTÉ",IF(AJ911="NX","NX – RT À REFAIRE",IF(IF(AI911=1,X911,IF(AI911=2,AC911,""))="A","RÉPARÉ – À RADIOGRAPHIER",IF(IF(AI911=1,X911,IF(AI911=2,AC911,""))="R","VT REJETÉ – À REPRENDRE",IF(AJ911="CO","COUPE – À RESOUDER","À RÉPARER"))))))))))</f>
        <v/>
      </c>
      <c r="AL911" s="82" t="str">
        <f aca="false">IF(AND(ISNUMBER(P911),OR(AK911="À RADIOGRAPHIER",AK911="RÉPARÉ – À RADIOGRAPHIER",AK911="NX – RT À REFAIRE",AK911="À RÉPARER",AK911="COUPE – À RESOUDER",AK911="VT REJETÉ – À REPRENDRE")),MAX(0,'PROGRAMME RT'!$C$4-P911),"")</f>
        <v/>
      </c>
      <c r="AM911" s="78" t="n">
        <f aca="false">IF(AND(OR(AK911="À RADIOGRAPHIER",AK911="RÉPARÉ – À RADIOGRAPHIER",AK911="NX – RT À REFAIRE"),OR('PROGRAMME RT'!$D$5="TOUTES",B911='PROGRAMME RT'!$D$5)),1,0)</f>
        <v>0</v>
      </c>
      <c r="AN911" s="78" t="str">
        <f aca="false">IF(AM911=1,SUM(AM$7:AM911),"")</f>
        <v/>
      </c>
      <c r="AO911" s="78" t="n">
        <f aca="false">IF(AND(OR(AK911="À RÉPARER",AK911="COUPE – À RESOUDER",AK911="VT REJETÉ – À REPRENDRE"),OR(RÉPARATIONS!$D$5="TOUTES",B911=RÉPARATIONS!$D$5)),1,0)</f>
        <v>0</v>
      </c>
      <c r="AP911" s="78" t="str">
        <f aca="false">IF(AO911=1,SUM(AO$7:AO911),"")</f>
        <v/>
      </c>
    </row>
    <row r="912" customFormat="false" ht="15" hidden="false" customHeight="false" outlineLevel="0" collapsed="false">
      <c r="A912" s="78" t="str">
        <f aca="false">IF(E912="","",ROW()-6)</f>
        <v/>
      </c>
      <c r="B912" s="79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1"/>
      <c r="Q912" s="81"/>
      <c r="R912" s="80"/>
      <c r="S912" s="80"/>
      <c r="T912" s="81"/>
      <c r="U912" s="80"/>
      <c r="V912" s="80"/>
      <c r="W912" s="80"/>
      <c r="X912" s="80"/>
      <c r="Y912" s="81"/>
      <c r="Z912" s="80"/>
      <c r="AA912" s="80"/>
      <c r="AB912" s="80"/>
      <c r="AC912" s="80"/>
      <c r="AD912" s="81"/>
      <c r="AE912" s="80"/>
      <c r="AF912" s="80"/>
      <c r="AG912" s="81"/>
      <c r="AH912" s="79"/>
      <c r="AI912" s="78" t="str">
        <f aca="false">IF(E912="","",(V912&lt;&gt;"")+(AA912&lt;&gt;"")+(AF912&lt;&gt;""))</f>
        <v/>
      </c>
      <c r="AJ912" s="82" t="str">
        <f aca="false">IF(AF912&lt;&gt;"",AF912,IF(AA912&lt;&gt;"",AA912,IF(V912&lt;&gt;"",V912,"")))</f>
        <v/>
      </c>
      <c r="AK912" s="83" t="str">
        <f aca="false">IF(E912="","",IF(P912="","À SOUDER",IF(S912="","VT EN ATTENTE",IF(S912="R","VT REJETÉ – À REPRENDRE",IF(AJ912="","À RADIOGRAPHIER",IF(AJ912="A","ACCEPTÉ",IF(AJ912="NX","NX – RT À REFAIRE",IF(IF(AI912=1,X912,IF(AI912=2,AC912,""))="A","RÉPARÉ – À RADIOGRAPHIER",IF(IF(AI912=1,X912,IF(AI912=2,AC912,""))="R","VT REJETÉ – À REPRENDRE",IF(AJ912="CO","COUPE – À RESOUDER","À RÉPARER"))))))))))</f>
        <v/>
      </c>
      <c r="AL912" s="82" t="str">
        <f aca="false">IF(AND(ISNUMBER(P912),OR(AK912="À RADIOGRAPHIER",AK912="RÉPARÉ – À RADIOGRAPHIER",AK912="NX – RT À REFAIRE",AK912="À RÉPARER",AK912="COUPE – À RESOUDER",AK912="VT REJETÉ – À REPRENDRE")),MAX(0,'PROGRAMME RT'!$C$4-P912),"")</f>
        <v/>
      </c>
      <c r="AM912" s="78" t="n">
        <f aca="false">IF(AND(OR(AK912="À RADIOGRAPHIER",AK912="RÉPARÉ – À RADIOGRAPHIER",AK912="NX – RT À REFAIRE"),OR('PROGRAMME RT'!$D$5="TOUTES",B912='PROGRAMME RT'!$D$5)),1,0)</f>
        <v>0</v>
      </c>
      <c r="AN912" s="78" t="str">
        <f aca="false">IF(AM912=1,SUM(AM$7:AM912),"")</f>
        <v/>
      </c>
      <c r="AO912" s="78" t="n">
        <f aca="false">IF(AND(OR(AK912="À RÉPARER",AK912="COUPE – À RESOUDER",AK912="VT REJETÉ – À REPRENDRE"),OR(RÉPARATIONS!$D$5="TOUTES",B912=RÉPARATIONS!$D$5)),1,0)</f>
        <v>0</v>
      </c>
      <c r="AP912" s="78" t="str">
        <f aca="false">IF(AO912=1,SUM(AO$7:AO912),"")</f>
        <v/>
      </c>
    </row>
    <row r="913" customFormat="false" ht="15" hidden="false" customHeight="false" outlineLevel="0" collapsed="false">
      <c r="A913" s="78" t="str">
        <f aca="false">IF(E913="","",ROW()-6)</f>
        <v/>
      </c>
      <c r="B913" s="79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1"/>
      <c r="Q913" s="81"/>
      <c r="R913" s="80"/>
      <c r="S913" s="80"/>
      <c r="T913" s="81"/>
      <c r="U913" s="80"/>
      <c r="V913" s="80"/>
      <c r="W913" s="80"/>
      <c r="X913" s="80"/>
      <c r="Y913" s="81"/>
      <c r="Z913" s="80"/>
      <c r="AA913" s="80"/>
      <c r="AB913" s="80"/>
      <c r="AC913" s="80"/>
      <c r="AD913" s="81"/>
      <c r="AE913" s="80"/>
      <c r="AF913" s="80"/>
      <c r="AG913" s="81"/>
      <c r="AH913" s="79"/>
      <c r="AI913" s="78" t="str">
        <f aca="false">IF(E913="","",(V913&lt;&gt;"")+(AA913&lt;&gt;"")+(AF913&lt;&gt;""))</f>
        <v/>
      </c>
      <c r="AJ913" s="82" t="str">
        <f aca="false">IF(AF913&lt;&gt;"",AF913,IF(AA913&lt;&gt;"",AA913,IF(V913&lt;&gt;"",V913,"")))</f>
        <v/>
      </c>
      <c r="AK913" s="83" t="str">
        <f aca="false">IF(E913="","",IF(P913="","À SOUDER",IF(S913="","VT EN ATTENTE",IF(S913="R","VT REJETÉ – À REPRENDRE",IF(AJ913="","À RADIOGRAPHIER",IF(AJ913="A","ACCEPTÉ",IF(AJ913="NX","NX – RT À REFAIRE",IF(IF(AI913=1,X913,IF(AI913=2,AC913,""))="A","RÉPARÉ – À RADIOGRAPHIER",IF(IF(AI913=1,X913,IF(AI913=2,AC913,""))="R","VT REJETÉ – À REPRENDRE",IF(AJ913="CO","COUPE – À RESOUDER","À RÉPARER"))))))))))</f>
        <v/>
      </c>
      <c r="AL913" s="82" t="str">
        <f aca="false">IF(AND(ISNUMBER(P913),OR(AK913="À RADIOGRAPHIER",AK913="RÉPARÉ – À RADIOGRAPHIER",AK913="NX – RT À REFAIRE",AK913="À RÉPARER",AK913="COUPE – À RESOUDER",AK913="VT REJETÉ – À REPRENDRE")),MAX(0,'PROGRAMME RT'!$C$4-P913),"")</f>
        <v/>
      </c>
      <c r="AM913" s="78" t="n">
        <f aca="false">IF(AND(OR(AK913="À RADIOGRAPHIER",AK913="RÉPARÉ – À RADIOGRAPHIER",AK913="NX – RT À REFAIRE"),OR('PROGRAMME RT'!$D$5="TOUTES",B913='PROGRAMME RT'!$D$5)),1,0)</f>
        <v>0</v>
      </c>
      <c r="AN913" s="78" t="str">
        <f aca="false">IF(AM913=1,SUM(AM$7:AM913),"")</f>
        <v/>
      </c>
      <c r="AO913" s="78" t="n">
        <f aca="false">IF(AND(OR(AK913="À RÉPARER",AK913="COUPE – À RESOUDER",AK913="VT REJETÉ – À REPRENDRE"),OR(RÉPARATIONS!$D$5="TOUTES",B913=RÉPARATIONS!$D$5)),1,0)</f>
        <v>0</v>
      </c>
      <c r="AP913" s="78" t="str">
        <f aca="false">IF(AO913=1,SUM(AO$7:AO913),"")</f>
        <v/>
      </c>
    </row>
    <row r="914" customFormat="false" ht="15" hidden="false" customHeight="false" outlineLevel="0" collapsed="false">
      <c r="A914" s="78" t="str">
        <f aca="false">IF(E914="","",ROW()-6)</f>
        <v/>
      </c>
      <c r="B914" s="79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1"/>
      <c r="Q914" s="81"/>
      <c r="R914" s="80"/>
      <c r="S914" s="80"/>
      <c r="T914" s="81"/>
      <c r="U914" s="80"/>
      <c r="V914" s="80"/>
      <c r="W914" s="80"/>
      <c r="X914" s="80"/>
      <c r="Y914" s="81"/>
      <c r="Z914" s="80"/>
      <c r="AA914" s="80"/>
      <c r="AB914" s="80"/>
      <c r="AC914" s="80"/>
      <c r="AD914" s="81"/>
      <c r="AE914" s="80"/>
      <c r="AF914" s="80"/>
      <c r="AG914" s="81"/>
      <c r="AH914" s="79"/>
      <c r="AI914" s="78" t="str">
        <f aca="false">IF(E914="","",(V914&lt;&gt;"")+(AA914&lt;&gt;"")+(AF914&lt;&gt;""))</f>
        <v/>
      </c>
      <c r="AJ914" s="82" t="str">
        <f aca="false">IF(AF914&lt;&gt;"",AF914,IF(AA914&lt;&gt;"",AA914,IF(V914&lt;&gt;"",V914,"")))</f>
        <v/>
      </c>
      <c r="AK914" s="83" t="str">
        <f aca="false">IF(E914="","",IF(P914="","À SOUDER",IF(S914="","VT EN ATTENTE",IF(S914="R","VT REJETÉ – À REPRENDRE",IF(AJ914="","À RADIOGRAPHIER",IF(AJ914="A","ACCEPTÉ",IF(AJ914="NX","NX – RT À REFAIRE",IF(IF(AI914=1,X914,IF(AI914=2,AC914,""))="A","RÉPARÉ – À RADIOGRAPHIER",IF(IF(AI914=1,X914,IF(AI914=2,AC914,""))="R","VT REJETÉ – À REPRENDRE",IF(AJ914="CO","COUPE – À RESOUDER","À RÉPARER"))))))))))</f>
        <v/>
      </c>
      <c r="AL914" s="82" t="str">
        <f aca="false">IF(AND(ISNUMBER(P914),OR(AK914="À RADIOGRAPHIER",AK914="RÉPARÉ – À RADIOGRAPHIER",AK914="NX – RT À REFAIRE",AK914="À RÉPARER",AK914="COUPE – À RESOUDER",AK914="VT REJETÉ – À REPRENDRE")),MAX(0,'PROGRAMME RT'!$C$4-P914),"")</f>
        <v/>
      </c>
      <c r="AM914" s="78" t="n">
        <f aca="false">IF(AND(OR(AK914="À RADIOGRAPHIER",AK914="RÉPARÉ – À RADIOGRAPHIER",AK914="NX – RT À REFAIRE"),OR('PROGRAMME RT'!$D$5="TOUTES",B914='PROGRAMME RT'!$D$5)),1,0)</f>
        <v>0</v>
      </c>
      <c r="AN914" s="78" t="str">
        <f aca="false">IF(AM914=1,SUM(AM$7:AM914),"")</f>
        <v/>
      </c>
      <c r="AO914" s="78" t="n">
        <f aca="false">IF(AND(OR(AK914="À RÉPARER",AK914="COUPE – À RESOUDER",AK914="VT REJETÉ – À REPRENDRE"),OR(RÉPARATIONS!$D$5="TOUTES",B914=RÉPARATIONS!$D$5)),1,0)</f>
        <v>0</v>
      </c>
      <c r="AP914" s="78" t="str">
        <f aca="false">IF(AO914=1,SUM(AO$7:AO914),"")</f>
        <v/>
      </c>
    </row>
    <row r="915" customFormat="false" ht="15" hidden="false" customHeight="false" outlineLevel="0" collapsed="false">
      <c r="A915" s="78" t="str">
        <f aca="false">IF(E915="","",ROW()-6)</f>
        <v/>
      </c>
      <c r="B915" s="79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1"/>
      <c r="Q915" s="81"/>
      <c r="R915" s="80"/>
      <c r="S915" s="80"/>
      <c r="T915" s="81"/>
      <c r="U915" s="80"/>
      <c r="V915" s="80"/>
      <c r="W915" s="80"/>
      <c r="X915" s="80"/>
      <c r="Y915" s="81"/>
      <c r="Z915" s="80"/>
      <c r="AA915" s="80"/>
      <c r="AB915" s="80"/>
      <c r="AC915" s="80"/>
      <c r="AD915" s="81"/>
      <c r="AE915" s="80"/>
      <c r="AF915" s="80"/>
      <c r="AG915" s="81"/>
      <c r="AH915" s="79"/>
      <c r="AI915" s="78" t="str">
        <f aca="false">IF(E915="","",(V915&lt;&gt;"")+(AA915&lt;&gt;"")+(AF915&lt;&gt;""))</f>
        <v/>
      </c>
      <c r="AJ915" s="82" t="str">
        <f aca="false">IF(AF915&lt;&gt;"",AF915,IF(AA915&lt;&gt;"",AA915,IF(V915&lt;&gt;"",V915,"")))</f>
        <v/>
      </c>
      <c r="AK915" s="83" t="str">
        <f aca="false">IF(E915="","",IF(P915="","À SOUDER",IF(S915="","VT EN ATTENTE",IF(S915="R","VT REJETÉ – À REPRENDRE",IF(AJ915="","À RADIOGRAPHIER",IF(AJ915="A","ACCEPTÉ",IF(AJ915="NX","NX – RT À REFAIRE",IF(IF(AI915=1,X915,IF(AI915=2,AC915,""))="A","RÉPARÉ – À RADIOGRAPHIER",IF(IF(AI915=1,X915,IF(AI915=2,AC915,""))="R","VT REJETÉ – À REPRENDRE",IF(AJ915="CO","COUPE – À RESOUDER","À RÉPARER"))))))))))</f>
        <v/>
      </c>
      <c r="AL915" s="82" t="str">
        <f aca="false">IF(AND(ISNUMBER(P915),OR(AK915="À RADIOGRAPHIER",AK915="RÉPARÉ – À RADIOGRAPHIER",AK915="NX – RT À REFAIRE",AK915="À RÉPARER",AK915="COUPE – À RESOUDER",AK915="VT REJETÉ – À REPRENDRE")),MAX(0,'PROGRAMME RT'!$C$4-P915),"")</f>
        <v/>
      </c>
      <c r="AM915" s="78" t="n">
        <f aca="false">IF(AND(OR(AK915="À RADIOGRAPHIER",AK915="RÉPARÉ – À RADIOGRAPHIER",AK915="NX – RT À REFAIRE"),OR('PROGRAMME RT'!$D$5="TOUTES",B915='PROGRAMME RT'!$D$5)),1,0)</f>
        <v>0</v>
      </c>
      <c r="AN915" s="78" t="str">
        <f aca="false">IF(AM915=1,SUM(AM$7:AM915),"")</f>
        <v/>
      </c>
      <c r="AO915" s="78" t="n">
        <f aca="false">IF(AND(OR(AK915="À RÉPARER",AK915="COUPE – À RESOUDER",AK915="VT REJETÉ – À REPRENDRE"),OR(RÉPARATIONS!$D$5="TOUTES",B915=RÉPARATIONS!$D$5)),1,0)</f>
        <v>0</v>
      </c>
      <c r="AP915" s="78" t="str">
        <f aca="false">IF(AO915=1,SUM(AO$7:AO915),"")</f>
        <v/>
      </c>
    </row>
    <row r="916" customFormat="false" ht="15" hidden="false" customHeight="false" outlineLevel="0" collapsed="false">
      <c r="A916" s="78" t="str">
        <f aca="false">IF(E916="","",ROW()-6)</f>
        <v/>
      </c>
      <c r="B916" s="79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1"/>
      <c r="Q916" s="81"/>
      <c r="R916" s="80"/>
      <c r="S916" s="80"/>
      <c r="T916" s="81"/>
      <c r="U916" s="80"/>
      <c r="V916" s="80"/>
      <c r="W916" s="80"/>
      <c r="X916" s="80"/>
      <c r="Y916" s="81"/>
      <c r="Z916" s="80"/>
      <c r="AA916" s="80"/>
      <c r="AB916" s="80"/>
      <c r="AC916" s="80"/>
      <c r="AD916" s="81"/>
      <c r="AE916" s="80"/>
      <c r="AF916" s="80"/>
      <c r="AG916" s="81"/>
      <c r="AH916" s="79"/>
      <c r="AI916" s="78" t="str">
        <f aca="false">IF(E916="","",(V916&lt;&gt;"")+(AA916&lt;&gt;"")+(AF916&lt;&gt;""))</f>
        <v/>
      </c>
      <c r="AJ916" s="82" t="str">
        <f aca="false">IF(AF916&lt;&gt;"",AF916,IF(AA916&lt;&gt;"",AA916,IF(V916&lt;&gt;"",V916,"")))</f>
        <v/>
      </c>
      <c r="AK916" s="83" t="str">
        <f aca="false">IF(E916="","",IF(P916="","À SOUDER",IF(S916="","VT EN ATTENTE",IF(S916="R","VT REJETÉ – À REPRENDRE",IF(AJ916="","À RADIOGRAPHIER",IF(AJ916="A","ACCEPTÉ",IF(AJ916="NX","NX – RT À REFAIRE",IF(IF(AI916=1,X916,IF(AI916=2,AC916,""))="A","RÉPARÉ – À RADIOGRAPHIER",IF(IF(AI916=1,X916,IF(AI916=2,AC916,""))="R","VT REJETÉ – À REPRENDRE",IF(AJ916="CO","COUPE – À RESOUDER","À RÉPARER"))))))))))</f>
        <v/>
      </c>
      <c r="AL916" s="82" t="str">
        <f aca="false">IF(AND(ISNUMBER(P916),OR(AK916="À RADIOGRAPHIER",AK916="RÉPARÉ – À RADIOGRAPHIER",AK916="NX – RT À REFAIRE",AK916="À RÉPARER",AK916="COUPE – À RESOUDER",AK916="VT REJETÉ – À REPRENDRE")),MAX(0,'PROGRAMME RT'!$C$4-P916),"")</f>
        <v/>
      </c>
      <c r="AM916" s="78" t="n">
        <f aca="false">IF(AND(OR(AK916="À RADIOGRAPHIER",AK916="RÉPARÉ – À RADIOGRAPHIER",AK916="NX – RT À REFAIRE"),OR('PROGRAMME RT'!$D$5="TOUTES",B916='PROGRAMME RT'!$D$5)),1,0)</f>
        <v>0</v>
      </c>
      <c r="AN916" s="78" t="str">
        <f aca="false">IF(AM916=1,SUM(AM$7:AM916),"")</f>
        <v/>
      </c>
      <c r="AO916" s="78" t="n">
        <f aca="false">IF(AND(OR(AK916="À RÉPARER",AK916="COUPE – À RESOUDER",AK916="VT REJETÉ – À REPRENDRE"),OR(RÉPARATIONS!$D$5="TOUTES",B916=RÉPARATIONS!$D$5)),1,0)</f>
        <v>0</v>
      </c>
      <c r="AP916" s="78" t="str">
        <f aca="false">IF(AO916=1,SUM(AO$7:AO916),"")</f>
        <v/>
      </c>
    </row>
    <row r="917" customFormat="false" ht="15" hidden="false" customHeight="false" outlineLevel="0" collapsed="false">
      <c r="A917" s="78" t="str">
        <f aca="false">IF(E917="","",ROW()-6)</f>
        <v/>
      </c>
      <c r="B917" s="79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1"/>
      <c r="Q917" s="81"/>
      <c r="R917" s="80"/>
      <c r="S917" s="80"/>
      <c r="T917" s="81"/>
      <c r="U917" s="80"/>
      <c r="V917" s="80"/>
      <c r="W917" s="80"/>
      <c r="X917" s="80"/>
      <c r="Y917" s="81"/>
      <c r="Z917" s="80"/>
      <c r="AA917" s="80"/>
      <c r="AB917" s="80"/>
      <c r="AC917" s="80"/>
      <c r="AD917" s="81"/>
      <c r="AE917" s="80"/>
      <c r="AF917" s="80"/>
      <c r="AG917" s="81"/>
      <c r="AH917" s="79"/>
      <c r="AI917" s="78" t="str">
        <f aca="false">IF(E917="","",(V917&lt;&gt;"")+(AA917&lt;&gt;"")+(AF917&lt;&gt;""))</f>
        <v/>
      </c>
      <c r="AJ917" s="82" t="str">
        <f aca="false">IF(AF917&lt;&gt;"",AF917,IF(AA917&lt;&gt;"",AA917,IF(V917&lt;&gt;"",V917,"")))</f>
        <v/>
      </c>
      <c r="AK917" s="83" t="str">
        <f aca="false">IF(E917="","",IF(P917="","À SOUDER",IF(S917="","VT EN ATTENTE",IF(S917="R","VT REJETÉ – À REPRENDRE",IF(AJ917="","À RADIOGRAPHIER",IF(AJ917="A","ACCEPTÉ",IF(AJ917="NX","NX – RT À REFAIRE",IF(IF(AI917=1,X917,IF(AI917=2,AC917,""))="A","RÉPARÉ – À RADIOGRAPHIER",IF(IF(AI917=1,X917,IF(AI917=2,AC917,""))="R","VT REJETÉ – À REPRENDRE",IF(AJ917="CO","COUPE – À RESOUDER","À RÉPARER"))))))))))</f>
        <v/>
      </c>
      <c r="AL917" s="82" t="str">
        <f aca="false">IF(AND(ISNUMBER(P917),OR(AK917="À RADIOGRAPHIER",AK917="RÉPARÉ – À RADIOGRAPHIER",AK917="NX – RT À REFAIRE",AK917="À RÉPARER",AK917="COUPE – À RESOUDER",AK917="VT REJETÉ – À REPRENDRE")),MAX(0,'PROGRAMME RT'!$C$4-P917),"")</f>
        <v/>
      </c>
      <c r="AM917" s="78" t="n">
        <f aca="false">IF(AND(OR(AK917="À RADIOGRAPHIER",AK917="RÉPARÉ – À RADIOGRAPHIER",AK917="NX – RT À REFAIRE"),OR('PROGRAMME RT'!$D$5="TOUTES",B917='PROGRAMME RT'!$D$5)),1,0)</f>
        <v>0</v>
      </c>
      <c r="AN917" s="78" t="str">
        <f aca="false">IF(AM917=1,SUM(AM$7:AM917),"")</f>
        <v/>
      </c>
      <c r="AO917" s="78" t="n">
        <f aca="false">IF(AND(OR(AK917="À RÉPARER",AK917="COUPE – À RESOUDER",AK917="VT REJETÉ – À REPRENDRE"),OR(RÉPARATIONS!$D$5="TOUTES",B917=RÉPARATIONS!$D$5)),1,0)</f>
        <v>0</v>
      </c>
      <c r="AP917" s="78" t="str">
        <f aca="false">IF(AO917=1,SUM(AO$7:AO917),"")</f>
        <v/>
      </c>
    </row>
    <row r="918" customFormat="false" ht="15" hidden="false" customHeight="false" outlineLevel="0" collapsed="false">
      <c r="A918" s="78" t="str">
        <f aca="false">IF(E918="","",ROW()-6)</f>
        <v/>
      </c>
      <c r="B918" s="79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1"/>
      <c r="Q918" s="81"/>
      <c r="R918" s="80"/>
      <c r="S918" s="80"/>
      <c r="T918" s="81"/>
      <c r="U918" s="80"/>
      <c r="V918" s="80"/>
      <c r="W918" s="80"/>
      <c r="X918" s="80"/>
      <c r="Y918" s="81"/>
      <c r="Z918" s="80"/>
      <c r="AA918" s="80"/>
      <c r="AB918" s="80"/>
      <c r="AC918" s="80"/>
      <c r="AD918" s="81"/>
      <c r="AE918" s="80"/>
      <c r="AF918" s="80"/>
      <c r="AG918" s="81"/>
      <c r="AH918" s="79"/>
      <c r="AI918" s="78" t="str">
        <f aca="false">IF(E918="","",(V918&lt;&gt;"")+(AA918&lt;&gt;"")+(AF918&lt;&gt;""))</f>
        <v/>
      </c>
      <c r="AJ918" s="82" t="str">
        <f aca="false">IF(AF918&lt;&gt;"",AF918,IF(AA918&lt;&gt;"",AA918,IF(V918&lt;&gt;"",V918,"")))</f>
        <v/>
      </c>
      <c r="AK918" s="83" t="str">
        <f aca="false">IF(E918="","",IF(P918="","À SOUDER",IF(S918="","VT EN ATTENTE",IF(S918="R","VT REJETÉ – À REPRENDRE",IF(AJ918="","À RADIOGRAPHIER",IF(AJ918="A","ACCEPTÉ",IF(AJ918="NX","NX – RT À REFAIRE",IF(IF(AI918=1,X918,IF(AI918=2,AC918,""))="A","RÉPARÉ – À RADIOGRAPHIER",IF(IF(AI918=1,X918,IF(AI918=2,AC918,""))="R","VT REJETÉ – À REPRENDRE",IF(AJ918="CO","COUPE – À RESOUDER","À RÉPARER"))))))))))</f>
        <v/>
      </c>
      <c r="AL918" s="82" t="str">
        <f aca="false">IF(AND(ISNUMBER(P918),OR(AK918="À RADIOGRAPHIER",AK918="RÉPARÉ – À RADIOGRAPHIER",AK918="NX – RT À REFAIRE",AK918="À RÉPARER",AK918="COUPE – À RESOUDER",AK918="VT REJETÉ – À REPRENDRE")),MAX(0,'PROGRAMME RT'!$C$4-P918),"")</f>
        <v/>
      </c>
      <c r="AM918" s="78" t="n">
        <f aca="false">IF(AND(OR(AK918="À RADIOGRAPHIER",AK918="RÉPARÉ – À RADIOGRAPHIER",AK918="NX – RT À REFAIRE"),OR('PROGRAMME RT'!$D$5="TOUTES",B918='PROGRAMME RT'!$D$5)),1,0)</f>
        <v>0</v>
      </c>
      <c r="AN918" s="78" t="str">
        <f aca="false">IF(AM918=1,SUM(AM$7:AM918),"")</f>
        <v/>
      </c>
      <c r="AO918" s="78" t="n">
        <f aca="false">IF(AND(OR(AK918="À RÉPARER",AK918="COUPE – À RESOUDER",AK918="VT REJETÉ – À REPRENDRE"),OR(RÉPARATIONS!$D$5="TOUTES",B918=RÉPARATIONS!$D$5)),1,0)</f>
        <v>0</v>
      </c>
      <c r="AP918" s="78" t="str">
        <f aca="false">IF(AO918=1,SUM(AO$7:AO918),"")</f>
        <v/>
      </c>
    </row>
    <row r="919" customFormat="false" ht="15" hidden="false" customHeight="false" outlineLevel="0" collapsed="false">
      <c r="A919" s="78" t="str">
        <f aca="false">IF(E919="","",ROW()-6)</f>
        <v/>
      </c>
      <c r="B919" s="79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1"/>
      <c r="Q919" s="81"/>
      <c r="R919" s="80"/>
      <c r="S919" s="80"/>
      <c r="T919" s="81"/>
      <c r="U919" s="80"/>
      <c r="V919" s="80"/>
      <c r="W919" s="80"/>
      <c r="X919" s="80"/>
      <c r="Y919" s="81"/>
      <c r="Z919" s="80"/>
      <c r="AA919" s="80"/>
      <c r="AB919" s="80"/>
      <c r="AC919" s="80"/>
      <c r="AD919" s="81"/>
      <c r="AE919" s="80"/>
      <c r="AF919" s="80"/>
      <c r="AG919" s="81"/>
      <c r="AH919" s="79"/>
      <c r="AI919" s="78" t="str">
        <f aca="false">IF(E919="","",(V919&lt;&gt;"")+(AA919&lt;&gt;"")+(AF919&lt;&gt;""))</f>
        <v/>
      </c>
      <c r="AJ919" s="82" t="str">
        <f aca="false">IF(AF919&lt;&gt;"",AF919,IF(AA919&lt;&gt;"",AA919,IF(V919&lt;&gt;"",V919,"")))</f>
        <v/>
      </c>
      <c r="AK919" s="83" t="str">
        <f aca="false">IF(E919="","",IF(P919="","À SOUDER",IF(S919="","VT EN ATTENTE",IF(S919="R","VT REJETÉ – À REPRENDRE",IF(AJ919="","À RADIOGRAPHIER",IF(AJ919="A","ACCEPTÉ",IF(AJ919="NX","NX – RT À REFAIRE",IF(IF(AI919=1,X919,IF(AI919=2,AC919,""))="A","RÉPARÉ – À RADIOGRAPHIER",IF(IF(AI919=1,X919,IF(AI919=2,AC919,""))="R","VT REJETÉ – À REPRENDRE",IF(AJ919="CO","COUPE – À RESOUDER","À RÉPARER"))))))))))</f>
        <v/>
      </c>
      <c r="AL919" s="82" t="str">
        <f aca="false">IF(AND(ISNUMBER(P919),OR(AK919="À RADIOGRAPHIER",AK919="RÉPARÉ – À RADIOGRAPHIER",AK919="NX – RT À REFAIRE",AK919="À RÉPARER",AK919="COUPE – À RESOUDER",AK919="VT REJETÉ – À REPRENDRE")),MAX(0,'PROGRAMME RT'!$C$4-P919),"")</f>
        <v/>
      </c>
      <c r="AM919" s="78" t="n">
        <f aca="false">IF(AND(OR(AK919="À RADIOGRAPHIER",AK919="RÉPARÉ – À RADIOGRAPHIER",AK919="NX – RT À REFAIRE"),OR('PROGRAMME RT'!$D$5="TOUTES",B919='PROGRAMME RT'!$D$5)),1,0)</f>
        <v>0</v>
      </c>
      <c r="AN919" s="78" t="str">
        <f aca="false">IF(AM919=1,SUM(AM$7:AM919),"")</f>
        <v/>
      </c>
      <c r="AO919" s="78" t="n">
        <f aca="false">IF(AND(OR(AK919="À RÉPARER",AK919="COUPE – À RESOUDER",AK919="VT REJETÉ – À REPRENDRE"),OR(RÉPARATIONS!$D$5="TOUTES",B919=RÉPARATIONS!$D$5)),1,0)</f>
        <v>0</v>
      </c>
      <c r="AP919" s="78" t="str">
        <f aca="false">IF(AO919=1,SUM(AO$7:AO919),"")</f>
        <v/>
      </c>
    </row>
    <row r="920" customFormat="false" ht="15" hidden="false" customHeight="false" outlineLevel="0" collapsed="false">
      <c r="A920" s="78" t="str">
        <f aca="false">IF(E920="","",ROW()-6)</f>
        <v/>
      </c>
      <c r="B920" s="79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1"/>
      <c r="Q920" s="81"/>
      <c r="R920" s="80"/>
      <c r="S920" s="80"/>
      <c r="T920" s="81"/>
      <c r="U920" s="80"/>
      <c r="V920" s="80"/>
      <c r="W920" s="80"/>
      <c r="X920" s="80"/>
      <c r="Y920" s="81"/>
      <c r="Z920" s="80"/>
      <c r="AA920" s="80"/>
      <c r="AB920" s="80"/>
      <c r="AC920" s="80"/>
      <c r="AD920" s="81"/>
      <c r="AE920" s="80"/>
      <c r="AF920" s="80"/>
      <c r="AG920" s="81"/>
      <c r="AH920" s="79"/>
      <c r="AI920" s="78" t="str">
        <f aca="false">IF(E920="","",(V920&lt;&gt;"")+(AA920&lt;&gt;"")+(AF920&lt;&gt;""))</f>
        <v/>
      </c>
      <c r="AJ920" s="82" t="str">
        <f aca="false">IF(AF920&lt;&gt;"",AF920,IF(AA920&lt;&gt;"",AA920,IF(V920&lt;&gt;"",V920,"")))</f>
        <v/>
      </c>
      <c r="AK920" s="83" t="str">
        <f aca="false">IF(E920="","",IF(P920="","À SOUDER",IF(S920="","VT EN ATTENTE",IF(S920="R","VT REJETÉ – À REPRENDRE",IF(AJ920="","À RADIOGRAPHIER",IF(AJ920="A","ACCEPTÉ",IF(AJ920="NX","NX – RT À REFAIRE",IF(IF(AI920=1,X920,IF(AI920=2,AC920,""))="A","RÉPARÉ – À RADIOGRAPHIER",IF(IF(AI920=1,X920,IF(AI920=2,AC920,""))="R","VT REJETÉ – À REPRENDRE",IF(AJ920="CO","COUPE – À RESOUDER","À RÉPARER"))))))))))</f>
        <v/>
      </c>
      <c r="AL920" s="82" t="str">
        <f aca="false">IF(AND(ISNUMBER(P920),OR(AK920="À RADIOGRAPHIER",AK920="RÉPARÉ – À RADIOGRAPHIER",AK920="NX – RT À REFAIRE",AK920="À RÉPARER",AK920="COUPE – À RESOUDER",AK920="VT REJETÉ – À REPRENDRE")),MAX(0,'PROGRAMME RT'!$C$4-P920),"")</f>
        <v/>
      </c>
      <c r="AM920" s="78" t="n">
        <f aca="false">IF(AND(OR(AK920="À RADIOGRAPHIER",AK920="RÉPARÉ – À RADIOGRAPHIER",AK920="NX – RT À REFAIRE"),OR('PROGRAMME RT'!$D$5="TOUTES",B920='PROGRAMME RT'!$D$5)),1,0)</f>
        <v>0</v>
      </c>
      <c r="AN920" s="78" t="str">
        <f aca="false">IF(AM920=1,SUM(AM$7:AM920),"")</f>
        <v/>
      </c>
      <c r="AO920" s="78" t="n">
        <f aca="false">IF(AND(OR(AK920="À RÉPARER",AK920="COUPE – À RESOUDER",AK920="VT REJETÉ – À REPRENDRE"),OR(RÉPARATIONS!$D$5="TOUTES",B920=RÉPARATIONS!$D$5)),1,0)</f>
        <v>0</v>
      </c>
      <c r="AP920" s="78" t="str">
        <f aca="false">IF(AO920=1,SUM(AO$7:AO920),"")</f>
        <v/>
      </c>
    </row>
    <row r="921" customFormat="false" ht="15" hidden="false" customHeight="false" outlineLevel="0" collapsed="false">
      <c r="A921" s="78" t="str">
        <f aca="false">IF(E921="","",ROW()-6)</f>
        <v/>
      </c>
      <c r="B921" s="79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1"/>
      <c r="Q921" s="81"/>
      <c r="R921" s="80"/>
      <c r="S921" s="80"/>
      <c r="T921" s="81"/>
      <c r="U921" s="80"/>
      <c r="V921" s="80"/>
      <c r="W921" s="80"/>
      <c r="X921" s="80"/>
      <c r="Y921" s="81"/>
      <c r="Z921" s="80"/>
      <c r="AA921" s="80"/>
      <c r="AB921" s="80"/>
      <c r="AC921" s="80"/>
      <c r="AD921" s="81"/>
      <c r="AE921" s="80"/>
      <c r="AF921" s="80"/>
      <c r="AG921" s="81"/>
      <c r="AH921" s="79"/>
      <c r="AI921" s="78" t="str">
        <f aca="false">IF(E921="","",(V921&lt;&gt;"")+(AA921&lt;&gt;"")+(AF921&lt;&gt;""))</f>
        <v/>
      </c>
      <c r="AJ921" s="82" t="str">
        <f aca="false">IF(AF921&lt;&gt;"",AF921,IF(AA921&lt;&gt;"",AA921,IF(V921&lt;&gt;"",V921,"")))</f>
        <v/>
      </c>
      <c r="AK921" s="83" t="str">
        <f aca="false">IF(E921="","",IF(P921="","À SOUDER",IF(S921="","VT EN ATTENTE",IF(S921="R","VT REJETÉ – À REPRENDRE",IF(AJ921="","À RADIOGRAPHIER",IF(AJ921="A","ACCEPTÉ",IF(AJ921="NX","NX – RT À REFAIRE",IF(IF(AI921=1,X921,IF(AI921=2,AC921,""))="A","RÉPARÉ – À RADIOGRAPHIER",IF(IF(AI921=1,X921,IF(AI921=2,AC921,""))="R","VT REJETÉ – À REPRENDRE",IF(AJ921="CO","COUPE – À RESOUDER","À RÉPARER"))))))))))</f>
        <v/>
      </c>
      <c r="AL921" s="82" t="str">
        <f aca="false">IF(AND(ISNUMBER(P921),OR(AK921="À RADIOGRAPHIER",AK921="RÉPARÉ – À RADIOGRAPHIER",AK921="NX – RT À REFAIRE",AK921="À RÉPARER",AK921="COUPE – À RESOUDER",AK921="VT REJETÉ – À REPRENDRE")),MAX(0,'PROGRAMME RT'!$C$4-P921),"")</f>
        <v/>
      </c>
      <c r="AM921" s="78" t="n">
        <f aca="false">IF(AND(OR(AK921="À RADIOGRAPHIER",AK921="RÉPARÉ – À RADIOGRAPHIER",AK921="NX – RT À REFAIRE"),OR('PROGRAMME RT'!$D$5="TOUTES",B921='PROGRAMME RT'!$D$5)),1,0)</f>
        <v>0</v>
      </c>
      <c r="AN921" s="78" t="str">
        <f aca="false">IF(AM921=1,SUM(AM$7:AM921),"")</f>
        <v/>
      </c>
      <c r="AO921" s="78" t="n">
        <f aca="false">IF(AND(OR(AK921="À RÉPARER",AK921="COUPE – À RESOUDER",AK921="VT REJETÉ – À REPRENDRE"),OR(RÉPARATIONS!$D$5="TOUTES",B921=RÉPARATIONS!$D$5)),1,0)</f>
        <v>0</v>
      </c>
      <c r="AP921" s="78" t="str">
        <f aca="false">IF(AO921=1,SUM(AO$7:AO921),"")</f>
        <v/>
      </c>
    </row>
    <row r="922" customFormat="false" ht="15" hidden="false" customHeight="false" outlineLevel="0" collapsed="false">
      <c r="A922" s="78" t="str">
        <f aca="false">IF(E922="","",ROW()-6)</f>
        <v/>
      </c>
      <c r="B922" s="79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1"/>
      <c r="Q922" s="81"/>
      <c r="R922" s="80"/>
      <c r="S922" s="80"/>
      <c r="T922" s="81"/>
      <c r="U922" s="80"/>
      <c r="V922" s="80"/>
      <c r="W922" s="80"/>
      <c r="X922" s="80"/>
      <c r="Y922" s="81"/>
      <c r="Z922" s="80"/>
      <c r="AA922" s="80"/>
      <c r="AB922" s="80"/>
      <c r="AC922" s="80"/>
      <c r="AD922" s="81"/>
      <c r="AE922" s="80"/>
      <c r="AF922" s="80"/>
      <c r="AG922" s="81"/>
      <c r="AH922" s="79"/>
      <c r="AI922" s="78" t="str">
        <f aca="false">IF(E922="","",(V922&lt;&gt;"")+(AA922&lt;&gt;"")+(AF922&lt;&gt;""))</f>
        <v/>
      </c>
      <c r="AJ922" s="82" t="str">
        <f aca="false">IF(AF922&lt;&gt;"",AF922,IF(AA922&lt;&gt;"",AA922,IF(V922&lt;&gt;"",V922,"")))</f>
        <v/>
      </c>
      <c r="AK922" s="83" t="str">
        <f aca="false">IF(E922="","",IF(P922="","À SOUDER",IF(S922="","VT EN ATTENTE",IF(S922="R","VT REJETÉ – À REPRENDRE",IF(AJ922="","À RADIOGRAPHIER",IF(AJ922="A","ACCEPTÉ",IF(AJ922="NX","NX – RT À REFAIRE",IF(IF(AI922=1,X922,IF(AI922=2,AC922,""))="A","RÉPARÉ – À RADIOGRAPHIER",IF(IF(AI922=1,X922,IF(AI922=2,AC922,""))="R","VT REJETÉ – À REPRENDRE",IF(AJ922="CO","COUPE – À RESOUDER","À RÉPARER"))))))))))</f>
        <v/>
      </c>
      <c r="AL922" s="82" t="str">
        <f aca="false">IF(AND(ISNUMBER(P922),OR(AK922="À RADIOGRAPHIER",AK922="RÉPARÉ – À RADIOGRAPHIER",AK922="NX – RT À REFAIRE",AK922="À RÉPARER",AK922="COUPE – À RESOUDER",AK922="VT REJETÉ – À REPRENDRE")),MAX(0,'PROGRAMME RT'!$C$4-P922),"")</f>
        <v/>
      </c>
      <c r="AM922" s="78" t="n">
        <f aca="false">IF(AND(OR(AK922="À RADIOGRAPHIER",AK922="RÉPARÉ – À RADIOGRAPHIER",AK922="NX – RT À REFAIRE"),OR('PROGRAMME RT'!$D$5="TOUTES",B922='PROGRAMME RT'!$D$5)),1,0)</f>
        <v>0</v>
      </c>
      <c r="AN922" s="78" t="str">
        <f aca="false">IF(AM922=1,SUM(AM$7:AM922),"")</f>
        <v/>
      </c>
      <c r="AO922" s="78" t="n">
        <f aca="false">IF(AND(OR(AK922="À RÉPARER",AK922="COUPE – À RESOUDER",AK922="VT REJETÉ – À REPRENDRE"),OR(RÉPARATIONS!$D$5="TOUTES",B922=RÉPARATIONS!$D$5)),1,0)</f>
        <v>0</v>
      </c>
      <c r="AP922" s="78" t="str">
        <f aca="false">IF(AO922=1,SUM(AO$7:AO922),"")</f>
        <v/>
      </c>
    </row>
    <row r="923" customFormat="false" ht="15" hidden="false" customHeight="false" outlineLevel="0" collapsed="false">
      <c r="A923" s="78" t="str">
        <f aca="false">IF(E923="","",ROW()-6)</f>
        <v/>
      </c>
      <c r="B923" s="79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1"/>
      <c r="Q923" s="81"/>
      <c r="R923" s="80"/>
      <c r="S923" s="80"/>
      <c r="T923" s="81"/>
      <c r="U923" s="80"/>
      <c r="V923" s="80"/>
      <c r="W923" s="80"/>
      <c r="X923" s="80"/>
      <c r="Y923" s="81"/>
      <c r="Z923" s="80"/>
      <c r="AA923" s="80"/>
      <c r="AB923" s="80"/>
      <c r="AC923" s="80"/>
      <c r="AD923" s="81"/>
      <c r="AE923" s="80"/>
      <c r="AF923" s="80"/>
      <c r="AG923" s="81"/>
      <c r="AH923" s="79"/>
      <c r="AI923" s="78" t="str">
        <f aca="false">IF(E923="","",(V923&lt;&gt;"")+(AA923&lt;&gt;"")+(AF923&lt;&gt;""))</f>
        <v/>
      </c>
      <c r="AJ923" s="82" t="str">
        <f aca="false">IF(AF923&lt;&gt;"",AF923,IF(AA923&lt;&gt;"",AA923,IF(V923&lt;&gt;"",V923,"")))</f>
        <v/>
      </c>
      <c r="AK923" s="83" t="str">
        <f aca="false">IF(E923="","",IF(P923="","À SOUDER",IF(S923="","VT EN ATTENTE",IF(S923="R","VT REJETÉ – À REPRENDRE",IF(AJ923="","À RADIOGRAPHIER",IF(AJ923="A","ACCEPTÉ",IF(AJ923="NX","NX – RT À REFAIRE",IF(IF(AI923=1,X923,IF(AI923=2,AC923,""))="A","RÉPARÉ – À RADIOGRAPHIER",IF(IF(AI923=1,X923,IF(AI923=2,AC923,""))="R","VT REJETÉ – À REPRENDRE",IF(AJ923="CO","COUPE – À RESOUDER","À RÉPARER"))))))))))</f>
        <v/>
      </c>
      <c r="AL923" s="82" t="str">
        <f aca="false">IF(AND(ISNUMBER(P923),OR(AK923="À RADIOGRAPHIER",AK923="RÉPARÉ – À RADIOGRAPHIER",AK923="NX – RT À REFAIRE",AK923="À RÉPARER",AK923="COUPE – À RESOUDER",AK923="VT REJETÉ – À REPRENDRE")),MAX(0,'PROGRAMME RT'!$C$4-P923),"")</f>
        <v/>
      </c>
      <c r="AM923" s="78" t="n">
        <f aca="false">IF(AND(OR(AK923="À RADIOGRAPHIER",AK923="RÉPARÉ – À RADIOGRAPHIER",AK923="NX – RT À REFAIRE"),OR('PROGRAMME RT'!$D$5="TOUTES",B923='PROGRAMME RT'!$D$5)),1,0)</f>
        <v>0</v>
      </c>
      <c r="AN923" s="78" t="str">
        <f aca="false">IF(AM923=1,SUM(AM$7:AM923),"")</f>
        <v/>
      </c>
      <c r="AO923" s="78" t="n">
        <f aca="false">IF(AND(OR(AK923="À RÉPARER",AK923="COUPE – À RESOUDER",AK923="VT REJETÉ – À REPRENDRE"),OR(RÉPARATIONS!$D$5="TOUTES",B923=RÉPARATIONS!$D$5)),1,0)</f>
        <v>0</v>
      </c>
      <c r="AP923" s="78" t="str">
        <f aca="false">IF(AO923=1,SUM(AO$7:AO923),"")</f>
        <v/>
      </c>
    </row>
    <row r="924" customFormat="false" ht="15" hidden="false" customHeight="false" outlineLevel="0" collapsed="false">
      <c r="A924" s="78" t="str">
        <f aca="false">IF(E924="","",ROW()-6)</f>
        <v/>
      </c>
      <c r="B924" s="79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1"/>
      <c r="Q924" s="81"/>
      <c r="R924" s="80"/>
      <c r="S924" s="80"/>
      <c r="T924" s="81"/>
      <c r="U924" s="80"/>
      <c r="V924" s="80"/>
      <c r="W924" s="80"/>
      <c r="X924" s="80"/>
      <c r="Y924" s="81"/>
      <c r="Z924" s="80"/>
      <c r="AA924" s="80"/>
      <c r="AB924" s="80"/>
      <c r="AC924" s="80"/>
      <c r="AD924" s="81"/>
      <c r="AE924" s="80"/>
      <c r="AF924" s="80"/>
      <c r="AG924" s="81"/>
      <c r="AH924" s="79"/>
      <c r="AI924" s="78" t="str">
        <f aca="false">IF(E924="","",(V924&lt;&gt;"")+(AA924&lt;&gt;"")+(AF924&lt;&gt;""))</f>
        <v/>
      </c>
      <c r="AJ924" s="82" t="str">
        <f aca="false">IF(AF924&lt;&gt;"",AF924,IF(AA924&lt;&gt;"",AA924,IF(V924&lt;&gt;"",V924,"")))</f>
        <v/>
      </c>
      <c r="AK924" s="83" t="str">
        <f aca="false">IF(E924="","",IF(P924="","À SOUDER",IF(S924="","VT EN ATTENTE",IF(S924="R","VT REJETÉ – À REPRENDRE",IF(AJ924="","À RADIOGRAPHIER",IF(AJ924="A","ACCEPTÉ",IF(AJ924="NX","NX – RT À REFAIRE",IF(IF(AI924=1,X924,IF(AI924=2,AC924,""))="A","RÉPARÉ – À RADIOGRAPHIER",IF(IF(AI924=1,X924,IF(AI924=2,AC924,""))="R","VT REJETÉ – À REPRENDRE",IF(AJ924="CO","COUPE – À RESOUDER","À RÉPARER"))))))))))</f>
        <v/>
      </c>
      <c r="AL924" s="82" t="str">
        <f aca="false">IF(AND(ISNUMBER(P924),OR(AK924="À RADIOGRAPHIER",AK924="RÉPARÉ – À RADIOGRAPHIER",AK924="NX – RT À REFAIRE",AK924="À RÉPARER",AK924="COUPE – À RESOUDER",AK924="VT REJETÉ – À REPRENDRE")),MAX(0,'PROGRAMME RT'!$C$4-P924),"")</f>
        <v/>
      </c>
      <c r="AM924" s="78" t="n">
        <f aca="false">IF(AND(OR(AK924="À RADIOGRAPHIER",AK924="RÉPARÉ – À RADIOGRAPHIER",AK924="NX – RT À REFAIRE"),OR('PROGRAMME RT'!$D$5="TOUTES",B924='PROGRAMME RT'!$D$5)),1,0)</f>
        <v>0</v>
      </c>
      <c r="AN924" s="78" t="str">
        <f aca="false">IF(AM924=1,SUM(AM$7:AM924),"")</f>
        <v/>
      </c>
      <c r="AO924" s="78" t="n">
        <f aca="false">IF(AND(OR(AK924="À RÉPARER",AK924="COUPE – À RESOUDER",AK924="VT REJETÉ – À REPRENDRE"),OR(RÉPARATIONS!$D$5="TOUTES",B924=RÉPARATIONS!$D$5)),1,0)</f>
        <v>0</v>
      </c>
      <c r="AP924" s="78" t="str">
        <f aca="false">IF(AO924=1,SUM(AO$7:AO924),"")</f>
        <v/>
      </c>
    </row>
    <row r="925" customFormat="false" ht="15" hidden="false" customHeight="false" outlineLevel="0" collapsed="false">
      <c r="A925" s="78" t="str">
        <f aca="false">IF(E925="","",ROW()-6)</f>
        <v/>
      </c>
      <c r="B925" s="79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1"/>
      <c r="Q925" s="81"/>
      <c r="R925" s="80"/>
      <c r="S925" s="80"/>
      <c r="T925" s="81"/>
      <c r="U925" s="80"/>
      <c r="V925" s="80"/>
      <c r="W925" s="80"/>
      <c r="X925" s="80"/>
      <c r="Y925" s="81"/>
      <c r="Z925" s="80"/>
      <c r="AA925" s="80"/>
      <c r="AB925" s="80"/>
      <c r="AC925" s="80"/>
      <c r="AD925" s="81"/>
      <c r="AE925" s="80"/>
      <c r="AF925" s="80"/>
      <c r="AG925" s="81"/>
      <c r="AH925" s="79"/>
      <c r="AI925" s="78" t="str">
        <f aca="false">IF(E925="","",(V925&lt;&gt;"")+(AA925&lt;&gt;"")+(AF925&lt;&gt;""))</f>
        <v/>
      </c>
      <c r="AJ925" s="82" t="str">
        <f aca="false">IF(AF925&lt;&gt;"",AF925,IF(AA925&lt;&gt;"",AA925,IF(V925&lt;&gt;"",V925,"")))</f>
        <v/>
      </c>
      <c r="AK925" s="83" t="str">
        <f aca="false">IF(E925="","",IF(P925="","À SOUDER",IF(S925="","VT EN ATTENTE",IF(S925="R","VT REJETÉ – À REPRENDRE",IF(AJ925="","À RADIOGRAPHIER",IF(AJ925="A","ACCEPTÉ",IF(AJ925="NX","NX – RT À REFAIRE",IF(IF(AI925=1,X925,IF(AI925=2,AC925,""))="A","RÉPARÉ – À RADIOGRAPHIER",IF(IF(AI925=1,X925,IF(AI925=2,AC925,""))="R","VT REJETÉ – À REPRENDRE",IF(AJ925="CO","COUPE – À RESOUDER","À RÉPARER"))))))))))</f>
        <v/>
      </c>
      <c r="AL925" s="82" t="str">
        <f aca="false">IF(AND(ISNUMBER(P925),OR(AK925="À RADIOGRAPHIER",AK925="RÉPARÉ – À RADIOGRAPHIER",AK925="NX – RT À REFAIRE",AK925="À RÉPARER",AK925="COUPE – À RESOUDER",AK925="VT REJETÉ – À REPRENDRE")),MAX(0,'PROGRAMME RT'!$C$4-P925),"")</f>
        <v/>
      </c>
      <c r="AM925" s="78" t="n">
        <f aca="false">IF(AND(OR(AK925="À RADIOGRAPHIER",AK925="RÉPARÉ – À RADIOGRAPHIER",AK925="NX – RT À REFAIRE"),OR('PROGRAMME RT'!$D$5="TOUTES",B925='PROGRAMME RT'!$D$5)),1,0)</f>
        <v>0</v>
      </c>
      <c r="AN925" s="78" t="str">
        <f aca="false">IF(AM925=1,SUM(AM$7:AM925),"")</f>
        <v/>
      </c>
      <c r="AO925" s="78" t="n">
        <f aca="false">IF(AND(OR(AK925="À RÉPARER",AK925="COUPE – À RESOUDER",AK925="VT REJETÉ – À REPRENDRE"),OR(RÉPARATIONS!$D$5="TOUTES",B925=RÉPARATIONS!$D$5)),1,0)</f>
        <v>0</v>
      </c>
      <c r="AP925" s="78" t="str">
        <f aca="false">IF(AO925=1,SUM(AO$7:AO925),"")</f>
        <v/>
      </c>
    </row>
    <row r="926" customFormat="false" ht="15" hidden="false" customHeight="false" outlineLevel="0" collapsed="false">
      <c r="A926" s="78" t="str">
        <f aca="false">IF(E926="","",ROW()-6)</f>
        <v/>
      </c>
      <c r="B926" s="79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1"/>
      <c r="Q926" s="81"/>
      <c r="R926" s="80"/>
      <c r="S926" s="80"/>
      <c r="T926" s="81"/>
      <c r="U926" s="80"/>
      <c r="V926" s="80"/>
      <c r="W926" s="80"/>
      <c r="X926" s="80"/>
      <c r="Y926" s="81"/>
      <c r="Z926" s="80"/>
      <c r="AA926" s="80"/>
      <c r="AB926" s="80"/>
      <c r="AC926" s="80"/>
      <c r="AD926" s="81"/>
      <c r="AE926" s="80"/>
      <c r="AF926" s="80"/>
      <c r="AG926" s="81"/>
      <c r="AH926" s="79"/>
      <c r="AI926" s="78" t="str">
        <f aca="false">IF(E926="","",(V926&lt;&gt;"")+(AA926&lt;&gt;"")+(AF926&lt;&gt;""))</f>
        <v/>
      </c>
      <c r="AJ926" s="82" t="str">
        <f aca="false">IF(AF926&lt;&gt;"",AF926,IF(AA926&lt;&gt;"",AA926,IF(V926&lt;&gt;"",V926,"")))</f>
        <v/>
      </c>
      <c r="AK926" s="83" t="str">
        <f aca="false">IF(E926="","",IF(P926="","À SOUDER",IF(S926="","VT EN ATTENTE",IF(S926="R","VT REJETÉ – À REPRENDRE",IF(AJ926="","À RADIOGRAPHIER",IF(AJ926="A","ACCEPTÉ",IF(AJ926="NX","NX – RT À REFAIRE",IF(IF(AI926=1,X926,IF(AI926=2,AC926,""))="A","RÉPARÉ – À RADIOGRAPHIER",IF(IF(AI926=1,X926,IF(AI926=2,AC926,""))="R","VT REJETÉ – À REPRENDRE",IF(AJ926="CO","COUPE – À RESOUDER","À RÉPARER"))))))))))</f>
        <v/>
      </c>
      <c r="AL926" s="82" t="str">
        <f aca="false">IF(AND(ISNUMBER(P926),OR(AK926="À RADIOGRAPHIER",AK926="RÉPARÉ – À RADIOGRAPHIER",AK926="NX – RT À REFAIRE",AK926="À RÉPARER",AK926="COUPE – À RESOUDER",AK926="VT REJETÉ – À REPRENDRE")),MAX(0,'PROGRAMME RT'!$C$4-P926),"")</f>
        <v/>
      </c>
      <c r="AM926" s="78" t="n">
        <f aca="false">IF(AND(OR(AK926="À RADIOGRAPHIER",AK926="RÉPARÉ – À RADIOGRAPHIER",AK926="NX – RT À REFAIRE"),OR('PROGRAMME RT'!$D$5="TOUTES",B926='PROGRAMME RT'!$D$5)),1,0)</f>
        <v>0</v>
      </c>
      <c r="AN926" s="78" t="str">
        <f aca="false">IF(AM926=1,SUM(AM$7:AM926),"")</f>
        <v/>
      </c>
      <c r="AO926" s="78" t="n">
        <f aca="false">IF(AND(OR(AK926="À RÉPARER",AK926="COUPE – À RESOUDER",AK926="VT REJETÉ – À REPRENDRE"),OR(RÉPARATIONS!$D$5="TOUTES",B926=RÉPARATIONS!$D$5)),1,0)</f>
        <v>0</v>
      </c>
      <c r="AP926" s="78" t="str">
        <f aca="false">IF(AO926=1,SUM(AO$7:AO926),"")</f>
        <v/>
      </c>
    </row>
    <row r="927" customFormat="false" ht="15" hidden="false" customHeight="false" outlineLevel="0" collapsed="false">
      <c r="A927" s="78" t="str">
        <f aca="false">IF(E927="","",ROW()-6)</f>
        <v/>
      </c>
      <c r="B927" s="79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1"/>
      <c r="Q927" s="81"/>
      <c r="R927" s="80"/>
      <c r="S927" s="80"/>
      <c r="T927" s="81"/>
      <c r="U927" s="80"/>
      <c r="V927" s="80"/>
      <c r="W927" s="80"/>
      <c r="X927" s="80"/>
      <c r="Y927" s="81"/>
      <c r="Z927" s="80"/>
      <c r="AA927" s="80"/>
      <c r="AB927" s="80"/>
      <c r="AC927" s="80"/>
      <c r="AD927" s="81"/>
      <c r="AE927" s="80"/>
      <c r="AF927" s="80"/>
      <c r="AG927" s="81"/>
      <c r="AH927" s="79"/>
      <c r="AI927" s="78" t="str">
        <f aca="false">IF(E927="","",(V927&lt;&gt;"")+(AA927&lt;&gt;"")+(AF927&lt;&gt;""))</f>
        <v/>
      </c>
      <c r="AJ927" s="82" t="str">
        <f aca="false">IF(AF927&lt;&gt;"",AF927,IF(AA927&lt;&gt;"",AA927,IF(V927&lt;&gt;"",V927,"")))</f>
        <v/>
      </c>
      <c r="AK927" s="83" t="str">
        <f aca="false">IF(E927="","",IF(P927="","À SOUDER",IF(S927="","VT EN ATTENTE",IF(S927="R","VT REJETÉ – À REPRENDRE",IF(AJ927="","À RADIOGRAPHIER",IF(AJ927="A","ACCEPTÉ",IF(AJ927="NX","NX – RT À REFAIRE",IF(IF(AI927=1,X927,IF(AI927=2,AC927,""))="A","RÉPARÉ – À RADIOGRAPHIER",IF(IF(AI927=1,X927,IF(AI927=2,AC927,""))="R","VT REJETÉ – À REPRENDRE",IF(AJ927="CO","COUPE – À RESOUDER","À RÉPARER"))))))))))</f>
        <v/>
      </c>
      <c r="AL927" s="82" t="str">
        <f aca="false">IF(AND(ISNUMBER(P927),OR(AK927="À RADIOGRAPHIER",AK927="RÉPARÉ – À RADIOGRAPHIER",AK927="NX – RT À REFAIRE",AK927="À RÉPARER",AK927="COUPE – À RESOUDER",AK927="VT REJETÉ – À REPRENDRE")),MAX(0,'PROGRAMME RT'!$C$4-P927),"")</f>
        <v/>
      </c>
      <c r="AM927" s="78" t="n">
        <f aca="false">IF(AND(OR(AK927="À RADIOGRAPHIER",AK927="RÉPARÉ – À RADIOGRAPHIER",AK927="NX – RT À REFAIRE"),OR('PROGRAMME RT'!$D$5="TOUTES",B927='PROGRAMME RT'!$D$5)),1,0)</f>
        <v>0</v>
      </c>
      <c r="AN927" s="78" t="str">
        <f aca="false">IF(AM927=1,SUM(AM$7:AM927),"")</f>
        <v/>
      </c>
      <c r="AO927" s="78" t="n">
        <f aca="false">IF(AND(OR(AK927="À RÉPARER",AK927="COUPE – À RESOUDER",AK927="VT REJETÉ – À REPRENDRE"),OR(RÉPARATIONS!$D$5="TOUTES",B927=RÉPARATIONS!$D$5)),1,0)</f>
        <v>0</v>
      </c>
      <c r="AP927" s="78" t="str">
        <f aca="false">IF(AO927=1,SUM(AO$7:AO927),"")</f>
        <v/>
      </c>
    </row>
    <row r="928" customFormat="false" ht="15" hidden="false" customHeight="false" outlineLevel="0" collapsed="false">
      <c r="A928" s="78" t="str">
        <f aca="false">IF(E928="","",ROW()-6)</f>
        <v/>
      </c>
      <c r="B928" s="79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1"/>
      <c r="Q928" s="81"/>
      <c r="R928" s="80"/>
      <c r="S928" s="80"/>
      <c r="T928" s="81"/>
      <c r="U928" s="80"/>
      <c r="V928" s="80"/>
      <c r="W928" s="80"/>
      <c r="X928" s="80"/>
      <c r="Y928" s="81"/>
      <c r="Z928" s="80"/>
      <c r="AA928" s="80"/>
      <c r="AB928" s="80"/>
      <c r="AC928" s="80"/>
      <c r="AD928" s="81"/>
      <c r="AE928" s="80"/>
      <c r="AF928" s="80"/>
      <c r="AG928" s="81"/>
      <c r="AH928" s="79"/>
      <c r="AI928" s="78" t="str">
        <f aca="false">IF(E928="","",(V928&lt;&gt;"")+(AA928&lt;&gt;"")+(AF928&lt;&gt;""))</f>
        <v/>
      </c>
      <c r="AJ928" s="82" t="str">
        <f aca="false">IF(AF928&lt;&gt;"",AF928,IF(AA928&lt;&gt;"",AA928,IF(V928&lt;&gt;"",V928,"")))</f>
        <v/>
      </c>
      <c r="AK928" s="83" t="str">
        <f aca="false">IF(E928="","",IF(P928="","À SOUDER",IF(S928="","VT EN ATTENTE",IF(S928="R","VT REJETÉ – À REPRENDRE",IF(AJ928="","À RADIOGRAPHIER",IF(AJ928="A","ACCEPTÉ",IF(AJ928="NX","NX – RT À REFAIRE",IF(IF(AI928=1,X928,IF(AI928=2,AC928,""))="A","RÉPARÉ – À RADIOGRAPHIER",IF(IF(AI928=1,X928,IF(AI928=2,AC928,""))="R","VT REJETÉ – À REPRENDRE",IF(AJ928="CO","COUPE – À RESOUDER","À RÉPARER"))))))))))</f>
        <v/>
      </c>
      <c r="AL928" s="82" t="str">
        <f aca="false">IF(AND(ISNUMBER(P928),OR(AK928="À RADIOGRAPHIER",AK928="RÉPARÉ – À RADIOGRAPHIER",AK928="NX – RT À REFAIRE",AK928="À RÉPARER",AK928="COUPE – À RESOUDER",AK928="VT REJETÉ – À REPRENDRE")),MAX(0,'PROGRAMME RT'!$C$4-P928),"")</f>
        <v/>
      </c>
      <c r="AM928" s="78" t="n">
        <f aca="false">IF(AND(OR(AK928="À RADIOGRAPHIER",AK928="RÉPARÉ – À RADIOGRAPHIER",AK928="NX – RT À REFAIRE"),OR('PROGRAMME RT'!$D$5="TOUTES",B928='PROGRAMME RT'!$D$5)),1,0)</f>
        <v>0</v>
      </c>
      <c r="AN928" s="78" t="str">
        <f aca="false">IF(AM928=1,SUM(AM$7:AM928),"")</f>
        <v/>
      </c>
      <c r="AO928" s="78" t="n">
        <f aca="false">IF(AND(OR(AK928="À RÉPARER",AK928="COUPE – À RESOUDER",AK928="VT REJETÉ – À REPRENDRE"),OR(RÉPARATIONS!$D$5="TOUTES",B928=RÉPARATIONS!$D$5)),1,0)</f>
        <v>0</v>
      </c>
      <c r="AP928" s="78" t="str">
        <f aca="false">IF(AO928=1,SUM(AO$7:AO928),"")</f>
        <v/>
      </c>
    </row>
    <row r="929" customFormat="false" ht="15" hidden="false" customHeight="false" outlineLevel="0" collapsed="false">
      <c r="A929" s="78" t="str">
        <f aca="false">IF(E929="","",ROW()-6)</f>
        <v/>
      </c>
      <c r="B929" s="79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1"/>
      <c r="Q929" s="81"/>
      <c r="R929" s="80"/>
      <c r="S929" s="80"/>
      <c r="T929" s="81"/>
      <c r="U929" s="80"/>
      <c r="V929" s="80"/>
      <c r="W929" s="80"/>
      <c r="X929" s="80"/>
      <c r="Y929" s="81"/>
      <c r="Z929" s="80"/>
      <c r="AA929" s="80"/>
      <c r="AB929" s="80"/>
      <c r="AC929" s="80"/>
      <c r="AD929" s="81"/>
      <c r="AE929" s="80"/>
      <c r="AF929" s="80"/>
      <c r="AG929" s="81"/>
      <c r="AH929" s="79"/>
      <c r="AI929" s="78" t="str">
        <f aca="false">IF(E929="","",(V929&lt;&gt;"")+(AA929&lt;&gt;"")+(AF929&lt;&gt;""))</f>
        <v/>
      </c>
      <c r="AJ929" s="82" t="str">
        <f aca="false">IF(AF929&lt;&gt;"",AF929,IF(AA929&lt;&gt;"",AA929,IF(V929&lt;&gt;"",V929,"")))</f>
        <v/>
      </c>
      <c r="AK929" s="83" t="str">
        <f aca="false">IF(E929="","",IF(P929="","À SOUDER",IF(S929="","VT EN ATTENTE",IF(S929="R","VT REJETÉ – À REPRENDRE",IF(AJ929="","À RADIOGRAPHIER",IF(AJ929="A","ACCEPTÉ",IF(AJ929="NX","NX – RT À REFAIRE",IF(IF(AI929=1,X929,IF(AI929=2,AC929,""))="A","RÉPARÉ – À RADIOGRAPHIER",IF(IF(AI929=1,X929,IF(AI929=2,AC929,""))="R","VT REJETÉ – À REPRENDRE",IF(AJ929="CO","COUPE – À RESOUDER","À RÉPARER"))))))))))</f>
        <v/>
      </c>
      <c r="AL929" s="82" t="str">
        <f aca="false">IF(AND(ISNUMBER(P929),OR(AK929="À RADIOGRAPHIER",AK929="RÉPARÉ – À RADIOGRAPHIER",AK929="NX – RT À REFAIRE",AK929="À RÉPARER",AK929="COUPE – À RESOUDER",AK929="VT REJETÉ – À REPRENDRE")),MAX(0,'PROGRAMME RT'!$C$4-P929),"")</f>
        <v/>
      </c>
      <c r="AM929" s="78" t="n">
        <f aca="false">IF(AND(OR(AK929="À RADIOGRAPHIER",AK929="RÉPARÉ – À RADIOGRAPHIER",AK929="NX – RT À REFAIRE"),OR('PROGRAMME RT'!$D$5="TOUTES",B929='PROGRAMME RT'!$D$5)),1,0)</f>
        <v>0</v>
      </c>
      <c r="AN929" s="78" t="str">
        <f aca="false">IF(AM929=1,SUM(AM$7:AM929),"")</f>
        <v/>
      </c>
      <c r="AO929" s="78" t="n">
        <f aca="false">IF(AND(OR(AK929="À RÉPARER",AK929="COUPE – À RESOUDER",AK929="VT REJETÉ – À REPRENDRE"),OR(RÉPARATIONS!$D$5="TOUTES",B929=RÉPARATIONS!$D$5)),1,0)</f>
        <v>0</v>
      </c>
      <c r="AP929" s="78" t="str">
        <f aca="false">IF(AO929=1,SUM(AO$7:AO929),"")</f>
        <v/>
      </c>
    </row>
    <row r="930" customFormat="false" ht="15" hidden="false" customHeight="false" outlineLevel="0" collapsed="false">
      <c r="A930" s="78" t="str">
        <f aca="false">IF(E930="","",ROW()-6)</f>
        <v/>
      </c>
      <c r="B930" s="79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1"/>
      <c r="Q930" s="81"/>
      <c r="R930" s="80"/>
      <c r="S930" s="80"/>
      <c r="T930" s="81"/>
      <c r="U930" s="80"/>
      <c r="V930" s="80"/>
      <c r="W930" s="80"/>
      <c r="X930" s="80"/>
      <c r="Y930" s="81"/>
      <c r="Z930" s="80"/>
      <c r="AA930" s="80"/>
      <c r="AB930" s="80"/>
      <c r="AC930" s="80"/>
      <c r="AD930" s="81"/>
      <c r="AE930" s="80"/>
      <c r="AF930" s="80"/>
      <c r="AG930" s="81"/>
      <c r="AH930" s="79"/>
      <c r="AI930" s="78" t="str">
        <f aca="false">IF(E930="","",(V930&lt;&gt;"")+(AA930&lt;&gt;"")+(AF930&lt;&gt;""))</f>
        <v/>
      </c>
      <c r="AJ930" s="82" t="str">
        <f aca="false">IF(AF930&lt;&gt;"",AF930,IF(AA930&lt;&gt;"",AA930,IF(V930&lt;&gt;"",V930,"")))</f>
        <v/>
      </c>
      <c r="AK930" s="83" t="str">
        <f aca="false">IF(E930="","",IF(P930="","À SOUDER",IF(S930="","VT EN ATTENTE",IF(S930="R","VT REJETÉ – À REPRENDRE",IF(AJ930="","À RADIOGRAPHIER",IF(AJ930="A","ACCEPTÉ",IF(AJ930="NX","NX – RT À REFAIRE",IF(IF(AI930=1,X930,IF(AI930=2,AC930,""))="A","RÉPARÉ – À RADIOGRAPHIER",IF(IF(AI930=1,X930,IF(AI930=2,AC930,""))="R","VT REJETÉ – À REPRENDRE",IF(AJ930="CO","COUPE – À RESOUDER","À RÉPARER"))))))))))</f>
        <v/>
      </c>
      <c r="AL930" s="82" t="str">
        <f aca="false">IF(AND(ISNUMBER(P930),OR(AK930="À RADIOGRAPHIER",AK930="RÉPARÉ – À RADIOGRAPHIER",AK930="NX – RT À REFAIRE",AK930="À RÉPARER",AK930="COUPE – À RESOUDER",AK930="VT REJETÉ – À REPRENDRE")),MAX(0,'PROGRAMME RT'!$C$4-P930),"")</f>
        <v/>
      </c>
      <c r="AM930" s="78" t="n">
        <f aca="false">IF(AND(OR(AK930="À RADIOGRAPHIER",AK930="RÉPARÉ – À RADIOGRAPHIER",AK930="NX – RT À REFAIRE"),OR('PROGRAMME RT'!$D$5="TOUTES",B930='PROGRAMME RT'!$D$5)),1,0)</f>
        <v>0</v>
      </c>
      <c r="AN930" s="78" t="str">
        <f aca="false">IF(AM930=1,SUM(AM$7:AM930),"")</f>
        <v/>
      </c>
      <c r="AO930" s="78" t="n">
        <f aca="false">IF(AND(OR(AK930="À RÉPARER",AK930="COUPE – À RESOUDER",AK930="VT REJETÉ – À REPRENDRE"),OR(RÉPARATIONS!$D$5="TOUTES",B930=RÉPARATIONS!$D$5)),1,0)</f>
        <v>0</v>
      </c>
      <c r="AP930" s="78" t="str">
        <f aca="false">IF(AO930=1,SUM(AO$7:AO930),"")</f>
        <v/>
      </c>
    </row>
    <row r="931" customFormat="false" ht="15" hidden="false" customHeight="false" outlineLevel="0" collapsed="false">
      <c r="A931" s="78" t="str">
        <f aca="false">IF(E931="","",ROW()-6)</f>
        <v/>
      </c>
      <c r="B931" s="79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1"/>
      <c r="Q931" s="81"/>
      <c r="R931" s="80"/>
      <c r="S931" s="80"/>
      <c r="T931" s="81"/>
      <c r="U931" s="80"/>
      <c r="V931" s="80"/>
      <c r="W931" s="80"/>
      <c r="X931" s="80"/>
      <c r="Y931" s="81"/>
      <c r="Z931" s="80"/>
      <c r="AA931" s="80"/>
      <c r="AB931" s="80"/>
      <c r="AC931" s="80"/>
      <c r="AD931" s="81"/>
      <c r="AE931" s="80"/>
      <c r="AF931" s="80"/>
      <c r="AG931" s="81"/>
      <c r="AH931" s="79"/>
      <c r="AI931" s="78" t="str">
        <f aca="false">IF(E931="","",(V931&lt;&gt;"")+(AA931&lt;&gt;"")+(AF931&lt;&gt;""))</f>
        <v/>
      </c>
      <c r="AJ931" s="82" t="str">
        <f aca="false">IF(AF931&lt;&gt;"",AF931,IF(AA931&lt;&gt;"",AA931,IF(V931&lt;&gt;"",V931,"")))</f>
        <v/>
      </c>
      <c r="AK931" s="83" t="str">
        <f aca="false">IF(E931="","",IF(P931="","À SOUDER",IF(S931="","VT EN ATTENTE",IF(S931="R","VT REJETÉ – À REPRENDRE",IF(AJ931="","À RADIOGRAPHIER",IF(AJ931="A","ACCEPTÉ",IF(AJ931="NX","NX – RT À REFAIRE",IF(IF(AI931=1,X931,IF(AI931=2,AC931,""))="A","RÉPARÉ – À RADIOGRAPHIER",IF(IF(AI931=1,X931,IF(AI931=2,AC931,""))="R","VT REJETÉ – À REPRENDRE",IF(AJ931="CO","COUPE – À RESOUDER","À RÉPARER"))))))))))</f>
        <v/>
      </c>
      <c r="AL931" s="82" t="str">
        <f aca="false">IF(AND(ISNUMBER(P931),OR(AK931="À RADIOGRAPHIER",AK931="RÉPARÉ – À RADIOGRAPHIER",AK931="NX – RT À REFAIRE",AK931="À RÉPARER",AK931="COUPE – À RESOUDER",AK931="VT REJETÉ – À REPRENDRE")),MAX(0,'PROGRAMME RT'!$C$4-P931),"")</f>
        <v/>
      </c>
      <c r="AM931" s="78" t="n">
        <f aca="false">IF(AND(OR(AK931="À RADIOGRAPHIER",AK931="RÉPARÉ – À RADIOGRAPHIER",AK931="NX – RT À REFAIRE"),OR('PROGRAMME RT'!$D$5="TOUTES",B931='PROGRAMME RT'!$D$5)),1,0)</f>
        <v>0</v>
      </c>
      <c r="AN931" s="78" t="str">
        <f aca="false">IF(AM931=1,SUM(AM$7:AM931),"")</f>
        <v/>
      </c>
      <c r="AO931" s="78" t="n">
        <f aca="false">IF(AND(OR(AK931="À RÉPARER",AK931="COUPE – À RESOUDER",AK931="VT REJETÉ – À REPRENDRE"),OR(RÉPARATIONS!$D$5="TOUTES",B931=RÉPARATIONS!$D$5)),1,0)</f>
        <v>0</v>
      </c>
      <c r="AP931" s="78" t="str">
        <f aca="false">IF(AO931=1,SUM(AO$7:AO931),"")</f>
        <v/>
      </c>
    </row>
    <row r="932" customFormat="false" ht="15" hidden="false" customHeight="false" outlineLevel="0" collapsed="false">
      <c r="A932" s="78" t="str">
        <f aca="false">IF(E932="","",ROW()-6)</f>
        <v/>
      </c>
      <c r="B932" s="79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1"/>
      <c r="Q932" s="81"/>
      <c r="R932" s="80"/>
      <c r="S932" s="80"/>
      <c r="T932" s="81"/>
      <c r="U932" s="80"/>
      <c r="V932" s="80"/>
      <c r="W932" s="80"/>
      <c r="X932" s="80"/>
      <c r="Y932" s="81"/>
      <c r="Z932" s="80"/>
      <c r="AA932" s="80"/>
      <c r="AB932" s="80"/>
      <c r="AC932" s="80"/>
      <c r="AD932" s="81"/>
      <c r="AE932" s="80"/>
      <c r="AF932" s="80"/>
      <c r="AG932" s="81"/>
      <c r="AH932" s="79"/>
      <c r="AI932" s="78" t="str">
        <f aca="false">IF(E932="","",(V932&lt;&gt;"")+(AA932&lt;&gt;"")+(AF932&lt;&gt;""))</f>
        <v/>
      </c>
      <c r="AJ932" s="82" t="str">
        <f aca="false">IF(AF932&lt;&gt;"",AF932,IF(AA932&lt;&gt;"",AA932,IF(V932&lt;&gt;"",V932,"")))</f>
        <v/>
      </c>
      <c r="AK932" s="83" t="str">
        <f aca="false">IF(E932="","",IF(P932="","À SOUDER",IF(S932="","VT EN ATTENTE",IF(S932="R","VT REJETÉ – À REPRENDRE",IF(AJ932="","À RADIOGRAPHIER",IF(AJ932="A","ACCEPTÉ",IF(AJ932="NX","NX – RT À REFAIRE",IF(IF(AI932=1,X932,IF(AI932=2,AC932,""))="A","RÉPARÉ – À RADIOGRAPHIER",IF(IF(AI932=1,X932,IF(AI932=2,AC932,""))="R","VT REJETÉ – À REPRENDRE",IF(AJ932="CO","COUPE – À RESOUDER","À RÉPARER"))))))))))</f>
        <v/>
      </c>
      <c r="AL932" s="82" t="str">
        <f aca="false">IF(AND(ISNUMBER(P932),OR(AK932="À RADIOGRAPHIER",AK932="RÉPARÉ – À RADIOGRAPHIER",AK932="NX – RT À REFAIRE",AK932="À RÉPARER",AK932="COUPE – À RESOUDER",AK932="VT REJETÉ – À REPRENDRE")),MAX(0,'PROGRAMME RT'!$C$4-P932),"")</f>
        <v/>
      </c>
      <c r="AM932" s="78" t="n">
        <f aca="false">IF(AND(OR(AK932="À RADIOGRAPHIER",AK932="RÉPARÉ – À RADIOGRAPHIER",AK932="NX – RT À REFAIRE"),OR('PROGRAMME RT'!$D$5="TOUTES",B932='PROGRAMME RT'!$D$5)),1,0)</f>
        <v>0</v>
      </c>
      <c r="AN932" s="78" t="str">
        <f aca="false">IF(AM932=1,SUM(AM$7:AM932),"")</f>
        <v/>
      </c>
      <c r="AO932" s="78" t="n">
        <f aca="false">IF(AND(OR(AK932="À RÉPARER",AK932="COUPE – À RESOUDER",AK932="VT REJETÉ – À REPRENDRE"),OR(RÉPARATIONS!$D$5="TOUTES",B932=RÉPARATIONS!$D$5)),1,0)</f>
        <v>0</v>
      </c>
      <c r="AP932" s="78" t="str">
        <f aca="false">IF(AO932=1,SUM(AO$7:AO932),"")</f>
        <v/>
      </c>
    </row>
    <row r="933" customFormat="false" ht="15" hidden="false" customHeight="false" outlineLevel="0" collapsed="false">
      <c r="A933" s="78" t="str">
        <f aca="false">IF(E933="","",ROW()-6)</f>
        <v/>
      </c>
      <c r="B933" s="79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1"/>
      <c r="Q933" s="81"/>
      <c r="R933" s="80"/>
      <c r="S933" s="80"/>
      <c r="T933" s="81"/>
      <c r="U933" s="80"/>
      <c r="V933" s="80"/>
      <c r="W933" s="80"/>
      <c r="X933" s="80"/>
      <c r="Y933" s="81"/>
      <c r="Z933" s="80"/>
      <c r="AA933" s="80"/>
      <c r="AB933" s="80"/>
      <c r="AC933" s="80"/>
      <c r="AD933" s="81"/>
      <c r="AE933" s="80"/>
      <c r="AF933" s="80"/>
      <c r="AG933" s="81"/>
      <c r="AH933" s="79"/>
      <c r="AI933" s="78" t="str">
        <f aca="false">IF(E933="","",(V933&lt;&gt;"")+(AA933&lt;&gt;"")+(AF933&lt;&gt;""))</f>
        <v/>
      </c>
      <c r="AJ933" s="82" t="str">
        <f aca="false">IF(AF933&lt;&gt;"",AF933,IF(AA933&lt;&gt;"",AA933,IF(V933&lt;&gt;"",V933,"")))</f>
        <v/>
      </c>
      <c r="AK933" s="83" t="str">
        <f aca="false">IF(E933="","",IF(P933="","À SOUDER",IF(S933="","VT EN ATTENTE",IF(S933="R","VT REJETÉ – À REPRENDRE",IF(AJ933="","À RADIOGRAPHIER",IF(AJ933="A","ACCEPTÉ",IF(AJ933="NX","NX – RT À REFAIRE",IF(IF(AI933=1,X933,IF(AI933=2,AC933,""))="A","RÉPARÉ – À RADIOGRAPHIER",IF(IF(AI933=1,X933,IF(AI933=2,AC933,""))="R","VT REJETÉ – À REPRENDRE",IF(AJ933="CO","COUPE – À RESOUDER","À RÉPARER"))))))))))</f>
        <v/>
      </c>
      <c r="AL933" s="82" t="str">
        <f aca="false">IF(AND(ISNUMBER(P933),OR(AK933="À RADIOGRAPHIER",AK933="RÉPARÉ – À RADIOGRAPHIER",AK933="NX – RT À REFAIRE",AK933="À RÉPARER",AK933="COUPE – À RESOUDER",AK933="VT REJETÉ – À REPRENDRE")),MAX(0,'PROGRAMME RT'!$C$4-P933),"")</f>
        <v/>
      </c>
      <c r="AM933" s="78" t="n">
        <f aca="false">IF(AND(OR(AK933="À RADIOGRAPHIER",AK933="RÉPARÉ – À RADIOGRAPHIER",AK933="NX – RT À REFAIRE"),OR('PROGRAMME RT'!$D$5="TOUTES",B933='PROGRAMME RT'!$D$5)),1,0)</f>
        <v>0</v>
      </c>
      <c r="AN933" s="78" t="str">
        <f aca="false">IF(AM933=1,SUM(AM$7:AM933),"")</f>
        <v/>
      </c>
      <c r="AO933" s="78" t="n">
        <f aca="false">IF(AND(OR(AK933="À RÉPARER",AK933="COUPE – À RESOUDER",AK933="VT REJETÉ – À REPRENDRE"),OR(RÉPARATIONS!$D$5="TOUTES",B933=RÉPARATIONS!$D$5)),1,0)</f>
        <v>0</v>
      </c>
      <c r="AP933" s="78" t="str">
        <f aca="false">IF(AO933=1,SUM(AO$7:AO933),"")</f>
        <v/>
      </c>
    </row>
    <row r="934" customFormat="false" ht="15" hidden="false" customHeight="false" outlineLevel="0" collapsed="false">
      <c r="A934" s="78" t="str">
        <f aca="false">IF(E934="","",ROW()-6)</f>
        <v/>
      </c>
      <c r="B934" s="79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1"/>
      <c r="Q934" s="81"/>
      <c r="R934" s="80"/>
      <c r="S934" s="80"/>
      <c r="T934" s="81"/>
      <c r="U934" s="80"/>
      <c r="V934" s="80"/>
      <c r="W934" s="80"/>
      <c r="X934" s="80"/>
      <c r="Y934" s="81"/>
      <c r="Z934" s="80"/>
      <c r="AA934" s="80"/>
      <c r="AB934" s="80"/>
      <c r="AC934" s="80"/>
      <c r="AD934" s="81"/>
      <c r="AE934" s="80"/>
      <c r="AF934" s="80"/>
      <c r="AG934" s="81"/>
      <c r="AH934" s="79"/>
      <c r="AI934" s="78" t="str">
        <f aca="false">IF(E934="","",(V934&lt;&gt;"")+(AA934&lt;&gt;"")+(AF934&lt;&gt;""))</f>
        <v/>
      </c>
      <c r="AJ934" s="82" t="str">
        <f aca="false">IF(AF934&lt;&gt;"",AF934,IF(AA934&lt;&gt;"",AA934,IF(V934&lt;&gt;"",V934,"")))</f>
        <v/>
      </c>
      <c r="AK934" s="83" t="str">
        <f aca="false">IF(E934="","",IF(P934="","À SOUDER",IF(S934="","VT EN ATTENTE",IF(S934="R","VT REJETÉ – À REPRENDRE",IF(AJ934="","À RADIOGRAPHIER",IF(AJ934="A","ACCEPTÉ",IF(AJ934="NX","NX – RT À REFAIRE",IF(IF(AI934=1,X934,IF(AI934=2,AC934,""))="A","RÉPARÉ – À RADIOGRAPHIER",IF(IF(AI934=1,X934,IF(AI934=2,AC934,""))="R","VT REJETÉ – À REPRENDRE",IF(AJ934="CO","COUPE – À RESOUDER","À RÉPARER"))))))))))</f>
        <v/>
      </c>
      <c r="AL934" s="82" t="str">
        <f aca="false">IF(AND(ISNUMBER(P934),OR(AK934="À RADIOGRAPHIER",AK934="RÉPARÉ – À RADIOGRAPHIER",AK934="NX – RT À REFAIRE",AK934="À RÉPARER",AK934="COUPE – À RESOUDER",AK934="VT REJETÉ – À REPRENDRE")),MAX(0,'PROGRAMME RT'!$C$4-P934),"")</f>
        <v/>
      </c>
      <c r="AM934" s="78" t="n">
        <f aca="false">IF(AND(OR(AK934="À RADIOGRAPHIER",AK934="RÉPARÉ – À RADIOGRAPHIER",AK934="NX – RT À REFAIRE"),OR('PROGRAMME RT'!$D$5="TOUTES",B934='PROGRAMME RT'!$D$5)),1,0)</f>
        <v>0</v>
      </c>
      <c r="AN934" s="78" t="str">
        <f aca="false">IF(AM934=1,SUM(AM$7:AM934),"")</f>
        <v/>
      </c>
      <c r="AO934" s="78" t="n">
        <f aca="false">IF(AND(OR(AK934="À RÉPARER",AK934="COUPE – À RESOUDER",AK934="VT REJETÉ – À REPRENDRE"),OR(RÉPARATIONS!$D$5="TOUTES",B934=RÉPARATIONS!$D$5)),1,0)</f>
        <v>0</v>
      </c>
      <c r="AP934" s="78" t="str">
        <f aca="false">IF(AO934=1,SUM(AO$7:AO934),"")</f>
        <v/>
      </c>
    </row>
    <row r="935" customFormat="false" ht="15" hidden="false" customHeight="false" outlineLevel="0" collapsed="false">
      <c r="A935" s="78" t="str">
        <f aca="false">IF(E935="","",ROW()-6)</f>
        <v/>
      </c>
      <c r="B935" s="79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1"/>
      <c r="Q935" s="81"/>
      <c r="R935" s="80"/>
      <c r="S935" s="80"/>
      <c r="T935" s="81"/>
      <c r="U935" s="80"/>
      <c r="V935" s="80"/>
      <c r="W935" s="80"/>
      <c r="X935" s="80"/>
      <c r="Y935" s="81"/>
      <c r="Z935" s="80"/>
      <c r="AA935" s="80"/>
      <c r="AB935" s="80"/>
      <c r="AC935" s="80"/>
      <c r="AD935" s="81"/>
      <c r="AE935" s="80"/>
      <c r="AF935" s="80"/>
      <c r="AG935" s="81"/>
      <c r="AH935" s="79"/>
      <c r="AI935" s="78" t="str">
        <f aca="false">IF(E935="","",(V935&lt;&gt;"")+(AA935&lt;&gt;"")+(AF935&lt;&gt;""))</f>
        <v/>
      </c>
      <c r="AJ935" s="82" t="str">
        <f aca="false">IF(AF935&lt;&gt;"",AF935,IF(AA935&lt;&gt;"",AA935,IF(V935&lt;&gt;"",V935,"")))</f>
        <v/>
      </c>
      <c r="AK935" s="83" t="str">
        <f aca="false">IF(E935="","",IF(P935="","À SOUDER",IF(S935="","VT EN ATTENTE",IF(S935="R","VT REJETÉ – À REPRENDRE",IF(AJ935="","À RADIOGRAPHIER",IF(AJ935="A","ACCEPTÉ",IF(AJ935="NX","NX – RT À REFAIRE",IF(IF(AI935=1,X935,IF(AI935=2,AC935,""))="A","RÉPARÉ – À RADIOGRAPHIER",IF(IF(AI935=1,X935,IF(AI935=2,AC935,""))="R","VT REJETÉ – À REPRENDRE",IF(AJ935="CO","COUPE – À RESOUDER","À RÉPARER"))))))))))</f>
        <v/>
      </c>
      <c r="AL935" s="82" t="str">
        <f aca="false">IF(AND(ISNUMBER(P935),OR(AK935="À RADIOGRAPHIER",AK935="RÉPARÉ – À RADIOGRAPHIER",AK935="NX – RT À REFAIRE",AK935="À RÉPARER",AK935="COUPE – À RESOUDER",AK935="VT REJETÉ – À REPRENDRE")),MAX(0,'PROGRAMME RT'!$C$4-P935),"")</f>
        <v/>
      </c>
      <c r="AM935" s="78" t="n">
        <f aca="false">IF(AND(OR(AK935="À RADIOGRAPHIER",AK935="RÉPARÉ – À RADIOGRAPHIER",AK935="NX – RT À REFAIRE"),OR('PROGRAMME RT'!$D$5="TOUTES",B935='PROGRAMME RT'!$D$5)),1,0)</f>
        <v>0</v>
      </c>
      <c r="AN935" s="78" t="str">
        <f aca="false">IF(AM935=1,SUM(AM$7:AM935),"")</f>
        <v/>
      </c>
      <c r="AO935" s="78" t="n">
        <f aca="false">IF(AND(OR(AK935="À RÉPARER",AK935="COUPE – À RESOUDER",AK935="VT REJETÉ – À REPRENDRE"),OR(RÉPARATIONS!$D$5="TOUTES",B935=RÉPARATIONS!$D$5)),1,0)</f>
        <v>0</v>
      </c>
      <c r="AP935" s="78" t="str">
        <f aca="false">IF(AO935=1,SUM(AO$7:AO935),"")</f>
        <v/>
      </c>
    </row>
    <row r="936" customFormat="false" ht="15" hidden="false" customHeight="false" outlineLevel="0" collapsed="false">
      <c r="A936" s="78" t="str">
        <f aca="false">IF(E936="","",ROW()-6)</f>
        <v/>
      </c>
      <c r="B936" s="79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1"/>
      <c r="Q936" s="81"/>
      <c r="R936" s="80"/>
      <c r="S936" s="80"/>
      <c r="T936" s="81"/>
      <c r="U936" s="80"/>
      <c r="V936" s="80"/>
      <c r="W936" s="80"/>
      <c r="X936" s="80"/>
      <c r="Y936" s="81"/>
      <c r="Z936" s="80"/>
      <c r="AA936" s="80"/>
      <c r="AB936" s="80"/>
      <c r="AC936" s="80"/>
      <c r="AD936" s="81"/>
      <c r="AE936" s="80"/>
      <c r="AF936" s="80"/>
      <c r="AG936" s="81"/>
      <c r="AH936" s="79"/>
      <c r="AI936" s="78" t="str">
        <f aca="false">IF(E936="","",(V936&lt;&gt;"")+(AA936&lt;&gt;"")+(AF936&lt;&gt;""))</f>
        <v/>
      </c>
      <c r="AJ936" s="82" t="str">
        <f aca="false">IF(AF936&lt;&gt;"",AF936,IF(AA936&lt;&gt;"",AA936,IF(V936&lt;&gt;"",V936,"")))</f>
        <v/>
      </c>
      <c r="AK936" s="83" t="str">
        <f aca="false">IF(E936="","",IF(P936="","À SOUDER",IF(S936="","VT EN ATTENTE",IF(S936="R","VT REJETÉ – À REPRENDRE",IF(AJ936="","À RADIOGRAPHIER",IF(AJ936="A","ACCEPTÉ",IF(AJ936="NX","NX – RT À REFAIRE",IF(IF(AI936=1,X936,IF(AI936=2,AC936,""))="A","RÉPARÉ – À RADIOGRAPHIER",IF(IF(AI936=1,X936,IF(AI936=2,AC936,""))="R","VT REJETÉ – À REPRENDRE",IF(AJ936="CO","COUPE – À RESOUDER","À RÉPARER"))))))))))</f>
        <v/>
      </c>
      <c r="AL936" s="82" t="str">
        <f aca="false">IF(AND(ISNUMBER(P936),OR(AK936="À RADIOGRAPHIER",AK936="RÉPARÉ – À RADIOGRAPHIER",AK936="NX – RT À REFAIRE",AK936="À RÉPARER",AK936="COUPE – À RESOUDER",AK936="VT REJETÉ – À REPRENDRE")),MAX(0,'PROGRAMME RT'!$C$4-P936),"")</f>
        <v/>
      </c>
      <c r="AM936" s="78" t="n">
        <f aca="false">IF(AND(OR(AK936="À RADIOGRAPHIER",AK936="RÉPARÉ – À RADIOGRAPHIER",AK936="NX – RT À REFAIRE"),OR('PROGRAMME RT'!$D$5="TOUTES",B936='PROGRAMME RT'!$D$5)),1,0)</f>
        <v>0</v>
      </c>
      <c r="AN936" s="78" t="str">
        <f aca="false">IF(AM936=1,SUM(AM$7:AM936),"")</f>
        <v/>
      </c>
      <c r="AO936" s="78" t="n">
        <f aca="false">IF(AND(OR(AK936="À RÉPARER",AK936="COUPE – À RESOUDER",AK936="VT REJETÉ – À REPRENDRE"),OR(RÉPARATIONS!$D$5="TOUTES",B936=RÉPARATIONS!$D$5)),1,0)</f>
        <v>0</v>
      </c>
      <c r="AP936" s="78" t="str">
        <f aca="false">IF(AO936=1,SUM(AO$7:AO936),"")</f>
        <v/>
      </c>
    </row>
    <row r="937" customFormat="false" ht="15" hidden="false" customHeight="false" outlineLevel="0" collapsed="false">
      <c r="A937" s="78" t="str">
        <f aca="false">IF(E937="","",ROW()-6)</f>
        <v/>
      </c>
      <c r="B937" s="79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1"/>
      <c r="Q937" s="81"/>
      <c r="R937" s="80"/>
      <c r="S937" s="80"/>
      <c r="T937" s="81"/>
      <c r="U937" s="80"/>
      <c r="V937" s="80"/>
      <c r="W937" s="80"/>
      <c r="X937" s="80"/>
      <c r="Y937" s="81"/>
      <c r="Z937" s="80"/>
      <c r="AA937" s="80"/>
      <c r="AB937" s="80"/>
      <c r="AC937" s="80"/>
      <c r="AD937" s="81"/>
      <c r="AE937" s="80"/>
      <c r="AF937" s="80"/>
      <c r="AG937" s="81"/>
      <c r="AH937" s="79"/>
      <c r="AI937" s="78" t="str">
        <f aca="false">IF(E937="","",(V937&lt;&gt;"")+(AA937&lt;&gt;"")+(AF937&lt;&gt;""))</f>
        <v/>
      </c>
      <c r="AJ937" s="82" t="str">
        <f aca="false">IF(AF937&lt;&gt;"",AF937,IF(AA937&lt;&gt;"",AA937,IF(V937&lt;&gt;"",V937,"")))</f>
        <v/>
      </c>
      <c r="AK937" s="83" t="str">
        <f aca="false">IF(E937="","",IF(P937="","À SOUDER",IF(S937="","VT EN ATTENTE",IF(S937="R","VT REJETÉ – À REPRENDRE",IF(AJ937="","À RADIOGRAPHIER",IF(AJ937="A","ACCEPTÉ",IF(AJ937="NX","NX – RT À REFAIRE",IF(IF(AI937=1,X937,IF(AI937=2,AC937,""))="A","RÉPARÉ – À RADIOGRAPHIER",IF(IF(AI937=1,X937,IF(AI937=2,AC937,""))="R","VT REJETÉ – À REPRENDRE",IF(AJ937="CO","COUPE – À RESOUDER","À RÉPARER"))))))))))</f>
        <v/>
      </c>
      <c r="AL937" s="82" t="str">
        <f aca="false">IF(AND(ISNUMBER(P937),OR(AK937="À RADIOGRAPHIER",AK937="RÉPARÉ – À RADIOGRAPHIER",AK937="NX – RT À REFAIRE",AK937="À RÉPARER",AK937="COUPE – À RESOUDER",AK937="VT REJETÉ – À REPRENDRE")),MAX(0,'PROGRAMME RT'!$C$4-P937),"")</f>
        <v/>
      </c>
      <c r="AM937" s="78" t="n">
        <f aca="false">IF(AND(OR(AK937="À RADIOGRAPHIER",AK937="RÉPARÉ – À RADIOGRAPHIER",AK937="NX – RT À REFAIRE"),OR('PROGRAMME RT'!$D$5="TOUTES",B937='PROGRAMME RT'!$D$5)),1,0)</f>
        <v>0</v>
      </c>
      <c r="AN937" s="78" t="str">
        <f aca="false">IF(AM937=1,SUM(AM$7:AM937),"")</f>
        <v/>
      </c>
      <c r="AO937" s="78" t="n">
        <f aca="false">IF(AND(OR(AK937="À RÉPARER",AK937="COUPE – À RESOUDER",AK937="VT REJETÉ – À REPRENDRE"),OR(RÉPARATIONS!$D$5="TOUTES",B937=RÉPARATIONS!$D$5)),1,0)</f>
        <v>0</v>
      </c>
      <c r="AP937" s="78" t="str">
        <f aca="false">IF(AO937=1,SUM(AO$7:AO937),"")</f>
        <v/>
      </c>
    </row>
    <row r="938" customFormat="false" ht="15" hidden="false" customHeight="false" outlineLevel="0" collapsed="false">
      <c r="A938" s="78" t="str">
        <f aca="false">IF(E938="","",ROW()-6)</f>
        <v/>
      </c>
      <c r="B938" s="79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1"/>
      <c r="Q938" s="81"/>
      <c r="R938" s="80"/>
      <c r="S938" s="80"/>
      <c r="T938" s="81"/>
      <c r="U938" s="80"/>
      <c r="V938" s="80"/>
      <c r="W938" s="80"/>
      <c r="X938" s="80"/>
      <c r="Y938" s="81"/>
      <c r="Z938" s="80"/>
      <c r="AA938" s="80"/>
      <c r="AB938" s="80"/>
      <c r="AC938" s="80"/>
      <c r="AD938" s="81"/>
      <c r="AE938" s="80"/>
      <c r="AF938" s="80"/>
      <c r="AG938" s="81"/>
      <c r="AH938" s="79"/>
      <c r="AI938" s="78" t="str">
        <f aca="false">IF(E938="","",(V938&lt;&gt;"")+(AA938&lt;&gt;"")+(AF938&lt;&gt;""))</f>
        <v/>
      </c>
      <c r="AJ938" s="82" t="str">
        <f aca="false">IF(AF938&lt;&gt;"",AF938,IF(AA938&lt;&gt;"",AA938,IF(V938&lt;&gt;"",V938,"")))</f>
        <v/>
      </c>
      <c r="AK938" s="83" t="str">
        <f aca="false">IF(E938="","",IF(P938="","À SOUDER",IF(S938="","VT EN ATTENTE",IF(S938="R","VT REJETÉ – À REPRENDRE",IF(AJ938="","À RADIOGRAPHIER",IF(AJ938="A","ACCEPTÉ",IF(AJ938="NX","NX – RT À REFAIRE",IF(IF(AI938=1,X938,IF(AI938=2,AC938,""))="A","RÉPARÉ – À RADIOGRAPHIER",IF(IF(AI938=1,X938,IF(AI938=2,AC938,""))="R","VT REJETÉ – À REPRENDRE",IF(AJ938="CO","COUPE – À RESOUDER","À RÉPARER"))))))))))</f>
        <v/>
      </c>
      <c r="AL938" s="82" t="str">
        <f aca="false">IF(AND(ISNUMBER(P938),OR(AK938="À RADIOGRAPHIER",AK938="RÉPARÉ – À RADIOGRAPHIER",AK938="NX – RT À REFAIRE",AK938="À RÉPARER",AK938="COUPE – À RESOUDER",AK938="VT REJETÉ – À REPRENDRE")),MAX(0,'PROGRAMME RT'!$C$4-P938),"")</f>
        <v/>
      </c>
      <c r="AM938" s="78" t="n">
        <f aca="false">IF(AND(OR(AK938="À RADIOGRAPHIER",AK938="RÉPARÉ – À RADIOGRAPHIER",AK938="NX – RT À REFAIRE"),OR('PROGRAMME RT'!$D$5="TOUTES",B938='PROGRAMME RT'!$D$5)),1,0)</f>
        <v>0</v>
      </c>
      <c r="AN938" s="78" t="str">
        <f aca="false">IF(AM938=1,SUM(AM$7:AM938),"")</f>
        <v/>
      </c>
      <c r="AO938" s="78" t="n">
        <f aca="false">IF(AND(OR(AK938="À RÉPARER",AK938="COUPE – À RESOUDER",AK938="VT REJETÉ – À REPRENDRE"),OR(RÉPARATIONS!$D$5="TOUTES",B938=RÉPARATIONS!$D$5)),1,0)</f>
        <v>0</v>
      </c>
      <c r="AP938" s="78" t="str">
        <f aca="false">IF(AO938=1,SUM(AO$7:AO938),"")</f>
        <v/>
      </c>
    </row>
    <row r="939" customFormat="false" ht="15" hidden="false" customHeight="false" outlineLevel="0" collapsed="false">
      <c r="A939" s="78" t="str">
        <f aca="false">IF(E939="","",ROW()-6)</f>
        <v/>
      </c>
      <c r="B939" s="79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1"/>
      <c r="Q939" s="81"/>
      <c r="R939" s="80"/>
      <c r="S939" s="80"/>
      <c r="T939" s="81"/>
      <c r="U939" s="80"/>
      <c r="V939" s="80"/>
      <c r="W939" s="80"/>
      <c r="X939" s="80"/>
      <c r="Y939" s="81"/>
      <c r="Z939" s="80"/>
      <c r="AA939" s="80"/>
      <c r="AB939" s="80"/>
      <c r="AC939" s="80"/>
      <c r="AD939" s="81"/>
      <c r="AE939" s="80"/>
      <c r="AF939" s="80"/>
      <c r="AG939" s="81"/>
      <c r="AH939" s="79"/>
      <c r="AI939" s="78" t="str">
        <f aca="false">IF(E939="","",(V939&lt;&gt;"")+(AA939&lt;&gt;"")+(AF939&lt;&gt;""))</f>
        <v/>
      </c>
      <c r="AJ939" s="82" t="str">
        <f aca="false">IF(AF939&lt;&gt;"",AF939,IF(AA939&lt;&gt;"",AA939,IF(V939&lt;&gt;"",V939,"")))</f>
        <v/>
      </c>
      <c r="AK939" s="83" t="str">
        <f aca="false">IF(E939="","",IF(P939="","À SOUDER",IF(S939="","VT EN ATTENTE",IF(S939="R","VT REJETÉ – À REPRENDRE",IF(AJ939="","À RADIOGRAPHIER",IF(AJ939="A","ACCEPTÉ",IF(AJ939="NX","NX – RT À REFAIRE",IF(IF(AI939=1,X939,IF(AI939=2,AC939,""))="A","RÉPARÉ – À RADIOGRAPHIER",IF(IF(AI939=1,X939,IF(AI939=2,AC939,""))="R","VT REJETÉ – À REPRENDRE",IF(AJ939="CO","COUPE – À RESOUDER","À RÉPARER"))))))))))</f>
        <v/>
      </c>
      <c r="AL939" s="82" t="str">
        <f aca="false">IF(AND(ISNUMBER(P939),OR(AK939="À RADIOGRAPHIER",AK939="RÉPARÉ – À RADIOGRAPHIER",AK939="NX – RT À REFAIRE",AK939="À RÉPARER",AK939="COUPE – À RESOUDER",AK939="VT REJETÉ – À REPRENDRE")),MAX(0,'PROGRAMME RT'!$C$4-P939),"")</f>
        <v/>
      </c>
      <c r="AM939" s="78" t="n">
        <f aca="false">IF(AND(OR(AK939="À RADIOGRAPHIER",AK939="RÉPARÉ – À RADIOGRAPHIER",AK939="NX – RT À REFAIRE"),OR('PROGRAMME RT'!$D$5="TOUTES",B939='PROGRAMME RT'!$D$5)),1,0)</f>
        <v>0</v>
      </c>
      <c r="AN939" s="78" t="str">
        <f aca="false">IF(AM939=1,SUM(AM$7:AM939),"")</f>
        <v/>
      </c>
      <c r="AO939" s="78" t="n">
        <f aca="false">IF(AND(OR(AK939="À RÉPARER",AK939="COUPE – À RESOUDER",AK939="VT REJETÉ – À REPRENDRE"),OR(RÉPARATIONS!$D$5="TOUTES",B939=RÉPARATIONS!$D$5)),1,0)</f>
        <v>0</v>
      </c>
      <c r="AP939" s="78" t="str">
        <f aca="false">IF(AO939=1,SUM(AO$7:AO939),"")</f>
        <v/>
      </c>
    </row>
    <row r="940" customFormat="false" ht="15" hidden="false" customHeight="false" outlineLevel="0" collapsed="false">
      <c r="A940" s="78" t="str">
        <f aca="false">IF(E940="","",ROW()-6)</f>
        <v/>
      </c>
      <c r="B940" s="79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1"/>
      <c r="Q940" s="81"/>
      <c r="R940" s="80"/>
      <c r="S940" s="80"/>
      <c r="T940" s="81"/>
      <c r="U940" s="80"/>
      <c r="V940" s="80"/>
      <c r="W940" s="80"/>
      <c r="X940" s="80"/>
      <c r="Y940" s="81"/>
      <c r="Z940" s="80"/>
      <c r="AA940" s="80"/>
      <c r="AB940" s="80"/>
      <c r="AC940" s="80"/>
      <c r="AD940" s="81"/>
      <c r="AE940" s="80"/>
      <c r="AF940" s="80"/>
      <c r="AG940" s="81"/>
      <c r="AH940" s="79"/>
      <c r="AI940" s="78" t="str">
        <f aca="false">IF(E940="","",(V940&lt;&gt;"")+(AA940&lt;&gt;"")+(AF940&lt;&gt;""))</f>
        <v/>
      </c>
      <c r="AJ940" s="82" t="str">
        <f aca="false">IF(AF940&lt;&gt;"",AF940,IF(AA940&lt;&gt;"",AA940,IF(V940&lt;&gt;"",V940,"")))</f>
        <v/>
      </c>
      <c r="AK940" s="83" t="str">
        <f aca="false">IF(E940="","",IF(P940="","À SOUDER",IF(S940="","VT EN ATTENTE",IF(S940="R","VT REJETÉ – À REPRENDRE",IF(AJ940="","À RADIOGRAPHIER",IF(AJ940="A","ACCEPTÉ",IF(AJ940="NX","NX – RT À REFAIRE",IF(IF(AI940=1,X940,IF(AI940=2,AC940,""))="A","RÉPARÉ – À RADIOGRAPHIER",IF(IF(AI940=1,X940,IF(AI940=2,AC940,""))="R","VT REJETÉ – À REPRENDRE",IF(AJ940="CO","COUPE – À RESOUDER","À RÉPARER"))))))))))</f>
        <v/>
      </c>
      <c r="AL940" s="82" t="str">
        <f aca="false">IF(AND(ISNUMBER(P940),OR(AK940="À RADIOGRAPHIER",AK940="RÉPARÉ – À RADIOGRAPHIER",AK940="NX – RT À REFAIRE",AK940="À RÉPARER",AK940="COUPE – À RESOUDER",AK940="VT REJETÉ – À REPRENDRE")),MAX(0,'PROGRAMME RT'!$C$4-P940),"")</f>
        <v/>
      </c>
      <c r="AM940" s="78" t="n">
        <f aca="false">IF(AND(OR(AK940="À RADIOGRAPHIER",AK940="RÉPARÉ – À RADIOGRAPHIER",AK940="NX – RT À REFAIRE"),OR('PROGRAMME RT'!$D$5="TOUTES",B940='PROGRAMME RT'!$D$5)),1,0)</f>
        <v>0</v>
      </c>
      <c r="AN940" s="78" t="str">
        <f aca="false">IF(AM940=1,SUM(AM$7:AM940),"")</f>
        <v/>
      </c>
      <c r="AO940" s="78" t="n">
        <f aca="false">IF(AND(OR(AK940="À RÉPARER",AK940="COUPE – À RESOUDER",AK940="VT REJETÉ – À REPRENDRE"),OR(RÉPARATIONS!$D$5="TOUTES",B940=RÉPARATIONS!$D$5)),1,0)</f>
        <v>0</v>
      </c>
      <c r="AP940" s="78" t="str">
        <f aca="false">IF(AO940=1,SUM(AO$7:AO940),"")</f>
        <v/>
      </c>
    </row>
    <row r="941" customFormat="false" ht="15" hidden="false" customHeight="false" outlineLevel="0" collapsed="false">
      <c r="A941" s="78" t="str">
        <f aca="false">IF(E941="","",ROW()-6)</f>
        <v/>
      </c>
      <c r="B941" s="79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1"/>
      <c r="Q941" s="81"/>
      <c r="R941" s="80"/>
      <c r="S941" s="80"/>
      <c r="T941" s="81"/>
      <c r="U941" s="80"/>
      <c r="V941" s="80"/>
      <c r="W941" s="80"/>
      <c r="X941" s="80"/>
      <c r="Y941" s="81"/>
      <c r="Z941" s="80"/>
      <c r="AA941" s="80"/>
      <c r="AB941" s="80"/>
      <c r="AC941" s="80"/>
      <c r="AD941" s="81"/>
      <c r="AE941" s="80"/>
      <c r="AF941" s="80"/>
      <c r="AG941" s="81"/>
      <c r="AH941" s="79"/>
      <c r="AI941" s="78" t="str">
        <f aca="false">IF(E941="","",(V941&lt;&gt;"")+(AA941&lt;&gt;"")+(AF941&lt;&gt;""))</f>
        <v/>
      </c>
      <c r="AJ941" s="82" t="str">
        <f aca="false">IF(AF941&lt;&gt;"",AF941,IF(AA941&lt;&gt;"",AA941,IF(V941&lt;&gt;"",V941,"")))</f>
        <v/>
      </c>
      <c r="AK941" s="83" t="str">
        <f aca="false">IF(E941="","",IF(P941="","À SOUDER",IF(S941="","VT EN ATTENTE",IF(S941="R","VT REJETÉ – À REPRENDRE",IF(AJ941="","À RADIOGRAPHIER",IF(AJ941="A","ACCEPTÉ",IF(AJ941="NX","NX – RT À REFAIRE",IF(IF(AI941=1,X941,IF(AI941=2,AC941,""))="A","RÉPARÉ – À RADIOGRAPHIER",IF(IF(AI941=1,X941,IF(AI941=2,AC941,""))="R","VT REJETÉ – À REPRENDRE",IF(AJ941="CO","COUPE – À RESOUDER","À RÉPARER"))))))))))</f>
        <v/>
      </c>
      <c r="AL941" s="82" t="str">
        <f aca="false">IF(AND(ISNUMBER(P941),OR(AK941="À RADIOGRAPHIER",AK941="RÉPARÉ – À RADIOGRAPHIER",AK941="NX – RT À REFAIRE",AK941="À RÉPARER",AK941="COUPE – À RESOUDER",AK941="VT REJETÉ – À REPRENDRE")),MAX(0,'PROGRAMME RT'!$C$4-P941),"")</f>
        <v/>
      </c>
      <c r="AM941" s="78" t="n">
        <f aca="false">IF(AND(OR(AK941="À RADIOGRAPHIER",AK941="RÉPARÉ – À RADIOGRAPHIER",AK941="NX – RT À REFAIRE"),OR('PROGRAMME RT'!$D$5="TOUTES",B941='PROGRAMME RT'!$D$5)),1,0)</f>
        <v>0</v>
      </c>
      <c r="AN941" s="78" t="str">
        <f aca="false">IF(AM941=1,SUM(AM$7:AM941),"")</f>
        <v/>
      </c>
      <c r="AO941" s="78" t="n">
        <f aca="false">IF(AND(OR(AK941="À RÉPARER",AK941="COUPE – À RESOUDER",AK941="VT REJETÉ – À REPRENDRE"),OR(RÉPARATIONS!$D$5="TOUTES",B941=RÉPARATIONS!$D$5)),1,0)</f>
        <v>0</v>
      </c>
      <c r="AP941" s="78" t="str">
        <f aca="false">IF(AO941=1,SUM(AO$7:AO941),"")</f>
        <v/>
      </c>
    </row>
    <row r="942" customFormat="false" ht="15" hidden="false" customHeight="false" outlineLevel="0" collapsed="false">
      <c r="A942" s="78" t="str">
        <f aca="false">IF(E942="","",ROW()-6)</f>
        <v/>
      </c>
      <c r="B942" s="79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1"/>
      <c r="Q942" s="81"/>
      <c r="R942" s="80"/>
      <c r="S942" s="80"/>
      <c r="T942" s="81"/>
      <c r="U942" s="80"/>
      <c r="V942" s="80"/>
      <c r="W942" s="80"/>
      <c r="X942" s="80"/>
      <c r="Y942" s="81"/>
      <c r="Z942" s="80"/>
      <c r="AA942" s="80"/>
      <c r="AB942" s="80"/>
      <c r="AC942" s="80"/>
      <c r="AD942" s="81"/>
      <c r="AE942" s="80"/>
      <c r="AF942" s="80"/>
      <c r="AG942" s="81"/>
      <c r="AH942" s="79"/>
      <c r="AI942" s="78" t="str">
        <f aca="false">IF(E942="","",(V942&lt;&gt;"")+(AA942&lt;&gt;"")+(AF942&lt;&gt;""))</f>
        <v/>
      </c>
      <c r="AJ942" s="82" t="str">
        <f aca="false">IF(AF942&lt;&gt;"",AF942,IF(AA942&lt;&gt;"",AA942,IF(V942&lt;&gt;"",V942,"")))</f>
        <v/>
      </c>
      <c r="AK942" s="83" t="str">
        <f aca="false">IF(E942="","",IF(P942="","À SOUDER",IF(S942="","VT EN ATTENTE",IF(S942="R","VT REJETÉ – À REPRENDRE",IF(AJ942="","À RADIOGRAPHIER",IF(AJ942="A","ACCEPTÉ",IF(AJ942="NX","NX – RT À REFAIRE",IF(IF(AI942=1,X942,IF(AI942=2,AC942,""))="A","RÉPARÉ – À RADIOGRAPHIER",IF(IF(AI942=1,X942,IF(AI942=2,AC942,""))="R","VT REJETÉ – À REPRENDRE",IF(AJ942="CO","COUPE – À RESOUDER","À RÉPARER"))))))))))</f>
        <v/>
      </c>
      <c r="AL942" s="82" t="str">
        <f aca="false">IF(AND(ISNUMBER(P942),OR(AK942="À RADIOGRAPHIER",AK942="RÉPARÉ – À RADIOGRAPHIER",AK942="NX – RT À REFAIRE",AK942="À RÉPARER",AK942="COUPE – À RESOUDER",AK942="VT REJETÉ – À REPRENDRE")),MAX(0,'PROGRAMME RT'!$C$4-P942),"")</f>
        <v/>
      </c>
      <c r="AM942" s="78" t="n">
        <f aca="false">IF(AND(OR(AK942="À RADIOGRAPHIER",AK942="RÉPARÉ – À RADIOGRAPHIER",AK942="NX – RT À REFAIRE"),OR('PROGRAMME RT'!$D$5="TOUTES",B942='PROGRAMME RT'!$D$5)),1,0)</f>
        <v>0</v>
      </c>
      <c r="AN942" s="78" t="str">
        <f aca="false">IF(AM942=1,SUM(AM$7:AM942),"")</f>
        <v/>
      </c>
      <c r="AO942" s="78" t="n">
        <f aca="false">IF(AND(OR(AK942="À RÉPARER",AK942="COUPE – À RESOUDER",AK942="VT REJETÉ – À REPRENDRE"),OR(RÉPARATIONS!$D$5="TOUTES",B942=RÉPARATIONS!$D$5)),1,0)</f>
        <v>0</v>
      </c>
      <c r="AP942" s="78" t="str">
        <f aca="false">IF(AO942=1,SUM(AO$7:AO942),"")</f>
        <v/>
      </c>
    </row>
    <row r="943" customFormat="false" ht="15" hidden="false" customHeight="false" outlineLevel="0" collapsed="false">
      <c r="A943" s="78" t="str">
        <f aca="false">IF(E943="","",ROW()-6)</f>
        <v/>
      </c>
      <c r="B943" s="79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1"/>
      <c r="Q943" s="81"/>
      <c r="R943" s="80"/>
      <c r="S943" s="80"/>
      <c r="T943" s="81"/>
      <c r="U943" s="80"/>
      <c r="V943" s="80"/>
      <c r="W943" s="80"/>
      <c r="X943" s="80"/>
      <c r="Y943" s="81"/>
      <c r="Z943" s="80"/>
      <c r="AA943" s="80"/>
      <c r="AB943" s="80"/>
      <c r="AC943" s="80"/>
      <c r="AD943" s="81"/>
      <c r="AE943" s="80"/>
      <c r="AF943" s="80"/>
      <c r="AG943" s="81"/>
      <c r="AH943" s="79"/>
      <c r="AI943" s="78" t="str">
        <f aca="false">IF(E943="","",(V943&lt;&gt;"")+(AA943&lt;&gt;"")+(AF943&lt;&gt;""))</f>
        <v/>
      </c>
      <c r="AJ943" s="82" t="str">
        <f aca="false">IF(AF943&lt;&gt;"",AF943,IF(AA943&lt;&gt;"",AA943,IF(V943&lt;&gt;"",V943,"")))</f>
        <v/>
      </c>
      <c r="AK943" s="83" t="str">
        <f aca="false">IF(E943="","",IF(P943="","À SOUDER",IF(S943="","VT EN ATTENTE",IF(S943="R","VT REJETÉ – À REPRENDRE",IF(AJ943="","À RADIOGRAPHIER",IF(AJ943="A","ACCEPTÉ",IF(AJ943="NX","NX – RT À REFAIRE",IF(IF(AI943=1,X943,IF(AI943=2,AC943,""))="A","RÉPARÉ – À RADIOGRAPHIER",IF(IF(AI943=1,X943,IF(AI943=2,AC943,""))="R","VT REJETÉ – À REPRENDRE",IF(AJ943="CO","COUPE – À RESOUDER","À RÉPARER"))))))))))</f>
        <v/>
      </c>
      <c r="AL943" s="82" t="str">
        <f aca="false">IF(AND(ISNUMBER(P943),OR(AK943="À RADIOGRAPHIER",AK943="RÉPARÉ – À RADIOGRAPHIER",AK943="NX – RT À REFAIRE",AK943="À RÉPARER",AK943="COUPE – À RESOUDER",AK943="VT REJETÉ – À REPRENDRE")),MAX(0,'PROGRAMME RT'!$C$4-P943),"")</f>
        <v/>
      </c>
      <c r="AM943" s="78" t="n">
        <f aca="false">IF(AND(OR(AK943="À RADIOGRAPHIER",AK943="RÉPARÉ – À RADIOGRAPHIER",AK943="NX – RT À REFAIRE"),OR('PROGRAMME RT'!$D$5="TOUTES",B943='PROGRAMME RT'!$D$5)),1,0)</f>
        <v>0</v>
      </c>
      <c r="AN943" s="78" t="str">
        <f aca="false">IF(AM943=1,SUM(AM$7:AM943),"")</f>
        <v/>
      </c>
      <c r="AO943" s="78" t="n">
        <f aca="false">IF(AND(OR(AK943="À RÉPARER",AK943="COUPE – À RESOUDER",AK943="VT REJETÉ – À REPRENDRE"),OR(RÉPARATIONS!$D$5="TOUTES",B943=RÉPARATIONS!$D$5)),1,0)</f>
        <v>0</v>
      </c>
      <c r="AP943" s="78" t="str">
        <f aca="false">IF(AO943=1,SUM(AO$7:AO943),"")</f>
        <v/>
      </c>
    </row>
    <row r="944" customFormat="false" ht="15" hidden="false" customHeight="false" outlineLevel="0" collapsed="false">
      <c r="A944" s="78" t="str">
        <f aca="false">IF(E944="","",ROW()-6)</f>
        <v/>
      </c>
      <c r="B944" s="79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1"/>
      <c r="Q944" s="81"/>
      <c r="R944" s="80"/>
      <c r="S944" s="80"/>
      <c r="T944" s="81"/>
      <c r="U944" s="80"/>
      <c r="V944" s="80"/>
      <c r="W944" s="80"/>
      <c r="X944" s="80"/>
      <c r="Y944" s="81"/>
      <c r="Z944" s="80"/>
      <c r="AA944" s="80"/>
      <c r="AB944" s="80"/>
      <c r="AC944" s="80"/>
      <c r="AD944" s="81"/>
      <c r="AE944" s="80"/>
      <c r="AF944" s="80"/>
      <c r="AG944" s="81"/>
      <c r="AH944" s="79"/>
      <c r="AI944" s="78" t="str">
        <f aca="false">IF(E944="","",(V944&lt;&gt;"")+(AA944&lt;&gt;"")+(AF944&lt;&gt;""))</f>
        <v/>
      </c>
      <c r="AJ944" s="82" t="str">
        <f aca="false">IF(AF944&lt;&gt;"",AF944,IF(AA944&lt;&gt;"",AA944,IF(V944&lt;&gt;"",V944,"")))</f>
        <v/>
      </c>
      <c r="AK944" s="83" t="str">
        <f aca="false">IF(E944="","",IF(P944="","À SOUDER",IF(S944="","VT EN ATTENTE",IF(S944="R","VT REJETÉ – À REPRENDRE",IF(AJ944="","À RADIOGRAPHIER",IF(AJ944="A","ACCEPTÉ",IF(AJ944="NX","NX – RT À REFAIRE",IF(IF(AI944=1,X944,IF(AI944=2,AC944,""))="A","RÉPARÉ – À RADIOGRAPHIER",IF(IF(AI944=1,X944,IF(AI944=2,AC944,""))="R","VT REJETÉ – À REPRENDRE",IF(AJ944="CO","COUPE – À RESOUDER","À RÉPARER"))))))))))</f>
        <v/>
      </c>
      <c r="AL944" s="82" t="str">
        <f aca="false">IF(AND(ISNUMBER(P944),OR(AK944="À RADIOGRAPHIER",AK944="RÉPARÉ – À RADIOGRAPHIER",AK944="NX – RT À REFAIRE",AK944="À RÉPARER",AK944="COUPE – À RESOUDER",AK944="VT REJETÉ – À REPRENDRE")),MAX(0,'PROGRAMME RT'!$C$4-P944),"")</f>
        <v/>
      </c>
      <c r="AM944" s="78" t="n">
        <f aca="false">IF(AND(OR(AK944="À RADIOGRAPHIER",AK944="RÉPARÉ – À RADIOGRAPHIER",AK944="NX – RT À REFAIRE"),OR('PROGRAMME RT'!$D$5="TOUTES",B944='PROGRAMME RT'!$D$5)),1,0)</f>
        <v>0</v>
      </c>
      <c r="AN944" s="78" t="str">
        <f aca="false">IF(AM944=1,SUM(AM$7:AM944),"")</f>
        <v/>
      </c>
      <c r="AO944" s="78" t="n">
        <f aca="false">IF(AND(OR(AK944="À RÉPARER",AK944="COUPE – À RESOUDER",AK944="VT REJETÉ – À REPRENDRE"),OR(RÉPARATIONS!$D$5="TOUTES",B944=RÉPARATIONS!$D$5)),1,0)</f>
        <v>0</v>
      </c>
      <c r="AP944" s="78" t="str">
        <f aca="false">IF(AO944=1,SUM(AO$7:AO944),"")</f>
        <v/>
      </c>
    </row>
    <row r="945" customFormat="false" ht="15" hidden="false" customHeight="false" outlineLevel="0" collapsed="false">
      <c r="A945" s="78" t="str">
        <f aca="false">IF(E945="","",ROW()-6)</f>
        <v/>
      </c>
      <c r="B945" s="79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1"/>
      <c r="Q945" s="81"/>
      <c r="R945" s="80"/>
      <c r="S945" s="80"/>
      <c r="T945" s="81"/>
      <c r="U945" s="80"/>
      <c r="V945" s="80"/>
      <c r="W945" s="80"/>
      <c r="X945" s="80"/>
      <c r="Y945" s="81"/>
      <c r="Z945" s="80"/>
      <c r="AA945" s="80"/>
      <c r="AB945" s="80"/>
      <c r="AC945" s="80"/>
      <c r="AD945" s="81"/>
      <c r="AE945" s="80"/>
      <c r="AF945" s="80"/>
      <c r="AG945" s="81"/>
      <c r="AH945" s="79"/>
      <c r="AI945" s="78" t="str">
        <f aca="false">IF(E945="","",(V945&lt;&gt;"")+(AA945&lt;&gt;"")+(AF945&lt;&gt;""))</f>
        <v/>
      </c>
      <c r="AJ945" s="82" t="str">
        <f aca="false">IF(AF945&lt;&gt;"",AF945,IF(AA945&lt;&gt;"",AA945,IF(V945&lt;&gt;"",V945,"")))</f>
        <v/>
      </c>
      <c r="AK945" s="83" t="str">
        <f aca="false">IF(E945="","",IF(P945="","À SOUDER",IF(S945="","VT EN ATTENTE",IF(S945="R","VT REJETÉ – À REPRENDRE",IF(AJ945="","À RADIOGRAPHIER",IF(AJ945="A","ACCEPTÉ",IF(AJ945="NX","NX – RT À REFAIRE",IF(IF(AI945=1,X945,IF(AI945=2,AC945,""))="A","RÉPARÉ – À RADIOGRAPHIER",IF(IF(AI945=1,X945,IF(AI945=2,AC945,""))="R","VT REJETÉ – À REPRENDRE",IF(AJ945="CO","COUPE – À RESOUDER","À RÉPARER"))))))))))</f>
        <v/>
      </c>
      <c r="AL945" s="82" t="str">
        <f aca="false">IF(AND(ISNUMBER(P945),OR(AK945="À RADIOGRAPHIER",AK945="RÉPARÉ – À RADIOGRAPHIER",AK945="NX – RT À REFAIRE",AK945="À RÉPARER",AK945="COUPE – À RESOUDER",AK945="VT REJETÉ – À REPRENDRE")),MAX(0,'PROGRAMME RT'!$C$4-P945),"")</f>
        <v/>
      </c>
      <c r="AM945" s="78" t="n">
        <f aca="false">IF(AND(OR(AK945="À RADIOGRAPHIER",AK945="RÉPARÉ – À RADIOGRAPHIER",AK945="NX – RT À REFAIRE"),OR('PROGRAMME RT'!$D$5="TOUTES",B945='PROGRAMME RT'!$D$5)),1,0)</f>
        <v>0</v>
      </c>
      <c r="AN945" s="78" t="str">
        <f aca="false">IF(AM945=1,SUM(AM$7:AM945),"")</f>
        <v/>
      </c>
      <c r="AO945" s="78" t="n">
        <f aca="false">IF(AND(OR(AK945="À RÉPARER",AK945="COUPE – À RESOUDER",AK945="VT REJETÉ – À REPRENDRE"),OR(RÉPARATIONS!$D$5="TOUTES",B945=RÉPARATIONS!$D$5)),1,0)</f>
        <v>0</v>
      </c>
      <c r="AP945" s="78" t="str">
        <f aca="false">IF(AO945=1,SUM(AO$7:AO945),"")</f>
        <v/>
      </c>
    </row>
    <row r="946" customFormat="false" ht="15" hidden="false" customHeight="false" outlineLevel="0" collapsed="false">
      <c r="A946" s="78" t="str">
        <f aca="false">IF(E946="","",ROW()-6)</f>
        <v/>
      </c>
      <c r="B946" s="79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1"/>
      <c r="Q946" s="81"/>
      <c r="R946" s="80"/>
      <c r="S946" s="80"/>
      <c r="T946" s="81"/>
      <c r="U946" s="80"/>
      <c r="V946" s="80"/>
      <c r="W946" s="80"/>
      <c r="X946" s="80"/>
      <c r="Y946" s="81"/>
      <c r="Z946" s="80"/>
      <c r="AA946" s="80"/>
      <c r="AB946" s="80"/>
      <c r="AC946" s="80"/>
      <c r="AD946" s="81"/>
      <c r="AE946" s="80"/>
      <c r="AF946" s="80"/>
      <c r="AG946" s="81"/>
      <c r="AH946" s="79"/>
      <c r="AI946" s="78" t="str">
        <f aca="false">IF(E946="","",(V946&lt;&gt;"")+(AA946&lt;&gt;"")+(AF946&lt;&gt;""))</f>
        <v/>
      </c>
      <c r="AJ946" s="82" t="str">
        <f aca="false">IF(AF946&lt;&gt;"",AF946,IF(AA946&lt;&gt;"",AA946,IF(V946&lt;&gt;"",V946,"")))</f>
        <v/>
      </c>
      <c r="AK946" s="83" t="str">
        <f aca="false">IF(E946="","",IF(P946="","À SOUDER",IF(S946="","VT EN ATTENTE",IF(S946="R","VT REJETÉ – À REPRENDRE",IF(AJ946="","À RADIOGRAPHIER",IF(AJ946="A","ACCEPTÉ",IF(AJ946="NX","NX – RT À REFAIRE",IF(IF(AI946=1,X946,IF(AI946=2,AC946,""))="A","RÉPARÉ – À RADIOGRAPHIER",IF(IF(AI946=1,X946,IF(AI946=2,AC946,""))="R","VT REJETÉ – À REPRENDRE",IF(AJ946="CO","COUPE – À RESOUDER","À RÉPARER"))))))))))</f>
        <v/>
      </c>
      <c r="AL946" s="82" t="str">
        <f aca="false">IF(AND(ISNUMBER(P946),OR(AK946="À RADIOGRAPHIER",AK946="RÉPARÉ – À RADIOGRAPHIER",AK946="NX – RT À REFAIRE",AK946="À RÉPARER",AK946="COUPE – À RESOUDER",AK946="VT REJETÉ – À REPRENDRE")),MAX(0,'PROGRAMME RT'!$C$4-P946),"")</f>
        <v/>
      </c>
      <c r="AM946" s="78" t="n">
        <f aca="false">IF(AND(OR(AK946="À RADIOGRAPHIER",AK946="RÉPARÉ – À RADIOGRAPHIER",AK946="NX – RT À REFAIRE"),OR('PROGRAMME RT'!$D$5="TOUTES",B946='PROGRAMME RT'!$D$5)),1,0)</f>
        <v>0</v>
      </c>
      <c r="AN946" s="78" t="str">
        <f aca="false">IF(AM946=1,SUM(AM$7:AM946),"")</f>
        <v/>
      </c>
      <c r="AO946" s="78" t="n">
        <f aca="false">IF(AND(OR(AK946="À RÉPARER",AK946="COUPE – À RESOUDER",AK946="VT REJETÉ – À REPRENDRE"),OR(RÉPARATIONS!$D$5="TOUTES",B946=RÉPARATIONS!$D$5)),1,0)</f>
        <v>0</v>
      </c>
      <c r="AP946" s="78" t="str">
        <f aca="false">IF(AO946=1,SUM(AO$7:AO946),"")</f>
        <v/>
      </c>
    </row>
    <row r="947" customFormat="false" ht="15" hidden="false" customHeight="false" outlineLevel="0" collapsed="false">
      <c r="A947" s="78" t="str">
        <f aca="false">IF(E947="","",ROW()-6)</f>
        <v/>
      </c>
      <c r="B947" s="79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1"/>
      <c r="Q947" s="81"/>
      <c r="R947" s="80"/>
      <c r="S947" s="80"/>
      <c r="T947" s="81"/>
      <c r="U947" s="80"/>
      <c r="V947" s="80"/>
      <c r="W947" s="80"/>
      <c r="X947" s="80"/>
      <c r="Y947" s="81"/>
      <c r="Z947" s="80"/>
      <c r="AA947" s="80"/>
      <c r="AB947" s="80"/>
      <c r="AC947" s="80"/>
      <c r="AD947" s="81"/>
      <c r="AE947" s="80"/>
      <c r="AF947" s="80"/>
      <c r="AG947" s="81"/>
      <c r="AH947" s="79"/>
      <c r="AI947" s="78" t="str">
        <f aca="false">IF(E947="","",(V947&lt;&gt;"")+(AA947&lt;&gt;"")+(AF947&lt;&gt;""))</f>
        <v/>
      </c>
      <c r="AJ947" s="82" t="str">
        <f aca="false">IF(AF947&lt;&gt;"",AF947,IF(AA947&lt;&gt;"",AA947,IF(V947&lt;&gt;"",V947,"")))</f>
        <v/>
      </c>
      <c r="AK947" s="83" t="str">
        <f aca="false">IF(E947="","",IF(P947="","À SOUDER",IF(S947="","VT EN ATTENTE",IF(S947="R","VT REJETÉ – À REPRENDRE",IF(AJ947="","À RADIOGRAPHIER",IF(AJ947="A","ACCEPTÉ",IF(AJ947="NX","NX – RT À REFAIRE",IF(IF(AI947=1,X947,IF(AI947=2,AC947,""))="A","RÉPARÉ – À RADIOGRAPHIER",IF(IF(AI947=1,X947,IF(AI947=2,AC947,""))="R","VT REJETÉ – À REPRENDRE",IF(AJ947="CO","COUPE – À RESOUDER","À RÉPARER"))))))))))</f>
        <v/>
      </c>
      <c r="AL947" s="82" t="str">
        <f aca="false">IF(AND(ISNUMBER(P947),OR(AK947="À RADIOGRAPHIER",AK947="RÉPARÉ – À RADIOGRAPHIER",AK947="NX – RT À REFAIRE",AK947="À RÉPARER",AK947="COUPE – À RESOUDER",AK947="VT REJETÉ – À REPRENDRE")),MAX(0,'PROGRAMME RT'!$C$4-P947),"")</f>
        <v/>
      </c>
      <c r="AM947" s="78" t="n">
        <f aca="false">IF(AND(OR(AK947="À RADIOGRAPHIER",AK947="RÉPARÉ – À RADIOGRAPHIER",AK947="NX – RT À REFAIRE"),OR('PROGRAMME RT'!$D$5="TOUTES",B947='PROGRAMME RT'!$D$5)),1,0)</f>
        <v>0</v>
      </c>
      <c r="AN947" s="78" t="str">
        <f aca="false">IF(AM947=1,SUM(AM$7:AM947),"")</f>
        <v/>
      </c>
      <c r="AO947" s="78" t="n">
        <f aca="false">IF(AND(OR(AK947="À RÉPARER",AK947="COUPE – À RESOUDER",AK947="VT REJETÉ – À REPRENDRE"),OR(RÉPARATIONS!$D$5="TOUTES",B947=RÉPARATIONS!$D$5)),1,0)</f>
        <v>0</v>
      </c>
      <c r="AP947" s="78" t="str">
        <f aca="false">IF(AO947=1,SUM(AO$7:AO947),"")</f>
        <v/>
      </c>
    </row>
    <row r="948" customFormat="false" ht="15" hidden="false" customHeight="false" outlineLevel="0" collapsed="false">
      <c r="A948" s="78" t="str">
        <f aca="false">IF(E948="","",ROW()-6)</f>
        <v/>
      </c>
      <c r="B948" s="79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1"/>
      <c r="Q948" s="81"/>
      <c r="R948" s="80"/>
      <c r="S948" s="80"/>
      <c r="T948" s="81"/>
      <c r="U948" s="80"/>
      <c r="V948" s="80"/>
      <c r="W948" s="80"/>
      <c r="X948" s="80"/>
      <c r="Y948" s="81"/>
      <c r="Z948" s="80"/>
      <c r="AA948" s="80"/>
      <c r="AB948" s="80"/>
      <c r="AC948" s="80"/>
      <c r="AD948" s="81"/>
      <c r="AE948" s="80"/>
      <c r="AF948" s="80"/>
      <c r="AG948" s="81"/>
      <c r="AH948" s="79"/>
      <c r="AI948" s="78" t="str">
        <f aca="false">IF(E948="","",(V948&lt;&gt;"")+(AA948&lt;&gt;"")+(AF948&lt;&gt;""))</f>
        <v/>
      </c>
      <c r="AJ948" s="82" t="str">
        <f aca="false">IF(AF948&lt;&gt;"",AF948,IF(AA948&lt;&gt;"",AA948,IF(V948&lt;&gt;"",V948,"")))</f>
        <v/>
      </c>
      <c r="AK948" s="83" t="str">
        <f aca="false">IF(E948="","",IF(P948="","À SOUDER",IF(S948="","VT EN ATTENTE",IF(S948="R","VT REJETÉ – À REPRENDRE",IF(AJ948="","À RADIOGRAPHIER",IF(AJ948="A","ACCEPTÉ",IF(AJ948="NX","NX – RT À REFAIRE",IF(IF(AI948=1,X948,IF(AI948=2,AC948,""))="A","RÉPARÉ – À RADIOGRAPHIER",IF(IF(AI948=1,X948,IF(AI948=2,AC948,""))="R","VT REJETÉ – À REPRENDRE",IF(AJ948="CO","COUPE – À RESOUDER","À RÉPARER"))))))))))</f>
        <v/>
      </c>
      <c r="AL948" s="82" t="str">
        <f aca="false">IF(AND(ISNUMBER(P948),OR(AK948="À RADIOGRAPHIER",AK948="RÉPARÉ – À RADIOGRAPHIER",AK948="NX – RT À REFAIRE",AK948="À RÉPARER",AK948="COUPE – À RESOUDER",AK948="VT REJETÉ – À REPRENDRE")),MAX(0,'PROGRAMME RT'!$C$4-P948),"")</f>
        <v/>
      </c>
      <c r="AM948" s="78" t="n">
        <f aca="false">IF(AND(OR(AK948="À RADIOGRAPHIER",AK948="RÉPARÉ – À RADIOGRAPHIER",AK948="NX – RT À REFAIRE"),OR('PROGRAMME RT'!$D$5="TOUTES",B948='PROGRAMME RT'!$D$5)),1,0)</f>
        <v>0</v>
      </c>
      <c r="AN948" s="78" t="str">
        <f aca="false">IF(AM948=1,SUM(AM$7:AM948),"")</f>
        <v/>
      </c>
      <c r="AO948" s="78" t="n">
        <f aca="false">IF(AND(OR(AK948="À RÉPARER",AK948="COUPE – À RESOUDER",AK948="VT REJETÉ – À REPRENDRE"),OR(RÉPARATIONS!$D$5="TOUTES",B948=RÉPARATIONS!$D$5)),1,0)</f>
        <v>0</v>
      </c>
      <c r="AP948" s="78" t="str">
        <f aca="false">IF(AO948=1,SUM(AO$7:AO948),"")</f>
        <v/>
      </c>
    </row>
    <row r="949" customFormat="false" ht="15" hidden="false" customHeight="false" outlineLevel="0" collapsed="false">
      <c r="A949" s="78" t="str">
        <f aca="false">IF(E949="","",ROW()-6)</f>
        <v/>
      </c>
      <c r="B949" s="79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1"/>
      <c r="Q949" s="81"/>
      <c r="R949" s="80"/>
      <c r="S949" s="80"/>
      <c r="T949" s="81"/>
      <c r="U949" s="80"/>
      <c r="V949" s="80"/>
      <c r="W949" s="80"/>
      <c r="X949" s="80"/>
      <c r="Y949" s="81"/>
      <c r="Z949" s="80"/>
      <c r="AA949" s="80"/>
      <c r="AB949" s="80"/>
      <c r="AC949" s="80"/>
      <c r="AD949" s="81"/>
      <c r="AE949" s="80"/>
      <c r="AF949" s="80"/>
      <c r="AG949" s="81"/>
      <c r="AH949" s="79"/>
      <c r="AI949" s="78" t="str">
        <f aca="false">IF(E949="","",(V949&lt;&gt;"")+(AA949&lt;&gt;"")+(AF949&lt;&gt;""))</f>
        <v/>
      </c>
      <c r="AJ949" s="82" t="str">
        <f aca="false">IF(AF949&lt;&gt;"",AF949,IF(AA949&lt;&gt;"",AA949,IF(V949&lt;&gt;"",V949,"")))</f>
        <v/>
      </c>
      <c r="AK949" s="83" t="str">
        <f aca="false">IF(E949="","",IF(P949="","À SOUDER",IF(S949="","VT EN ATTENTE",IF(S949="R","VT REJETÉ – À REPRENDRE",IF(AJ949="","À RADIOGRAPHIER",IF(AJ949="A","ACCEPTÉ",IF(AJ949="NX","NX – RT À REFAIRE",IF(IF(AI949=1,X949,IF(AI949=2,AC949,""))="A","RÉPARÉ – À RADIOGRAPHIER",IF(IF(AI949=1,X949,IF(AI949=2,AC949,""))="R","VT REJETÉ – À REPRENDRE",IF(AJ949="CO","COUPE – À RESOUDER","À RÉPARER"))))))))))</f>
        <v/>
      </c>
      <c r="AL949" s="82" t="str">
        <f aca="false">IF(AND(ISNUMBER(P949),OR(AK949="À RADIOGRAPHIER",AK949="RÉPARÉ – À RADIOGRAPHIER",AK949="NX – RT À REFAIRE",AK949="À RÉPARER",AK949="COUPE – À RESOUDER",AK949="VT REJETÉ – À REPRENDRE")),MAX(0,'PROGRAMME RT'!$C$4-P949),"")</f>
        <v/>
      </c>
      <c r="AM949" s="78" t="n">
        <f aca="false">IF(AND(OR(AK949="À RADIOGRAPHIER",AK949="RÉPARÉ – À RADIOGRAPHIER",AK949="NX – RT À REFAIRE"),OR('PROGRAMME RT'!$D$5="TOUTES",B949='PROGRAMME RT'!$D$5)),1,0)</f>
        <v>0</v>
      </c>
      <c r="AN949" s="78" t="str">
        <f aca="false">IF(AM949=1,SUM(AM$7:AM949),"")</f>
        <v/>
      </c>
      <c r="AO949" s="78" t="n">
        <f aca="false">IF(AND(OR(AK949="À RÉPARER",AK949="COUPE – À RESOUDER",AK949="VT REJETÉ – À REPRENDRE"),OR(RÉPARATIONS!$D$5="TOUTES",B949=RÉPARATIONS!$D$5)),1,0)</f>
        <v>0</v>
      </c>
      <c r="AP949" s="78" t="str">
        <f aca="false">IF(AO949=1,SUM(AO$7:AO949),"")</f>
        <v/>
      </c>
    </row>
    <row r="950" customFormat="false" ht="15" hidden="false" customHeight="false" outlineLevel="0" collapsed="false">
      <c r="A950" s="78" t="str">
        <f aca="false">IF(E950="","",ROW()-6)</f>
        <v/>
      </c>
      <c r="B950" s="79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1"/>
      <c r="Q950" s="81"/>
      <c r="R950" s="80"/>
      <c r="S950" s="80"/>
      <c r="T950" s="81"/>
      <c r="U950" s="80"/>
      <c r="V950" s="80"/>
      <c r="W950" s="80"/>
      <c r="X950" s="80"/>
      <c r="Y950" s="81"/>
      <c r="Z950" s="80"/>
      <c r="AA950" s="80"/>
      <c r="AB950" s="80"/>
      <c r="AC950" s="80"/>
      <c r="AD950" s="81"/>
      <c r="AE950" s="80"/>
      <c r="AF950" s="80"/>
      <c r="AG950" s="81"/>
      <c r="AH950" s="79"/>
      <c r="AI950" s="78" t="str">
        <f aca="false">IF(E950="","",(V950&lt;&gt;"")+(AA950&lt;&gt;"")+(AF950&lt;&gt;""))</f>
        <v/>
      </c>
      <c r="AJ950" s="82" t="str">
        <f aca="false">IF(AF950&lt;&gt;"",AF950,IF(AA950&lt;&gt;"",AA950,IF(V950&lt;&gt;"",V950,"")))</f>
        <v/>
      </c>
      <c r="AK950" s="83" t="str">
        <f aca="false">IF(E950="","",IF(P950="","À SOUDER",IF(S950="","VT EN ATTENTE",IF(S950="R","VT REJETÉ – À REPRENDRE",IF(AJ950="","À RADIOGRAPHIER",IF(AJ950="A","ACCEPTÉ",IF(AJ950="NX","NX – RT À REFAIRE",IF(IF(AI950=1,X950,IF(AI950=2,AC950,""))="A","RÉPARÉ – À RADIOGRAPHIER",IF(IF(AI950=1,X950,IF(AI950=2,AC950,""))="R","VT REJETÉ – À REPRENDRE",IF(AJ950="CO","COUPE – À RESOUDER","À RÉPARER"))))))))))</f>
        <v/>
      </c>
      <c r="AL950" s="82" t="str">
        <f aca="false">IF(AND(ISNUMBER(P950),OR(AK950="À RADIOGRAPHIER",AK950="RÉPARÉ – À RADIOGRAPHIER",AK950="NX – RT À REFAIRE",AK950="À RÉPARER",AK950="COUPE – À RESOUDER",AK950="VT REJETÉ – À REPRENDRE")),MAX(0,'PROGRAMME RT'!$C$4-P950),"")</f>
        <v/>
      </c>
      <c r="AM950" s="78" t="n">
        <f aca="false">IF(AND(OR(AK950="À RADIOGRAPHIER",AK950="RÉPARÉ – À RADIOGRAPHIER",AK950="NX – RT À REFAIRE"),OR('PROGRAMME RT'!$D$5="TOUTES",B950='PROGRAMME RT'!$D$5)),1,0)</f>
        <v>0</v>
      </c>
      <c r="AN950" s="78" t="str">
        <f aca="false">IF(AM950=1,SUM(AM$7:AM950),"")</f>
        <v/>
      </c>
      <c r="AO950" s="78" t="n">
        <f aca="false">IF(AND(OR(AK950="À RÉPARER",AK950="COUPE – À RESOUDER",AK950="VT REJETÉ – À REPRENDRE"),OR(RÉPARATIONS!$D$5="TOUTES",B950=RÉPARATIONS!$D$5)),1,0)</f>
        <v>0</v>
      </c>
      <c r="AP950" s="78" t="str">
        <f aca="false">IF(AO950=1,SUM(AO$7:AO950),"")</f>
        <v/>
      </c>
    </row>
    <row r="951" customFormat="false" ht="15" hidden="false" customHeight="false" outlineLevel="0" collapsed="false">
      <c r="A951" s="78" t="str">
        <f aca="false">IF(E951="","",ROW()-6)</f>
        <v/>
      </c>
      <c r="B951" s="79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1"/>
      <c r="Q951" s="81"/>
      <c r="R951" s="80"/>
      <c r="S951" s="80"/>
      <c r="T951" s="81"/>
      <c r="U951" s="80"/>
      <c r="V951" s="80"/>
      <c r="W951" s="80"/>
      <c r="X951" s="80"/>
      <c r="Y951" s="81"/>
      <c r="Z951" s="80"/>
      <c r="AA951" s="80"/>
      <c r="AB951" s="80"/>
      <c r="AC951" s="80"/>
      <c r="AD951" s="81"/>
      <c r="AE951" s="80"/>
      <c r="AF951" s="80"/>
      <c r="AG951" s="81"/>
      <c r="AH951" s="79"/>
      <c r="AI951" s="78" t="str">
        <f aca="false">IF(E951="","",(V951&lt;&gt;"")+(AA951&lt;&gt;"")+(AF951&lt;&gt;""))</f>
        <v/>
      </c>
      <c r="AJ951" s="82" t="str">
        <f aca="false">IF(AF951&lt;&gt;"",AF951,IF(AA951&lt;&gt;"",AA951,IF(V951&lt;&gt;"",V951,"")))</f>
        <v/>
      </c>
      <c r="AK951" s="83" t="str">
        <f aca="false">IF(E951="","",IF(P951="","À SOUDER",IF(S951="","VT EN ATTENTE",IF(S951="R","VT REJETÉ – À REPRENDRE",IF(AJ951="","À RADIOGRAPHIER",IF(AJ951="A","ACCEPTÉ",IF(AJ951="NX","NX – RT À REFAIRE",IF(IF(AI951=1,X951,IF(AI951=2,AC951,""))="A","RÉPARÉ – À RADIOGRAPHIER",IF(IF(AI951=1,X951,IF(AI951=2,AC951,""))="R","VT REJETÉ – À REPRENDRE",IF(AJ951="CO","COUPE – À RESOUDER","À RÉPARER"))))))))))</f>
        <v/>
      </c>
      <c r="AL951" s="82" t="str">
        <f aca="false">IF(AND(ISNUMBER(P951),OR(AK951="À RADIOGRAPHIER",AK951="RÉPARÉ – À RADIOGRAPHIER",AK951="NX – RT À REFAIRE",AK951="À RÉPARER",AK951="COUPE – À RESOUDER",AK951="VT REJETÉ – À REPRENDRE")),MAX(0,'PROGRAMME RT'!$C$4-P951),"")</f>
        <v/>
      </c>
      <c r="AM951" s="78" t="n">
        <f aca="false">IF(AND(OR(AK951="À RADIOGRAPHIER",AK951="RÉPARÉ – À RADIOGRAPHIER",AK951="NX – RT À REFAIRE"),OR('PROGRAMME RT'!$D$5="TOUTES",B951='PROGRAMME RT'!$D$5)),1,0)</f>
        <v>0</v>
      </c>
      <c r="AN951" s="78" t="str">
        <f aca="false">IF(AM951=1,SUM(AM$7:AM951),"")</f>
        <v/>
      </c>
      <c r="AO951" s="78" t="n">
        <f aca="false">IF(AND(OR(AK951="À RÉPARER",AK951="COUPE – À RESOUDER",AK951="VT REJETÉ – À REPRENDRE"),OR(RÉPARATIONS!$D$5="TOUTES",B951=RÉPARATIONS!$D$5)),1,0)</f>
        <v>0</v>
      </c>
      <c r="AP951" s="78" t="str">
        <f aca="false">IF(AO951=1,SUM(AO$7:AO951),"")</f>
        <v/>
      </c>
    </row>
    <row r="952" customFormat="false" ht="15" hidden="false" customHeight="false" outlineLevel="0" collapsed="false">
      <c r="A952" s="78" t="str">
        <f aca="false">IF(E952="","",ROW()-6)</f>
        <v/>
      </c>
      <c r="B952" s="79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1"/>
      <c r="Q952" s="81"/>
      <c r="R952" s="80"/>
      <c r="S952" s="80"/>
      <c r="T952" s="81"/>
      <c r="U952" s="80"/>
      <c r="V952" s="80"/>
      <c r="W952" s="80"/>
      <c r="X952" s="80"/>
      <c r="Y952" s="81"/>
      <c r="Z952" s="80"/>
      <c r="AA952" s="80"/>
      <c r="AB952" s="80"/>
      <c r="AC952" s="80"/>
      <c r="AD952" s="81"/>
      <c r="AE952" s="80"/>
      <c r="AF952" s="80"/>
      <c r="AG952" s="81"/>
      <c r="AH952" s="79"/>
      <c r="AI952" s="78" t="str">
        <f aca="false">IF(E952="","",(V952&lt;&gt;"")+(AA952&lt;&gt;"")+(AF952&lt;&gt;""))</f>
        <v/>
      </c>
      <c r="AJ952" s="82" t="str">
        <f aca="false">IF(AF952&lt;&gt;"",AF952,IF(AA952&lt;&gt;"",AA952,IF(V952&lt;&gt;"",V952,"")))</f>
        <v/>
      </c>
      <c r="AK952" s="83" t="str">
        <f aca="false">IF(E952="","",IF(P952="","À SOUDER",IF(S952="","VT EN ATTENTE",IF(S952="R","VT REJETÉ – À REPRENDRE",IF(AJ952="","À RADIOGRAPHIER",IF(AJ952="A","ACCEPTÉ",IF(AJ952="NX","NX – RT À REFAIRE",IF(IF(AI952=1,X952,IF(AI952=2,AC952,""))="A","RÉPARÉ – À RADIOGRAPHIER",IF(IF(AI952=1,X952,IF(AI952=2,AC952,""))="R","VT REJETÉ – À REPRENDRE",IF(AJ952="CO","COUPE – À RESOUDER","À RÉPARER"))))))))))</f>
        <v/>
      </c>
      <c r="AL952" s="82" t="str">
        <f aca="false">IF(AND(ISNUMBER(P952),OR(AK952="À RADIOGRAPHIER",AK952="RÉPARÉ – À RADIOGRAPHIER",AK952="NX – RT À REFAIRE",AK952="À RÉPARER",AK952="COUPE – À RESOUDER",AK952="VT REJETÉ – À REPRENDRE")),MAX(0,'PROGRAMME RT'!$C$4-P952),"")</f>
        <v/>
      </c>
      <c r="AM952" s="78" t="n">
        <f aca="false">IF(AND(OR(AK952="À RADIOGRAPHIER",AK952="RÉPARÉ – À RADIOGRAPHIER",AK952="NX – RT À REFAIRE"),OR('PROGRAMME RT'!$D$5="TOUTES",B952='PROGRAMME RT'!$D$5)),1,0)</f>
        <v>0</v>
      </c>
      <c r="AN952" s="78" t="str">
        <f aca="false">IF(AM952=1,SUM(AM$7:AM952),"")</f>
        <v/>
      </c>
      <c r="AO952" s="78" t="n">
        <f aca="false">IF(AND(OR(AK952="À RÉPARER",AK952="COUPE – À RESOUDER",AK952="VT REJETÉ – À REPRENDRE"),OR(RÉPARATIONS!$D$5="TOUTES",B952=RÉPARATIONS!$D$5)),1,0)</f>
        <v>0</v>
      </c>
      <c r="AP952" s="78" t="str">
        <f aca="false">IF(AO952=1,SUM(AO$7:AO952),"")</f>
        <v/>
      </c>
    </row>
    <row r="953" customFormat="false" ht="15" hidden="false" customHeight="false" outlineLevel="0" collapsed="false">
      <c r="A953" s="78" t="str">
        <f aca="false">IF(E953="","",ROW()-6)</f>
        <v/>
      </c>
      <c r="B953" s="79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1"/>
      <c r="Q953" s="81"/>
      <c r="R953" s="80"/>
      <c r="S953" s="80"/>
      <c r="T953" s="81"/>
      <c r="U953" s="80"/>
      <c r="V953" s="80"/>
      <c r="W953" s="80"/>
      <c r="X953" s="80"/>
      <c r="Y953" s="81"/>
      <c r="Z953" s="80"/>
      <c r="AA953" s="80"/>
      <c r="AB953" s="80"/>
      <c r="AC953" s="80"/>
      <c r="AD953" s="81"/>
      <c r="AE953" s="80"/>
      <c r="AF953" s="80"/>
      <c r="AG953" s="81"/>
      <c r="AH953" s="79"/>
      <c r="AI953" s="78" t="str">
        <f aca="false">IF(E953="","",(V953&lt;&gt;"")+(AA953&lt;&gt;"")+(AF953&lt;&gt;""))</f>
        <v/>
      </c>
      <c r="AJ953" s="82" t="str">
        <f aca="false">IF(AF953&lt;&gt;"",AF953,IF(AA953&lt;&gt;"",AA953,IF(V953&lt;&gt;"",V953,"")))</f>
        <v/>
      </c>
      <c r="AK953" s="83" t="str">
        <f aca="false">IF(E953="","",IF(P953="","À SOUDER",IF(S953="","VT EN ATTENTE",IF(S953="R","VT REJETÉ – À REPRENDRE",IF(AJ953="","À RADIOGRAPHIER",IF(AJ953="A","ACCEPTÉ",IF(AJ953="NX","NX – RT À REFAIRE",IF(IF(AI953=1,X953,IF(AI953=2,AC953,""))="A","RÉPARÉ – À RADIOGRAPHIER",IF(IF(AI953=1,X953,IF(AI953=2,AC953,""))="R","VT REJETÉ – À REPRENDRE",IF(AJ953="CO","COUPE – À RESOUDER","À RÉPARER"))))))))))</f>
        <v/>
      </c>
      <c r="AL953" s="82" t="str">
        <f aca="false">IF(AND(ISNUMBER(P953),OR(AK953="À RADIOGRAPHIER",AK953="RÉPARÉ – À RADIOGRAPHIER",AK953="NX – RT À REFAIRE",AK953="À RÉPARER",AK953="COUPE – À RESOUDER",AK953="VT REJETÉ – À REPRENDRE")),MAX(0,'PROGRAMME RT'!$C$4-P953),"")</f>
        <v/>
      </c>
      <c r="AM953" s="78" t="n">
        <f aca="false">IF(AND(OR(AK953="À RADIOGRAPHIER",AK953="RÉPARÉ – À RADIOGRAPHIER",AK953="NX – RT À REFAIRE"),OR('PROGRAMME RT'!$D$5="TOUTES",B953='PROGRAMME RT'!$D$5)),1,0)</f>
        <v>0</v>
      </c>
      <c r="AN953" s="78" t="str">
        <f aca="false">IF(AM953=1,SUM(AM$7:AM953),"")</f>
        <v/>
      </c>
      <c r="AO953" s="78" t="n">
        <f aca="false">IF(AND(OR(AK953="À RÉPARER",AK953="COUPE – À RESOUDER",AK953="VT REJETÉ – À REPRENDRE"),OR(RÉPARATIONS!$D$5="TOUTES",B953=RÉPARATIONS!$D$5)),1,0)</f>
        <v>0</v>
      </c>
      <c r="AP953" s="78" t="str">
        <f aca="false">IF(AO953=1,SUM(AO$7:AO953),"")</f>
        <v/>
      </c>
    </row>
    <row r="954" customFormat="false" ht="15" hidden="false" customHeight="false" outlineLevel="0" collapsed="false">
      <c r="A954" s="78" t="str">
        <f aca="false">IF(E954="","",ROW()-6)</f>
        <v/>
      </c>
      <c r="B954" s="79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1"/>
      <c r="Q954" s="81"/>
      <c r="R954" s="80"/>
      <c r="S954" s="80"/>
      <c r="T954" s="81"/>
      <c r="U954" s="80"/>
      <c r="V954" s="80"/>
      <c r="W954" s="80"/>
      <c r="X954" s="80"/>
      <c r="Y954" s="81"/>
      <c r="Z954" s="80"/>
      <c r="AA954" s="80"/>
      <c r="AB954" s="80"/>
      <c r="AC954" s="80"/>
      <c r="AD954" s="81"/>
      <c r="AE954" s="80"/>
      <c r="AF954" s="80"/>
      <c r="AG954" s="81"/>
      <c r="AH954" s="79"/>
      <c r="AI954" s="78" t="str">
        <f aca="false">IF(E954="","",(V954&lt;&gt;"")+(AA954&lt;&gt;"")+(AF954&lt;&gt;""))</f>
        <v/>
      </c>
      <c r="AJ954" s="82" t="str">
        <f aca="false">IF(AF954&lt;&gt;"",AF954,IF(AA954&lt;&gt;"",AA954,IF(V954&lt;&gt;"",V954,"")))</f>
        <v/>
      </c>
      <c r="AK954" s="83" t="str">
        <f aca="false">IF(E954="","",IF(P954="","À SOUDER",IF(S954="","VT EN ATTENTE",IF(S954="R","VT REJETÉ – À REPRENDRE",IF(AJ954="","À RADIOGRAPHIER",IF(AJ954="A","ACCEPTÉ",IF(AJ954="NX","NX – RT À REFAIRE",IF(IF(AI954=1,X954,IF(AI954=2,AC954,""))="A","RÉPARÉ – À RADIOGRAPHIER",IF(IF(AI954=1,X954,IF(AI954=2,AC954,""))="R","VT REJETÉ – À REPRENDRE",IF(AJ954="CO","COUPE – À RESOUDER","À RÉPARER"))))))))))</f>
        <v/>
      </c>
      <c r="AL954" s="82" t="str">
        <f aca="false">IF(AND(ISNUMBER(P954),OR(AK954="À RADIOGRAPHIER",AK954="RÉPARÉ – À RADIOGRAPHIER",AK954="NX – RT À REFAIRE",AK954="À RÉPARER",AK954="COUPE – À RESOUDER",AK954="VT REJETÉ – À REPRENDRE")),MAX(0,'PROGRAMME RT'!$C$4-P954),"")</f>
        <v/>
      </c>
      <c r="AM954" s="78" t="n">
        <f aca="false">IF(AND(OR(AK954="À RADIOGRAPHIER",AK954="RÉPARÉ – À RADIOGRAPHIER",AK954="NX – RT À REFAIRE"),OR('PROGRAMME RT'!$D$5="TOUTES",B954='PROGRAMME RT'!$D$5)),1,0)</f>
        <v>0</v>
      </c>
      <c r="AN954" s="78" t="str">
        <f aca="false">IF(AM954=1,SUM(AM$7:AM954),"")</f>
        <v/>
      </c>
      <c r="AO954" s="78" t="n">
        <f aca="false">IF(AND(OR(AK954="À RÉPARER",AK954="COUPE – À RESOUDER",AK954="VT REJETÉ – À REPRENDRE"),OR(RÉPARATIONS!$D$5="TOUTES",B954=RÉPARATIONS!$D$5)),1,0)</f>
        <v>0</v>
      </c>
      <c r="AP954" s="78" t="str">
        <f aca="false">IF(AO954=1,SUM(AO$7:AO954),"")</f>
        <v/>
      </c>
    </row>
    <row r="955" customFormat="false" ht="15" hidden="false" customHeight="false" outlineLevel="0" collapsed="false">
      <c r="A955" s="78" t="str">
        <f aca="false">IF(E955="","",ROW()-6)</f>
        <v/>
      </c>
      <c r="B955" s="79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1"/>
      <c r="Q955" s="81"/>
      <c r="R955" s="80"/>
      <c r="S955" s="80"/>
      <c r="T955" s="81"/>
      <c r="U955" s="80"/>
      <c r="V955" s="80"/>
      <c r="W955" s="80"/>
      <c r="X955" s="80"/>
      <c r="Y955" s="81"/>
      <c r="Z955" s="80"/>
      <c r="AA955" s="80"/>
      <c r="AB955" s="80"/>
      <c r="AC955" s="80"/>
      <c r="AD955" s="81"/>
      <c r="AE955" s="80"/>
      <c r="AF955" s="80"/>
      <c r="AG955" s="81"/>
      <c r="AH955" s="79"/>
      <c r="AI955" s="78" t="str">
        <f aca="false">IF(E955="","",(V955&lt;&gt;"")+(AA955&lt;&gt;"")+(AF955&lt;&gt;""))</f>
        <v/>
      </c>
      <c r="AJ955" s="82" t="str">
        <f aca="false">IF(AF955&lt;&gt;"",AF955,IF(AA955&lt;&gt;"",AA955,IF(V955&lt;&gt;"",V955,"")))</f>
        <v/>
      </c>
      <c r="AK955" s="83" t="str">
        <f aca="false">IF(E955="","",IF(P955="","À SOUDER",IF(S955="","VT EN ATTENTE",IF(S955="R","VT REJETÉ – À REPRENDRE",IF(AJ955="","À RADIOGRAPHIER",IF(AJ955="A","ACCEPTÉ",IF(AJ955="NX","NX – RT À REFAIRE",IF(IF(AI955=1,X955,IF(AI955=2,AC955,""))="A","RÉPARÉ – À RADIOGRAPHIER",IF(IF(AI955=1,X955,IF(AI955=2,AC955,""))="R","VT REJETÉ – À REPRENDRE",IF(AJ955="CO","COUPE – À RESOUDER","À RÉPARER"))))))))))</f>
        <v/>
      </c>
      <c r="AL955" s="82" t="str">
        <f aca="false">IF(AND(ISNUMBER(P955),OR(AK955="À RADIOGRAPHIER",AK955="RÉPARÉ – À RADIOGRAPHIER",AK955="NX – RT À REFAIRE",AK955="À RÉPARER",AK955="COUPE – À RESOUDER",AK955="VT REJETÉ – À REPRENDRE")),MAX(0,'PROGRAMME RT'!$C$4-P955),"")</f>
        <v/>
      </c>
      <c r="AM955" s="78" t="n">
        <f aca="false">IF(AND(OR(AK955="À RADIOGRAPHIER",AK955="RÉPARÉ – À RADIOGRAPHIER",AK955="NX – RT À REFAIRE"),OR('PROGRAMME RT'!$D$5="TOUTES",B955='PROGRAMME RT'!$D$5)),1,0)</f>
        <v>0</v>
      </c>
      <c r="AN955" s="78" t="str">
        <f aca="false">IF(AM955=1,SUM(AM$7:AM955),"")</f>
        <v/>
      </c>
      <c r="AO955" s="78" t="n">
        <f aca="false">IF(AND(OR(AK955="À RÉPARER",AK955="COUPE – À RESOUDER",AK955="VT REJETÉ – À REPRENDRE"),OR(RÉPARATIONS!$D$5="TOUTES",B955=RÉPARATIONS!$D$5)),1,0)</f>
        <v>0</v>
      </c>
      <c r="AP955" s="78" t="str">
        <f aca="false">IF(AO955=1,SUM(AO$7:AO955),"")</f>
        <v/>
      </c>
    </row>
    <row r="956" customFormat="false" ht="15" hidden="false" customHeight="false" outlineLevel="0" collapsed="false">
      <c r="A956" s="78" t="str">
        <f aca="false">IF(E956="","",ROW()-6)</f>
        <v/>
      </c>
      <c r="B956" s="79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1"/>
      <c r="Q956" s="81"/>
      <c r="R956" s="80"/>
      <c r="S956" s="80"/>
      <c r="T956" s="81"/>
      <c r="U956" s="80"/>
      <c r="V956" s="80"/>
      <c r="W956" s="80"/>
      <c r="X956" s="80"/>
      <c r="Y956" s="81"/>
      <c r="Z956" s="80"/>
      <c r="AA956" s="80"/>
      <c r="AB956" s="80"/>
      <c r="AC956" s="80"/>
      <c r="AD956" s="81"/>
      <c r="AE956" s="80"/>
      <c r="AF956" s="80"/>
      <c r="AG956" s="81"/>
      <c r="AH956" s="79"/>
      <c r="AI956" s="78" t="str">
        <f aca="false">IF(E956="","",(V956&lt;&gt;"")+(AA956&lt;&gt;"")+(AF956&lt;&gt;""))</f>
        <v/>
      </c>
      <c r="AJ956" s="82" t="str">
        <f aca="false">IF(AF956&lt;&gt;"",AF956,IF(AA956&lt;&gt;"",AA956,IF(V956&lt;&gt;"",V956,"")))</f>
        <v/>
      </c>
      <c r="AK956" s="83" t="str">
        <f aca="false">IF(E956="","",IF(P956="","À SOUDER",IF(S956="","VT EN ATTENTE",IF(S956="R","VT REJETÉ – À REPRENDRE",IF(AJ956="","À RADIOGRAPHIER",IF(AJ956="A","ACCEPTÉ",IF(AJ956="NX","NX – RT À REFAIRE",IF(IF(AI956=1,X956,IF(AI956=2,AC956,""))="A","RÉPARÉ – À RADIOGRAPHIER",IF(IF(AI956=1,X956,IF(AI956=2,AC956,""))="R","VT REJETÉ – À REPRENDRE",IF(AJ956="CO","COUPE – À RESOUDER","À RÉPARER"))))))))))</f>
        <v/>
      </c>
      <c r="AL956" s="82" t="str">
        <f aca="false">IF(AND(ISNUMBER(P956),OR(AK956="À RADIOGRAPHIER",AK956="RÉPARÉ – À RADIOGRAPHIER",AK956="NX – RT À REFAIRE",AK956="À RÉPARER",AK956="COUPE – À RESOUDER",AK956="VT REJETÉ – À REPRENDRE")),MAX(0,'PROGRAMME RT'!$C$4-P956),"")</f>
        <v/>
      </c>
      <c r="AM956" s="78" t="n">
        <f aca="false">IF(AND(OR(AK956="À RADIOGRAPHIER",AK956="RÉPARÉ – À RADIOGRAPHIER",AK956="NX – RT À REFAIRE"),OR('PROGRAMME RT'!$D$5="TOUTES",B956='PROGRAMME RT'!$D$5)),1,0)</f>
        <v>0</v>
      </c>
      <c r="AN956" s="78" t="str">
        <f aca="false">IF(AM956=1,SUM(AM$7:AM956),"")</f>
        <v/>
      </c>
      <c r="AO956" s="78" t="n">
        <f aca="false">IF(AND(OR(AK956="À RÉPARER",AK956="COUPE – À RESOUDER",AK956="VT REJETÉ – À REPRENDRE"),OR(RÉPARATIONS!$D$5="TOUTES",B956=RÉPARATIONS!$D$5)),1,0)</f>
        <v>0</v>
      </c>
      <c r="AP956" s="78" t="str">
        <f aca="false">IF(AO956=1,SUM(AO$7:AO956),"")</f>
        <v/>
      </c>
    </row>
    <row r="957" customFormat="false" ht="15" hidden="false" customHeight="false" outlineLevel="0" collapsed="false">
      <c r="A957" s="78" t="str">
        <f aca="false">IF(E957="","",ROW()-6)</f>
        <v/>
      </c>
      <c r="B957" s="79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1"/>
      <c r="Q957" s="81"/>
      <c r="R957" s="80"/>
      <c r="S957" s="80"/>
      <c r="T957" s="81"/>
      <c r="U957" s="80"/>
      <c r="V957" s="80"/>
      <c r="W957" s="80"/>
      <c r="X957" s="80"/>
      <c r="Y957" s="81"/>
      <c r="Z957" s="80"/>
      <c r="AA957" s="80"/>
      <c r="AB957" s="80"/>
      <c r="AC957" s="80"/>
      <c r="AD957" s="81"/>
      <c r="AE957" s="80"/>
      <c r="AF957" s="80"/>
      <c r="AG957" s="81"/>
      <c r="AH957" s="79"/>
      <c r="AI957" s="78" t="str">
        <f aca="false">IF(E957="","",(V957&lt;&gt;"")+(AA957&lt;&gt;"")+(AF957&lt;&gt;""))</f>
        <v/>
      </c>
      <c r="AJ957" s="82" t="str">
        <f aca="false">IF(AF957&lt;&gt;"",AF957,IF(AA957&lt;&gt;"",AA957,IF(V957&lt;&gt;"",V957,"")))</f>
        <v/>
      </c>
      <c r="AK957" s="83" t="str">
        <f aca="false">IF(E957="","",IF(P957="","À SOUDER",IF(S957="","VT EN ATTENTE",IF(S957="R","VT REJETÉ – À REPRENDRE",IF(AJ957="","À RADIOGRAPHIER",IF(AJ957="A","ACCEPTÉ",IF(AJ957="NX","NX – RT À REFAIRE",IF(IF(AI957=1,X957,IF(AI957=2,AC957,""))="A","RÉPARÉ – À RADIOGRAPHIER",IF(IF(AI957=1,X957,IF(AI957=2,AC957,""))="R","VT REJETÉ – À REPRENDRE",IF(AJ957="CO","COUPE – À RESOUDER","À RÉPARER"))))))))))</f>
        <v/>
      </c>
      <c r="AL957" s="82" t="str">
        <f aca="false">IF(AND(ISNUMBER(P957),OR(AK957="À RADIOGRAPHIER",AK957="RÉPARÉ – À RADIOGRAPHIER",AK957="NX – RT À REFAIRE",AK957="À RÉPARER",AK957="COUPE – À RESOUDER",AK957="VT REJETÉ – À REPRENDRE")),MAX(0,'PROGRAMME RT'!$C$4-P957),"")</f>
        <v/>
      </c>
      <c r="AM957" s="78" t="n">
        <f aca="false">IF(AND(OR(AK957="À RADIOGRAPHIER",AK957="RÉPARÉ – À RADIOGRAPHIER",AK957="NX – RT À REFAIRE"),OR('PROGRAMME RT'!$D$5="TOUTES",B957='PROGRAMME RT'!$D$5)),1,0)</f>
        <v>0</v>
      </c>
      <c r="AN957" s="78" t="str">
        <f aca="false">IF(AM957=1,SUM(AM$7:AM957),"")</f>
        <v/>
      </c>
      <c r="AO957" s="78" t="n">
        <f aca="false">IF(AND(OR(AK957="À RÉPARER",AK957="COUPE – À RESOUDER",AK957="VT REJETÉ – À REPRENDRE"),OR(RÉPARATIONS!$D$5="TOUTES",B957=RÉPARATIONS!$D$5)),1,0)</f>
        <v>0</v>
      </c>
      <c r="AP957" s="78" t="str">
        <f aca="false">IF(AO957=1,SUM(AO$7:AO957),"")</f>
        <v/>
      </c>
    </row>
    <row r="958" customFormat="false" ht="15" hidden="false" customHeight="false" outlineLevel="0" collapsed="false">
      <c r="A958" s="78" t="str">
        <f aca="false">IF(E958="","",ROW()-6)</f>
        <v/>
      </c>
      <c r="B958" s="79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1"/>
      <c r="Q958" s="81"/>
      <c r="R958" s="80"/>
      <c r="S958" s="80"/>
      <c r="T958" s="81"/>
      <c r="U958" s="80"/>
      <c r="V958" s="80"/>
      <c r="W958" s="80"/>
      <c r="X958" s="80"/>
      <c r="Y958" s="81"/>
      <c r="Z958" s="80"/>
      <c r="AA958" s="80"/>
      <c r="AB958" s="80"/>
      <c r="AC958" s="80"/>
      <c r="AD958" s="81"/>
      <c r="AE958" s="80"/>
      <c r="AF958" s="80"/>
      <c r="AG958" s="81"/>
      <c r="AH958" s="79"/>
      <c r="AI958" s="78" t="str">
        <f aca="false">IF(E958="","",(V958&lt;&gt;"")+(AA958&lt;&gt;"")+(AF958&lt;&gt;""))</f>
        <v/>
      </c>
      <c r="AJ958" s="82" t="str">
        <f aca="false">IF(AF958&lt;&gt;"",AF958,IF(AA958&lt;&gt;"",AA958,IF(V958&lt;&gt;"",V958,"")))</f>
        <v/>
      </c>
      <c r="AK958" s="83" t="str">
        <f aca="false">IF(E958="","",IF(P958="","À SOUDER",IF(S958="","VT EN ATTENTE",IF(S958="R","VT REJETÉ – À REPRENDRE",IF(AJ958="","À RADIOGRAPHIER",IF(AJ958="A","ACCEPTÉ",IF(AJ958="NX","NX – RT À REFAIRE",IF(IF(AI958=1,X958,IF(AI958=2,AC958,""))="A","RÉPARÉ – À RADIOGRAPHIER",IF(IF(AI958=1,X958,IF(AI958=2,AC958,""))="R","VT REJETÉ – À REPRENDRE",IF(AJ958="CO","COUPE – À RESOUDER","À RÉPARER"))))))))))</f>
        <v/>
      </c>
      <c r="AL958" s="82" t="str">
        <f aca="false">IF(AND(ISNUMBER(P958),OR(AK958="À RADIOGRAPHIER",AK958="RÉPARÉ – À RADIOGRAPHIER",AK958="NX – RT À REFAIRE",AK958="À RÉPARER",AK958="COUPE – À RESOUDER",AK958="VT REJETÉ – À REPRENDRE")),MAX(0,'PROGRAMME RT'!$C$4-P958),"")</f>
        <v/>
      </c>
      <c r="AM958" s="78" t="n">
        <f aca="false">IF(AND(OR(AK958="À RADIOGRAPHIER",AK958="RÉPARÉ – À RADIOGRAPHIER",AK958="NX – RT À REFAIRE"),OR('PROGRAMME RT'!$D$5="TOUTES",B958='PROGRAMME RT'!$D$5)),1,0)</f>
        <v>0</v>
      </c>
      <c r="AN958" s="78" t="str">
        <f aca="false">IF(AM958=1,SUM(AM$7:AM958),"")</f>
        <v/>
      </c>
      <c r="AO958" s="78" t="n">
        <f aca="false">IF(AND(OR(AK958="À RÉPARER",AK958="COUPE – À RESOUDER",AK958="VT REJETÉ – À REPRENDRE"),OR(RÉPARATIONS!$D$5="TOUTES",B958=RÉPARATIONS!$D$5)),1,0)</f>
        <v>0</v>
      </c>
      <c r="AP958" s="78" t="str">
        <f aca="false">IF(AO958=1,SUM(AO$7:AO958),"")</f>
        <v/>
      </c>
    </row>
    <row r="959" customFormat="false" ht="15" hidden="false" customHeight="false" outlineLevel="0" collapsed="false">
      <c r="A959" s="78" t="str">
        <f aca="false">IF(E959="","",ROW()-6)</f>
        <v/>
      </c>
      <c r="B959" s="79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1"/>
      <c r="Q959" s="81"/>
      <c r="R959" s="80"/>
      <c r="S959" s="80"/>
      <c r="T959" s="81"/>
      <c r="U959" s="80"/>
      <c r="V959" s="80"/>
      <c r="W959" s="80"/>
      <c r="X959" s="80"/>
      <c r="Y959" s="81"/>
      <c r="Z959" s="80"/>
      <c r="AA959" s="80"/>
      <c r="AB959" s="80"/>
      <c r="AC959" s="80"/>
      <c r="AD959" s="81"/>
      <c r="AE959" s="80"/>
      <c r="AF959" s="80"/>
      <c r="AG959" s="81"/>
      <c r="AH959" s="79"/>
      <c r="AI959" s="78" t="str">
        <f aca="false">IF(E959="","",(V959&lt;&gt;"")+(AA959&lt;&gt;"")+(AF959&lt;&gt;""))</f>
        <v/>
      </c>
      <c r="AJ959" s="82" t="str">
        <f aca="false">IF(AF959&lt;&gt;"",AF959,IF(AA959&lt;&gt;"",AA959,IF(V959&lt;&gt;"",V959,"")))</f>
        <v/>
      </c>
      <c r="AK959" s="83" t="str">
        <f aca="false">IF(E959="","",IF(P959="","À SOUDER",IF(S959="","VT EN ATTENTE",IF(S959="R","VT REJETÉ – À REPRENDRE",IF(AJ959="","À RADIOGRAPHIER",IF(AJ959="A","ACCEPTÉ",IF(AJ959="NX","NX – RT À REFAIRE",IF(IF(AI959=1,X959,IF(AI959=2,AC959,""))="A","RÉPARÉ – À RADIOGRAPHIER",IF(IF(AI959=1,X959,IF(AI959=2,AC959,""))="R","VT REJETÉ – À REPRENDRE",IF(AJ959="CO","COUPE – À RESOUDER","À RÉPARER"))))))))))</f>
        <v/>
      </c>
      <c r="AL959" s="82" t="str">
        <f aca="false">IF(AND(ISNUMBER(P959),OR(AK959="À RADIOGRAPHIER",AK959="RÉPARÉ – À RADIOGRAPHIER",AK959="NX – RT À REFAIRE",AK959="À RÉPARER",AK959="COUPE – À RESOUDER",AK959="VT REJETÉ – À REPRENDRE")),MAX(0,'PROGRAMME RT'!$C$4-P959),"")</f>
        <v/>
      </c>
      <c r="AM959" s="78" t="n">
        <f aca="false">IF(AND(OR(AK959="À RADIOGRAPHIER",AK959="RÉPARÉ – À RADIOGRAPHIER",AK959="NX – RT À REFAIRE"),OR('PROGRAMME RT'!$D$5="TOUTES",B959='PROGRAMME RT'!$D$5)),1,0)</f>
        <v>0</v>
      </c>
      <c r="AN959" s="78" t="str">
        <f aca="false">IF(AM959=1,SUM(AM$7:AM959),"")</f>
        <v/>
      </c>
      <c r="AO959" s="78" t="n">
        <f aca="false">IF(AND(OR(AK959="À RÉPARER",AK959="COUPE – À RESOUDER",AK959="VT REJETÉ – À REPRENDRE"),OR(RÉPARATIONS!$D$5="TOUTES",B959=RÉPARATIONS!$D$5)),1,0)</f>
        <v>0</v>
      </c>
      <c r="AP959" s="78" t="str">
        <f aca="false">IF(AO959=1,SUM(AO$7:AO959),"")</f>
        <v/>
      </c>
    </row>
    <row r="960" customFormat="false" ht="15" hidden="false" customHeight="false" outlineLevel="0" collapsed="false">
      <c r="A960" s="78" t="str">
        <f aca="false">IF(E960="","",ROW()-6)</f>
        <v/>
      </c>
      <c r="B960" s="79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1"/>
      <c r="Q960" s="81"/>
      <c r="R960" s="80"/>
      <c r="S960" s="80"/>
      <c r="T960" s="81"/>
      <c r="U960" s="80"/>
      <c r="V960" s="80"/>
      <c r="W960" s="80"/>
      <c r="X960" s="80"/>
      <c r="Y960" s="81"/>
      <c r="Z960" s="80"/>
      <c r="AA960" s="80"/>
      <c r="AB960" s="80"/>
      <c r="AC960" s="80"/>
      <c r="AD960" s="81"/>
      <c r="AE960" s="80"/>
      <c r="AF960" s="80"/>
      <c r="AG960" s="81"/>
      <c r="AH960" s="79"/>
      <c r="AI960" s="78" t="str">
        <f aca="false">IF(E960="","",(V960&lt;&gt;"")+(AA960&lt;&gt;"")+(AF960&lt;&gt;""))</f>
        <v/>
      </c>
      <c r="AJ960" s="82" t="str">
        <f aca="false">IF(AF960&lt;&gt;"",AF960,IF(AA960&lt;&gt;"",AA960,IF(V960&lt;&gt;"",V960,"")))</f>
        <v/>
      </c>
      <c r="AK960" s="83" t="str">
        <f aca="false">IF(E960="","",IF(P960="","À SOUDER",IF(S960="","VT EN ATTENTE",IF(S960="R","VT REJETÉ – À REPRENDRE",IF(AJ960="","À RADIOGRAPHIER",IF(AJ960="A","ACCEPTÉ",IF(AJ960="NX","NX – RT À REFAIRE",IF(IF(AI960=1,X960,IF(AI960=2,AC960,""))="A","RÉPARÉ – À RADIOGRAPHIER",IF(IF(AI960=1,X960,IF(AI960=2,AC960,""))="R","VT REJETÉ – À REPRENDRE",IF(AJ960="CO","COUPE – À RESOUDER","À RÉPARER"))))))))))</f>
        <v/>
      </c>
      <c r="AL960" s="82" t="str">
        <f aca="false">IF(AND(ISNUMBER(P960),OR(AK960="À RADIOGRAPHIER",AK960="RÉPARÉ – À RADIOGRAPHIER",AK960="NX – RT À REFAIRE",AK960="À RÉPARER",AK960="COUPE – À RESOUDER",AK960="VT REJETÉ – À REPRENDRE")),MAX(0,'PROGRAMME RT'!$C$4-P960),"")</f>
        <v/>
      </c>
      <c r="AM960" s="78" t="n">
        <f aca="false">IF(AND(OR(AK960="À RADIOGRAPHIER",AK960="RÉPARÉ – À RADIOGRAPHIER",AK960="NX – RT À REFAIRE"),OR('PROGRAMME RT'!$D$5="TOUTES",B960='PROGRAMME RT'!$D$5)),1,0)</f>
        <v>0</v>
      </c>
      <c r="AN960" s="78" t="str">
        <f aca="false">IF(AM960=1,SUM(AM$7:AM960),"")</f>
        <v/>
      </c>
      <c r="AO960" s="78" t="n">
        <f aca="false">IF(AND(OR(AK960="À RÉPARER",AK960="COUPE – À RESOUDER",AK960="VT REJETÉ – À REPRENDRE"),OR(RÉPARATIONS!$D$5="TOUTES",B960=RÉPARATIONS!$D$5)),1,0)</f>
        <v>0</v>
      </c>
      <c r="AP960" s="78" t="str">
        <f aca="false">IF(AO960=1,SUM(AO$7:AO960),"")</f>
        <v/>
      </c>
    </row>
    <row r="961" customFormat="false" ht="15" hidden="false" customHeight="false" outlineLevel="0" collapsed="false">
      <c r="A961" s="78" t="str">
        <f aca="false">IF(E961="","",ROW()-6)</f>
        <v/>
      </c>
      <c r="B961" s="79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1"/>
      <c r="Q961" s="81"/>
      <c r="R961" s="80"/>
      <c r="S961" s="80"/>
      <c r="T961" s="81"/>
      <c r="U961" s="80"/>
      <c r="V961" s="80"/>
      <c r="W961" s="80"/>
      <c r="X961" s="80"/>
      <c r="Y961" s="81"/>
      <c r="Z961" s="80"/>
      <c r="AA961" s="80"/>
      <c r="AB961" s="80"/>
      <c r="AC961" s="80"/>
      <c r="AD961" s="81"/>
      <c r="AE961" s="80"/>
      <c r="AF961" s="80"/>
      <c r="AG961" s="81"/>
      <c r="AH961" s="79"/>
      <c r="AI961" s="78" t="str">
        <f aca="false">IF(E961="","",(V961&lt;&gt;"")+(AA961&lt;&gt;"")+(AF961&lt;&gt;""))</f>
        <v/>
      </c>
      <c r="AJ961" s="82" t="str">
        <f aca="false">IF(AF961&lt;&gt;"",AF961,IF(AA961&lt;&gt;"",AA961,IF(V961&lt;&gt;"",V961,"")))</f>
        <v/>
      </c>
      <c r="AK961" s="83" t="str">
        <f aca="false">IF(E961="","",IF(P961="","À SOUDER",IF(S961="","VT EN ATTENTE",IF(S961="R","VT REJETÉ – À REPRENDRE",IF(AJ961="","À RADIOGRAPHIER",IF(AJ961="A","ACCEPTÉ",IF(AJ961="NX","NX – RT À REFAIRE",IF(IF(AI961=1,X961,IF(AI961=2,AC961,""))="A","RÉPARÉ – À RADIOGRAPHIER",IF(IF(AI961=1,X961,IF(AI961=2,AC961,""))="R","VT REJETÉ – À REPRENDRE",IF(AJ961="CO","COUPE – À RESOUDER","À RÉPARER"))))))))))</f>
        <v/>
      </c>
      <c r="AL961" s="82" t="str">
        <f aca="false">IF(AND(ISNUMBER(P961),OR(AK961="À RADIOGRAPHIER",AK961="RÉPARÉ – À RADIOGRAPHIER",AK961="NX – RT À REFAIRE",AK961="À RÉPARER",AK961="COUPE – À RESOUDER",AK961="VT REJETÉ – À REPRENDRE")),MAX(0,'PROGRAMME RT'!$C$4-P961),"")</f>
        <v/>
      </c>
      <c r="AM961" s="78" t="n">
        <f aca="false">IF(AND(OR(AK961="À RADIOGRAPHIER",AK961="RÉPARÉ – À RADIOGRAPHIER",AK961="NX – RT À REFAIRE"),OR('PROGRAMME RT'!$D$5="TOUTES",B961='PROGRAMME RT'!$D$5)),1,0)</f>
        <v>0</v>
      </c>
      <c r="AN961" s="78" t="str">
        <f aca="false">IF(AM961=1,SUM(AM$7:AM961),"")</f>
        <v/>
      </c>
      <c r="AO961" s="78" t="n">
        <f aca="false">IF(AND(OR(AK961="À RÉPARER",AK961="COUPE – À RESOUDER",AK961="VT REJETÉ – À REPRENDRE"),OR(RÉPARATIONS!$D$5="TOUTES",B961=RÉPARATIONS!$D$5)),1,0)</f>
        <v>0</v>
      </c>
      <c r="AP961" s="78" t="str">
        <f aca="false">IF(AO961=1,SUM(AO$7:AO961),"")</f>
        <v/>
      </c>
    </row>
    <row r="962" customFormat="false" ht="15" hidden="false" customHeight="false" outlineLevel="0" collapsed="false">
      <c r="A962" s="78" t="str">
        <f aca="false">IF(E962="","",ROW()-6)</f>
        <v/>
      </c>
      <c r="B962" s="79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1"/>
      <c r="Q962" s="81"/>
      <c r="R962" s="80"/>
      <c r="S962" s="80"/>
      <c r="T962" s="81"/>
      <c r="U962" s="80"/>
      <c r="V962" s="80"/>
      <c r="W962" s="80"/>
      <c r="X962" s="80"/>
      <c r="Y962" s="81"/>
      <c r="Z962" s="80"/>
      <c r="AA962" s="80"/>
      <c r="AB962" s="80"/>
      <c r="AC962" s="80"/>
      <c r="AD962" s="81"/>
      <c r="AE962" s="80"/>
      <c r="AF962" s="80"/>
      <c r="AG962" s="81"/>
      <c r="AH962" s="79"/>
      <c r="AI962" s="78" t="str">
        <f aca="false">IF(E962="","",(V962&lt;&gt;"")+(AA962&lt;&gt;"")+(AF962&lt;&gt;""))</f>
        <v/>
      </c>
      <c r="AJ962" s="82" t="str">
        <f aca="false">IF(AF962&lt;&gt;"",AF962,IF(AA962&lt;&gt;"",AA962,IF(V962&lt;&gt;"",V962,"")))</f>
        <v/>
      </c>
      <c r="AK962" s="83" t="str">
        <f aca="false">IF(E962="","",IF(P962="","À SOUDER",IF(S962="","VT EN ATTENTE",IF(S962="R","VT REJETÉ – À REPRENDRE",IF(AJ962="","À RADIOGRAPHIER",IF(AJ962="A","ACCEPTÉ",IF(AJ962="NX","NX – RT À REFAIRE",IF(IF(AI962=1,X962,IF(AI962=2,AC962,""))="A","RÉPARÉ – À RADIOGRAPHIER",IF(IF(AI962=1,X962,IF(AI962=2,AC962,""))="R","VT REJETÉ – À REPRENDRE",IF(AJ962="CO","COUPE – À RESOUDER","À RÉPARER"))))))))))</f>
        <v/>
      </c>
      <c r="AL962" s="82" t="str">
        <f aca="false">IF(AND(ISNUMBER(P962),OR(AK962="À RADIOGRAPHIER",AK962="RÉPARÉ – À RADIOGRAPHIER",AK962="NX – RT À REFAIRE",AK962="À RÉPARER",AK962="COUPE – À RESOUDER",AK962="VT REJETÉ – À REPRENDRE")),MAX(0,'PROGRAMME RT'!$C$4-P962),"")</f>
        <v/>
      </c>
      <c r="AM962" s="78" t="n">
        <f aca="false">IF(AND(OR(AK962="À RADIOGRAPHIER",AK962="RÉPARÉ – À RADIOGRAPHIER",AK962="NX – RT À REFAIRE"),OR('PROGRAMME RT'!$D$5="TOUTES",B962='PROGRAMME RT'!$D$5)),1,0)</f>
        <v>0</v>
      </c>
      <c r="AN962" s="78" t="str">
        <f aca="false">IF(AM962=1,SUM(AM$7:AM962),"")</f>
        <v/>
      </c>
      <c r="AO962" s="78" t="n">
        <f aca="false">IF(AND(OR(AK962="À RÉPARER",AK962="COUPE – À RESOUDER",AK962="VT REJETÉ – À REPRENDRE"),OR(RÉPARATIONS!$D$5="TOUTES",B962=RÉPARATIONS!$D$5)),1,0)</f>
        <v>0</v>
      </c>
      <c r="AP962" s="78" t="str">
        <f aca="false">IF(AO962=1,SUM(AO$7:AO962),"")</f>
        <v/>
      </c>
    </row>
    <row r="963" customFormat="false" ht="15" hidden="false" customHeight="false" outlineLevel="0" collapsed="false">
      <c r="A963" s="78" t="str">
        <f aca="false">IF(E963="","",ROW()-6)</f>
        <v/>
      </c>
      <c r="B963" s="79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1"/>
      <c r="Q963" s="81"/>
      <c r="R963" s="80"/>
      <c r="S963" s="80"/>
      <c r="T963" s="81"/>
      <c r="U963" s="80"/>
      <c r="V963" s="80"/>
      <c r="W963" s="80"/>
      <c r="X963" s="80"/>
      <c r="Y963" s="81"/>
      <c r="Z963" s="80"/>
      <c r="AA963" s="80"/>
      <c r="AB963" s="80"/>
      <c r="AC963" s="80"/>
      <c r="AD963" s="81"/>
      <c r="AE963" s="80"/>
      <c r="AF963" s="80"/>
      <c r="AG963" s="81"/>
      <c r="AH963" s="79"/>
      <c r="AI963" s="78" t="str">
        <f aca="false">IF(E963="","",(V963&lt;&gt;"")+(AA963&lt;&gt;"")+(AF963&lt;&gt;""))</f>
        <v/>
      </c>
      <c r="AJ963" s="82" t="str">
        <f aca="false">IF(AF963&lt;&gt;"",AF963,IF(AA963&lt;&gt;"",AA963,IF(V963&lt;&gt;"",V963,"")))</f>
        <v/>
      </c>
      <c r="AK963" s="83" t="str">
        <f aca="false">IF(E963="","",IF(P963="","À SOUDER",IF(S963="","VT EN ATTENTE",IF(S963="R","VT REJETÉ – À REPRENDRE",IF(AJ963="","À RADIOGRAPHIER",IF(AJ963="A","ACCEPTÉ",IF(AJ963="NX","NX – RT À REFAIRE",IF(IF(AI963=1,X963,IF(AI963=2,AC963,""))="A","RÉPARÉ – À RADIOGRAPHIER",IF(IF(AI963=1,X963,IF(AI963=2,AC963,""))="R","VT REJETÉ – À REPRENDRE",IF(AJ963="CO","COUPE – À RESOUDER","À RÉPARER"))))))))))</f>
        <v/>
      </c>
      <c r="AL963" s="82" t="str">
        <f aca="false">IF(AND(ISNUMBER(P963),OR(AK963="À RADIOGRAPHIER",AK963="RÉPARÉ – À RADIOGRAPHIER",AK963="NX – RT À REFAIRE",AK963="À RÉPARER",AK963="COUPE – À RESOUDER",AK963="VT REJETÉ – À REPRENDRE")),MAX(0,'PROGRAMME RT'!$C$4-P963),"")</f>
        <v/>
      </c>
      <c r="AM963" s="78" t="n">
        <f aca="false">IF(AND(OR(AK963="À RADIOGRAPHIER",AK963="RÉPARÉ – À RADIOGRAPHIER",AK963="NX – RT À REFAIRE"),OR('PROGRAMME RT'!$D$5="TOUTES",B963='PROGRAMME RT'!$D$5)),1,0)</f>
        <v>0</v>
      </c>
      <c r="AN963" s="78" t="str">
        <f aca="false">IF(AM963=1,SUM(AM$7:AM963),"")</f>
        <v/>
      </c>
      <c r="AO963" s="78" t="n">
        <f aca="false">IF(AND(OR(AK963="À RÉPARER",AK963="COUPE – À RESOUDER",AK963="VT REJETÉ – À REPRENDRE"),OR(RÉPARATIONS!$D$5="TOUTES",B963=RÉPARATIONS!$D$5)),1,0)</f>
        <v>0</v>
      </c>
      <c r="AP963" s="78" t="str">
        <f aca="false">IF(AO963=1,SUM(AO$7:AO963),"")</f>
        <v/>
      </c>
    </row>
    <row r="964" customFormat="false" ht="15" hidden="false" customHeight="false" outlineLevel="0" collapsed="false">
      <c r="A964" s="78" t="str">
        <f aca="false">IF(E964="","",ROW()-6)</f>
        <v/>
      </c>
      <c r="B964" s="79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1"/>
      <c r="Q964" s="81"/>
      <c r="R964" s="80"/>
      <c r="S964" s="80"/>
      <c r="T964" s="81"/>
      <c r="U964" s="80"/>
      <c r="V964" s="80"/>
      <c r="W964" s="80"/>
      <c r="X964" s="80"/>
      <c r="Y964" s="81"/>
      <c r="Z964" s="80"/>
      <c r="AA964" s="80"/>
      <c r="AB964" s="80"/>
      <c r="AC964" s="80"/>
      <c r="AD964" s="81"/>
      <c r="AE964" s="80"/>
      <c r="AF964" s="80"/>
      <c r="AG964" s="81"/>
      <c r="AH964" s="79"/>
      <c r="AI964" s="78" t="str">
        <f aca="false">IF(E964="","",(V964&lt;&gt;"")+(AA964&lt;&gt;"")+(AF964&lt;&gt;""))</f>
        <v/>
      </c>
      <c r="AJ964" s="82" t="str">
        <f aca="false">IF(AF964&lt;&gt;"",AF964,IF(AA964&lt;&gt;"",AA964,IF(V964&lt;&gt;"",V964,"")))</f>
        <v/>
      </c>
      <c r="AK964" s="83" t="str">
        <f aca="false">IF(E964="","",IF(P964="","À SOUDER",IF(S964="","VT EN ATTENTE",IF(S964="R","VT REJETÉ – À REPRENDRE",IF(AJ964="","À RADIOGRAPHIER",IF(AJ964="A","ACCEPTÉ",IF(AJ964="NX","NX – RT À REFAIRE",IF(IF(AI964=1,X964,IF(AI964=2,AC964,""))="A","RÉPARÉ – À RADIOGRAPHIER",IF(IF(AI964=1,X964,IF(AI964=2,AC964,""))="R","VT REJETÉ – À REPRENDRE",IF(AJ964="CO","COUPE – À RESOUDER","À RÉPARER"))))))))))</f>
        <v/>
      </c>
      <c r="AL964" s="82" t="str">
        <f aca="false">IF(AND(ISNUMBER(P964),OR(AK964="À RADIOGRAPHIER",AK964="RÉPARÉ – À RADIOGRAPHIER",AK964="NX – RT À REFAIRE",AK964="À RÉPARER",AK964="COUPE – À RESOUDER",AK964="VT REJETÉ – À REPRENDRE")),MAX(0,'PROGRAMME RT'!$C$4-P964),"")</f>
        <v/>
      </c>
      <c r="AM964" s="78" t="n">
        <f aca="false">IF(AND(OR(AK964="À RADIOGRAPHIER",AK964="RÉPARÉ – À RADIOGRAPHIER",AK964="NX – RT À REFAIRE"),OR('PROGRAMME RT'!$D$5="TOUTES",B964='PROGRAMME RT'!$D$5)),1,0)</f>
        <v>0</v>
      </c>
      <c r="AN964" s="78" t="str">
        <f aca="false">IF(AM964=1,SUM(AM$7:AM964),"")</f>
        <v/>
      </c>
      <c r="AO964" s="78" t="n">
        <f aca="false">IF(AND(OR(AK964="À RÉPARER",AK964="COUPE – À RESOUDER",AK964="VT REJETÉ – À REPRENDRE"),OR(RÉPARATIONS!$D$5="TOUTES",B964=RÉPARATIONS!$D$5)),1,0)</f>
        <v>0</v>
      </c>
      <c r="AP964" s="78" t="str">
        <f aca="false">IF(AO964=1,SUM(AO$7:AO964),"")</f>
        <v/>
      </c>
    </row>
    <row r="965" customFormat="false" ht="15" hidden="false" customHeight="false" outlineLevel="0" collapsed="false">
      <c r="A965" s="78" t="str">
        <f aca="false">IF(E965="","",ROW()-6)</f>
        <v/>
      </c>
      <c r="B965" s="79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1"/>
      <c r="Q965" s="81"/>
      <c r="R965" s="80"/>
      <c r="S965" s="80"/>
      <c r="T965" s="81"/>
      <c r="U965" s="80"/>
      <c r="V965" s="80"/>
      <c r="W965" s="80"/>
      <c r="X965" s="80"/>
      <c r="Y965" s="81"/>
      <c r="Z965" s="80"/>
      <c r="AA965" s="80"/>
      <c r="AB965" s="80"/>
      <c r="AC965" s="80"/>
      <c r="AD965" s="81"/>
      <c r="AE965" s="80"/>
      <c r="AF965" s="80"/>
      <c r="AG965" s="81"/>
      <c r="AH965" s="79"/>
      <c r="AI965" s="78" t="str">
        <f aca="false">IF(E965="","",(V965&lt;&gt;"")+(AA965&lt;&gt;"")+(AF965&lt;&gt;""))</f>
        <v/>
      </c>
      <c r="AJ965" s="82" t="str">
        <f aca="false">IF(AF965&lt;&gt;"",AF965,IF(AA965&lt;&gt;"",AA965,IF(V965&lt;&gt;"",V965,"")))</f>
        <v/>
      </c>
      <c r="AK965" s="83" t="str">
        <f aca="false">IF(E965="","",IF(P965="","À SOUDER",IF(S965="","VT EN ATTENTE",IF(S965="R","VT REJETÉ – À REPRENDRE",IF(AJ965="","À RADIOGRAPHIER",IF(AJ965="A","ACCEPTÉ",IF(AJ965="NX","NX – RT À REFAIRE",IF(IF(AI965=1,X965,IF(AI965=2,AC965,""))="A","RÉPARÉ – À RADIOGRAPHIER",IF(IF(AI965=1,X965,IF(AI965=2,AC965,""))="R","VT REJETÉ – À REPRENDRE",IF(AJ965="CO","COUPE – À RESOUDER","À RÉPARER"))))))))))</f>
        <v/>
      </c>
      <c r="AL965" s="82" t="str">
        <f aca="false">IF(AND(ISNUMBER(P965),OR(AK965="À RADIOGRAPHIER",AK965="RÉPARÉ – À RADIOGRAPHIER",AK965="NX – RT À REFAIRE",AK965="À RÉPARER",AK965="COUPE – À RESOUDER",AK965="VT REJETÉ – À REPRENDRE")),MAX(0,'PROGRAMME RT'!$C$4-P965),"")</f>
        <v/>
      </c>
      <c r="AM965" s="78" t="n">
        <f aca="false">IF(AND(OR(AK965="À RADIOGRAPHIER",AK965="RÉPARÉ – À RADIOGRAPHIER",AK965="NX – RT À REFAIRE"),OR('PROGRAMME RT'!$D$5="TOUTES",B965='PROGRAMME RT'!$D$5)),1,0)</f>
        <v>0</v>
      </c>
      <c r="AN965" s="78" t="str">
        <f aca="false">IF(AM965=1,SUM(AM$7:AM965),"")</f>
        <v/>
      </c>
      <c r="AO965" s="78" t="n">
        <f aca="false">IF(AND(OR(AK965="À RÉPARER",AK965="COUPE – À RESOUDER",AK965="VT REJETÉ – À REPRENDRE"),OR(RÉPARATIONS!$D$5="TOUTES",B965=RÉPARATIONS!$D$5)),1,0)</f>
        <v>0</v>
      </c>
      <c r="AP965" s="78" t="str">
        <f aca="false">IF(AO965=1,SUM(AO$7:AO965),"")</f>
        <v/>
      </c>
    </row>
    <row r="966" customFormat="false" ht="15" hidden="false" customHeight="false" outlineLevel="0" collapsed="false">
      <c r="A966" s="78" t="str">
        <f aca="false">IF(E966="","",ROW()-6)</f>
        <v/>
      </c>
      <c r="B966" s="79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1"/>
      <c r="Q966" s="81"/>
      <c r="R966" s="80"/>
      <c r="S966" s="80"/>
      <c r="T966" s="81"/>
      <c r="U966" s="80"/>
      <c r="V966" s="80"/>
      <c r="W966" s="80"/>
      <c r="X966" s="80"/>
      <c r="Y966" s="81"/>
      <c r="Z966" s="80"/>
      <c r="AA966" s="80"/>
      <c r="AB966" s="80"/>
      <c r="AC966" s="80"/>
      <c r="AD966" s="81"/>
      <c r="AE966" s="80"/>
      <c r="AF966" s="80"/>
      <c r="AG966" s="81"/>
      <c r="AH966" s="79"/>
      <c r="AI966" s="78" t="str">
        <f aca="false">IF(E966="","",(V966&lt;&gt;"")+(AA966&lt;&gt;"")+(AF966&lt;&gt;""))</f>
        <v/>
      </c>
      <c r="AJ966" s="82" t="str">
        <f aca="false">IF(AF966&lt;&gt;"",AF966,IF(AA966&lt;&gt;"",AA966,IF(V966&lt;&gt;"",V966,"")))</f>
        <v/>
      </c>
      <c r="AK966" s="83" t="str">
        <f aca="false">IF(E966="","",IF(P966="","À SOUDER",IF(S966="","VT EN ATTENTE",IF(S966="R","VT REJETÉ – À REPRENDRE",IF(AJ966="","À RADIOGRAPHIER",IF(AJ966="A","ACCEPTÉ",IF(AJ966="NX","NX – RT À REFAIRE",IF(IF(AI966=1,X966,IF(AI966=2,AC966,""))="A","RÉPARÉ – À RADIOGRAPHIER",IF(IF(AI966=1,X966,IF(AI966=2,AC966,""))="R","VT REJETÉ – À REPRENDRE",IF(AJ966="CO","COUPE – À RESOUDER","À RÉPARER"))))))))))</f>
        <v/>
      </c>
      <c r="AL966" s="82" t="str">
        <f aca="false">IF(AND(ISNUMBER(P966),OR(AK966="À RADIOGRAPHIER",AK966="RÉPARÉ – À RADIOGRAPHIER",AK966="NX – RT À REFAIRE",AK966="À RÉPARER",AK966="COUPE – À RESOUDER",AK966="VT REJETÉ – À REPRENDRE")),MAX(0,'PROGRAMME RT'!$C$4-P966),"")</f>
        <v/>
      </c>
      <c r="AM966" s="78" t="n">
        <f aca="false">IF(AND(OR(AK966="À RADIOGRAPHIER",AK966="RÉPARÉ – À RADIOGRAPHIER",AK966="NX – RT À REFAIRE"),OR('PROGRAMME RT'!$D$5="TOUTES",B966='PROGRAMME RT'!$D$5)),1,0)</f>
        <v>0</v>
      </c>
      <c r="AN966" s="78" t="str">
        <f aca="false">IF(AM966=1,SUM(AM$7:AM966),"")</f>
        <v/>
      </c>
      <c r="AO966" s="78" t="n">
        <f aca="false">IF(AND(OR(AK966="À RÉPARER",AK966="COUPE – À RESOUDER",AK966="VT REJETÉ – À REPRENDRE"),OR(RÉPARATIONS!$D$5="TOUTES",B966=RÉPARATIONS!$D$5)),1,0)</f>
        <v>0</v>
      </c>
      <c r="AP966" s="78" t="str">
        <f aca="false">IF(AO966=1,SUM(AO$7:AO966),"")</f>
        <v/>
      </c>
    </row>
    <row r="967" customFormat="false" ht="15" hidden="false" customHeight="false" outlineLevel="0" collapsed="false">
      <c r="A967" s="78" t="str">
        <f aca="false">IF(E967="","",ROW()-6)</f>
        <v/>
      </c>
      <c r="B967" s="79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1"/>
      <c r="Q967" s="81"/>
      <c r="R967" s="80"/>
      <c r="S967" s="80"/>
      <c r="T967" s="81"/>
      <c r="U967" s="80"/>
      <c r="V967" s="80"/>
      <c r="W967" s="80"/>
      <c r="X967" s="80"/>
      <c r="Y967" s="81"/>
      <c r="Z967" s="80"/>
      <c r="AA967" s="80"/>
      <c r="AB967" s="80"/>
      <c r="AC967" s="80"/>
      <c r="AD967" s="81"/>
      <c r="AE967" s="80"/>
      <c r="AF967" s="80"/>
      <c r="AG967" s="81"/>
      <c r="AH967" s="79"/>
      <c r="AI967" s="78" t="str">
        <f aca="false">IF(E967="","",(V967&lt;&gt;"")+(AA967&lt;&gt;"")+(AF967&lt;&gt;""))</f>
        <v/>
      </c>
      <c r="AJ967" s="82" t="str">
        <f aca="false">IF(AF967&lt;&gt;"",AF967,IF(AA967&lt;&gt;"",AA967,IF(V967&lt;&gt;"",V967,"")))</f>
        <v/>
      </c>
      <c r="AK967" s="83" t="str">
        <f aca="false">IF(E967="","",IF(P967="","À SOUDER",IF(S967="","VT EN ATTENTE",IF(S967="R","VT REJETÉ – À REPRENDRE",IF(AJ967="","À RADIOGRAPHIER",IF(AJ967="A","ACCEPTÉ",IF(AJ967="NX","NX – RT À REFAIRE",IF(IF(AI967=1,X967,IF(AI967=2,AC967,""))="A","RÉPARÉ – À RADIOGRAPHIER",IF(IF(AI967=1,X967,IF(AI967=2,AC967,""))="R","VT REJETÉ – À REPRENDRE",IF(AJ967="CO","COUPE – À RESOUDER","À RÉPARER"))))))))))</f>
        <v/>
      </c>
      <c r="AL967" s="82" t="str">
        <f aca="false">IF(AND(ISNUMBER(P967),OR(AK967="À RADIOGRAPHIER",AK967="RÉPARÉ – À RADIOGRAPHIER",AK967="NX – RT À REFAIRE",AK967="À RÉPARER",AK967="COUPE – À RESOUDER",AK967="VT REJETÉ – À REPRENDRE")),MAX(0,'PROGRAMME RT'!$C$4-P967),"")</f>
        <v/>
      </c>
      <c r="AM967" s="78" t="n">
        <f aca="false">IF(AND(OR(AK967="À RADIOGRAPHIER",AK967="RÉPARÉ – À RADIOGRAPHIER",AK967="NX – RT À REFAIRE"),OR('PROGRAMME RT'!$D$5="TOUTES",B967='PROGRAMME RT'!$D$5)),1,0)</f>
        <v>0</v>
      </c>
      <c r="AN967" s="78" t="str">
        <f aca="false">IF(AM967=1,SUM(AM$7:AM967),"")</f>
        <v/>
      </c>
      <c r="AO967" s="78" t="n">
        <f aca="false">IF(AND(OR(AK967="À RÉPARER",AK967="COUPE – À RESOUDER",AK967="VT REJETÉ – À REPRENDRE"),OR(RÉPARATIONS!$D$5="TOUTES",B967=RÉPARATIONS!$D$5)),1,0)</f>
        <v>0</v>
      </c>
      <c r="AP967" s="78" t="str">
        <f aca="false">IF(AO967=1,SUM(AO$7:AO967),"")</f>
        <v/>
      </c>
    </row>
    <row r="968" customFormat="false" ht="15" hidden="false" customHeight="false" outlineLevel="0" collapsed="false">
      <c r="A968" s="78" t="str">
        <f aca="false">IF(E968="","",ROW()-6)</f>
        <v/>
      </c>
      <c r="B968" s="79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1"/>
      <c r="Q968" s="81"/>
      <c r="R968" s="80"/>
      <c r="S968" s="80"/>
      <c r="T968" s="81"/>
      <c r="U968" s="80"/>
      <c r="V968" s="80"/>
      <c r="W968" s="80"/>
      <c r="X968" s="80"/>
      <c r="Y968" s="81"/>
      <c r="Z968" s="80"/>
      <c r="AA968" s="80"/>
      <c r="AB968" s="80"/>
      <c r="AC968" s="80"/>
      <c r="AD968" s="81"/>
      <c r="AE968" s="80"/>
      <c r="AF968" s="80"/>
      <c r="AG968" s="81"/>
      <c r="AH968" s="79"/>
      <c r="AI968" s="78" t="str">
        <f aca="false">IF(E968="","",(V968&lt;&gt;"")+(AA968&lt;&gt;"")+(AF968&lt;&gt;""))</f>
        <v/>
      </c>
      <c r="AJ968" s="82" t="str">
        <f aca="false">IF(AF968&lt;&gt;"",AF968,IF(AA968&lt;&gt;"",AA968,IF(V968&lt;&gt;"",V968,"")))</f>
        <v/>
      </c>
      <c r="AK968" s="83" t="str">
        <f aca="false">IF(E968="","",IF(P968="","À SOUDER",IF(S968="","VT EN ATTENTE",IF(S968="R","VT REJETÉ – À REPRENDRE",IF(AJ968="","À RADIOGRAPHIER",IF(AJ968="A","ACCEPTÉ",IF(AJ968="NX","NX – RT À REFAIRE",IF(IF(AI968=1,X968,IF(AI968=2,AC968,""))="A","RÉPARÉ – À RADIOGRAPHIER",IF(IF(AI968=1,X968,IF(AI968=2,AC968,""))="R","VT REJETÉ – À REPRENDRE",IF(AJ968="CO","COUPE – À RESOUDER","À RÉPARER"))))))))))</f>
        <v/>
      </c>
      <c r="AL968" s="82" t="str">
        <f aca="false">IF(AND(ISNUMBER(P968),OR(AK968="À RADIOGRAPHIER",AK968="RÉPARÉ – À RADIOGRAPHIER",AK968="NX – RT À REFAIRE",AK968="À RÉPARER",AK968="COUPE – À RESOUDER",AK968="VT REJETÉ – À REPRENDRE")),MAX(0,'PROGRAMME RT'!$C$4-P968),"")</f>
        <v/>
      </c>
      <c r="AM968" s="78" t="n">
        <f aca="false">IF(AND(OR(AK968="À RADIOGRAPHIER",AK968="RÉPARÉ – À RADIOGRAPHIER",AK968="NX – RT À REFAIRE"),OR('PROGRAMME RT'!$D$5="TOUTES",B968='PROGRAMME RT'!$D$5)),1,0)</f>
        <v>0</v>
      </c>
      <c r="AN968" s="78" t="str">
        <f aca="false">IF(AM968=1,SUM(AM$7:AM968),"")</f>
        <v/>
      </c>
      <c r="AO968" s="78" t="n">
        <f aca="false">IF(AND(OR(AK968="À RÉPARER",AK968="COUPE – À RESOUDER",AK968="VT REJETÉ – À REPRENDRE"),OR(RÉPARATIONS!$D$5="TOUTES",B968=RÉPARATIONS!$D$5)),1,0)</f>
        <v>0</v>
      </c>
      <c r="AP968" s="78" t="str">
        <f aca="false">IF(AO968=1,SUM(AO$7:AO968),"")</f>
        <v/>
      </c>
    </row>
    <row r="969" customFormat="false" ht="15" hidden="false" customHeight="false" outlineLevel="0" collapsed="false">
      <c r="A969" s="78" t="str">
        <f aca="false">IF(E969="","",ROW()-6)</f>
        <v/>
      </c>
      <c r="B969" s="79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1"/>
      <c r="Q969" s="81"/>
      <c r="R969" s="80"/>
      <c r="S969" s="80"/>
      <c r="T969" s="81"/>
      <c r="U969" s="80"/>
      <c r="V969" s="80"/>
      <c r="W969" s="80"/>
      <c r="X969" s="80"/>
      <c r="Y969" s="81"/>
      <c r="Z969" s="80"/>
      <c r="AA969" s="80"/>
      <c r="AB969" s="80"/>
      <c r="AC969" s="80"/>
      <c r="AD969" s="81"/>
      <c r="AE969" s="80"/>
      <c r="AF969" s="80"/>
      <c r="AG969" s="81"/>
      <c r="AH969" s="79"/>
      <c r="AI969" s="78" t="str">
        <f aca="false">IF(E969="","",(V969&lt;&gt;"")+(AA969&lt;&gt;"")+(AF969&lt;&gt;""))</f>
        <v/>
      </c>
      <c r="AJ969" s="82" t="str">
        <f aca="false">IF(AF969&lt;&gt;"",AF969,IF(AA969&lt;&gt;"",AA969,IF(V969&lt;&gt;"",V969,"")))</f>
        <v/>
      </c>
      <c r="AK969" s="83" t="str">
        <f aca="false">IF(E969="","",IF(P969="","À SOUDER",IF(S969="","VT EN ATTENTE",IF(S969="R","VT REJETÉ – À REPRENDRE",IF(AJ969="","À RADIOGRAPHIER",IF(AJ969="A","ACCEPTÉ",IF(AJ969="NX","NX – RT À REFAIRE",IF(IF(AI969=1,X969,IF(AI969=2,AC969,""))="A","RÉPARÉ – À RADIOGRAPHIER",IF(IF(AI969=1,X969,IF(AI969=2,AC969,""))="R","VT REJETÉ – À REPRENDRE",IF(AJ969="CO","COUPE – À RESOUDER","À RÉPARER"))))))))))</f>
        <v/>
      </c>
      <c r="AL969" s="82" t="str">
        <f aca="false">IF(AND(ISNUMBER(P969),OR(AK969="À RADIOGRAPHIER",AK969="RÉPARÉ – À RADIOGRAPHIER",AK969="NX – RT À REFAIRE",AK969="À RÉPARER",AK969="COUPE – À RESOUDER",AK969="VT REJETÉ – À REPRENDRE")),MAX(0,'PROGRAMME RT'!$C$4-P969),"")</f>
        <v/>
      </c>
      <c r="AM969" s="78" t="n">
        <f aca="false">IF(AND(OR(AK969="À RADIOGRAPHIER",AK969="RÉPARÉ – À RADIOGRAPHIER",AK969="NX – RT À REFAIRE"),OR('PROGRAMME RT'!$D$5="TOUTES",B969='PROGRAMME RT'!$D$5)),1,0)</f>
        <v>0</v>
      </c>
      <c r="AN969" s="78" t="str">
        <f aca="false">IF(AM969=1,SUM(AM$7:AM969),"")</f>
        <v/>
      </c>
      <c r="AO969" s="78" t="n">
        <f aca="false">IF(AND(OR(AK969="À RÉPARER",AK969="COUPE – À RESOUDER",AK969="VT REJETÉ – À REPRENDRE"),OR(RÉPARATIONS!$D$5="TOUTES",B969=RÉPARATIONS!$D$5)),1,0)</f>
        <v>0</v>
      </c>
      <c r="AP969" s="78" t="str">
        <f aca="false">IF(AO969=1,SUM(AO$7:AO969),"")</f>
        <v/>
      </c>
    </row>
    <row r="970" customFormat="false" ht="15" hidden="false" customHeight="false" outlineLevel="0" collapsed="false">
      <c r="A970" s="78" t="str">
        <f aca="false">IF(E970="","",ROW()-6)</f>
        <v/>
      </c>
      <c r="B970" s="79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1"/>
      <c r="Q970" s="81"/>
      <c r="R970" s="80"/>
      <c r="S970" s="80"/>
      <c r="T970" s="81"/>
      <c r="U970" s="80"/>
      <c r="V970" s="80"/>
      <c r="W970" s="80"/>
      <c r="X970" s="80"/>
      <c r="Y970" s="81"/>
      <c r="Z970" s="80"/>
      <c r="AA970" s="80"/>
      <c r="AB970" s="80"/>
      <c r="AC970" s="80"/>
      <c r="AD970" s="81"/>
      <c r="AE970" s="80"/>
      <c r="AF970" s="80"/>
      <c r="AG970" s="81"/>
      <c r="AH970" s="79"/>
      <c r="AI970" s="78" t="str">
        <f aca="false">IF(E970="","",(V970&lt;&gt;"")+(AA970&lt;&gt;"")+(AF970&lt;&gt;""))</f>
        <v/>
      </c>
      <c r="AJ970" s="82" t="str">
        <f aca="false">IF(AF970&lt;&gt;"",AF970,IF(AA970&lt;&gt;"",AA970,IF(V970&lt;&gt;"",V970,"")))</f>
        <v/>
      </c>
      <c r="AK970" s="83" t="str">
        <f aca="false">IF(E970="","",IF(P970="","À SOUDER",IF(S970="","VT EN ATTENTE",IF(S970="R","VT REJETÉ – À REPRENDRE",IF(AJ970="","À RADIOGRAPHIER",IF(AJ970="A","ACCEPTÉ",IF(AJ970="NX","NX – RT À REFAIRE",IF(IF(AI970=1,X970,IF(AI970=2,AC970,""))="A","RÉPARÉ – À RADIOGRAPHIER",IF(IF(AI970=1,X970,IF(AI970=2,AC970,""))="R","VT REJETÉ – À REPRENDRE",IF(AJ970="CO","COUPE – À RESOUDER","À RÉPARER"))))))))))</f>
        <v/>
      </c>
      <c r="AL970" s="82" t="str">
        <f aca="false">IF(AND(ISNUMBER(P970),OR(AK970="À RADIOGRAPHIER",AK970="RÉPARÉ – À RADIOGRAPHIER",AK970="NX – RT À REFAIRE",AK970="À RÉPARER",AK970="COUPE – À RESOUDER",AK970="VT REJETÉ – À REPRENDRE")),MAX(0,'PROGRAMME RT'!$C$4-P970),"")</f>
        <v/>
      </c>
      <c r="AM970" s="78" t="n">
        <f aca="false">IF(AND(OR(AK970="À RADIOGRAPHIER",AK970="RÉPARÉ – À RADIOGRAPHIER",AK970="NX – RT À REFAIRE"),OR('PROGRAMME RT'!$D$5="TOUTES",B970='PROGRAMME RT'!$D$5)),1,0)</f>
        <v>0</v>
      </c>
      <c r="AN970" s="78" t="str">
        <f aca="false">IF(AM970=1,SUM(AM$7:AM970),"")</f>
        <v/>
      </c>
      <c r="AO970" s="78" t="n">
        <f aca="false">IF(AND(OR(AK970="À RÉPARER",AK970="COUPE – À RESOUDER",AK970="VT REJETÉ – À REPRENDRE"),OR(RÉPARATIONS!$D$5="TOUTES",B970=RÉPARATIONS!$D$5)),1,0)</f>
        <v>0</v>
      </c>
      <c r="AP970" s="78" t="str">
        <f aca="false">IF(AO970=1,SUM(AO$7:AO970),"")</f>
        <v/>
      </c>
    </row>
    <row r="971" customFormat="false" ht="15" hidden="false" customHeight="false" outlineLevel="0" collapsed="false">
      <c r="A971" s="78" t="str">
        <f aca="false">IF(E971="","",ROW()-6)</f>
        <v/>
      </c>
      <c r="B971" s="79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1"/>
      <c r="Q971" s="81"/>
      <c r="R971" s="80"/>
      <c r="S971" s="80"/>
      <c r="T971" s="81"/>
      <c r="U971" s="80"/>
      <c r="V971" s="80"/>
      <c r="W971" s="80"/>
      <c r="X971" s="80"/>
      <c r="Y971" s="81"/>
      <c r="Z971" s="80"/>
      <c r="AA971" s="80"/>
      <c r="AB971" s="80"/>
      <c r="AC971" s="80"/>
      <c r="AD971" s="81"/>
      <c r="AE971" s="80"/>
      <c r="AF971" s="80"/>
      <c r="AG971" s="81"/>
      <c r="AH971" s="79"/>
      <c r="AI971" s="78" t="str">
        <f aca="false">IF(E971="","",(V971&lt;&gt;"")+(AA971&lt;&gt;"")+(AF971&lt;&gt;""))</f>
        <v/>
      </c>
      <c r="AJ971" s="82" t="str">
        <f aca="false">IF(AF971&lt;&gt;"",AF971,IF(AA971&lt;&gt;"",AA971,IF(V971&lt;&gt;"",V971,"")))</f>
        <v/>
      </c>
      <c r="AK971" s="83" t="str">
        <f aca="false">IF(E971="","",IF(P971="","À SOUDER",IF(S971="","VT EN ATTENTE",IF(S971="R","VT REJETÉ – À REPRENDRE",IF(AJ971="","À RADIOGRAPHIER",IF(AJ971="A","ACCEPTÉ",IF(AJ971="NX","NX – RT À REFAIRE",IF(IF(AI971=1,X971,IF(AI971=2,AC971,""))="A","RÉPARÉ – À RADIOGRAPHIER",IF(IF(AI971=1,X971,IF(AI971=2,AC971,""))="R","VT REJETÉ – À REPRENDRE",IF(AJ971="CO","COUPE – À RESOUDER","À RÉPARER"))))))))))</f>
        <v/>
      </c>
      <c r="AL971" s="82" t="str">
        <f aca="false">IF(AND(ISNUMBER(P971),OR(AK971="À RADIOGRAPHIER",AK971="RÉPARÉ – À RADIOGRAPHIER",AK971="NX – RT À REFAIRE",AK971="À RÉPARER",AK971="COUPE – À RESOUDER",AK971="VT REJETÉ – À REPRENDRE")),MAX(0,'PROGRAMME RT'!$C$4-P971),"")</f>
        <v/>
      </c>
      <c r="AM971" s="78" t="n">
        <f aca="false">IF(AND(OR(AK971="À RADIOGRAPHIER",AK971="RÉPARÉ – À RADIOGRAPHIER",AK971="NX – RT À REFAIRE"),OR('PROGRAMME RT'!$D$5="TOUTES",B971='PROGRAMME RT'!$D$5)),1,0)</f>
        <v>0</v>
      </c>
      <c r="AN971" s="78" t="str">
        <f aca="false">IF(AM971=1,SUM(AM$7:AM971),"")</f>
        <v/>
      </c>
      <c r="AO971" s="78" t="n">
        <f aca="false">IF(AND(OR(AK971="À RÉPARER",AK971="COUPE – À RESOUDER",AK971="VT REJETÉ – À REPRENDRE"),OR(RÉPARATIONS!$D$5="TOUTES",B971=RÉPARATIONS!$D$5)),1,0)</f>
        <v>0</v>
      </c>
      <c r="AP971" s="78" t="str">
        <f aca="false">IF(AO971=1,SUM(AO$7:AO971),"")</f>
        <v/>
      </c>
    </row>
    <row r="972" customFormat="false" ht="15" hidden="false" customHeight="false" outlineLevel="0" collapsed="false">
      <c r="A972" s="78" t="str">
        <f aca="false">IF(E972="","",ROW()-6)</f>
        <v/>
      </c>
      <c r="B972" s="79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1"/>
      <c r="Q972" s="81"/>
      <c r="R972" s="80"/>
      <c r="S972" s="80"/>
      <c r="T972" s="81"/>
      <c r="U972" s="80"/>
      <c r="V972" s="80"/>
      <c r="W972" s="80"/>
      <c r="X972" s="80"/>
      <c r="Y972" s="81"/>
      <c r="Z972" s="80"/>
      <c r="AA972" s="80"/>
      <c r="AB972" s="80"/>
      <c r="AC972" s="80"/>
      <c r="AD972" s="81"/>
      <c r="AE972" s="80"/>
      <c r="AF972" s="80"/>
      <c r="AG972" s="81"/>
      <c r="AH972" s="79"/>
      <c r="AI972" s="78" t="str">
        <f aca="false">IF(E972="","",(V972&lt;&gt;"")+(AA972&lt;&gt;"")+(AF972&lt;&gt;""))</f>
        <v/>
      </c>
      <c r="AJ972" s="82" t="str">
        <f aca="false">IF(AF972&lt;&gt;"",AF972,IF(AA972&lt;&gt;"",AA972,IF(V972&lt;&gt;"",V972,"")))</f>
        <v/>
      </c>
      <c r="AK972" s="83" t="str">
        <f aca="false">IF(E972="","",IF(P972="","À SOUDER",IF(S972="","VT EN ATTENTE",IF(S972="R","VT REJETÉ – À REPRENDRE",IF(AJ972="","À RADIOGRAPHIER",IF(AJ972="A","ACCEPTÉ",IF(AJ972="NX","NX – RT À REFAIRE",IF(IF(AI972=1,X972,IF(AI972=2,AC972,""))="A","RÉPARÉ – À RADIOGRAPHIER",IF(IF(AI972=1,X972,IF(AI972=2,AC972,""))="R","VT REJETÉ – À REPRENDRE",IF(AJ972="CO","COUPE – À RESOUDER","À RÉPARER"))))))))))</f>
        <v/>
      </c>
      <c r="AL972" s="82" t="str">
        <f aca="false">IF(AND(ISNUMBER(P972),OR(AK972="À RADIOGRAPHIER",AK972="RÉPARÉ – À RADIOGRAPHIER",AK972="NX – RT À REFAIRE",AK972="À RÉPARER",AK972="COUPE – À RESOUDER",AK972="VT REJETÉ – À REPRENDRE")),MAX(0,'PROGRAMME RT'!$C$4-P972),"")</f>
        <v/>
      </c>
      <c r="AM972" s="78" t="n">
        <f aca="false">IF(AND(OR(AK972="À RADIOGRAPHIER",AK972="RÉPARÉ – À RADIOGRAPHIER",AK972="NX – RT À REFAIRE"),OR('PROGRAMME RT'!$D$5="TOUTES",B972='PROGRAMME RT'!$D$5)),1,0)</f>
        <v>0</v>
      </c>
      <c r="AN972" s="78" t="str">
        <f aca="false">IF(AM972=1,SUM(AM$7:AM972),"")</f>
        <v/>
      </c>
      <c r="AO972" s="78" t="n">
        <f aca="false">IF(AND(OR(AK972="À RÉPARER",AK972="COUPE – À RESOUDER",AK972="VT REJETÉ – À REPRENDRE"),OR(RÉPARATIONS!$D$5="TOUTES",B972=RÉPARATIONS!$D$5)),1,0)</f>
        <v>0</v>
      </c>
      <c r="AP972" s="78" t="str">
        <f aca="false">IF(AO972=1,SUM(AO$7:AO972),"")</f>
        <v/>
      </c>
    </row>
    <row r="973" customFormat="false" ht="15" hidden="false" customHeight="false" outlineLevel="0" collapsed="false">
      <c r="A973" s="78" t="str">
        <f aca="false">IF(E973="","",ROW()-6)</f>
        <v/>
      </c>
      <c r="B973" s="79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1"/>
      <c r="Q973" s="81"/>
      <c r="R973" s="80"/>
      <c r="S973" s="80"/>
      <c r="T973" s="81"/>
      <c r="U973" s="80"/>
      <c r="V973" s="80"/>
      <c r="W973" s="80"/>
      <c r="X973" s="80"/>
      <c r="Y973" s="81"/>
      <c r="Z973" s="80"/>
      <c r="AA973" s="80"/>
      <c r="AB973" s="80"/>
      <c r="AC973" s="80"/>
      <c r="AD973" s="81"/>
      <c r="AE973" s="80"/>
      <c r="AF973" s="80"/>
      <c r="AG973" s="81"/>
      <c r="AH973" s="79"/>
      <c r="AI973" s="78" t="str">
        <f aca="false">IF(E973="","",(V973&lt;&gt;"")+(AA973&lt;&gt;"")+(AF973&lt;&gt;""))</f>
        <v/>
      </c>
      <c r="AJ973" s="82" t="str">
        <f aca="false">IF(AF973&lt;&gt;"",AF973,IF(AA973&lt;&gt;"",AA973,IF(V973&lt;&gt;"",V973,"")))</f>
        <v/>
      </c>
      <c r="AK973" s="83" t="str">
        <f aca="false">IF(E973="","",IF(P973="","À SOUDER",IF(S973="","VT EN ATTENTE",IF(S973="R","VT REJETÉ – À REPRENDRE",IF(AJ973="","À RADIOGRAPHIER",IF(AJ973="A","ACCEPTÉ",IF(AJ973="NX","NX – RT À REFAIRE",IF(IF(AI973=1,X973,IF(AI973=2,AC973,""))="A","RÉPARÉ – À RADIOGRAPHIER",IF(IF(AI973=1,X973,IF(AI973=2,AC973,""))="R","VT REJETÉ – À REPRENDRE",IF(AJ973="CO","COUPE – À RESOUDER","À RÉPARER"))))))))))</f>
        <v/>
      </c>
      <c r="AL973" s="82" t="str">
        <f aca="false">IF(AND(ISNUMBER(P973),OR(AK973="À RADIOGRAPHIER",AK973="RÉPARÉ – À RADIOGRAPHIER",AK973="NX – RT À REFAIRE",AK973="À RÉPARER",AK973="COUPE – À RESOUDER",AK973="VT REJETÉ – À REPRENDRE")),MAX(0,'PROGRAMME RT'!$C$4-P973),"")</f>
        <v/>
      </c>
      <c r="AM973" s="78" t="n">
        <f aca="false">IF(AND(OR(AK973="À RADIOGRAPHIER",AK973="RÉPARÉ – À RADIOGRAPHIER",AK973="NX – RT À REFAIRE"),OR('PROGRAMME RT'!$D$5="TOUTES",B973='PROGRAMME RT'!$D$5)),1,0)</f>
        <v>0</v>
      </c>
      <c r="AN973" s="78" t="str">
        <f aca="false">IF(AM973=1,SUM(AM$7:AM973),"")</f>
        <v/>
      </c>
      <c r="AO973" s="78" t="n">
        <f aca="false">IF(AND(OR(AK973="À RÉPARER",AK973="COUPE – À RESOUDER",AK973="VT REJETÉ – À REPRENDRE"),OR(RÉPARATIONS!$D$5="TOUTES",B973=RÉPARATIONS!$D$5)),1,0)</f>
        <v>0</v>
      </c>
      <c r="AP973" s="78" t="str">
        <f aca="false">IF(AO973=1,SUM(AO$7:AO973),"")</f>
        <v/>
      </c>
    </row>
    <row r="974" customFormat="false" ht="15" hidden="false" customHeight="false" outlineLevel="0" collapsed="false">
      <c r="A974" s="78" t="str">
        <f aca="false">IF(E974="","",ROW()-6)</f>
        <v/>
      </c>
      <c r="B974" s="79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1"/>
      <c r="Q974" s="81"/>
      <c r="R974" s="80"/>
      <c r="S974" s="80"/>
      <c r="T974" s="81"/>
      <c r="U974" s="80"/>
      <c r="V974" s="80"/>
      <c r="W974" s="80"/>
      <c r="X974" s="80"/>
      <c r="Y974" s="81"/>
      <c r="Z974" s="80"/>
      <c r="AA974" s="80"/>
      <c r="AB974" s="80"/>
      <c r="AC974" s="80"/>
      <c r="AD974" s="81"/>
      <c r="AE974" s="80"/>
      <c r="AF974" s="80"/>
      <c r="AG974" s="81"/>
      <c r="AH974" s="79"/>
      <c r="AI974" s="78" t="str">
        <f aca="false">IF(E974="","",(V974&lt;&gt;"")+(AA974&lt;&gt;"")+(AF974&lt;&gt;""))</f>
        <v/>
      </c>
      <c r="AJ974" s="82" t="str">
        <f aca="false">IF(AF974&lt;&gt;"",AF974,IF(AA974&lt;&gt;"",AA974,IF(V974&lt;&gt;"",V974,"")))</f>
        <v/>
      </c>
      <c r="AK974" s="83" t="str">
        <f aca="false">IF(E974="","",IF(P974="","À SOUDER",IF(S974="","VT EN ATTENTE",IF(S974="R","VT REJETÉ – À REPRENDRE",IF(AJ974="","À RADIOGRAPHIER",IF(AJ974="A","ACCEPTÉ",IF(AJ974="NX","NX – RT À REFAIRE",IF(IF(AI974=1,X974,IF(AI974=2,AC974,""))="A","RÉPARÉ – À RADIOGRAPHIER",IF(IF(AI974=1,X974,IF(AI974=2,AC974,""))="R","VT REJETÉ – À REPRENDRE",IF(AJ974="CO","COUPE – À RESOUDER","À RÉPARER"))))))))))</f>
        <v/>
      </c>
      <c r="AL974" s="82" t="str">
        <f aca="false">IF(AND(ISNUMBER(P974),OR(AK974="À RADIOGRAPHIER",AK974="RÉPARÉ – À RADIOGRAPHIER",AK974="NX – RT À REFAIRE",AK974="À RÉPARER",AK974="COUPE – À RESOUDER",AK974="VT REJETÉ – À REPRENDRE")),MAX(0,'PROGRAMME RT'!$C$4-P974),"")</f>
        <v/>
      </c>
      <c r="AM974" s="78" t="n">
        <f aca="false">IF(AND(OR(AK974="À RADIOGRAPHIER",AK974="RÉPARÉ – À RADIOGRAPHIER",AK974="NX – RT À REFAIRE"),OR('PROGRAMME RT'!$D$5="TOUTES",B974='PROGRAMME RT'!$D$5)),1,0)</f>
        <v>0</v>
      </c>
      <c r="AN974" s="78" t="str">
        <f aca="false">IF(AM974=1,SUM(AM$7:AM974),"")</f>
        <v/>
      </c>
      <c r="AO974" s="78" t="n">
        <f aca="false">IF(AND(OR(AK974="À RÉPARER",AK974="COUPE – À RESOUDER",AK974="VT REJETÉ – À REPRENDRE"),OR(RÉPARATIONS!$D$5="TOUTES",B974=RÉPARATIONS!$D$5)),1,0)</f>
        <v>0</v>
      </c>
      <c r="AP974" s="78" t="str">
        <f aca="false">IF(AO974=1,SUM(AO$7:AO974),"")</f>
        <v/>
      </c>
    </row>
    <row r="975" customFormat="false" ht="15" hidden="false" customHeight="false" outlineLevel="0" collapsed="false">
      <c r="A975" s="78" t="str">
        <f aca="false">IF(E975="","",ROW()-6)</f>
        <v/>
      </c>
      <c r="B975" s="79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1"/>
      <c r="Q975" s="81"/>
      <c r="R975" s="80"/>
      <c r="S975" s="80"/>
      <c r="T975" s="81"/>
      <c r="U975" s="80"/>
      <c r="V975" s="80"/>
      <c r="W975" s="80"/>
      <c r="X975" s="80"/>
      <c r="Y975" s="81"/>
      <c r="Z975" s="80"/>
      <c r="AA975" s="80"/>
      <c r="AB975" s="80"/>
      <c r="AC975" s="80"/>
      <c r="AD975" s="81"/>
      <c r="AE975" s="80"/>
      <c r="AF975" s="80"/>
      <c r="AG975" s="81"/>
      <c r="AH975" s="79"/>
      <c r="AI975" s="78" t="str">
        <f aca="false">IF(E975="","",(V975&lt;&gt;"")+(AA975&lt;&gt;"")+(AF975&lt;&gt;""))</f>
        <v/>
      </c>
      <c r="AJ975" s="82" t="str">
        <f aca="false">IF(AF975&lt;&gt;"",AF975,IF(AA975&lt;&gt;"",AA975,IF(V975&lt;&gt;"",V975,"")))</f>
        <v/>
      </c>
      <c r="AK975" s="83" t="str">
        <f aca="false">IF(E975="","",IF(P975="","À SOUDER",IF(S975="","VT EN ATTENTE",IF(S975="R","VT REJETÉ – À REPRENDRE",IF(AJ975="","À RADIOGRAPHIER",IF(AJ975="A","ACCEPTÉ",IF(AJ975="NX","NX – RT À REFAIRE",IF(IF(AI975=1,X975,IF(AI975=2,AC975,""))="A","RÉPARÉ – À RADIOGRAPHIER",IF(IF(AI975=1,X975,IF(AI975=2,AC975,""))="R","VT REJETÉ – À REPRENDRE",IF(AJ975="CO","COUPE – À RESOUDER","À RÉPARER"))))))))))</f>
        <v/>
      </c>
      <c r="AL975" s="82" t="str">
        <f aca="false">IF(AND(ISNUMBER(P975),OR(AK975="À RADIOGRAPHIER",AK975="RÉPARÉ – À RADIOGRAPHIER",AK975="NX – RT À REFAIRE",AK975="À RÉPARER",AK975="COUPE – À RESOUDER",AK975="VT REJETÉ – À REPRENDRE")),MAX(0,'PROGRAMME RT'!$C$4-P975),"")</f>
        <v/>
      </c>
      <c r="AM975" s="78" t="n">
        <f aca="false">IF(AND(OR(AK975="À RADIOGRAPHIER",AK975="RÉPARÉ – À RADIOGRAPHIER",AK975="NX – RT À REFAIRE"),OR('PROGRAMME RT'!$D$5="TOUTES",B975='PROGRAMME RT'!$D$5)),1,0)</f>
        <v>0</v>
      </c>
      <c r="AN975" s="78" t="str">
        <f aca="false">IF(AM975=1,SUM(AM$7:AM975),"")</f>
        <v/>
      </c>
      <c r="AO975" s="78" t="n">
        <f aca="false">IF(AND(OR(AK975="À RÉPARER",AK975="COUPE – À RESOUDER",AK975="VT REJETÉ – À REPRENDRE"),OR(RÉPARATIONS!$D$5="TOUTES",B975=RÉPARATIONS!$D$5)),1,0)</f>
        <v>0</v>
      </c>
      <c r="AP975" s="78" t="str">
        <f aca="false">IF(AO975=1,SUM(AO$7:AO975),"")</f>
        <v/>
      </c>
    </row>
    <row r="976" customFormat="false" ht="15" hidden="false" customHeight="false" outlineLevel="0" collapsed="false">
      <c r="A976" s="78" t="str">
        <f aca="false">IF(E976="","",ROW()-6)</f>
        <v/>
      </c>
      <c r="B976" s="79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1"/>
      <c r="Q976" s="81"/>
      <c r="R976" s="80"/>
      <c r="S976" s="80"/>
      <c r="T976" s="81"/>
      <c r="U976" s="80"/>
      <c r="V976" s="80"/>
      <c r="W976" s="80"/>
      <c r="X976" s="80"/>
      <c r="Y976" s="81"/>
      <c r="Z976" s="80"/>
      <c r="AA976" s="80"/>
      <c r="AB976" s="80"/>
      <c r="AC976" s="80"/>
      <c r="AD976" s="81"/>
      <c r="AE976" s="80"/>
      <c r="AF976" s="80"/>
      <c r="AG976" s="81"/>
      <c r="AH976" s="79"/>
      <c r="AI976" s="78" t="str">
        <f aca="false">IF(E976="","",(V976&lt;&gt;"")+(AA976&lt;&gt;"")+(AF976&lt;&gt;""))</f>
        <v/>
      </c>
      <c r="AJ976" s="82" t="str">
        <f aca="false">IF(AF976&lt;&gt;"",AF976,IF(AA976&lt;&gt;"",AA976,IF(V976&lt;&gt;"",V976,"")))</f>
        <v/>
      </c>
      <c r="AK976" s="83" t="str">
        <f aca="false">IF(E976="","",IF(P976="","À SOUDER",IF(S976="","VT EN ATTENTE",IF(S976="R","VT REJETÉ – À REPRENDRE",IF(AJ976="","À RADIOGRAPHIER",IF(AJ976="A","ACCEPTÉ",IF(AJ976="NX","NX – RT À REFAIRE",IF(IF(AI976=1,X976,IF(AI976=2,AC976,""))="A","RÉPARÉ – À RADIOGRAPHIER",IF(IF(AI976=1,X976,IF(AI976=2,AC976,""))="R","VT REJETÉ – À REPRENDRE",IF(AJ976="CO","COUPE – À RESOUDER","À RÉPARER"))))))))))</f>
        <v/>
      </c>
      <c r="AL976" s="82" t="str">
        <f aca="false">IF(AND(ISNUMBER(P976),OR(AK976="À RADIOGRAPHIER",AK976="RÉPARÉ – À RADIOGRAPHIER",AK976="NX – RT À REFAIRE",AK976="À RÉPARER",AK976="COUPE – À RESOUDER",AK976="VT REJETÉ – À REPRENDRE")),MAX(0,'PROGRAMME RT'!$C$4-P976),"")</f>
        <v/>
      </c>
      <c r="AM976" s="78" t="n">
        <f aca="false">IF(AND(OR(AK976="À RADIOGRAPHIER",AK976="RÉPARÉ – À RADIOGRAPHIER",AK976="NX – RT À REFAIRE"),OR('PROGRAMME RT'!$D$5="TOUTES",B976='PROGRAMME RT'!$D$5)),1,0)</f>
        <v>0</v>
      </c>
      <c r="AN976" s="78" t="str">
        <f aca="false">IF(AM976=1,SUM(AM$7:AM976),"")</f>
        <v/>
      </c>
      <c r="AO976" s="78" t="n">
        <f aca="false">IF(AND(OR(AK976="À RÉPARER",AK976="COUPE – À RESOUDER",AK976="VT REJETÉ – À REPRENDRE"),OR(RÉPARATIONS!$D$5="TOUTES",B976=RÉPARATIONS!$D$5)),1,0)</f>
        <v>0</v>
      </c>
      <c r="AP976" s="78" t="str">
        <f aca="false">IF(AO976=1,SUM(AO$7:AO976),"")</f>
        <v/>
      </c>
    </row>
    <row r="977" customFormat="false" ht="15" hidden="false" customHeight="false" outlineLevel="0" collapsed="false">
      <c r="A977" s="78" t="str">
        <f aca="false">IF(E977="","",ROW()-6)</f>
        <v/>
      </c>
      <c r="B977" s="79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1"/>
      <c r="Q977" s="81"/>
      <c r="R977" s="80"/>
      <c r="S977" s="80"/>
      <c r="T977" s="81"/>
      <c r="U977" s="80"/>
      <c r="V977" s="80"/>
      <c r="W977" s="80"/>
      <c r="X977" s="80"/>
      <c r="Y977" s="81"/>
      <c r="Z977" s="80"/>
      <c r="AA977" s="80"/>
      <c r="AB977" s="80"/>
      <c r="AC977" s="80"/>
      <c r="AD977" s="81"/>
      <c r="AE977" s="80"/>
      <c r="AF977" s="80"/>
      <c r="AG977" s="81"/>
      <c r="AH977" s="79"/>
      <c r="AI977" s="78" t="str">
        <f aca="false">IF(E977="","",(V977&lt;&gt;"")+(AA977&lt;&gt;"")+(AF977&lt;&gt;""))</f>
        <v/>
      </c>
      <c r="AJ977" s="82" t="str">
        <f aca="false">IF(AF977&lt;&gt;"",AF977,IF(AA977&lt;&gt;"",AA977,IF(V977&lt;&gt;"",V977,"")))</f>
        <v/>
      </c>
      <c r="AK977" s="83" t="str">
        <f aca="false">IF(E977="","",IF(P977="","À SOUDER",IF(S977="","VT EN ATTENTE",IF(S977="R","VT REJETÉ – À REPRENDRE",IF(AJ977="","À RADIOGRAPHIER",IF(AJ977="A","ACCEPTÉ",IF(AJ977="NX","NX – RT À REFAIRE",IF(IF(AI977=1,X977,IF(AI977=2,AC977,""))="A","RÉPARÉ – À RADIOGRAPHIER",IF(IF(AI977=1,X977,IF(AI977=2,AC977,""))="R","VT REJETÉ – À REPRENDRE",IF(AJ977="CO","COUPE – À RESOUDER","À RÉPARER"))))))))))</f>
        <v/>
      </c>
      <c r="AL977" s="82" t="str">
        <f aca="false">IF(AND(ISNUMBER(P977),OR(AK977="À RADIOGRAPHIER",AK977="RÉPARÉ – À RADIOGRAPHIER",AK977="NX – RT À REFAIRE",AK977="À RÉPARER",AK977="COUPE – À RESOUDER",AK977="VT REJETÉ – À REPRENDRE")),MAX(0,'PROGRAMME RT'!$C$4-P977),"")</f>
        <v/>
      </c>
      <c r="AM977" s="78" t="n">
        <f aca="false">IF(AND(OR(AK977="À RADIOGRAPHIER",AK977="RÉPARÉ – À RADIOGRAPHIER",AK977="NX – RT À REFAIRE"),OR('PROGRAMME RT'!$D$5="TOUTES",B977='PROGRAMME RT'!$D$5)),1,0)</f>
        <v>0</v>
      </c>
      <c r="AN977" s="78" t="str">
        <f aca="false">IF(AM977=1,SUM(AM$7:AM977),"")</f>
        <v/>
      </c>
      <c r="AO977" s="78" t="n">
        <f aca="false">IF(AND(OR(AK977="À RÉPARER",AK977="COUPE – À RESOUDER",AK977="VT REJETÉ – À REPRENDRE"),OR(RÉPARATIONS!$D$5="TOUTES",B977=RÉPARATIONS!$D$5)),1,0)</f>
        <v>0</v>
      </c>
      <c r="AP977" s="78" t="str">
        <f aca="false">IF(AO977=1,SUM(AO$7:AO977),"")</f>
        <v/>
      </c>
    </row>
    <row r="978" customFormat="false" ht="15" hidden="false" customHeight="false" outlineLevel="0" collapsed="false">
      <c r="A978" s="78" t="str">
        <f aca="false">IF(E978="","",ROW()-6)</f>
        <v/>
      </c>
      <c r="B978" s="79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1"/>
      <c r="Q978" s="81"/>
      <c r="R978" s="80"/>
      <c r="S978" s="80"/>
      <c r="T978" s="81"/>
      <c r="U978" s="80"/>
      <c r="V978" s="80"/>
      <c r="W978" s="80"/>
      <c r="X978" s="80"/>
      <c r="Y978" s="81"/>
      <c r="Z978" s="80"/>
      <c r="AA978" s="80"/>
      <c r="AB978" s="80"/>
      <c r="AC978" s="80"/>
      <c r="AD978" s="81"/>
      <c r="AE978" s="80"/>
      <c r="AF978" s="80"/>
      <c r="AG978" s="81"/>
      <c r="AH978" s="79"/>
      <c r="AI978" s="78" t="str">
        <f aca="false">IF(E978="","",(V978&lt;&gt;"")+(AA978&lt;&gt;"")+(AF978&lt;&gt;""))</f>
        <v/>
      </c>
      <c r="AJ978" s="82" t="str">
        <f aca="false">IF(AF978&lt;&gt;"",AF978,IF(AA978&lt;&gt;"",AA978,IF(V978&lt;&gt;"",V978,"")))</f>
        <v/>
      </c>
      <c r="AK978" s="83" t="str">
        <f aca="false">IF(E978="","",IF(P978="","À SOUDER",IF(S978="","VT EN ATTENTE",IF(S978="R","VT REJETÉ – À REPRENDRE",IF(AJ978="","À RADIOGRAPHIER",IF(AJ978="A","ACCEPTÉ",IF(AJ978="NX","NX – RT À REFAIRE",IF(IF(AI978=1,X978,IF(AI978=2,AC978,""))="A","RÉPARÉ – À RADIOGRAPHIER",IF(IF(AI978=1,X978,IF(AI978=2,AC978,""))="R","VT REJETÉ – À REPRENDRE",IF(AJ978="CO","COUPE – À RESOUDER","À RÉPARER"))))))))))</f>
        <v/>
      </c>
      <c r="AL978" s="82" t="str">
        <f aca="false">IF(AND(ISNUMBER(P978),OR(AK978="À RADIOGRAPHIER",AK978="RÉPARÉ – À RADIOGRAPHIER",AK978="NX – RT À REFAIRE",AK978="À RÉPARER",AK978="COUPE – À RESOUDER",AK978="VT REJETÉ – À REPRENDRE")),MAX(0,'PROGRAMME RT'!$C$4-P978),"")</f>
        <v/>
      </c>
      <c r="AM978" s="78" t="n">
        <f aca="false">IF(AND(OR(AK978="À RADIOGRAPHIER",AK978="RÉPARÉ – À RADIOGRAPHIER",AK978="NX – RT À REFAIRE"),OR('PROGRAMME RT'!$D$5="TOUTES",B978='PROGRAMME RT'!$D$5)),1,0)</f>
        <v>0</v>
      </c>
      <c r="AN978" s="78" t="str">
        <f aca="false">IF(AM978=1,SUM(AM$7:AM978),"")</f>
        <v/>
      </c>
      <c r="AO978" s="78" t="n">
        <f aca="false">IF(AND(OR(AK978="À RÉPARER",AK978="COUPE – À RESOUDER",AK978="VT REJETÉ – À REPRENDRE"),OR(RÉPARATIONS!$D$5="TOUTES",B978=RÉPARATIONS!$D$5)),1,0)</f>
        <v>0</v>
      </c>
      <c r="AP978" s="78" t="str">
        <f aca="false">IF(AO978=1,SUM(AO$7:AO978),"")</f>
        <v/>
      </c>
    </row>
    <row r="979" customFormat="false" ht="15" hidden="false" customHeight="false" outlineLevel="0" collapsed="false">
      <c r="A979" s="78" t="str">
        <f aca="false">IF(E979="","",ROW()-6)</f>
        <v/>
      </c>
      <c r="B979" s="79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1"/>
      <c r="Q979" s="81"/>
      <c r="R979" s="80"/>
      <c r="S979" s="80"/>
      <c r="T979" s="81"/>
      <c r="U979" s="80"/>
      <c r="V979" s="80"/>
      <c r="W979" s="80"/>
      <c r="X979" s="80"/>
      <c r="Y979" s="81"/>
      <c r="Z979" s="80"/>
      <c r="AA979" s="80"/>
      <c r="AB979" s="80"/>
      <c r="AC979" s="80"/>
      <c r="AD979" s="81"/>
      <c r="AE979" s="80"/>
      <c r="AF979" s="80"/>
      <c r="AG979" s="81"/>
      <c r="AH979" s="79"/>
      <c r="AI979" s="78" t="str">
        <f aca="false">IF(E979="","",(V979&lt;&gt;"")+(AA979&lt;&gt;"")+(AF979&lt;&gt;""))</f>
        <v/>
      </c>
      <c r="AJ979" s="82" t="str">
        <f aca="false">IF(AF979&lt;&gt;"",AF979,IF(AA979&lt;&gt;"",AA979,IF(V979&lt;&gt;"",V979,"")))</f>
        <v/>
      </c>
      <c r="AK979" s="83" t="str">
        <f aca="false">IF(E979="","",IF(P979="","À SOUDER",IF(S979="","VT EN ATTENTE",IF(S979="R","VT REJETÉ – À REPRENDRE",IF(AJ979="","À RADIOGRAPHIER",IF(AJ979="A","ACCEPTÉ",IF(AJ979="NX","NX – RT À REFAIRE",IF(IF(AI979=1,X979,IF(AI979=2,AC979,""))="A","RÉPARÉ – À RADIOGRAPHIER",IF(IF(AI979=1,X979,IF(AI979=2,AC979,""))="R","VT REJETÉ – À REPRENDRE",IF(AJ979="CO","COUPE – À RESOUDER","À RÉPARER"))))))))))</f>
        <v/>
      </c>
      <c r="AL979" s="82" t="str">
        <f aca="false">IF(AND(ISNUMBER(P979),OR(AK979="À RADIOGRAPHIER",AK979="RÉPARÉ – À RADIOGRAPHIER",AK979="NX – RT À REFAIRE",AK979="À RÉPARER",AK979="COUPE – À RESOUDER",AK979="VT REJETÉ – À REPRENDRE")),MAX(0,'PROGRAMME RT'!$C$4-P979),"")</f>
        <v/>
      </c>
      <c r="AM979" s="78" t="n">
        <f aca="false">IF(AND(OR(AK979="À RADIOGRAPHIER",AK979="RÉPARÉ – À RADIOGRAPHIER",AK979="NX – RT À REFAIRE"),OR('PROGRAMME RT'!$D$5="TOUTES",B979='PROGRAMME RT'!$D$5)),1,0)</f>
        <v>0</v>
      </c>
      <c r="AN979" s="78" t="str">
        <f aca="false">IF(AM979=1,SUM(AM$7:AM979),"")</f>
        <v/>
      </c>
      <c r="AO979" s="78" t="n">
        <f aca="false">IF(AND(OR(AK979="À RÉPARER",AK979="COUPE – À RESOUDER",AK979="VT REJETÉ – À REPRENDRE"),OR(RÉPARATIONS!$D$5="TOUTES",B979=RÉPARATIONS!$D$5)),1,0)</f>
        <v>0</v>
      </c>
      <c r="AP979" s="78" t="str">
        <f aca="false">IF(AO979=1,SUM(AO$7:AO979),"")</f>
        <v/>
      </c>
    </row>
    <row r="980" customFormat="false" ht="15" hidden="false" customHeight="false" outlineLevel="0" collapsed="false">
      <c r="A980" s="78" t="str">
        <f aca="false">IF(E980="","",ROW()-6)</f>
        <v/>
      </c>
      <c r="B980" s="79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1"/>
      <c r="Q980" s="81"/>
      <c r="R980" s="80"/>
      <c r="S980" s="80"/>
      <c r="T980" s="81"/>
      <c r="U980" s="80"/>
      <c r="V980" s="80"/>
      <c r="W980" s="80"/>
      <c r="X980" s="80"/>
      <c r="Y980" s="81"/>
      <c r="Z980" s="80"/>
      <c r="AA980" s="80"/>
      <c r="AB980" s="80"/>
      <c r="AC980" s="80"/>
      <c r="AD980" s="81"/>
      <c r="AE980" s="80"/>
      <c r="AF980" s="80"/>
      <c r="AG980" s="81"/>
      <c r="AH980" s="79"/>
      <c r="AI980" s="78" t="str">
        <f aca="false">IF(E980="","",(V980&lt;&gt;"")+(AA980&lt;&gt;"")+(AF980&lt;&gt;""))</f>
        <v/>
      </c>
      <c r="AJ980" s="82" t="str">
        <f aca="false">IF(AF980&lt;&gt;"",AF980,IF(AA980&lt;&gt;"",AA980,IF(V980&lt;&gt;"",V980,"")))</f>
        <v/>
      </c>
      <c r="AK980" s="83" t="str">
        <f aca="false">IF(E980="","",IF(P980="","À SOUDER",IF(S980="","VT EN ATTENTE",IF(S980="R","VT REJETÉ – À REPRENDRE",IF(AJ980="","À RADIOGRAPHIER",IF(AJ980="A","ACCEPTÉ",IF(AJ980="NX","NX – RT À REFAIRE",IF(IF(AI980=1,X980,IF(AI980=2,AC980,""))="A","RÉPARÉ – À RADIOGRAPHIER",IF(IF(AI980=1,X980,IF(AI980=2,AC980,""))="R","VT REJETÉ – À REPRENDRE",IF(AJ980="CO","COUPE – À RESOUDER","À RÉPARER"))))))))))</f>
        <v/>
      </c>
      <c r="AL980" s="82" t="str">
        <f aca="false">IF(AND(ISNUMBER(P980),OR(AK980="À RADIOGRAPHIER",AK980="RÉPARÉ – À RADIOGRAPHIER",AK980="NX – RT À REFAIRE",AK980="À RÉPARER",AK980="COUPE – À RESOUDER",AK980="VT REJETÉ – À REPRENDRE")),MAX(0,'PROGRAMME RT'!$C$4-P980),"")</f>
        <v/>
      </c>
      <c r="AM980" s="78" t="n">
        <f aca="false">IF(AND(OR(AK980="À RADIOGRAPHIER",AK980="RÉPARÉ – À RADIOGRAPHIER",AK980="NX – RT À REFAIRE"),OR('PROGRAMME RT'!$D$5="TOUTES",B980='PROGRAMME RT'!$D$5)),1,0)</f>
        <v>0</v>
      </c>
      <c r="AN980" s="78" t="str">
        <f aca="false">IF(AM980=1,SUM(AM$7:AM980),"")</f>
        <v/>
      </c>
      <c r="AO980" s="78" t="n">
        <f aca="false">IF(AND(OR(AK980="À RÉPARER",AK980="COUPE – À RESOUDER",AK980="VT REJETÉ – À REPRENDRE"),OR(RÉPARATIONS!$D$5="TOUTES",B980=RÉPARATIONS!$D$5)),1,0)</f>
        <v>0</v>
      </c>
      <c r="AP980" s="78" t="str">
        <f aca="false">IF(AO980=1,SUM(AO$7:AO980),"")</f>
        <v/>
      </c>
    </row>
    <row r="981" customFormat="false" ht="15" hidden="false" customHeight="false" outlineLevel="0" collapsed="false">
      <c r="A981" s="78" t="str">
        <f aca="false">IF(E981="","",ROW()-6)</f>
        <v/>
      </c>
      <c r="B981" s="79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1"/>
      <c r="Q981" s="81"/>
      <c r="R981" s="80"/>
      <c r="S981" s="80"/>
      <c r="T981" s="81"/>
      <c r="U981" s="80"/>
      <c r="V981" s="80"/>
      <c r="W981" s="80"/>
      <c r="X981" s="80"/>
      <c r="Y981" s="81"/>
      <c r="Z981" s="80"/>
      <c r="AA981" s="80"/>
      <c r="AB981" s="80"/>
      <c r="AC981" s="80"/>
      <c r="AD981" s="81"/>
      <c r="AE981" s="80"/>
      <c r="AF981" s="80"/>
      <c r="AG981" s="81"/>
      <c r="AH981" s="79"/>
      <c r="AI981" s="78" t="str">
        <f aca="false">IF(E981="","",(V981&lt;&gt;"")+(AA981&lt;&gt;"")+(AF981&lt;&gt;""))</f>
        <v/>
      </c>
      <c r="AJ981" s="82" t="str">
        <f aca="false">IF(AF981&lt;&gt;"",AF981,IF(AA981&lt;&gt;"",AA981,IF(V981&lt;&gt;"",V981,"")))</f>
        <v/>
      </c>
      <c r="AK981" s="83" t="str">
        <f aca="false">IF(E981="","",IF(P981="","À SOUDER",IF(S981="","VT EN ATTENTE",IF(S981="R","VT REJETÉ – À REPRENDRE",IF(AJ981="","À RADIOGRAPHIER",IF(AJ981="A","ACCEPTÉ",IF(AJ981="NX","NX – RT À REFAIRE",IF(IF(AI981=1,X981,IF(AI981=2,AC981,""))="A","RÉPARÉ – À RADIOGRAPHIER",IF(IF(AI981=1,X981,IF(AI981=2,AC981,""))="R","VT REJETÉ – À REPRENDRE",IF(AJ981="CO","COUPE – À RESOUDER","À RÉPARER"))))))))))</f>
        <v/>
      </c>
      <c r="AL981" s="82" t="str">
        <f aca="false">IF(AND(ISNUMBER(P981),OR(AK981="À RADIOGRAPHIER",AK981="RÉPARÉ – À RADIOGRAPHIER",AK981="NX – RT À REFAIRE",AK981="À RÉPARER",AK981="COUPE – À RESOUDER",AK981="VT REJETÉ – À REPRENDRE")),MAX(0,'PROGRAMME RT'!$C$4-P981),"")</f>
        <v/>
      </c>
      <c r="AM981" s="78" t="n">
        <f aca="false">IF(AND(OR(AK981="À RADIOGRAPHIER",AK981="RÉPARÉ – À RADIOGRAPHIER",AK981="NX – RT À REFAIRE"),OR('PROGRAMME RT'!$D$5="TOUTES",B981='PROGRAMME RT'!$D$5)),1,0)</f>
        <v>0</v>
      </c>
      <c r="AN981" s="78" t="str">
        <f aca="false">IF(AM981=1,SUM(AM$7:AM981),"")</f>
        <v/>
      </c>
      <c r="AO981" s="78" t="n">
        <f aca="false">IF(AND(OR(AK981="À RÉPARER",AK981="COUPE – À RESOUDER",AK981="VT REJETÉ – À REPRENDRE"),OR(RÉPARATIONS!$D$5="TOUTES",B981=RÉPARATIONS!$D$5)),1,0)</f>
        <v>0</v>
      </c>
      <c r="AP981" s="78" t="str">
        <f aca="false">IF(AO981=1,SUM(AO$7:AO981),"")</f>
        <v/>
      </c>
    </row>
    <row r="982" customFormat="false" ht="15" hidden="false" customHeight="false" outlineLevel="0" collapsed="false">
      <c r="A982" s="78" t="str">
        <f aca="false">IF(E982="","",ROW()-6)</f>
        <v/>
      </c>
      <c r="B982" s="79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1"/>
      <c r="Q982" s="81"/>
      <c r="R982" s="80"/>
      <c r="S982" s="80"/>
      <c r="T982" s="81"/>
      <c r="U982" s="80"/>
      <c r="V982" s="80"/>
      <c r="W982" s="80"/>
      <c r="X982" s="80"/>
      <c r="Y982" s="81"/>
      <c r="Z982" s="80"/>
      <c r="AA982" s="80"/>
      <c r="AB982" s="80"/>
      <c r="AC982" s="80"/>
      <c r="AD982" s="81"/>
      <c r="AE982" s="80"/>
      <c r="AF982" s="80"/>
      <c r="AG982" s="81"/>
      <c r="AH982" s="79"/>
      <c r="AI982" s="78" t="str">
        <f aca="false">IF(E982="","",(V982&lt;&gt;"")+(AA982&lt;&gt;"")+(AF982&lt;&gt;""))</f>
        <v/>
      </c>
      <c r="AJ982" s="82" t="str">
        <f aca="false">IF(AF982&lt;&gt;"",AF982,IF(AA982&lt;&gt;"",AA982,IF(V982&lt;&gt;"",V982,"")))</f>
        <v/>
      </c>
      <c r="AK982" s="83" t="str">
        <f aca="false">IF(E982="","",IF(P982="","À SOUDER",IF(S982="","VT EN ATTENTE",IF(S982="R","VT REJETÉ – À REPRENDRE",IF(AJ982="","À RADIOGRAPHIER",IF(AJ982="A","ACCEPTÉ",IF(AJ982="NX","NX – RT À REFAIRE",IF(IF(AI982=1,X982,IF(AI982=2,AC982,""))="A","RÉPARÉ – À RADIOGRAPHIER",IF(IF(AI982=1,X982,IF(AI982=2,AC982,""))="R","VT REJETÉ – À REPRENDRE",IF(AJ982="CO","COUPE – À RESOUDER","À RÉPARER"))))))))))</f>
        <v/>
      </c>
      <c r="AL982" s="82" t="str">
        <f aca="false">IF(AND(ISNUMBER(P982),OR(AK982="À RADIOGRAPHIER",AK982="RÉPARÉ – À RADIOGRAPHIER",AK982="NX – RT À REFAIRE",AK982="À RÉPARER",AK982="COUPE – À RESOUDER",AK982="VT REJETÉ – À REPRENDRE")),MAX(0,'PROGRAMME RT'!$C$4-P982),"")</f>
        <v/>
      </c>
      <c r="AM982" s="78" t="n">
        <f aca="false">IF(AND(OR(AK982="À RADIOGRAPHIER",AK982="RÉPARÉ – À RADIOGRAPHIER",AK982="NX – RT À REFAIRE"),OR('PROGRAMME RT'!$D$5="TOUTES",B982='PROGRAMME RT'!$D$5)),1,0)</f>
        <v>0</v>
      </c>
      <c r="AN982" s="78" t="str">
        <f aca="false">IF(AM982=1,SUM(AM$7:AM982),"")</f>
        <v/>
      </c>
      <c r="AO982" s="78" t="n">
        <f aca="false">IF(AND(OR(AK982="À RÉPARER",AK982="COUPE – À RESOUDER",AK982="VT REJETÉ – À REPRENDRE"),OR(RÉPARATIONS!$D$5="TOUTES",B982=RÉPARATIONS!$D$5)),1,0)</f>
        <v>0</v>
      </c>
      <c r="AP982" s="78" t="str">
        <f aca="false">IF(AO982=1,SUM(AO$7:AO982),"")</f>
        <v/>
      </c>
    </row>
    <row r="983" customFormat="false" ht="15" hidden="false" customHeight="false" outlineLevel="0" collapsed="false">
      <c r="A983" s="78" t="str">
        <f aca="false">IF(E983="","",ROW()-6)</f>
        <v/>
      </c>
      <c r="B983" s="79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1"/>
      <c r="Q983" s="81"/>
      <c r="R983" s="80"/>
      <c r="S983" s="80"/>
      <c r="T983" s="81"/>
      <c r="U983" s="80"/>
      <c r="V983" s="80"/>
      <c r="W983" s="80"/>
      <c r="X983" s="80"/>
      <c r="Y983" s="81"/>
      <c r="Z983" s="80"/>
      <c r="AA983" s="80"/>
      <c r="AB983" s="80"/>
      <c r="AC983" s="80"/>
      <c r="AD983" s="81"/>
      <c r="AE983" s="80"/>
      <c r="AF983" s="80"/>
      <c r="AG983" s="81"/>
      <c r="AH983" s="79"/>
      <c r="AI983" s="78" t="str">
        <f aca="false">IF(E983="","",(V983&lt;&gt;"")+(AA983&lt;&gt;"")+(AF983&lt;&gt;""))</f>
        <v/>
      </c>
      <c r="AJ983" s="82" t="str">
        <f aca="false">IF(AF983&lt;&gt;"",AF983,IF(AA983&lt;&gt;"",AA983,IF(V983&lt;&gt;"",V983,"")))</f>
        <v/>
      </c>
      <c r="AK983" s="83" t="str">
        <f aca="false">IF(E983="","",IF(P983="","À SOUDER",IF(S983="","VT EN ATTENTE",IF(S983="R","VT REJETÉ – À REPRENDRE",IF(AJ983="","À RADIOGRAPHIER",IF(AJ983="A","ACCEPTÉ",IF(AJ983="NX","NX – RT À REFAIRE",IF(IF(AI983=1,X983,IF(AI983=2,AC983,""))="A","RÉPARÉ – À RADIOGRAPHIER",IF(IF(AI983=1,X983,IF(AI983=2,AC983,""))="R","VT REJETÉ – À REPRENDRE",IF(AJ983="CO","COUPE – À RESOUDER","À RÉPARER"))))))))))</f>
        <v/>
      </c>
      <c r="AL983" s="82" t="str">
        <f aca="false">IF(AND(ISNUMBER(P983),OR(AK983="À RADIOGRAPHIER",AK983="RÉPARÉ – À RADIOGRAPHIER",AK983="NX – RT À REFAIRE",AK983="À RÉPARER",AK983="COUPE – À RESOUDER",AK983="VT REJETÉ – À REPRENDRE")),MAX(0,'PROGRAMME RT'!$C$4-P983),"")</f>
        <v/>
      </c>
      <c r="AM983" s="78" t="n">
        <f aca="false">IF(AND(OR(AK983="À RADIOGRAPHIER",AK983="RÉPARÉ – À RADIOGRAPHIER",AK983="NX – RT À REFAIRE"),OR('PROGRAMME RT'!$D$5="TOUTES",B983='PROGRAMME RT'!$D$5)),1,0)</f>
        <v>0</v>
      </c>
      <c r="AN983" s="78" t="str">
        <f aca="false">IF(AM983=1,SUM(AM$7:AM983),"")</f>
        <v/>
      </c>
      <c r="AO983" s="78" t="n">
        <f aca="false">IF(AND(OR(AK983="À RÉPARER",AK983="COUPE – À RESOUDER",AK983="VT REJETÉ – À REPRENDRE"),OR(RÉPARATIONS!$D$5="TOUTES",B983=RÉPARATIONS!$D$5)),1,0)</f>
        <v>0</v>
      </c>
      <c r="AP983" s="78" t="str">
        <f aca="false">IF(AO983=1,SUM(AO$7:AO983),"")</f>
        <v/>
      </c>
    </row>
    <row r="984" customFormat="false" ht="15" hidden="false" customHeight="false" outlineLevel="0" collapsed="false">
      <c r="A984" s="78" t="str">
        <f aca="false">IF(E984="","",ROW()-6)</f>
        <v/>
      </c>
      <c r="B984" s="79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1"/>
      <c r="Q984" s="81"/>
      <c r="R984" s="80"/>
      <c r="S984" s="80"/>
      <c r="T984" s="81"/>
      <c r="U984" s="80"/>
      <c r="V984" s="80"/>
      <c r="W984" s="80"/>
      <c r="X984" s="80"/>
      <c r="Y984" s="81"/>
      <c r="Z984" s="80"/>
      <c r="AA984" s="80"/>
      <c r="AB984" s="80"/>
      <c r="AC984" s="80"/>
      <c r="AD984" s="81"/>
      <c r="AE984" s="80"/>
      <c r="AF984" s="80"/>
      <c r="AG984" s="81"/>
      <c r="AH984" s="79"/>
      <c r="AI984" s="78" t="str">
        <f aca="false">IF(E984="","",(V984&lt;&gt;"")+(AA984&lt;&gt;"")+(AF984&lt;&gt;""))</f>
        <v/>
      </c>
      <c r="AJ984" s="82" t="str">
        <f aca="false">IF(AF984&lt;&gt;"",AF984,IF(AA984&lt;&gt;"",AA984,IF(V984&lt;&gt;"",V984,"")))</f>
        <v/>
      </c>
      <c r="AK984" s="83" t="str">
        <f aca="false">IF(E984="","",IF(P984="","À SOUDER",IF(S984="","VT EN ATTENTE",IF(S984="R","VT REJETÉ – À REPRENDRE",IF(AJ984="","À RADIOGRAPHIER",IF(AJ984="A","ACCEPTÉ",IF(AJ984="NX","NX – RT À REFAIRE",IF(IF(AI984=1,X984,IF(AI984=2,AC984,""))="A","RÉPARÉ – À RADIOGRAPHIER",IF(IF(AI984=1,X984,IF(AI984=2,AC984,""))="R","VT REJETÉ – À REPRENDRE",IF(AJ984="CO","COUPE – À RESOUDER","À RÉPARER"))))))))))</f>
        <v/>
      </c>
      <c r="AL984" s="82" t="str">
        <f aca="false">IF(AND(ISNUMBER(P984),OR(AK984="À RADIOGRAPHIER",AK984="RÉPARÉ – À RADIOGRAPHIER",AK984="NX – RT À REFAIRE",AK984="À RÉPARER",AK984="COUPE – À RESOUDER",AK984="VT REJETÉ – À REPRENDRE")),MAX(0,'PROGRAMME RT'!$C$4-P984),"")</f>
        <v/>
      </c>
      <c r="AM984" s="78" t="n">
        <f aca="false">IF(AND(OR(AK984="À RADIOGRAPHIER",AK984="RÉPARÉ – À RADIOGRAPHIER",AK984="NX – RT À REFAIRE"),OR('PROGRAMME RT'!$D$5="TOUTES",B984='PROGRAMME RT'!$D$5)),1,0)</f>
        <v>0</v>
      </c>
      <c r="AN984" s="78" t="str">
        <f aca="false">IF(AM984=1,SUM(AM$7:AM984),"")</f>
        <v/>
      </c>
      <c r="AO984" s="78" t="n">
        <f aca="false">IF(AND(OR(AK984="À RÉPARER",AK984="COUPE – À RESOUDER",AK984="VT REJETÉ – À REPRENDRE"),OR(RÉPARATIONS!$D$5="TOUTES",B984=RÉPARATIONS!$D$5)),1,0)</f>
        <v>0</v>
      </c>
      <c r="AP984" s="78" t="str">
        <f aca="false">IF(AO984=1,SUM(AO$7:AO984),"")</f>
        <v/>
      </c>
    </row>
    <row r="985" customFormat="false" ht="15" hidden="false" customHeight="false" outlineLevel="0" collapsed="false">
      <c r="A985" s="78" t="str">
        <f aca="false">IF(E985="","",ROW()-6)</f>
        <v/>
      </c>
      <c r="B985" s="79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1"/>
      <c r="Q985" s="81"/>
      <c r="R985" s="80"/>
      <c r="S985" s="80"/>
      <c r="T985" s="81"/>
      <c r="U985" s="80"/>
      <c r="V985" s="80"/>
      <c r="W985" s="80"/>
      <c r="X985" s="80"/>
      <c r="Y985" s="81"/>
      <c r="Z985" s="80"/>
      <c r="AA985" s="80"/>
      <c r="AB985" s="80"/>
      <c r="AC985" s="80"/>
      <c r="AD985" s="81"/>
      <c r="AE985" s="80"/>
      <c r="AF985" s="80"/>
      <c r="AG985" s="81"/>
      <c r="AH985" s="79"/>
      <c r="AI985" s="78" t="str">
        <f aca="false">IF(E985="","",(V985&lt;&gt;"")+(AA985&lt;&gt;"")+(AF985&lt;&gt;""))</f>
        <v/>
      </c>
      <c r="AJ985" s="82" t="str">
        <f aca="false">IF(AF985&lt;&gt;"",AF985,IF(AA985&lt;&gt;"",AA985,IF(V985&lt;&gt;"",V985,"")))</f>
        <v/>
      </c>
      <c r="AK985" s="83" t="str">
        <f aca="false">IF(E985="","",IF(P985="","À SOUDER",IF(S985="","VT EN ATTENTE",IF(S985="R","VT REJETÉ – À REPRENDRE",IF(AJ985="","À RADIOGRAPHIER",IF(AJ985="A","ACCEPTÉ",IF(AJ985="NX","NX – RT À REFAIRE",IF(IF(AI985=1,X985,IF(AI985=2,AC985,""))="A","RÉPARÉ – À RADIOGRAPHIER",IF(IF(AI985=1,X985,IF(AI985=2,AC985,""))="R","VT REJETÉ – À REPRENDRE",IF(AJ985="CO","COUPE – À RESOUDER","À RÉPARER"))))))))))</f>
        <v/>
      </c>
      <c r="AL985" s="82" t="str">
        <f aca="false">IF(AND(ISNUMBER(P985),OR(AK985="À RADIOGRAPHIER",AK985="RÉPARÉ – À RADIOGRAPHIER",AK985="NX – RT À REFAIRE",AK985="À RÉPARER",AK985="COUPE – À RESOUDER",AK985="VT REJETÉ – À REPRENDRE")),MAX(0,'PROGRAMME RT'!$C$4-P985),"")</f>
        <v/>
      </c>
      <c r="AM985" s="78" t="n">
        <f aca="false">IF(AND(OR(AK985="À RADIOGRAPHIER",AK985="RÉPARÉ – À RADIOGRAPHIER",AK985="NX – RT À REFAIRE"),OR('PROGRAMME RT'!$D$5="TOUTES",B985='PROGRAMME RT'!$D$5)),1,0)</f>
        <v>0</v>
      </c>
      <c r="AN985" s="78" t="str">
        <f aca="false">IF(AM985=1,SUM(AM$7:AM985),"")</f>
        <v/>
      </c>
      <c r="AO985" s="78" t="n">
        <f aca="false">IF(AND(OR(AK985="À RÉPARER",AK985="COUPE – À RESOUDER",AK985="VT REJETÉ – À REPRENDRE"),OR(RÉPARATIONS!$D$5="TOUTES",B985=RÉPARATIONS!$D$5)),1,0)</f>
        <v>0</v>
      </c>
      <c r="AP985" s="78" t="str">
        <f aca="false">IF(AO985=1,SUM(AO$7:AO985),"")</f>
        <v/>
      </c>
    </row>
    <row r="986" customFormat="false" ht="15" hidden="false" customHeight="false" outlineLevel="0" collapsed="false">
      <c r="A986" s="78" t="str">
        <f aca="false">IF(E986="","",ROW()-6)</f>
        <v/>
      </c>
      <c r="B986" s="79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1"/>
      <c r="Q986" s="81"/>
      <c r="R986" s="80"/>
      <c r="S986" s="80"/>
      <c r="T986" s="81"/>
      <c r="U986" s="80"/>
      <c r="V986" s="80"/>
      <c r="W986" s="80"/>
      <c r="X986" s="80"/>
      <c r="Y986" s="81"/>
      <c r="Z986" s="80"/>
      <c r="AA986" s="80"/>
      <c r="AB986" s="80"/>
      <c r="AC986" s="80"/>
      <c r="AD986" s="81"/>
      <c r="AE986" s="80"/>
      <c r="AF986" s="80"/>
      <c r="AG986" s="81"/>
      <c r="AH986" s="79"/>
      <c r="AI986" s="78" t="str">
        <f aca="false">IF(E986="","",(V986&lt;&gt;"")+(AA986&lt;&gt;"")+(AF986&lt;&gt;""))</f>
        <v/>
      </c>
      <c r="AJ986" s="82" t="str">
        <f aca="false">IF(AF986&lt;&gt;"",AF986,IF(AA986&lt;&gt;"",AA986,IF(V986&lt;&gt;"",V986,"")))</f>
        <v/>
      </c>
      <c r="AK986" s="83" t="str">
        <f aca="false">IF(E986="","",IF(P986="","À SOUDER",IF(S986="","VT EN ATTENTE",IF(S986="R","VT REJETÉ – À REPRENDRE",IF(AJ986="","À RADIOGRAPHIER",IF(AJ986="A","ACCEPTÉ",IF(AJ986="NX","NX – RT À REFAIRE",IF(IF(AI986=1,X986,IF(AI986=2,AC986,""))="A","RÉPARÉ – À RADIOGRAPHIER",IF(IF(AI986=1,X986,IF(AI986=2,AC986,""))="R","VT REJETÉ – À REPRENDRE",IF(AJ986="CO","COUPE – À RESOUDER","À RÉPARER"))))))))))</f>
        <v/>
      </c>
      <c r="AL986" s="82" t="str">
        <f aca="false">IF(AND(ISNUMBER(P986),OR(AK986="À RADIOGRAPHIER",AK986="RÉPARÉ – À RADIOGRAPHIER",AK986="NX – RT À REFAIRE",AK986="À RÉPARER",AK986="COUPE – À RESOUDER",AK986="VT REJETÉ – À REPRENDRE")),MAX(0,'PROGRAMME RT'!$C$4-P986),"")</f>
        <v/>
      </c>
      <c r="AM986" s="78" t="n">
        <f aca="false">IF(AND(OR(AK986="À RADIOGRAPHIER",AK986="RÉPARÉ – À RADIOGRAPHIER",AK986="NX – RT À REFAIRE"),OR('PROGRAMME RT'!$D$5="TOUTES",B986='PROGRAMME RT'!$D$5)),1,0)</f>
        <v>0</v>
      </c>
      <c r="AN986" s="78" t="str">
        <f aca="false">IF(AM986=1,SUM(AM$7:AM986),"")</f>
        <v/>
      </c>
      <c r="AO986" s="78" t="n">
        <f aca="false">IF(AND(OR(AK986="À RÉPARER",AK986="COUPE – À RESOUDER",AK986="VT REJETÉ – À REPRENDRE"),OR(RÉPARATIONS!$D$5="TOUTES",B986=RÉPARATIONS!$D$5)),1,0)</f>
        <v>0</v>
      </c>
      <c r="AP986" s="78" t="str">
        <f aca="false">IF(AO986=1,SUM(AO$7:AO986),"")</f>
        <v/>
      </c>
    </row>
    <row r="987" customFormat="false" ht="15" hidden="false" customHeight="false" outlineLevel="0" collapsed="false">
      <c r="A987" s="78" t="str">
        <f aca="false">IF(E987="","",ROW()-6)</f>
        <v/>
      </c>
      <c r="B987" s="79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1"/>
      <c r="Q987" s="81"/>
      <c r="R987" s="80"/>
      <c r="S987" s="80"/>
      <c r="T987" s="81"/>
      <c r="U987" s="80"/>
      <c r="V987" s="80"/>
      <c r="W987" s="80"/>
      <c r="X987" s="80"/>
      <c r="Y987" s="81"/>
      <c r="Z987" s="80"/>
      <c r="AA987" s="80"/>
      <c r="AB987" s="80"/>
      <c r="AC987" s="80"/>
      <c r="AD987" s="81"/>
      <c r="AE987" s="80"/>
      <c r="AF987" s="80"/>
      <c r="AG987" s="81"/>
      <c r="AH987" s="79"/>
      <c r="AI987" s="78" t="str">
        <f aca="false">IF(E987="","",(V987&lt;&gt;"")+(AA987&lt;&gt;"")+(AF987&lt;&gt;""))</f>
        <v/>
      </c>
      <c r="AJ987" s="82" t="str">
        <f aca="false">IF(AF987&lt;&gt;"",AF987,IF(AA987&lt;&gt;"",AA987,IF(V987&lt;&gt;"",V987,"")))</f>
        <v/>
      </c>
      <c r="AK987" s="83" t="str">
        <f aca="false">IF(E987="","",IF(P987="","À SOUDER",IF(S987="","VT EN ATTENTE",IF(S987="R","VT REJETÉ – À REPRENDRE",IF(AJ987="","À RADIOGRAPHIER",IF(AJ987="A","ACCEPTÉ",IF(AJ987="NX","NX – RT À REFAIRE",IF(IF(AI987=1,X987,IF(AI987=2,AC987,""))="A","RÉPARÉ – À RADIOGRAPHIER",IF(IF(AI987=1,X987,IF(AI987=2,AC987,""))="R","VT REJETÉ – À REPRENDRE",IF(AJ987="CO","COUPE – À RESOUDER","À RÉPARER"))))))))))</f>
        <v/>
      </c>
      <c r="AL987" s="82" t="str">
        <f aca="false">IF(AND(ISNUMBER(P987),OR(AK987="À RADIOGRAPHIER",AK987="RÉPARÉ – À RADIOGRAPHIER",AK987="NX – RT À REFAIRE",AK987="À RÉPARER",AK987="COUPE – À RESOUDER",AK987="VT REJETÉ – À REPRENDRE")),MAX(0,'PROGRAMME RT'!$C$4-P987),"")</f>
        <v/>
      </c>
      <c r="AM987" s="78" t="n">
        <f aca="false">IF(AND(OR(AK987="À RADIOGRAPHIER",AK987="RÉPARÉ – À RADIOGRAPHIER",AK987="NX – RT À REFAIRE"),OR('PROGRAMME RT'!$D$5="TOUTES",B987='PROGRAMME RT'!$D$5)),1,0)</f>
        <v>0</v>
      </c>
      <c r="AN987" s="78" t="str">
        <f aca="false">IF(AM987=1,SUM(AM$7:AM987),"")</f>
        <v/>
      </c>
      <c r="AO987" s="78" t="n">
        <f aca="false">IF(AND(OR(AK987="À RÉPARER",AK987="COUPE – À RESOUDER",AK987="VT REJETÉ – À REPRENDRE"),OR(RÉPARATIONS!$D$5="TOUTES",B987=RÉPARATIONS!$D$5)),1,0)</f>
        <v>0</v>
      </c>
      <c r="AP987" s="78" t="str">
        <f aca="false">IF(AO987=1,SUM(AO$7:AO987),"")</f>
        <v/>
      </c>
    </row>
    <row r="988" customFormat="false" ht="15" hidden="false" customHeight="false" outlineLevel="0" collapsed="false">
      <c r="A988" s="78" t="str">
        <f aca="false">IF(E988="","",ROW()-6)</f>
        <v/>
      </c>
      <c r="B988" s="79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1"/>
      <c r="Q988" s="81"/>
      <c r="R988" s="80"/>
      <c r="S988" s="80"/>
      <c r="T988" s="81"/>
      <c r="U988" s="80"/>
      <c r="V988" s="80"/>
      <c r="W988" s="80"/>
      <c r="X988" s="80"/>
      <c r="Y988" s="81"/>
      <c r="Z988" s="80"/>
      <c r="AA988" s="80"/>
      <c r="AB988" s="80"/>
      <c r="AC988" s="80"/>
      <c r="AD988" s="81"/>
      <c r="AE988" s="80"/>
      <c r="AF988" s="80"/>
      <c r="AG988" s="81"/>
      <c r="AH988" s="79"/>
      <c r="AI988" s="78" t="str">
        <f aca="false">IF(E988="","",(V988&lt;&gt;"")+(AA988&lt;&gt;"")+(AF988&lt;&gt;""))</f>
        <v/>
      </c>
      <c r="AJ988" s="82" t="str">
        <f aca="false">IF(AF988&lt;&gt;"",AF988,IF(AA988&lt;&gt;"",AA988,IF(V988&lt;&gt;"",V988,"")))</f>
        <v/>
      </c>
      <c r="AK988" s="83" t="str">
        <f aca="false">IF(E988="","",IF(P988="","À SOUDER",IF(S988="","VT EN ATTENTE",IF(S988="R","VT REJETÉ – À REPRENDRE",IF(AJ988="","À RADIOGRAPHIER",IF(AJ988="A","ACCEPTÉ",IF(AJ988="NX","NX – RT À REFAIRE",IF(IF(AI988=1,X988,IF(AI988=2,AC988,""))="A","RÉPARÉ – À RADIOGRAPHIER",IF(IF(AI988=1,X988,IF(AI988=2,AC988,""))="R","VT REJETÉ – À REPRENDRE",IF(AJ988="CO","COUPE – À RESOUDER","À RÉPARER"))))))))))</f>
        <v/>
      </c>
      <c r="AL988" s="82" t="str">
        <f aca="false">IF(AND(ISNUMBER(P988),OR(AK988="À RADIOGRAPHIER",AK988="RÉPARÉ – À RADIOGRAPHIER",AK988="NX – RT À REFAIRE",AK988="À RÉPARER",AK988="COUPE – À RESOUDER",AK988="VT REJETÉ – À REPRENDRE")),MAX(0,'PROGRAMME RT'!$C$4-P988),"")</f>
        <v/>
      </c>
      <c r="AM988" s="78" t="n">
        <f aca="false">IF(AND(OR(AK988="À RADIOGRAPHIER",AK988="RÉPARÉ – À RADIOGRAPHIER",AK988="NX – RT À REFAIRE"),OR('PROGRAMME RT'!$D$5="TOUTES",B988='PROGRAMME RT'!$D$5)),1,0)</f>
        <v>0</v>
      </c>
      <c r="AN988" s="78" t="str">
        <f aca="false">IF(AM988=1,SUM(AM$7:AM988),"")</f>
        <v/>
      </c>
      <c r="AO988" s="78" t="n">
        <f aca="false">IF(AND(OR(AK988="À RÉPARER",AK988="COUPE – À RESOUDER",AK988="VT REJETÉ – À REPRENDRE"),OR(RÉPARATIONS!$D$5="TOUTES",B988=RÉPARATIONS!$D$5)),1,0)</f>
        <v>0</v>
      </c>
      <c r="AP988" s="78" t="str">
        <f aca="false">IF(AO988=1,SUM(AO$7:AO988),"")</f>
        <v/>
      </c>
    </row>
    <row r="989" customFormat="false" ht="15" hidden="false" customHeight="false" outlineLevel="0" collapsed="false">
      <c r="A989" s="78" t="str">
        <f aca="false">IF(E989="","",ROW()-6)</f>
        <v/>
      </c>
      <c r="B989" s="79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1"/>
      <c r="Q989" s="81"/>
      <c r="R989" s="80"/>
      <c r="S989" s="80"/>
      <c r="T989" s="81"/>
      <c r="U989" s="80"/>
      <c r="V989" s="80"/>
      <c r="W989" s="80"/>
      <c r="X989" s="80"/>
      <c r="Y989" s="81"/>
      <c r="Z989" s="80"/>
      <c r="AA989" s="80"/>
      <c r="AB989" s="80"/>
      <c r="AC989" s="80"/>
      <c r="AD989" s="81"/>
      <c r="AE989" s="80"/>
      <c r="AF989" s="80"/>
      <c r="AG989" s="81"/>
      <c r="AH989" s="79"/>
      <c r="AI989" s="78" t="str">
        <f aca="false">IF(E989="","",(V989&lt;&gt;"")+(AA989&lt;&gt;"")+(AF989&lt;&gt;""))</f>
        <v/>
      </c>
      <c r="AJ989" s="82" t="str">
        <f aca="false">IF(AF989&lt;&gt;"",AF989,IF(AA989&lt;&gt;"",AA989,IF(V989&lt;&gt;"",V989,"")))</f>
        <v/>
      </c>
      <c r="AK989" s="83" t="str">
        <f aca="false">IF(E989="","",IF(P989="","À SOUDER",IF(S989="","VT EN ATTENTE",IF(S989="R","VT REJETÉ – À REPRENDRE",IF(AJ989="","À RADIOGRAPHIER",IF(AJ989="A","ACCEPTÉ",IF(AJ989="NX","NX – RT À REFAIRE",IF(IF(AI989=1,X989,IF(AI989=2,AC989,""))="A","RÉPARÉ – À RADIOGRAPHIER",IF(IF(AI989=1,X989,IF(AI989=2,AC989,""))="R","VT REJETÉ – À REPRENDRE",IF(AJ989="CO","COUPE – À RESOUDER","À RÉPARER"))))))))))</f>
        <v/>
      </c>
      <c r="AL989" s="82" t="str">
        <f aca="false">IF(AND(ISNUMBER(P989),OR(AK989="À RADIOGRAPHIER",AK989="RÉPARÉ – À RADIOGRAPHIER",AK989="NX – RT À REFAIRE",AK989="À RÉPARER",AK989="COUPE – À RESOUDER",AK989="VT REJETÉ – À REPRENDRE")),MAX(0,'PROGRAMME RT'!$C$4-P989),"")</f>
        <v/>
      </c>
      <c r="AM989" s="78" t="n">
        <f aca="false">IF(AND(OR(AK989="À RADIOGRAPHIER",AK989="RÉPARÉ – À RADIOGRAPHIER",AK989="NX – RT À REFAIRE"),OR('PROGRAMME RT'!$D$5="TOUTES",B989='PROGRAMME RT'!$D$5)),1,0)</f>
        <v>0</v>
      </c>
      <c r="AN989" s="78" t="str">
        <f aca="false">IF(AM989=1,SUM(AM$7:AM989),"")</f>
        <v/>
      </c>
      <c r="AO989" s="78" t="n">
        <f aca="false">IF(AND(OR(AK989="À RÉPARER",AK989="COUPE – À RESOUDER",AK989="VT REJETÉ – À REPRENDRE"),OR(RÉPARATIONS!$D$5="TOUTES",B989=RÉPARATIONS!$D$5)),1,0)</f>
        <v>0</v>
      </c>
      <c r="AP989" s="78" t="str">
        <f aca="false">IF(AO989=1,SUM(AO$7:AO989),"")</f>
        <v/>
      </c>
    </row>
    <row r="990" customFormat="false" ht="15" hidden="false" customHeight="false" outlineLevel="0" collapsed="false">
      <c r="A990" s="78" t="str">
        <f aca="false">IF(E990="","",ROW()-6)</f>
        <v/>
      </c>
      <c r="B990" s="79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1"/>
      <c r="Q990" s="81"/>
      <c r="R990" s="80"/>
      <c r="S990" s="80"/>
      <c r="T990" s="81"/>
      <c r="U990" s="80"/>
      <c r="V990" s="80"/>
      <c r="W990" s="80"/>
      <c r="X990" s="80"/>
      <c r="Y990" s="81"/>
      <c r="Z990" s="80"/>
      <c r="AA990" s="80"/>
      <c r="AB990" s="80"/>
      <c r="AC990" s="80"/>
      <c r="AD990" s="81"/>
      <c r="AE990" s="80"/>
      <c r="AF990" s="80"/>
      <c r="AG990" s="81"/>
      <c r="AH990" s="79"/>
      <c r="AI990" s="78" t="str">
        <f aca="false">IF(E990="","",(V990&lt;&gt;"")+(AA990&lt;&gt;"")+(AF990&lt;&gt;""))</f>
        <v/>
      </c>
      <c r="AJ990" s="82" t="str">
        <f aca="false">IF(AF990&lt;&gt;"",AF990,IF(AA990&lt;&gt;"",AA990,IF(V990&lt;&gt;"",V990,"")))</f>
        <v/>
      </c>
      <c r="AK990" s="83" t="str">
        <f aca="false">IF(E990="","",IF(P990="","À SOUDER",IF(S990="","VT EN ATTENTE",IF(S990="R","VT REJETÉ – À REPRENDRE",IF(AJ990="","À RADIOGRAPHIER",IF(AJ990="A","ACCEPTÉ",IF(AJ990="NX","NX – RT À REFAIRE",IF(IF(AI990=1,X990,IF(AI990=2,AC990,""))="A","RÉPARÉ – À RADIOGRAPHIER",IF(IF(AI990=1,X990,IF(AI990=2,AC990,""))="R","VT REJETÉ – À REPRENDRE",IF(AJ990="CO","COUPE – À RESOUDER","À RÉPARER"))))))))))</f>
        <v/>
      </c>
      <c r="AL990" s="82" t="str">
        <f aca="false">IF(AND(ISNUMBER(P990),OR(AK990="À RADIOGRAPHIER",AK990="RÉPARÉ – À RADIOGRAPHIER",AK990="NX – RT À REFAIRE",AK990="À RÉPARER",AK990="COUPE – À RESOUDER",AK990="VT REJETÉ – À REPRENDRE")),MAX(0,'PROGRAMME RT'!$C$4-P990),"")</f>
        <v/>
      </c>
      <c r="AM990" s="78" t="n">
        <f aca="false">IF(AND(OR(AK990="À RADIOGRAPHIER",AK990="RÉPARÉ – À RADIOGRAPHIER",AK990="NX – RT À REFAIRE"),OR('PROGRAMME RT'!$D$5="TOUTES",B990='PROGRAMME RT'!$D$5)),1,0)</f>
        <v>0</v>
      </c>
      <c r="AN990" s="78" t="str">
        <f aca="false">IF(AM990=1,SUM(AM$7:AM990),"")</f>
        <v/>
      </c>
      <c r="AO990" s="78" t="n">
        <f aca="false">IF(AND(OR(AK990="À RÉPARER",AK990="COUPE – À RESOUDER",AK990="VT REJETÉ – À REPRENDRE"),OR(RÉPARATIONS!$D$5="TOUTES",B990=RÉPARATIONS!$D$5)),1,0)</f>
        <v>0</v>
      </c>
      <c r="AP990" s="78" t="str">
        <f aca="false">IF(AO990=1,SUM(AO$7:AO990),"")</f>
        <v/>
      </c>
    </row>
    <row r="991" customFormat="false" ht="15" hidden="false" customHeight="false" outlineLevel="0" collapsed="false">
      <c r="A991" s="78" t="str">
        <f aca="false">IF(E991="","",ROW()-6)</f>
        <v/>
      </c>
      <c r="B991" s="79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1"/>
      <c r="Q991" s="81"/>
      <c r="R991" s="80"/>
      <c r="S991" s="80"/>
      <c r="T991" s="81"/>
      <c r="U991" s="80"/>
      <c r="V991" s="80"/>
      <c r="W991" s="80"/>
      <c r="X991" s="80"/>
      <c r="Y991" s="81"/>
      <c r="Z991" s="80"/>
      <c r="AA991" s="80"/>
      <c r="AB991" s="80"/>
      <c r="AC991" s="80"/>
      <c r="AD991" s="81"/>
      <c r="AE991" s="80"/>
      <c r="AF991" s="80"/>
      <c r="AG991" s="81"/>
      <c r="AH991" s="79"/>
      <c r="AI991" s="78" t="str">
        <f aca="false">IF(E991="","",(V991&lt;&gt;"")+(AA991&lt;&gt;"")+(AF991&lt;&gt;""))</f>
        <v/>
      </c>
      <c r="AJ991" s="82" t="str">
        <f aca="false">IF(AF991&lt;&gt;"",AF991,IF(AA991&lt;&gt;"",AA991,IF(V991&lt;&gt;"",V991,"")))</f>
        <v/>
      </c>
      <c r="AK991" s="83" t="str">
        <f aca="false">IF(E991="","",IF(P991="","À SOUDER",IF(S991="","VT EN ATTENTE",IF(S991="R","VT REJETÉ – À REPRENDRE",IF(AJ991="","À RADIOGRAPHIER",IF(AJ991="A","ACCEPTÉ",IF(AJ991="NX","NX – RT À REFAIRE",IF(IF(AI991=1,X991,IF(AI991=2,AC991,""))="A","RÉPARÉ – À RADIOGRAPHIER",IF(IF(AI991=1,X991,IF(AI991=2,AC991,""))="R","VT REJETÉ – À REPRENDRE",IF(AJ991="CO","COUPE – À RESOUDER","À RÉPARER"))))))))))</f>
        <v/>
      </c>
      <c r="AL991" s="82" t="str">
        <f aca="false">IF(AND(ISNUMBER(P991),OR(AK991="À RADIOGRAPHIER",AK991="RÉPARÉ – À RADIOGRAPHIER",AK991="NX – RT À REFAIRE",AK991="À RÉPARER",AK991="COUPE – À RESOUDER",AK991="VT REJETÉ – À REPRENDRE")),MAX(0,'PROGRAMME RT'!$C$4-P991),"")</f>
        <v/>
      </c>
      <c r="AM991" s="78" t="n">
        <f aca="false">IF(AND(OR(AK991="À RADIOGRAPHIER",AK991="RÉPARÉ – À RADIOGRAPHIER",AK991="NX – RT À REFAIRE"),OR('PROGRAMME RT'!$D$5="TOUTES",B991='PROGRAMME RT'!$D$5)),1,0)</f>
        <v>0</v>
      </c>
      <c r="AN991" s="78" t="str">
        <f aca="false">IF(AM991=1,SUM(AM$7:AM991),"")</f>
        <v/>
      </c>
      <c r="AO991" s="78" t="n">
        <f aca="false">IF(AND(OR(AK991="À RÉPARER",AK991="COUPE – À RESOUDER",AK991="VT REJETÉ – À REPRENDRE"),OR(RÉPARATIONS!$D$5="TOUTES",B991=RÉPARATIONS!$D$5)),1,0)</f>
        <v>0</v>
      </c>
      <c r="AP991" s="78" t="str">
        <f aca="false">IF(AO991=1,SUM(AO$7:AO991),"")</f>
        <v/>
      </c>
    </row>
    <row r="992" customFormat="false" ht="15" hidden="false" customHeight="false" outlineLevel="0" collapsed="false">
      <c r="A992" s="78" t="str">
        <f aca="false">IF(E992="","",ROW()-6)</f>
        <v/>
      </c>
      <c r="B992" s="79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1"/>
      <c r="Q992" s="81"/>
      <c r="R992" s="80"/>
      <c r="S992" s="80"/>
      <c r="T992" s="81"/>
      <c r="U992" s="80"/>
      <c r="V992" s="80"/>
      <c r="W992" s="80"/>
      <c r="X992" s="80"/>
      <c r="Y992" s="81"/>
      <c r="Z992" s="80"/>
      <c r="AA992" s="80"/>
      <c r="AB992" s="80"/>
      <c r="AC992" s="80"/>
      <c r="AD992" s="81"/>
      <c r="AE992" s="80"/>
      <c r="AF992" s="80"/>
      <c r="AG992" s="81"/>
      <c r="AH992" s="79"/>
      <c r="AI992" s="78" t="str">
        <f aca="false">IF(E992="","",(V992&lt;&gt;"")+(AA992&lt;&gt;"")+(AF992&lt;&gt;""))</f>
        <v/>
      </c>
      <c r="AJ992" s="82" t="str">
        <f aca="false">IF(AF992&lt;&gt;"",AF992,IF(AA992&lt;&gt;"",AA992,IF(V992&lt;&gt;"",V992,"")))</f>
        <v/>
      </c>
      <c r="AK992" s="83" t="str">
        <f aca="false">IF(E992="","",IF(P992="","À SOUDER",IF(S992="","VT EN ATTENTE",IF(S992="R","VT REJETÉ – À REPRENDRE",IF(AJ992="","À RADIOGRAPHIER",IF(AJ992="A","ACCEPTÉ",IF(AJ992="NX","NX – RT À REFAIRE",IF(IF(AI992=1,X992,IF(AI992=2,AC992,""))="A","RÉPARÉ – À RADIOGRAPHIER",IF(IF(AI992=1,X992,IF(AI992=2,AC992,""))="R","VT REJETÉ – À REPRENDRE",IF(AJ992="CO","COUPE – À RESOUDER","À RÉPARER"))))))))))</f>
        <v/>
      </c>
      <c r="AL992" s="82" t="str">
        <f aca="false">IF(AND(ISNUMBER(P992),OR(AK992="À RADIOGRAPHIER",AK992="RÉPARÉ – À RADIOGRAPHIER",AK992="NX – RT À REFAIRE",AK992="À RÉPARER",AK992="COUPE – À RESOUDER",AK992="VT REJETÉ – À REPRENDRE")),MAX(0,'PROGRAMME RT'!$C$4-P992),"")</f>
        <v/>
      </c>
      <c r="AM992" s="78" t="n">
        <f aca="false">IF(AND(OR(AK992="À RADIOGRAPHIER",AK992="RÉPARÉ – À RADIOGRAPHIER",AK992="NX – RT À REFAIRE"),OR('PROGRAMME RT'!$D$5="TOUTES",B992='PROGRAMME RT'!$D$5)),1,0)</f>
        <v>0</v>
      </c>
      <c r="AN992" s="78" t="str">
        <f aca="false">IF(AM992=1,SUM(AM$7:AM992),"")</f>
        <v/>
      </c>
      <c r="AO992" s="78" t="n">
        <f aca="false">IF(AND(OR(AK992="À RÉPARER",AK992="COUPE – À RESOUDER",AK992="VT REJETÉ – À REPRENDRE"),OR(RÉPARATIONS!$D$5="TOUTES",B992=RÉPARATIONS!$D$5)),1,0)</f>
        <v>0</v>
      </c>
      <c r="AP992" s="78" t="str">
        <f aca="false">IF(AO992=1,SUM(AO$7:AO992),"")</f>
        <v/>
      </c>
    </row>
    <row r="993" customFormat="false" ht="15" hidden="false" customHeight="false" outlineLevel="0" collapsed="false">
      <c r="A993" s="78" t="str">
        <f aca="false">IF(E993="","",ROW()-6)</f>
        <v/>
      </c>
      <c r="B993" s="79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1"/>
      <c r="Q993" s="81"/>
      <c r="R993" s="80"/>
      <c r="S993" s="80"/>
      <c r="T993" s="81"/>
      <c r="U993" s="80"/>
      <c r="V993" s="80"/>
      <c r="W993" s="80"/>
      <c r="X993" s="80"/>
      <c r="Y993" s="81"/>
      <c r="Z993" s="80"/>
      <c r="AA993" s="80"/>
      <c r="AB993" s="80"/>
      <c r="AC993" s="80"/>
      <c r="AD993" s="81"/>
      <c r="AE993" s="80"/>
      <c r="AF993" s="80"/>
      <c r="AG993" s="81"/>
      <c r="AH993" s="79"/>
      <c r="AI993" s="78" t="str">
        <f aca="false">IF(E993="","",(V993&lt;&gt;"")+(AA993&lt;&gt;"")+(AF993&lt;&gt;""))</f>
        <v/>
      </c>
      <c r="AJ993" s="82" t="str">
        <f aca="false">IF(AF993&lt;&gt;"",AF993,IF(AA993&lt;&gt;"",AA993,IF(V993&lt;&gt;"",V993,"")))</f>
        <v/>
      </c>
      <c r="AK993" s="83" t="str">
        <f aca="false">IF(E993="","",IF(P993="","À SOUDER",IF(S993="","VT EN ATTENTE",IF(S993="R","VT REJETÉ – À REPRENDRE",IF(AJ993="","À RADIOGRAPHIER",IF(AJ993="A","ACCEPTÉ",IF(AJ993="NX","NX – RT À REFAIRE",IF(IF(AI993=1,X993,IF(AI993=2,AC993,""))="A","RÉPARÉ – À RADIOGRAPHIER",IF(IF(AI993=1,X993,IF(AI993=2,AC993,""))="R","VT REJETÉ – À REPRENDRE",IF(AJ993="CO","COUPE – À RESOUDER","À RÉPARER"))))))))))</f>
        <v/>
      </c>
      <c r="AL993" s="82" t="str">
        <f aca="false">IF(AND(ISNUMBER(P993),OR(AK993="À RADIOGRAPHIER",AK993="RÉPARÉ – À RADIOGRAPHIER",AK993="NX – RT À REFAIRE",AK993="À RÉPARER",AK993="COUPE – À RESOUDER",AK993="VT REJETÉ – À REPRENDRE")),MAX(0,'PROGRAMME RT'!$C$4-P993),"")</f>
        <v/>
      </c>
      <c r="AM993" s="78" t="n">
        <f aca="false">IF(AND(OR(AK993="À RADIOGRAPHIER",AK993="RÉPARÉ – À RADIOGRAPHIER",AK993="NX – RT À REFAIRE"),OR('PROGRAMME RT'!$D$5="TOUTES",B993='PROGRAMME RT'!$D$5)),1,0)</f>
        <v>0</v>
      </c>
      <c r="AN993" s="78" t="str">
        <f aca="false">IF(AM993=1,SUM(AM$7:AM993),"")</f>
        <v/>
      </c>
      <c r="AO993" s="78" t="n">
        <f aca="false">IF(AND(OR(AK993="À RÉPARER",AK993="COUPE – À RESOUDER",AK993="VT REJETÉ – À REPRENDRE"),OR(RÉPARATIONS!$D$5="TOUTES",B993=RÉPARATIONS!$D$5)),1,0)</f>
        <v>0</v>
      </c>
      <c r="AP993" s="78" t="str">
        <f aca="false">IF(AO993=1,SUM(AO$7:AO993),"")</f>
        <v/>
      </c>
    </row>
    <row r="994" customFormat="false" ht="15" hidden="false" customHeight="false" outlineLevel="0" collapsed="false">
      <c r="A994" s="78" t="str">
        <f aca="false">IF(E994="","",ROW()-6)</f>
        <v/>
      </c>
      <c r="B994" s="79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1"/>
      <c r="Q994" s="81"/>
      <c r="R994" s="80"/>
      <c r="S994" s="80"/>
      <c r="T994" s="81"/>
      <c r="U994" s="80"/>
      <c r="V994" s="80"/>
      <c r="W994" s="80"/>
      <c r="X994" s="80"/>
      <c r="Y994" s="81"/>
      <c r="Z994" s="80"/>
      <c r="AA994" s="80"/>
      <c r="AB994" s="80"/>
      <c r="AC994" s="80"/>
      <c r="AD994" s="81"/>
      <c r="AE994" s="80"/>
      <c r="AF994" s="80"/>
      <c r="AG994" s="81"/>
      <c r="AH994" s="79"/>
      <c r="AI994" s="78" t="str">
        <f aca="false">IF(E994="","",(V994&lt;&gt;"")+(AA994&lt;&gt;"")+(AF994&lt;&gt;""))</f>
        <v/>
      </c>
      <c r="AJ994" s="82" t="str">
        <f aca="false">IF(AF994&lt;&gt;"",AF994,IF(AA994&lt;&gt;"",AA994,IF(V994&lt;&gt;"",V994,"")))</f>
        <v/>
      </c>
      <c r="AK994" s="83" t="str">
        <f aca="false">IF(E994="","",IF(P994="","À SOUDER",IF(S994="","VT EN ATTENTE",IF(S994="R","VT REJETÉ – À REPRENDRE",IF(AJ994="","À RADIOGRAPHIER",IF(AJ994="A","ACCEPTÉ",IF(AJ994="NX","NX – RT À REFAIRE",IF(IF(AI994=1,X994,IF(AI994=2,AC994,""))="A","RÉPARÉ – À RADIOGRAPHIER",IF(IF(AI994=1,X994,IF(AI994=2,AC994,""))="R","VT REJETÉ – À REPRENDRE",IF(AJ994="CO","COUPE – À RESOUDER","À RÉPARER"))))))))))</f>
        <v/>
      </c>
      <c r="AL994" s="82" t="str">
        <f aca="false">IF(AND(ISNUMBER(P994),OR(AK994="À RADIOGRAPHIER",AK994="RÉPARÉ – À RADIOGRAPHIER",AK994="NX – RT À REFAIRE",AK994="À RÉPARER",AK994="COUPE – À RESOUDER",AK994="VT REJETÉ – À REPRENDRE")),MAX(0,'PROGRAMME RT'!$C$4-P994),"")</f>
        <v/>
      </c>
      <c r="AM994" s="78" t="n">
        <f aca="false">IF(AND(OR(AK994="À RADIOGRAPHIER",AK994="RÉPARÉ – À RADIOGRAPHIER",AK994="NX – RT À REFAIRE"),OR('PROGRAMME RT'!$D$5="TOUTES",B994='PROGRAMME RT'!$D$5)),1,0)</f>
        <v>0</v>
      </c>
      <c r="AN994" s="78" t="str">
        <f aca="false">IF(AM994=1,SUM(AM$7:AM994),"")</f>
        <v/>
      </c>
      <c r="AO994" s="78" t="n">
        <f aca="false">IF(AND(OR(AK994="À RÉPARER",AK994="COUPE – À RESOUDER",AK994="VT REJETÉ – À REPRENDRE"),OR(RÉPARATIONS!$D$5="TOUTES",B994=RÉPARATIONS!$D$5)),1,0)</f>
        <v>0</v>
      </c>
      <c r="AP994" s="78" t="str">
        <f aca="false">IF(AO994=1,SUM(AO$7:AO994),"")</f>
        <v/>
      </c>
    </row>
    <row r="995" customFormat="false" ht="15" hidden="false" customHeight="false" outlineLevel="0" collapsed="false">
      <c r="A995" s="78" t="str">
        <f aca="false">IF(E995="","",ROW()-6)</f>
        <v/>
      </c>
      <c r="B995" s="79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1"/>
      <c r="Q995" s="81"/>
      <c r="R995" s="80"/>
      <c r="S995" s="80"/>
      <c r="T995" s="81"/>
      <c r="U995" s="80"/>
      <c r="V995" s="80"/>
      <c r="W995" s="80"/>
      <c r="X995" s="80"/>
      <c r="Y995" s="81"/>
      <c r="Z995" s="80"/>
      <c r="AA995" s="80"/>
      <c r="AB995" s="80"/>
      <c r="AC995" s="80"/>
      <c r="AD995" s="81"/>
      <c r="AE995" s="80"/>
      <c r="AF995" s="80"/>
      <c r="AG995" s="81"/>
      <c r="AH995" s="79"/>
      <c r="AI995" s="78" t="str">
        <f aca="false">IF(E995="","",(V995&lt;&gt;"")+(AA995&lt;&gt;"")+(AF995&lt;&gt;""))</f>
        <v/>
      </c>
      <c r="AJ995" s="82" t="str">
        <f aca="false">IF(AF995&lt;&gt;"",AF995,IF(AA995&lt;&gt;"",AA995,IF(V995&lt;&gt;"",V995,"")))</f>
        <v/>
      </c>
      <c r="AK995" s="83" t="str">
        <f aca="false">IF(E995="","",IF(P995="","À SOUDER",IF(S995="","VT EN ATTENTE",IF(S995="R","VT REJETÉ – À REPRENDRE",IF(AJ995="","À RADIOGRAPHIER",IF(AJ995="A","ACCEPTÉ",IF(AJ995="NX","NX – RT À REFAIRE",IF(IF(AI995=1,X995,IF(AI995=2,AC995,""))="A","RÉPARÉ – À RADIOGRAPHIER",IF(IF(AI995=1,X995,IF(AI995=2,AC995,""))="R","VT REJETÉ – À REPRENDRE",IF(AJ995="CO","COUPE – À RESOUDER","À RÉPARER"))))))))))</f>
        <v/>
      </c>
      <c r="AL995" s="82" t="str">
        <f aca="false">IF(AND(ISNUMBER(P995),OR(AK995="À RADIOGRAPHIER",AK995="RÉPARÉ – À RADIOGRAPHIER",AK995="NX – RT À REFAIRE",AK995="À RÉPARER",AK995="COUPE – À RESOUDER",AK995="VT REJETÉ – À REPRENDRE")),MAX(0,'PROGRAMME RT'!$C$4-P995),"")</f>
        <v/>
      </c>
      <c r="AM995" s="78" t="n">
        <f aca="false">IF(AND(OR(AK995="À RADIOGRAPHIER",AK995="RÉPARÉ – À RADIOGRAPHIER",AK995="NX – RT À REFAIRE"),OR('PROGRAMME RT'!$D$5="TOUTES",B995='PROGRAMME RT'!$D$5)),1,0)</f>
        <v>0</v>
      </c>
      <c r="AN995" s="78" t="str">
        <f aca="false">IF(AM995=1,SUM(AM$7:AM995),"")</f>
        <v/>
      </c>
      <c r="AO995" s="78" t="n">
        <f aca="false">IF(AND(OR(AK995="À RÉPARER",AK995="COUPE – À RESOUDER",AK995="VT REJETÉ – À REPRENDRE"),OR(RÉPARATIONS!$D$5="TOUTES",B995=RÉPARATIONS!$D$5)),1,0)</f>
        <v>0</v>
      </c>
      <c r="AP995" s="78" t="str">
        <f aca="false">IF(AO995=1,SUM(AO$7:AO995),"")</f>
        <v/>
      </c>
    </row>
    <row r="996" customFormat="false" ht="15" hidden="false" customHeight="false" outlineLevel="0" collapsed="false">
      <c r="A996" s="78" t="str">
        <f aca="false">IF(E996="","",ROW()-6)</f>
        <v/>
      </c>
      <c r="B996" s="79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1"/>
      <c r="Q996" s="81"/>
      <c r="R996" s="80"/>
      <c r="S996" s="80"/>
      <c r="T996" s="81"/>
      <c r="U996" s="80"/>
      <c r="V996" s="80"/>
      <c r="W996" s="80"/>
      <c r="X996" s="80"/>
      <c r="Y996" s="81"/>
      <c r="Z996" s="80"/>
      <c r="AA996" s="80"/>
      <c r="AB996" s="80"/>
      <c r="AC996" s="80"/>
      <c r="AD996" s="81"/>
      <c r="AE996" s="80"/>
      <c r="AF996" s="80"/>
      <c r="AG996" s="81"/>
      <c r="AH996" s="79"/>
      <c r="AI996" s="78" t="str">
        <f aca="false">IF(E996="","",(V996&lt;&gt;"")+(AA996&lt;&gt;"")+(AF996&lt;&gt;""))</f>
        <v/>
      </c>
      <c r="AJ996" s="82" t="str">
        <f aca="false">IF(AF996&lt;&gt;"",AF996,IF(AA996&lt;&gt;"",AA996,IF(V996&lt;&gt;"",V996,"")))</f>
        <v/>
      </c>
      <c r="AK996" s="83" t="str">
        <f aca="false">IF(E996="","",IF(P996="","À SOUDER",IF(S996="","VT EN ATTENTE",IF(S996="R","VT REJETÉ – À REPRENDRE",IF(AJ996="","À RADIOGRAPHIER",IF(AJ996="A","ACCEPTÉ",IF(AJ996="NX","NX – RT À REFAIRE",IF(IF(AI996=1,X996,IF(AI996=2,AC996,""))="A","RÉPARÉ – À RADIOGRAPHIER",IF(IF(AI996=1,X996,IF(AI996=2,AC996,""))="R","VT REJETÉ – À REPRENDRE",IF(AJ996="CO","COUPE – À RESOUDER","À RÉPARER"))))))))))</f>
        <v/>
      </c>
      <c r="AL996" s="82" t="str">
        <f aca="false">IF(AND(ISNUMBER(P996),OR(AK996="À RADIOGRAPHIER",AK996="RÉPARÉ – À RADIOGRAPHIER",AK996="NX – RT À REFAIRE",AK996="À RÉPARER",AK996="COUPE – À RESOUDER",AK996="VT REJETÉ – À REPRENDRE")),MAX(0,'PROGRAMME RT'!$C$4-P996),"")</f>
        <v/>
      </c>
      <c r="AM996" s="78" t="n">
        <f aca="false">IF(AND(OR(AK996="À RADIOGRAPHIER",AK996="RÉPARÉ – À RADIOGRAPHIER",AK996="NX – RT À REFAIRE"),OR('PROGRAMME RT'!$D$5="TOUTES",B996='PROGRAMME RT'!$D$5)),1,0)</f>
        <v>0</v>
      </c>
      <c r="AN996" s="78" t="str">
        <f aca="false">IF(AM996=1,SUM(AM$7:AM996),"")</f>
        <v/>
      </c>
      <c r="AO996" s="78" t="n">
        <f aca="false">IF(AND(OR(AK996="À RÉPARER",AK996="COUPE – À RESOUDER",AK996="VT REJETÉ – À REPRENDRE"),OR(RÉPARATIONS!$D$5="TOUTES",B996=RÉPARATIONS!$D$5)),1,0)</f>
        <v>0</v>
      </c>
      <c r="AP996" s="78" t="str">
        <f aca="false">IF(AO996=1,SUM(AO$7:AO996),"")</f>
        <v/>
      </c>
    </row>
    <row r="997" customFormat="false" ht="15" hidden="false" customHeight="false" outlineLevel="0" collapsed="false">
      <c r="A997" s="78" t="str">
        <f aca="false">IF(E997="","",ROW()-6)</f>
        <v/>
      </c>
      <c r="B997" s="79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1"/>
      <c r="Q997" s="81"/>
      <c r="R997" s="80"/>
      <c r="S997" s="80"/>
      <c r="T997" s="81"/>
      <c r="U997" s="80"/>
      <c r="V997" s="80"/>
      <c r="W997" s="80"/>
      <c r="X997" s="80"/>
      <c r="Y997" s="81"/>
      <c r="Z997" s="80"/>
      <c r="AA997" s="80"/>
      <c r="AB997" s="80"/>
      <c r="AC997" s="80"/>
      <c r="AD997" s="81"/>
      <c r="AE997" s="80"/>
      <c r="AF997" s="80"/>
      <c r="AG997" s="81"/>
      <c r="AH997" s="79"/>
      <c r="AI997" s="78" t="str">
        <f aca="false">IF(E997="","",(V997&lt;&gt;"")+(AA997&lt;&gt;"")+(AF997&lt;&gt;""))</f>
        <v/>
      </c>
      <c r="AJ997" s="82" t="str">
        <f aca="false">IF(AF997&lt;&gt;"",AF997,IF(AA997&lt;&gt;"",AA997,IF(V997&lt;&gt;"",V997,"")))</f>
        <v/>
      </c>
      <c r="AK997" s="83" t="str">
        <f aca="false">IF(E997="","",IF(P997="","À SOUDER",IF(S997="","VT EN ATTENTE",IF(S997="R","VT REJETÉ – À REPRENDRE",IF(AJ997="","À RADIOGRAPHIER",IF(AJ997="A","ACCEPTÉ",IF(AJ997="NX","NX – RT À REFAIRE",IF(IF(AI997=1,X997,IF(AI997=2,AC997,""))="A","RÉPARÉ – À RADIOGRAPHIER",IF(IF(AI997=1,X997,IF(AI997=2,AC997,""))="R","VT REJETÉ – À REPRENDRE",IF(AJ997="CO","COUPE – À RESOUDER","À RÉPARER"))))))))))</f>
        <v/>
      </c>
      <c r="AL997" s="82" t="str">
        <f aca="false">IF(AND(ISNUMBER(P997),OR(AK997="À RADIOGRAPHIER",AK997="RÉPARÉ – À RADIOGRAPHIER",AK997="NX – RT À REFAIRE",AK997="À RÉPARER",AK997="COUPE – À RESOUDER",AK997="VT REJETÉ – À REPRENDRE")),MAX(0,'PROGRAMME RT'!$C$4-P997),"")</f>
        <v/>
      </c>
      <c r="AM997" s="78" t="n">
        <f aca="false">IF(AND(OR(AK997="À RADIOGRAPHIER",AK997="RÉPARÉ – À RADIOGRAPHIER",AK997="NX – RT À REFAIRE"),OR('PROGRAMME RT'!$D$5="TOUTES",B997='PROGRAMME RT'!$D$5)),1,0)</f>
        <v>0</v>
      </c>
      <c r="AN997" s="78" t="str">
        <f aca="false">IF(AM997=1,SUM(AM$7:AM997),"")</f>
        <v/>
      </c>
      <c r="AO997" s="78" t="n">
        <f aca="false">IF(AND(OR(AK997="À RÉPARER",AK997="COUPE – À RESOUDER",AK997="VT REJETÉ – À REPRENDRE"),OR(RÉPARATIONS!$D$5="TOUTES",B997=RÉPARATIONS!$D$5)),1,0)</f>
        <v>0</v>
      </c>
      <c r="AP997" s="78" t="str">
        <f aca="false">IF(AO997=1,SUM(AO$7:AO997),"")</f>
        <v/>
      </c>
    </row>
    <row r="998" customFormat="false" ht="15" hidden="false" customHeight="false" outlineLevel="0" collapsed="false">
      <c r="A998" s="78" t="str">
        <f aca="false">IF(E998="","",ROW()-6)</f>
        <v/>
      </c>
      <c r="B998" s="79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1"/>
      <c r="Q998" s="81"/>
      <c r="R998" s="80"/>
      <c r="S998" s="80"/>
      <c r="T998" s="81"/>
      <c r="U998" s="80"/>
      <c r="V998" s="80"/>
      <c r="W998" s="80"/>
      <c r="X998" s="80"/>
      <c r="Y998" s="81"/>
      <c r="Z998" s="80"/>
      <c r="AA998" s="80"/>
      <c r="AB998" s="80"/>
      <c r="AC998" s="80"/>
      <c r="AD998" s="81"/>
      <c r="AE998" s="80"/>
      <c r="AF998" s="80"/>
      <c r="AG998" s="81"/>
      <c r="AH998" s="79"/>
      <c r="AI998" s="78" t="str">
        <f aca="false">IF(E998="","",(V998&lt;&gt;"")+(AA998&lt;&gt;"")+(AF998&lt;&gt;""))</f>
        <v/>
      </c>
      <c r="AJ998" s="82" t="str">
        <f aca="false">IF(AF998&lt;&gt;"",AF998,IF(AA998&lt;&gt;"",AA998,IF(V998&lt;&gt;"",V998,"")))</f>
        <v/>
      </c>
      <c r="AK998" s="83" t="str">
        <f aca="false">IF(E998="","",IF(P998="","À SOUDER",IF(S998="","VT EN ATTENTE",IF(S998="R","VT REJETÉ – À REPRENDRE",IF(AJ998="","À RADIOGRAPHIER",IF(AJ998="A","ACCEPTÉ",IF(AJ998="NX","NX – RT À REFAIRE",IF(IF(AI998=1,X998,IF(AI998=2,AC998,""))="A","RÉPARÉ – À RADIOGRAPHIER",IF(IF(AI998=1,X998,IF(AI998=2,AC998,""))="R","VT REJETÉ – À REPRENDRE",IF(AJ998="CO","COUPE – À RESOUDER","À RÉPARER"))))))))))</f>
        <v/>
      </c>
      <c r="AL998" s="82" t="str">
        <f aca="false">IF(AND(ISNUMBER(P998),OR(AK998="À RADIOGRAPHIER",AK998="RÉPARÉ – À RADIOGRAPHIER",AK998="NX – RT À REFAIRE",AK998="À RÉPARER",AK998="COUPE – À RESOUDER",AK998="VT REJETÉ – À REPRENDRE")),MAX(0,'PROGRAMME RT'!$C$4-P998),"")</f>
        <v/>
      </c>
      <c r="AM998" s="78" t="n">
        <f aca="false">IF(AND(OR(AK998="À RADIOGRAPHIER",AK998="RÉPARÉ – À RADIOGRAPHIER",AK998="NX – RT À REFAIRE"),OR('PROGRAMME RT'!$D$5="TOUTES",B998='PROGRAMME RT'!$D$5)),1,0)</f>
        <v>0</v>
      </c>
      <c r="AN998" s="78" t="str">
        <f aca="false">IF(AM998=1,SUM(AM$7:AM998),"")</f>
        <v/>
      </c>
      <c r="AO998" s="78" t="n">
        <f aca="false">IF(AND(OR(AK998="À RÉPARER",AK998="COUPE – À RESOUDER",AK998="VT REJETÉ – À REPRENDRE"),OR(RÉPARATIONS!$D$5="TOUTES",B998=RÉPARATIONS!$D$5)),1,0)</f>
        <v>0</v>
      </c>
      <c r="AP998" s="78" t="str">
        <f aca="false">IF(AO998=1,SUM(AO$7:AO998),"")</f>
        <v/>
      </c>
    </row>
    <row r="999" customFormat="false" ht="15" hidden="false" customHeight="false" outlineLevel="0" collapsed="false">
      <c r="A999" s="78" t="str">
        <f aca="false">IF(E999="","",ROW()-6)</f>
        <v/>
      </c>
      <c r="B999" s="79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1"/>
      <c r="Q999" s="81"/>
      <c r="R999" s="80"/>
      <c r="S999" s="80"/>
      <c r="T999" s="81"/>
      <c r="U999" s="80"/>
      <c r="V999" s="80"/>
      <c r="W999" s="80"/>
      <c r="X999" s="80"/>
      <c r="Y999" s="81"/>
      <c r="Z999" s="80"/>
      <c r="AA999" s="80"/>
      <c r="AB999" s="80"/>
      <c r="AC999" s="80"/>
      <c r="AD999" s="81"/>
      <c r="AE999" s="80"/>
      <c r="AF999" s="80"/>
      <c r="AG999" s="81"/>
      <c r="AH999" s="79"/>
      <c r="AI999" s="78" t="str">
        <f aca="false">IF(E999="","",(V999&lt;&gt;"")+(AA999&lt;&gt;"")+(AF999&lt;&gt;""))</f>
        <v/>
      </c>
      <c r="AJ999" s="82" t="str">
        <f aca="false">IF(AF999&lt;&gt;"",AF999,IF(AA999&lt;&gt;"",AA999,IF(V999&lt;&gt;"",V999,"")))</f>
        <v/>
      </c>
      <c r="AK999" s="83" t="str">
        <f aca="false">IF(E999="","",IF(P999="","À SOUDER",IF(S999="","VT EN ATTENTE",IF(S999="R","VT REJETÉ – À REPRENDRE",IF(AJ999="","À RADIOGRAPHIER",IF(AJ999="A","ACCEPTÉ",IF(AJ999="NX","NX – RT À REFAIRE",IF(IF(AI999=1,X999,IF(AI999=2,AC999,""))="A","RÉPARÉ – À RADIOGRAPHIER",IF(IF(AI999=1,X999,IF(AI999=2,AC999,""))="R","VT REJETÉ – À REPRENDRE",IF(AJ999="CO","COUPE – À RESOUDER","À RÉPARER"))))))))))</f>
        <v/>
      </c>
      <c r="AL999" s="82" t="str">
        <f aca="false">IF(AND(ISNUMBER(P999),OR(AK999="À RADIOGRAPHIER",AK999="RÉPARÉ – À RADIOGRAPHIER",AK999="NX – RT À REFAIRE",AK999="À RÉPARER",AK999="COUPE – À RESOUDER",AK999="VT REJETÉ – À REPRENDRE")),MAX(0,'PROGRAMME RT'!$C$4-P999),"")</f>
        <v/>
      </c>
      <c r="AM999" s="78" t="n">
        <f aca="false">IF(AND(OR(AK999="À RADIOGRAPHIER",AK999="RÉPARÉ – À RADIOGRAPHIER",AK999="NX – RT À REFAIRE"),OR('PROGRAMME RT'!$D$5="TOUTES",B999='PROGRAMME RT'!$D$5)),1,0)</f>
        <v>0</v>
      </c>
      <c r="AN999" s="78" t="str">
        <f aca="false">IF(AM999=1,SUM(AM$7:AM999),"")</f>
        <v/>
      </c>
      <c r="AO999" s="78" t="n">
        <f aca="false">IF(AND(OR(AK999="À RÉPARER",AK999="COUPE – À RESOUDER",AK999="VT REJETÉ – À REPRENDRE"),OR(RÉPARATIONS!$D$5="TOUTES",B999=RÉPARATIONS!$D$5)),1,0)</f>
        <v>0</v>
      </c>
      <c r="AP999" s="78" t="str">
        <f aca="false">IF(AO999=1,SUM(AO$7:AO999),"")</f>
        <v/>
      </c>
    </row>
    <row r="1000" customFormat="false" ht="15" hidden="false" customHeight="false" outlineLevel="0" collapsed="false">
      <c r="A1000" s="78" t="str">
        <f aca="false">IF(E1000="","",ROW()-6)</f>
        <v/>
      </c>
      <c r="B1000" s="79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1"/>
      <c r="Q1000" s="81"/>
      <c r="R1000" s="80"/>
      <c r="S1000" s="80"/>
      <c r="T1000" s="81"/>
      <c r="U1000" s="80"/>
      <c r="V1000" s="80"/>
      <c r="W1000" s="80"/>
      <c r="X1000" s="80"/>
      <c r="Y1000" s="81"/>
      <c r="Z1000" s="80"/>
      <c r="AA1000" s="80"/>
      <c r="AB1000" s="80"/>
      <c r="AC1000" s="80"/>
      <c r="AD1000" s="81"/>
      <c r="AE1000" s="80"/>
      <c r="AF1000" s="80"/>
      <c r="AG1000" s="81"/>
      <c r="AH1000" s="79"/>
      <c r="AI1000" s="78" t="str">
        <f aca="false">IF(E1000="","",(V1000&lt;&gt;"")+(AA1000&lt;&gt;"")+(AF1000&lt;&gt;""))</f>
        <v/>
      </c>
      <c r="AJ1000" s="82" t="str">
        <f aca="false">IF(AF1000&lt;&gt;"",AF1000,IF(AA1000&lt;&gt;"",AA1000,IF(V1000&lt;&gt;"",V1000,"")))</f>
        <v/>
      </c>
      <c r="AK1000" s="83" t="str">
        <f aca="false">IF(E1000="","",IF(P1000="","À SOUDER",IF(S1000="","VT EN ATTENTE",IF(S1000="R","VT REJETÉ – À REPRENDRE",IF(AJ1000="","À RADIOGRAPHIER",IF(AJ1000="A","ACCEPTÉ",IF(AJ1000="NX","NX – RT À REFAIRE",IF(IF(AI1000=1,X1000,IF(AI1000=2,AC1000,""))="A","RÉPARÉ – À RADIOGRAPHIER",IF(IF(AI1000=1,X1000,IF(AI1000=2,AC1000,""))="R","VT REJETÉ – À REPRENDRE",IF(AJ1000="CO","COUPE – À RESOUDER","À RÉPARER"))))))))))</f>
        <v/>
      </c>
      <c r="AL1000" s="82" t="str">
        <f aca="false">IF(AND(ISNUMBER(P1000),OR(AK1000="À RADIOGRAPHIER",AK1000="RÉPARÉ – À RADIOGRAPHIER",AK1000="NX – RT À REFAIRE",AK1000="À RÉPARER",AK1000="COUPE – À RESOUDER",AK1000="VT REJETÉ – À REPRENDRE")),MAX(0,'PROGRAMME RT'!$C$4-P1000),"")</f>
        <v/>
      </c>
      <c r="AM1000" s="78" t="n">
        <f aca="false">IF(AND(OR(AK1000="À RADIOGRAPHIER",AK1000="RÉPARÉ – À RADIOGRAPHIER",AK1000="NX – RT À REFAIRE"),OR('PROGRAMME RT'!$D$5="TOUTES",B1000='PROGRAMME RT'!$D$5)),1,0)</f>
        <v>0</v>
      </c>
      <c r="AN1000" s="78" t="str">
        <f aca="false">IF(AM1000=1,SUM(AM$7:AM1000),"")</f>
        <v/>
      </c>
      <c r="AO1000" s="78" t="n">
        <f aca="false">IF(AND(OR(AK1000="À RÉPARER",AK1000="COUPE – À RESOUDER",AK1000="VT REJETÉ – À REPRENDRE"),OR(RÉPARATIONS!$D$5="TOUTES",B1000=RÉPARATIONS!$D$5)),1,0)</f>
        <v>0</v>
      </c>
      <c r="AP1000" s="78" t="str">
        <f aca="false">IF(AO1000=1,SUM(AO$7:AO1000),"")</f>
        <v/>
      </c>
    </row>
    <row r="1001" customFormat="false" ht="15" hidden="false" customHeight="false" outlineLevel="0" collapsed="false">
      <c r="A1001" s="78" t="str">
        <f aca="false">IF(E1001="","",ROW()-6)</f>
        <v/>
      </c>
      <c r="B1001" s="79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0"/>
      <c r="P1001" s="81"/>
      <c r="Q1001" s="81"/>
      <c r="R1001" s="80"/>
      <c r="S1001" s="80"/>
      <c r="T1001" s="81"/>
      <c r="U1001" s="80"/>
      <c r="V1001" s="80"/>
      <c r="W1001" s="80"/>
      <c r="X1001" s="80"/>
      <c r="Y1001" s="81"/>
      <c r="Z1001" s="80"/>
      <c r="AA1001" s="80"/>
      <c r="AB1001" s="80"/>
      <c r="AC1001" s="80"/>
      <c r="AD1001" s="81"/>
      <c r="AE1001" s="80"/>
      <c r="AF1001" s="80"/>
      <c r="AG1001" s="81"/>
      <c r="AH1001" s="79"/>
      <c r="AI1001" s="78" t="str">
        <f aca="false">IF(E1001="","",(V1001&lt;&gt;"")+(AA1001&lt;&gt;"")+(AF1001&lt;&gt;""))</f>
        <v/>
      </c>
      <c r="AJ1001" s="82" t="str">
        <f aca="false">IF(AF1001&lt;&gt;"",AF1001,IF(AA1001&lt;&gt;"",AA1001,IF(V1001&lt;&gt;"",V1001,"")))</f>
        <v/>
      </c>
      <c r="AK1001" s="83" t="str">
        <f aca="false">IF(E1001="","",IF(P1001="","À SOUDER",IF(S1001="","VT EN ATTENTE",IF(S1001="R","VT REJETÉ – À REPRENDRE",IF(AJ1001="","À RADIOGRAPHIER",IF(AJ1001="A","ACCEPTÉ",IF(AJ1001="NX","NX – RT À REFAIRE",IF(IF(AI1001=1,X1001,IF(AI1001=2,AC1001,""))="A","RÉPARÉ – À RADIOGRAPHIER",IF(IF(AI1001=1,X1001,IF(AI1001=2,AC1001,""))="R","VT REJETÉ – À REPRENDRE",IF(AJ1001="CO","COUPE – À RESOUDER","À RÉPARER"))))))))))</f>
        <v/>
      </c>
      <c r="AL1001" s="82" t="str">
        <f aca="false">IF(AND(ISNUMBER(P1001),OR(AK1001="À RADIOGRAPHIER",AK1001="RÉPARÉ – À RADIOGRAPHIER",AK1001="NX – RT À REFAIRE",AK1001="À RÉPARER",AK1001="COUPE – À RESOUDER",AK1001="VT REJETÉ – À REPRENDRE")),MAX(0,'PROGRAMME RT'!$C$4-P1001),"")</f>
        <v/>
      </c>
      <c r="AM1001" s="78" t="n">
        <f aca="false">IF(AND(OR(AK1001="À RADIOGRAPHIER",AK1001="RÉPARÉ – À RADIOGRAPHIER",AK1001="NX – RT À REFAIRE"),OR('PROGRAMME RT'!$D$5="TOUTES",B1001='PROGRAMME RT'!$D$5)),1,0)</f>
        <v>0</v>
      </c>
      <c r="AN1001" s="78" t="str">
        <f aca="false">IF(AM1001=1,SUM(AM$7:AM1001),"")</f>
        <v/>
      </c>
      <c r="AO1001" s="78" t="n">
        <f aca="false">IF(AND(OR(AK1001="À RÉPARER",AK1001="COUPE – À RESOUDER",AK1001="VT REJETÉ – À REPRENDRE"),OR(RÉPARATIONS!$D$5="TOUTES",B1001=RÉPARATIONS!$D$5)),1,0)</f>
        <v>0</v>
      </c>
      <c r="AP1001" s="78" t="str">
        <f aca="false">IF(AO1001=1,SUM(AO$7:AO1001),"")</f>
        <v/>
      </c>
    </row>
    <row r="1002" customFormat="false" ht="15" hidden="false" customHeight="false" outlineLevel="0" collapsed="false">
      <c r="A1002" s="78" t="str">
        <f aca="false">IF(E1002="","",ROW()-6)</f>
        <v/>
      </c>
      <c r="B1002" s="79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0"/>
      <c r="P1002" s="81"/>
      <c r="Q1002" s="81"/>
      <c r="R1002" s="80"/>
      <c r="S1002" s="80"/>
      <c r="T1002" s="81"/>
      <c r="U1002" s="80"/>
      <c r="V1002" s="80"/>
      <c r="W1002" s="80"/>
      <c r="X1002" s="80"/>
      <c r="Y1002" s="81"/>
      <c r="Z1002" s="80"/>
      <c r="AA1002" s="80"/>
      <c r="AB1002" s="80"/>
      <c r="AC1002" s="80"/>
      <c r="AD1002" s="81"/>
      <c r="AE1002" s="80"/>
      <c r="AF1002" s="80"/>
      <c r="AG1002" s="81"/>
      <c r="AH1002" s="79"/>
      <c r="AI1002" s="78" t="str">
        <f aca="false">IF(E1002="","",(V1002&lt;&gt;"")+(AA1002&lt;&gt;"")+(AF1002&lt;&gt;""))</f>
        <v/>
      </c>
      <c r="AJ1002" s="82" t="str">
        <f aca="false">IF(AF1002&lt;&gt;"",AF1002,IF(AA1002&lt;&gt;"",AA1002,IF(V1002&lt;&gt;"",V1002,"")))</f>
        <v/>
      </c>
      <c r="AK1002" s="83" t="str">
        <f aca="false">IF(E1002="","",IF(P1002="","À SOUDER",IF(S1002="","VT EN ATTENTE",IF(S1002="R","VT REJETÉ – À REPRENDRE",IF(AJ1002="","À RADIOGRAPHIER",IF(AJ1002="A","ACCEPTÉ",IF(AJ1002="NX","NX – RT À REFAIRE",IF(IF(AI1002=1,X1002,IF(AI1002=2,AC1002,""))="A","RÉPARÉ – À RADIOGRAPHIER",IF(IF(AI1002=1,X1002,IF(AI1002=2,AC1002,""))="R","VT REJETÉ – À REPRENDRE",IF(AJ1002="CO","COUPE – À RESOUDER","À RÉPARER"))))))))))</f>
        <v/>
      </c>
      <c r="AL1002" s="82" t="str">
        <f aca="false">IF(AND(ISNUMBER(P1002),OR(AK1002="À RADIOGRAPHIER",AK1002="RÉPARÉ – À RADIOGRAPHIER",AK1002="NX – RT À REFAIRE",AK1002="À RÉPARER",AK1002="COUPE – À RESOUDER",AK1002="VT REJETÉ – À REPRENDRE")),MAX(0,'PROGRAMME RT'!$C$4-P1002),"")</f>
        <v/>
      </c>
      <c r="AM1002" s="78" t="n">
        <f aca="false">IF(AND(OR(AK1002="À RADIOGRAPHIER",AK1002="RÉPARÉ – À RADIOGRAPHIER",AK1002="NX – RT À REFAIRE"),OR('PROGRAMME RT'!$D$5="TOUTES",B1002='PROGRAMME RT'!$D$5)),1,0)</f>
        <v>0</v>
      </c>
      <c r="AN1002" s="78" t="str">
        <f aca="false">IF(AM1002=1,SUM(AM$7:AM1002),"")</f>
        <v/>
      </c>
      <c r="AO1002" s="78" t="n">
        <f aca="false">IF(AND(OR(AK1002="À RÉPARER",AK1002="COUPE – À RESOUDER",AK1002="VT REJETÉ – À REPRENDRE"),OR(RÉPARATIONS!$D$5="TOUTES",B1002=RÉPARATIONS!$D$5)),1,0)</f>
        <v>0</v>
      </c>
      <c r="AP1002" s="78" t="str">
        <f aca="false">IF(AO1002=1,SUM(AO$7:AO1002),"")</f>
        <v/>
      </c>
    </row>
    <row r="1003" customFormat="false" ht="15" hidden="false" customHeight="false" outlineLevel="0" collapsed="false">
      <c r="A1003" s="78" t="str">
        <f aca="false">IF(E1003="","",ROW()-6)</f>
        <v/>
      </c>
      <c r="B1003" s="79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0"/>
      <c r="P1003" s="81"/>
      <c r="Q1003" s="81"/>
      <c r="R1003" s="80"/>
      <c r="S1003" s="80"/>
      <c r="T1003" s="81"/>
      <c r="U1003" s="80"/>
      <c r="V1003" s="80"/>
      <c r="W1003" s="80"/>
      <c r="X1003" s="80"/>
      <c r="Y1003" s="81"/>
      <c r="Z1003" s="80"/>
      <c r="AA1003" s="80"/>
      <c r="AB1003" s="80"/>
      <c r="AC1003" s="80"/>
      <c r="AD1003" s="81"/>
      <c r="AE1003" s="80"/>
      <c r="AF1003" s="80"/>
      <c r="AG1003" s="81"/>
      <c r="AH1003" s="79"/>
      <c r="AI1003" s="78" t="str">
        <f aca="false">IF(E1003="","",(V1003&lt;&gt;"")+(AA1003&lt;&gt;"")+(AF1003&lt;&gt;""))</f>
        <v/>
      </c>
      <c r="AJ1003" s="82" t="str">
        <f aca="false">IF(AF1003&lt;&gt;"",AF1003,IF(AA1003&lt;&gt;"",AA1003,IF(V1003&lt;&gt;"",V1003,"")))</f>
        <v/>
      </c>
      <c r="AK1003" s="83" t="str">
        <f aca="false">IF(E1003="","",IF(P1003="","À SOUDER",IF(S1003="","VT EN ATTENTE",IF(S1003="R","VT REJETÉ – À REPRENDRE",IF(AJ1003="","À RADIOGRAPHIER",IF(AJ1003="A","ACCEPTÉ",IF(AJ1003="NX","NX – RT À REFAIRE",IF(IF(AI1003=1,X1003,IF(AI1003=2,AC1003,""))="A","RÉPARÉ – À RADIOGRAPHIER",IF(IF(AI1003=1,X1003,IF(AI1003=2,AC1003,""))="R","VT REJETÉ – À REPRENDRE",IF(AJ1003="CO","COUPE – À RESOUDER","À RÉPARER"))))))))))</f>
        <v/>
      </c>
      <c r="AL1003" s="82" t="str">
        <f aca="false">IF(AND(ISNUMBER(P1003),OR(AK1003="À RADIOGRAPHIER",AK1003="RÉPARÉ – À RADIOGRAPHIER",AK1003="NX – RT À REFAIRE",AK1003="À RÉPARER",AK1003="COUPE – À RESOUDER",AK1003="VT REJETÉ – À REPRENDRE")),MAX(0,'PROGRAMME RT'!$C$4-P1003),"")</f>
        <v/>
      </c>
      <c r="AM1003" s="78" t="n">
        <f aca="false">IF(AND(OR(AK1003="À RADIOGRAPHIER",AK1003="RÉPARÉ – À RADIOGRAPHIER",AK1003="NX – RT À REFAIRE"),OR('PROGRAMME RT'!$D$5="TOUTES",B1003='PROGRAMME RT'!$D$5)),1,0)</f>
        <v>0</v>
      </c>
      <c r="AN1003" s="78" t="str">
        <f aca="false">IF(AM1003=1,SUM(AM$7:AM1003),"")</f>
        <v/>
      </c>
      <c r="AO1003" s="78" t="n">
        <f aca="false">IF(AND(OR(AK1003="À RÉPARER",AK1003="COUPE – À RESOUDER",AK1003="VT REJETÉ – À REPRENDRE"),OR(RÉPARATIONS!$D$5="TOUTES",B1003=RÉPARATIONS!$D$5)),1,0)</f>
        <v>0</v>
      </c>
      <c r="AP1003" s="78" t="str">
        <f aca="false">IF(AO1003=1,SUM(AO$7:AO1003),"")</f>
        <v/>
      </c>
    </row>
    <row r="1004" customFormat="false" ht="15" hidden="false" customHeight="false" outlineLevel="0" collapsed="false">
      <c r="A1004" s="78" t="str">
        <f aca="false">IF(E1004="","",ROW()-6)</f>
        <v/>
      </c>
      <c r="B1004" s="79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0"/>
      <c r="P1004" s="81"/>
      <c r="Q1004" s="81"/>
      <c r="R1004" s="80"/>
      <c r="S1004" s="80"/>
      <c r="T1004" s="81"/>
      <c r="U1004" s="80"/>
      <c r="V1004" s="80"/>
      <c r="W1004" s="80"/>
      <c r="X1004" s="80"/>
      <c r="Y1004" s="81"/>
      <c r="Z1004" s="80"/>
      <c r="AA1004" s="80"/>
      <c r="AB1004" s="80"/>
      <c r="AC1004" s="80"/>
      <c r="AD1004" s="81"/>
      <c r="AE1004" s="80"/>
      <c r="AF1004" s="80"/>
      <c r="AG1004" s="81"/>
      <c r="AH1004" s="79"/>
      <c r="AI1004" s="78" t="str">
        <f aca="false">IF(E1004="","",(V1004&lt;&gt;"")+(AA1004&lt;&gt;"")+(AF1004&lt;&gt;""))</f>
        <v/>
      </c>
      <c r="AJ1004" s="82" t="str">
        <f aca="false">IF(AF1004&lt;&gt;"",AF1004,IF(AA1004&lt;&gt;"",AA1004,IF(V1004&lt;&gt;"",V1004,"")))</f>
        <v/>
      </c>
      <c r="AK1004" s="83" t="str">
        <f aca="false">IF(E1004="","",IF(P1004="","À SOUDER",IF(S1004="","VT EN ATTENTE",IF(S1004="R","VT REJETÉ – À REPRENDRE",IF(AJ1004="","À RADIOGRAPHIER",IF(AJ1004="A","ACCEPTÉ",IF(AJ1004="NX","NX – RT À REFAIRE",IF(IF(AI1004=1,X1004,IF(AI1004=2,AC1004,""))="A","RÉPARÉ – À RADIOGRAPHIER",IF(IF(AI1004=1,X1004,IF(AI1004=2,AC1004,""))="R","VT REJETÉ – À REPRENDRE",IF(AJ1004="CO","COUPE – À RESOUDER","À RÉPARER"))))))))))</f>
        <v/>
      </c>
      <c r="AL1004" s="82" t="str">
        <f aca="false">IF(AND(ISNUMBER(P1004),OR(AK1004="À RADIOGRAPHIER",AK1004="RÉPARÉ – À RADIOGRAPHIER",AK1004="NX – RT À REFAIRE",AK1004="À RÉPARER",AK1004="COUPE – À RESOUDER",AK1004="VT REJETÉ – À REPRENDRE")),MAX(0,'PROGRAMME RT'!$C$4-P1004),"")</f>
        <v/>
      </c>
      <c r="AM1004" s="78" t="n">
        <f aca="false">IF(AND(OR(AK1004="À RADIOGRAPHIER",AK1004="RÉPARÉ – À RADIOGRAPHIER",AK1004="NX – RT À REFAIRE"),OR('PROGRAMME RT'!$D$5="TOUTES",B1004='PROGRAMME RT'!$D$5)),1,0)</f>
        <v>0</v>
      </c>
      <c r="AN1004" s="78" t="str">
        <f aca="false">IF(AM1004=1,SUM(AM$7:AM1004),"")</f>
        <v/>
      </c>
      <c r="AO1004" s="78" t="n">
        <f aca="false">IF(AND(OR(AK1004="À RÉPARER",AK1004="COUPE – À RESOUDER",AK1004="VT REJETÉ – À REPRENDRE"),OR(RÉPARATIONS!$D$5="TOUTES",B1004=RÉPARATIONS!$D$5)),1,0)</f>
        <v>0</v>
      </c>
      <c r="AP1004" s="78" t="str">
        <f aca="false">IF(AO1004=1,SUM(AO$7:AO1004),"")</f>
        <v/>
      </c>
    </row>
    <row r="1005" customFormat="false" ht="15" hidden="false" customHeight="false" outlineLevel="0" collapsed="false">
      <c r="A1005" s="78" t="str">
        <f aca="false">IF(E1005="","",ROW()-6)</f>
        <v/>
      </c>
      <c r="B1005" s="79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0"/>
      <c r="P1005" s="81"/>
      <c r="Q1005" s="81"/>
      <c r="R1005" s="80"/>
      <c r="S1005" s="80"/>
      <c r="T1005" s="81"/>
      <c r="U1005" s="80"/>
      <c r="V1005" s="80"/>
      <c r="W1005" s="80"/>
      <c r="X1005" s="80"/>
      <c r="Y1005" s="81"/>
      <c r="Z1005" s="80"/>
      <c r="AA1005" s="80"/>
      <c r="AB1005" s="80"/>
      <c r="AC1005" s="80"/>
      <c r="AD1005" s="81"/>
      <c r="AE1005" s="80"/>
      <c r="AF1005" s="80"/>
      <c r="AG1005" s="81"/>
      <c r="AH1005" s="79"/>
      <c r="AI1005" s="78" t="str">
        <f aca="false">IF(E1005="","",(V1005&lt;&gt;"")+(AA1005&lt;&gt;"")+(AF1005&lt;&gt;""))</f>
        <v/>
      </c>
      <c r="AJ1005" s="82" t="str">
        <f aca="false">IF(AF1005&lt;&gt;"",AF1005,IF(AA1005&lt;&gt;"",AA1005,IF(V1005&lt;&gt;"",V1005,"")))</f>
        <v/>
      </c>
      <c r="AK1005" s="83" t="str">
        <f aca="false">IF(E1005="","",IF(P1005="","À SOUDER",IF(S1005="","VT EN ATTENTE",IF(S1005="R","VT REJETÉ – À REPRENDRE",IF(AJ1005="","À RADIOGRAPHIER",IF(AJ1005="A","ACCEPTÉ",IF(AJ1005="NX","NX – RT À REFAIRE",IF(IF(AI1005=1,X1005,IF(AI1005=2,AC1005,""))="A","RÉPARÉ – À RADIOGRAPHIER",IF(IF(AI1005=1,X1005,IF(AI1005=2,AC1005,""))="R","VT REJETÉ – À REPRENDRE",IF(AJ1005="CO","COUPE – À RESOUDER","À RÉPARER"))))))))))</f>
        <v/>
      </c>
      <c r="AL1005" s="82" t="str">
        <f aca="false">IF(AND(ISNUMBER(P1005),OR(AK1005="À RADIOGRAPHIER",AK1005="RÉPARÉ – À RADIOGRAPHIER",AK1005="NX – RT À REFAIRE",AK1005="À RÉPARER",AK1005="COUPE – À RESOUDER",AK1005="VT REJETÉ – À REPRENDRE")),MAX(0,'PROGRAMME RT'!$C$4-P1005),"")</f>
        <v/>
      </c>
      <c r="AM1005" s="78" t="n">
        <f aca="false">IF(AND(OR(AK1005="À RADIOGRAPHIER",AK1005="RÉPARÉ – À RADIOGRAPHIER",AK1005="NX – RT À REFAIRE"),OR('PROGRAMME RT'!$D$5="TOUTES",B1005='PROGRAMME RT'!$D$5)),1,0)</f>
        <v>0</v>
      </c>
      <c r="AN1005" s="78" t="str">
        <f aca="false">IF(AM1005=1,SUM(AM$7:AM1005),"")</f>
        <v/>
      </c>
      <c r="AO1005" s="78" t="n">
        <f aca="false">IF(AND(OR(AK1005="À RÉPARER",AK1005="COUPE – À RESOUDER",AK1005="VT REJETÉ – À REPRENDRE"),OR(RÉPARATIONS!$D$5="TOUTES",B1005=RÉPARATIONS!$D$5)),1,0)</f>
        <v>0</v>
      </c>
      <c r="AP1005" s="78" t="str">
        <f aca="false">IF(AO1005=1,SUM(AO$7:AO1005),"")</f>
        <v/>
      </c>
    </row>
    <row r="1006" customFormat="false" ht="15" hidden="false" customHeight="false" outlineLevel="0" collapsed="false">
      <c r="A1006" s="78" t="str">
        <f aca="false">IF(E1006="","",ROW()-6)</f>
        <v/>
      </c>
      <c r="B1006" s="79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0"/>
      <c r="P1006" s="81"/>
      <c r="Q1006" s="81"/>
      <c r="R1006" s="80"/>
      <c r="S1006" s="80"/>
      <c r="T1006" s="81"/>
      <c r="U1006" s="80"/>
      <c r="V1006" s="80"/>
      <c r="W1006" s="80"/>
      <c r="X1006" s="80"/>
      <c r="Y1006" s="81"/>
      <c r="Z1006" s="80"/>
      <c r="AA1006" s="80"/>
      <c r="AB1006" s="80"/>
      <c r="AC1006" s="80"/>
      <c r="AD1006" s="81"/>
      <c r="AE1006" s="80"/>
      <c r="AF1006" s="80"/>
      <c r="AG1006" s="81"/>
      <c r="AH1006" s="79"/>
      <c r="AI1006" s="78" t="str">
        <f aca="false">IF(E1006="","",(V1006&lt;&gt;"")+(AA1006&lt;&gt;"")+(AF1006&lt;&gt;""))</f>
        <v/>
      </c>
      <c r="AJ1006" s="82" t="str">
        <f aca="false">IF(AF1006&lt;&gt;"",AF1006,IF(AA1006&lt;&gt;"",AA1006,IF(V1006&lt;&gt;"",V1006,"")))</f>
        <v/>
      </c>
      <c r="AK1006" s="83" t="str">
        <f aca="false">IF(E1006="","",IF(P1006="","À SOUDER",IF(S1006="","VT EN ATTENTE",IF(S1006="R","VT REJETÉ – À REPRENDRE",IF(AJ1006="","À RADIOGRAPHIER",IF(AJ1006="A","ACCEPTÉ",IF(AJ1006="NX","NX – RT À REFAIRE",IF(IF(AI1006=1,X1006,IF(AI1006=2,AC1006,""))="A","RÉPARÉ – À RADIOGRAPHIER",IF(IF(AI1006=1,X1006,IF(AI1006=2,AC1006,""))="R","VT REJETÉ – À REPRENDRE",IF(AJ1006="CO","COUPE – À RESOUDER","À RÉPARER"))))))))))</f>
        <v/>
      </c>
      <c r="AL1006" s="82" t="str">
        <f aca="false">IF(AND(ISNUMBER(P1006),OR(AK1006="À RADIOGRAPHIER",AK1006="RÉPARÉ – À RADIOGRAPHIER",AK1006="NX – RT À REFAIRE",AK1006="À RÉPARER",AK1006="COUPE – À RESOUDER",AK1006="VT REJETÉ – À REPRENDRE")),MAX(0,'PROGRAMME RT'!$C$4-P1006),"")</f>
        <v/>
      </c>
      <c r="AM1006" s="78" t="n">
        <f aca="false">IF(AND(OR(AK1006="À RADIOGRAPHIER",AK1006="RÉPARÉ – À RADIOGRAPHIER",AK1006="NX – RT À REFAIRE"),OR('PROGRAMME RT'!$D$5="TOUTES",B1006='PROGRAMME RT'!$D$5)),1,0)</f>
        <v>0</v>
      </c>
      <c r="AN1006" s="78" t="str">
        <f aca="false">IF(AM1006=1,SUM(AM$7:AM1006),"")</f>
        <v/>
      </c>
      <c r="AO1006" s="78" t="n">
        <f aca="false">IF(AND(OR(AK1006="À RÉPARER",AK1006="COUPE – À RESOUDER",AK1006="VT REJETÉ – À REPRENDRE"),OR(RÉPARATIONS!$D$5="TOUTES",B1006=RÉPARATIONS!$D$5)),1,0)</f>
        <v>0</v>
      </c>
      <c r="AP1006" s="78" t="str">
        <f aca="false">IF(AO1006=1,SUM(AO$7:AO1006),"")</f>
        <v/>
      </c>
    </row>
    <row r="1007" customFormat="false" ht="15" hidden="false" customHeight="false" outlineLevel="0" collapsed="false">
      <c r="A1007" s="78" t="str">
        <f aca="false">IF(E1007="","",ROW()-6)</f>
        <v/>
      </c>
      <c r="B1007" s="79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0"/>
      <c r="P1007" s="81"/>
      <c r="Q1007" s="81"/>
      <c r="R1007" s="80"/>
      <c r="S1007" s="80"/>
      <c r="T1007" s="81"/>
      <c r="U1007" s="80"/>
      <c r="V1007" s="80"/>
      <c r="W1007" s="80"/>
      <c r="X1007" s="80"/>
      <c r="Y1007" s="81"/>
      <c r="Z1007" s="80"/>
      <c r="AA1007" s="80"/>
      <c r="AB1007" s="80"/>
      <c r="AC1007" s="80"/>
      <c r="AD1007" s="81"/>
      <c r="AE1007" s="80"/>
      <c r="AF1007" s="80"/>
      <c r="AG1007" s="81"/>
      <c r="AH1007" s="79"/>
      <c r="AI1007" s="78" t="str">
        <f aca="false">IF(E1007="","",(V1007&lt;&gt;"")+(AA1007&lt;&gt;"")+(AF1007&lt;&gt;""))</f>
        <v/>
      </c>
      <c r="AJ1007" s="82" t="str">
        <f aca="false">IF(AF1007&lt;&gt;"",AF1007,IF(AA1007&lt;&gt;"",AA1007,IF(V1007&lt;&gt;"",V1007,"")))</f>
        <v/>
      </c>
      <c r="AK1007" s="83" t="str">
        <f aca="false">IF(E1007="","",IF(P1007="","À SOUDER",IF(S1007="","VT EN ATTENTE",IF(S1007="R","VT REJETÉ – À REPRENDRE",IF(AJ1007="","À RADIOGRAPHIER",IF(AJ1007="A","ACCEPTÉ",IF(AJ1007="NX","NX – RT À REFAIRE",IF(IF(AI1007=1,X1007,IF(AI1007=2,AC1007,""))="A","RÉPARÉ – À RADIOGRAPHIER",IF(IF(AI1007=1,X1007,IF(AI1007=2,AC1007,""))="R","VT REJETÉ – À REPRENDRE",IF(AJ1007="CO","COUPE – À RESOUDER","À RÉPARER"))))))))))</f>
        <v/>
      </c>
      <c r="AL1007" s="82" t="str">
        <f aca="false">IF(AND(ISNUMBER(P1007),OR(AK1007="À RADIOGRAPHIER",AK1007="RÉPARÉ – À RADIOGRAPHIER",AK1007="NX – RT À REFAIRE",AK1007="À RÉPARER",AK1007="COUPE – À RESOUDER",AK1007="VT REJETÉ – À REPRENDRE")),MAX(0,'PROGRAMME RT'!$C$4-P1007),"")</f>
        <v/>
      </c>
      <c r="AM1007" s="78" t="n">
        <f aca="false">IF(AND(OR(AK1007="À RADIOGRAPHIER",AK1007="RÉPARÉ – À RADIOGRAPHIER",AK1007="NX – RT À REFAIRE"),OR('PROGRAMME RT'!$D$5="TOUTES",B1007='PROGRAMME RT'!$D$5)),1,0)</f>
        <v>0</v>
      </c>
      <c r="AN1007" s="78" t="str">
        <f aca="false">IF(AM1007=1,SUM(AM$7:AM1007),"")</f>
        <v/>
      </c>
      <c r="AO1007" s="78" t="n">
        <f aca="false">IF(AND(OR(AK1007="À RÉPARER",AK1007="COUPE – À RESOUDER",AK1007="VT REJETÉ – À REPRENDRE"),OR(RÉPARATIONS!$D$5="TOUTES",B1007=RÉPARATIONS!$D$5)),1,0)</f>
        <v>0</v>
      </c>
      <c r="AP1007" s="78" t="str">
        <f aca="false">IF(AO1007=1,SUM(AO$7:AO1007),"")</f>
        <v/>
      </c>
    </row>
    <row r="1008" customFormat="false" ht="15" hidden="false" customHeight="false" outlineLevel="0" collapsed="false">
      <c r="A1008" s="78" t="str">
        <f aca="false">IF(E1008="","",ROW()-6)</f>
        <v/>
      </c>
      <c r="B1008" s="79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0"/>
      <c r="P1008" s="81"/>
      <c r="Q1008" s="81"/>
      <c r="R1008" s="80"/>
      <c r="S1008" s="80"/>
      <c r="T1008" s="81"/>
      <c r="U1008" s="80"/>
      <c r="V1008" s="80"/>
      <c r="W1008" s="80"/>
      <c r="X1008" s="80"/>
      <c r="Y1008" s="81"/>
      <c r="Z1008" s="80"/>
      <c r="AA1008" s="80"/>
      <c r="AB1008" s="80"/>
      <c r="AC1008" s="80"/>
      <c r="AD1008" s="81"/>
      <c r="AE1008" s="80"/>
      <c r="AF1008" s="80"/>
      <c r="AG1008" s="81"/>
      <c r="AH1008" s="79"/>
      <c r="AI1008" s="78" t="str">
        <f aca="false">IF(E1008="","",(V1008&lt;&gt;"")+(AA1008&lt;&gt;"")+(AF1008&lt;&gt;""))</f>
        <v/>
      </c>
      <c r="AJ1008" s="82" t="str">
        <f aca="false">IF(AF1008&lt;&gt;"",AF1008,IF(AA1008&lt;&gt;"",AA1008,IF(V1008&lt;&gt;"",V1008,"")))</f>
        <v/>
      </c>
      <c r="AK1008" s="83" t="str">
        <f aca="false">IF(E1008="","",IF(P1008="","À SOUDER",IF(S1008="","VT EN ATTENTE",IF(S1008="R","VT REJETÉ – À REPRENDRE",IF(AJ1008="","À RADIOGRAPHIER",IF(AJ1008="A","ACCEPTÉ",IF(AJ1008="NX","NX – RT À REFAIRE",IF(IF(AI1008=1,X1008,IF(AI1008=2,AC1008,""))="A","RÉPARÉ – À RADIOGRAPHIER",IF(IF(AI1008=1,X1008,IF(AI1008=2,AC1008,""))="R","VT REJETÉ – À REPRENDRE",IF(AJ1008="CO","COUPE – À RESOUDER","À RÉPARER"))))))))))</f>
        <v/>
      </c>
      <c r="AL1008" s="82" t="str">
        <f aca="false">IF(AND(ISNUMBER(P1008),OR(AK1008="À RADIOGRAPHIER",AK1008="RÉPARÉ – À RADIOGRAPHIER",AK1008="NX – RT À REFAIRE",AK1008="À RÉPARER",AK1008="COUPE – À RESOUDER",AK1008="VT REJETÉ – À REPRENDRE")),MAX(0,'PROGRAMME RT'!$C$4-P1008),"")</f>
        <v/>
      </c>
      <c r="AM1008" s="78" t="n">
        <f aca="false">IF(AND(OR(AK1008="À RADIOGRAPHIER",AK1008="RÉPARÉ – À RADIOGRAPHIER",AK1008="NX – RT À REFAIRE"),OR('PROGRAMME RT'!$D$5="TOUTES",B1008='PROGRAMME RT'!$D$5)),1,0)</f>
        <v>0</v>
      </c>
      <c r="AN1008" s="78" t="str">
        <f aca="false">IF(AM1008=1,SUM(AM$7:AM1008),"")</f>
        <v/>
      </c>
      <c r="AO1008" s="78" t="n">
        <f aca="false">IF(AND(OR(AK1008="À RÉPARER",AK1008="COUPE – À RESOUDER",AK1008="VT REJETÉ – À REPRENDRE"),OR(RÉPARATIONS!$D$5="TOUTES",B1008=RÉPARATIONS!$D$5)),1,0)</f>
        <v>0</v>
      </c>
      <c r="AP1008" s="78" t="str">
        <f aca="false">IF(AO1008=1,SUM(AO$7:AO1008),"")</f>
        <v/>
      </c>
    </row>
    <row r="1009" customFormat="false" ht="15" hidden="false" customHeight="false" outlineLevel="0" collapsed="false">
      <c r="A1009" s="78" t="str">
        <f aca="false">IF(E1009="","",ROW()-6)</f>
        <v/>
      </c>
      <c r="B1009" s="79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0"/>
      <c r="P1009" s="81"/>
      <c r="Q1009" s="81"/>
      <c r="R1009" s="80"/>
      <c r="S1009" s="80"/>
      <c r="T1009" s="81"/>
      <c r="U1009" s="80"/>
      <c r="V1009" s="80"/>
      <c r="W1009" s="80"/>
      <c r="X1009" s="80"/>
      <c r="Y1009" s="81"/>
      <c r="Z1009" s="80"/>
      <c r="AA1009" s="80"/>
      <c r="AB1009" s="80"/>
      <c r="AC1009" s="80"/>
      <c r="AD1009" s="81"/>
      <c r="AE1009" s="80"/>
      <c r="AF1009" s="80"/>
      <c r="AG1009" s="81"/>
      <c r="AH1009" s="79"/>
      <c r="AI1009" s="78" t="str">
        <f aca="false">IF(E1009="","",(V1009&lt;&gt;"")+(AA1009&lt;&gt;"")+(AF1009&lt;&gt;""))</f>
        <v/>
      </c>
      <c r="AJ1009" s="82" t="str">
        <f aca="false">IF(AF1009&lt;&gt;"",AF1009,IF(AA1009&lt;&gt;"",AA1009,IF(V1009&lt;&gt;"",V1009,"")))</f>
        <v/>
      </c>
      <c r="AK1009" s="83" t="str">
        <f aca="false">IF(E1009="","",IF(P1009="","À SOUDER",IF(S1009="","VT EN ATTENTE",IF(S1009="R","VT REJETÉ – À REPRENDRE",IF(AJ1009="","À RADIOGRAPHIER",IF(AJ1009="A","ACCEPTÉ",IF(AJ1009="NX","NX – RT À REFAIRE",IF(IF(AI1009=1,X1009,IF(AI1009=2,AC1009,""))="A","RÉPARÉ – À RADIOGRAPHIER",IF(IF(AI1009=1,X1009,IF(AI1009=2,AC1009,""))="R","VT REJETÉ – À REPRENDRE",IF(AJ1009="CO","COUPE – À RESOUDER","À RÉPARER"))))))))))</f>
        <v/>
      </c>
      <c r="AL1009" s="82" t="str">
        <f aca="false">IF(AND(ISNUMBER(P1009),OR(AK1009="À RADIOGRAPHIER",AK1009="RÉPARÉ – À RADIOGRAPHIER",AK1009="NX – RT À REFAIRE",AK1009="À RÉPARER",AK1009="COUPE – À RESOUDER",AK1009="VT REJETÉ – À REPRENDRE")),MAX(0,'PROGRAMME RT'!$C$4-P1009),"")</f>
        <v/>
      </c>
      <c r="AM1009" s="78" t="n">
        <f aca="false">IF(AND(OR(AK1009="À RADIOGRAPHIER",AK1009="RÉPARÉ – À RADIOGRAPHIER",AK1009="NX – RT À REFAIRE"),OR('PROGRAMME RT'!$D$5="TOUTES",B1009='PROGRAMME RT'!$D$5)),1,0)</f>
        <v>0</v>
      </c>
      <c r="AN1009" s="78" t="str">
        <f aca="false">IF(AM1009=1,SUM(AM$7:AM1009),"")</f>
        <v/>
      </c>
      <c r="AO1009" s="78" t="n">
        <f aca="false">IF(AND(OR(AK1009="À RÉPARER",AK1009="COUPE – À RESOUDER",AK1009="VT REJETÉ – À REPRENDRE"),OR(RÉPARATIONS!$D$5="TOUTES",B1009=RÉPARATIONS!$D$5)),1,0)</f>
        <v>0</v>
      </c>
      <c r="AP1009" s="78" t="str">
        <f aca="false">IF(AO1009=1,SUM(AO$7:AO1009),"")</f>
        <v/>
      </c>
    </row>
    <row r="1010" customFormat="false" ht="15" hidden="false" customHeight="false" outlineLevel="0" collapsed="false">
      <c r="A1010" s="78" t="str">
        <f aca="false">IF(E1010="","",ROW()-6)</f>
        <v/>
      </c>
      <c r="B1010" s="79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0"/>
      <c r="P1010" s="81"/>
      <c r="Q1010" s="81"/>
      <c r="R1010" s="80"/>
      <c r="S1010" s="80"/>
      <c r="T1010" s="81"/>
      <c r="U1010" s="80"/>
      <c r="V1010" s="80"/>
      <c r="W1010" s="80"/>
      <c r="X1010" s="80"/>
      <c r="Y1010" s="81"/>
      <c r="Z1010" s="80"/>
      <c r="AA1010" s="80"/>
      <c r="AB1010" s="80"/>
      <c r="AC1010" s="80"/>
      <c r="AD1010" s="81"/>
      <c r="AE1010" s="80"/>
      <c r="AF1010" s="80"/>
      <c r="AG1010" s="81"/>
      <c r="AH1010" s="79"/>
      <c r="AI1010" s="78" t="str">
        <f aca="false">IF(E1010="","",(V1010&lt;&gt;"")+(AA1010&lt;&gt;"")+(AF1010&lt;&gt;""))</f>
        <v/>
      </c>
      <c r="AJ1010" s="82" t="str">
        <f aca="false">IF(AF1010&lt;&gt;"",AF1010,IF(AA1010&lt;&gt;"",AA1010,IF(V1010&lt;&gt;"",V1010,"")))</f>
        <v/>
      </c>
      <c r="AK1010" s="83" t="str">
        <f aca="false">IF(E1010="","",IF(P1010="","À SOUDER",IF(S1010="","VT EN ATTENTE",IF(S1010="R","VT REJETÉ – À REPRENDRE",IF(AJ1010="","À RADIOGRAPHIER",IF(AJ1010="A","ACCEPTÉ",IF(AJ1010="NX","NX – RT À REFAIRE",IF(IF(AI1010=1,X1010,IF(AI1010=2,AC1010,""))="A","RÉPARÉ – À RADIOGRAPHIER",IF(IF(AI1010=1,X1010,IF(AI1010=2,AC1010,""))="R","VT REJETÉ – À REPRENDRE",IF(AJ1010="CO","COUPE – À RESOUDER","À RÉPARER"))))))))))</f>
        <v/>
      </c>
      <c r="AL1010" s="82" t="str">
        <f aca="false">IF(AND(ISNUMBER(P1010),OR(AK1010="À RADIOGRAPHIER",AK1010="RÉPARÉ – À RADIOGRAPHIER",AK1010="NX – RT À REFAIRE",AK1010="À RÉPARER",AK1010="COUPE – À RESOUDER",AK1010="VT REJETÉ – À REPRENDRE")),MAX(0,'PROGRAMME RT'!$C$4-P1010),"")</f>
        <v/>
      </c>
      <c r="AM1010" s="78" t="n">
        <f aca="false">IF(AND(OR(AK1010="À RADIOGRAPHIER",AK1010="RÉPARÉ – À RADIOGRAPHIER",AK1010="NX – RT À REFAIRE"),OR('PROGRAMME RT'!$D$5="TOUTES",B1010='PROGRAMME RT'!$D$5)),1,0)</f>
        <v>0</v>
      </c>
      <c r="AN1010" s="78" t="str">
        <f aca="false">IF(AM1010=1,SUM(AM$7:AM1010),"")</f>
        <v/>
      </c>
      <c r="AO1010" s="78" t="n">
        <f aca="false">IF(AND(OR(AK1010="À RÉPARER",AK1010="COUPE – À RESOUDER",AK1010="VT REJETÉ – À REPRENDRE"),OR(RÉPARATIONS!$D$5="TOUTES",B1010=RÉPARATIONS!$D$5)),1,0)</f>
        <v>0</v>
      </c>
      <c r="AP1010" s="78" t="str">
        <f aca="false">IF(AO1010=1,SUM(AO$7:AO1010),"")</f>
        <v/>
      </c>
    </row>
    <row r="1011" customFormat="false" ht="15" hidden="false" customHeight="false" outlineLevel="0" collapsed="false">
      <c r="A1011" s="78" t="str">
        <f aca="false">IF(E1011="","",ROW()-6)</f>
        <v/>
      </c>
      <c r="B1011" s="79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0"/>
      <c r="P1011" s="81"/>
      <c r="Q1011" s="81"/>
      <c r="R1011" s="80"/>
      <c r="S1011" s="80"/>
      <c r="T1011" s="81"/>
      <c r="U1011" s="80"/>
      <c r="V1011" s="80"/>
      <c r="W1011" s="80"/>
      <c r="X1011" s="80"/>
      <c r="Y1011" s="81"/>
      <c r="Z1011" s="80"/>
      <c r="AA1011" s="80"/>
      <c r="AB1011" s="80"/>
      <c r="AC1011" s="80"/>
      <c r="AD1011" s="81"/>
      <c r="AE1011" s="80"/>
      <c r="AF1011" s="80"/>
      <c r="AG1011" s="81"/>
      <c r="AH1011" s="79"/>
      <c r="AI1011" s="78" t="str">
        <f aca="false">IF(E1011="","",(V1011&lt;&gt;"")+(AA1011&lt;&gt;"")+(AF1011&lt;&gt;""))</f>
        <v/>
      </c>
      <c r="AJ1011" s="82" t="str">
        <f aca="false">IF(AF1011&lt;&gt;"",AF1011,IF(AA1011&lt;&gt;"",AA1011,IF(V1011&lt;&gt;"",V1011,"")))</f>
        <v/>
      </c>
      <c r="AK1011" s="83" t="str">
        <f aca="false">IF(E1011="","",IF(P1011="","À SOUDER",IF(S1011="","VT EN ATTENTE",IF(S1011="R","VT REJETÉ – À REPRENDRE",IF(AJ1011="","À RADIOGRAPHIER",IF(AJ1011="A","ACCEPTÉ",IF(AJ1011="NX","NX – RT À REFAIRE",IF(IF(AI1011=1,X1011,IF(AI1011=2,AC1011,""))="A","RÉPARÉ – À RADIOGRAPHIER",IF(IF(AI1011=1,X1011,IF(AI1011=2,AC1011,""))="R","VT REJETÉ – À REPRENDRE",IF(AJ1011="CO","COUPE – À RESOUDER","À RÉPARER"))))))))))</f>
        <v/>
      </c>
      <c r="AL1011" s="82" t="str">
        <f aca="false">IF(AND(ISNUMBER(P1011),OR(AK1011="À RADIOGRAPHIER",AK1011="RÉPARÉ – À RADIOGRAPHIER",AK1011="NX – RT À REFAIRE",AK1011="À RÉPARER",AK1011="COUPE – À RESOUDER",AK1011="VT REJETÉ – À REPRENDRE")),MAX(0,'PROGRAMME RT'!$C$4-P1011),"")</f>
        <v/>
      </c>
      <c r="AM1011" s="78" t="n">
        <f aca="false">IF(AND(OR(AK1011="À RADIOGRAPHIER",AK1011="RÉPARÉ – À RADIOGRAPHIER",AK1011="NX – RT À REFAIRE"),OR('PROGRAMME RT'!$D$5="TOUTES",B1011='PROGRAMME RT'!$D$5)),1,0)</f>
        <v>0</v>
      </c>
      <c r="AN1011" s="78" t="str">
        <f aca="false">IF(AM1011=1,SUM(AM$7:AM1011),"")</f>
        <v/>
      </c>
      <c r="AO1011" s="78" t="n">
        <f aca="false">IF(AND(OR(AK1011="À RÉPARER",AK1011="COUPE – À RESOUDER",AK1011="VT REJETÉ – À REPRENDRE"),OR(RÉPARATIONS!$D$5="TOUTES",B1011=RÉPARATIONS!$D$5)),1,0)</f>
        <v>0</v>
      </c>
      <c r="AP1011" s="78" t="str">
        <f aca="false">IF(AO1011=1,SUM(AO$7:AO1011),"")</f>
        <v/>
      </c>
    </row>
    <row r="1012" customFormat="false" ht="15" hidden="false" customHeight="false" outlineLevel="0" collapsed="false">
      <c r="A1012" s="78" t="str">
        <f aca="false">IF(E1012="","",ROW()-6)</f>
        <v/>
      </c>
      <c r="B1012" s="79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0"/>
      <c r="P1012" s="81"/>
      <c r="Q1012" s="81"/>
      <c r="R1012" s="80"/>
      <c r="S1012" s="80"/>
      <c r="T1012" s="81"/>
      <c r="U1012" s="80"/>
      <c r="V1012" s="80"/>
      <c r="W1012" s="80"/>
      <c r="X1012" s="80"/>
      <c r="Y1012" s="81"/>
      <c r="Z1012" s="80"/>
      <c r="AA1012" s="80"/>
      <c r="AB1012" s="80"/>
      <c r="AC1012" s="80"/>
      <c r="AD1012" s="81"/>
      <c r="AE1012" s="80"/>
      <c r="AF1012" s="80"/>
      <c r="AG1012" s="81"/>
      <c r="AH1012" s="79"/>
      <c r="AI1012" s="78" t="str">
        <f aca="false">IF(E1012="","",(V1012&lt;&gt;"")+(AA1012&lt;&gt;"")+(AF1012&lt;&gt;""))</f>
        <v/>
      </c>
      <c r="AJ1012" s="82" t="str">
        <f aca="false">IF(AF1012&lt;&gt;"",AF1012,IF(AA1012&lt;&gt;"",AA1012,IF(V1012&lt;&gt;"",V1012,"")))</f>
        <v/>
      </c>
      <c r="AK1012" s="83" t="str">
        <f aca="false">IF(E1012="","",IF(P1012="","À SOUDER",IF(S1012="","VT EN ATTENTE",IF(S1012="R","VT REJETÉ – À REPRENDRE",IF(AJ1012="","À RADIOGRAPHIER",IF(AJ1012="A","ACCEPTÉ",IF(AJ1012="NX","NX – RT À REFAIRE",IF(IF(AI1012=1,X1012,IF(AI1012=2,AC1012,""))="A","RÉPARÉ – À RADIOGRAPHIER",IF(IF(AI1012=1,X1012,IF(AI1012=2,AC1012,""))="R","VT REJETÉ – À REPRENDRE",IF(AJ1012="CO","COUPE – À RESOUDER","À RÉPARER"))))))))))</f>
        <v/>
      </c>
      <c r="AL1012" s="82" t="str">
        <f aca="false">IF(AND(ISNUMBER(P1012),OR(AK1012="À RADIOGRAPHIER",AK1012="RÉPARÉ – À RADIOGRAPHIER",AK1012="NX – RT À REFAIRE",AK1012="À RÉPARER",AK1012="COUPE – À RESOUDER",AK1012="VT REJETÉ – À REPRENDRE")),MAX(0,'PROGRAMME RT'!$C$4-P1012),"")</f>
        <v/>
      </c>
      <c r="AM1012" s="78" t="n">
        <f aca="false">IF(AND(OR(AK1012="À RADIOGRAPHIER",AK1012="RÉPARÉ – À RADIOGRAPHIER",AK1012="NX – RT À REFAIRE"),OR('PROGRAMME RT'!$D$5="TOUTES",B1012='PROGRAMME RT'!$D$5)),1,0)</f>
        <v>0</v>
      </c>
      <c r="AN1012" s="78" t="str">
        <f aca="false">IF(AM1012=1,SUM(AM$7:AM1012),"")</f>
        <v/>
      </c>
      <c r="AO1012" s="78" t="n">
        <f aca="false">IF(AND(OR(AK1012="À RÉPARER",AK1012="COUPE – À RESOUDER",AK1012="VT REJETÉ – À REPRENDRE"),OR(RÉPARATIONS!$D$5="TOUTES",B1012=RÉPARATIONS!$D$5)),1,0)</f>
        <v>0</v>
      </c>
      <c r="AP1012" s="78" t="str">
        <f aca="false">IF(AO1012=1,SUM(AO$7:AO1012),"")</f>
        <v/>
      </c>
    </row>
    <row r="1013" customFormat="false" ht="15" hidden="false" customHeight="false" outlineLevel="0" collapsed="false">
      <c r="A1013" s="78" t="str">
        <f aca="false">IF(E1013="","",ROW()-6)</f>
        <v/>
      </c>
      <c r="B1013" s="79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0"/>
      <c r="P1013" s="81"/>
      <c r="Q1013" s="81"/>
      <c r="R1013" s="80"/>
      <c r="S1013" s="80"/>
      <c r="T1013" s="81"/>
      <c r="U1013" s="80"/>
      <c r="V1013" s="80"/>
      <c r="W1013" s="80"/>
      <c r="X1013" s="80"/>
      <c r="Y1013" s="81"/>
      <c r="Z1013" s="80"/>
      <c r="AA1013" s="80"/>
      <c r="AB1013" s="80"/>
      <c r="AC1013" s="80"/>
      <c r="AD1013" s="81"/>
      <c r="AE1013" s="80"/>
      <c r="AF1013" s="80"/>
      <c r="AG1013" s="81"/>
      <c r="AH1013" s="79"/>
      <c r="AI1013" s="78" t="str">
        <f aca="false">IF(E1013="","",(V1013&lt;&gt;"")+(AA1013&lt;&gt;"")+(AF1013&lt;&gt;""))</f>
        <v/>
      </c>
      <c r="AJ1013" s="82" t="str">
        <f aca="false">IF(AF1013&lt;&gt;"",AF1013,IF(AA1013&lt;&gt;"",AA1013,IF(V1013&lt;&gt;"",V1013,"")))</f>
        <v/>
      </c>
      <c r="AK1013" s="83" t="str">
        <f aca="false">IF(E1013="","",IF(P1013="","À SOUDER",IF(S1013="","VT EN ATTENTE",IF(S1013="R","VT REJETÉ – À REPRENDRE",IF(AJ1013="","À RADIOGRAPHIER",IF(AJ1013="A","ACCEPTÉ",IF(AJ1013="NX","NX – RT À REFAIRE",IF(IF(AI1013=1,X1013,IF(AI1013=2,AC1013,""))="A","RÉPARÉ – À RADIOGRAPHIER",IF(IF(AI1013=1,X1013,IF(AI1013=2,AC1013,""))="R","VT REJETÉ – À REPRENDRE",IF(AJ1013="CO","COUPE – À RESOUDER","À RÉPARER"))))))))))</f>
        <v/>
      </c>
      <c r="AL1013" s="82" t="str">
        <f aca="false">IF(AND(ISNUMBER(P1013),OR(AK1013="À RADIOGRAPHIER",AK1013="RÉPARÉ – À RADIOGRAPHIER",AK1013="NX – RT À REFAIRE",AK1013="À RÉPARER",AK1013="COUPE – À RESOUDER",AK1013="VT REJETÉ – À REPRENDRE")),MAX(0,'PROGRAMME RT'!$C$4-P1013),"")</f>
        <v/>
      </c>
      <c r="AM1013" s="78" t="n">
        <f aca="false">IF(AND(OR(AK1013="À RADIOGRAPHIER",AK1013="RÉPARÉ – À RADIOGRAPHIER",AK1013="NX – RT À REFAIRE"),OR('PROGRAMME RT'!$D$5="TOUTES",B1013='PROGRAMME RT'!$D$5)),1,0)</f>
        <v>0</v>
      </c>
      <c r="AN1013" s="78" t="str">
        <f aca="false">IF(AM1013=1,SUM(AM$7:AM1013),"")</f>
        <v/>
      </c>
      <c r="AO1013" s="78" t="n">
        <f aca="false">IF(AND(OR(AK1013="À RÉPARER",AK1013="COUPE – À RESOUDER",AK1013="VT REJETÉ – À REPRENDRE"),OR(RÉPARATIONS!$D$5="TOUTES",B1013=RÉPARATIONS!$D$5)),1,0)</f>
        <v>0</v>
      </c>
      <c r="AP1013" s="78" t="str">
        <f aca="false">IF(AO1013=1,SUM(AO$7:AO1013),"")</f>
        <v/>
      </c>
    </row>
    <row r="1014" customFormat="false" ht="15" hidden="false" customHeight="false" outlineLevel="0" collapsed="false">
      <c r="A1014" s="78" t="str">
        <f aca="false">IF(E1014="","",ROW()-6)</f>
        <v/>
      </c>
      <c r="B1014" s="79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0"/>
      <c r="P1014" s="81"/>
      <c r="Q1014" s="81"/>
      <c r="R1014" s="80"/>
      <c r="S1014" s="80"/>
      <c r="T1014" s="81"/>
      <c r="U1014" s="80"/>
      <c r="V1014" s="80"/>
      <c r="W1014" s="80"/>
      <c r="X1014" s="80"/>
      <c r="Y1014" s="81"/>
      <c r="Z1014" s="80"/>
      <c r="AA1014" s="80"/>
      <c r="AB1014" s="80"/>
      <c r="AC1014" s="80"/>
      <c r="AD1014" s="81"/>
      <c r="AE1014" s="80"/>
      <c r="AF1014" s="80"/>
      <c r="AG1014" s="81"/>
      <c r="AH1014" s="79"/>
      <c r="AI1014" s="78" t="str">
        <f aca="false">IF(E1014="","",(V1014&lt;&gt;"")+(AA1014&lt;&gt;"")+(AF1014&lt;&gt;""))</f>
        <v/>
      </c>
      <c r="AJ1014" s="82" t="str">
        <f aca="false">IF(AF1014&lt;&gt;"",AF1014,IF(AA1014&lt;&gt;"",AA1014,IF(V1014&lt;&gt;"",V1014,"")))</f>
        <v/>
      </c>
      <c r="AK1014" s="83" t="str">
        <f aca="false">IF(E1014="","",IF(P1014="","À SOUDER",IF(S1014="","VT EN ATTENTE",IF(S1014="R","VT REJETÉ – À REPRENDRE",IF(AJ1014="","À RADIOGRAPHIER",IF(AJ1014="A","ACCEPTÉ",IF(AJ1014="NX","NX – RT À REFAIRE",IF(IF(AI1014=1,X1014,IF(AI1014=2,AC1014,""))="A","RÉPARÉ – À RADIOGRAPHIER",IF(IF(AI1014=1,X1014,IF(AI1014=2,AC1014,""))="R","VT REJETÉ – À REPRENDRE",IF(AJ1014="CO","COUPE – À RESOUDER","À RÉPARER"))))))))))</f>
        <v/>
      </c>
      <c r="AL1014" s="82" t="str">
        <f aca="false">IF(AND(ISNUMBER(P1014),OR(AK1014="À RADIOGRAPHIER",AK1014="RÉPARÉ – À RADIOGRAPHIER",AK1014="NX – RT À REFAIRE",AK1014="À RÉPARER",AK1014="COUPE – À RESOUDER",AK1014="VT REJETÉ – À REPRENDRE")),MAX(0,'PROGRAMME RT'!$C$4-P1014),"")</f>
        <v/>
      </c>
      <c r="AM1014" s="78" t="n">
        <f aca="false">IF(AND(OR(AK1014="À RADIOGRAPHIER",AK1014="RÉPARÉ – À RADIOGRAPHIER",AK1014="NX – RT À REFAIRE"),OR('PROGRAMME RT'!$D$5="TOUTES",B1014='PROGRAMME RT'!$D$5)),1,0)</f>
        <v>0</v>
      </c>
      <c r="AN1014" s="78" t="str">
        <f aca="false">IF(AM1014=1,SUM(AM$7:AM1014),"")</f>
        <v/>
      </c>
      <c r="AO1014" s="78" t="n">
        <f aca="false">IF(AND(OR(AK1014="À RÉPARER",AK1014="COUPE – À RESOUDER",AK1014="VT REJETÉ – À REPRENDRE"),OR(RÉPARATIONS!$D$5="TOUTES",B1014=RÉPARATIONS!$D$5)),1,0)</f>
        <v>0</v>
      </c>
      <c r="AP1014" s="78" t="str">
        <f aca="false">IF(AO1014=1,SUM(AO$7:AO1014),"")</f>
        <v/>
      </c>
    </row>
    <row r="1015" customFormat="false" ht="15" hidden="false" customHeight="false" outlineLevel="0" collapsed="false">
      <c r="A1015" s="78" t="str">
        <f aca="false">IF(E1015="","",ROW()-6)</f>
        <v/>
      </c>
      <c r="B1015" s="79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0"/>
      <c r="P1015" s="81"/>
      <c r="Q1015" s="81"/>
      <c r="R1015" s="80"/>
      <c r="S1015" s="80"/>
      <c r="T1015" s="81"/>
      <c r="U1015" s="80"/>
      <c r="V1015" s="80"/>
      <c r="W1015" s="80"/>
      <c r="X1015" s="80"/>
      <c r="Y1015" s="81"/>
      <c r="Z1015" s="80"/>
      <c r="AA1015" s="80"/>
      <c r="AB1015" s="80"/>
      <c r="AC1015" s="80"/>
      <c r="AD1015" s="81"/>
      <c r="AE1015" s="80"/>
      <c r="AF1015" s="80"/>
      <c r="AG1015" s="81"/>
      <c r="AH1015" s="79"/>
      <c r="AI1015" s="78" t="str">
        <f aca="false">IF(E1015="","",(V1015&lt;&gt;"")+(AA1015&lt;&gt;"")+(AF1015&lt;&gt;""))</f>
        <v/>
      </c>
      <c r="AJ1015" s="82" t="str">
        <f aca="false">IF(AF1015&lt;&gt;"",AF1015,IF(AA1015&lt;&gt;"",AA1015,IF(V1015&lt;&gt;"",V1015,"")))</f>
        <v/>
      </c>
      <c r="AK1015" s="83" t="str">
        <f aca="false">IF(E1015="","",IF(P1015="","À SOUDER",IF(S1015="","VT EN ATTENTE",IF(S1015="R","VT REJETÉ – À REPRENDRE",IF(AJ1015="","À RADIOGRAPHIER",IF(AJ1015="A","ACCEPTÉ",IF(AJ1015="NX","NX – RT À REFAIRE",IF(IF(AI1015=1,X1015,IF(AI1015=2,AC1015,""))="A","RÉPARÉ – À RADIOGRAPHIER",IF(IF(AI1015=1,X1015,IF(AI1015=2,AC1015,""))="R","VT REJETÉ – À REPRENDRE",IF(AJ1015="CO","COUPE – À RESOUDER","À RÉPARER"))))))))))</f>
        <v/>
      </c>
      <c r="AL1015" s="82" t="str">
        <f aca="false">IF(AND(ISNUMBER(P1015),OR(AK1015="À RADIOGRAPHIER",AK1015="RÉPARÉ – À RADIOGRAPHIER",AK1015="NX – RT À REFAIRE",AK1015="À RÉPARER",AK1015="COUPE – À RESOUDER",AK1015="VT REJETÉ – À REPRENDRE")),MAX(0,'PROGRAMME RT'!$C$4-P1015),"")</f>
        <v/>
      </c>
      <c r="AM1015" s="78" t="n">
        <f aca="false">IF(AND(OR(AK1015="À RADIOGRAPHIER",AK1015="RÉPARÉ – À RADIOGRAPHIER",AK1015="NX – RT À REFAIRE"),OR('PROGRAMME RT'!$D$5="TOUTES",B1015='PROGRAMME RT'!$D$5)),1,0)</f>
        <v>0</v>
      </c>
      <c r="AN1015" s="78" t="str">
        <f aca="false">IF(AM1015=1,SUM(AM$7:AM1015),"")</f>
        <v/>
      </c>
      <c r="AO1015" s="78" t="n">
        <f aca="false">IF(AND(OR(AK1015="À RÉPARER",AK1015="COUPE – À RESOUDER",AK1015="VT REJETÉ – À REPRENDRE"),OR(RÉPARATIONS!$D$5="TOUTES",B1015=RÉPARATIONS!$D$5)),1,0)</f>
        <v>0</v>
      </c>
      <c r="AP1015" s="78" t="str">
        <f aca="false">IF(AO1015=1,SUM(AO$7:AO1015),"")</f>
        <v/>
      </c>
    </row>
    <row r="1016" customFormat="false" ht="15" hidden="false" customHeight="false" outlineLevel="0" collapsed="false">
      <c r="A1016" s="78" t="str">
        <f aca="false">IF(E1016="","",ROW()-6)</f>
        <v/>
      </c>
      <c r="B1016" s="79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0"/>
      <c r="P1016" s="81"/>
      <c r="Q1016" s="81"/>
      <c r="R1016" s="80"/>
      <c r="S1016" s="80"/>
      <c r="T1016" s="81"/>
      <c r="U1016" s="80"/>
      <c r="V1016" s="80"/>
      <c r="W1016" s="80"/>
      <c r="X1016" s="80"/>
      <c r="Y1016" s="81"/>
      <c r="Z1016" s="80"/>
      <c r="AA1016" s="80"/>
      <c r="AB1016" s="80"/>
      <c r="AC1016" s="80"/>
      <c r="AD1016" s="81"/>
      <c r="AE1016" s="80"/>
      <c r="AF1016" s="80"/>
      <c r="AG1016" s="81"/>
      <c r="AH1016" s="79"/>
      <c r="AI1016" s="78" t="str">
        <f aca="false">IF(E1016="","",(V1016&lt;&gt;"")+(AA1016&lt;&gt;"")+(AF1016&lt;&gt;""))</f>
        <v/>
      </c>
      <c r="AJ1016" s="82" t="str">
        <f aca="false">IF(AF1016&lt;&gt;"",AF1016,IF(AA1016&lt;&gt;"",AA1016,IF(V1016&lt;&gt;"",V1016,"")))</f>
        <v/>
      </c>
      <c r="AK1016" s="83" t="str">
        <f aca="false">IF(E1016="","",IF(P1016="","À SOUDER",IF(S1016="","VT EN ATTENTE",IF(S1016="R","VT REJETÉ – À REPRENDRE",IF(AJ1016="","À RADIOGRAPHIER",IF(AJ1016="A","ACCEPTÉ",IF(AJ1016="NX","NX – RT À REFAIRE",IF(IF(AI1016=1,X1016,IF(AI1016=2,AC1016,""))="A","RÉPARÉ – À RADIOGRAPHIER",IF(IF(AI1016=1,X1016,IF(AI1016=2,AC1016,""))="R","VT REJETÉ – À REPRENDRE",IF(AJ1016="CO","COUPE – À RESOUDER","À RÉPARER"))))))))))</f>
        <v/>
      </c>
      <c r="AL1016" s="82" t="str">
        <f aca="false">IF(AND(ISNUMBER(P1016),OR(AK1016="À RADIOGRAPHIER",AK1016="RÉPARÉ – À RADIOGRAPHIER",AK1016="NX – RT À REFAIRE",AK1016="À RÉPARER",AK1016="COUPE – À RESOUDER",AK1016="VT REJETÉ – À REPRENDRE")),MAX(0,'PROGRAMME RT'!$C$4-P1016),"")</f>
        <v/>
      </c>
      <c r="AM1016" s="78" t="n">
        <f aca="false">IF(AND(OR(AK1016="À RADIOGRAPHIER",AK1016="RÉPARÉ – À RADIOGRAPHIER",AK1016="NX – RT À REFAIRE"),OR('PROGRAMME RT'!$D$5="TOUTES",B1016='PROGRAMME RT'!$D$5)),1,0)</f>
        <v>0</v>
      </c>
      <c r="AN1016" s="78" t="str">
        <f aca="false">IF(AM1016=1,SUM(AM$7:AM1016),"")</f>
        <v/>
      </c>
      <c r="AO1016" s="78" t="n">
        <f aca="false">IF(AND(OR(AK1016="À RÉPARER",AK1016="COUPE – À RESOUDER",AK1016="VT REJETÉ – À REPRENDRE"),OR(RÉPARATIONS!$D$5="TOUTES",B1016=RÉPARATIONS!$D$5)),1,0)</f>
        <v>0</v>
      </c>
      <c r="AP1016" s="78" t="str">
        <f aca="false">IF(AO1016=1,SUM(AO$7:AO1016),"")</f>
        <v/>
      </c>
    </row>
    <row r="1017" customFormat="false" ht="15" hidden="false" customHeight="false" outlineLevel="0" collapsed="false">
      <c r="A1017" s="78" t="str">
        <f aca="false">IF(E1017="","",ROW()-6)</f>
        <v/>
      </c>
      <c r="B1017" s="79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0"/>
      <c r="P1017" s="81"/>
      <c r="Q1017" s="81"/>
      <c r="R1017" s="80"/>
      <c r="S1017" s="80"/>
      <c r="T1017" s="81"/>
      <c r="U1017" s="80"/>
      <c r="V1017" s="80"/>
      <c r="W1017" s="80"/>
      <c r="X1017" s="80"/>
      <c r="Y1017" s="81"/>
      <c r="Z1017" s="80"/>
      <c r="AA1017" s="80"/>
      <c r="AB1017" s="80"/>
      <c r="AC1017" s="80"/>
      <c r="AD1017" s="81"/>
      <c r="AE1017" s="80"/>
      <c r="AF1017" s="80"/>
      <c r="AG1017" s="81"/>
      <c r="AH1017" s="79"/>
      <c r="AI1017" s="78" t="str">
        <f aca="false">IF(E1017="","",(V1017&lt;&gt;"")+(AA1017&lt;&gt;"")+(AF1017&lt;&gt;""))</f>
        <v/>
      </c>
      <c r="AJ1017" s="82" t="str">
        <f aca="false">IF(AF1017&lt;&gt;"",AF1017,IF(AA1017&lt;&gt;"",AA1017,IF(V1017&lt;&gt;"",V1017,"")))</f>
        <v/>
      </c>
      <c r="AK1017" s="83" t="str">
        <f aca="false">IF(E1017="","",IF(P1017="","À SOUDER",IF(S1017="","VT EN ATTENTE",IF(S1017="R","VT REJETÉ – À REPRENDRE",IF(AJ1017="","À RADIOGRAPHIER",IF(AJ1017="A","ACCEPTÉ",IF(AJ1017="NX","NX – RT À REFAIRE",IF(IF(AI1017=1,X1017,IF(AI1017=2,AC1017,""))="A","RÉPARÉ – À RADIOGRAPHIER",IF(IF(AI1017=1,X1017,IF(AI1017=2,AC1017,""))="R","VT REJETÉ – À REPRENDRE",IF(AJ1017="CO","COUPE – À RESOUDER","À RÉPARER"))))))))))</f>
        <v/>
      </c>
      <c r="AL1017" s="82" t="str">
        <f aca="false">IF(AND(ISNUMBER(P1017),OR(AK1017="À RADIOGRAPHIER",AK1017="RÉPARÉ – À RADIOGRAPHIER",AK1017="NX – RT À REFAIRE",AK1017="À RÉPARER",AK1017="COUPE – À RESOUDER",AK1017="VT REJETÉ – À REPRENDRE")),MAX(0,'PROGRAMME RT'!$C$4-P1017),"")</f>
        <v/>
      </c>
      <c r="AM1017" s="78" t="n">
        <f aca="false">IF(AND(OR(AK1017="À RADIOGRAPHIER",AK1017="RÉPARÉ – À RADIOGRAPHIER",AK1017="NX – RT À REFAIRE"),OR('PROGRAMME RT'!$D$5="TOUTES",B1017='PROGRAMME RT'!$D$5)),1,0)</f>
        <v>0</v>
      </c>
      <c r="AN1017" s="78" t="str">
        <f aca="false">IF(AM1017=1,SUM(AM$7:AM1017),"")</f>
        <v/>
      </c>
      <c r="AO1017" s="78" t="n">
        <f aca="false">IF(AND(OR(AK1017="À RÉPARER",AK1017="COUPE – À RESOUDER",AK1017="VT REJETÉ – À REPRENDRE"),OR(RÉPARATIONS!$D$5="TOUTES",B1017=RÉPARATIONS!$D$5)),1,0)</f>
        <v>0</v>
      </c>
      <c r="AP1017" s="78" t="str">
        <f aca="false">IF(AO1017=1,SUM(AO$7:AO1017),"")</f>
        <v/>
      </c>
    </row>
    <row r="1018" customFormat="false" ht="15" hidden="false" customHeight="false" outlineLevel="0" collapsed="false">
      <c r="A1018" s="78" t="str">
        <f aca="false">IF(E1018="","",ROW()-6)</f>
        <v/>
      </c>
      <c r="B1018" s="79"/>
      <c r="C1018" s="80"/>
      <c r="D1018" s="80"/>
      <c r="E1018" s="80"/>
      <c r="F1018" s="80"/>
      <c r="G1018" s="80"/>
      <c r="H1018" s="80"/>
      <c r="I1018" s="80"/>
      <c r="J1018" s="80"/>
      <c r="K1018" s="80"/>
      <c r="L1018" s="80"/>
      <c r="M1018" s="80"/>
      <c r="N1018" s="80"/>
      <c r="O1018" s="80"/>
      <c r="P1018" s="81"/>
      <c r="Q1018" s="81"/>
      <c r="R1018" s="80"/>
      <c r="S1018" s="80"/>
      <c r="T1018" s="81"/>
      <c r="U1018" s="80"/>
      <c r="V1018" s="80"/>
      <c r="W1018" s="80"/>
      <c r="X1018" s="80"/>
      <c r="Y1018" s="81"/>
      <c r="Z1018" s="80"/>
      <c r="AA1018" s="80"/>
      <c r="AB1018" s="80"/>
      <c r="AC1018" s="80"/>
      <c r="AD1018" s="81"/>
      <c r="AE1018" s="80"/>
      <c r="AF1018" s="80"/>
      <c r="AG1018" s="81"/>
      <c r="AH1018" s="79"/>
      <c r="AI1018" s="78" t="str">
        <f aca="false">IF(E1018="","",(V1018&lt;&gt;"")+(AA1018&lt;&gt;"")+(AF1018&lt;&gt;""))</f>
        <v/>
      </c>
      <c r="AJ1018" s="82" t="str">
        <f aca="false">IF(AF1018&lt;&gt;"",AF1018,IF(AA1018&lt;&gt;"",AA1018,IF(V1018&lt;&gt;"",V1018,"")))</f>
        <v/>
      </c>
      <c r="AK1018" s="83" t="str">
        <f aca="false">IF(E1018="","",IF(P1018="","À SOUDER",IF(S1018="","VT EN ATTENTE",IF(S1018="R","VT REJETÉ – À REPRENDRE",IF(AJ1018="","À RADIOGRAPHIER",IF(AJ1018="A","ACCEPTÉ",IF(AJ1018="NX","NX – RT À REFAIRE",IF(IF(AI1018=1,X1018,IF(AI1018=2,AC1018,""))="A","RÉPARÉ – À RADIOGRAPHIER",IF(IF(AI1018=1,X1018,IF(AI1018=2,AC1018,""))="R","VT REJETÉ – À REPRENDRE",IF(AJ1018="CO","COUPE – À RESOUDER","À RÉPARER"))))))))))</f>
        <v/>
      </c>
      <c r="AL1018" s="82" t="str">
        <f aca="false">IF(AND(ISNUMBER(P1018),OR(AK1018="À RADIOGRAPHIER",AK1018="RÉPARÉ – À RADIOGRAPHIER",AK1018="NX – RT À REFAIRE",AK1018="À RÉPARER",AK1018="COUPE – À RESOUDER",AK1018="VT REJETÉ – À REPRENDRE")),MAX(0,'PROGRAMME RT'!$C$4-P1018),"")</f>
        <v/>
      </c>
      <c r="AM1018" s="78" t="n">
        <f aca="false">IF(AND(OR(AK1018="À RADIOGRAPHIER",AK1018="RÉPARÉ – À RADIOGRAPHIER",AK1018="NX – RT À REFAIRE"),OR('PROGRAMME RT'!$D$5="TOUTES",B1018='PROGRAMME RT'!$D$5)),1,0)</f>
        <v>0</v>
      </c>
      <c r="AN1018" s="78" t="str">
        <f aca="false">IF(AM1018=1,SUM(AM$7:AM1018),"")</f>
        <v/>
      </c>
      <c r="AO1018" s="78" t="n">
        <f aca="false">IF(AND(OR(AK1018="À RÉPARER",AK1018="COUPE – À RESOUDER",AK1018="VT REJETÉ – À REPRENDRE"),OR(RÉPARATIONS!$D$5="TOUTES",B1018=RÉPARATIONS!$D$5)),1,0)</f>
        <v>0</v>
      </c>
      <c r="AP1018" s="78" t="str">
        <f aca="false">IF(AO1018=1,SUM(AO$7:AO1018),"")</f>
        <v/>
      </c>
    </row>
    <row r="1019" customFormat="false" ht="15" hidden="false" customHeight="false" outlineLevel="0" collapsed="false">
      <c r="A1019" s="78" t="str">
        <f aca="false">IF(E1019="","",ROW()-6)</f>
        <v/>
      </c>
      <c r="B1019" s="79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0"/>
      <c r="P1019" s="81"/>
      <c r="Q1019" s="81"/>
      <c r="R1019" s="80"/>
      <c r="S1019" s="80"/>
      <c r="T1019" s="81"/>
      <c r="U1019" s="80"/>
      <c r="V1019" s="80"/>
      <c r="W1019" s="80"/>
      <c r="X1019" s="80"/>
      <c r="Y1019" s="81"/>
      <c r="Z1019" s="80"/>
      <c r="AA1019" s="80"/>
      <c r="AB1019" s="80"/>
      <c r="AC1019" s="80"/>
      <c r="AD1019" s="81"/>
      <c r="AE1019" s="80"/>
      <c r="AF1019" s="80"/>
      <c r="AG1019" s="81"/>
      <c r="AH1019" s="79"/>
      <c r="AI1019" s="78" t="str">
        <f aca="false">IF(E1019="","",(V1019&lt;&gt;"")+(AA1019&lt;&gt;"")+(AF1019&lt;&gt;""))</f>
        <v/>
      </c>
      <c r="AJ1019" s="82" t="str">
        <f aca="false">IF(AF1019&lt;&gt;"",AF1019,IF(AA1019&lt;&gt;"",AA1019,IF(V1019&lt;&gt;"",V1019,"")))</f>
        <v/>
      </c>
      <c r="AK1019" s="83" t="str">
        <f aca="false">IF(E1019="","",IF(P1019="","À SOUDER",IF(S1019="","VT EN ATTENTE",IF(S1019="R","VT REJETÉ – À REPRENDRE",IF(AJ1019="","À RADIOGRAPHIER",IF(AJ1019="A","ACCEPTÉ",IF(AJ1019="NX","NX – RT À REFAIRE",IF(IF(AI1019=1,X1019,IF(AI1019=2,AC1019,""))="A","RÉPARÉ – À RADIOGRAPHIER",IF(IF(AI1019=1,X1019,IF(AI1019=2,AC1019,""))="R","VT REJETÉ – À REPRENDRE",IF(AJ1019="CO","COUPE – À RESOUDER","À RÉPARER"))))))))))</f>
        <v/>
      </c>
      <c r="AL1019" s="82" t="str">
        <f aca="false">IF(AND(ISNUMBER(P1019),OR(AK1019="À RADIOGRAPHIER",AK1019="RÉPARÉ – À RADIOGRAPHIER",AK1019="NX – RT À REFAIRE",AK1019="À RÉPARER",AK1019="COUPE – À RESOUDER",AK1019="VT REJETÉ – À REPRENDRE")),MAX(0,'PROGRAMME RT'!$C$4-P1019),"")</f>
        <v/>
      </c>
      <c r="AM1019" s="78" t="n">
        <f aca="false">IF(AND(OR(AK1019="À RADIOGRAPHIER",AK1019="RÉPARÉ – À RADIOGRAPHIER",AK1019="NX – RT À REFAIRE"),OR('PROGRAMME RT'!$D$5="TOUTES",B1019='PROGRAMME RT'!$D$5)),1,0)</f>
        <v>0</v>
      </c>
      <c r="AN1019" s="78" t="str">
        <f aca="false">IF(AM1019=1,SUM(AM$7:AM1019),"")</f>
        <v/>
      </c>
      <c r="AO1019" s="78" t="n">
        <f aca="false">IF(AND(OR(AK1019="À RÉPARER",AK1019="COUPE – À RESOUDER",AK1019="VT REJETÉ – À REPRENDRE"),OR(RÉPARATIONS!$D$5="TOUTES",B1019=RÉPARATIONS!$D$5)),1,0)</f>
        <v>0</v>
      </c>
      <c r="AP1019" s="78" t="str">
        <f aca="false">IF(AO1019=1,SUM(AO$7:AO1019),"")</f>
        <v/>
      </c>
    </row>
    <row r="1020" customFormat="false" ht="15" hidden="false" customHeight="false" outlineLevel="0" collapsed="false">
      <c r="A1020" s="78" t="str">
        <f aca="false">IF(E1020="","",ROW()-6)</f>
        <v/>
      </c>
      <c r="B1020" s="79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0"/>
      <c r="P1020" s="81"/>
      <c r="Q1020" s="81"/>
      <c r="R1020" s="80"/>
      <c r="S1020" s="80"/>
      <c r="T1020" s="81"/>
      <c r="U1020" s="80"/>
      <c r="V1020" s="80"/>
      <c r="W1020" s="80"/>
      <c r="X1020" s="80"/>
      <c r="Y1020" s="81"/>
      <c r="Z1020" s="80"/>
      <c r="AA1020" s="80"/>
      <c r="AB1020" s="80"/>
      <c r="AC1020" s="80"/>
      <c r="AD1020" s="81"/>
      <c r="AE1020" s="80"/>
      <c r="AF1020" s="80"/>
      <c r="AG1020" s="81"/>
      <c r="AH1020" s="79"/>
      <c r="AI1020" s="78" t="str">
        <f aca="false">IF(E1020="","",(V1020&lt;&gt;"")+(AA1020&lt;&gt;"")+(AF1020&lt;&gt;""))</f>
        <v/>
      </c>
      <c r="AJ1020" s="82" t="str">
        <f aca="false">IF(AF1020&lt;&gt;"",AF1020,IF(AA1020&lt;&gt;"",AA1020,IF(V1020&lt;&gt;"",V1020,"")))</f>
        <v/>
      </c>
      <c r="AK1020" s="83" t="str">
        <f aca="false">IF(E1020="","",IF(P1020="","À SOUDER",IF(S1020="","VT EN ATTENTE",IF(S1020="R","VT REJETÉ – À REPRENDRE",IF(AJ1020="","À RADIOGRAPHIER",IF(AJ1020="A","ACCEPTÉ",IF(AJ1020="NX","NX – RT À REFAIRE",IF(IF(AI1020=1,X1020,IF(AI1020=2,AC1020,""))="A","RÉPARÉ – À RADIOGRAPHIER",IF(IF(AI1020=1,X1020,IF(AI1020=2,AC1020,""))="R","VT REJETÉ – À REPRENDRE",IF(AJ1020="CO","COUPE – À RESOUDER","À RÉPARER"))))))))))</f>
        <v/>
      </c>
      <c r="AL1020" s="82" t="str">
        <f aca="false">IF(AND(ISNUMBER(P1020),OR(AK1020="À RADIOGRAPHIER",AK1020="RÉPARÉ – À RADIOGRAPHIER",AK1020="NX – RT À REFAIRE",AK1020="À RÉPARER",AK1020="COUPE – À RESOUDER",AK1020="VT REJETÉ – À REPRENDRE")),MAX(0,'PROGRAMME RT'!$C$4-P1020),"")</f>
        <v/>
      </c>
      <c r="AM1020" s="78" t="n">
        <f aca="false">IF(AND(OR(AK1020="À RADIOGRAPHIER",AK1020="RÉPARÉ – À RADIOGRAPHIER",AK1020="NX – RT À REFAIRE"),OR('PROGRAMME RT'!$D$5="TOUTES",B1020='PROGRAMME RT'!$D$5)),1,0)</f>
        <v>0</v>
      </c>
      <c r="AN1020" s="78" t="str">
        <f aca="false">IF(AM1020=1,SUM(AM$7:AM1020),"")</f>
        <v/>
      </c>
      <c r="AO1020" s="78" t="n">
        <f aca="false">IF(AND(OR(AK1020="À RÉPARER",AK1020="COUPE – À RESOUDER",AK1020="VT REJETÉ – À REPRENDRE"),OR(RÉPARATIONS!$D$5="TOUTES",B1020=RÉPARATIONS!$D$5)),1,0)</f>
        <v>0</v>
      </c>
      <c r="AP1020" s="78" t="str">
        <f aca="false">IF(AO1020=1,SUM(AO$7:AO1020),"")</f>
        <v/>
      </c>
    </row>
    <row r="1021" customFormat="false" ht="15" hidden="false" customHeight="false" outlineLevel="0" collapsed="false">
      <c r="A1021" s="78" t="str">
        <f aca="false">IF(E1021="","",ROW()-6)</f>
        <v/>
      </c>
      <c r="B1021" s="79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0"/>
      <c r="P1021" s="81"/>
      <c r="Q1021" s="81"/>
      <c r="R1021" s="80"/>
      <c r="S1021" s="80"/>
      <c r="T1021" s="81"/>
      <c r="U1021" s="80"/>
      <c r="V1021" s="80"/>
      <c r="W1021" s="80"/>
      <c r="X1021" s="80"/>
      <c r="Y1021" s="81"/>
      <c r="Z1021" s="80"/>
      <c r="AA1021" s="80"/>
      <c r="AB1021" s="80"/>
      <c r="AC1021" s="80"/>
      <c r="AD1021" s="81"/>
      <c r="AE1021" s="80"/>
      <c r="AF1021" s="80"/>
      <c r="AG1021" s="81"/>
      <c r="AH1021" s="79"/>
      <c r="AI1021" s="78" t="str">
        <f aca="false">IF(E1021="","",(V1021&lt;&gt;"")+(AA1021&lt;&gt;"")+(AF1021&lt;&gt;""))</f>
        <v/>
      </c>
      <c r="AJ1021" s="82" t="str">
        <f aca="false">IF(AF1021&lt;&gt;"",AF1021,IF(AA1021&lt;&gt;"",AA1021,IF(V1021&lt;&gt;"",V1021,"")))</f>
        <v/>
      </c>
      <c r="AK1021" s="83" t="str">
        <f aca="false">IF(E1021="","",IF(P1021="","À SOUDER",IF(S1021="","VT EN ATTENTE",IF(S1021="R","VT REJETÉ – À REPRENDRE",IF(AJ1021="","À RADIOGRAPHIER",IF(AJ1021="A","ACCEPTÉ",IF(AJ1021="NX","NX – RT À REFAIRE",IF(IF(AI1021=1,X1021,IF(AI1021=2,AC1021,""))="A","RÉPARÉ – À RADIOGRAPHIER",IF(IF(AI1021=1,X1021,IF(AI1021=2,AC1021,""))="R","VT REJETÉ – À REPRENDRE",IF(AJ1021="CO","COUPE – À RESOUDER","À RÉPARER"))))))))))</f>
        <v/>
      </c>
      <c r="AL1021" s="82" t="str">
        <f aca="false">IF(AND(ISNUMBER(P1021),OR(AK1021="À RADIOGRAPHIER",AK1021="RÉPARÉ – À RADIOGRAPHIER",AK1021="NX – RT À REFAIRE",AK1021="À RÉPARER",AK1021="COUPE – À RESOUDER",AK1021="VT REJETÉ – À REPRENDRE")),MAX(0,'PROGRAMME RT'!$C$4-P1021),"")</f>
        <v/>
      </c>
      <c r="AM1021" s="78" t="n">
        <f aca="false">IF(AND(OR(AK1021="À RADIOGRAPHIER",AK1021="RÉPARÉ – À RADIOGRAPHIER",AK1021="NX – RT À REFAIRE"),OR('PROGRAMME RT'!$D$5="TOUTES",B1021='PROGRAMME RT'!$D$5)),1,0)</f>
        <v>0</v>
      </c>
      <c r="AN1021" s="78" t="str">
        <f aca="false">IF(AM1021=1,SUM(AM$7:AM1021),"")</f>
        <v/>
      </c>
      <c r="AO1021" s="78" t="n">
        <f aca="false">IF(AND(OR(AK1021="À RÉPARER",AK1021="COUPE – À RESOUDER",AK1021="VT REJETÉ – À REPRENDRE"),OR(RÉPARATIONS!$D$5="TOUTES",B1021=RÉPARATIONS!$D$5)),1,0)</f>
        <v>0</v>
      </c>
      <c r="AP1021" s="78" t="str">
        <f aca="false">IF(AO1021=1,SUM(AO$7:AO1021),"")</f>
        <v/>
      </c>
    </row>
    <row r="1022" customFormat="false" ht="15" hidden="false" customHeight="false" outlineLevel="0" collapsed="false">
      <c r="A1022" s="78" t="str">
        <f aca="false">IF(E1022="","",ROW()-6)</f>
        <v/>
      </c>
      <c r="B1022" s="79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0"/>
      <c r="P1022" s="81"/>
      <c r="Q1022" s="81"/>
      <c r="R1022" s="80"/>
      <c r="S1022" s="80"/>
      <c r="T1022" s="81"/>
      <c r="U1022" s="80"/>
      <c r="V1022" s="80"/>
      <c r="W1022" s="80"/>
      <c r="X1022" s="80"/>
      <c r="Y1022" s="81"/>
      <c r="Z1022" s="80"/>
      <c r="AA1022" s="80"/>
      <c r="AB1022" s="80"/>
      <c r="AC1022" s="80"/>
      <c r="AD1022" s="81"/>
      <c r="AE1022" s="80"/>
      <c r="AF1022" s="80"/>
      <c r="AG1022" s="81"/>
      <c r="AH1022" s="79"/>
      <c r="AI1022" s="78" t="str">
        <f aca="false">IF(E1022="","",(V1022&lt;&gt;"")+(AA1022&lt;&gt;"")+(AF1022&lt;&gt;""))</f>
        <v/>
      </c>
      <c r="AJ1022" s="82" t="str">
        <f aca="false">IF(AF1022&lt;&gt;"",AF1022,IF(AA1022&lt;&gt;"",AA1022,IF(V1022&lt;&gt;"",V1022,"")))</f>
        <v/>
      </c>
      <c r="AK1022" s="83" t="str">
        <f aca="false">IF(E1022="","",IF(P1022="","À SOUDER",IF(S1022="","VT EN ATTENTE",IF(S1022="R","VT REJETÉ – À REPRENDRE",IF(AJ1022="","À RADIOGRAPHIER",IF(AJ1022="A","ACCEPTÉ",IF(AJ1022="NX","NX – RT À REFAIRE",IF(IF(AI1022=1,X1022,IF(AI1022=2,AC1022,""))="A","RÉPARÉ – À RADIOGRAPHIER",IF(IF(AI1022=1,X1022,IF(AI1022=2,AC1022,""))="R","VT REJETÉ – À REPRENDRE",IF(AJ1022="CO","COUPE – À RESOUDER","À RÉPARER"))))))))))</f>
        <v/>
      </c>
      <c r="AL1022" s="82" t="str">
        <f aca="false">IF(AND(ISNUMBER(P1022),OR(AK1022="À RADIOGRAPHIER",AK1022="RÉPARÉ – À RADIOGRAPHIER",AK1022="NX – RT À REFAIRE",AK1022="À RÉPARER",AK1022="COUPE – À RESOUDER",AK1022="VT REJETÉ – À REPRENDRE")),MAX(0,'PROGRAMME RT'!$C$4-P1022),"")</f>
        <v/>
      </c>
      <c r="AM1022" s="78" t="n">
        <f aca="false">IF(AND(OR(AK1022="À RADIOGRAPHIER",AK1022="RÉPARÉ – À RADIOGRAPHIER",AK1022="NX – RT À REFAIRE"),OR('PROGRAMME RT'!$D$5="TOUTES",B1022='PROGRAMME RT'!$D$5)),1,0)</f>
        <v>0</v>
      </c>
      <c r="AN1022" s="78" t="str">
        <f aca="false">IF(AM1022=1,SUM(AM$7:AM1022),"")</f>
        <v/>
      </c>
      <c r="AO1022" s="78" t="n">
        <f aca="false">IF(AND(OR(AK1022="À RÉPARER",AK1022="COUPE – À RESOUDER",AK1022="VT REJETÉ – À REPRENDRE"),OR(RÉPARATIONS!$D$5="TOUTES",B1022=RÉPARATIONS!$D$5)),1,0)</f>
        <v>0</v>
      </c>
      <c r="AP1022" s="78" t="str">
        <f aca="false">IF(AO1022=1,SUM(AO$7:AO1022),"")</f>
        <v/>
      </c>
    </row>
    <row r="1023" customFormat="false" ht="15" hidden="false" customHeight="false" outlineLevel="0" collapsed="false">
      <c r="A1023" s="78" t="str">
        <f aca="false">IF(E1023="","",ROW()-6)</f>
        <v/>
      </c>
      <c r="B1023" s="79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0"/>
      <c r="P1023" s="81"/>
      <c r="Q1023" s="81"/>
      <c r="R1023" s="80"/>
      <c r="S1023" s="80"/>
      <c r="T1023" s="81"/>
      <c r="U1023" s="80"/>
      <c r="V1023" s="80"/>
      <c r="W1023" s="80"/>
      <c r="X1023" s="80"/>
      <c r="Y1023" s="81"/>
      <c r="Z1023" s="80"/>
      <c r="AA1023" s="80"/>
      <c r="AB1023" s="80"/>
      <c r="AC1023" s="80"/>
      <c r="AD1023" s="81"/>
      <c r="AE1023" s="80"/>
      <c r="AF1023" s="80"/>
      <c r="AG1023" s="81"/>
      <c r="AH1023" s="79"/>
      <c r="AI1023" s="78" t="str">
        <f aca="false">IF(E1023="","",(V1023&lt;&gt;"")+(AA1023&lt;&gt;"")+(AF1023&lt;&gt;""))</f>
        <v/>
      </c>
      <c r="AJ1023" s="82" t="str">
        <f aca="false">IF(AF1023&lt;&gt;"",AF1023,IF(AA1023&lt;&gt;"",AA1023,IF(V1023&lt;&gt;"",V1023,"")))</f>
        <v/>
      </c>
      <c r="AK1023" s="83" t="str">
        <f aca="false">IF(E1023="","",IF(P1023="","À SOUDER",IF(S1023="","VT EN ATTENTE",IF(S1023="R","VT REJETÉ – À REPRENDRE",IF(AJ1023="","À RADIOGRAPHIER",IF(AJ1023="A","ACCEPTÉ",IF(AJ1023="NX","NX – RT À REFAIRE",IF(IF(AI1023=1,X1023,IF(AI1023=2,AC1023,""))="A","RÉPARÉ – À RADIOGRAPHIER",IF(IF(AI1023=1,X1023,IF(AI1023=2,AC1023,""))="R","VT REJETÉ – À REPRENDRE",IF(AJ1023="CO","COUPE – À RESOUDER","À RÉPARER"))))))))))</f>
        <v/>
      </c>
      <c r="AL1023" s="82" t="str">
        <f aca="false">IF(AND(ISNUMBER(P1023),OR(AK1023="À RADIOGRAPHIER",AK1023="RÉPARÉ – À RADIOGRAPHIER",AK1023="NX – RT À REFAIRE",AK1023="À RÉPARER",AK1023="COUPE – À RESOUDER",AK1023="VT REJETÉ – À REPRENDRE")),MAX(0,'PROGRAMME RT'!$C$4-P1023),"")</f>
        <v/>
      </c>
      <c r="AM1023" s="78" t="n">
        <f aca="false">IF(AND(OR(AK1023="À RADIOGRAPHIER",AK1023="RÉPARÉ – À RADIOGRAPHIER",AK1023="NX – RT À REFAIRE"),OR('PROGRAMME RT'!$D$5="TOUTES",B1023='PROGRAMME RT'!$D$5)),1,0)</f>
        <v>0</v>
      </c>
      <c r="AN1023" s="78" t="str">
        <f aca="false">IF(AM1023=1,SUM(AM$7:AM1023),"")</f>
        <v/>
      </c>
      <c r="AO1023" s="78" t="n">
        <f aca="false">IF(AND(OR(AK1023="À RÉPARER",AK1023="COUPE – À RESOUDER",AK1023="VT REJETÉ – À REPRENDRE"),OR(RÉPARATIONS!$D$5="TOUTES",B1023=RÉPARATIONS!$D$5)),1,0)</f>
        <v>0</v>
      </c>
      <c r="AP1023" s="78" t="str">
        <f aca="false">IF(AO1023=1,SUM(AO$7:AO1023),"")</f>
        <v/>
      </c>
    </row>
    <row r="1024" customFormat="false" ht="15" hidden="false" customHeight="false" outlineLevel="0" collapsed="false">
      <c r="A1024" s="78" t="str">
        <f aca="false">IF(E1024="","",ROW()-6)</f>
        <v/>
      </c>
      <c r="B1024" s="79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0"/>
      <c r="P1024" s="81"/>
      <c r="Q1024" s="81"/>
      <c r="R1024" s="80"/>
      <c r="S1024" s="80"/>
      <c r="T1024" s="81"/>
      <c r="U1024" s="80"/>
      <c r="V1024" s="80"/>
      <c r="W1024" s="80"/>
      <c r="X1024" s="80"/>
      <c r="Y1024" s="81"/>
      <c r="Z1024" s="80"/>
      <c r="AA1024" s="80"/>
      <c r="AB1024" s="80"/>
      <c r="AC1024" s="80"/>
      <c r="AD1024" s="81"/>
      <c r="AE1024" s="80"/>
      <c r="AF1024" s="80"/>
      <c r="AG1024" s="81"/>
      <c r="AH1024" s="79"/>
      <c r="AI1024" s="78" t="str">
        <f aca="false">IF(E1024="","",(V1024&lt;&gt;"")+(AA1024&lt;&gt;"")+(AF1024&lt;&gt;""))</f>
        <v/>
      </c>
      <c r="AJ1024" s="82" t="str">
        <f aca="false">IF(AF1024&lt;&gt;"",AF1024,IF(AA1024&lt;&gt;"",AA1024,IF(V1024&lt;&gt;"",V1024,"")))</f>
        <v/>
      </c>
      <c r="AK1024" s="83" t="str">
        <f aca="false">IF(E1024="","",IF(P1024="","À SOUDER",IF(S1024="","VT EN ATTENTE",IF(S1024="R","VT REJETÉ – À REPRENDRE",IF(AJ1024="","À RADIOGRAPHIER",IF(AJ1024="A","ACCEPTÉ",IF(AJ1024="NX","NX – RT À REFAIRE",IF(IF(AI1024=1,X1024,IF(AI1024=2,AC1024,""))="A","RÉPARÉ – À RADIOGRAPHIER",IF(IF(AI1024=1,X1024,IF(AI1024=2,AC1024,""))="R","VT REJETÉ – À REPRENDRE",IF(AJ1024="CO","COUPE – À RESOUDER","À RÉPARER"))))))))))</f>
        <v/>
      </c>
      <c r="AL1024" s="82" t="str">
        <f aca="false">IF(AND(ISNUMBER(P1024),OR(AK1024="À RADIOGRAPHIER",AK1024="RÉPARÉ – À RADIOGRAPHIER",AK1024="NX – RT À REFAIRE",AK1024="À RÉPARER",AK1024="COUPE – À RESOUDER",AK1024="VT REJETÉ – À REPRENDRE")),MAX(0,'PROGRAMME RT'!$C$4-P1024),"")</f>
        <v/>
      </c>
      <c r="AM1024" s="78" t="n">
        <f aca="false">IF(AND(OR(AK1024="À RADIOGRAPHIER",AK1024="RÉPARÉ – À RADIOGRAPHIER",AK1024="NX – RT À REFAIRE"),OR('PROGRAMME RT'!$D$5="TOUTES",B1024='PROGRAMME RT'!$D$5)),1,0)</f>
        <v>0</v>
      </c>
      <c r="AN1024" s="78" t="str">
        <f aca="false">IF(AM1024=1,SUM(AM$7:AM1024),"")</f>
        <v/>
      </c>
      <c r="AO1024" s="78" t="n">
        <f aca="false">IF(AND(OR(AK1024="À RÉPARER",AK1024="COUPE – À RESOUDER",AK1024="VT REJETÉ – À REPRENDRE"),OR(RÉPARATIONS!$D$5="TOUTES",B1024=RÉPARATIONS!$D$5)),1,0)</f>
        <v>0</v>
      </c>
      <c r="AP1024" s="78" t="str">
        <f aca="false">IF(AO1024=1,SUM(AO$7:AO1024),"")</f>
        <v/>
      </c>
    </row>
    <row r="1025" customFormat="false" ht="15" hidden="false" customHeight="false" outlineLevel="0" collapsed="false">
      <c r="A1025" s="78" t="str">
        <f aca="false">IF(E1025="","",ROW()-6)</f>
        <v/>
      </c>
      <c r="B1025" s="79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0"/>
      <c r="P1025" s="81"/>
      <c r="Q1025" s="81"/>
      <c r="R1025" s="80"/>
      <c r="S1025" s="80"/>
      <c r="T1025" s="81"/>
      <c r="U1025" s="80"/>
      <c r="V1025" s="80"/>
      <c r="W1025" s="80"/>
      <c r="X1025" s="80"/>
      <c r="Y1025" s="81"/>
      <c r="Z1025" s="80"/>
      <c r="AA1025" s="80"/>
      <c r="AB1025" s="80"/>
      <c r="AC1025" s="80"/>
      <c r="AD1025" s="81"/>
      <c r="AE1025" s="80"/>
      <c r="AF1025" s="80"/>
      <c r="AG1025" s="81"/>
      <c r="AH1025" s="79"/>
      <c r="AI1025" s="78" t="str">
        <f aca="false">IF(E1025="","",(V1025&lt;&gt;"")+(AA1025&lt;&gt;"")+(AF1025&lt;&gt;""))</f>
        <v/>
      </c>
      <c r="AJ1025" s="82" t="str">
        <f aca="false">IF(AF1025&lt;&gt;"",AF1025,IF(AA1025&lt;&gt;"",AA1025,IF(V1025&lt;&gt;"",V1025,"")))</f>
        <v/>
      </c>
      <c r="AK1025" s="83" t="str">
        <f aca="false">IF(E1025="","",IF(P1025="","À SOUDER",IF(S1025="","VT EN ATTENTE",IF(S1025="R","VT REJETÉ – À REPRENDRE",IF(AJ1025="","À RADIOGRAPHIER",IF(AJ1025="A","ACCEPTÉ",IF(AJ1025="NX","NX – RT À REFAIRE",IF(IF(AI1025=1,X1025,IF(AI1025=2,AC1025,""))="A","RÉPARÉ – À RADIOGRAPHIER",IF(IF(AI1025=1,X1025,IF(AI1025=2,AC1025,""))="R","VT REJETÉ – À REPRENDRE",IF(AJ1025="CO","COUPE – À RESOUDER","À RÉPARER"))))))))))</f>
        <v/>
      </c>
      <c r="AL1025" s="82" t="str">
        <f aca="false">IF(AND(ISNUMBER(P1025),OR(AK1025="À RADIOGRAPHIER",AK1025="RÉPARÉ – À RADIOGRAPHIER",AK1025="NX – RT À REFAIRE",AK1025="À RÉPARER",AK1025="COUPE – À RESOUDER",AK1025="VT REJETÉ – À REPRENDRE")),MAX(0,'PROGRAMME RT'!$C$4-P1025),"")</f>
        <v/>
      </c>
      <c r="AM1025" s="78" t="n">
        <f aca="false">IF(AND(OR(AK1025="À RADIOGRAPHIER",AK1025="RÉPARÉ – À RADIOGRAPHIER",AK1025="NX – RT À REFAIRE"),OR('PROGRAMME RT'!$D$5="TOUTES",B1025='PROGRAMME RT'!$D$5)),1,0)</f>
        <v>0</v>
      </c>
      <c r="AN1025" s="78" t="str">
        <f aca="false">IF(AM1025=1,SUM(AM$7:AM1025),"")</f>
        <v/>
      </c>
      <c r="AO1025" s="78" t="n">
        <f aca="false">IF(AND(OR(AK1025="À RÉPARER",AK1025="COUPE – À RESOUDER",AK1025="VT REJETÉ – À REPRENDRE"),OR(RÉPARATIONS!$D$5="TOUTES",B1025=RÉPARATIONS!$D$5)),1,0)</f>
        <v>0</v>
      </c>
      <c r="AP1025" s="78" t="str">
        <f aca="false">IF(AO1025=1,SUM(AO$7:AO1025),"")</f>
        <v/>
      </c>
    </row>
    <row r="1026" customFormat="false" ht="15" hidden="false" customHeight="false" outlineLevel="0" collapsed="false">
      <c r="A1026" s="78" t="str">
        <f aca="false">IF(E1026="","",ROW()-6)</f>
        <v/>
      </c>
      <c r="B1026" s="79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0"/>
      <c r="P1026" s="81"/>
      <c r="Q1026" s="81"/>
      <c r="R1026" s="80"/>
      <c r="S1026" s="80"/>
      <c r="T1026" s="81"/>
      <c r="U1026" s="80"/>
      <c r="V1026" s="80"/>
      <c r="W1026" s="80"/>
      <c r="X1026" s="80"/>
      <c r="Y1026" s="81"/>
      <c r="Z1026" s="80"/>
      <c r="AA1026" s="80"/>
      <c r="AB1026" s="80"/>
      <c r="AC1026" s="80"/>
      <c r="AD1026" s="81"/>
      <c r="AE1026" s="80"/>
      <c r="AF1026" s="80"/>
      <c r="AG1026" s="81"/>
      <c r="AH1026" s="79"/>
      <c r="AI1026" s="78" t="str">
        <f aca="false">IF(E1026="","",(V1026&lt;&gt;"")+(AA1026&lt;&gt;"")+(AF1026&lt;&gt;""))</f>
        <v/>
      </c>
      <c r="AJ1026" s="82" t="str">
        <f aca="false">IF(AF1026&lt;&gt;"",AF1026,IF(AA1026&lt;&gt;"",AA1026,IF(V1026&lt;&gt;"",V1026,"")))</f>
        <v/>
      </c>
      <c r="AK1026" s="83" t="str">
        <f aca="false">IF(E1026="","",IF(P1026="","À SOUDER",IF(S1026="","VT EN ATTENTE",IF(S1026="R","VT REJETÉ – À REPRENDRE",IF(AJ1026="","À RADIOGRAPHIER",IF(AJ1026="A","ACCEPTÉ",IF(AJ1026="NX","NX – RT À REFAIRE",IF(IF(AI1026=1,X1026,IF(AI1026=2,AC1026,""))="A","RÉPARÉ – À RADIOGRAPHIER",IF(IF(AI1026=1,X1026,IF(AI1026=2,AC1026,""))="R","VT REJETÉ – À REPRENDRE",IF(AJ1026="CO","COUPE – À RESOUDER","À RÉPARER"))))))))))</f>
        <v/>
      </c>
      <c r="AL1026" s="82" t="str">
        <f aca="false">IF(AND(ISNUMBER(P1026),OR(AK1026="À RADIOGRAPHIER",AK1026="RÉPARÉ – À RADIOGRAPHIER",AK1026="NX – RT À REFAIRE",AK1026="À RÉPARER",AK1026="COUPE – À RESOUDER",AK1026="VT REJETÉ – À REPRENDRE")),MAX(0,'PROGRAMME RT'!$C$4-P1026),"")</f>
        <v/>
      </c>
      <c r="AM1026" s="78" t="n">
        <f aca="false">IF(AND(OR(AK1026="À RADIOGRAPHIER",AK1026="RÉPARÉ – À RADIOGRAPHIER",AK1026="NX – RT À REFAIRE"),OR('PROGRAMME RT'!$D$5="TOUTES",B1026='PROGRAMME RT'!$D$5)),1,0)</f>
        <v>0</v>
      </c>
      <c r="AN1026" s="78" t="str">
        <f aca="false">IF(AM1026=1,SUM(AM$7:AM1026),"")</f>
        <v/>
      </c>
      <c r="AO1026" s="78" t="n">
        <f aca="false">IF(AND(OR(AK1026="À RÉPARER",AK1026="COUPE – À RESOUDER",AK1026="VT REJETÉ – À REPRENDRE"),OR(RÉPARATIONS!$D$5="TOUTES",B1026=RÉPARATIONS!$D$5)),1,0)</f>
        <v>0</v>
      </c>
      <c r="AP1026" s="78" t="str">
        <f aca="false">IF(AO1026=1,SUM(AO$7:AO1026),"")</f>
        <v/>
      </c>
    </row>
    <row r="1027" customFormat="false" ht="15" hidden="false" customHeight="false" outlineLevel="0" collapsed="false">
      <c r="A1027" s="78" t="str">
        <f aca="false">IF(E1027="","",ROW()-6)</f>
        <v/>
      </c>
      <c r="B1027" s="79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0"/>
      <c r="P1027" s="81"/>
      <c r="Q1027" s="81"/>
      <c r="R1027" s="80"/>
      <c r="S1027" s="80"/>
      <c r="T1027" s="81"/>
      <c r="U1027" s="80"/>
      <c r="V1027" s="80"/>
      <c r="W1027" s="80"/>
      <c r="X1027" s="80"/>
      <c r="Y1027" s="81"/>
      <c r="Z1027" s="80"/>
      <c r="AA1027" s="80"/>
      <c r="AB1027" s="80"/>
      <c r="AC1027" s="80"/>
      <c r="AD1027" s="81"/>
      <c r="AE1027" s="80"/>
      <c r="AF1027" s="80"/>
      <c r="AG1027" s="81"/>
      <c r="AH1027" s="79"/>
      <c r="AI1027" s="78" t="str">
        <f aca="false">IF(E1027="","",(V1027&lt;&gt;"")+(AA1027&lt;&gt;"")+(AF1027&lt;&gt;""))</f>
        <v/>
      </c>
      <c r="AJ1027" s="82" t="str">
        <f aca="false">IF(AF1027&lt;&gt;"",AF1027,IF(AA1027&lt;&gt;"",AA1027,IF(V1027&lt;&gt;"",V1027,"")))</f>
        <v/>
      </c>
      <c r="AK1027" s="83" t="str">
        <f aca="false">IF(E1027="","",IF(P1027="","À SOUDER",IF(S1027="","VT EN ATTENTE",IF(S1027="R","VT REJETÉ – À REPRENDRE",IF(AJ1027="","À RADIOGRAPHIER",IF(AJ1027="A","ACCEPTÉ",IF(AJ1027="NX","NX – RT À REFAIRE",IF(IF(AI1027=1,X1027,IF(AI1027=2,AC1027,""))="A","RÉPARÉ – À RADIOGRAPHIER",IF(IF(AI1027=1,X1027,IF(AI1027=2,AC1027,""))="R","VT REJETÉ – À REPRENDRE",IF(AJ1027="CO","COUPE – À RESOUDER","À RÉPARER"))))))))))</f>
        <v/>
      </c>
      <c r="AL1027" s="82" t="str">
        <f aca="false">IF(AND(ISNUMBER(P1027),OR(AK1027="À RADIOGRAPHIER",AK1027="RÉPARÉ – À RADIOGRAPHIER",AK1027="NX – RT À REFAIRE",AK1027="À RÉPARER",AK1027="COUPE – À RESOUDER",AK1027="VT REJETÉ – À REPRENDRE")),MAX(0,'PROGRAMME RT'!$C$4-P1027),"")</f>
        <v/>
      </c>
      <c r="AM1027" s="78" t="n">
        <f aca="false">IF(AND(OR(AK1027="À RADIOGRAPHIER",AK1027="RÉPARÉ – À RADIOGRAPHIER",AK1027="NX – RT À REFAIRE"),OR('PROGRAMME RT'!$D$5="TOUTES",B1027='PROGRAMME RT'!$D$5)),1,0)</f>
        <v>0</v>
      </c>
      <c r="AN1027" s="78" t="str">
        <f aca="false">IF(AM1027=1,SUM(AM$7:AM1027),"")</f>
        <v/>
      </c>
      <c r="AO1027" s="78" t="n">
        <f aca="false">IF(AND(OR(AK1027="À RÉPARER",AK1027="COUPE – À RESOUDER",AK1027="VT REJETÉ – À REPRENDRE"),OR(RÉPARATIONS!$D$5="TOUTES",B1027=RÉPARATIONS!$D$5)),1,0)</f>
        <v>0</v>
      </c>
      <c r="AP1027" s="78" t="str">
        <f aca="false">IF(AO1027=1,SUM(AO$7:AO1027),"")</f>
        <v/>
      </c>
    </row>
    <row r="1028" customFormat="false" ht="15" hidden="false" customHeight="false" outlineLevel="0" collapsed="false">
      <c r="A1028" s="78" t="str">
        <f aca="false">IF(E1028="","",ROW()-6)</f>
        <v/>
      </c>
      <c r="B1028" s="79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0"/>
      <c r="P1028" s="81"/>
      <c r="Q1028" s="81"/>
      <c r="R1028" s="80"/>
      <c r="S1028" s="80"/>
      <c r="T1028" s="81"/>
      <c r="U1028" s="80"/>
      <c r="V1028" s="80"/>
      <c r="W1028" s="80"/>
      <c r="X1028" s="80"/>
      <c r="Y1028" s="81"/>
      <c r="Z1028" s="80"/>
      <c r="AA1028" s="80"/>
      <c r="AB1028" s="80"/>
      <c r="AC1028" s="80"/>
      <c r="AD1028" s="81"/>
      <c r="AE1028" s="80"/>
      <c r="AF1028" s="80"/>
      <c r="AG1028" s="81"/>
      <c r="AH1028" s="79"/>
      <c r="AI1028" s="78" t="str">
        <f aca="false">IF(E1028="","",(V1028&lt;&gt;"")+(AA1028&lt;&gt;"")+(AF1028&lt;&gt;""))</f>
        <v/>
      </c>
      <c r="AJ1028" s="82" t="str">
        <f aca="false">IF(AF1028&lt;&gt;"",AF1028,IF(AA1028&lt;&gt;"",AA1028,IF(V1028&lt;&gt;"",V1028,"")))</f>
        <v/>
      </c>
      <c r="AK1028" s="83" t="str">
        <f aca="false">IF(E1028="","",IF(P1028="","À SOUDER",IF(S1028="","VT EN ATTENTE",IF(S1028="R","VT REJETÉ – À REPRENDRE",IF(AJ1028="","À RADIOGRAPHIER",IF(AJ1028="A","ACCEPTÉ",IF(AJ1028="NX","NX – RT À REFAIRE",IF(IF(AI1028=1,X1028,IF(AI1028=2,AC1028,""))="A","RÉPARÉ – À RADIOGRAPHIER",IF(IF(AI1028=1,X1028,IF(AI1028=2,AC1028,""))="R","VT REJETÉ – À REPRENDRE",IF(AJ1028="CO","COUPE – À RESOUDER","À RÉPARER"))))))))))</f>
        <v/>
      </c>
      <c r="AL1028" s="82" t="str">
        <f aca="false">IF(AND(ISNUMBER(P1028),OR(AK1028="À RADIOGRAPHIER",AK1028="RÉPARÉ – À RADIOGRAPHIER",AK1028="NX – RT À REFAIRE",AK1028="À RÉPARER",AK1028="COUPE – À RESOUDER",AK1028="VT REJETÉ – À REPRENDRE")),MAX(0,'PROGRAMME RT'!$C$4-P1028),"")</f>
        <v/>
      </c>
      <c r="AM1028" s="78" t="n">
        <f aca="false">IF(AND(OR(AK1028="À RADIOGRAPHIER",AK1028="RÉPARÉ – À RADIOGRAPHIER",AK1028="NX – RT À REFAIRE"),OR('PROGRAMME RT'!$D$5="TOUTES",B1028='PROGRAMME RT'!$D$5)),1,0)</f>
        <v>0</v>
      </c>
      <c r="AN1028" s="78" t="str">
        <f aca="false">IF(AM1028=1,SUM(AM$7:AM1028),"")</f>
        <v/>
      </c>
      <c r="AO1028" s="78" t="n">
        <f aca="false">IF(AND(OR(AK1028="À RÉPARER",AK1028="COUPE – À RESOUDER",AK1028="VT REJETÉ – À REPRENDRE"),OR(RÉPARATIONS!$D$5="TOUTES",B1028=RÉPARATIONS!$D$5)),1,0)</f>
        <v>0</v>
      </c>
      <c r="AP1028" s="78" t="str">
        <f aca="false">IF(AO1028=1,SUM(AO$7:AO1028),"")</f>
        <v/>
      </c>
    </row>
    <row r="1029" customFormat="false" ht="15" hidden="false" customHeight="false" outlineLevel="0" collapsed="false">
      <c r="A1029" s="78" t="str">
        <f aca="false">IF(E1029="","",ROW()-6)</f>
        <v/>
      </c>
      <c r="B1029" s="79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0"/>
      <c r="P1029" s="81"/>
      <c r="Q1029" s="81"/>
      <c r="R1029" s="80"/>
      <c r="S1029" s="80"/>
      <c r="T1029" s="81"/>
      <c r="U1029" s="80"/>
      <c r="V1029" s="80"/>
      <c r="W1029" s="80"/>
      <c r="X1029" s="80"/>
      <c r="Y1029" s="81"/>
      <c r="Z1029" s="80"/>
      <c r="AA1029" s="80"/>
      <c r="AB1029" s="80"/>
      <c r="AC1029" s="80"/>
      <c r="AD1029" s="81"/>
      <c r="AE1029" s="80"/>
      <c r="AF1029" s="80"/>
      <c r="AG1029" s="81"/>
      <c r="AH1029" s="79"/>
      <c r="AI1029" s="78" t="str">
        <f aca="false">IF(E1029="","",(V1029&lt;&gt;"")+(AA1029&lt;&gt;"")+(AF1029&lt;&gt;""))</f>
        <v/>
      </c>
      <c r="AJ1029" s="82" t="str">
        <f aca="false">IF(AF1029&lt;&gt;"",AF1029,IF(AA1029&lt;&gt;"",AA1029,IF(V1029&lt;&gt;"",V1029,"")))</f>
        <v/>
      </c>
      <c r="AK1029" s="83" t="str">
        <f aca="false">IF(E1029="","",IF(P1029="","À SOUDER",IF(S1029="","VT EN ATTENTE",IF(S1029="R","VT REJETÉ – À REPRENDRE",IF(AJ1029="","À RADIOGRAPHIER",IF(AJ1029="A","ACCEPTÉ",IF(AJ1029="NX","NX – RT À REFAIRE",IF(IF(AI1029=1,X1029,IF(AI1029=2,AC1029,""))="A","RÉPARÉ – À RADIOGRAPHIER",IF(IF(AI1029=1,X1029,IF(AI1029=2,AC1029,""))="R","VT REJETÉ – À REPRENDRE",IF(AJ1029="CO","COUPE – À RESOUDER","À RÉPARER"))))))))))</f>
        <v/>
      </c>
      <c r="AL1029" s="82" t="str">
        <f aca="false">IF(AND(ISNUMBER(P1029),OR(AK1029="À RADIOGRAPHIER",AK1029="RÉPARÉ – À RADIOGRAPHIER",AK1029="NX – RT À REFAIRE",AK1029="À RÉPARER",AK1029="COUPE – À RESOUDER",AK1029="VT REJETÉ – À REPRENDRE")),MAX(0,'PROGRAMME RT'!$C$4-P1029),"")</f>
        <v/>
      </c>
      <c r="AM1029" s="78" t="n">
        <f aca="false">IF(AND(OR(AK1029="À RADIOGRAPHIER",AK1029="RÉPARÉ – À RADIOGRAPHIER",AK1029="NX – RT À REFAIRE"),OR('PROGRAMME RT'!$D$5="TOUTES",B1029='PROGRAMME RT'!$D$5)),1,0)</f>
        <v>0</v>
      </c>
      <c r="AN1029" s="78" t="str">
        <f aca="false">IF(AM1029=1,SUM(AM$7:AM1029),"")</f>
        <v/>
      </c>
      <c r="AO1029" s="78" t="n">
        <f aca="false">IF(AND(OR(AK1029="À RÉPARER",AK1029="COUPE – À RESOUDER",AK1029="VT REJETÉ – À REPRENDRE"),OR(RÉPARATIONS!$D$5="TOUTES",B1029=RÉPARATIONS!$D$5)),1,0)</f>
        <v>0</v>
      </c>
      <c r="AP1029" s="78" t="str">
        <f aca="false">IF(AO1029=1,SUM(AO$7:AO1029),"")</f>
        <v/>
      </c>
    </row>
    <row r="1030" customFormat="false" ht="15" hidden="false" customHeight="false" outlineLevel="0" collapsed="false">
      <c r="A1030" s="78" t="str">
        <f aca="false">IF(E1030="","",ROW()-6)</f>
        <v/>
      </c>
      <c r="B1030" s="79"/>
      <c r="C1030" s="80"/>
      <c r="D1030" s="80"/>
      <c r="E1030" s="80"/>
      <c r="F1030" s="80"/>
      <c r="G1030" s="80"/>
      <c r="H1030" s="80"/>
      <c r="I1030" s="80"/>
      <c r="J1030" s="80"/>
      <c r="K1030" s="80"/>
      <c r="L1030" s="80"/>
      <c r="M1030" s="80"/>
      <c r="N1030" s="80"/>
      <c r="O1030" s="80"/>
      <c r="P1030" s="81"/>
      <c r="Q1030" s="81"/>
      <c r="R1030" s="80"/>
      <c r="S1030" s="80"/>
      <c r="T1030" s="81"/>
      <c r="U1030" s="80"/>
      <c r="V1030" s="80"/>
      <c r="W1030" s="80"/>
      <c r="X1030" s="80"/>
      <c r="Y1030" s="81"/>
      <c r="Z1030" s="80"/>
      <c r="AA1030" s="80"/>
      <c r="AB1030" s="80"/>
      <c r="AC1030" s="80"/>
      <c r="AD1030" s="81"/>
      <c r="AE1030" s="80"/>
      <c r="AF1030" s="80"/>
      <c r="AG1030" s="81"/>
      <c r="AH1030" s="79"/>
      <c r="AI1030" s="78" t="str">
        <f aca="false">IF(E1030="","",(V1030&lt;&gt;"")+(AA1030&lt;&gt;"")+(AF1030&lt;&gt;""))</f>
        <v/>
      </c>
      <c r="AJ1030" s="82" t="str">
        <f aca="false">IF(AF1030&lt;&gt;"",AF1030,IF(AA1030&lt;&gt;"",AA1030,IF(V1030&lt;&gt;"",V1030,"")))</f>
        <v/>
      </c>
      <c r="AK1030" s="83" t="str">
        <f aca="false">IF(E1030="","",IF(P1030="","À SOUDER",IF(S1030="","VT EN ATTENTE",IF(S1030="R","VT REJETÉ – À REPRENDRE",IF(AJ1030="","À RADIOGRAPHIER",IF(AJ1030="A","ACCEPTÉ",IF(AJ1030="NX","NX – RT À REFAIRE",IF(IF(AI1030=1,X1030,IF(AI1030=2,AC1030,""))="A","RÉPARÉ – À RADIOGRAPHIER",IF(IF(AI1030=1,X1030,IF(AI1030=2,AC1030,""))="R","VT REJETÉ – À REPRENDRE",IF(AJ1030="CO","COUPE – À RESOUDER","À RÉPARER"))))))))))</f>
        <v/>
      </c>
      <c r="AL1030" s="82" t="str">
        <f aca="false">IF(AND(ISNUMBER(P1030),OR(AK1030="À RADIOGRAPHIER",AK1030="RÉPARÉ – À RADIOGRAPHIER",AK1030="NX – RT À REFAIRE",AK1030="À RÉPARER",AK1030="COUPE – À RESOUDER",AK1030="VT REJETÉ – À REPRENDRE")),MAX(0,'PROGRAMME RT'!$C$4-P1030),"")</f>
        <v/>
      </c>
      <c r="AM1030" s="78" t="n">
        <f aca="false">IF(AND(OR(AK1030="À RADIOGRAPHIER",AK1030="RÉPARÉ – À RADIOGRAPHIER",AK1030="NX – RT À REFAIRE"),OR('PROGRAMME RT'!$D$5="TOUTES",B1030='PROGRAMME RT'!$D$5)),1,0)</f>
        <v>0</v>
      </c>
      <c r="AN1030" s="78" t="str">
        <f aca="false">IF(AM1030=1,SUM(AM$7:AM1030),"")</f>
        <v/>
      </c>
      <c r="AO1030" s="78" t="n">
        <f aca="false">IF(AND(OR(AK1030="À RÉPARER",AK1030="COUPE – À RESOUDER",AK1030="VT REJETÉ – À REPRENDRE"),OR(RÉPARATIONS!$D$5="TOUTES",B1030=RÉPARATIONS!$D$5)),1,0)</f>
        <v>0</v>
      </c>
      <c r="AP1030" s="78" t="str">
        <f aca="false">IF(AO1030=1,SUM(AO$7:AO1030),"")</f>
        <v/>
      </c>
    </row>
    <row r="1031" customFormat="false" ht="15" hidden="false" customHeight="false" outlineLevel="0" collapsed="false">
      <c r="A1031" s="78" t="str">
        <f aca="false">IF(E1031="","",ROW()-6)</f>
        <v/>
      </c>
      <c r="B1031" s="79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0"/>
      <c r="P1031" s="81"/>
      <c r="Q1031" s="81"/>
      <c r="R1031" s="80"/>
      <c r="S1031" s="80"/>
      <c r="T1031" s="81"/>
      <c r="U1031" s="80"/>
      <c r="V1031" s="80"/>
      <c r="W1031" s="80"/>
      <c r="X1031" s="80"/>
      <c r="Y1031" s="81"/>
      <c r="Z1031" s="80"/>
      <c r="AA1031" s="80"/>
      <c r="AB1031" s="80"/>
      <c r="AC1031" s="80"/>
      <c r="AD1031" s="81"/>
      <c r="AE1031" s="80"/>
      <c r="AF1031" s="80"/>
      <c r="AG1031" s="81"/>
      <c r="AH1031" s="79"/>
      <c r="AI1031" s="78" t="str">
        <f aca="false">IF(E1031="","",(V1031&lt;&gt;"")+(AA1031&lt;&gt;"")+(AF1031&lt;&gt;""))</f>
        <v/>
      </c>
      <c r="AJ1031" s="82" t="str">
        <f aca="false">IF(AF1031&lt;&gt;"",AF1031,IF(AA1031&lt;&gt;"",AA1031,IF(V1031&lt;&gt;"",V1031,"")))</f>
        <v/>
      </c>
      <c r="AK1031" s="83" t="str">
        <f aca="false">IF(E1031="","",IF(P1031="","À SOUDER",IF(S1031="","VT EN ATTENTE",IF(S1031="R","VT REJETÉ – À REPRENDRE",IF(AJ1031="","À RADIOGRAPHIER",IF(AJ1031="A","ACCEPTÉ",IF(AJ1031="NX","NX – RT À REFAIRE",IF(IF(AI1031=1,X1031,IF(AI1031=2,AC1031,""))="A","RÉPARÉ – À RADIOGRAPHIER",IF(IF(AI1031=1,X1031,IF(AI1031=2,AC1031,""))="R","VT REJETÉ – À REPRENDRE",IF(AJ1031="CO","COUPE – À RESOUDER","À RÉPARER"))))))))))</f>
        <v/>
      </c>
      <c r="AL1031" s="82" t="str">
        <f aca="false">IF(AND(ISNUMBER(P1031),OR(AK1031="À RADIOGRAPHIER",AK1031="RÉPARÉ – À RADIOGRAPHIER",AK1031="NX – RT À REFAIRE",AK1031="À RÉPARER",AK1031="COUPE – À RESOUDER",AK1031="VT REJETÉ – À REPRENDRE")),MAX(0,'PROGRAMME RT'!$C$4-P1031),"")</f>
        <v/>
      </c>
      <c r="AM1031" s="78" t="n">
        <f aca="false">IF(AND(OR(AK1031="À RADIOGRAPHIER",AK1031="RÉPARÉ – À RADIOGRAPHIER",AK1031="NX – RT À REFAIRE"),OR('PROGRAMME RT'!$D$5="TOUTES",B1031='PROGRAMME RT'!$D$5)),1,0)</f>
        <v>0</v>
      </c>
      <c r="AN1031" s="78" t="str">
        <f aca="false">IF(AM1031=1,SUM(AM$7:AM1031),"")</f>
        <v/>
      </c>
      <c r="AO1031" s="78" t="n">
        <f aca="false">IF(AND(OR(AK1031="À RÉPARER",AK1031="COUPE – À RESOUDER",AK1031="VT REJETÉ – À REPRENDRE"),OR(RÉPARATIONS!$D$5="TOUTES",B1031=RÉPARATIONS!$D$5)),1,0)</f>
        <v>0</v>
      </c>
      <c r="AP1031" s="78" t="str">
        <f aca="false">IF(AO1031=1,SUM(AO$7:AO1031),"")</f>
        <v/>
      </c>
    </row>
    <row r="1032" customFormat="false" ht="15" hidden="false" customHeight="false" outlineLevel="0" collapsed="false">
      <c r="A1032" s="78" t="str">
        <f aca="false">IF(E1032="","",ROW()-6)</f>
        <v/>
      </c>
      <c r="B1032" s="79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0"/>
      <c r="P1032" s="81"/>
      <c r="Q1032" s="81"/>
      <c r="R1032" s="80"/>
      <c r="S1032" s="80"/>
      <c r="T1032" s="81"/>
      <c r="U1032" s="80"/>
      <c r="V1032" s="80"/>
      <c r="W1032" s="80"/>
      <c r="X1032" s="80"/>
      <c r="Y1032" s="81"/>
      <c r="Z1032" s="80"/>
      <c r="AA1032" s="80"/>
      <c r="AB1032" s="80"/>
      <c r="AC1032" s="80"/>
      <c r="AD1032" s="81"/>
      <c r="AE1032" s="80"/>
      <c r="AF1032" s="80"/>
      <c r="AG1032" s="81"/>
      <c r="AH1032" s="79"/>
      <c r="AI1032" s="78" t="str">
        <f aca="false">IF(E1032="","",(V1032&lt;&gt;"")+(AA1032&lt;&gt;"")+(AF1032&lt;&gt;""))</f>
        <v/>
      </c>
      <c r="AJ1032" s="82" t="str">
        <f aca="false">IF(AF1032&lt;&gt;"",AF1032,IF(AA1032&lt;&gt;"",AA1032,IF(V1032&lt;&gt;"",V1032,"")))</f>
        <v/>
      </c>
      <c r="AK1032" s="83" t="str">
        <f aca="false">IF(E1032="","",IF(P1032="","À SOUDER",IF(S1032="","VT EN ATTENTE",IF(S1032="R","VT REJETÉ – À REPRENDRE",IF(AJ1032="","À RADIOGRAPHIER",IF(AJ1032="A","ACCEPTÉ",IF(AJ1032="NX","NX – RT À REFAIRE",IF(IF(AI1032=1,X1032,IF(AI1032=2,AC1032,""))="A","RÉPARÉ – À RADIOGRAPHIER",IF(IF(AI1032=1,X1032,IF(AI1032=2,AC1032,""))="R","VT REJETÉ – À REPRENDRE",IF(AJ1032="CO","COUPE – À RESOUDER","À RÉPARER"))))))))))</f>
        <v/>
      </c>
      <c r="AL1032" s="82" t="str">
        <f aca="false">IF(AND(ISNUMBER(P1032),OR(AK1032="À RADIOGRAPHIER",AK1032="RÉPARÉ – À RADIOGRAPHIER",AK1032="NX – RT À REFAIRE",AK1032="À RÉPARER",AK1032="COUPE – À RESOUDER",AK1032="VT REJETÉ – À REPRENDRE")),MAX(0,'PROGRAMME RT'!$C$4-P1032),"")</f>
        <v/>
      </c>
      <c r="AM1032" s="78" t="n">
        <f aca="false">IF(AND(OR(AK1032="À RADIOGRAPHIER",AK1032="RÉPARÉ – À RADIOGRAPHIER",AK1032="NX – RT À REFAIRE"),OR('PROGRAMME RT'!$D$5="TOUTES",B1032='PROGRAMME RT'!$D$5)),1,0)</f>
        <v>0</v>
      </c>
      <c r="AN1032" s="78" t="str">
        <f aca="false">IF(AM1032=1,SUM(AM$7:AM1032),"")</f>
        <v/>
      </c>
      <c r="AO1032" s="78" t="n">
        <f aca="false">IF(AND(OR(AK1032="À RÉPARER",AK1032="COUPE – À RESOUDER",AK1032="VT REJETÉ – À REPRENDRE"),OR(RÉPARATIONS!$D$5="TOUTES",B1032=RÉPARATIONS!$D$5)),1,0)</f>
        <v>0</v>
      </c>
      <c r="AP1032" s="78" t="str">
        <f aca="false">IF(AO1032=1,SUM(AO$7:AO1032),"")</f>
        <v/>
      </c>
    </row>
    <row r="1033" customFormat="false" ht="15" hidden="false" customHeight="false" outlineLevel="0" collapsed="false">
      <c r="A1033" s="78" t="str">
        <f aca="false">IF(E1033="","",ROW()-6)</f>
        <v/>
      </c>
      <c r="B1033" s="79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0"/>
      <c r="P1033" s="81"/>
      <c r="Q1033" s="81"/>
      <c r="R1033" s="80"/>
      <c r="S1033" s="80"/>
      <c r="T1033" s="81"/>
      <c r="U1033" s="80"/>
      <c r="V1033" s="80"/>
      <c r="W1033" s="80"/>
      <c r="X1033" s="80"/>
      <c r="Y1033" s="81"/>
      <c r="Z1033" s="80"/>
      <c r="AA1033" s="80"/>
      <c r="AB1033" s="80"/>
      <c r="AC1033" s="80"/>
      <c r="AD1033" s="81"/>
      <c r="AE1033" s="80"/>
      <c r="AF1033" s="80"/>
      <c r="AG1033" s="81"/>
      <c r="AH1033" s="79"/>
      <c r="AI1033" s="78" t="str">
        <f aca="false">IF(E1033="","",(V1033&lt;&gt;"")+(AA1033&lt;&gt;"")+(AF1033&lt;&gt;""))</f>
        <v/>
      </c>
      <c r="AJ1033" s="82" t="str">
        <f aca="false">IF(AF1033&lt;&gt;"",AF1033,IF(AA1033&lt;&gt;"",AA1033,IF(V1033&lt;&gt;"",V1033,"")))</f>
        <v/>
      </c>
      <c r="AK1033" s="83" t="str">
        <f aca="false">IF(E1033="","",IF(P1033="","À SOUDER",IF(S1033="","VT EN ATTENTE",IF(S1033="R","VT REJETÉ – À REPRENDRE",IF(AJ1033="","À RADIOGRAPHIER",IF(AJ1033="A","ACCEPTÉ",IF(AJ1033="NX","NX – RT À REFAIRE",IF(IF(AI1033=1,X1033,IF(AI1033=2,AC1033,""))="A","RÉPARÉ – À RADIOGRAPHIER",IF(IF(AI1033=1,X1033,IF(AI1033=2,AC1033,""))="R","VT REJETÉ – À REPRENDRE",IF(AJ1033="CO","COUPE – À RESOUDER","À RÉPARER"))))))))))</f>
        <v/>
      </c>
      <c r="AL1033" s="82" t="str">
        <f aca="false">IF(AND(ISNUMBER(P1033),OR(AK1033="À RADIOGRAPHIER",AK1033="RÉPARÉ – À RADIOGRAPHIER",AK1033="NX – RT À REFAIRE",AK1033="À RÉPARER",AK1033="COUPE – À RESOUDER",AK1033="VT REJETÉ – À REPRENDRE")),MAX(0,'PROGRAMME RT'!$C$4-P1033),"")</f>
        <v/>
      </c>
      <c r="AM1033" s="78" t="n">
        <f aca="false">IF(AND(OR(AK1033="À RADIOGRAPHIER",AK1033="RÉPARÉ – À RADIOGRAPHIER",AK1033="NX – RT À REFAIRE"),OR('PROGRAMME RT'!$D$5="TOUTES",B1033='PROGRAMME RT'!$D$5)),1,0)</f>
        <v>0</v>
      </c>
      <c r="AN1033" s="78" t="str">
        <f aca="false">IF(AM1033=1,SUM(AM$7:AM1033),"")</f>
        <v/>
      </c>
      <c r="AO1033" s="78" t="n">
        <f aca="false">IF(AND(OR(AK1033="À RÉPARER",AK1033="COUPE – À RESOUDER",AK1033="VT REJETÉ – À REPRENDRE"),OR(RÉPARATIONS!$D$5="TOUTES",B1033=RÉPARATIONS!$D$5)),1,0)</f>
        <v>0</v>
      </c>
      <c r="AP1033" s="78" t="str">
        <f aca="false">IF(AO1033=1,SUM(AO$7:AO1033),"")</f>
        <v/>
      </c>
    </row>
    <row r="1034" customFormat="false" ht="15" hidden="false" customHeight="false" outlineLevel="0" collapsed="false">
      <c r="A1034" s="78" t="str">
        <f aca="false">IF(E1034="","",ROW()-6)</f>
        <v/>
      </c>
      <c r="B1034" s="79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0"/>
      <c r="P1034" s="81"/>
      <c r="Q1034" s="81"/>
      <c r="R1034" s="80"/>
      <c r="S1034" s="80"/>
      <c r="T1034" s="81"/>
      <c r="U1034" s="80"/>
      <c r="V1034" s="80"/>
      <c r="W1034" s="80"/>
      <c r="X1034" s="80"/>
      <c r="Y1034" s="81"/>
      <c r="Z1034" s="80"/>
      <c r="AA1034" s="80"/>
      <c r="AB1034" s="80"/>
      <c r="AC1034" s="80"/>
      <c r="AD1034" s="81"/>
      <c r="AE1034" s="80"/>
      <c r="AF1034" s="80"/>
      <c r="AG1034" s="81"/>
      <c r="AH1034" s="79"/>
      <c r="AI1034" s="78" t="str">
        <f aca="false">IF(E1034="","",(V1034&lt;&gt;"")+(AA1034&lt;&gt;"")+(AF1034&lt;&gt;""))</f>
        <v/>
      </c>
      <c r="AJ1034" s="82" t="str">
        <f aca="false">IF(AF1034&lt;&gt;"",AF1034,IF(AA1034&lt;&gt;"",AA1034,IF(V1034&lt;&gt;"",V1034,"")))</f>
        <v/>
      </c>
      <c r="AK1034" s="83" t="str">
        <f aca="false">IF(E1034="","",IF(P1034="","À SOUDER",IF(S1034="","VT EN ATTENTE",IF(S1034="R","VT REJETÉ – À REPRENDRE",IF(AJ1034="","À RADIOGRAPHIER",IF(AJ1034="A","ACCEPTÉ",IF(AJ1034="NX","NX – RT À REFAIRE",IF(IF(AI1034=1,X1034,IF(AI1034=2,AC1034,""))="A","RÉPARÉ – À RADIOGRAPHIER",IF(IF(AI1034=1,X1034,IF(AI1034=2,AC1034,""))="R","VT REJETÉ – À REPRENDRE",IF(AJ1034="CO","COUPE – À RESOUDER","À RÉPARER"))))))))))</f>
        <v/>
      </c>
      <c r="AL1034" s="82" t="str">
        <f aca="false">IF(AND(ISNUMBER(P1034),OR(AK1034="À RADIOGRAPHIER",AK1034="RÉPARÉ – À RADIOGRAPHIER",AK1034="NX – RT À REFAIRE",AK1034="À RÉPARER",AK1034="COUPE – À RESOUDER",AK1034="VT REJETÉ – À REPRENDRE")),MAX(0,'PROGRAMME RT'!$C$4-P1034),"")</f>
        <v/>
      </c>
      <c r="AM1034" s="78" t="n">
        <f aca="false">IF(AND(OR(AK1034="À RADIOGRAPHIER",AK1034="RÉPARÉ – À RADIOGRAPHIER",AK1034="NX – RT À REFAIRE"),OR('PROGRAMME RT'!$D$5="TOUTES",B1034='PROGRAMME RT'!$D$5)),1,0)</f>
        <v>0</v>
      </c>
      <c r="AN1034" s="78" t="str">
        <f aca="false">IF(AM1034=1,SUM(AM$7:AM1034),"")</f>
        <v/>
      </c>
      <c r="AO1034" s="78" t="n">
        <f aca="false">IF(AND(OR(AK1034="À RÉPARER",AK1034="COUPE – À RESOUDER",AK1034="VT REJETÉ – À REPRENDRE"),OR(RÉPARATIONS!$D$5="TOUTES",B1034=RÉPARATIONS!$D$5)),1,0)</f>
        <v>0</v>
      </c>
      <c r="AP1034" s="78" t="str">
        <f aca="false">IF(AO1034=1,SUM(AO$7:AO1034),"")</f>
        <v/>
      </c>
    </row>
    <row r="1035" customFormat="false" ht="15" hidden="false" customHeight="false" outlineLevel="0" collapsed="false">
      <c r="A1035" s="78" t="str">
        <f aca="false">IF(E1035="","",ROW()-6)</f>
        <v/>
      </c>
      <c r="B1035" s="79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0"/>
      <c r="P1035" s="81"/>
      <c r="Q1035" s="81"/>
      <c r="R1035" s="80"/>
      <c r="S1035" s="80"/>
      <c r="T1035" s="81"/>
      <c r="U1035" s="80"/>
      <c r="V1035" s="80"/>
      <c r="W1035" s="80"/>
      <c r="X1035" s="80"/>
      <c r="Y1035" s="81"/>
      <c r="Z1035" s="80"/>
      <c r="AA1035" s="80"/>
      <c r="AB1035" s="80"/>
      <c r="AC1035" s="80"/>
      <c r="AD1035" s="81"/>
      <c r="AE1035" s="80"/>
      <c r="AF1035" s="80"/>
      <c r="AG1035" s="81"/>
      <c r="AH1035" s="79"/>
      <c r="AI1035" s="78" t="str">
        <f aca="false">IF(E1035="","",(V1035&lt;&gt;"")+(AA1035&lt;&gt;"")+(AF1035&lt;&gt;""))</f>
        <v/>
      </c>
      <c r="AJ1035" s="82" t="str">
        <f aca="false">IF(AF1035&lt;&gt;"",AF1035,IF(AA1035&lt;&gt;"",AA1035,IF(V1035&lt;&gt;"",V1035,"")))</f>
        <v/>
      </c>
      <c r="AK1035" s="83" t="str">
        <f aca="false">IF(E1035="","",IF(P1035="","À SOUDER",IF(S1035="","VT EN ATTENTE",IF(S1035="R","VT REJETÉ – À REPRENDRE",IF(AJ1035="","À RADIOGRAPHIER",IF(AJ1035="A","ACCEPTÉ",IF(AJ1035="NX","NX – RT À REFAIRE",IF(IF(AI1035=1,X1035,IF(AI1035=2,AC1035,""))="A","RÉPARÉ – À RADIOGRAPHIER",IF(IF(AI1035=1,X1035,IF(AI1035=2,AC1035,""))="R","VT REJETÉ – À REPRENDRE",IF(AJ1035="CO","COUPE – À RESOUDER","À RÉPARER"))))))))))</f>
        <v/>
      </c>
      <c r="AL1035" s="82" t="str">
        <f aca="false">IF(AND(ISNUMBER(P1035),OR(AK1035="À RADIOGRAPHIER",AK1035="RÉPARÉ – À RADIOGRAPHIER",AK1035="NX – RT À REFAIRE",AK1035="À RÉPARER",AK1035="COUPE – À RESOUDER",AK1035="VT REJETÉ – À REPRENDRE")),MAX(0,'PROGRAMME RT'!$C$4-P1035),"")</f>
        <v/>
      </c>
      <c r="AM1035" s="78" t="n">
        <f aca="false">IF(AND(OR(AK1035="À RADIOGRAPHIER",AK1035="RÉPARÉ – À RADIOGRAPHIER",AK1035="NX – RT À REFAIRE"),OR('PROGRAMME RT'!$D$5="TOUTES",B1035='PROGRAMME RT'!$D$5)),1,0)</f>
        <v>0</v>
      </c>
      <c r="AN1035" s="78" t="str">
        <f aca="false">IF(AM1035=1,SUM(AM$7:AM1035),"")</f>
        <v/>
      </c>
      <c r="AO1035" s="78" t="n">
        <f aca="false">IF(AND(OR(AK1035="À RÉPARER",AK1035="COUPE – À RESOUDER",AK1035="VT REJETÉ – À REPRENDRE"),OR(RÉPARATIONS!$D$5="TOUTES",B1035=RÉPARATIONS!$D$5)),1,0)</f>
        <v>0</v>
      </c>
      <c r="AP1035" s="78" t="str">
        <f aca="false">IF(AO1035=1,SUM(AO$7:AO1035),"")</f>
        <v/>
      </c>
    </row>
    <row r="1036" customFormat="false" ht="15" hidden="false" customHeight="false" outlineLevel="0" collapsed="false">
      <c r="A1036" s="78" t="str">
        <f aca="false">IF(E1036="","",ROW()-6)</f>
        <v/>
      </c>
      <c r="B1036" s="79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0"/>
      <c r="P1036" s="81"/>
      <c r="Q1036" s="81"/>
      <c r="R1036" s="80"/>
      <c r="S1036" s="80"/>
      <c r="T1036" s="81"/>
      <c r="U1036" s="80"/>
      <c r="V1036" s="80"/>
      <c r="W1036" s="80"/>
      <c r="X1036" s="80"/>
      <c r="Y1036" s="81"/>
      <c r="Z1036" s="80"/>
      <c r="AA1036" s="80"/>
      <c r="AB1036" s="80"/>
      <c r="AC1036" s="80"/>
      <c r="AD1036" s="81"/>
      <c r="AE1036" s="80"/>
      <c r="AF1036" s="80"/>
      <c r="AG1036" s="81"/>
      <c r="AH1036" s="79"/>
      <c r="AI1036" s="78" t="str">
        <f aca="false">IF(E1036="","",(V1036&lt;&gt;"")+(AA1036&lt;&gt;"")+(AF1036&lt;&gt;""))</f>
        <v/>
      </c>
      <c r="AJ1036" s="82" t="str">
        <f aca="false">IF(AF1036&lt;&gt;"",AF1036,IF(AA1036&lt;&gt;"",AA1036,IF(V1036&lt;&gt;"",V1036,"")))</f>
        <v/>
      </c>
      <c r="AK1036" s="83" t="str">
        <f aca="false">IF(E1036="","",IF(P1036="","À SOUDER",IF(S1036="","VT EN ATTENTE",IF(S1036="R","VT REJETÉ – À REPRENDRE",IF(AJ1036="","À RADIOGRAPHIER",IF(AJ1036="A","ACCEPTÉ",IF(AJ1036="NX","NX – RT À REFAIRE",IF(IF(AI1036=1,X1036,IF(AI1036=2,AC1036,""))="A","RÉPARÉ – À RADIOGRAPHIER",IF(IF(AI1036=1,X1036,IF(AI1036=2,AC1036,""))="R","VT REJETÉ – À REPRENDRE",IF(AJ1036="CO","COUPE – À RESOUDER","À RÉPARER"))))))))))</f>
        <v/>
      </c>
      <c r="AL1036" s="82" t="str">
        <f aca="false">IF(AND(ISNUMBER(P1036),OR(AK1036="À RADIOGRAPHIER",AK1036="RÉPARÉ – À RADIOGRAPHIER",AK1036="NX – RT À REFAIRE",AK1036="À RÉPARER",AK1036="COUPE – À RESOUDER",AK1036="VT REJETÉ – À REPRENDRE")),MAX(0,'PROGRAMME RT'!$C$4-P1036),"")</f>
        <v/>
      </c>
      <c r="AM1036" s="78" t="n">
        <f aca="false">IF(AND(OR(AK1036="À RADIOGRAPHIER",AK1036="RÉPARÉ – À RADIOGRAPHIER",AK1036="NX – RT À REFAIRE"),OR('PROGRAMME RT'!$D$5="TOUTES",B1036='PROGRAMME RT'!$D$5)),1,0)</f>
        <v>0</v>
      </c>
      <c r="AN1036" s="78" t="str">
        <f aca="false">IF(AM1036=1,SUM(AM$7:AM1036),"")</f>
        <v/>
      </c>
      <c r="AO1036" s="78" t="n">
        <f aca="false">IF(AND(OR(AK1036="À RÉPARER",AK1036="COUPE – À RESOUDER",AK1036="VT REJETÉ – À REPRENDRE"),OR(RÉPARATIONS!$D$5="TOUTES",B1036=RÉPARATIONS!$D$5)),1,0)</f>
        <v>0</v>
      </c>
      <c r="AP1036" s="78" t="str">
        <f aca="false">IF(AO1036=1,SUM(AO$7:AO1036),"")</f>
        <v/>
      </c>
    </row>
    <row r="1037" customFormat="false" ht="15" hidden="false" customHeight="false" outlineLevel="0" collapsed="false">
      <c r="A1037" s="78" t="str">
        <f aca="false">IF(E1037="","",ROW()-6)</f>
        <v/>
      </c>
      <c r="B1037" s="79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0"/>
      <c r="P1037" s="81"/>
      <c r="Q1037" s="81"/>
      <c r="R1037" s="80"/>
      <c r="S1037" s="80"/>
      <c r="T1037" s="81"/>
      <c r="U1037" s="80"/>
      <c r="V1037" s="80"/>
      <c r="W1037" s="80"/>
      <c r="X1037" s="80"/>
      <c r="Y1037" s="81"/>
      <c r="Z1037" s="80"/>
      <c r="AA1037" s="80"/>
      <c r="AB1037" s="80"/>
      <c r="AC1037" s="80"/>
      <c r="AD1037" s="81"/>
      <c r="AE1037" s="80"/>
      <c r="AF1037" s="80"/>
      <c r="AG1037" s="81"/>
      <c r="AH1037" s="79"/>
      <c r="AI1037" s="78" t="str">
        <f aca="false">IF(E1037="","",(V1037&lt;&gt;"")+(AA1037&lt;&gt;"")+(AF1037&lt;&gt;""))</f>
        <v/>
      </c>
      <c r="AJ1037" s="82" t="str">
        <f aca="false">IF(AF1037&lt;&gt;"",AF1037,IF(AA1037&lt;&gt;"",AA1037,IF(V1037&lt;&gt;"",V1037,"")))</f>
        <v/>
      </c>
      <c r="AK1037" s="83" t="str">
        <f aca="false">IF(E1037="","",IF(P1037="","À SOUDER",IF(S1037="","VT EN ATTENTE",IF(S1037="R","VT REJETÉ – À REPRENDRE",IF(AJ1037="","À RADIOGRAPHIER",IF(AJ1037="A","ACCEPTÉ",IF(AJ1037="NX","NX – RT À REFAIRE",IF(IF(AI1037=1,X1037,IF(AI1037=2,AC1037,""))="A","RÉPARÉ – À RADIOGRAPHIER",IF(IF(AI1037=1,X1037,IF(AI1037=2,AC1037,""))="R","VT REJETÉ – À REPRENDRE",IF(AJ1037="CO","COUPE – À RESOUDER","À RÉPARER"))))))))))</f>
        <v/>
      </c>
      <c r="AL1037" s="82" t="str">
        <f aca="false">IF(AND(ISNUMBER(P1037),OR(AK1037="À RADIOGRAPHIER",AK1037="RÉPARÉ – À RADIOGRAPHIER",AK1037="NX – RT À REFAIRE",AK1037="À RÉPARER",AK1037="COUPE – À RESOUDER",AK1037="VT REJETÉ – À REPRENDRE")),MAX(0,'PROGRAMME RT'!$C$4-P1037),"")</f>
        <v/>
      </c>
      <c r="AM1037" s="78" t="n">
        <f aca="false">IF(AND(OR(AK1037="À RADIOGRAPHIER",AK1037="RÉPARÉ – À RADIOGRAPHIER",AK1037="NX – RT À REFAIRE"),OR('PROGRAMME RT'!$D$5="TOUTES",B1037='PROGRAMME RT'!$D$5)),1,0)</f>
        <v>0</v>
      </c>
      <c r="AN1037" s="78" t="str">
        <f aca="false">IF(AM1037=1,SUM(AM$7:AM1037),"")</f>
        <v/>
      </c>
      <c r="AO1037" s="78" t="n">
        <f aca="false">IF(AND(OR(AK1037="À RÉPARER",AK1037="COUPE – À RESOUDER",AK1037="VT REJETÉ – À REPRENDRE"),OR(RÉPARATIONS!$D$5="TOUTES",B1037=RÉPARATIONS!$D$5)),1,0)</f>
        <v>0</v>
      </c>
      <c r="AP1037" s="78" t="str">
        <f aca="false">IF(AO1037=1,SUM(AO$7:AO1037),"")</f>
        <v/>
      </c>
    </row>
    <row r="1038" customFormat="false" ht="15" hidden="false" customHeight="false" outlineLevel="0" collapsed="false">
      <c r="A1038" s="78" t="str">
        <f aca="false">IF(E1038="","",ROW()-6)</f>
        <v/>
      </c>
      <c r="B1038" s="79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0"/>
      <c r="P1038" s="81"/>
      <c r="Q1038" s="81"/>
      <c r="R1038" s="80"/>
      <c r="S1038" s="80"/>
      <c r="T1038" s="81"/>
      <c r="U1038" s="80"/>
      <c r="V1038" s="80"/>
      <c r="W1038" s="80"/>
      <c r="X1038" s="80"/>
      <c r="Y1038" s="81"/>
      <c r="Z1038" s="80"/>
      <c r="AA1038" s="80"/>
      <c r="AB1038" s="80"/>
      <c r="AC1038" s="80"/>
      <c r="AD1038" s="81"/>
      <c r="AE1038" s="80"/>
      <c r="AF1038" s="80"/>
      <c r="AG1038" s="81"/>
      <c r="AH1038" s="79"/>
      <c r="AI1038" s="78" t="str">
        <f aca="false">IF(E1038="","",(V1038&lt;&gt;"")+(AA1038&lt;&gt;"")+(AF1038&lt;&gt;""))</f>
        <v/>
      </c>
      <c r="AJ1038" s="82" t="str">
        <f aca="false">IF(AF1038&lt;&gt;"",AF1038,IF(AA1038&lt;&gt;"",AA1038,IF(V1038&lt;&gt;"",V1038,"")))</f>
        <v/>
      </c>
      <c r="AK1038" s="83" t="str">
        <f aca="false">IF(E1038="","",IF(P1038="","À SOUDER",IF(S1038="","VT EN ATTENTE",IF(S1038="R","VT REJETÉ – À REPRENDRE",IF(AJ1038="","À RADIOGRAPHIER",IF(AJ1038="A","ACCEPTÉ",IF(AJ1038="NX","NX – RT À REFAIRE",IF(IF(AI1038=1,X1038,IF(AI1038=2,AC1038,""))="A","RÉPARÉ – À RADIOGRAPHIER",IF(IF(AI1038=1,X1038,IF(AI1038=2,AC1038,""))="R","VT REJETÉ – À REPRENDRE",IF(AJ1038="CO","COUPE – À RESOUDER","À RÉPARER"))))))))))</f>
        <v/>
      </c>
      <c r="AL1038" s="82" t="str">
        <f aca="false">IF(AND(ISNUMBER(P1038),OR(AK1038="À RADIOGRAPHIER",AK1038="RÉPARÉ – À RADIOGRAPHIER",AK1038="NX – RT À REFAIRE",AK1038="À RÉPARER",AK1038="COUPE – À RESOUDER",AK1038="VT REJETÉ – À REPRENDRE")),MAX(0,'PROGRAMME RT'!$C$4-P1038),"")</f>
        <v/>
      </c>
      <c r="AM1038" s="78" t="n">
        <f aca="false">IF(AND(OR(AK1038="À RADIOGRAPHIER",AK1038="RÉPARÉ – À RADIOGRAPHIER",AK1038="NX – RT À REFAIRE"),OR('PROGRAMME RT'!$D$5="TOUTES",B1038='PROGRAMME RT'!$D$5)),1,0)</f>
        <v>0</v>
      </c>
      <c r="AN1038" s="78" t="str">
        <f aca="false">IF(AM1038=1,SUM(AM$7:AM1038),"")</f>
        <v/>
      </c>
      <c r="AO1038" s="78" t="n">
        <f aca="false">IF(AND(OR(AK1038="À RÉPARER",AK1038="COUPE – À RESOUDER",AK1038="VT REJETÉ – À REPRENDRE"),OR(RÉPARATIONS!$D$5="TOUTES",B1038=RÉPARATIONS!$D$5)),1,0)</f>
        <v>0</v>
      </c>
      <c r="AP1038" s="78" t="str">
        <f aca="false">IF(AO1038=1,SUM(AO$7:AO1038),"")</f>
        <v/>
      </c>
    </row>
    <row r="1039" customFormat="false" ht="15" hidden="false" customHeight="false" outlineLevel="0" collapsed="false">
      <c r="A1039" s="78" t="str">
        <f aca="false">IF(E1039="","",ROW()-6)</f>
        <v/>
      </c>
      <c r="B1039" s="79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0"/>
      <c r="P1039" s="81"/>
      <c r="Q1039" s="81"/>
      <c r="R1039" s="80"/>
      <c r="S1039" s="80"/>
      <c r="T1039" s="81"/>
      <c r="U1039" s="80"/>
      <c r="V1039" s="80"/>
      <c r="W1039" s="80"/>
      <c r="X1039" s="80"/>
      <c r="Y1039" s="81"/>
      <c r="Z1039" s="80"/>
      <c r="AA1039" s="80"/>
      <c r="AB1039" s="80"/>
      <c r="AC1039" s="80"/>
      <c r="AD1039" s="81"/>
      <c r="AE1039" s="80"/>
      <c r="AF1039" s="80"/>
      <c r="AG1039" s="81"/>
      <c r="AH1039" s="79"/>
      <c r="AI1039" s="78" t="str">
        <f aca="false">IF(E1039="","",(V1039&lt;&gt;"")+(AA1039&lt;&gt;"")+(AF1039&lt;&gt;""))</f>
        <v/>
      </c>
      <c r="AJ1039" s="82" t="str">
        <f aca="false">IF(AF1039&lt;&gt;"",AF1039,IF(AA1039&lt;&gt;"",AA1039,IF(V1039&lt;&gt;"",V1039,"")))</f>
        <v/>
      </c>
      <c r="AK1039" s="83" t="str">
        <f aca="false">IF(E1039="","",IF(P1039="","À SOUDER",IF(S1039="","VT EN ATTENTE",IF(S1039="R","VT REJETÉ – À REPRENDRE",IF(AJ1039="","À RADIOGRAPHIER",IF(AJ1039="A","ACCEPTÉ",IF(AJ1039="NX","NX – RT À REFAIRE",IF(IF(AI1039=1,X1039,IF(AI1039=2,AC1039,""))="A","RÉPARÉ – À RADIOGRAPHIER",IF(IF(AI1039=1,X1039,IF(AI1039=2,AC1039,""))="R","VT REJETÉ – À REPRENDRE",IF(AJ1039="CO","COUPE – À RESOUDER","À RÉPARER"))))))))))</f>
        <v/>
      </c>
      <c r="AL1039" s="82" t="str">
        <f aca="false">IF(AND(ISNUMBER(P1039),OR(AK1039="À RADIOGRAPHIER",AK1039="RÉPARÉ – À RADIOGRAPHIER",AK1039="NX – RT À REFAIRE",AK1039="À RÉPARER",AK1039="COUPE – À RESOUDER",AK1039="VT REJETÉ – À REPRENDRE")),MAX(0,'PROGRAMME RT'!$C$4-P1039),"")</f>
        <v/>
      </c>
      <c r="AM1039" s="78" t="n">
        <f aca="false">IF(AND(OR(AK1039="À RADIOGRAPHIER",AK1039="RÉPARÉ – À RADIOGRAPHIER",AK1039="NX – RT À REFAIRE"),OR('PROGRAMME RT'!$D$5="TOUTES",B1039='PROGRAMME RT'!$D$5)),1,0)</f>
        <v>0</v>
      </c>
      <c r="AN1039" s="78" t="str">
        <f aca="false">IF(AM1039=1,SUM(AM$7:AM1039),"")</f>
        <v/>
      </c>
      <c r="AO1039" s="78" t="n">
        <f aca="false">IF(AND(OR(AK1039="À RÉPARER",AK1039="COUPE – À RESOUDER",AK1039="VT REJETÉ – À REPRENDRE"),OR(RÉPARATIONS!$D$5="TOUTES",B1039=RÉPARATIONS!$D$5)),1,0)</f>
        <v>0</v>
      </c>
      <c r="AP1039" s="78" t="str">
        <f aca="false">IF(AO1039=1,SUM(AO$7:AO1039),"")</f>
        <v/>
      </c>
    </row>
    <row r="1040" customFormat="false" ht="15" hidden="false" customHeight="false" outlineLevel="0" collapsed="false">
      <c r="A1040" s="78" t="str">
        <f aca="false">IF(E1040="","",ROW()-6)</f>
        <v/>
      </c>
      <c r="B1040" s="79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0"/>
      <c r="P1040" s="81"/>
      <c r="Q1040" s="81"/>
      <c r="R1040" s="80"/>
      <c r="S1040" s="80"/>
      <c r="T1040" s="81"/>
      <c r="U1040" s="80"/>
      <c r="V1040" s="80"/>
      <c r="W1040" s="80"/>
      <c r="X1040" s="80"/>
      <c r="Y1040" s="81"/>
      <c r="Z1040" s="80"/>
      <c r="AA1040" s="80"/>
      <c r="AB1040" s="80"/>
      <c r="AC1040" s="80"/>
      <c r="AD1040" s="81"/>
      <c r="AE1040" s="80"/>
      <c r="AF1040" s="80"/>
      <c r="AG1040" s="81"/>
      <c r="AH1040" s="79"/>
      <c r="AI1040" s="78" t="str">
        <f aca="false">IF(E1040="","",(V1040&lt;&gt;"")+(AA1040&lt;&gt;"")+(AF1040&lt;&gt;""))</f>
        <v/>
      </c>
      <c r="AJ1040" s="82" t="str">
        <f aca="false">IF(AF1040&lt;&gt;"",AF1040,IF(AA1040&lt;&gt;"",AA1040,IF(V1040&lt;&gt;"",V1040,"")))</f>
        <v/>
      </c>
      <c r="AK1040" s="83" t="str">
        <f aca="false">IF(E1040="","",IF(P1040="","À SOUDER",IF(S1040="","VT EN ATTENTE",IF(S1040="R","VT REJETÉ – À REPRENDRE",IF(AJ1040="","À RADIOGRAPHIER",IF(AJ1040="A","ACCEPTÉ",IF(AJ1040="NX","NX – RT À REFAIRE",IF(IF(AI1040=1,X1040,IF(AI1040=2,AC1040,""))="A","RÉPARÉ – À RADIOGRAPHIER",IF(IF(AI1040=1,X1040,IF(AI1040=2,AC1040,""))="R","VT REJETÉ – À REPRENDRE",IF(AJ1040="CO","COUPE – À RESOUDER","À RÉPARER"))))))))))</f>
        <v/>
      </c>
      <c r="AL1040" s="82" t="str">
        <f aca="false">IF(AND(ISNUMBER(P1040),OR(AK1040="À RADIOGRAPHIER",AK1040="RÉPARÉ – À RADIOGRAPHIER",AK1040="NX – RT À REFAIRE",AK1040="À RÉPARER",AK1040="COUPE – À RESOUDER",AK1040="VT REJETÉ – À REPRENDRE")),MAX(0,'PROGRAMME RT'!$C$4-P1040),"")</f>
        <v/>
      </c>
      <c r="AM1040" s="78" t="n">
        <f aca="false">IF(AND(OR(AK1040="À RADIOGRAPHIER",AK1040="RÉPARÉ – À RADIOGRAPHIER",AK1040="NX – RT À REFAIRE"),OR('PROGRAMME RT'!$D$5="TOUTES",B1040='PROGRAMME RT'!$D$5)),1,0)</f>
        <v>0</v>
      </c>
      <c r="AN1040" s="78" t="str">
        <f aca="false">IF(AM1040=1,SUM(AM$7:AM1040),"")</f>
        <v/>
      </c>
      <c r="AO1040" s="78" t="n">
        <f aca="false">IF(AND(OR(AK1040="À RÉPARER",AK1040="COUPE – À RESOUDER",AK1040="VT REJETÉ – À REPRENDRE"),OR(RÉPARATIONS!$D$5="TOUTES",B1040=RÉPARATIONS!$D$5)),1,0)</f>
        <v>0</v>
      </c>
      <c r="AP1040" s="78" t="str">
        <f aca="false">IF(AO1040=1,SUM(AO$7:AO1040),"")</f>
        <v/>
      </c>
    </row>
    <row r="1041" customFormat="false" ht="15" hidden="false" customHeight="false" outlineLevel="0" collapsed="false">
      <c r="A1041" s="78" t="str">
        <f aca="false">IF(E1041="","",ROW()-6)</f>
        <v/>
      </c>
      <c r="B1041" s="79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0"/>
      <c r="P1041" s="81"/>
      <c r="Q1041" s="81"/>
      <c r="R1041" s="80"/>
      <c r="S1041" s="80"/>
      <c r="T1041" s="81"/>
      <c r="U1041" s="80"/>
      <c r="V1041" s="80"/>
      <c r="W1041" s="80"/>
      <c r="X1041" s="80"/>
      <c r="Y1041" s="81"/>
      <c r="Z1041" s="80"/>
      <c r="AA1041" s="80"/>
      <c r="AB1041" s="80"/>
      <c r="AC1041" s="80"/>
      <c r="AD1041" s="81"/>
      <c r="AE1041" s="80"/>
      <c r="AF1041" s="80"/>
      <c r="AG1041" s="81"/>
      <c r="AH1041" s="79"/>
      <c r="AI1041" s="78" t="str">
        <f aca="false">IF(E1041="","",(V1041&lt;&gt;"")+(AA1041&lt;&gt;"")+(AF1041&lt;&gt;""))</f>
        <v/>
      </c>
      <c r="AJ1041" s="82" t="str">
        <f aca="false">IF(AF1041&lt;&gt;"",AF1041,IF(AA1041&lt;&gt;"",AA1041,IF(V1041&lt;&gt;"",V1041,"")))</f>
        <v/>
      </c>
      <c r="AK1041" s="83" t="str">
        <f aca="false">IF(E1041="","",IF(P1041="","À SOUDER",IF(S1041="","VT EN ATTENTE",IF(S1041="R","VT REJETÉ – À REPRENDRE",IF(AJ1041="","À RADIOGRAPHIER",IF(AJ1041="A","ACCEPTÉ",IF(AJ1041="NX","NX – RT À REFAIRE",IF(IF(AI1041=1,X1041,IF(AI1041=2,AC1041,""))="A","RÉPARÉ – À RADIOGRAPHIER",IF(IF(AI1041=1,X1041,IF(AI1041=2,AC1041,""))="R","VT REJETÉ – À REPRENDRE",IF(AJ1041="CO","COUPE – À RESOUDER","À RÉPARER"))))))))))</f>
        <v/>
      </c>
      <c r="AL1041" s="82" t="str">
        <f aca="false">IF(AND(ISNUMBER(P1041),OR(AK1041="À RADIOGRAPHIER",AK1041="RÉPARÉ – À RADIOGRAPHIER",AK1041="NX – RT À REFAIRE",AK1041="À RÉPARER",AK1041="COUPE – À RESOUDER",AK1041="VT REJETÉ – À REPRENDRE")),MAX(0,'PROGRAMME RT'!$C$4-P1041),"")</f>
        <v/>
      </c>
      <c r="AM1041" s="78" t="n">
        <f aca="false">IF(AND(OR(AK1041="À RADIOGRAPHIER",AK1041="RÉPARÉ – À RADIOGRAPHIER",AK1041="NX – RT À REFAIRE"),OR('PROGRAMME RT'!$D$5="TOUTES",B1041='PROGRAMME RT'!$D$5)),1,0)</f>
        <v>0</v>
      </c>
      <c r="AN1041" s="78" t="str">
        <f aca="false">IF(AM1041=1,SUM(AM$7:AM1041),"")</f>
        <v/>
      </c>
      <c r="AO1041" s="78" t="n">
        <f aca="false">IF(AND(OR(AK1041="À RÉPARER",AK1041="COUPE – À RESOUDER",AK1041="VT REJETÉ – À REPRENDRE"),OR(RÉPARATIONS!$D$5="TOUTES",B1041=RÉPARATIONS!$D$5)),1,0)</f>
        <v>0</v>
      </c>
      <c r="AP1041" s="78" t="str">
        <f aca="false">IF(AO1041=1,SUM(AO$7:AO1041),"")</f>
        <v/>
      </c>
    </row>
    <row r="1042" customFormat="false" ht="15" hidden="false" customHeight="false" outlineLevel="0" collapsed="false">
      <c r="A1042" s="78" t="str">
        <f aca="false">IF(E1042="","",ROW()-6)</f>
        <v/>
      </c>
      <c r="B1042" s="79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0"/>
      <c r="P1042" s="81"/>
      <c r="Q1042" s="81"/>
      <c r="R1042" s="80"/>
      <c r="S1042" s="80"/>
      <c r="T1042" s="81"/>
      <c r="U1042" s="80"/>
      <c r="V1042" s="80"/>
      <c r="W1042" s="80"/>
      <c r="X1042" s="80"/>
      <c r="Y1042" s="81"/>
      <c r="Z1042" s="80"/>
      <c r="AA1042" s="80"/>
      <c r="AB1042" s="80"/>
      <c r="AC1042" s="80"/>
      <c r="AD1042" s="81"/>
      <c r="AE1042" s="80"/>
      <c r="AF1042" s="80"/>
      <c r="AG1042" s="81"/>
      <c r="AH1042" s="79"/>
      <c r="AI1042" s="78" t="str">
        <f aca="false">IF(E1042="","",(V1042&lt;&gt;"")+(AA1042&lt;&gt;"")+(AF1042&lt;&gt;""))</f>
        <v/>
      </c>
      <c r="AJ1042" s="82" t="str">
        <f aca="false">IF(AF1042&lt;&gt;"",AF1042,IF(AA1042&lt;&gt;"",AA1042,IF(V1042&lt;&gt;"",V1042,"")))</f>
        <v/>
      </c>
      <c r="AK1042" s="83" t="str">
        <f aca="false">IF(E1042="","",IF(P1042="","À SOUDER",IF(S1042="","VT EN ATTENTE",IF(S1042="R","VT REJETÉ – À REPRENDRE",IF(AJ1042="","À RADIOGRAPHIER",IF(AJ1042="A","ACCEPTÉ",IF(AJ1042="NX","NX – RT À REFAIRE",IF(IF(AI1042=1,X1042,IF(AI1042=2,AC1042,""))="A","RÉPARÉ – À RADIOGRAPHIER",IF(IF(AI1042=1,X1042,IF(AI1042=2,AC1042,""))="R","VT REJETÉ – À REPRENDRE",IF(AJ1042="CO","COUPE – À RESOUDER","À RÉPARER"))))))))))</f>
        <v/>
      </c>
      <c r="AL1042" s="82" t="str">
        <f aca="false">IF(AND(ISNUMBER(P1042),OR(AK1042="À RADIOGRAPHIER",AK1042="RÉPARÉ – À RADIOGRAPHIER",AK1042="NX – RT À REFAIRE",AK1042="À RÉPARER",AK1042="COUPE – À RESOUDER",AK1042="VT REJETÉ – À REPRENDRE")),MAX(0,'PROGRAMME RT'!$C$4-P1042),"")</f>
        <v/>
      </c>
      <c r="AM1042" s="78" t="n">
        <f aca="false">IF(AND(OR(AK1042="À RADIOGRAPHIER",AK1042="RÉPARÉ – À RADIOGRAPHIER",AK1042="NX – RT À REFAIRE"),OR('PROGRAMME RT'!$D$5="TOUTES",B1042='PROGRAMME RT'!$D$5)),1,0)</f>
        <v>0</v>
      </c>
      <c r="AN1042" s="78" t="str">
        <f aca="false">IF(AM1042=1,SUM(AM$7:AM1042),"")</f>
        <v/>
      </c>
      <c r="AO1042" s="78" t="n">
        <f aca="false">IF(AND(OR(AK1042="À RÉPARER",AK1042="COUPE – À RESOUDER",AK1042="VT REJETÉ – À REPRENDRE"),OR(RÉPARATIONS!$D$5="TOUTES",B1042=RÉPARATIONS!$D$5)),1,0)</f>
        <v>0</v>
      </c>
      <c r="AP1042" s="78" t="str">
        <f aca="false">IF(AO1042=1,SUM(AO$7:AO1042),"")</f>
        <v/>
      </c>
    </row>
    <row r="1043" customFormat="false" ht="15" hidden="false" customHeight="false" outlineLevel="0" collapsed="false">
      <c r="A1043" s="78" t="str">
        <f aca="false">IF(E1043="","",ROW()-6)</f>
        <v/>
      </c>
      <c r="B1043" s="79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0"/>
      <c r="P1043" s="81"/>
      <c r="Q1043" s="81"/>
      <c r="R1043" s="80"/>
      <c r="S1043" s="80"/>
      <c r="T1043" s="81"/>
      <c r="U1043" s="80"/>
      <c r="V1043" s="80"/>
      <c r="W1043" s="80"/>
      <c r="X1043" s="80"/>
      <c r="Y1043" s="81"/>
      <c r="Z1043" s="80"/>
      <c r="AA1043" s="80"/>
      <c r="AB1043" s="80"/>
      <c r="AC1043" s="80"/>
      <c r="AD1043" s="81"/>
      <c r="AE1043" s="80"/>
      <c r="AF1043" s="80"/>
      <c r="AG1043" s="81"/>
      <c r="AH1043" s="79"/>
      <c r="AI1043" s="78" t="str">
        <f aca="false">IF(E1043="","",(V1043&lt;&gt;"")+(AA1043&lt;&gt;"")+(AF1043&lt;&gt;""))</f>
        <v/>
      </c>
      <c r="AJ1043" s="82" t="str">
        <f aca="false">IF(AF1043&lt;&gt;"",AF1043,IF(AA1043&lt;&gt;"",AA1043,IF(V1043&lt;&gt;"",V1043,"")))</f>
        <v/>
      </c>
      <c r="AK1043" s="83" t="str">
        <f aca="false">IF(E1043="","",IF(P1043="","À SOUDER",IF(S1043="","VT EN ATTENTE",IF(S1043="R","VT REJETÉ – À REPRENDRE",IF(AJ1043="","À RADIOGRAPHIER",IF(AJ1043="A","ACCEPTÉ",IF(AJ1043="NX","NX – RT À REFAIRE",IF(IF(AI1043=1,X1043,IF(AI1043=2,AC1043,""))="A","RÉPARÉ – À RADIOGRAPHIER",IF(IF(AI1043=1,X1043,IF(AI1043=2,AC1043,""))="R","VT REJETÉ – À REPRENDRE",IF(AJ1043="CO","COUPE – À RESOUDER","À RÉPARER"))))))))))</f>
        <v/>
      </c>
      <c r="AL1043" s="82" t="str">
        <f aca="false">IF(AND(ISNUMBER(P1043),OR(AK1043="À RADIOGRAPHIER",AK1043="RÉPARÉ – À RADIOGRAPHIER",AK1043="NX – RT À REFAIRE",AK1043="À RÉPARER",AK1043="COUPE – À RESOUDER",AK1043="VT REJETÉ – À REPRENDRE")),MAX(0,'PROGRAMME RT'!$C$4-P1043),"")</f>
        <v/>
      </c>
      <c r="AM1043" s="78" t="n">
        <f aca="false">IF(AND(OR(AK1043="À RADIOGRAPHIER",AK1043="RÉPARÉ – À RADIOGRAPHIER",AK1043="NX – RT À REFAIRE"),OR('PROGRAMME RT'!$D$5="TOUTES",B1043='PROGRAMME RT'!$D$5)),1,0)</f>
        <v>0</v>
      </c>
      <c r="AN1043" s="78" t="str">
        <f aca="false">IF(AM1043=1,SUM(AM$7:AM1043),"")</f>
        <v/>
      </c>
      <c r="AO1043" s="78" t="n">
        <f aca="false">IF(AND(OR(AK1043="À RÉPARER",AK1043="COUPE – À RESOUDER",AK1043="VT REJETÉ – À REPRENDRE"),OR(RÉPARATIONS!$D$5="TOUTES",B1043=RÉPARATIONS!$D$5)),1,0)</f>
        <v>0</v>
      </c>
      <c r="AP1043" s="78" t="str">
        <f aca="false">IF(AO1043=1,SUM(AO$7:AO1043),"")</f>
        <v/>
      </c>
    </row>
    <row r="1044" customFormat="false" ht="15" hidden="false" customHeight="false" outlineLevel="0" collapsed="false">
      <c r="A1044" s="78" t="str">
        <f aca="false">IF(E1044="","",ROW()-6)</f>
        <v/>
      </c>
      <c r="B1044" s="79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0"/>
      <c r="P1044" s="81"/>
      <c r="Q1044" s="81"/>
      <c r="R1044" s="80"/>
      <c r="S1044" s="80"/>
      <c r="T1044" s="81"/>
      <c r="U1044" s="80"/>
      <c r="V1044" s="80"/>
      <c r="W1044" s="80"/>
      <c r="X1044" s="80"/>
      <c r="Y1044" s="81"/>
      <c r="Z1044" s="80"/>
      <c r="AA1044" s="80"/>
      <c r="AB1044" s="80"/>
      <c r="AC1044" s="80"/>
      <c r="AD1044" s="81"/>
      <c r="AE1044" s="80"/>
      <c r="AF1044" s="80"/>
      <c r="AG1044" s="81"/>
      <c r="AH1044" s="79"/>
      <c r="AI1044" s="78" t="str">
        <f aca="false">IF(E1044="","",(V1044&lt;&gt;"")+(AA1044&lt;&gt;"")+(AF1044&lt;&gt;""))</f>
        <v/>
      </c>
      <c r="AJ1044" s="82" t="str">
        <f aca="false">IF(AF1044&lt;&gt;"",AF1044,IF(AA1044&lt;&gt;"",AA1044,IF(V1044&lt;&gt;"",V1044,"")))</f>
        <v/>
      </c>
      <c r="AK1044" s="83" t="str">
        <f aca="false">IF(E1044="","",IF(P1044="","À SOUDER",IF(S1044="","VT EN ATTENTE",IF(S1044="R","VT REJETÉ – À REPRENDRE",IF(AJ1044="","À RADIOGRAPHIER",IF(AJ1044="A","ACCEPTÉ",IF(AJ1044="NX","NX – RT À REFAIRE",IF(IF(AI1044=1,X1044,IF(AI1044=2,AC1044,""))="A","RÉPARÉ – À RADIOGRAPHIER",IF(IF(AI1044=1,X1044,IF(AI1044=2,AC1044,""))="R","VT REJETÉ – À REPRENDRE",IF(AJ1044="CO","COUPE – À RESOUDER","À RÉPARER"))))))))))</f>
        <v/>
      </c>
      <c r="AL1044" s="82" t="str">
        <f aca="false">IF(AND(ISNUMBER(P1044),OR(AK1044="À RADIOGRAPHIER",AK1044="RÉPARÉ – À RADIOGRAPHIER",AK1044="NX – RT À REFAIRE",AK1044="À RÉPARER",AK1044="COUPE – À RESOUDER",AK1044="VT REJETÉ – À REPRENDRE")),MAX(0,'PROGRAMME RT'!$C$4-P1044),"")</f>
        <v/>
      </c>
      <c r="AM1044" s="78" t="n">
        <f aca="false">IF(AND(OR(AK1044="À RADIOGRAPHIER",AK1044="RÉPARÉ – À RADIOGRAPHIER",AK1044="NX – RT À REFAIRE"),OR('PROGRAMME RT'!$D$5="TOUTES",B1044='PROGRAMME RT'!$D$5)),1,0)</f>
        <v>0</v>
      </c>
      <c r="AN1044" s="78" t="str">
        <f aca="false">IF(AM1044=1,SUM(AM$7:AM1044),"")</f>
        <v/>
      </c>
      <c r="AO1044" s="78" t="n">
        <f aca="false">IF(AND(OR(AK1044="À RÉPARER",AK1044="COUPE – À RESOUDER",AK1044="VT REJETÉ – À REPRENDRE"),OR(RÉPARATIONS!$D$5="TOUTES",B1044=RÉPARATIONS!$D$5)),1,0)</f>
        <v>0</v>
      </c>
      <c r="AP1044" s="78" t="str">
        <f aca="false">IF(AO1044=1,SUM(AO$7:AO1044),"")</f>
        <v/>
      </c>
    </row>
    <row r="1045" customFormat="false" ht="15" hidden="false" customHeight="false" outlineLevel="0" collapsed="false">
      <c r="A1045" s="78" t="str">
        <f aca="false">IF(E1045="","",ROW()-6)</f>
        <v/>
      </c>
      <c r="B1045" s="79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0"/>
      <c r="P1045" s="81"/>
      <c r="Q1045" s="81"/>
      <c r="R1045" s="80"/>
      <c r="S1045" s="80"/>
      <c r="T1045" s="81"/>
      <c r="U1045" s="80"/>
      <c r="V1045" s="80"/>
      <c r="W1045" s="80"/>
      <c r="X1045" s="80"/>
      <c r="Y1045" s="81"/>
      <c r="Z1045" s="80"/>
      <c r="AA1045" s="80"/>
      <c r="AB1045" s="80"/>
      <c r="AC1045" s="80"/>
      <c r="AD1045" s="81"/>
      <c r="AE1045" s="80"/>
      <c r="AF1045" s="80"/>
      <c r="AG1045" s="81"/>
      <c r="AH1045" s="79"/>
      <c r="AI1045" s="78" t="str">
        <f aca="false">IF(E1045="","",(V1045&lt;&gt;"")+(AA1045&lt;&gt;"")+(AF1045&lt;&gt;""))</f>
        <v/>
      </c>
      <c r="AJ1045" s="82" t="str">
        <f aca="false">IF(AF1045&lt;&gt;"",AF1045,IF(AA1045&lt;&gt;"",AA1045,IF(V1045&lt;&gt;"",V1045,"")))</f>
        <v/>
      </c>
      <c r="AK1045" s="83" t="str">
        <f aca="false">IF(E1045="","",IF(P1045="","À SOUDER",IF(S1045="","VT EN ATTENTE",IF(S1045="R","VT REJETÉ – À REPRENDRE",IF(AJ1045="","À RADIOGRAPHIER",IF(AJ1045="A","ACCEPTÉ",IF(AJ1045="NX","NX – RT À REFAIRE",IF(IF(AI1045=1,X1045,IF(AI1045=2,AC1045,""))="A","RÉPARÉ – À RADIOGRAPHIER",IF(IF(AI1045=1,X1045,IF(AI1045=2,AC1045,""))="R","VT REJETÉ – À REPRENDRE",IF(AJ1045="CO","COUPE – À RESOUDER","À RÉPARER"))))))))))</f>
        <v/>
      </c>
      <c r="AL1045" s="82" t="str">
        <f aca="false">IF(AND(ISNUMBER(P1045),OR(AK1045="À RADIOGRAPHIER",AK1045="RÉPARÉ – À RADIOGRAPHIER",AK1045="NX – RT À REFAIRE",AK1045="À RÉPARER",AK1045="COUPE – À RESOUDER",AK1045="VT REJETÉ – À REPRENDRE")),MAX(0,'PROGRAMME RT'!$C$4-P1045),"")</f>
        <v/>
      </c>
      <c r="AM1045" s="78" t="n">
        <f aca="false">IF(AND(OR(AK1045="À RADIOGRAPHIER",AK1045="RÉPARÉ – À RADIOGRAPHIER",AK1045="NX – RT À REFAIRE"),OR('PROGRAMME RT'!$D$5="TOUTES",B1045='PROGRAMME RT'!$D$5)),1,0)</f>
        <v>0</v>
      </c>
      <c r="AN1045" s="78" t="str">
        <f aca="false">IF(AM1045=1,SUM(AM$7:AM1045),"")</f>
        <v/>
      </c>
      <c r="AO1045" s="78" t="n">
        <f aca="false">IF(AND(OR(AK1045="À RÉPARER",AK1045="COUPE – À RESOUDER",AK1045="VT REJETÉ – À REPRENDRE"),OR(RÉPARATIONS!$D$5="TOUTES",B1045=RÉPARATIONS!$D$5)),1,0)</f>
        <v>0</v>
      </c>
      <c r="AP1045" s="78" t="str">
        <f aca="false">IF(AO1045=1,SUM(AO$7:AO1045),"")</f>
        <v/>
      </c>
    </row>
    <row r="1046" customFormat="false" ht="15" hidden="false" customHeight="false" outlineLevel="0" collapsed="false">
      <c r="A1046" s="78" t="str">
        <f aca="false">IF(E1046="","",ROW()-6)</f>
        <v/>
      </c>
      <c r="B1046" s="79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0"/>
      <c r="P1046" s="81"/>
      <c r="Q1046" s="81"/>
      <c r="R1046" s="80"/>
      <c r="S1046" s="80"/>
      <c r="T1046" s="81"/>
      <c r="U1046" s="80"/>
      <c r="V1046" s="80"/>
      <c r="W1046" s="80"/>
      <c r="X1046" s="80"/>
      <c r="Y1046" s="81"/>
      <c r="Z1046" s="80"/>
      <c r="AA1046" s="80"/>
      <c r="AB1046" s="80"/>
      <c r="AC1046" s="80"/>
      <c r="AD1046" s="81"/>
      <c r="AE1046" s="80"/>
      <c r="AF1046" s="80"/>
      <c r="AG1046" s="81"/>
      <c r="AH1046" s="79"/>
      <c r="AI1046" s="78" t="str">
        <f aca="false">IF(E1046="","",(V1046&lt;&gt;"")+(AA1046&lt;&gt;"")+(AF1046&lt;&gt;""))</f>
        <v/>
      </c>
      <c r="AJ1046" s="82" t="str">
        <f aca="false">IF(AF1046&lt;&gt;"",AF1046,IF(AA1046&lt;&gt;"",AA1046,IF(V1046&lt;&gt;"",V1046,"")))</f>
        <v/>
      </c>
      <c r="AK1046" s="83" t="str">
        <f aca="false">IF(E1046="","",IF(P1046="","À SOUDER",IF(S1046="","VT EN ATTENTE",IF(S1046="R","VT REJETÉ – À REPRENDRE",IF(AJ1046="","À RADIOGRAPHIER",IF(AJ1046="A","ACCEPTÉ",IF(AJ1046="NX","NX – RT À REFAIRE",IF(IF(AI1046=1,X1046,IF(AI1046=2,AC1046,""))="A","RÉPARÉ – À RADIOGRAPHIER",IF(IF(AI1046=1,X1046,IF(AI1046=2,AC1046,""))="R","VT REJETÉ – À REPRENDRE",IF(AJ1046="CO","COUPE – À RESOUDER","À RÉPARER"))))))))))</f>
        <v/>
      </c>
      <c r="AL1046" s="82" t="str">
        <f aca="false">IF(AND(ISNUMBER(P1046),OR(AK1046="À RADIOGRAPHIER",AK1046="RÉPARÉ – À RADIOGRAPHIER",AK1046="NX – RT À REFAIRE",AK1046="À RÉPARER",AK1046="COUPE – À RESOUDER",AK1046="VT REJETÉ – À REPRENDRE")),MAX(0,'PROGRAMME RT'!$C$4-P1046),"")</f>
        <v/>
      </c>
      <c r="AM1046" s="78" t="n">
        <f aca="false">IF(AND(OR(AK1046="À RADIOGRAPHIER",AK1046="RÉPARÉ – À RADIOGRAPHIER",AK1046="NX – RT À REFAIRE"),OR('PROGRAMME RT'!$D$5="TOUTES",B1046='PROGRAMME RT'!$D$5)),1,0)</f>
        <v>0</v>
      </c>
      <c r="AN1046" s="78" t="str">
        <f aca="false">IF(AM1046=1,SUM(AM$7:AM1046),"")</f>
        <v/>
      </c>
      <c r="AO1046" s="78" t="n">
        <f aca="false">IF(AND(OR(AK1046="À RÉPARER",AK1046="COUPE – À RESOUDER",AK1046="VT REJETÉ – À REPRENDRE"),OR(RÉPARATIONS!$D$5="TOUTES",B1046=RÉPARATIONS!$D$5)),1,0)</f>
        <v>0</v>
      </c>
      <c r="AP1046" s="78" t="str">
        <f aca="false">IF(AO1046=1,SUM(AO$7:AO1046),"")</f>
        <v/>
      </c>
    </row>
    <row r="1047" customFormat="false" ht="15" hidden="false" customHeight="false" outlineLevel="0" collapsed="false">
      <c r="A1047" s="78" t="str">
        <f aca="false">IF(E1047="","",ROW()-6)</f>
        <v/>
      </c>
      <c r="B1047" s="79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0"/>
      <c r="P1047" s="81"/>
      <c r="Q1047" s="81"/>
      <c r="R1047" s="80"/>
      <c r="S1047" s="80"/>
      <c r="T1047" s="81"/>
      <c r="U1047" s="80"/>
      <c r="V1047" s="80"/>
      <c r="W1047" s="80"/>
      <c r="X1047" s="80"/>
      <c r="Y1047" s="81"/>
      <c r="Z1047" s="80"/>
      <c r="AA1047" s="80"/>
      <c r="AB1047" s="80"/>
      <c r="AC1047" s="80"/>
      <c r="AD1047" s="81"/>
      <c r="AE1047" s="80"/>
      <c r="AF1047" s="80"/>
      <c r="AG1047" s="81"/>
      <c r="AH1047" s="79"/>
      <c r="AI1047" s="78" t="str">
        <f aca="false">IF(E1047="","",(V1047&lt;&gt;"")+(AA1047&lt;&gt;"")+(AF1047&lt;&gt;""))</f>
        <v/>
      </c>
      <c r="AJ1047" s="82" t="str">
        <f aca="false">IF(AF1047&lt;&gt;"",AF1047,IF(AA1047&lt;&gt;"",AA1047,IF(V1047&lt;&gt;"",V1047,"")))</f>
        <v/>
      </c>
      <c r="AK1047" s="83" t="str">
        <f aca="false">IF(E1047="","",IF(P1047="","À SOUDER",IF(S1047="","VT EN ATTENTE",IF(S1047="R","VT REJETÉ – À REPRENDRE",IF(AJ1047="","À RADIOGRAPHIER",IF(AJ1047="A","ACCEPTÉ",IF(AJ1047="NX","NX – RT À REFAIRE",IF(IF(AI1047=1,X1047,IF(AI1047=2,AC1047,""))="A","RÉPARÉ – À RADIOGRAPHIER",IF(IF(AI1047=1,X1047,IF(AI1047=2,AC1047,""))="R","VT REJETÉ – À REPRENDRE",IF(AJ1047="CO","COUPE – À RESOUDER","À RÉPARER"))))))))))</f>
        <v/>
      </c>
      <c r="AL1047" s="82" t="str">
        <f aca="false">IF(AND(ISNUMBER(P1047),OR(AK1047="À RADIOGRAPHIER",AK1047="RÉPARÉ – À RADIOGRAPHIER",AK1047="NX – RT À REFAIRE",AK1047="À RÉPARER",AK1047="COUPE – À RESOUDER",AK1047="VT REJETÉ – À REPRENDRE")),MAX(0,'PROGRAMME RT'!$C$4-P1047),"")</f>
        <v/>
      </c>
      <c r="AM1047" s="78" t="n">
        <f aca="false">IF(AND(OR(AK1047="À RADIOGRAPHIER",AK1047="RÉPARÉ – À RADIOGRAPHIER",AK1047="NX – RT À REFAIRE"),OR('PROGRAMME RT'!$D$5="TOUTES",B1047='PROGRAMME RT'!$D$5)),1,0)</f>
        <v>0</v>
      </c>
      <c r="AN1047" s="78" t="str">
        <f aca="false">IF(AM1047=1,SUM(AM$7:AM1047),"")</f>
        <v/>
      </c>
      <c r="AO1047" s="78" t="n">
        <f aca="false">IF(AND(OR(AK1047="À RÉPARER",AK1047="COUPE – À RESOUDER",AK1047="VT REJETÉ – À REPRENDRE"),OR(RÉPARATIONS!$D$5="TOUTES",B1047=RÉPARATIONS!$D$5)),1,0)</f>
        <v>0</v>
      </c>
      <c r="AP1047" s="78" t="str">
        <f aca="false">IF(AO1047=1,SUM(AO$7:AO1047),"")</f>
        <v/>
      </c>
    </row>
    <row r="1048" customFormat="false" ht="15" hidden="false" customHeight="false" outlineLevel="0" collapsed="false">
      <c r="A1048" s="78" t="str">
        <f aca="false">IF(E1048="","",ROW()-6)</f>
        <v/>
      </c>
      <c r="B1048" s="79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0"/>
      <c r="P1048" s="81"/>
      <c r="Q1048" s="81"/>
      <c r="R1048" s="80"/>
      <c r="S1048" s="80"/>
      <c r="T1048" s="81"/>
      <c r="U1048" s="80"/>
      <c r="V1048" s="80"/>
      <c r="W1048" s="80"/>
      <c r="X1048" s="80"/>
      <c r="Y1048" s="81"/>
      <c r="Z1048" s="80"/>
      <c r="AA1048" s="80"/>
      <c r="AB1048" s="80"/>
      <c r="AC1048" s="80"/>
      <c r="AD1048" s="81"/>
      <c r="AE1048" s="80"/>
      <c r="AF1048" s="80"/>
      <c r="AG1048" s="81"/>
      <c r="AH1048" s="79"/>
      <c r="AI1048" s="78" t="str">
        <f aca="false">IF(E1048="","",(V1048&lt;&gt;"")+(AA1048&lt;&gt;"")+(AF1048&lt;&gt;""))</f>
        <v/>
      </c>
      <c r="AJ1048" s="82" t="str">
        <f aca="false">IF(AF1048&lt;&gt;"",AF1048,IF(AA1048&lt;&gt;"",AA1048,IF(V1048&lt;&gt;"",V1048,"")))</f>
        <v/>
      </c>
      <c r="AK1048" s="83" t="str">
        <f aca="false">IF(E1048="","",IF(P1048="","À SOUDER",IF(S1048="","VT EN ATTENTE",IF(S1048="R","VT REJETÉ – À REPRENDRE",IF(AJ1048="","À RADIOGRAPHIER",IF(AJ1048="A","ACCEPTÉ",IF(AJ1048="NX","NX – RT À REFAIRE",IF(IF(AI1048=1,X1048,IF(AI1048=2,AC1048,""))="A","RÉPARÉ – À RADIOGRAPHIER",IF(IF(AI1048=1,X1048,IF(AI1048=2,AC1048,""))="R","VT REJETÉ – À REPRENDRE",IF(AJ1048="CO","COUPE – À RESOUDER","À RÉPARER"))))))))))</f>
        <v/>
      </c>
      <c r="AL1048" s="82" t="str">
        <f aca="false">IF(AND(ISNUMBER(P1048),OR(AK1048="À RADIOGRAPHIER",AK1048="RÉPARÉ – À RADIOGRAPHIER",AK1048="NX – RT À REFAIRE",AK1048="À RÉPARER",AK1048="COUPE – À RESOUDER",AK1048="VT REJETÉ – À REPRENDRE")),MAX(0,'PROGRAMME RT'!$C$4-P1048),"")</f>
        <v/>
      </c>
      <c r="AM1048" s="78" t="n">
        <f aca="false">IF(AND(OR(AK1048="À RADIOGRAPHIER",AK1048="RÉPARÉ – À RADIOGRAPHIER",AK1048="NX – RT À REFAIRE"),OR('PROGRAMME RT'!$D$5="TOUTES",B1048='PROGRAMME RT'!$D$5)),1,0)</f>
        <v>0</v>
      </c>
      <c r="AN1048" s="78" t="str">
        <f aca="false">IF(AM1048=1,SUM(AM$7:AM1048),"")</f>
        <v/>
      </c>
      <c r="AO1048" s="78" t="n">
        <f aca="false">IF(AND(OR(AK1048="À RÉPARER",AK1048="COUPE – À RESOUDER",AK1048="VT REJETÉ – À REPRENDRE"),OR(RÉPARATIONS!$D$5="TOUTES",B1048=RÉPARATIONS!$D$5)),1,0)</f>
        <v>0</v>
      </c>
      <c r="AP1048" s="78" t="str">
        <f aca="false">IF(AO1048=1,SUM(AO$7:AO1048),"")</f>
        <v/>
      </c>
    </row>
    <row r="1049" customFormat="false" ht="15" hidden="false" customHeight="false" outlineLevel="0" collapsed="false">
      <c r="A1049" s="78" t="str">
        <f aca="false">IF(E1049="","",ROW()-6)</f>
        <v/>
      </c>
      <c r="B1049" s="79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0"/>
      <c r="P1049" s="81"/>
      <c r="Q1049" s="81"/>
      <c r="R1049" s="80"/>
      <c r="S1049" s="80"/>
      <c r="T1049" s="81"/>
      <c r="U1049" s="80"/>
      <c r="V1049" s="80"/>
      <c r="W1049" s="80"/>
      <c r="X1049" s="80"/>
      <c r="Y1049" s="81"/>
      <c r="Z1049" s="80"/>
      <c r="AA1049" s="80"/>
      <c r="AB1049" s="80"/>
      <c r="AC1049" s="80"/>
      <c r="AD1049" s="81"/>
      <c r="AE1049" s="80"/>
      <c r="AF1049" s="80"/>
      <c r="AG1049" s="81"/>
      <c r="AH1049" s="79"/>
      <c r="AI1049" s="78" t="str">
        <f aca="false">IF(E1049="","",(V1049&lt;&gt;"")+(AA1049&lt;&gt;"")+(AF1049&lt;&gt;""))</f>
        <v/>
      </c>
      <c r="AJ1049" s="82" t="str">
        <f aca="false">IF(AF1049&lt;&gt;"",AF1049,IF(AA1049&lt;&gt;"",AA1049,IF(V1049&lt;&gt;"",V1049,"")))</f>
        <v/>
      </c>
      <c r="AK1049" s="83" t="str">
        <f aca="false">IF(E1049="","",IF(P1049="","À SOUDER",IF(S1049="","VT EN ATTENTE",IF(S1049="R","VT REJETÉ – À REPRENDRE",IF(AJ1049="","À RADIOGRAPHIER",IF(AJ1049="A","ACCEPTÉ",IF(AJ1049="NX","NX – RT À REFAIRE",IF(IF(AI1049=1,X1049,IF(AI1049=2,AC1049,""))="A","RÉPARÉ – À RADIOGRAPHIER",IF(IF(AI1049=1,X1049,IF(AI1049=2,AC1049,""))="R","VT REJETÉ – À REPRENDRE",IF(AJ1049="CO","COUPE – À RESOUDER","À RÉPARER"))))))))))</f>
        <v/>
      </c>
      <c r="AL1049" s="82" t="str">
        <f aca="false">IF(AND(ISNUMBER(P1049),OR(AK1049="À RADIOGRAPHIER",AK1049="RÉPARÉ – À RADIOGRAPHIER",AK1049="NX – RT À REFAIRE",AK1049="À RÉPARER",AK1049="COUPE – À RESOUDER",AK1049="VT REJETÉ – À REPRENDRE")),MAX(0,'PROGRAMME RT'!$C$4-P1049),"")</f>
        <v/>
      </c>
      <c r="AM1049" s="78" t="n">
        <f aca="false">IF(AND(OR(AK1049="À RADIOGRAPHIER",AK1049="RÉPARÉ – À RADIOGRAPHIER",AK1049="NX – RT À REFAIRE"),OR('PROGRAMME RT'!$D$5="TOUTES",B1049='PROGRAMME RT'!$D$5)),1,0)</f>
        <v>0</v>
      </c>
      <c r="AN1049" s="78" t="str">
        <f aca="false">IF(AM1049=1,SUM(AM$7:AM1049),"")</f>
        <v/>
      </c>
      <c r="AO1049" s="78" t="n">
        <f aca="false">IF(AND(OR(AK1049="À RÉPARER",AK1049="COUPE – À RESOUDER",AK1049="VT REJETÉ – À REPRENDRE"),OR(RÉPARATIONS!$D$5="TOUTES",B1049=RÉPARATIONS!$D$5)),1,0)</f>
        <v>0</v>
      </c>
      <c r="AP1049" s="78" t="str">
        <f aca="false">IF(AO1049=1,SUM(AO$7:AO1049),"")</f>
        <v/>
      </c>
    </row>
    <row r="1050" customFormat="false" ht="15" hidden="false" customHeight="false" outlineLevel="0" collapsed="false">
      <c r="A1050" s="78" t="str">
        <f aca="false">IF(E1050="","",ROW()-6)</f>
        <v/>
      </c>
      <c r="B1050" s="79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0"/>
      <c r="P1050" s="81"/>
      <c r="Q1050" s="81"/>
      <c r="R1050" s="80"/>
      <c r="S1050" s="80"/>
      <c r="T1050" s="81"/>
      <c r="U1050" s="80"/>
      <c r="V1050" s="80"/>
      <c r="W1050" s="80"/>
      <c r="X1050" s="80"/>
      <c r="Y1050" s="81"/>
      <c r="Z1050" s="80"/>
      <c r="AA1050" s="80"/>
      <c r="AB1050" s="80"/>
      <c r="AC1050" s="80"/>
      <c r="AD1050" s="81"/>
      <c r="AE1050" s="80"/>
      <c r="AF1050" s="80"/>
      <c r="AG1050" s="81"/>
      <c r="AH1050" s="79"/>
      <c r="AI1050" s="78" t="str">
        <f aca="false">IF(E1050="","",(V1050&lt;&gt;"")+(AA1050&lt;&gt;"")+(AF1050&lt;&gt;""))</f>
        <v/>
      </c>
      <c r="AJ1050" s="82" t="str">
        <f aca="false">IF(AF1050&lt;&gt;"",AF1050,IF(AA1050&lt;&gt;"",AA1050,IF(V1050&lt;&gt;"",V1050,"")))</f>
        <v/>
      </c>
      <c r="AK1050" s="83" t="str">
        <f aca="false">IF(E1050="","",IF(P1050="","À SOUDER",IF(S1050="","VT EN ATTENTE",IF(S1050="R","VT REJETÉ – À REPRENDRE",IF(AJ1050="","À RADIOGRAPHIER",IF(AJ1050="A","ACCEPTÉ",IF(AJ1050="NX","NX – RT À REFAIRE",IF(IF(AI1050=1,X1050,IF(AI1050=2,AC1050,""))="A","RÉPARÉ – À RADIOGRAPHIER",IF(IF(AI1050=1,X1050,IF(AI1050=2,AC1050,""))="R","VT REJETÉ – À REPRENDRE",IF(AJ1050="CO","COUPE – À RESOUDER","À RÉPARER"))))))))))</f>
        <v/>
      </c>
      <c r="AL1050" s="82" t="str">
        <f aca="false">IF(AND(ISNUMBER(P1050),OR(AK1050="À RADIOGRAPHIER",AK1050="RÉPARÉ – À RADIOGRAPHIER",AK1050="NX – RT À REFAIRE",AK1050="À RÉPARER",AK1050="COUPE – À RESOUDER",AK1050="VT REJETÉ – À REPRENDRE")),MAX(0,'PROGRAMME RT'!$C$4-P1050),"")</f>
        <v/>
      </c>
      <c r="AM1050" s="78" t="n">
        <f aca="false">IF(AND(OR(AK1050="À RADIOGRAPHIER",AK1050="RÉPARÉ – À RADIOGRAPHIER",AK1050="NX – RT À REFAIRE"),OR('PROGRAMME RT'!$D$5="TOUTES",B1050='PROGRAMME RT'!$D$5)),1,0)</f>
        <v>0</v>
      </c>
      <c r="AN1050" s="78" t="str">
        <f aca="false">IF(AM1050=1,SUM(AM$7:AM1050),"")</f>
        <v/>
      </c>
      <c r="AO1050" s="78" t="n">
        <f aca="false">IF(AND(OR(AK1050="À RÉPARER",AK1050="COUPE – À RESOUDER",AK1050="VT REJETÉ – À REPRENDRE"),OR(RÉPARATIONS!$D$5="TOUTES",B1050=RÉPARATIONS!$D$5)),1,0)</f>
        <v>0</v>
      </c>
      <c r="AP1050" s="78" t="str">
        <f aca="false">IF(AO1050=1,SUM(AO$7:AO1050),"")</f>
        <v/>
      </c>
    </row>
    <row r="1051" customFormat="false" ht="15" hidden="false" customHeight="false" outlineLevel="0" collapsed="false">
      <c r="A1051" s="78" t="str">
        <f aca="false">IF(E1051="","",ROW()-6)</f>
        <v/>
      </c>
      <c r="B1051" s="79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0"/>
      <c r="P1051" s="81"/>
      <c r="Q1051" s="81"/>
      <c r="R1051" s="80"/>
      <c r="S1051" s="80"/>
      <c r="T1051" s="81"/>
      <c r="U1051" s="80"/>
      <c r="V1051" s="80"/>
      <c r="W1051" s="80"/>
      <c r="X1051" s="80"/>
      <c r="Y1051" s="81"/>
      <c r="Z1051" s="80"/>
      <c r="AA1051" s="80"/>
      <c r="AB1051" s="80"/>
      <c r="AC1051" s="80"/>
      <c r="AD1051" s="81"/>
      <c r="AE1051" s="80"/>
      <c r="AF1051" s="80"/>
      <c r="AG1051" s="81"/>
      <c r="AH1051" s="79"/>
      <c r="AI1051" s="78" t="str">
        <f aca="false">IF(E1051="","",(V1051&lt;&gt;"")+(AA1051&lt;&gt;"")+(AF1051&lt;&gt;""))</f>
        <v/>
      </c>
      <c r="AJ1051" s="82" t="str">
        <f aca="false">IF(AF1051&lt;&gt;"",AF1051,IF(AA1051&lt;&gt;"",AA1051,IF(V1051&lt;&gt;"",V1051,"")))</f>
        <v/>
      </c>
      <c r="AK1051" s="83" t="str">
        <f aca="false">IF(E1051="","",IF(P1051="","À SOUDER",IF(S1051="","VT EN ATTENTE",IF(S1051="R","VT REJETÉ – À REPRENDRE",IF(AJ1051="","À RADIOGRAPHIER",IF(AJ1051="A","ACCEPTÉ",IF(AJ1051="NX","NX – RT À REFAIRE",IF(IF(AI1051=1,X1051,IF(AI1051=2,AC1051,""))="A","RÉPARÉ – À RADIOGRAPHIER",IF(IF(AI1051=1,X1051,IF(AI1051=2,AC1051,""))="R","VT REJETÉ – À REPRENDRE",IF(AJ1051="CO","COUPE – À RESOUDER","À RÉPARER"))))))))))</f>
        <v/>
      </c>
      <c r="AL1051" s="82" t="str">
        <f aca="false">IF(AND(ISNUMBER(P1051),OR(AK1051="À RADIOGRAPHIER",AK1051="RÉPARÉ – À RADIOGRAPHIER",AK1051="NX – RT À REFAIRE",AK1051="À RÉPARER",AK1051="COUPE – À RESOUDER",AK1051="VT REJETÉ – À REPRENDRE")),MAX(0,'PROGRAMME RT'!$C$4-P1051),"")</f>
        <v/>
      </c>
      <c r="AM1051" s="78" t="n">
        <f aca="false">IF(AND(OR(AK1051="À RADIOGRAPHIER",AK1051="RÉPARÉ – À RADIOGRAPHIER",AK1051="NX – RT À REFAIRE"),OR('PROGRAMME RT'!$D$5="TOUTES",B1051='PROGRAMME RT'!$D$5)),1,0)</f>
        <v>0</v>
      </c>
      <c r="AN1051" s="78" t="str">
        <f aca="false">IF(AM1051=1,SUM(AM$7:AM1051),"")</f>
        <v/>
      </c>
      <c r="AO1051" s="78" t="n">
        <f aca="false">IF(AND(OR(AK1051="À RÉPARER",AK1051="COUPE – À RESOUDER",AK1051="VT REJETÉ – À REPRENDRE"),OR(RÉPARATIONS!$D$5="TOUTES",B1051=RÉPARATIONS!$D$5)),1,0)</f>
        <v>0</v>
      </c>
      <c r="AP1051" s="78" t="str">
        <f aca="false">IF(AO1051=1,SUM(AO$7:AO1051),"")</f>
        <v/>
      </c>
    </row>
    <row r="1052" customFormat="false" ht="15" hidden="false" customHeight="false" outlineLevel="0" collapsed="false">
      <c r="A1052" s="78" t="str">
        <f aca="false">IF(E1052="","",ROW()-6)</f>
        <v/>
      </c>
      <c r="B1052" s="79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0"/>
      <c r="P1052" s="81"/>
      <c r="Q1052" s="81"/>
      <c r="R1052" s="80"/>
      <c r="S1052" s="80"/>
      <c r="T1052" s="81"/>
      <c r="U1052" s="80"/>
      <c r="V1052" s="80"/>
      <c r="W1052" s="80"/>
      <c r="X1052" s="80"/>
      <c r="Y1052" s="81"/>
      <c r="Z1052" s="80"/>
      <c r="AA1052" s="80"/>
      <c r="AB1052" s="80"/>
      <c r="AC1052" s="80"/>
      <c r="AD1052" s="81"/>
      <c r="AE1052" s="80"/>
      <c r="AF1052" s="80"/>
      <c r="AG1052" s="81"/>
      <c r="AH1052" s="79"/>
      <c r="AI1052" s="78" t="str">
        <f aca="false">IF(E1052="","",(V1052&lt;&gt;"")+(AA1052&lt;&gt;"")+(AF1052&lt;&gt;""))</f>
        <v/>
      </c>
      <c r="AJ1052" s="82" t="str">
        <f aca="false">IF(AF1052&lt;&gt;"",AF1052,IF(AA1052&lt;&gt;"",AA1052,IF(V1052&lt;&gt;"",V1052,"")))</f>
        <v/>
      </c>
      <c r="AK1052" s="83" t="str">
        <f aca="false">IF(E1052="","",IF(P1052="","À SOUDER",IF(S1052="","VT EN ATTENTE",IF(S1052="R","VT REJETÉ – À REPRENDRE",IF(AJ1052="","À RADIOGRAPHIER",IF(AJ1052="A","ACCEPTÉ",IF(AJ1052="NX","NX – RT À REFAIRE",IF(IF(AI1052=1,X1052,IF(AI1052=2,AC1052,""))="A","RÉPARÉ – À RADIOGRAPHIER",IF(IF(AI1052=1,X1052,IF(AI1052=2,AC1052,""))="R","VT REJETÉ – À REPRENDRE",IF(AJ1052="CO","COUPE – À RESOUDER","À RÉPARER"))))))))))</f>
        <v/>
      </c>
      <c r="AL1052" s="82" t="str">
        <f aca="false">IF(AND(ISNUMBER(P1052),OR(AK1052="À RADIOGRAPHIER",AK1052="RÉPARÉ – À RADIOGRAPHIER",AK1052="NX – RT À REFAIRE",AK1052="À RÉPARER",AK1052="COUPE – À RESOUDER",AK1052="VT REJETÉ – À REPRENDRE")),MAX(0,'PROGRAMME RT'!$C$4-P1052),"")</f>
        <v/>
      </c>
      <c r="AM1052" s="78" t="n">
        <f aca="false">IF(AND(OR(AK1052="À RADIOGRAPHIER",AK1052="RÉPARÉ – À RADIOGRAPHIER",AK1052="NX – RT À REFAIRE"),OR('PROGRAMME RT'!$D$5="TOUTES",B1052='PROGRAMME RT'!$D$5)),1,0)</f>
        <v>0</v>
      </c>
      <c r="AN1052" s="78" t="str">
        <f aca="false">IF(AM1052=1,SUM(AM$7:AM1052),"")</f>
        <v/>
      </c>
      <c r="AO1052" s="78" t="n">
        <f aca="false">IF(AND(OR(AK1052="À RÉPARER",AK1052="COUPE – À RESOUDER",AK1052="VT REJETÉ – À REPRENDRE"),OR(RÉPARATIONS!$D$5="TOUTES",B1052=RÉPARATIONS!$D$5)),1,0)</f>
        <v>0</v>
      </c>
      <c r="AP1052" s="78" t="str">
        <f aca="false">IF(AO1052=1,SUM(AO$7:AO1052),"")</f>
        <v/>
      </c>
    </row>
    <row r="1053" customFormat="false" ht="15" hidden="false" customHeight="false" outlineLevel="0" collapsed="false">
      <c r="A1053" s="78" t="str">
        <f aca="false">IF(E1053="","",ROW()-6)</f>
        <v/>
      </c>
      <c r="B1053" s="79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0"/>
      <c r="P1053" s="81"/>
      <c r="Q1053" s="81"/>
      <c r="R1053" s="80"/>
      <c r="S1053" s="80"/>
      <c r="T1053" s="81"/>
      <c r="U1053" s="80"/>
      <c r="V1053" s="80"/>
      <c r="W1053" s="80"/>
      <c r="X1053" s="80"/>
      <c r="Y1053" s="81"/>
      <c r="Z1053" s="80"/>
      <c r="AA1053" s="80"/>
      <c r="AB1053" s="80"/>
      <c r="AC1053" s="80"/>
      <c r="AD1053" s="81"/>
      <c r="AE1053" s="80"/>
      <c r="AF1053" s="80"/>
      <c r="AG1053" s="81"/>
      <c r="AH1053" s="79"/>
      <c r="AI1053" s="78" t="str">
        <f aca="false">IF(E1053="","",(V1053&lt;&gt;"")+(AA1053&lt;&gt;"")+(AF1053&lt;&gt;""))</f>
        <v/>
      </c>
      <c r="AJ1053" s="82" t="str">
        <f aca="false">IF(AF1053&lt;&gt;"",AF1053,IF(AA1053&lt;&gt;"",AA1053,IF(V1053&lt;&gt;"",V1053,"")))</f>
        <v/>
      </c>
      <c r="AK1053" s="83" t="str">
        <f aca="false">IF(E1053="","",IF(P1053="","À SOUDER",IF(S1053="","VT EN ATTENTE",IF(S1053="R","VT REJETÉ – À REPRENDRE",IF(AJ1053="","À RADIOGRAPHIER",IF(AJ1053="A","ACCEPTÉ",IF(AJ1053="NX","NX – RT À REFAIRE",IF(IF(AI1053=1,X1053,IF(AI1053=2,AC1053,""))="A","RÉPARÉ – À RADIOGRAPHIER",IF(IF(AI1053=1,X1053,IF(AI1053=2,AC1053,""))="R","VT REJETÉ – À REPRENDRE",IF(AJ1053="CO","COUPE – À RESOUDER","À RÉPARER"))))))))))</f>
        <v/>
      </c>
      <c r="AL1053" s="82" t="str">
        <f aca="false">IF(AND(ISNUMBER(P1053),OR(AK1053="À RADIOGRAPHIER",AK1053="RÉPARÉ – À RADIOGRAPHIER",AK1053="NX – RT À REFAIRE",AK1053="À RÉPARER",AK1053="COUPE – À RESOUDER",AK1053="VT REJETÉ – À REPRENDRE")),MAX(0,'PROGRAMME RT'!$C$4-P1053),"")</f>
        <v/>
      </c>
      <c r="AM1053" s="78" t="n">
        <f aca="false">IF(AND(OR(AK1053="À RADIOGRAPHIER",AK1053="RÉPARÉ – À RADIOGRAPHIER",AK1053="NX – RT À REFAIRE"),OR('PROGRAMME RT'!$D$5="TOUTES",B1053='PROGRAMME RT'!$D$5)),1,0)</f>
        <v>0</v>
      </c>
      <c r="AN1053" s="78" t="str">
        <f aca="false">IF(AM1053=1,SUM(AM$7:AM1053),"")</f>
        <v/>
      </c>
      <c r="AO1053" s="78" t="n">
        <f aca="false">IF(AND(OR(AK1053="À RÉPARER",AK1053="COUPE – À RESOUDER",AK1053="VT REJETÉ – À REPRENDRE"),OR(RÉPARATIONS!$D$5="TOUTES",B1053=RÉPARATIONS!$D$5)),1,0)</f>
        <v>0</v>
      </c>
      <c r="AP1053" s="78" t="str">
        <f aca="false">IF(AO1053=1,SUM(AO$7:AO1053),"")</f>
        <v/>
      </c>
    </row>
    <row r="1054" customFormat="false" ht="15" hidden="false" customHeight="false" outlineLevel="0" collapsed="false">
      <c r="A1054" s="78" t="str">
        <f aca="false">IF(E1054="","",ROW()-6)</f>
        <v/>
      </c>
      <c r="B1054" s="79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0"/>
      <c r="P1054" s="81"/>
      <c r="Q1054" s="81"/>
      <c r="R1054" s="80"/>
      <c r="S1054" s="80"/>
      <c r="T1054" s="81"/>
      <c r="U1054" s="80"/>
      <c r="V1054" s="80"/>
      <c r="W1054" s="80"/>
      <c r="X1054" s="80"/>
      <c r="Y1054" s="81"/>
      <c r="Z1054" s="80"/>
      <c r="AA1054" s="80"/>
      <c r="AB1054" s="80"/>
      <c r="AC1054" s="80"/>
      <c r="AD1054" s="81"/>
      <c r="AE1054" s="80"/>
      <c r="AF1054" s="80"/>
      <c r="AG1054" s="81"/>
      <c r="AH1054" s="79"/>
      <c r="AI1054" s="78" t="str">
        <f aca="false">IF(E1054="","",(V1054&lt;&gt;"")+(AA1054&lt;&gt;"")+(AF1054&lt;&gt;""))</f>
        <v/>
      </c>
      <c r="AJ1054" s="82" t="str">
        <f aca="false">IF(AF1054&lt;&gt;"",AF1054,IF(AA1054&lt;&gt;"",AA1054,IF(V1054&lt;&gt;"",V1054,"")))</f>
        <v/>
      </c>
      <c r="AK1054" s="83" t="str">
        <f aca="false">IF(E1054="","",IF(P1054="","À SOUDER",IF(S1054="","VT EN ATTENTE",IF(S1054="R","VT REJETÉ – À REPRENDRE",IF(AJ1054="","À RADIOGRAPHIER",IF(AJ1054="A","ACCEPTÉ",IF(AJ1054="NX","NX – RT À REFAIRE",IF(IF(AI1054=1,X1054,IF(AI1054=2,AC1054,""))="A","RÉPARÉ – À RADIOGRAPHIER",IF(IF(AI1054=1,X1054,IF(AI1054=2,AC1054,""))="R","VT REJETÉ – À REPRENDRE",IF(AJ1054="CO","COUPE – À RESOUDER","À RÉPARER"))))))))))</f>
        <v/>
      </c>
      <c r="AL1054" s="82" t="str">
        <f aca="false">IF(AND(ISNUMBER(P1054),OR(AK1054="À RADIOGRAPHIER",AK1054="RÉPARÉ – À RADIOGRAPHIER",AK1054="NX – RT À REFAIRE",AK1054="À RÉPARER",AK1054="COUPE – À RESOUDER",AK1054="VT REJETÉ – À REPRENDRE")),MAX(0,'PROGRAMME RT'!$C$4-P1054),"")</f>
        <v/>
      </c>
      <c r="AM1054" s="78" t="n">
        <f aca="false">IF(AND(OR(AK1054="À RADIOGRAPHIER",AK1054="RÉPARÉ – À RADIOGRAPHIER",AK1054="NX – RT À REFAIRE"),OR('PROGRAMME RT'!$D$5="TOUTES",B1054='PROGRAMME RT'!$D$5)),1,0)</f>
        <v>0</v>
      </c>
      <c r="AN1054" s="78" t="str">
        <f aca="false">IF(AM1054=1,SUM(AM$7:AM1054),"")</f>
        <v/>
      </c>
      <c r="AO1054" s="78" t="n">
        <f aca="false">IF(AND(OR(AK1054="À RÉPARER",AK1054="COUPE – À RESOUDER",AK1054="VT REJETÉ – À REPRENDRE"),OR(RÉPARATIONS!$D$5="TOUTES",B1054=RÉPARATIONS!$D$5)),1,0)</f>
        <v>0</v>
      </c>
      <c r="AP1054" s="78" t="str">
        <f aca="false">IF(AO1054=1,SUM(AO$7:AO1054),"")</f>
        <v/>
      </c>
    </row>
    <row r="1055" customFormat="false" ht="15" hidden="false" customHeight="false" outlineLevel="0" collapsed="false">
      <c r="A1055" s="78" t="str">
        <f aca="false">IF(E1055="","",ROW()-6)</f>
        <v/>
      </c>
      <c r="B1055" s="79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0"/>
      <c r="P1055" s="81"/>
      <c r="Q1055" s="81"/>
      <c r="R1055" s="80"/>
      <c r="S1055" s="80"/>
      <c r="T1055" s="81"/>
      <c r="U1055" s="80"/>
      <c r="V1055" s="80"/>
      <c r="W1055" s="80"/>
      <c r="X1055" s="80"/>
      <c r="Y1055" s="81"/>
      <c r="Z1055" s="80"/>
      <c r="AA1055" s="80"/>
      <c r="AB1055" s="80"/>
      <c r="AC1055" s="80"/>
      <c r="AD1055" s="81"/>
      <c r="AE1055" s="80"/>
      <c r="AF1055" s="80"/>
      <c r="AG1055" s="81"/>
      <c r="AH1055" s="79"/>
      <c r="AI1055" s="78" t="str">
        <f aca="false">IF(E1055="","",(V1055&lt;&gt;"")+(AA1055&lt;&gt;"")+(AF1055&lt;&gt;""))</f>
        <v/>
      </c>
      <c r="AJ1055" s="82" t="str">
        <f aca="false">IF(AF1055&lt;&gt;"",AF1055,IF(AA1055&lt;&gt;"",AA1055,IF(V1055&lt;&gt;"",V1055,"")))</f>
        <v/>
      </c>
      <c r="AK1055" s="83" t="str">
        <f aca="false">IF(E1055="","",IF(P1055="","À SOUDER",IF(S1055="","VT EN ATTENTE",IF(S1055="R","VT REJETÉ – À REPRENDRE",IF(AJ1055="","À RADIOGRAPHIER",IF(AJ1055="A","ACCEPTÉ",IF(AJ1055="NX","NX – RT À REFAIRE",IF(IF(AI1055=1,X1055,IF(AI1055=2,AC1055,""))="A","RÉPARÉ – À RADIOGRAPHIER",IF(IF(AI1055=1,X1055,IF(AI1055=2,AC1055,""))="R","VT REJETÉ – À REPRENDRE",IF(AJ1055="CO","COUPE – À RESOUDER","À RÉPARER"))))))))))</f>
        <v/>
      </c>
      <c r="AL1055" s="82" t="str">
        <f aca="false">IF(AND(ISNUMBER(P1055),OR(AK1055="À RADIOGRAPHIER",AK1055="RÉPARÉ – À RADIOGRAPHIER",AK1055="NX – RT À REFAIRE",AK1055="À RÉPARER",AK1055="COUPE – À RESOUDER",AK1055="VT REJETÉ – À REPRENDRE")),MAX(0,'PROGRAMME RT'!$C$4-P1055),"")</f>
        <v/>
      </c>
      <c r="AM1055" s="78" t="n">
        <f aca="false">IF(AND(OR(AK1055="À RADIOGRAPHIER",AK1055="RÉPARÉ – À RADIOGRAPHIER",AK1055="NX – RT À REFAIRE"),OR('PROGRAMME RT'!$D$5="TOUTES",B1055='PROGRAMME RT'!$D$5)),1,0)</f>
        <v>0</v>
      </c>
      <c r="AN1055" s="78" t="str">
        <f aca="false">IF(AM1055=1,SUM(AM$7:AM1055),"")</f>
        <v/>
      </c>
      <c r="AO1055" s="78" t="n">
        <f aca="false">IF(AND(OR(AK1055="À RÉPARER",AK1055="COUPE – À RESOUDER",AK1055="VT REJETÉ – À REPRENDRE"),OR(RÉPARATIONS!$D$5="TOUTES",B1055=RÉPARATIONS!$D$5)),1,0)</f>
        <v>0</v>
      </c>
      <c r="AP1055" s="78" t="str">
        <f aca="false">IF(AO1055=1,SUM(AO$7:AO1055),"")</f>
        <v/>
      </c>
    </row>
    <row r="1056" customFormat="false" ht="15" hidden="false" customHeight="false" outlineLevel="0" collapsed="false">
      <c r="A1056" s="78" t="str">
        <f aca="false">IF(E1056="","",ROW()-6)</f>
        <v/>
      </c>
      <c r="B1056" s="79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0"/>
      <c r="P1056" s="81"/>
      <c r="Q1056" s="81"/>
      <c r="R1056" s="80"/>
      <c r="S1056" s="80"/>
      <c r="T1056" s="81"/>
      <c r="U1056" s="80"/>
      <c r="V1056" s="80"/>
      <c r="W1056" s="80"/>
      <c r="X1056" s="80"/>
      <c r="Y1056" s="81"/>
      <c r="Z1056" s="80"/>
      <c r="AA1056" s="80"/>
      <c r="AB1056" s="80"/>
      <c r="AC1056" s="80"/>
      <c r="AD1056" s="81"/>
      <c r="AE1056" s="80"/>
      <c r="AF1056" s="80"/>
      <c r="AG1056" s="81"/>
      <c r="AH1056" s="79"/>
      <c r="AI1056" s="78" t="str">
        <f aca="false">IF(E1056="","",(V1056&lt;&gt;"")+(AA1056&lt;&gt;"")+(AF1056&lt;&gt;""))</f>
        <v/>
      </c>
      <c r="AJ1056" s="82" t="str">
        <f aca="false">IF(AF1056&lt;&gt;"",AF1056,IF(AA1056&lt;&gt;"",AA1056,IF(V1056&lt;&gt;"",V1056,"")))</f>
        <v/>
      </c>
      <c r="AK1056" s="83" t="str">
        <f aca="false">IF(E1056="","",IF(P1056="","À SOUDER",IF(S1056="","VT EN ATTENTE",IF(S1056="R","VT REJETÉ – À REPRENDRE",IF(AJ1056="","À RADIOGRAPHIER",IF(AJ1056="A","ACCEPTÉ",IF(AJ1056="NX","NX – RT À REFAIRE",IF(IF(AI1056=1,X1056,IF(AI1056=2,AC1056,""))="A","RÉPARÉ – À RADIOGRAPHIER",IF(IF(AI1056=1,X1056,IF(AI1056=2,AC1056,""))="R","VT REJETÉ – À REPRENDRE",IF(AJ1056="CO","COUPE – À RESOUDER","À RÉPARER"))))))))))</f>
        <v/>
      </c>
      <c r="AL1056" s="82" t="str">
        <f aca="false">IF(AND(ISNUMBER(P1056),OR(AK1056="À RADIOGRAPHIER",AK1056="RÉPARÉ – À RADIOGRAPHIER",AK1056="NX – RT À REFAIRE",AK1056="À RÉPARER",AK1056="COUPE – À RESOUDER",AK1056="VT REJETÉ – À REPRENDRE")),MAX(0,'PROGRAMME RT'!$C$4-P1056),"")</f>
        <v/>
      </c>
      <c r="AM1056" s="78" t="n">
        <f aca="false">IF(AND(OR(AK1056="À RADIOGRAPHIER",AK1056="RÉPARÉ – À RADIOGRAPHIER",AK1056="NX – RT À REFAIRE"),OR('PROGRAMME RT'!$D$5="TOUTES",B1056='PROGRAMME RT'!$D$5)),1,0)</f>
        <v>0</v>
      </c>
      <c r="AN1056" s="78" t="str">
        <f aca="false">IF(AM1056=1,SUM(AM$7:AM1056),"")</f>
        <v/>
      </c>
      <c r="AO1056" s="78" t="n">
        <f aca="false">IF(AND(OR(AK1056="À RÉPARER",AK1056="COUPE – À RESOUDER",AK1056="VT REJETÉ – À REPRENDRE"),OR(RÉPARATIONS!$D$5="TOUTES",B1056=RÉPARATIONS!$D$5)),1,0)</f>
        <v>0</v>
      </c>
      <c r="AP1056" s="78" t="str">
        <f aca="false">IF(AO1056=1,SUM(AO$7:AO1056),"")</f>
        <v/>
      </c>
    </row>
    <row r="1057" customFormat="false" ht="15" hidden="false" customHeight="false" outlineLevel="0" collapsed="false">
      <c r="A1057" s="78" t="str">
        <f aca="false">IF(E1057="","",ROW()-6)</f>
        <v/>
      </c>
      <c r="B1057" s="79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0"/>
      <c r="P1057" s="81"/>
      <c r="Q1057" s="81"/>
      <c r="R1057" s="80"/>
      <c r="S1057" s="80"/>
      <c r="T1057" s="81"/>
      <c r="U1057" s="80"/>
      <c r="V1057" s="80"/>
      <c r="W1057" s="80"/>
      <c r="X1057" s="80"/>
      <c r="Y1057" s="81"/>
      <c r="Z1057" s="80"/>
      <c r="AA1057" s="80"/>
      <c r="AB1057" s="80"/>
      <c r="AC1057" s="80"/>
      <c r="AD1057" s="81"/>
      <c r="AE1057" s="80"/>
      <c r="AF1057" s="80"/>
      <c r="AG1057" s="81"/>
      <c r="AH1057" s="79"/>
      <c r="AI1057" s="78" t="str">
        <f aca="false">IF(E1057="","",(V1057&lt;&gt;"")+(AA1057&lt;&gt;"")+(AF1057&lt;&gt;""))</f>
        <v/>
      </c>
      <c r="AJ1057" s="82" t="str">
        <f aca="false">IF(AF1057&lt;&gt;"",AF1057,IF(AA1057&lt;&gt;"",AA1057,IF(V1057&lt;&gt;"",V1057,"")))</f>
        <v/>
      </c>
      <c r="AK1057" s="83" t="str">
        <f aca="false">IF(E1057="","",IF(P1057="","À SOUDER",IF(S1057="","VT EN ATTENTE",IF(S1057="R","VT REJETÉ – À REPRENDRE",IF(AJ1057="","À RADIOGRAPHIER",IF(AJ1057="A","ACCEPTÉ",IF(AJ1057="NX","NX – RT À REFAIRE",IF(IF(AI1057=1,X1057,IF(AI1057=2,AC1057,""))="A","RÉPARÉ – À RADIOGRAPHIER",IF(IF(AI1057=1,X1057,IF(AI1057=2,AC1057,""))="R","VT REJETÉ – À REPRENDRE",IF(AJ1057="CO","COUPE – À RESOUDER","À RÉPARER"))))))))))</f>
        <v/>
      </c>
      <c r="AL1057" s="82" t="str">
        <f aca="false">IF(AND(ISNUMBER(P1057),OR(AK1057="À RADIOGRAPHIER",AK1057="RÉPARÉ – À RADIOGRAPHIER",AK1057="NX – RT À REFAIRE",AK1057="À RÉPARER",AK1057="COUPE – À RESOUDER",AK1057="VT REJETÉ – À REPRENDRE")),MAX(0,'PROGRAMME RT'!$C$4-P1057),"")</f>
        <v/>
      </c>
      <c r="AM1057" s="78" t="n">
        <f aca="false">IF(AND(OR(AK1057="À RADIOGRAPHIER",AK1057="RÉPARÉ – À RADIOGRAPHIER",AK1057="NX – RT À REFAIRE"),OR('PROGRAMME RT'!$D$5="TOUTES",B1057='PROGRAMME RT'!$D$5)),1,0)</f>
        <v>0</v>
      </c>
      <c r="AN1057" s="78" t="str">
        <f aca="false">IF(AM1057=1,SUM(AM$7:AM1057),"")</f>
        <v/>
      </c>
      <c r="AO1057" s="78" t="n">
        <f aca="false">IF(AND(OR(AK1057="À RÉPARER",AK1057="COUPE – À RESOUDER",AK1057="VT REJETÉ – À REPRENDRE"),OR(RÉPARATIONS!$D$5="TOUTES",B1057=RÉPARATIONS!$D$5)),1,0)</f>
        <v>0</v>
      </c>
      <c r="AP1057" s="78" t="str">
        <f aca="false">IF(AO1057=1,SUM(AO$7:AO1057),"")</f>
        <v/>
      </c>
    </row>
    <row r="1058" customFormat="false" ht="15" hidden="false" customHeight="false" outlineLevel="0" collapsed="false">
      <c r="A1058" s="78" t="str">
        <f aca="false">IF(E1058="","",ROW()-6)</f>
        <v/>
      </c>
      <c r="B1058" s="79"/>
      <c r="C1058" s="80"/>
      <c r="D1058" s="80"/>
      <c r="E1058" s="80"/>
      <c r="F1058" s="80"/>
      <c r="G1058" s="80"/>
      <c r="H1058" s="80"/>
      <c r="I1058" s="80"/>
      <c r="J1058" s="80"/>
      <c r="K1058" s="80"/>
      <c r="L1058" s="80"/>
      <c r="M1058" s="80"/>
      <c r="N1058" s="80"/>
      <c r="O1058" s="80"/>
      <c r="P1058" s="81"/>
      <c r="Q1058" s="81"/>
      <c r="R1058" s="80"/>
      <c r="S1058" s="80"/>
      <c r="T1058" s="81"/>
      <c r="U1058" s="80"/>
      <c r="V1058" s="80"/>
      <c r="W1058" s="80"/>
      <c r="X1058" s="80"/>
      <c r="Y1058" s="81"/>
      <c r="Z1058" s="80"/>
      <c r="AA1058" s="80"/>
      <c r="AB1058" s="80"/>
      <c r="AC1058" s="80"/>
      <c r="AD1058" s="81"/>
      <c r="AE1058" s="80"/>
      <c r="AF1058" s="80"/>
      <c r="AG1058" s="81"/>
      <c r="AH1058" s="79"/>
      <c r="AI1058" s="78" t="str">
        <f aca="false">IF(E1058="","",(V1058&lt;&gt;"")+(AA1058&lt;&gt;"")+(AF1058&lt;&gt;""))</f>
        <v/>
      </c>
      <c r="AJ1058" s="82" t="str">
        <f aca="false">IF(AF1058&lt;&gt;"",AF1058,IF(AA1058&lt;&gt;"",AA1058,IF(V1058&lt;&gt;"",V1058,"")))</f>
        <v/>
      </c>
      <c r="AK1058" s="83" t="str">
        <f aca="false">IF(E1058="","",IF(P1058="","À SOUDER",IF(S1058="","VT EN ATTENTE",IF(S1058="R","VT REJETÉ – À REPRENDRE",IF(AJ1058="","À RADIOGRAPHIER",IF(AJ1058="A","ACCEPTÉ",IF(AJ1058="NX","NX – RT À REFAIRE",IF(IF(AI1058=1,X1058,IF(AI1058=2,AC1058,""))="A","RÉPARÉ – À RADIOGRAPHIER",IF(IF(AI1058=1,X1058,IF(AI1058=2,AC1058,""))="R","VT REJETÉ – À REPRENDRE",IF(AJ1058="CO","COUPE – À RESOUDER","À RÉPARER"))))))))))</f>
        <v/>
      </c>
      <c r="AL1058" s="82" t="str">
        <f aca="false">IF(AND(ISNUMBER(P1058),OR(AK1058="À RADIOGRAPHIER",AK1058="RÉPARÉ – À RADIOGRAPHIER",AK1058="NX – RT À REFAIRE",AK1058="À RÉPARER",AK1058="COUPE – À RESOUDER",AK1058="VT REJETÉ – À REPRENDRE")),MAX(0,'PROGRAMME RT'!$C$4-P1058),"")</f>
        <v/>
      </c>
      <c r="AM1058" s="78" t="n">
        <f aca="false">IF(AND(OR(AK1058="À RADIOGRAPHIER",AK1058="RÉPARÉ – À RADIOGRAPHIER",AK1058="NX – RT À REFAIRE"),OR('PROGRAMME RT'!$D$5="TOUTES",B1058='PROGRAMME RT'!$D$5)),1,0)</f>
        <v>0</v>
      </c>
      <c r="AN1058" s="78" t="str">
        <f aca="false">IF(AM1058=1,SUM(AM$7:AM1058),"")</f>
        <v/>
      </c>
      <c r="AO1058" s="78" t="n">
        <f aca="false">IF(AND(OR(AK1058="À RÉPARER",AK1058="COUPE – À RESOUDER",AK1058="VT REJETÉ – À REPRENDRE"),OR(RÉPARATIONS!$D$5="TOUTES",B1058=RÉPARATIONS!$D$5)),1,0)</f>
        <v>0</v>
      </c>
      <c r="AP1058" s="78" t="str">
        <f aca="false">IF(AO1058=1,SUM(AO$7:AO1058),"")</f>
        <v/>
      </c>
    </row>
    <row r="1059" customFormat="false" ht="15" hidden="false" customHeight="false" outlineLevel="0" collapsed="false">
      <c r="A1059" s="78" t="str">
        <f aca="false">IF(E1059="","",ROW()-6)</f>
        <v/>
      </c>
      <c r="B1059" s="79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0"/>
      <c r="P1059" s="81"/>
      <c r="Q1059" s="81"/>
      <c r="R1059" s="80"/>
      <c r="S1059" s="80"/>
      <c r="T1059" s="81"/>
      <c r="U1059" s="80"/>
      <c r="V1059" s="80"/>
      <c r="W1059" s="80"/>
      <c r="X1059" s="80"/>
      <c r="Y1059" s="81"/>
      <c r="Z1059" s="80"/>
      <c r="AA1059" s="80"/>
      <c r="AB1059" s="80"/>
      <c r="AC1059" s="80"/>
      <c r="AD1059" s="81"/>
      <c r="AE1059" s="80"/>
      <c r="AF1059" s="80"/>
      <c r="AG1059" s="81"/>
      <c r="AH1059" s="79"/>
      <c r="AI1059" s="78" t="str">
        <f aca="false">IF(E1059="","",(V1059&lt;&gt;"")+(AA1059&lt;&gt;"")+(AF1059&lt;&gt;""))</f>
        <v/>
      </c>
      <c r="AJ1059" s="82" t="str">
        <f aca="false">IF(AF1059&lt;&gt;"",AF1059,IF(AA1059&lt;&gt;"",AA1059,IF(V1059&lt;&gt;"",V1059,"")))</f>
        <v/>
      </c>
      <c r="AK1059" s="83" t="str">
        <f aca="false">IF(E1059="","",IF(P1059="","À SOUDER",IF(S1059="","VT EN ATTENTE",IF(S1059="R","VT REJETÉ – À REPRENDRE",IF(AJ1059="","À RADIOGRAPHIER",IF(AJ1059="A","ACCEPTÉ",IF(AJ1059="NX","NX – RT À REFAIRE",IF(IF(AI1059=1,X1059,IF(AI1059=2,AC1059,""))="A","RÉPARÉ – À RADIOGRAPHIER",IF(IF(AI1059=1,X1059,IF(AI1059=2,AC1059,""))="R","VT REJETÉ – À REPRENDRE",IF(AJ1059="CO","COUPE – À RESOUDER","À RÉPARER"))))))))))</f>
        <v/>
      </c>
      <c r="AL1059" s="82" t="str">
        <f aca="false">IF(AND(ISNUMBER(P1059),OR(AK1059="À RADIOGRAPHIER",AK1059="RÉPARÉ – À RADIOGRAPHIER",AK1059="NX – RT À REFAIRE",AK1059="À RÉPARER",AK1059="COUPE – À RESOUDER",AK1059="VT REJETÉ – À REPRENDRE")),MAX(0,'PROGRAMME RT'!$C$4-P1059),"")</f>
        <v/>
      </c>
      <c r="AM1059" s="78" t="n">
        <f aca="false">IF(AND(OR(AK1059="À RADIOGRAPHIER",AK1059="RÉPARÉ – À RADIOGRAPHIER",AK1059="NX – RT À REFAIRE"),OR('PROGRAMME RT'!$D$5="TOUTES",B1059='PROGRAMME RT'!$D$5)),1,0)</f>
        <v>0</v>
      </c>
      <c r="AN1059" s="78" t="str">
        <f aca="false">IF(AM1059=1,SUM(AM$7:AM1059),"")</f>
        <v/>
      </c>
      <c r="AO1059" s="78" t="n">
        <f aca="false">IF(AND(OR(AK1059="À RÉPARER",AK1059="COUPE – À RESOUDER",AK1059="VT REJETÉ – À REPRENDRE"),OR(RÉPARATIONS!$D$5="TOUTES",B1059=RÉPARATIONS!$D$5)),1,0)</f>
        <v>0</v>
      </c>
      <c r="AP1059" s="78" t="str">
        <f aca="false">IF(AO1059=1,SUM(AO$7:AO1059),"")</f>
        <v/>
      </c>
    </row>
    <row r="1060" customFormat="false" ht="15" hidden="false" customHeight="false" outlineLevel="0" collapsed="false">
      <c r="A1060" s="78" t="str">
        <f aca="false">IF(E1060="","",ROW()-6)</f>
        <v/>
      </c>
      <c r="B1060" s="79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0"/>
      <c r="P1060" s="81"/>
      <c r="Q1060" s="81"/>
      <c r="R1060" s="80"/>
      <c r="S1060" s="80"/>
      <c r="T1060" s="81"/>
      <c r="U1060" s="80"/>
      <c r="V1060" s="80"/>
      <c r="W1060" s="80"/>
      <c r="X1060" s="80"/>
      <c r="Y1060" s="81"/>
      <c r="Z1060" s="80"/>
      <c r="AA1060" s="80"/>
      <c r="AB1060" s="80"/>
      <c r="AC1060" s="80"/>
      <c r="AD1060" s="81"/>
      <c r="AE1060" s="80"/>
      <c r="AF1060" s="80"/>
      <c r="AG1060" s="81"/>
      <c r="AH1060" s="79"/>
      <c r="AI1060" s="78" t="str">
        <f aca="false">IF(E1060="","",(V1060&lt;&gt;"")+(AA1060&lt;&gt;"")+(AF1060&lt;&gt;""))</f>
        <v/>
      </c>
      <c r="AJ1060" s="82" t="str">
        <f aca="false">IF(AF1060&lt;&gt;"",AF1060,IF(AA1060&lt;&gt;"",AA1060,IF(V1060&lt;&gt;"",V1060,"")))</f>
        <v/>
      </c>
      <c r="AK1060" s="83" t="str">
        <f aca="false">IF(E1060="","",IF(P1060="","À SOUDER",IF(S1060="","VT EN ATTENTE",IF(S1060="R","VT REJETÉ – À REPRENDRE",IF(AJ1060="","À RADIOGRAPHIER",IF(AJ1060="A","ACCEPTÉ",IF(AJ1060="NX","NX – RT À REFAIRE",IF(IF(AI1060=1,X1060,IF(AI1060=2,AC1060,""))="A","RÉPARÉ – À RADIOGRAPHIER",IF(IF(AI1060=1,X1060,IF(AI1060=2,AC1060,""))="R","VT REJETÉ – À REPRENDRE",IF(AJ1060="CO","COUPE – À RESOUDER","À RÉPARER"))))))))))</f>
        <v/>
      </c>
      <c r="AL1060" s="82" t="str">
        <f aca="false">IF(AND(ISNUMBER(P1060),OR(AK1060="À RADIOGRAPHIER",AK1060="RÉPARÉ – À RADIOGRAPHIER",AK1060="NX – RT À REFAIRE",AK1060="À RÉPARER",AK1060="COUPE – À RESOUDER",AK1060="VT REJETÉ – À REPRENDRE")),MAX(0,'PROGRAMME RT'!$C$4-P1060),"")</f>
        <v/>
      </c>
      <c r="AM1060" s="78" t="n">
        <f aca="false">IF(AND(OR(AK1060="À RADIOGRAPHIER",AK1060="RÉPARÉ – À RADIOGRAPHIER",AK1060="NX – RT À REFAIRE"),OR('PROGRAMME RT'!$D$5="TOUTES",B1060='PROGRAMME RT'!$D$5)),1,0)</f>
        <v>0</v>
      </c>
      <c r="AN1060" s="78" t="str">
        <f aca="false">IF(AM1060=1,SUM(AM$7:AM1060),"")</f>
        <v/>
      </c>
      <c r="AO1060" s="78" t="n">
        <f aca="false">IF(AND(OR(AK1060="À RÉPARER",AK1060="COUPE – À RESOUDER",AK1060="VT REJETÉ – À REPRENDRE"),OR(RÉPARATIONS!$D$5="TOUTES",B1060=RÉPARATIONS!$D$5)),1,0)</f>
        <v>0</v>
      </c>
      <c r="AP1060" s="78" t="str">
        <f aca="false">IF(AO1060=1,SUM(AO$7:AO1060),"")</f>
        <v/>
      </c>
    </row>
    <row r="1061" customFormat="false" ht="15" hidden="false" customHeight="false" outlineLevel="0" collapsed="false">
      <c r="A1061" s="78" t="str">
        <f aca="false">IF(E1061="","",ROW()-6)</f>
        <v/>
      </c>
      <c r="B1061" s="79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0"/>
      <c r="P1061" s="81"/>
      <c r="Q1061" s="81"/>
      <c r="R1061" s="80"/>
      <c r="S1061" s="80"/>
      <c r="T1061" s="81"/>
      <c r="U1061" s="80"/>
      <c r="V1061" s="80"/>
      <c r="W1061" s="80"/>
      <c r="X1061" s="80"/>
      <c r="Y1061" s="81"/>
      <c r="Z1061" s="80"/>
      <c r="AA1061" s="80"/>
      <c r="AB1061" s="80"/>
      <c r="AC1061" s="80"/>
      <c r="AD1061" s="81"/>
      <c r="AE1061" s="80"/>
      <c r="AF1061" s="80"/>
      <c r="AG1061" s="81"/>
      <c r="AH1061" s="79"/>
      <c r="AI1061" s="78" t="str">
        <f aca="false">IF(E1061="","",(V1061&lt;&gt;"")+(AA1061&lt;&gt;"")+(AF1061&lt;&gt;""))</f>
        <v/>
      </c>
      <c r="AJ1061" s="82" t="str">
        <f aca="false">IF(AF1061&lt;&gt;"",AF1061,IF(AA1061&lt;&gt;"",AA1061,IF(V1061&lt;&gt;"",V1061,"")))</f>
        <v/>
      </c>
      <c r="AK1061" s="83" t="str">
        <f aca="false">IF(E1061="","",IF(P1061="","À SOUDER",IF(S1061="","VT EN ATTENTE",IF(S1061="R","VT REJETÉ – À REPRENDRE",IF(AJ1061="","À RADIOGRAPHIER",IF(AJ1061="A","ACCEPTÉ",IF(AJ1061="NX","NX – RT À REFAIRE",IF(IF(AI1061=1,X1061,IF(AI1061=2,AC1061,""))="A","RÉPARÉ – À RADIOGRAPHIER",IF(IF(AI1061=1,X1061,IF(AI1061=2,AC1061,""))="R","VT REJETÉ – À REPRENDRE",IF(AJ1061="CO","COUPE – À RESOUDER","À RÉPARER"))))))))))</f>
        <v/>
      </c>
      <c r="AL1061" s="82" t="str">
        <f aca="false">IF(AND(ISNUMBER(P1061),OR(AK1061="À RADIOGRAPHIER",AK1061="RÉPARÉ – À RADIOGRAPHIER",AK1061="NX – RT À REFAIRE",AK1061="À RÉPARER",AK1061="COUPE – À RESOUDER",AK1061="VT REJETÉ – À REPRENDRE")),MAX(0,'PROGRAMME RT'!$C$4-P1061),"")</f>
        <v/>
      </c>
      <c r="AM1061" s="78" t="n">
        <f aca="false">IF(AND(OR(AK1061="À RADIOGRAPHIER",AK1061="RÉPARÉ – À RADIOGRAPHIER",AK1061="NX – RT À REFAIRE"),OR('PROGRAMME RT'!$D$5="TOUTES",B1061='PROGRAMME RT'!$D$5)),1,0)</f>
        <v>0</v>
      </c>
      <c r="AN1061" s="78" t="str">
        <f aca="false">IF(AM1061=1,SUM(AM$7:AM1061),"")</f>
        <v/>
      </c>
      <c r="AO1061" s="78" t="n">
        <f aca="false">IF(AND(OR(AK1061="À RÉPARER",AK1061="COUPE – À RESOUDER",AK1061="VT REJETÉ – À REPRENDRE"),OR(RÉPARATIONS!$D$5="TOUTES",B1061=RÉPARATIONS!$D$5)),1,0)</f>
        <v>0</v>
      </c>
      <c r="AP1061" s="78" t="str">
        <f aca="false">IF(AO1061=1,SUM(AO$7:AO1061),"")</f>
        <v/>
      </c>
    </row>
    <row r="1062" customFormat="false" ht="15" hidden="false" customHeight="false" outlineLevel="0" collapsed="false">
      <c r="A1062" s="78" t="str">
        <f aca="false">IF(E1062="","",ROW()-6)</f>
        <v/>
      </c>
      <c r="B1062" s="79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0"/>
      <c r="P1062" s="81"/>
      <c r="Q1062" s="81"/>
      <c r="R1062" s="80"/>
      <c r="S1062" s="80"/>
      <c r="T1062" s="81"/>
      <c r="U1062" s="80"/>
      <c r="V1062" s="80"/>
      <c r="W1062" s="80"/>
      <c r="X1062" s="80"/>
      <c r="Y1062" s="81"/>
      <c r="Z1062" s="80"/>
      <c r="AA1062" s="80"/>
      <c r="AB1062" s="80"/>
      <c r="AC1062" s="80"/>
      <c r="AD1062" s="81"/>
      <c r="AE1062" s="80"/>
      <c r="AF1062" s="80"/>
      <c r="AG1062" s="81"/>
      <c r="AH1062" s="79"/>
      <c r="AI1062" s="78" t="str">
        <f aca="false">IF(E1062="","",(V1062&lt;&gt;"")+(AA1062&lt;&gt;"")+(AF1062&lt;&gt;""))</f>
        <v/>
      </c>
      <c r="AJ1062" s="82" t="str">
        <f aca="false">IF(AF1062&lt;&gt;"",AF1062,IF(AA1062&lt;&gt;"",AA1062,IF(V1062&lt;&gt;"",V1062,"")))</f>
        <v/>
      </c>
      <c r="AK1062" s="83" t="str">
        <f aca="false">IF(E1062="","",IF(P1062="","À SOUDER",IF(S1062="","VT EN ATTENTE",IF(S1062="R","VT REJETÉ – À REPRENDRE",IF(AJ1062="","À RADIOGRAPHIER",IF(AJ1062="A","ACCEPTÉ",IF(AJ1062="NX","NX – RT À REFAIRE",IF(IF(AI1062=1,X1062,IF(AI1062=2,AC1062,""))="A","RÉPARÉ – À RADIOGRAPHIER",IF(IF(AI1062=1,X1062,IF(AI1062=2,AC1062,""))="R","VT REJETÉ – À REPRENDRE",IF(AJ1062="CO","COUPE – À RESOUDER","À RÉPARER"))))))))))</f>
        <v/>
      </c>
      <c r="AL1062" s="82" t="str">
        <f aca="false">IF(AND(ISNUMBER(P1062),OR(AK1062="À RADIOGRAPHIER",AK1062="RÉPARÉ – À RADIOGRAPHIER",AK1062="NX – RT À REFAIRE",AK1062="À RÉPARER",AK1062="COUPE – À RESOUDER",AK1062="VT REJETÉ – À REPRENDRE")),MAX(0,'PROGRAMME RT'!$C$4-P1062),"")</f>
        <v/>
      </c>
      <c r="AM1062" s="78" t="n">
        <f aca="false">IF(AND(OR(AK1062="À RADIOGRAPHIER",AK1062="RÉPARÉ – À RADIOGRAPHIER",AK1062="NX – RT À REFAIRE"),OR('PROGRAMME RT'!$D$5="TOUTES",B1062='PROGRAMME RT'!$D$5)),1,0)</f>
        <v>0</v>
      </c>
      <c r="AN1062" s="78" t="str">
        <f aca="false">IF(AM1062=1,SUM(AM$7:AM1062),"")</f>
        <v/>
      </c>
      <c r="AO1062" s="78" t="n">
        <f aca="false">IF(AND(OR(AK1062="À RÉPARER",AK1062="COUPE – À RESOUDER",AK1062="VT REJETÉ – À REPRENDRE"),OR(RÉPARATIONS!$D$5="TOUTES",B1062=RÉPARATIONS!$D$5)),1,0)</f>
        <v>0</v>
      </c>
      <c r="AP1062" s="78" t="str">
        <f aca="false">IF(AO1062=1,SUM(AO$7:AO1062),"")</f>
        <v/>
      </c>
    </row>
    <row r="1063" customFormat="false" ht="15" hidden="false" customHeight="false" outlineLevel="0" collapsed="false">
      <c r="A1063" s="78" t="str">
        <f aca="false">IF(E1063="","",ROW()-6)</f>
        <v/>
      </c>
      <c r="B1063" s="79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0"/>
      <c r="P1063" s="81"/>
      <c r="Q1063" s="81"/>
      <c r="R1063" s="80"/>
      <c r="S1063" s="80"/>
      <c r="T1063" s="81"/>
      <c r="U1063" s="80"/>
      <c r="V1063" s="80"/>
      <c r="W1063" s="80"/>
      <c r="X1063" s="80"/>
      <c r="Y1063" s="81"/>
      <c r="Z1063" s="80"/>
      <c r="AA1063" s="80"/>
      <c r="AB1063" s="80"/>
      <c r="AC1063" s="80"/>
      <c r="AD1063" s="81"/>
      <c r="AE1063" s="80"/>
      <c r="AF1063" s="80"/>
      <c r="AG1063" s="81"/>
      <c r="AH1063" s="79"/>
      <c r="AI1063" s="78" t="str">
        <f aca="false">IF(E1063="","",(V1063&lt;&gt;"")+(AA1063&lt;&gt;"")+(AF1063&lt;&gt;""))</f>
        <v/>
      </c>
      <c r="AJ1063" s="82" t="str">
        <f aca="false">IF(AF1063&lt;&gt;"",AF1063,IF(AA1063&lt;&gt;"",AA1063,IF(V1063&lt;&gt;"",V1063,"")))</f>
        <v/>
      </c>
      <c r="AK1063" s="83" t="str">
        <f aca="false">IF(E1063="","",IF(P1063="","À SOUDER",IF(S1063="","VT EN ATTENTE",IF(S1063="R","VT REJETÉ – À REPRENDRE",IF(AJ1063="","À RADIOGRAPHIER",IF(AJ1063="A","ACCEPTÉ",IF(AJ1063="NX","NX – RT À REFAIRE",IF(IF(AI1063=1,X1063,IF(AI1063=2,AC1063,""))="A","RÉPARÉ – À RADIOGRAPHIER",IF(IF(AI1063=1,X1063,IF(AI1063=2,AC1063,""))="R","VT REJETÉ – À REPRENDRE",IF(AJ1063="CO","COUPE – À RESOUDER","À RÉPARER"))))))))))</f>
        <v/>
      </c>
      <c r="AL1063" s="82" t="str">
        <f aca="false">IF(AND(ISNUMBER(P1063),OR(AK1063="À RADIOGRAPHIER",AK1063="RÉPARÉ – À RADIOGRAPHIER",AK1063="NX – RT À REFAIRE",AK1063="À RÉPARER",AK1063="COUPE – À RESOUDER",AK1063="VT REJETÉ – À REPRENDRE")),MAX(0,'PROGRAMME RT'!$C$4-P1063),"")</f>
        <v/>
      </c>
      <c r="AM1063" s="78" t="n">
        <f aca="false">IF(AND(OR(AK1063="À RADIOGRAPHIER",AK1063="RÉPARÉ – À RADIOGRAPHIER",AK1063="NX – RT À REFAIRE"),OR('PROGRAMME RT'!$D$5="TOUTES",B1063='PROGRAMME RT'!$D$5)),1,0)</f>
        <v>0</v>
      </c>
      <c r="AN1063" s="78" t="str">
        <f aca="false">IF(AM1063=1,SUM(AM$7:AM1063),"")</f>
        <v/>
      </c>
      <c r="AO1063" s="78" t="n">
        <f aca="false">IF(AND(OR(AK1063="À RÉPARER",AK1063="COUPE – À RESOUDER",AK1063="VT REJETÉ – À REPRENDRE"),OR(RÉPARATIONS!$D$5="TOUTES",B1063=RÉPARATIONS!$D$5)),1,0)</f>
        <v>0</v>
      </c>
      <c r="AP1063" s="78" t="str">
        <f aca="false">IF(AO1063=1,SUM(AO$7:AO1063),"")</f>
        <v/>
      </c>
    </row>
    <row r="1064" customFormat="false" ht="15" hidden="false" customHeight="false" outlineLevel="0" collapsed="false">
      <c r="A1064" s="78" t="str">
        <f aca="false">IF(E1064="","",ROW()-6)</f>
        <v/>
      </c>
      <c r="B1064" s="79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0"/>
      <c r="P1064" s="81"/>
      <c r="Q1064" s="81"/>
      <c r="R1064" s="80"/>
      <c r="S1064" s="80"/>
      <c r="T1064" s="81"/>
      <c r="U1064" s="80"/>
      <c r="V1064" s="80"/>
      <c r="W1064" s="80"/>
      <c r="X1064" s="80"/>
      <c r="Y1064" s="81"/>
      <c r="Z1064" s="80"/>
      <c r="AA1064" s="80"/>
      <c r="AB1064" s="80"/>
      <c r="AC1064" s="80"/>
      <c r="AD1064" s="81"/>
      <c r="AE1064" s="80"/>
      <c r="AF1064" s="80"/>
      <c r="AG1064" s="81"/>
      <c r="AH1064" s="79"/>
      <c r="AI1064" s="78" t="str">
        <f aca="false">IF(E1064="","",(V1064&lt;&gt;"")+(AA1064&lt;&gt;"")+(AF1064&lt;&gt;""))</f>
        <v/>
      </c>
      <c r="AJ1064" s="82" t="str">
        <f aca="false">IF(AF1064&lt;&gt;"",AF1064,IF(AA1064&lt;&gt;"",AA1064,IF(V1064&lt;&gt;"",V1064,"")))</f>
        <v/>
      </c>
      <c r="AK1064" s="83" t="str">
        <f aca="false">IF(E1064="","",IF(P1064="","À SOUDER",IF(S1064="","VT EN ATTENTE",IF(S1064="R","VT REJETÉ – À REPRENDRE",IF(AJ1064="","À RADIOGRAPHIER",IF(AJ1064="A","ACCEPTÉ",IF(AJ1064="NX","NX – RT À REFAIRE",IF(IF(AI1064=1,X1064,IF(AI1064=2,AC1064,""))="A","RÉPARÉ – À RADIOGRAPHIER",IF(IF(AI1064=1,X1064,IF(AI1064=2,AC1064,""))="R","VT REJETÉ – À REPRENDRE",IF(AJ1064="CO","COUPE – À RESOUDER","À RÉPARER"))))))))))</f>
        <v/>
      </c>
      <c r="AL1064" s="82" t="str">
        <f aca="false">IF(AND(ISNUMBER(P1064),OR(AK1064="À RADIOGRAPHIER",AK1064="RÉPARÉ – À RADIOGRAPHIER",AK1064="NX – RT À REFAIRE",AK1064="À RÉPARER",AK1064="COUPE – À RESOUDER",AK1064="VT REJETÉ – À REPRENDRE")),MAX(0,'PROGRAMME RT'!$C$4-P1064),"")</f>
        <v/>
      </c>
      <c r="AM1064" s="78" t="n">
        <f aca="false">IF(AND(OR(AK1064="À RADIOGRAPHIER",AK1064="RÉPARÉ – À RADIOGRAPHIER",AK1064="NX – RT À REFAIRE"),OR('PROGRAMME RT'!$D$5="TOUTES",B1064='PROGRAMME RT'!$D$5)),1,0)</f>
        <v>0</v>
      </c>
      <c r="AN1064" s="78" t="str">
        <f aca="false">IF(AM1064=1,SUM(AM$7:AM1064),"")</f>
        <v/>
      </c>
      <c r="AO1064" s="78" t="n">
        <f aca="false">IF(AND(OR(AK1064="À RÉPARER",AK1064="COUPE – À RESOUDER",AK1064="VT REJETÉ – À REPRENDRE"),OR(RÉPARATIONS!$D$5="TOUTES",B1064=RÉPARATIONS!$D$5)),1,0)</f>
        <v>0</v>
      </c>
      <c r="AP1064" s="78" t="str">
        <f aca="false">IF(AO1064=1,SUM(AO$7:AO1064),"")</f>
        <v/>
      </c>
    </row>
    <row r="1065" customFormat="false" ht="15" hidden="false" customHeight="false" outlineLevel="0" collapsed="false">
      <c r="A1065" s="78" t="str">
        <f aca="false">IF(E1065="","",ROW()-6)</f>
        <v/>
      </c>
      <c r="B1065" s="79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0"/>
      <c r="P1065" s="81"/>
      <c r="Q1065" s="81"/>
      <c r="R1065" s="80"/>
      <c r="S1065" s="80"/>
      <c r="T1065" s="81"/>
      <c r="U1065" s="80"/>
      <c r="V1065" s="80"/>
      <c r="W1065" s="80"/>
      <c r="X1065" s="80"/>
      <c r="Y1065" s="81"/>
      <c r="Z1065" s="80"/>
      <c r="AA1065" s="80"/>
      <c r="AB1065" s="80"/>
      <c r="AC1065" s="80"/>
      <c r="AD1065" s="81"/>
      <c r="AE1065" s="80"/>
      <c r="AF1065" s="80"/>
      <c r="AG1065" s="81"/>
      <c r="AH1065" s="79"/>
      <c r="AI1065" s="78" t="str">
        <f aca="false">IF(E1065="","",(V1065&lt;&gt;"")+(AA1065&lt;&gt;"")+(AF1065&lt;&gt;""))</f>
        <v/>
      </c>
      <c r="AJ1065" s="82" t="str">
        <f aca="false">IF(AF1065&lt;&gt;"",AF1065,IF(AA1065&lt;&gt;"",AA1065,IF(V1065&lt;&gt;"",V1065,"")))</f>
        <v/>
      </c>
      <c r="AK1065" s="83" t="str">
        <f aca="false">IF(E1065="","",IF(P1065="","À SOUDER",IF(S1065="","VT EN ATTENTE",IF(S1065="R","VT REJETÉ – À REPRENDRE",IF(AJ1065="","À RADIOGRAPHIER",IF(AJ1065="A","ACCEPTÉ",IF(AJ1065="NX","NX – RT À REFAIRE",IF(IF(AI1065=1,X1065,IF(AI1065=2,AC1065,""))="A","RÉPARÉ – À RADIOGRAPHIER",IF(IF(AI1065=1,X1065,IF(AI1065=2,AC1065,""))="R","VT REJETÉ – À REPRENDRE",IF(AJ1065="CO","COUPE – À RESOUDER","À RÉPARER"))))))))))</f>
        <v/>
      </c>
      <c r="AL1065" s="82" t="str">
        <f aca="false">IF(AND(ISNUMBER(P1065),OR(AK1065="À RADIOGRAPHIER",AK1065="RÉPARÉ – À RADIOGRAPHIER",AK1065="NX – RT À REFAIRE",AK1065="À RÉPARER",AK1065="COUPE – À RESOUDER",AK1065="VT REJETÉ – À REPRENDRE")),MAX(0,'PROGRAMME RT'!$C$4-P1065),"")</f>
        <v/>
      </c>
      <c r="AM1065" s="78" t="n">
        <f aca="false">IF(AND(OR(AK1065="À RADIOGRAPHIER",AK1065="RÉPARÉ – À RADIOGRAPHIER",AK1065="NX – RT À REFAIRE"),OR('PROGRAMME RT'!$D$5="TOUTES",B1065='PROGRAMME RT'!$D$5)),1,0)</f>
        <v>0</v>
      </c>
      <c r="AN1065" s="78" t="str">
        <f aca="false">IF(AM1065=1,SUM(AM$7:AM1065),"")</f>
        <v/>
      </c>
      <c r="AO1065" s="78" t="n">
        <f aca="false">IF(AND(OR(AK1065="À RÉPARER",AK1065="COUPE – À RESOUDER",AK1065="VT REJETÉ – À REPRENDRE"),OR(RÉPARATIONS!$D$5="TOUTES",B1065=RÉPARATIONS!$D$5)),1,0)</f>
        <v>0</v>
      </c>
      <c r="AP1065" s="78" t="str">
        <f aca="false">IF(AO1065=1,SUM(AO$7:AO1065),"")</f>
        <v/>
      </c>
    </row>
    <row r="1066" customFormat="false" ht="15" hidden="false" customHeight="false" outlineLevel="0" collapsed="false">
      <c r="A1066" s="78" t="str">
        <f aca="false">IF(E1066="","",ROW()-6)</f>
        <v/>
      </c>
      <c r="B1066" s="79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0"/>
      <c r="P1066" s="81"/>
      <c r="Q1066" s="81"/>
      <c r="R1066" s="80"/>
      <c r="S1066" s="80"/>
      <c r="T1066" s="81"/>
      <c r="U1066" s="80"/>
      <c r="V1066" s="80"/>
      <c r="W1066" s="80"/>
      <c r="X1066" s="80"/>
      <c r="Y1066" s="81"/>
      <c r="Z1066" s="80"/>
      <c r="AA1066" s="80"/>
      <c r="AB1066" s="80"/>
      <c r="AC1066" s="80"/>
      <c r="AD1066" s="81"/>
      <c r="AE1066" s="80"/>
      <c r="AF1066" s="80"/>
      <c r="AG1066" s="81"/>
      <c r="AH1066" s="79"/>
      <c r="AI1066" s="78" t="str">
        <f aca="false">IF(E1066="","",(V1066&lt;&gt;"")+(AA1066&lt;&gt;"")+(AF1066&lt;&gt;""))</f>
        <v/>
      </c>
      <c r="AJ1066" s="82" t="str">
        <f aca="false">IF(AF1066&lt;&gt;"",AF1066,IF(AA1066&lt;&gt;"",AA1066,IF(V1066&lt;&gt;"",V1066,"")))</f>
        <v/>
      </c>
      <c r="AK1066" s="83" t="str">
        <f aca="false">IF(E1066="","",IF(P1066="","À SOUDER",IF(S1066="","VT EN ATTENTE",IF(S1066="R","VT REJETÉ – À REPRENDRE",IF(AJ1066="","À RADIOGRAPHIER",IF(AJ1066="A","ACCEPTÉ",IF(AJ1066="NX","NX – RT À REFAIRE",IF(IF(AI1066=1,X1066,IF(AI1066=2,AC1066,""))="A","RÉPARÉ – À RADIOGRAPHIER",IF(IF(AI1066=1,X1066,IF(AI1066=2,AC1066,""))="R","VT REJETÉ – À REPRENDRE",IF(AJ1066="CO","COUPE – À RESOUDER","À RÉPARER"))))))))))</f>
        <v/>
      </c>
      <c r="AL1066" s="82" t="str">
        <f aca="false">IF(AND(ISNUMBER(P1066),OR(AK1066="À RADIOGRAPHIER",AK1066="RÉPARÉ – À RADIOGRAPHIER",AK1066="NX – RT À REFAIRE",AK1066="À RÉPARER",AK1066="COUPE – À RESOUDER",AK1066="VT REJETÉ – À REPRENDRE")),MAX(0,'PROGRAMME RT'!$C$4-P1066),"")</f>
        <v/>
      </c>
      <c r="AM1066" s="78" t="n">
        <f aca="false">IF(AND(OR(AK1066="À RADIOGRAPHIER",AK1066="RÉPARÉ – À RADIOGRAPHIER",AK1066="NX – RT À REFAIRE"),OR('PROGRAMME RT'!$D$5="TOUTES",B1066='PROGRAMME RT'!$D$5)),1,0)</f>
        <v>0</v>
      </c>
      <c r="AN1066" s="78" t="str">
        <f aca="false">IF(AM1066=1,SUM(AM$7:AM1066),"")</f>
        <v/>
      </c>
      <c r="AO1066" s="78" t="n">
        <f aca="false">IF(AND(OR(AK1066="À RÉPARER",AK1066="COUPE – À RESOUDER",AK1066="VT REJETÉ – À REPRENDRE"),OR(RÉPARATIONS!$D$5="TOUTES",B1066=RÉPARATIONS!$D$5)),1,0)</f>
        <v>0</v>
      </c>
      <c r="AP1066" s="78" t="str">
        <f aca="false">IF(AO1066=1,SUM(AO$7:AO1066),"")</f>
        <v/>
      </c>
    </row>
    <row r="1067" customFormat="false" ht="15" hidden="false" customHeight="false" outlineLevel="0" collapsed="false">
      <c r="A1067" s="78" t="str">
        <f aca="false">IF(E1067="","",ROW()-6)</f>
        <v/>
      </c>
      <c r="B1067" s="79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0"/>
      <c r="P1067" s="81"/>
      <c r="Q1067" s="81"/>
      <c r="R1067" s="80"/>
      <c r="S1067" s="80"/>
      <c r="T1067" s="81"/>
      <c r="U1067" s="80"/>
      <c r="V1067" s="80"/>
      <c r="W1067" s="80"/>
      <c r="X1067" s="80"/>
      <c r="Y1067" s="81"/>
      <c r="Z1067" s="80"/>
      <c r="AA1067" s="80"/>
      <c r="AB1067" s="80"/>
      <c r="AC1067" s="80"/>
      <c r="AD1067" s="81"/>
      <c r="AE1067" s="80"/>
      <c r="AF1067" s="80"/>
      <c r="AG1067" s="81"/>
      <c r="AH1067" s="79"/>
      <c r="AI1067" s="78" t="str">
        <f aca="false">IF(E1067="","",(V1067&lt;&gt;"")+(AA1067&lt;&gt;"")+(AF1067&lt;&gt;""))</f>
        <v/>
      </c>
      <c r="AJ1067" s="82" t="str">
        <f aca="false">IF(AF1067&lt;&gt;"",AF1067,IF(AA1067&lt;&gt;"",AA1067,IF(V1067&lt;&gt;"",V1067,"")))</f>
        <v/>
      </c>
      <c r="AK1067" s="83" t="str">
        <f aca="false">IF(E1067="","",IF(P1067="","À SOUDER",IF(S1067="","VT EN ATTENTE",IF(S1067="R","VT REJETÉ – À REPRENDRE",IF(AJ1067="","À RADIOGRAPHIER",IF(AJ1067="A","ACCEPTÉ",IF(AJ1067="NX","NX – RT À REFAIRE",IF(IF(AI1067=1,X1067,IF(AI1067=2,AC1067,""))="A","RÉPARÉ – À RADIOGRAPHIER",IF(IF(AI1067=1,X1067,IF(AI1067=2,AC1067,""))="R","VT REJETÉ – À REPRENDRE",IF(AJ1067="CO","COUPE – À RESOUDER","À RÉPARER"))))))))))</f>
        <v/>
      </c>
      <c r="AL1067" s="82" t="str">
        <f aca="false">IF(AND(ISNUMBER(P1067),OR(AK1067="À RADIOGRAPHIER",AK1067="RÉPARÉ – À RADIOGRAPHIER",AK1067="NX – RT À REFAIRE",AK1067="À RÉPARER",AK1067="COUPE – À RESOUDER",AK1067="VT REJETÉ – À REPRENDRE")),MAX(0,'PROGRAMME RT'!$C$4-P1067),"")</f>
        <v/>
      </c>
      <c r="AM1067" s="78" t="n">
        <f aca="false">IF(AND(OR(AK1067="À RADIOGRAPHIER",AK1067="RÉPARÉ – À RADIOGRAPHIER",AK1067="NX – RT À REFAIRE"),OR('PROGRAMME RT'!$D$5="TOUTES",B1067='PROGRAMME RT'!$D$5)),1,0)</f>
        <v>0</v>
      </c>
      <c r="AN1067" s="78" t="str">
        <f aca="false">IF(AM1067=1,SUM(AM$7:AM1067),"")</f>
        <v/>
      </c>
      <c r="AO1067" s="78" t="n">
        <f aca="false">IF(AND(OR(AK1067="À RÉPARER",AK1067="COUPE – À RESOUDER",AK1067="VT REJETÉ – À REPRENDRE"),OR(RÉPARATIONS!$D$5="TOUTES",B1067=RÉPARATIONS!$D$5)),1,0)</f>
        <v>0</v>
      </c>
      <c r="AP1067" s="78" t="str">
        <f aca="false">IF(AO1067=1,SUM(AO$7:AO1067),"")</f>
        <v/>
      </c>
    </row>
    <row r="1068" customFormat="false" ht="15" hidden="false" customHeight="false" outlineLevel="0" collapsed="false">
      <c r="A1068" s="78" t="str">
        <f aca="false">IF(E1068="","",ROW()-6)</f>
        <v/>
      </c>
      <c r="B1068" s="79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0"/>
      <c r="P1068" s="81"/>
      <c r="Q1068" s="81"/>
      <c r="R1068" s="80"/>
      <c r="S1068" s="80"/>
      <c r="T1068" s="81"/>
      <c r="U1068" s="80"/>
      <c r="V1068" s="80"/>
      <c r="W1068" s="80"/>
      <c r="X1068" s="80"/>
      <c r="Y1068" s="81"/>
      <c r="Z1068" s="80"/>
      <c r="AA1068" s="80"/>
      <c r="AB1068" s="80"/>
      <c r="AC1068" s="80"/>
      <c r="AD1068" s="81"/>
      <c r="AE1068" s="80"/>
      <c r="AF1068" s="80"/>
      <c r="AG1068" s="81"/>
      <c r="AH1068" s="79"/>
      <c r="AI1068" s="78" t="str">
        <f aca="false">IF(E1068="","",(V1068&lt;&gt;"")+(AA1068&lt;&gt;"")+(AF1068&lt;&gt;""))</f>
        <v/>
      </c>
      <c r="AJ1068" s="82" t="str">
        <f aca="false">IF(AF1068&lt;&gt;"",AF1068,IF(AA1068&lt;&gt;"",AA1068,IF(V1068&lt;&gt;"",V1068,"")))</f>
        <v/>
      </c>
      <c r="AK1068" s="83" t="str">
        <f aca="false">IF(E1068="","",IF(P1068="","À SOUDER",IF(S1068="","VT EN ATTENTE",IF(S1068="R","VT REJETÉ – À REPRENDRE",IF(AJ1068="","À RADIOGRAPHIER",IF(AJ1068="A","ACCEPTÉ",IF(AJ1068="NX","NX – RT À REFAIRE",IF(IF(AI1068=1,X1068,IF(AI1068=2,AC1068,""))="A","RÉPARÉ – À RADIOGRAPHIER",IF(IF(AI1068=1,X1068,IF(AI1068=2,AC1068,""))="R","VT REJETÉ – À REPRENDRE",IF(AJ1068="CO","COUPE – À RESOUDER","À RÉPARER"))))))))))</f>
        <v/>
      </c>
      <c r="AL1068" s="82" t="str">
        <f aca="false">IF(AND(ISNUMBER(P1068),OR(AK1068="À RADIOGRAPHIER",AK1068="RÉPARÉ – À RADIOGRAPHIER",AK1068="NX – RT À REFAIRE",AK1068="À RÉPARER",AK1068="COUPE – À RESOUDER",AK1068="VT REJETÉ – À REPRENDRE")),MAX(0,'PROGRAMME RT'!$C$4-P1068),"")</f>
        <v/>
      </c>
      <c r="AM1068" s="78" t="n">
        <f aca="false">IF(AND(OR(AK1068="À RADIOGRAPHIER",AK1068="RÉPARÉ – À RADIOGRAPHIER",AK1068="NX – RT À REFAIRE"),OR('PROGRAMME RT'!$D$5="TOUTES",B1068='PROGRAMME RT'!$D$5)),1,0)</f>
        <v>0</v>
      </c>
      <c r="AN1068" s="78" t="str">
        <f aca="false">IF(AM1068=1,SUM(AM$7:AM1068),"")</f>
        <v/>
      </c>
      <c r="AO1068" s="78" t="n">
        <f aca="false">IF(AND(OR(AK1068="À RÉPARER",AK1068="COUPE – À RESOUDER",AK1068="VT REJETÉ – À REPRENDRE"),OR(RÉPARATIONS!$D$5="TOUTES",B1068=RÉPARATIONS!$D$5)),1,0)</f>
        <v>0</v>
      </c>
      <c r="AP1068" s="78" t="str">
        <f aca="false">IF(AO1068=1,SUM(AO$7:AO1068),"")</f>
        <v/>
      </c>
    </row>
    <row r="1069" customFormat="false" ht="15" hidden="false" customHeight="false" outlineLevel="0" collapsed="false">
      <c r="A1069" s="78" t="str">
        <f aca="false">IF(E1069="","",ROW()-6)</f>
        <v/>
      </c>
      <c r="B1069" s="79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0"/>
      <c r="P1069" s="81"/>
      <c r="Q1069" s="81"/>
      <c r="R1069" s="80"/>
      <c r="S1069" s="80"/>
      <c r="T1069" s="81"/>
      <c r="U1069" s="80"/>
      <c r="V1069" s="80"/>
      <c r="W1069" s="80"/>
      <c r="X1069" s="80"/>
      <c r="Y1069" s="81"/>
      <c r="Z1069" s="80"/>
      <c r="AA1069" s="80"/>
      <c r="AB1069" s="80"/>
      <c r="AC1069" s="80"/>
      <c r="AD1069" s="81"/>
      <c r="AE1069" s="80"/>
      <c r="AF1069" s="80"/>
      <c r="AG1069" s="81"/>
      <c r="AH1069" s="79"/>
      <c r="AI1069" s="78" t="str">
        <f aca="false">IF(E1069="","",(V1069&lt;&gt;"")+(AA1069&lt;&gt;"")+(AF1069&lt;&gt;""))</f>
        <v/>
      </c>
      <c r="AJ1069" s="82" t="str">
        <f aca="false">IF(AF1069&lt;&gt;"",AF1069,IF(AA1069&lt;&gt;"",AA1069,IF(V1069&lt;&gt;"",V1069,"")))</f>
        <v/>
      </c>
      <c r="AK1069" s="83" t="str">
        <f aca="false">IF(E1069="","",IF(P1069="","À SOUDER",IF(S1069="","VT EN ATTENTE",IF(S1069="R","VT REJETÉ – À REPRENDRE",IF(AJ1069="","À RADIOGRAPHIER",IF(AJ1069="A","ACCEPTÉ",IF(AJ1069="NX","NX – RT À REFAIRE",IF(IF(AI1069=1,X1069,IF(AI1069=2,AC1069,""))="A","RÉPARÉ – À RADIOGRAPHIER",IF(IF(AI1069=1,X1069,IF(AI1069=2,AC1069,""))="R","VT REJETÉ – À REPRENDRE",IF(AJ1069="CO","COUPE – À RESOUDER","À RÉPARER"))))))))))</f>
        <v/>
      </c>
      <c r="AL1069" s="82" t="str">
        <f aca="false">IF(AND(ISNUMBER(P1069),OR(AK1069="À RADIOGRAPHIER",AK1069="RÉPARÉ – À RADIOGRAPHIER",AK1069="NX – RT À REFAIRE",AK1069="À RÉPARER",AK1069="COUPE – À RESOUDER",AK1069="VT REJETÉ – À REPRENDRE")),MAX(0,'PROGRAMME RT'!$C$4-P1069),"")</f>
        <v/>
      </c>
      <c r="AM1069" s="78" t="n">
        <f aca="false">IF(AND(OR(AK1069="À RADIOGRAPHIER",AK1069="RÉPARÉ – À RADIOGRAPHIER",AK1069="NX – RT À REFAIRE"),OR('PROGRAMME RT'!$D$5="TOUTES",B1069='PROGRAMME RT'!$D$5)),1,0)</f>
        <v>0</v>
      </c>
      <c r="AN1069" s="78" t="str">
        <f aca="false">IF(AM1069=1,SUM(AM$7:AM1069),"")</f>
        <v/>
      </c>
      <c r="AO1069" s="78" t="n">
        <f aca="false">IF(AND(OR(AK1069="À RÉPARER",AK1069="COUPE – À RESOUDER",AK1069="VT REJETÉ – À REPRENDRE"),OR(RÉPARATIONS!$D$5="TOUTES",B1069=RÉPARATIONS!$D$5)),1,0)</f>
        <v>0</v>
      </c>
      <c r="AP1069" s="78" t="str">
        <f aca="false">IF(AO1069=1,SUM(AO$7:AO1069),"")</f>
        <v/>
      </c>
    </row>
    <row r="1070" customFormat="false" ht="15" hidden="false" customHeight="false" outlineLevel="0" collapsed="false">
      <c r="A1070" s="78" t="str">
        <f aca="false">IF(E1070="","",ROW()-6)</f>
        <v/>
      </c>
      <c r="B1070" s="79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0"/>
      <c r="P1070" s="81"/>
      <c r="Q1070" s="81"/>
      <c r="R1070" s="80"/>
      <c r="S1070" s="80"/>
      <c r="T1070" s="81"/>
      <c r="U1070" s="80"/>
      <c r="V1070" s="80"/>
      <c r="W1070" s="80"/>
      <c r="X1070" s="80"/>
      <c r="Y1070" s="81"/>
      <c r="Z1070" s="80"/>
      <c r="AA1070" s="80"/>
      <c r="AB1070" s="80"/>
      <c r="AC1070" s="80"/>
      <c r="AD1070" s="81"/>
      <c r="AE1070" s="80"/>
      <c r="AF1070" s="80"/>
      <c r="AG1070" s="81"/>
      <c r="AH1070" s="79"/>
      <c r="AI1070" s="78" t="str">
        <f aca="false">IF(E1070="","",(V1070&lt;&gt;"")+(AA1070&lt;&gt;"")+(AF1070&lt;&gt;""))</f>
        <v/>
      </c>
      <c r="AJ1070" s="82" t="str">
        <f aca="false">IF(AF1070&lt;&gt;"",AF1070,IF(AA1070&lt;&gt;"",AA1070,IF(V1070&lt;&gt;"",V1070,"")))</f>
        <v/>
      </c>
      <c r="AK1070" s="83" t="str">
        <f aca="false">IF(E1070="","",IF(P1070="","À SOUDER",IF(S1070="","VT EN ATTENTE",IF(S1070="R","VT REJETÉ – À REPRENDRE",IF(AJ1070="","À RADIOGRAPHIER",IF(AJ1070="A","ACCEPTÉ",IF(AJ1070="NX","NX – RT À REFAIRE",IF(IF(AI1070=1,X1070,IF(AI1070=2,AC1070,""))="A","RÉPARÉ – À RADIOGRAPHIER",IF(IF(AI1070=1,X1070,IF(AI1070=2,AC1070,""))="R","VT REJETÉ – À REPRENDRE",IF(AJ1070="CO","COUPE – À RESOUDER","À RÉPARER"))))))))))</f>
        <v/>
      </c>
      <c r="AL1070" s="82" t="str">
        <f aca="false">IF(AND(ISNUMBER(P1070),OR(AK1070="À RADIOGRAPHIER",AK1070="RÉPARÉ – À RADIOGRAPHIER",AK1070="NX – RT À REFAIRE",AK1070="À RÉPARER",AK1070="COUPE – À RESOUDER",AK1070="VT REJETÉ – À REPRENDRE")),MAX(0,'PROGRAMME RT'!$C$4-P1070),"")</f>
        <v/>
      </c>
      <c r="AM1070" s="78" t="n">
        <f aca="false">IF(AND(OR(AK1070="À RADIOGRAPHIER",AK1070="RÉPARÉ – À RADIOGRAPHIER",AK1070="NX – RT À REFAIRE"),OR('PROGRAMME RT'!$D$5="TOUTES",B1070='PROGRAMME RT'!$D$5)),1,0)</f>
        <v>0</v>
      </c>
      <c r="AN1070" s="78" t="str">
        <f aca="false">IF(AM1070=1,SUM(AM$7:AM1070),"")</f>
        <v/>
      </c>
      <c r="AO1070" s="78" t="n">
        <f aca="false">IF(AND(OR(AK1070="À RÉPARER",AK1070="COUPE – À RESOUDER",AK1070="VT REJETÉ – À REPRENDRE"),OR(RÉPARATIONS!$D$5="TOUTES",B1070=RÉPARATIONS!$D$5)),1,0)</f>
        <v>0</v>
      </c>
      <c r="AP1070" s="78" t="str">
        <f aca="false">IF(AO1070=1,SUM(AO$7:AO1070),"")</f>
        <v/>
      </c>
    </row>
    <row r="1071" customFormat="false" ht="15" hidden="false" customHeight="false" outlineLevel="0" collapsed="false">
      <c r="A1071" s="78" t="str">
        <f aca="false">IF(E1071="","",ROW()-6)</f>
        <v/>
      </c>
      <c r="B1071" s="79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0"/>
      <c r="P1071" s="81"/>
      <c r="Q1071" s="81"/>
      <c r="R1071" s="80"/>
      <c r="S1071" s="80"/>
      <c r="T1071" s="81"/>
      <c r="U1071" s="80"/>
      <c r="V1071" s="80"/>
      <c r="W1071" s="80"/>
      <c r="X1071" s="80"/>
      <c r="Y1071" s="81"/>
      <c r="Z1071" s="80"/>
      <c r="AA1071" s="80"/>
      <c r="AB1071" s="80"/>
      <c r="AC1071" s="80"/>
      <c r="AD1071" s="81"/>
      <c r="AE1071" s="80"/>
      <c r="AF1071" s="80"/>
      <c r="AG1071" s="81"/>
      <c r="AH1071" s="79"/>
      <c r="AI1071" s="78" t="str">
        <f aca="false">IF(E1071="","",(V1071&lt;&gt;"")+(AA1071&lt;&gt;"")+(AF1071&lt;&gt;""))</f>
        <v/>
      </c>
      <c r="AJ1071" s="82" t="str">
        <f aca="false">IF(AF1071&lt;&gt;"",AF1071,IF(AA1071&lt;&gt;"",AA1071,IF(V1071&lt;&gt;"",V1071,"")))</f>
        <v/>
      </c>
      <c r="AK1071" s="83" t="str">
        <f aca="false">IF(E1071="","",IF(P1071="","À SOUDER",IF(S1071="","VT EN ATTENTE",IF(S1071="R","VT REJETÉ – À REPRENDRE",IF(AJ1071="","À RADIOGRAPHIER",IF(AJ1071="A","ACCEPTÉ",IF(AJ1071="NX","NX – RT À REFAIRE",IF(IF(AI1071=1,X1071,IF(AI1071=2,AC1071,""))="A","RÉPARÉ – À RADIOGRAPHIER",IF(IF(AI1071=1,X1071,IF(AI1071=2,AC1071,""))="R","VT REJETÉ – À REPRENDRE",IF(AJ1071="CO","COUPE – À RESOUDER","À RÉPARER"))))))))))</f>
        <v/>
      </c>
      <c r="AL1071" s="82" t="str">
        <f aca="false">IF(AND(ISNUMBER(P1071),OR(AK1071="À RADIOGRAPHIER",AK1071="RÉPARÉ – À RADIOGRAPHIER",AK1071="NX – RT À REFAIRE",AK1071="À RÉPARER",AK1071="COUPE – À RESOUDER",AK1071="VT REJETÉ – À REPRENDRE")),MAX(0,'PROGRAMME RT'!$C$4-P1071),"")</f>
        <v/>
      </c>
      <c r="AM1071" s="78" t="n">
        <f aca="false">IF(AND(OR(AK1071="À RADIOGRAPHIER",AK1071="RÉPARÉ – À RADIOGRAPHIER",AK1071="NX – RT À REFAIRE"),OR('PROGRAMME RT'!$D$5="TOUTES",B1071='PROGRAMME RT'!$D$5)),1,0)</f>
        <v>0</v>
      </c>
      <c r="AN1071" s="78" t="str">
        <f aca="false">IF(AM1071=1,SUM(AM$7:AM1071),"")</f>
        <v/>
      </c>
      <c r="AO1071" s="78" t="n">
        <f aca="false">IF(AND(OR(AK1071="À RÉPARER",AK1071="COUPE – À RESOUDER",AK1071="VT REJETÉ – À REPRENDRE"),OR(RÉPARATIONS!$D$5="TOUTES",B1071=RÉPARATIONS!$D$5)),1,0)</f>
        <v>0</v>
      </c>
      <c r="AP1071" s="78" t="str">
        <f aca="false">IF(AO1071=1,SUM(AO$7:AO1071),"")</f>
        <v/>
      </c>
    </row>
    <row r="1072" customFormat="false" ht="15" hidden="false" customHeight="false" outlineLevel="0" collapsed="false">
      <c r="A1072" s="78" t="str">
        <f aca="false">IF(E1072="","",ROW()-6)</f>
        <v/>
      </c>
      <c r="B1072" s="79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0"/>
      <c r="P1072" s="81"/>
      <c r="Q1072" s="81"/>
      <c r="R1072" s="80"/>
      <c r="S1072" s="80"/>
      <c r="T1072" s="81"/>
      <c r="U1072" s="80"/>
      <c r="V1072" s="80"/>
      <c r="W1072" s="80"/>
      <c r="X1072" s="80"/>
      <c r="Y1072" s="81"/>
      <c r="Z1072" s="80"/>
      <c r="AA1072" s="80"/>
      <c r="AB1072" s="80"/>
      <c r="AC1072" s="80"/>
      <c r="AD1072" s="81"/>
      <c r="AE1072" s="80"/>
      <c r="AF1072" s="80"/>
      <c r="AG1072" s="81"/>
      <c r="AH1072" s="79"/>
      <c r="AI1072" s="78" t="str">
        <f aca="false">IF(E1072="","",(V1072&lt;&gt;"")+(AA1072&lt;&gt;"")+(AF1072&lt;&gt;""))</f>
        <v/>
      </c>
      <c r="AJ1072" s="82" t="str">
        <f aca="false">IF(AF1072&lt;&gt;"",AF1072,IF(AA1072&lt;&gt;"",AA1072,IF(V1072&lt;&gt;"",V1072,"")))</f>
        <v/>
      </c>
      <c r="AK1072" s="83" t="str">
        <f aca="false">IF(E1072="","",IF(P1072="","À SOUDER",IF(S1072="","VT EN ATTENTE",IF(S1072="R","VT REJETÉ – À REPRENDRE",IF(AJ1072="","À RADIOGRAPHIER",IF(AJ1072="A","ACCEPTÉ",IF(AJ1072="NX","NX – RT À REFAIRE",IF(IF(AI1072=1,X1072,IF(AI1072=2,AC1072,""))="A","RÉPARÉ – À RADIOGRAPHIER",IF(IF(AI1072=1,X1072,IF(AI1072=2,AC1072,""))="R","VT REJETÉ – À REPRENDRE",IF(AJ1072="CO","COUPE – À RESOUDER","À RÉPARER"))))))))))</f>
        <v/>
      </c>
      <c r="AL1072" s="82" t="str">
        <f aca="false">IF(AND(ISNUMBER(P1072),OR(AK1072="À RADIOGRAPHIER",AK1072="RÉPARÉ – À RADIOGRAPHIER",AK1072="NX – RT À REFAIRE",AK1072="À RÉPARER",AK1072="COUPE – À RESOUDER",AK1072="VT REJETÉ – À REPRENDRE")),MAX(0,'PROGRAMME RT'!$C$4-P1072),"")</f>
        <v/>
      </c>
      <c r="AM1072" s="78" t="n">
        <f aca="false">IF(AND(OR(AK1072="À RADIOGRAPHIER",AK1072="RÉPARÉ – À RADIOGRAPHIER",AK1072="NX – RT À REFAIRE"),OR('PROGRAMME RT'!$D$5="TOUTES",B1072='PROGRAMME RT'!$D$5)),1,0)</f>
        <v>0</v>
      </c>
      <c r="AN1072" s="78" t="str">
        <f aca="false">IF(AM1072=1,SUM(AM$7:AM1072),"")</f>
        <v/>
      </c>
      <c r="AO1072" s="78" t="n">
        <f aca="false">IF(AND(OR(AK1072="À RÉPARER",AK1072="COUPE – À RESOUDER",AK1072="VT REJETÉ – À REPRENDRE"),OR(RÉPARATIONS!$D$5="TOUTES",B1072=RÉPARATIONS!$D$5)),1,0)</f>
        <v>0</v>
      </c>
      <c r="AP1072" s="78" t="str">
        <f aca="false">IF(AO1072=1,SUM(AO$7:AO1072),"")</f>
        <v/>
      </c>
    </row>
    <row r="1073" customFormat="false" ht="15" hidden="false" customHeight="false" outlineLevel="0" collapsed="false">
      <c r="A1073" s="78" t="str">
        <f aca="false">IF(E1073="","",ROW()-6)</f>
        <v/>
      </c>
      <c r="B1073" s="79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0"/>
      <c r="P1073" s="81"/>
      <c r="Q1073" s="81"/>
      <c r="R1073" s="80"/>
      <c r="S1073" s="80"/>
      <c r="T1073" s="81"/>
      <c r="U1073" s="80"/>
      <c r="V1073" s="80"/>
      <c r="W1073" s="80"/>
      <c r="X1073" s="80"/>
      <c r="Y1073" s="81"/>
      <c r="Z1073" s="80"/>
      <c r="AA1073" s="80"/>
      <c r="AB1073" s="80"/>
      <c r="AC1073" s="80"/>
      <c r="AD1073" s="81"/>
      <c r="AE1073" s="80"/>
      <c r="AF1073" s="80"/>
      <c r="AG1073" s="81"/>
      <c r="AH1073" s="79"/>
      <c r="AI1073" s="78" t="str">
        <f aca="false">IF(E1073="","",(V1073&lt;&gt;"")+(AA1073&lt;&gt;"")+(AF1073&lt;&gt;""))</f>
        <v/>
      </c>
      <c r="AJ1073" s="82" t="str">
        <f aca="false">IF(AF1073&lt;&gt;"",AF1073,IF(AA1073&lt;&gt;"",AA1073,IF(V1073&lt;&gt;"",V1073,"")))</f>
        <v/>
      </c>
      <c r="AK1073" s="83" t="str">
        <f aca="false">IF(E1073="","",IF(P1073="","À SOUDER",IF(S1073="","VT EN ATTENTE",IF(S1073="R","VT REJETÉ – À REPRENDRE",IF(AJ1073="","À RADIOGRAPHIER",IF(AJ1073="A","ACCEPTÉ",IF(AJ1073="NX","NX – RT À REFAIRE",IF(IF(AI1073=1,X1073,IF(AI1073=2,AC1073,""))="A","RÉPARÉ – À RADIOGRAPHIER",IF(IF(AI1073=1,X1073,IF(AI1073=2,AC1073,""))="R","VT REJETÉ – À REPRENDRE",IF(AJ1073="CO","COUPE – À RESOUDER","À RÉPARER"))))))))))</f>
        <v/>
      </c>
      <c r="AL1073" s="82" t="str">
        <f aca="false">IF(AND(ISNUMBER(P1073),OR(AK1073="À RADIOGRAPHIER",AK1073="RÉPARÉ – À RADIOGRAPHIER",AK1073="NX – RT À REFAIRE",AK1073="À RÉPARER",AK1073="COUPE – À RESOUDER",AK1073="VT REJETÉ – À REPRENDRE")),MAX(0,'PROGRAMME RT'!$C$4-P1073),"")</f>
        <v/>
      </c>
      <c r="AM1073" s="78" t="n">
        <f aca="false">IF(AND(OR(AK1073="À RADIOGRAPHIER",AK1073="RÉPARÉ – À RADIOGRAPHIER",AK1073="NX – RT À REFAIRE"),OR('PROGRAMME RT'!$D$5="TOUTES",B1073='PROGRAMME RT'!$D$5)),1,0)</f>
        <v>0</v>
      </c>
      <c r="AN1073" s="78" t="str">
        <f aca="false">IF(AM1073=1,SUM(AM$7:AM1073),"")</f>
        <v/>
      </c>
      <c r="AO1073" s="78" t="n">
        <f aca="false">IF(AND(OR(AK1073="À RÉPARER",AK1073="COUPE – À RESOUDER",AK1073="VT REJETÉ – À REPRENDRE"),OR(RÉPARATIONS!$D$5="TOUTES",B1073=RÉPARATIONS!$D$5)),1,0)</f>
        <v>0</v>
      </c>
      <c r="AP1073" s="78" t="str">
        <f aca="false">IF(AO1073=1,SUM(AO$7:AO1073),"")</f>
        <v/>
      </c>
    </row>
    <row r="1074" customFormat="false" ht="15" hidden="false" customHeight="false" outlineLevel="0" collapsed="false">
      <c r="A1074" s="78" t="str">
        <f aca="false">IF(E1074="","",ROW()-6)</f>
        <v/>
      </c>
      <c r="B1074" s="79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0"/>
      <c r="P1074" s="81"/>
      <c r="Q1074" s="81"/>
      <c r="R1074" s="80"/>
      <c r="S1074" s="80"/>
      <c r="T1074" s="81"/>
      <c r="U1074" s="80"/>
      <c r="V1074" s="80"/>
      <c r="W1074" s="80"/>
      <c r="X1074" s="80"/>
      <c r="Y1074" s="81"/>
      <c r="Z1074" s="80"/>
      <c r="AA1074" s="80"/>
      <c r="AB1074" s="80"/>
      <c r="AC1074" s="80"/>
      <c r="AD1074" s="81"/>
      <c r="AE1074" s="80"/>
      <c r="AF1074" s="80"/>
      <c r="AG1074" s="81"/>
      <c r="AH1074" s="79"/>
      <c r="AI1074" s="78" t="str">
        <f aca="false">IF(E1074="","",(V1074&lt;&gt;"")+(AA1074&lt;&gt;"")+(AF1074&lt;&gt;""))</f>
        <v/>
      </c>
      <c r="AJ1074" s="82" t="str">
        <f aca="false">IF(AF1074&lt;&gt;"",AF1074,IF(AA1074&lt;&gt;"",AA1074,IF(V1074&lt;&gt;"",V1074,"")))</f>
        <v/>
      </c>
      <c r="AK1074" s="83" t="str">
        <f aca="false">IF(E1074="","",IF(P1074="","À SOUDER",IF(S1074="","VT EN ATTENTE",IF(S1074="R","VT REJETÉ – À REPRENDRE",IF(AJ1074="","À RADIOGRAPHIER",IF(AJ1074="A","ACCEPTÉ",IF(AJ1074="NX","NX – RT À REFAIRE",IF(IF(AI1074=1,X1074,IF(AI1074=2,AC1074,""))="A","RÉPARÉ – À RADIOGRAPHIER",IF(IF(AI1074=1,X1074,IF(AI1074=2,AC1074,""))="R","VT REJETÉ – À REPRENDRE",IF(AJ1074="CO","COUPE – À RESOUDER","À RÉPARER"))))))))))</f>
        <v/>
      </c>
      <c r="AL1074" s="82" t="str">
        <f aca="false">IF(AND(ISNUMBER(P1074),OR(AK1074="À RADIOGRAPHIER",AK1074="RÉPARÉ – À RADIOGRAPHIER",AK1074="NX – RT À REFAIRE",AK1074="À RÉPARER",AK1074="COUPE – À RESOUDER",AK1074="VT REJETÉ – À REPRENDRE")),MAX(0,'PROGRAMME RT'!$C$4-P1074),"")</f>
        <v/>
      </c>
      <c r="AM1074" s="78" t="n">
        <f aca="false">IF(AND(OR(AK1074="À RADIOGRAPHIER",AK1074="RÉPARÉ – À RADIOGRAPHIER",AK1074="NX – RT À REFAIRE"),OR('PROGRAMME RT'!$D$5="TOUTES",B1074='PROGRAMME RT'!$D$5)),1,0)</f>
        <v>0</v>
      </c>
      <c r="AN1074" s="78" t="str">
        <f aca="false">IF(AM1074=1,SUM(AM$7:AM1074),"")</f>
        <v/>
      </c>
      <c r="AO1074" s="78" t="n">
        <f aca="false">IF(AND(OR(AK1074="À RÉPARER",AK1074="COUPE – À RESOUDER",AK1074="VT REJETÉ – À REPRENDRE"),OR(RÉPARATIONS!$D$5="TOUTES",B1074=RÉPARATIONS!$D$5)),1,0)</f>
        <v>0</v>
      </c>
      <c r="AP1074" s="78" t="str">
        <f aca="false">IF(AO1074=1,SUM(AO$7:AO1074),"")</f>
        <v/>
      </c>
    </row>
    <row r="1075" customFormat="false" ht="15" hidden="false" customHeight="false" outlineLevel="0" collapsed="false">
      <c r="A1075" s="78" t="str">
        <f aca="false">IF(E1075="","",ROW()-6)</f>
        <v/>
      </c>
      <c r="B1075" s="79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0"/>
      <c r="P1075" s="81"/>
      <c r="Q1075" s="81"/>
      <c r="R1075" s="80"/>
      <c r="S1075" s="80"/>
      <c r="T1075" s="81"/>
      <c r="U1075" s="80"/>
      <c r="V1075" s="80"/>
      <c r="W1075" s="80"/>
      <c r="X1075" s="80"/>
      <c r="Y1075" s="81"/>
      <c r="Z1075" s="80"/>
      <c r="AA1075" s="80"/>
      <c r="AB1075" s="80"/>
      <c r="AC1075" s="80"/>
      <c r="AD1075" s="81"/>
      <c r="AE1075" s="80"/>
      <c r="AF1075" s="80"/>
      <c r="AG1075" s="81"/>
      <c r="AH1075" s="79"/>
      <c r="AI1075" s="78" t="str">
        <f aca="false">IF(E1075="","",(V1075&lt;&gt;"")+(AA1075&lt;&gt;"")+(AF1075&lt;&gt;""))</f>
        <v/>
      </c>
      <c r="AJ1075" s="82" t="str">
        <f aca="false">IF(AF1075&lt;&gt;"",AF1075,IF(AA1075&lt;&gt;"",AA1075,IF(V1075&lt;&gt;"",V1075,"")))</f>
        <v/>
      </c>
      <c r="AK1075" s="83" t="str">
        <f aca="false">IF(E1075="","",IF(P1075="","À SOUDER",IF(S1075="","VT EN ATTENTE",IF(S1075="R","VT REJETÉ – À REPRENDRE",IF(AJ1075="","À RADIOGRAPHIER",IF(AJ1075="A","ACCEPTÉ",IF(AJ1075="NX","NX – RT À REFAIRE",IF(IF(AI1075=1,X1075,IF(AI1075=2,AC1075,""))="A","RÉPARÉ – À RADIOGRAPHIER",IF(IF(AI1075=1,X1075,IF(AI1075=2,AC1075,""))="R","VT REJETÉ – À REPRENDRE",IF(AJ1075="CO","COUPE – À RESOUDER","À RÉPARER"))))))))))</f>
        <v/>
      </c>
      <c r="AL1075" s="82" t="str">
        <f aca="false">IF(AND(ISNUMBER(P1075),OR(AK1075="À RADIOGRAPHIER",AK1075="RÉPARÉ – À RADIOGRAPHIER",AK1075="NX – RT À REFAIRE",AK1075="À RÉPARER",AK1075="COUPE – À RESOUDER",AK1075="VT REJETÉ – À REPRENDRE")),MAX(0,'PROGRAMME RT'!$C$4-P1075),"")</f>
        <v/>
      </c>
      <c r="AM1075" s="78" t="n">
        <f aca="false">IF(AND(OR(AK1075="À RADIOGRAPHIER",AK1075="RÉPARÉ – À RADIOGRAPHIER",AK1075="NX – RT À REFAIRE"),OR('PROGRAMME RT'!$D$5="TOUTES",B1075='PROGRAMME RT'!$D$5)),1,0)</f>
        <v>0</v>
      </c>
      <c r="AN1075" s="78" t="str">
        <f aca="false">IF(AM1075=1,SUM(AM$7:AM1075),"")</f>
        <v/>
      </c>
      <c r="AO1075" s="78" t="n">
        <f aca="false">IF(AND(OR(AK1075="À RÉPARER",AK1075="COUPE – À RESOUDER",AK1075="VT REJETÉ – À REPRENDRE"),OR(RÉPARATIONS!$D$5="TOUTES",B1075=RÉPARATIONS!$D$5)),1,0)</f>
        <v>0</v>
      </c>
      <c r="AP1075" s="78" t="str">
        <f aca="false">IF(AO1075=1,SUM(AO$7:AO1075),"")</f>
        <v/>
      </c>
    </row>
    <row r="1076" customFormat="false" ht="15" hidden="false" customHeight="false" outlineLevel="0" collapsed="false">
      <c r="A1076" s="78" t="str">
        <f aca="false">IF(E1076="","",ROW()-6)</f>
        <v/>
      </c>
      <c r="B1076" s="79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0"/>
      <c r="P1076" s="81"/>
      <c r="Q1076" s="81"/>
      <c r="R1076" s="80"/>
      <c r="S1076" s="80"/>
      <c r="T1076" s="81"/>
      <c r="U1076" s="80"/>
      <c r="V1076" s="80"/>
      <c r="W1076" s="80"/>
      <c r="X1076" s="80"/>
      <c r="Y1076" s="81"/>
      <c r="Z1076" s="80"/>
      <c r="AA1076" s="80"/>
      <c r="AB1076" s="80"/>
      <c r="AC1076" s="80"/>
      <c r="AD1076" s="81"/>
      <c r="AE1076" s="80"/>
      <c r="AF1076" s="80"/>
      <c r="AG1076" s="81"/>
      <c r="AH1076" s="79"/>
      <c r="AI1076" s="78" t="str">
        <f aca="false">IF(E1076="","",(V1076&lt;&gt;"")+(AA1076&lt;&gt;"")+(AF1076&lt;&gt;""))</f>
        <v/>
      </c>
      <c r="AJ1076" s="82" t="str">
        <f aca="false">IF(AF1076&lt;&gt;"",AF1076,IF(AA1076&lt;&gt;"",AA1076,IF(V1076&lt;&gt;"",V1076,"")))</f>
        <v/>
      </c>
      <c r="AK1076" s="83" t="str">
        <f aca="false">IF(E1076="","",IF(P1076="","À SOUDER",IF(S1076="","VT EN ATTENTE",IF(S1076="R","VT REJETÉ – À REPRENDRE",IF(AJ1076="","À RADIOGRAPHIER",IF(AJ1076="A","ACCEPTÉ",IF(AJ1076="NX","NX – RT À REFAIRE",IF(IF(AI1076=1,X1076,IF(AI1076=2,AC1076,""))="A","RÉPARÉ – À RADIOGRAPHIER",IF(IF(AI1076=1,X1076,IF(AI1076=2,AC1076,""))="R","VT REJETÉ – À REPRENDRE",IF(AJ1076="CO","COUPE – À RESOUDER","À RÉPARER"))))))))))</f>
        <v/>
      </c>
      <c r="AL1076" s="82" t="str">
        <f aca="false">IF(AND(ISNUMBER(P1076),OR(AK1076="À RADIOGRAPHIER",AK1076="RÉPARÉ – À RADIOGRAPHIER",AK1076="NX – RT À REFAIRE",AK1076="À RÉPARER",AK1076="COUPE – À RESOUDER",AK1076="VT REJETÉ – À REPRENDRE")),MAX(0,'PROGRAMME RT'!$C$4-P1076),"")</f>
        <v/>
      </c>
      <c r="AM1076" s="78" t="n">
        <f aca="false">IF(AND(OR(AK1076="À RADIOGRAPHIER",AK1076="RÉPARÉ – À RADIOGRAPHIER",AK1076="NX – RT À REFAIRE"),OR('PROGRAMME RT'!$D$5="TOUTES",B1076='PROGRAMME RT'!$D$5)),1,0)</f>
        <v>0</v>
      </c>
      <c r="AN1076" s="78" t="str">
        <f aca="false">IF(AM1076=1,SUM(AM$7:AM1076),"")</f>
        <v/>
      </c>
      <c r="AO1076" s="78" t="n">
        <f aca="false">IF(AND(OR(AK1076="À RÉPARER",AK1076="COUPE – À RESOUDER",AK1076="VT REJETÉ – À REPRENDRE"),OR(RÉPARATIONS!$D$5="TOUTES",B1076=RÉPARATIONS!$D$5)),1,0)</f>
        <v>0</v>
      </c>
      <c r="AP1076" s="78" t="str">
        <f aca="false">IF(AO1076=1,SUM(AO$7:AO1076),"")</f>
        <v/>
      </c>
    </row>
    <row r="1077" customFormat="false" ht="15" hidden="false" customHeight="false" outlineLevel="0" collapsed="false">
      <c r="A1077" s="78" t="str">
        <f aca="false">IF(E1077="","",ROW()-6)</f>
        <v/>
      </c>
      <c r="B1077" s="79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0"/>
      <c r="P1077" s="81"/>
      <c r="Q1077" s="81"/>
      <c r="R1077" s="80"/>
      <c r="S1077" s="80"/>
      <c r="T1077" s="81"/>
      <c r="U1077" s="80"/>
      <c r="V1077" s="80"/>
      <c r="W1077" s="80"/>
      <c r="X1077" s="80"/>
      <c r="Y1077" s="81"/>
      <c r="Z1077" s="80"/>
      <c r="AA1077" s="80"/>
      <c r="AB1077" s="80"/>
      <c r="AC1077" s="80"/>
      <c r="AD1077" s="81"/>
      <c r="AE1077" s="80"/>
      <c r="AF1077" s="80"/>
      <c r="AG1077" s="81"/>
      <c r="AH1077" s="79"/>
      <c r="AI1077" s="78" t="str">
        <f aca="false">IF(E1077="","",(V1077&lt;&gt;"")+(AA1077&lt;&gt;"")+(AF1077&lt;&gt;""))</f>
        <v/>
      </c>
      <c r="AJ1077" s="82" t="str">
        <f aca="false">IF(AF1077&lt;&gt;"",AF1077,IF(AA1077&lt;&gt;"",AA1077,IF(V1077&lt;&gt;"",V1077,"")))</f>
        <v/>
      </c>
      <c r="AK1077" s="83" t="str">
        <f aca="false">IF(E1077="","",IF(P1077="","À SOUDER",IF(S1077="","VT EN ATTENTE",IF(S1077="R","VT REJETÉ – À REPRENDRE",IF(AJ1077="","À RADIOGRAPHIER",IF(AJ1077="A","ACCEPTÉ",IF(AJ1077="NX","NX – RT À REFAIRE",IF(IF(AI1077=1,X1077,IF(AI1077=2,AC1077,""))="A","RÉPARÉ – À RADIOGRAPHIER",IF(IF(AI1077=1,X1077,IF(AI1077=2,AC1077,""))="R","VT REJETÉ – À REPRENDRE",IF(AJ1077="CO","COUPE – À RESOUDER","À RÉPARER"))))))))))</f>
        <v/>
      </c>
      <c r="AL1077" s="82" t="str">
        <f aca="false">IF(AND(ISNUMBER(P1077),OR(AK1077="À RADIOGRAPHIER",AK1077="RÉPARÉ – À RADIOGRAPHIER",AK1077="NX – RT À REFAIRE",AK1077="À RÉPARER",AK1077="COUPE – À RESOUDER",AK1077="VT REJETÉ – À REPRENDRE")),MAX(0,'PROGRAMME RT'!$C$4-P1077),"")</f>
        <v/>
      </c>
      <c r="AM1077" s="78" t="n">
        <f aca="false">IF(AND(OR(AK1077="À RADIOGRAPHIER",AK1077="RÉPARÉ – À RADIOGRAPHIER",AK1077="NX – RT À REFAIRE"),OR('PROGRAMME RT'!$D$5="TOUTES",B1077='PROGRAMME RT'!$D$5)),1,0)</f>
        <v>0</v>
      </c>
      <c r="AN1077" s="78" t="str">
        <f aca="false">IF(AM1077=1,SUM(AM$7:AM1077),"")</f>
        <v/>
      </c>
      <c r="AO1077" s="78" t="n">
        <f aca="false">IF(AND(OR(AK1077="À RÉPARER",AK1077="COUPE – À RESOUDER",AK1077="VT REJETÉ – À REPRENDRE"),OR(RÉPARATIONS!$D$5="TOUTES",B1077=RÉPARATIONS!$D$5)),1,0)</f>
        <v>0</v>
      </c>
      <c r="AP1077" s="78" t="str">
        <f aca="false">IF(AO1077=1,SUM(AO$7:AO1077),"")</f>
        <v/>
      </c>
    </row>
    <row r="1078" customFormat="false" ht="15" hidden="false" customHeight="false" outlineLevel="0" collapsed="false">
      <c r="A1078" s="78" t="str">
        <f aca="false">IF(E1078="","",ROW()-6)</f>
        <v/>
      </c>
      <c r="B1078" s="79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0"/>
      <c r="P1078" s="81"/>
      <c r="Q1078" s="81"/>
      <c r="R1078" s="80"/>
      <c r="S1078" s="80"/>
      <c r="T1078" s="81"/>
      <c r="U1078" s="80"/>
      <c r="V1078" s="80"/>
      <c r="W1078" s="80"/>
      <c r="X1078" s="80"/>
      <c r="Y1078" s="81"/>
      <c r="Z1078" s="80"/>
      <c r="AA1078" s="80"/>
      <c r="AB1078" s="80"/>
      <c r="AC1078" s="80"/>
      <c r="AD1078" s="81"/>
      <c r="AE1078" s="80"/>
      <c r="AF1078" s="80"/>
      <c r="AG1078" s="81"/>
      <c r="AH1078" s="79"/>
      <c r="AI1078" s="78" t="str">
        <f aca="false">IF(E1078="","",(V1078&lt;&gt;"")+(AA1078&lt;&gt;"")+(AF1078&lt;&gt;""))</f>
        <v/>
      </c>
      <c r="AJ1078" s="82" t="str">
        <f aca="false">IF(AF1078&lt;&gt;"",AF1078,IF(AA1078&lt;&gt;"",AA1078,IF(V1078&lt;&gt;"",V1078,"")))</f>
        <v/>
      </c>
      <c r="AK1078" s="83" t="str">
        <f aca="false">IF(E1078="","",IF(P1078="","À SOUDER",IF(S1078="","VT EN ATTENTE",IF(S1078="R","VT REJETÉ – À REPRENDRE",IF(AJ1078="","À RADIOGRAPHIER",IF(AJ1078="A","ACCEPTÉ",IF(AJ1078="NX","NX – RT À REFAIRE",IF(IF(AI1078=1,X1078,IF(AI1078=2,AC1078,""))="A","RÉPARÉ – À RADIOGRAPHIER",IF(IF(AI1078=1,X1078,IF(AI1078=2,AC1078,""))="R","VT REJETÉ – À REPRENDRE",IF(AJ1078="CO","COUPE – À RESOUDER","À RÉPARER"))))))))))</f>
        <v/>
      </c>
      <c r="AL1078" s="82" t="str">
        <f aca="false">IF(AND(ISNUMBER(P1078),OR(AK1078="À RADIOGRAPHIER",AK1078="RÉPARÉ – À RADIOGRAPHIER",AK1078="NX – RT À REFAIRE",AK1078="À RÉPARER",AK1078="COUPE – À RESOUDER",AK1078="VT REJETÉ – À REPRENDRE")),MAX(0,'PROGRAMME RT'!$C$4-P1078),"")</f>
        <v/>
      </c>
      <c r="AM1078" s="78" t="n">
        <f aca="false">IF(AND(OR(AK1078="À RADIOGRAPHIER",AK1078="RÉPARÉ – À RADIOGRAPHIER",AK1078="NX – RT À REFAIRE"),OR('PROGRAMME RT'!$D$5="TOUTES",B1078='PROGRAMME RT'!$D$5)),1,0)</f>
        <v>0</v>
      </c>
      <c r="AN1078" s="78" t="str">
        <f aca="false">IF(AM1078=1,SUM(AM$7:AM1078),"")</f>
        <v/>
      </c>
      <c r="AO1078" s="78" t="n">
        <f aca="false">IF(AND(OR(AK1078="À RÉPARER",AK1078="COUPE – À RESOUDER",AK1078="VT REJETÉ – À REPRENDRE"),OR(RÉPARATIONS!$D$5="TOUTES",B1078=RÉPARATIONS!$D$5)),1,0)</f>
        <v>0</v>
      </c>
      <c r="AP1078" s="78" t="str">
        <f aca="false">IF(AO1078=1,SUM(AO$7:AO1078),"")</f>
        <v/>
      </c>
    </row>
    <row r="1079" customFormat="false" ht="15" hidden="false" customHeight="false" outlineLevel="0" collapsed="false">
      <c r="A1079" s="78" t="str">
        <f aca="false">IF(E1079="","",ROW()-6)</f>
        <v/>
      </c>
      <c r="B1079" s="79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0"/>
      <c r="P1079" s="81"/>
      <c r="Q1079" s="81"/>
      <c r="R1079" s="80"/>
      <c r="S1079" s="80"/>
      <c r="T1079" s="81"/>
      <c r="U1079" s="80"/>
      <c r="V1079" s="80"/>
      <c r="W1079" s="80"/>
      <c r="X1079" s="80"/>
      <c r="Y1079" s="81"/>
      <c r="Z1079" s="80"/>
      <c r="AA1079" s="80"/>
      <c r="AB1079" s="80"/>
      <c r="AC1079" s="80"/>
      <c r="AD1079" s="81"/>
      <c r="AE1079" s="80"/>
      <c r="AF1079" s="80"/>
      <c r="AG1079" s="81"/>
      <c r="AH1079" s="79"/>
      <c r="AI1079" s="78" t="str">
        <f aca="false">IF(E1079="","",(V1079&lt;&gt;"")+(AA1079&lt;&gt;"")+(AF1079&lt;&gt;""))</f>
        <v/>
      </c>
      <c r="AJ1079" s="82" t="str">
        <f aca="false">IF(AF1079&lt;&gt;"",AF1079,IF(AA1079&lt;&gt;"",AA1079,IF(V1079&lt;&gt;"",V1079,"")))</f>
        <v/>
      </c>
      <c r="AK1079" s="83" t="str">
        <f aca="false">IF(E1079="","",IF(P1079="","À SOUDER",IF(S1079="","VT EN ATTENTE",IF(S1079="R","VT REJETÉ – À REPRENDRE",IF(AJ1079="","À RADIOGRAPHIER",IF(AJ1079="A","ACCEPTÉ",IF(AJ1079="NX","NX – RT À REFAIRE",IF(IF(AI1079=1,X1079,IF(AI1079=2,AC1079,""))="A","RÉPARÉ – À RADIOGRAPHIER",IF(IF(AI1079=1,X1079,IF(AI1079=2,AC1079,""))="R","VT REJETÉ – À REPRENDRE",IF(AJ1079="CO","COUPE – À RESOUDER","À RÉPARER"))))))))))</f>
        <v/>
      </c>
      <c r="AL1079" s="82" t="str">
        <f aca="false">IF(AND(ISNUMBER(P1079),OR(AK1079="À RADIOGRAPHIER",AK1079="RÉPARÉ – À RADIOGRAPHIER",AK1079="NX – RT À REFAIRE",AK1079="À RÉPARER",AK1079="COUPE – À RESOUDER",AK1079="VT REJETÉ – À REPRENDRE")),MAX(0,'PROGRAMME RT'!$C$4-P1079),"")</f>
        <v/>
      </c>
      <c r="AM1079" s="78" t="n">
        <f aca="false">IF(AND(OR(AK1079="À RADIOGRAPHIER",AK1079="RÉPARÉ – À RADIOGRAPHIER",AK1079="NX – RT À REFAIRE"),OR('PROGRAMME RT'!$D$5="TOUTES",B1079='PROGRAMME RT'!$D$5)),1,0)</f>
        <v>0</v>
      </c>
      <c r="AN1079" s="78" t="str">
        <f aca="false">IF(AM1079=1,SUM(AM$7:AM1079),"")</f>
        <v/>
      </c>
      <c r="AO1079" s="78" t="n">
        <f aca="false">IF(AND(OR(AK1079="À RÉPARER",AK1079="COUPE – À RESOUDER",AK1079="VT REJETÉ – À REPRENDRE"),OR(RÉPARATIONS!$D$5="TOUTES",B1079=RÉPARATIONS!$D$5)),1,0)</f>
        <v>0</v>
      </c>
      <c r="AP1079" s="78" t="str">
        <f aca="false">IF(AO1079=1,SUM(AO$7:AO1079),"")</f>
        <v/>
      </c>
    </row>
    <row r="1080" customFormat="false" ht="15" hidden="false" customHeight="false" outlineLevel="0" collapsed="false">
      <c r="A1080" s="78" t="str">
        <f aca="false">IF(E1080="","",ROW()-6)</f>
        <v/>
      </c>
      <c r="B1080" s="79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0"/>
      <c r="P1080" s="81"/>
      <c r="Q1080" s="81"/>
      <c r="R1080" s="80"/>
      <c r="S1080" s="80"/>
      <c r="T1080" s="81"/>
      <c r="U1080" s="80"/>
      <c r="V1080" s="80"/>
      <c r="W1080" s="80"/>
      <c r="X1080" s="80"/>
      <c r="Y1080" s="81"/>
      <c r="Z1080" s="80"/>
      <c r="AA1080" s="80"/>
      <c r="AB1080" s="80"/>
      <c r="AC1080" s="80"/>
      <c r="AD1080" s="81"/>
      <c r="AE1080" s="80"/>
      <c r="AF1080" s="80"/>
      <c r="AG1080" s="81"/>
      <c r="AH1080" s="79"/>
      <c r="AI1080" s="78" t="str">
        <f aca="false">IF(E1080="","",(V1080&lt;&gt;"")+(AA1080&lt;&gt;"")+(AF1080&lt;&gt;""))</f>
        <v/>
      </c>
      <c r="AJ1080" s="82" t="str">
        <f aca="false">IF(AF1080&lt;&gt;"",AF1080,IF(AA1080&lt;&gt;"",AA1080,IF(V1080&lt;&gt;"",V1080,"")))</f>
        <v/>
      </c>
      <c r="AK1080" s="83" t="str">
        <f aca="false">IF(E1080="","",IF(P1080="","À SOUDER",IF(S1080="","VT EN ATTENTE",IF(S1080="R","VT REJETÉ – À REPRENDRE",IF(AJ1080="","À RADIOGRAPHIER",IF(AJ1080="A","ACCEPTÉ",IF(AJ1080="NX","NX – RT À REFAIRE",IF(IF(AI1080=1,X1080,IF(AI1080=2,AC1080,""))="A","RÉPARÉ – À RADIOGRAPHIER",IF(IF(AI1080=1,X1080,IF(AI1080=2,AC1080,""))="R","VT REJETÉ – À REPRENDRE",IF(AJ1080="CO","COUPE – À RESOUDER","À RÉPARER"))))))))))</f>
        <v/>
      </c>
      <c r="AL1080" s="82" t="str">
        <f aca="false">IF(AND(ISNUMBER(P1080),OR(AK1080="À RADIOGRAPHIER",AK1080="RÉPARÉ – À RADIOGRAPHIER",AK1080="NX – RT À REFAIRE",AK1080="À RÉPARER",AK1080="COUPE – À RESOUDER",AK1080="VT REJETÉ – À REPRENDRE")),MAX(0,'PROGRAMME RT'!$C$4-P1080),"")</f>
        <v/>
      </c>
      <c r="AM1080" s="78" t="n">
        <f aca="false">IF(AND(OR(AK1080="À RADIOGRAPHIER",AK1080="RÉPARÉ – À RADIOGRAPHIER",AK1080="NX – RT À REFAIRE"),OR('PROGRAMME RT'!$D$5="TOUTES",B1080='PROGRAMME RT'!$D$5)),1,0)</f>
        <v>0</v>
      </c>
      <c r="AN1080" s="78" t="str">
        <f aca="false">IF(AM1080=1,SUM(AM$7:AM1080),"")</f>
        <v/>
      </c>
      <c r="AO1080" s="78" t="n">
        <f aca="false">IF(AND(OR(AK1080="À RÉPARER",AK1080="COUPE – À RESOUDER",AK1080="VT REJETÉ – À REPRENDRE"),OR(RÉPARATIONS!$D$5="TOUTES",B1080=RÉPARATIONS!$D$5)),1,0)</f>
        <v>0</v>
      </c>
      <c r="AP1080" s="78" t="str">
        <f aca="false">IF(AO1080=1,SUM(AO$7:AO1080),"")</f>
        <v/>
      </c>
    </row>
    <row r="1081" customFormat="false" ht="15" hidden="false" customHeight="false" outlineLevel="0" collapsed="false">
      <c r="A1081" s="78" t="str">
        <f aca="false">IF(E1081="","",ROW()-6)</f>
        <v/>
      </c>
      <c r="B1081" s="79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0"/>
      <c r="P1081" s="81"/>
      <c r="Q1081" s="81"/>
      <c r="R1081" s="80"/>
      <c r="S1081" s="80"/>
      <c r="T1081" s="81"/>
      <c r="U1081" s="80"/>
      <c r="V1081" s="80"/>
      <c r="W1081" s="80"/>
      <c r="X1081" s="80"/>
      <c r="Y1081" s="81"/>
      <c r="Z1081" s="80"/>
      <c r="AA1081" s="80"/>
      <c r="AB1081" s="80"/>
      <c r="AC1081" s="80"/>
      <c r="AD1081" s="81"/>
      <c r="AE1081" s="80"/>
      <c r="AF1081" s="80"/>
      <c r="AG1081" s="81"/>
      <c r="AH1081" s="79"/>
      <c r="AI1081" s="78" t="str">
        <f aca="false">IF(E1081="","",(V1081&lt;&gt;"")+(AA1081&lt;&gt;"")+(AF1081&lt;&gt;""))</f>
        <v/>
      </c>
      <c r="AJ1081" s="82" t="str">
        <f aca="false">IF(AF1081&lt;&gt;"",AF1081,IF(AA1081&lt;&gt;"",AA1081,IF(V1081&lt;&gt;"",V1081,"")))</f>
        <v/>
      </c>
      <c r="AK1081" s="83" t="str">
        <f aca="false">IF(E1081="","",IF(P1081="","À SOUDER",IF(S1081="","VT EN ATTENTE",IF(S1081="R","VT REJETÉ – À REPRENDRE",IF(AJ1081="","À RADIOGRAPHIER",IF(AJ1081="A","ACCEPTÉ",IF(AJ1081="NX","NX – RT À REFAIRE",IF(IF(AI1081=1,X1081,IF(AI1081=2,AC1081,""))="A","RÉPARÉ – À RADIOGRAPHIER",IF(IF(AI1081=1,X1081,IF(AI1081=2,AC1081,""))="R","VT REJETÉ – À REPRENDRE",IF(AJ1081="CO","COUPE – À RESOUDER","À RÉPARER"))))))))))</f>
        <v/>
      </c>
      <c r="AL1081" s="82" t="str">
        <f aca="false">IF(AND(ISNUMBER(P1081),OR(AK1081="À RADIOGRAPHIER",AK1081="RÉPARÉ – À RADIOGRAPHIER",AK1081="NX – RT À REFAIRE",AK1081="À RÉPARER",AK1081="COUPE – À RESOUDER",AK1081="VT REJETÉ – À REPRENDRE")),MAX(0,'PROGRAMME RT'!$C$4-P1081),"")</f>
        <v/>
      </c>
      <c r="AM1081" s="78" t="n">
        <f aca="false">IF(AND(OR(AK1081="À RADIOGRAPHIER",AK1081="RÉPARÉ – À RADIOGRAPHIER",AK1081="NX – RT À REFAIRE"),OR('PROGRAMME RT'!$D$5="TOUTES",B1081='PROGRAMME RT'!$D$5)),1,0)</f>
        <v>0</v>
      </c>
      <c r="AN1081" s="78" t="str">
        <f aca="false">IF(AM1081=1,SUM(AM$7:AM1081),"")</f>
        <v/>
      </c>
      <c r="AO1081" s="78" t="n">
        <f aca="false">IF(AND(OR(AK1081="À RÉPARER",AK1081="COUPE – À RESOUDER",AK1081="VT REJETÉ – À REPRENDRE"),OR(RÉPARATIONS!$D$5="TOUTES",B1081=RÉPARATIONS!$D$5)),1,0)</f>
        <v>0</v>
      </c>
      <c r="AP1081" s="78" t="str">
        <f aca="false">IF(AO1081=1,SUM(AO$7:AO1081),"")</f>
        <v/>
      </c>
    </row>
    <row r="1082" customFormat="false" ht="15" hidden="false" customHeight="false" outlineLevel="0" collapsed="false">
      <c r="A1082" s="78" t="str">
        <f aca="false">IF(E1082="","",ROW()-6)</f>
        <v/>
      </c>
      <c r="B1082" s="79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0"/>
      <c r="P1082" s="81"/>
      <c r="Q1082" s="81"/>
      <c r="R1082" s="80"/>
      <c r="S1082" s="80"/>
      <c r="T1082" s="81"/>
      <c r="U1082" s="80"/>
      <c r="V1082" s="80"/>
      <c r="W1082" s="80"/>
      <c r="X1082" s="80"/>
      <c r="Y1082" s="81"/>
      <c r="Z1082" s="80"/>
      <c r="AA1082" s="80"/>
      <c r="AB1082" s="80"/>
      <c r="AC1082" s="80"/>
      <c r="AD1082" s="81"/>
      <c r="AE1082" s="80"/>
      <c r="AF1082" s="80"/>
      <c r="AG1082" s="81"/>
      <c r="AH1082" s="79"/>
      <c r="AI1082" s="78" t="str">
        <f aca="false">IF(E1082="","",(V1082&lt;&gt;"")+(AA1082&lt;&gt;"")+(AF1082&lt;&gt;""))</f>
        <v/>
      </c>
      <c r="AJ1082" s="82" t="str">
        <f aca="false">IF(AF1082&lt;&gt;"",AF1082,IF(AA1082&lt;&gt;"",AA1082,IF(V1082&lt;&gt;"",V1082,"")))</f>
        <v/>
      </c>
      <c r="AK1082" s="83" t="str">
        <f aca="false">IF(E1082="","",IF(P1082="","À SOUDER",IF(S1082="","VT EN ATTENTE",IF(S1082="R","VT REJETÉ – À REPRENDRE",IF(AJ1082="","À RADIOGRAPHIER",IF(AJ1082="A","ACCEPTÉ",IF(AJ1082="NX","NX – RT À REFAIRE",IF(IF(AI1082=1,X1082,IF(AI1082=2,AC1082,""))="A","RÉPARÉ – À RADIOGRAPHIER",IF(IF(AI1082=1,X1082,IF(AI1082=2,AC1082,""))="R","VT REJETÉ – À REPRENDRE",IF(AJ1082="CO","COUPE – À RESOUDER","À RÉPARER"))))))))))</f>
        <v/>
      </c>
      <c r="AL1082" s="82" t="str">
        <f aca="false">IF(AND(ISNUMBER(P1082),OR(AK1082="À RADIOGRAPHIER",AK1082="RÉPARÉ – À RADIOGRAPHIER",AK1082="NX – RT À REFAIRE",AK1082="À RÉPARER",AK1082="COUPE – À RESOUDER",AK1082="VT REJETÉ – À REPRENDRE")),MAX(0,'PROGRAMME RT'!$C$4-P1082),"")</f>
        <v/>
      </c>
      <c r="AM1082" s="78" t="n">
        <f aca="false">IF(AND(OR(AK1082="À RADIOGRAPHIER",AK1082="RÉPARÉ – À RADIOGRAPHIER",AK1082="NX – RT À REFAIRE"),OR('PROGRAMME RT'!$D$5="TOUTES",B1082='PROGRAMME RT'!$D$5)),1,0)</f>
        <v>0</v>
      </c>
      <c r="AN1082" s="78" t="str">
        <f aca="false">IF(AM1082=1,SUM(AM$7:AM1082),"")</f>
        <v/>
      </c>
      <c r="AO1082" s="78" t="n">
        <f aca="false">IF(AND(OR(AK1082="À RÉPARER",AK1082="COUPE – À RESOUDER",AK1082="VT REJETÉ – À REPRENDRE"),OR(RÉPARATIONS!$D$5="TOUTES",B1082=RÉPARATIONS!$D$5)),1,0)</f>
        <v>0</v>
      </c>
      <c r="AP1082" s="78" t="str">
        <f aca="false">IF(AO1082=1,SUM(AO$7:AO1082),"")</f>
        <v/>
      </c>
    </row>
    <row r="1083" customFormat="false" ht="15" hidden="false" customHeight="false" outlineLevel="0" collapsed="false">
      <c r="A1083" s="78" t="str">
        <f aca="false">IF(E1083="","",ROW()-6)</f>
        <v/>
      </c>
      <c r="B1083" s="79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0"/>
      <c r="P1083" s="81"/>
      <c r="Q1083" s="81"/>
      <c r="R1083" s="80"/>
      <c r="S1083" s="80"/>
      <c r="T1083" s="81"/>
      <c r="U1083" s="80"/>
      <c r="V1083" s="80"/>
      <c r="W1083" s="80"/>
      <c r="X1083" s="80"/>
      <c r="Y1083" s="81"/>
      <c r="Z1083" s="80"/>
      <c r="AA1083" s="80"/>
      <c r="AB1083" s="80"/>
      <c r="AC1083" s="80"/>
      <c r="AD1083" s="81"/>
      <c r="AE1083" s="80"/>
      <c r="AF1083" s="80"/>
      <c r="AG1083" s="81"/>
      <c r="AH1083" s="79"/>
      <c r="AI1083" s="78" t="str">
        <f aca="false">IF(E1083="","",(V1083&lt;&gt;"")+(AA1083&lt;&gt;"")+(AF1083&lt;&gt;""))</f>
        <v/>
      </c>
      <c r="AJ1083" s="82" t="str">
        <f aca="false">IF(AF1083&lt;&gt;"",AF1083,IF(AA1083&lt;&gt;"",AA1083,IF(V1083&lt;&gt;"",V1083,"")))</f>
        <v/>
      </c>
      <c r="AK1083" s="83" t="str">
        <f aca="false">IF(E1083="","",IF(P1083="","À SOUDER",IF(S1083="","VT EN ATTENTE",IF(S1083="R","VT REJETÉ – À REPRENDRE",IF(AJ1083="","À RADIOGRAPHIER",IF(AJ1083="A","ACCEPTÉ",IF(AJ1083="NX","NX – RT À REFAIRE",IF(IF(AI1083=1,X1083,IF(AI1083=2,AC1083,""))="A","RÉPARÉ – À RADIOGRAPHIER",IF(IF(AI1083=1,X1083,IF(AI1083=2,AC1083,""))="R","VT REJETÉ – À REPRENDRE",IF(AJ1083="CO","COUPE – À RESOUDER","À RÉPARER"))))))))))</f>
        <v/>
      </c>
      <c r="AL1083" s="82" t="str">
        <f aca="false">IF(AND(ISNUMBER(P1083),OR(AK1083="À RADIOGRAPHIER",AK1083="RÉPARÉ – À RADIOGRAPHIER",AK1083="NX – RT À REFAIRE",AK1083="À RÉPARER",AK1083="COUPE – À RESOUDER",AK1083="VT REJETÉ – À REPRENDRE")),MAX(0,'PROGRAMME RT'!$C$4-P1083),"")</f>
        <v/>
      </c>
      <c r="AM1083" s="78" t="n">
        <f aca="false">IF(AND(OR(AK1083="À RADIOGRAPHIER",AK1083="RÉPARÉ – À RADIOGRAPHIER",AK1083="NX – RT À REFAIRE"),OR('PROGRAMME RT'!$D$5="TOUTES",B1083='PROGRAMME RT'!$D$5)),1,0)</f>
        <v>0</v>
      </c>
      <c r="AN1083" s="78" t="str">
        <f aca="false">IF(AM1083=1,SUM(AM$7:AM1083),"")</f>
        <v/>
      </c>
      <c r="AO1083" s="78" t="n">
        <f aca="false">IF(AND(OR(AK1083="À RÉPARER",AK1083="COUPE – À RESOUDER",AK1083="VT REJETÉ – À REPRENDRE"),OR(RÉPARATIONS!$D$5="TOUTES",B1083=RÉPARATIONS!$D$5)),1,0)</f>
        <v>0</v>
      </c>
      <c r="AP1083" s="78" t="str">
        <f aca="false">IF(AO1083=1,SUM(AO$7:AO1083),"")</f>
        <v/>
      </c>
    </row>
    <row r="1084" customFormat="false" ht="15" hidden="false" customHeight="false" outlineLevel="0" collapsed="false">
      <c r="A1084" s="78" t="str">
        <f aca="false">IF(E1084="","",ROW()-6)</f>
        <v/>
      </c>
      <c r="B1084" s="79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0"/>
      <c r="P1084" s="81"/>
      <c r="Q1084" s="81"/>
      <c r="R1084" s="80"/>
      <c r="S1084" s="80"/>
      <c r="T1084" s="81"/>
      <c r="U1084" s="80"/>
      <c r="V1084" s="80"/>
      <c r="W1084" s="80"/>
      <c r="X1084" s="80"/>
      <c r="Y1084" s="81"/>
      <c r="Z1084" s="80"/>
      <c r="AA1084" s="80"/>
      <c r="AB1084" s="80"/>
      <c r="AC1084" s="80"/>
      <c r="AD1084" s="81"/>
      <c r="AE1084" s="80"/>
      <c r="AF1084" s="80"/>
      <c r="AG1084" s="81"/>
      <c r="AH1084" s="79"/>
      <c r="AI1084" s="78" t="str">
        <f aca="false">IF(E1084="","",(V1084&lt;&gt;"")+(AA1084&lt;&gt;"")+(AF1084&lt;&gt;""))</f>
        <v/>
      </c>
      <c r="AJ1084" s="82" t="str">
        <f aca="false">IF(AF1084&lt;&gt;"",AF1084,IF(AA1084&lt;&gt;"",AA1084,IF(V1084&lt;&gt;"",V1084,"")))</f>
        <v/>
      </c>
      <c r="AK1084" s="83" t="str">
        <f aca="false">IF(E1084="","",IF(P1084="","À SOUDER",IF(S1084="","VT EN ATTENTE",IF(S1084="R","VT REJETÉ – À REPRENDRE",IF(AJ1084="","À RADIOGRAPHIER",IF(AJ1084="A","ACCEPTÉ",IF(AJ1084="NX","NX – RT À REFAIRE",IF(IF(AI1084=1,X1084,IF(AI1084=2,AC1084,""))="A","RÉPARÉ – À RADIOGRAPHIER",IF(IF(AI1084=1,X1084,IF(AI1084=2,AC1084,""))="R","VT REJETÉ – À REPRENDRE",IF(AJ1084="CO","COUPE – À RESOUDER","À RÉPARER"))))))))))</f>
        <v/>
      </c>
      <c r="AL1084" s="82" t="str">
        <f aca="false">IF(AND(ISNUMBER(P1084),OR(AK1084="À RADIOGRAPHIER",AK1084="RÉPARÉ – À RADIOGRAPHIER",AK1084="NX – RT À REFAIRE",AK1084="À RÉPARER",AK1084="COUPE – À RESOUDER",AK1084="VT REJETÉ – À REPRENDRE")),MAX(0,'PROGRAMME RT'!$C$4-P1084),"")</f>
        <v/>
      </c>
      <c r="AM1084" s="78" t="n">
        <f aca="false">IF(AND(OR(AK1084="À RADIOGRAPHIER",AK1084="RÉPARÉ – À RADIOGRAPHIER",AK1084="NX – RT À REFAIRE"),OR('PROGRAMME RT'!$D$5="TOUTES",B1084='PROGRAMME RT'!$D$5)),1,0)</f>
        <v>0</v>
      </c>
      <c r="AN1084" s="78" t="str">
        <f aca="false">IF(AM1084=1,SUM(AM$7:AM1084),"")</f>
        <v/>
      </c>
      <c r="AO1084" s="78" t="n">
        <f aca="false">IF(AND(OR(AK1084="À RÉPARER",AK1084="COUPE – À RESOUDER",AK1084="VT REJETÉ – À REPRENDRE"),OR(RÉPARATIONS!$D$5="TOUTES",B1084=RÉPARATIONS!$D$5)),1,0)</f>
        <v>0</v>
      </c>
      <c r="AP1084" s="78" t="str">
        <f aca="false">IF(AO1084=1,SUM(AO$7:AO1084),"")</f>
        <v/>
      </c>
    </row>
    <row r="1085" customFormat="false" ht="15" hidden="false" customHeight="false" outlineLevel="0" collapsed="false">
      <c r="A1085" s="78" t="str">
        <f aca="false">IF(E1085="","",ROW()-6)</f>
        <v/>
      </c>
      <c r="B1085" s="79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0"/>
      <c r="P1085" s="81"/>
      <c r="Q1085" s="81"/>
      <c r="R1085" s="80"/>
      <c r="S1085" s="80"/>
      <c r="T1085" s="81"/>
      <c r="U1085" s="80"/>
      <c r="V1085" s="80"/>
      <c r="W1085" s="80"/>
      <c r="X1085" s="80"/>
      <c r="Y1085" s="81"/>
      <c r="Z1085" s="80"/>
      <c r="AA1085" s="80"/>
      <c r="AB1085" s="80"/>
      <c r="AC1085" s="80"/>
      <c r="AD1085" s="81"/>
      <c r="AE1085" s="80"/>
      <c r="AF1085" s="80"/>
      <c r="AG1085" s="81"/>
      <c r="AH1085" s="79"/>
      <c r="AI1085" s="78" t="str">
        <f aca="false">IF(E1085="","",(V1085&lt;&gt;"")+(AA1085&lt;&gt;"")+(AF1085&lt;&gt;""))</f>
        <v/>
      </c>
      <c r="AJ1085" s="82" t="str">
        <f aca="false">IF(AF1085&lt;&gt;"",AF1085,IF(AA1085&lt;&gt;"",AA1085,IF(V1085&lt;&gt;"",V1085,"")))</f>
        <v/>
      </c>
      <c r="AK1085" s="83" t="str">
        <f aca="false">IF(E1085="","",IF(P1085="","À SOUDER",IF(S1085="","VT EN ATTENTE",IF(S1085="R","VT REJETÉ – À REPRENDRE",IF(AJ1085="","À RADIOGRAPHIER",IF(AJ1085="A","ACCEPTÉ",IF(AJ1085="NX","NX – RT À REFAIRE",IF(IF(AI1085=1,X1085,IF(AI1085=2,AC1085,""))="A","RÉPARÉ – À RADIOGRAPHIER",IF(IF(AI1085=1,X1085,IF(AI1085=2,AC1085,""))="R","VT REJETÉ – À REPRENDRE",IF(AJ1085="CO","COUPE – À RESOUDER","À RÉPARER"))))))))))</f>
        <v/>
      </c>
      <c r="AL1085" s="82" t="str">
        <f aca="false">IF(AND(ISNUMBER(P1085),OR(AK1085="À RADIOGRAPHIER",AK1085="RÉPARÉ – À RADIOGRAPHIER",AK1085="NX – RT À REFAIRE",AK1085="À RÉPARER",AK1085="COUPE – À RESOUDER",AK1085="VT REJETÉ – À REPRENDRE")),MAX(0,'PROGRAMME RT'!$C$4-P1085),"")</f>
        <v/>
      </c>
      <c r="AM1085" s="78" t="n">
        <f aca="false">IF(AND(OR(AK1085="À RADIOGRAPHIER",AK1085="RÉPARÉ – À RADIOGRAPHIER",AK1085="NX – RT À REFAIRE"),OR('PROGRAMME RT'!$D$5="TOUTES",B1085='PROGRAMME RT'!$D$5)),1,0)</f>
        <v>0</v>
      </c>
      <c r="AN1085" s="78" t="str">
        <f aca="false">IF(AM1085=1,SUM(AM$7:AM1085),"")</f>
        <v/>
      </c>
      <c r="AO1085" s="78" t="n">
        <f aca="false">IF(AND(OR(AK1085="À RÉPARER",AK1085="COUPE – À RESOUDER",AK1085="VT REJETÉ – À REPRENDRE"),OR(RÉPARATIONS!$D$5="TOUTES",B1085=RÉPARATIONS!$D$5)),1,0)</f>
        <v>0</v>
      </c>
      <c r="AP1085" s="78" t="str">
        <f aca="false">IF(AO1085=1,SUM(AO$7:AO1085),"")</f>
        <v/>
      </c>
    </row>
    <row r="1086" customFormat="false" ht="15" hidden="false" customHeight="false" outlineLevel="0" collapsed="false">
      <c r="A1086" s="78" t="str">
        <f aca="false">IF(E1086="","",ROW()-6)</f>
        <v/>
      </c>
      <c r="B1086" s="79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0"/>
      <c r="P1086" s="81"/>
      <c r="Q1086" s="81"/>
      <c r="R1086" s="80"/>
      <c r="S1086" s="80"/>
      <c r="T1086" s="81"/>
      <c r="U1086" s="80"/>
      <c r="V1086" s="80"/>
      <c r="W1086" s="80"/>
      <c r="X1086" s="80"/>
      <c r="Y1086" s="81"/>
      <c r="Z1086" s="80"/>
      <c r="AA1086" s="80"/>
      <c r="AB1086" s="80"/>
      <c r="AC1086" s="80"/>
      <c r="AD1086" s="81"/>
      <c r="AE1086" s="80"/>
      <c r="AF1086" s="80"/>
      <c r="AG1086" s="81"/>
      <c r="AH1086" s="79"/>
      <c r="AI1086" s="78" t="str">
        <f aca="false">IF(E1086="","",(V1086&lt;&gt;"")+(AA1086&lt;&gt;"")+(AF1086&lt;&gt;""))</f>
        <v/>
      </c>
      <c r="AJ1086" s="82" t="str">
        <f aca="false">IF(AF1086&lt;&gt;"",AF1086,IF(AA1086&lt;&gt;"",AA1086,IF(V1086&lt;&gt;"",V1086,"")))</f>
        <v/>
      </c>
      <c r="AK1086" s="83" t="str">
        <f aca="false">IF(E1086="","",IF(P1086="","À SOUDER",IF(S1086="","VT EN ATTENTE",IF(S1086="R","VT REJETÉ – À REPRENDRE",IF(AJ1086="","À RADIOGRAPHIER",IF(AJ1086="A","ACCEPTÉ",IF(AJ1086="NX","NX – RT À REFAIRE",IF(IF(AI1086=1,X1086,IF(AI1086=2,AC1086,""))="A","RÉPARÉ – À RADIOGRAPHIER",IF(IF(AI1086=1,X1086,IF(AI1086=2,AC1086,""))="R","VT REJETÉ – À REPRENDRE",IF(AJ1086="CO","COUPE – À RESOUDER","À RÉPARER"))))))))))</f>
        <v/>
      </c>
      <c r="AL1086" s="82" t="str">
        <f aca="false">IF(AND(ISNUMBER(P1086),OR(AK1086="À RADIOGRAPHIER",AK1086="RÉPARÉ – À RADIOGRAPHIER",AK1086="NX – RT À REFAIRE",AK1086="À RÉPARER",AK1086="COUPE – À RESOUDER",AK1086="VT REJETÉ – À REPRENDRE")),MAX(0,'PROGRAMME RT'!$C$4-P1086),"")</f>
        <v/>
      </c>
      <c r="AM1086" s="78" t="n">
        <f aca="false">IF(AND(OR(AK1086="À RADIOGRAPHIER",AK1086="RÉPARÉ – À RADIOGRAPHIER",AK1086="NX – RT À REFAIRE"),OR('PROGRAMME RT'!$D$5="TOUTES",B1086='PROGRAMME RT'!$D$5)),1,0)</f>
        <v>0</v>
      </c>
      <c r="AN1086" s="78" t="str">
        <f aca="false">IF(AM1086=1,SUM(AM$7:AM1086),"")</f>
        <v/>
      </c>
      <c r="AO1086" s="78" t="n">
        <f aca="false">IF(AND(OR(AK1086="À RÉPARER",AK1086="COUPE – À RESOUDER",AK1086="VT REJETÉ – À REPRENDRE"),OR(RÉPARATIONS!$D$5="TOUTES",B1086=RÉPARATIONS!$D$5)),1,0)</f>
        <v>0</v>
      </c>
      <c r="AP1086" s="78" t="str">
        <f aca="false">IF(AO1086=1,SUM(AO$7:AO1086),"")</f>
        <v/>
      </c>
    </row>
    <row r="1087" customFormat="false" ht="15" hidden="false" customHeight="false" outlineLevel="0" collapsed="false">
      <c r="A1087" s="78" t="str">
        <f aca="false">IF(E1087="","",ROW()-6)</f>
        <v/>
      </c>
      <c r="B1087" s="79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0"/>
      <c r="P1087" s="81"/>
      <c r="Q1087" s="81"/>
      <c r="R1087" s="80"/>
      <c r="S1087" s="80"/>
      <c r="T1087" s="81"/>
      <c r="U1087" s="80"/>
      <c r="V1087" s="80"/>
      <c r="W1087" s="80"/>
      <c r="X1087" s="80"/>
      <c r="Y1087" s="81"/>
      <c r="Z1087" s="80"/>
      <c r="AA1087" s="80"/>
      <c r="AB1087" s="80"/>
      <c r="AC1087" s="80"/>
      <c r="AD1087" s="81"/>
      <c r="AE1087" s="80"/>
      <c r="AF1087" s="80"/>
      <c r="AG1087" s="81"/>
      <c r="AH1087" s="79"/>
      <c r="AI1087" s="78" t="str">
        <f aca="false">IF(E1087="","",(V1087&lt;&gt;"")+(AA1087&lt;&gt;"")+(AF1087&lt;&gt;""))</f>
        <v/>
      </c>
      <c r="AJ1087" s="82" t="str">
        <f aca="false">IF(AF1087&lt;&gt;"",AF1087,IF(AA1087&lt;&gt;"",AA1087,IF(V1087&lt;&gt;"",V1087,"")))</f>
        <v/>
      </c>
      <c r="AK1087" s="83" t="str">
        <f aca="false">IF(E1087="","",IF(P1087="","À SOUDER",IF(S1087="","VT EN ATTENTE",IF(S1087="R","VT REJETÉ – À REPRENDRE",IF(AJ1087="","À RADIOGRAPHIER",IF(AJ1087="A","ACCEPTÉ",IF(AJ1087="NX","NX – RT À REFAIRE",IF(IF(AI1087=1,X1087,IF(AI1087=2,AC1087,""))="A","RÉPARÉ – À RADIOGRAPHIER",IF(IF(AI1087=1,X1087,IF(AI1087=2,AC1087,""))="R","VT REJETÉ – À REPRENDRE",IF(AJ1087="CO","COUPE – À RESOUDER","À RÉPARER"))))))))))</f>
        <v/>
      </c>
      <c r="AL1087" s="82" t="str">
        <f aca="false">IF(AND(ISNUMBER(P1087),OR(AK1087="À RADIOGRAPHIER",AK1087="RÉPARÉ – À RADIOGRAPHIER",AK1087="NX – RT À REFAIRE",AK1087="À RÉPARER",AK1087="COUPE – À RESOUDER",AK1087="VT REJETÉ – À REPRENDRE")),MAX(0,'PROGRAMME RT'!$C$4-P1087),"")</f>
        <v/>
      </c>
      <c r="AM1087" s="78" t="n">
        <f aca="false">IF(AND(OR(AK1087="À RADIOGRAPHIER",AK1087="RÉPARÉ – À RADIOGRAPHIER",AK1087="NX – RT À REFAIRE"),OR('PROGRAMME RT'!$D$5="TOUTES",B1087='PROGRAMME RT'!$D$5)),1,0)</f>
        <v>0</v>
      </c>
      <c r="AN1087" s="78" t="str">
        <f aca="false">IF(AM1087=1,SUM(AM$7:AM1087),"")</f>
        <v/>
      </c>
      <c r="AO1087" s="78" t="n">
        <f aca="false">IF(AND(OR(AK1087="À RÉPARER",AK1087="COUPE – À RESOUDER",AK1087="VT REJETÉ – À REPRENDRE"),OR(RÉPARATIONS!$D$5="TOUTES",B1087=RÉPARATIONS!$D$5)),1,0)</f>
        <v>0</v>
      </c>
      <c r="AP1087" s="78" t="str">
        <f aca="false">IF(AO1087=1,SUM(AO$7:AO1087),"")</f>
        <v/>
      </c>
    </row>
    <row r="1088" customFormat="false" ht="15" hidden="false" customHeight="false" outlineLevel="0" collapsed="false">
      <c r="A1088" s="78" t="str">
        <f aca="false">IF(E1088="","",ROW()-6)</f>
        <v/>
      </c>
      <c r="B1088" s="79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0"/>
      <c r="P1088" s="81"/>
      <c r="Q1088" s="81"/>
      <c r="R1088" s="80"/>
      <c r="S1088" s="80"/>
      <c r="T1088" s="81"/>
      <c r="U1088" s="80"/>
      <c r="V1088" s="80"/>
      <c r="W1088" s="80"/>
      <c r="X1088" s="80"/>
      <c r="Y1088" s="81"/>
      <c r="Z1088" s="80"/>
      <c r="AA1088" s="80"/>
      <c r="AB1088" s="80"/>
      <c r="AC1088" s="80"/>
      <c r="AD1088" s="81"/>
      <c r="AE1088" s="80"/>
      <c r="AF1088" s="80"/>
      <c r="AG1088" s="81"/>
      <c r="AH1088" s="79"/>
      <c r="AI1088" s="78" t="str">
        <f aca="false">IF(E1088="","",(V1088&lt;&gt;"")+(AA1088&lt;&gt;"")+(AF1088&lt;&gt;""))</f>
        <v/>
      </c>
      <c r="AJ1088" s="82" t="str">
        <f aca="false">IF(AF1088&lt;&gt;"",AF1088,IF(AA1088&lt;&gt;"",AA1088,IF(V1088&lt;&gt;"",V1088,"")))</f>
        <v/>
      </c>
      <c r="AK1088" s="83" t="str">
        <f aca="false">IF(E1088="","",IF(P1088="","À SOUDER",IF(S1088="","VT EN ATTENTE",IF(S1088="R","VT REJETÉ – À REPRENDRE",IF(AJ1088="","À RADIOGRAPHIER",IF(AJ1088="A","ACCEPTÉ",IF(AJ1088="NX","NX – RT À REFAIRE",IF(IF(AI1088=1,X1088,IF(AI1088=2,AC1088,""))="A","RÉPARÉ – À RADIOGRAPHIER",IF(IF(AI1088=1,X1088,IF(AI1088=2,AC1088,""))="R","VT REJETÉ – À REPRENDRE",IF(AJ1088="CO","COUPE – À RESOUDER","À RÉPARER"))))))))))</f>
        <v/>
      </c>
      <c r="AL1088" s="82" t="str">
        <f aca="false">IF(AND(ISNUMBER(P1088),OR(AK1088="À RADIOGRAPHIER",AK1088="RÉPARÉ – À RADIOGRAPHIER",AK1088="NX – RT À REFAIRE",AK1088="À RÉPARER",AK1088="COUPE – À RESOUDER",AK1088="VT REJETÉ – À REPRENDRE")),MAX(0,'PROGRAMME RT'!$C$4-P1088),"")</f>
        <v/>
      </c>
      <c r="AM1088" s="78" t="n">
        <f aca="false">IF(AND(OR(AK1088="À RADIOGRAPHIER",AK1088="RÉPARÉ – À RADIOGRAPHIER",AK1088="NX – RT À REFAIRE"),OR('PROGRAMME RT'!$D$5="TOUTES",B1088='PROGRAMME RT'!$D$5)),1,0)</f>
        <v>0</v>
      </c>
      <c r="AN1088" s="78" t="str">
        <f aca="false">IF(AM1088=1,SUM(AM$7:AM1088),"")</f>
        <v/>
      </c>
      <c r="AO1088" s="78" t="n">
        <f aca="false">IF(AND(OR(AK1088="À RÉPARER",AK1088="COUPE – À RESOUDER",AK1088="VT REJETÉ – À REPRENDRE"),OR(RÉPARATIONS!$D$5="TOUTES",B1088=RÉPARATIONS!$D$5)),1,0)</f>
        <v>0</v>
      </c>
      <c r="AP1088" s="78" t="str">
        <f aca="false">IF(AO1088=1,SUM(AO$7:AO1088),"")</f>
        <v/>
      </c>
    </row>
    <row r="1089" customFormat="false" ht="15" hidden="false" customHeight="false" outlineLevel="0" collapsed="false">
      <c r="A1089" s="78" t="str">
        <f aca="false">IF(E1089="","",ROW()-6)</f>
        <v/>
      </c>
      <c r="B1089" s="79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0"/>
      <c r="P1089" s="81"/>
      <c r="Q1089" s="81"/>
      <c r="R1089" s="80"/>
      <c r="S1089" s="80"/>
      <c r="T1089" s="81"/>
      <c r="U1089" s="80"/>
      <c r="V1089" s="80"/>
      <c r="W1089" s="80"/>
      <c r="X1089" s="80"/>
      <c r="Y1089" s="81"/>
      <c r="Z1089" s="80"/>
      <c r="AA1089" s="80"/>
      <c r="AB1089" s="80"/>
      <c r="AC1089" s="80"/>
      <c r="AD1089" s="81"/>
      <c r="AE1089" s="80"/>
      <c r="AF1089" s="80"/>
      <c r="AG1089" s="81"/>
      <c r="AH1089" s="79"/>
      <c r="AI1089" s="78" t="str">
        <f aca="false">IF(E1089="","",(V1089&lt;&gt;"")+(AA1089&lt;&gt;"")+(AF1089&lt;&gt;""))</f>
        <v/>
      </c>
      <c r="AJ1089" s="82" t="str">
        <f aca="false">IF(AF1089&lt;&gt;"",AF1089,IF(AA1089&lt;&gt;"",AA1089,IF(V1089&lt;&gt;"",V1089,"")))</f>
        <v/>
      </c>
      <c r="AK1089" s="83" t="str">
        <f aca="false">IF(E1089="","",IF(P1089="","À SOUDER",IF(S1089="","VT EN ATTENTE",IF(S1089="R","VT REJETÉ – À REPRENDRE",IF(AJ1089="","À RADIOGRAPHIER",IF(AJ1089="A","ACCEPTÉ",IF(AJ1089="NX","NX – RT À REFAIRE",IF(IF(AI1089=1,X1089,IF(AI1089=2,AC1089,""))="A","RÉPARÉ – À RADIOGRAPHIER",IF(IF(AI1089=1,X1089,IF(AI1089=2,AC1089,""))="R","VT REJETÉ – À REPRENDRE",IF(AJ1089="CO","COUPE – À RESOUDER","À RÉPARER"))))))))))</f>
        <v/>
      </c>
      <c r="AL1089" s="82" t="str">
        <f aca="false">IF(AND(ISNUMBER(P1089),OR(AK1089="À RADIOGRAPHIER",AK1089="RÉPARÉ – À RADIOGRAPHIER",AK1089="NX – RT À REFAIRE",AK1089="À RÉPARER",AK1089="COUPE – À RESOUDER",AK1089="VT REJETÉ – À REPRENDRE")),MAX(0,'PROGRAMME RT'!$C$4-P1089),"")</f>
        <v/>
      </c>
      <c r="AM1089" s="78" t="n">
        <f aca="false">IF(AND(OR(AK1089="À RADIOGRAPHIER",AK1089="RÉPARÉ – À RADIOGRAPHIER",AK1089="NX – RT À REFAIRE"),OR('PROGRAMME RT'!$D$5="TOUTES",B1089='PROGRAMME RT'!$D$5)),1,0)</f>
        <v>0</v>
      </c>
      <c r="AN1089" s="78" t="str">
        <f aca="false">IF(AM1089=1,SUM(AM$7:AM1089),"")</f>
        <v/>
      </c>
      <c r="AO1089" s="78" t="n">
        <f aca="false">IF(AND(OR(AK1089="À RÉPARER",AK1089="COUPE – À RESOUDER",AK1089="VT REJETÉ – À REPRENDRE"),OR(RÉPARATIONS!$D$5="TOUTES",B1089=RÉPARATIONS!$D$5)),1,0)</f>
        <v>0</v>
      </c>
      <c r="AP1089" s="78" t="str">
        <f aca="false">IF(AO1089=1,SUM(AO$7:AO1089),"")</f>
        <v/>
      </c>
    </row>
    <row r="1090" customFormat="false" ht="15" hidden="false" customHeight="false" outlineLevel="0" collapsed="false">
      <c r="A1090" s="78" t="str">
        <f aca="false">IF(E1090="","",ROW()-6)</f>
        <v/>
      </c>
      <c r="B1090" s="79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0"/>
      <c r="P1090" s="81"/>
      <c r="Q1090" s="81"/>
      <c r="R1090" s="80"/>
      <c r="S1090" s="80"/>
      <c r="T1090" s="81"/>
      <c r="U1090" s="80"/>
      <c r="V1090" s="80"/>
      <c r="W1090" s="80"/>
      <c r="X1090" s="80"/>
      <c r="Y1090" s="81"/>
      <c r="Z1090" s="80"/>
      <c r="AA1090" s="80"/>
      <c r="AB1090" s="80"/>
      <c r="AC1090" s="80"/>
      <c r="AD1090" s="81"/>
      <c r="AE1090" s="80"/>
      <c r="AF1090" s="80"/>
      <c r="AG1090" s="81"/>
      <c r="AH1090" s="79"/>
      <c r="AI1090" s="78" t="str">
        <f aca="false">IF(E1090="","",(V1090&lt;&gt;"")+(AA1090&lt;&gt;"")+(AF1090&lt;&gt;""))</f>
        <v/>
      </c>
      <c r="AJ1090" s="82" t="str">
        <f aca="false">IF(AF1090&lt;&gt;"",AF1090,IF(AA1090&lt;&gt;"",AA1090,IF(V1090&lt;&gt;"",V1090,"")))</f>
        <v/>
      </c>
      <c r="AK1090" s="83" t="str">
        <f aca="false">IF(E1090="","",IF(P1090="","À SOUDER",IF(S1090="","VT EN ATTENTE",IF(S1090="R","VT REJETÉ – À REPRENDRE",IF(AJ1090="","À RADIOGRAPHIER",IF(AJ1090="A","ACCEPTÉ",IF(AJ1090="NX","NX – RT À REFAIRE",IF(IF(AI1090=1,X1090,IF(AI1090=2,AC1090,""))="A","RÉPARÉ – À RADIOGRAPHIER",IF(IF(AI1090=1,X1090,IF(AI1090=2,AC1090,""))="R","VT REJETÉ – À REPRENDRE",IF(AJ1090="CO","COUPE – À RESOUDER","À RÉPARER"))))))))))</f>
        <v/>
      </c>
      <c r="AL1090" s="82" t="str">
        <f aca="false">IF(AND(ISNUMBER(P1090),OR(AK1090="À RADIOGRAPHIER",AK1090="RÉPARÉ – À RADIOGRAPHIER",AK1090="NX – RT À REFAIRE",AK1090="À RÉPARER",AK1090="COUPE – À RESOUDER",AK1090="VT REJETÉ – À REPRENDRE")),MAX(0,'PROGRAMME RT'!$C$4-P1090),"")</f>
        <v/>
      </c>
      <c r="AM1090" s="78" t="n">
        <f aca="false">IF(AND(OR(AK1090="À RADIOGRAPHIER",AK1090="RÉPARÉ – À RADIOGRAPHIER",AK1090="NX – RT À REFAIRE"),OR('PROGRAMME RT'!$D$5="TOUTES",B1090='PROGRAMME RT'!$D$5)),1,0)</f>
        <v>0</v>
      </c>
      <c r="AN1090" s="78" t="str">
        <f aca="false">IF(AM1090=1,SUM(AM$7:AM1090),"")</f>
        <v/>
      </c>
      <c r="AO1090" s="78" t="n">
        <f aca="false">IF(AND(OR(AK1090="À RÉPARER",AK1090="COUPE – À RESOUDER",AK1090="VT REJETÉ – À REPRENDRE"),OR(RÉPARATIONS!$D$5="TOUTES",B1090=RÉPARATIONS!$D$5)),1,0)</f>
        <v>0</v>
      </c>
      <c r="AP1090" s="78" t="str">
        <f aca="false">IF(AO1090=1,SUM(AO$7:AO1090),"")</f>
        <v/>
      </c>
    </row>
    <row r="1091" customFormat="false" ht="15" hidden="false" customHeight="false" outlineLevel="0" collapsed="false">
      <c r="A1091" s="78" t="str">
        <f aca="false">IF(E1091="","",ROW()-6)</f>
        <v/>
      </c>
      <c r="B1091" s="79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0"/>
      <c r="P1091" s="81"/>
      <c r="Q1091" s="81"/>
      <c r="R1091" s="80"/>
      <c r="S1091" s="80"/>
      <c r="T1091" s="81"/>
      <c r="U1091" s="80"/>
      <c r="V1091" s="80"/>
      <c r="W1091" s="80"/>
      <c r="X1091" s="80"/>
      <c r="Y1091" s="81"/>
      <c r="Z1091" s="80"/>
      <c r="AA1091" s="80"/>
      <c r="AB1091" s="80"/>
      <c r="AC1091" s="80"/>
      <c r="AD1091" s="81"/>
      <c r="AE1091" s="80"/>
      <c r="AF1091" s="80"/>
      <c r="AG1091" s="81"/>
      <c r="AH1091" s="79"/>
      <c r="AI1091" s="78" t="str">
        <f aca="false">IF(E1091="","",(V1091&lt;&gt;"")+(AA1091&lt;&gt;"")+(AF1091&lt;&gt;""))</f>
        <v/>
      </c>
      <c r="AJ1091" s="82" t="str">
        <f aca="false">IF(AF1091&lt;&gt;"",AF1091,IF(AA1091&lt;&gt;"",AA1091,IF(V1091&lt;&gt;"",V1091,"")))</f>
        <v/>
      </c>
      <c r="AK1091" s="83" t="str">
        <f aca="false">IF(E1091="","",IF(P1091="","À SOUDER",IF(S1091="","VT EN ATTENTE",IF(S1091="R","VT REJETÉ – À REPRENDRE",IF(AJ1091="","À RADIOGRAPHIER",IF(AJ1091="A","ACCEPTÉ",IF(AJ1091="NX","NX – RT À REFAIRE",IF(IF(AI1091=1,X1091,IF(AI1091=2,AC1091,""))="A","RÉPARÉ – À RADIOGRAPHIER",IF(IF(AI1091=1,X1091,IF(AI1091=2,AC1091,""))="R","VT REJETÉ – À REPRENDRE",IF(AJ1091="CO","COUPE – À RESOUDER","À RÉPARER"))))))))))</f>
        <v/>
      </c>
      <c r="AL1091" s="82" t="str">
        <f aca="false">IF(AND(ISNUMBER(P1091),OR(AK1091="À RADIOGRAPHIER",AK1091="RÉPARÉ – À RADIOGRAPHIER",AK1091="NX – RT À REFAIRE",AK1091="À RÉPARER",AK1091="COUPE – À RESOUDER",AK1091="VT REJETÉ – À REPRENDRE")),MAX(0,'PROGRAMME RT'!$C$4-P1091),"")</f>
        <v/>
      </c>
      <c r="AM1091" s="78" t="n">
        <f aca="false">IF(AND(OR(AK1091="À RADIOGRAPHIER",AK1091="RÉPARÉ – À RADIOGRAPHIER",AK1091="NX – RT À REFAIRE"),OR('PROGRAMME RT'!$D$5="TOUTES",B1091='PROGRAMME RT'!$D$5)),1,0)</f>
        <v>0</v>
      </c>
      <c r="AN1091" s="78" t="str">
        <f aca="false">IF(AM1091=1,SUM(AM$7:AM1091),"")</f>
        <v/>
      </c>
      <c r="AO1091" s="78" t="n">
        <f aca="false">IF(AND(OR(AK1091="À RÉPARER",AK1091="COUPE – À RESOUDER",AK1091="VT REJETÉ – À REPRENDRE"),OR(RÉPARATIONS!$D$5="TOUTES",B1091=RÉPARATIONS!$D$5)),1,0)</f>
        <v>0</v>
      </c>
      <c r="AP1091" s="78" t="str">
        <f aca="false">IF(AO1091=1,SUM(AO$7:AO1091),"")</f>
        <v/>
      </c>
    </row>
    <row r="1092" customFormat="false" ht="15" hidden="false" customHeight="false" outlineLevel="0" collapsed="false">
      <c r="A1092" s="78" t="str">
        <f aca="false">IF(E1092="","",ROW()-6)</f>
        <v/>
      </c>
      <c r="B1092" s="79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0"/>
      <c r="P1092" s="81"/>
      <c r="Q1092" s="81"/>
      <c r="R1092" s="80"/>
      <c r="S1092" s="80"/>
      <c r="T1092" s="81"/>
      <c r="U1092" s="80"/>
      <c r="V1092" s="80"/>
      <c r="W1092" s="80"/>
      <c r="X1092" s="80"/>
      <c r="Y1092" s="81"/>
      <c r="Z1092" s="80"/>
      <c r="AA1092" s="80"/>
      <c r="AB1092" s="80"/>
      <c r="AC1092" s="80"/>
      <c r="AD1092" s="81"/>
      <c r="AE1092" s="80"/>
      <c r="AF1092" s="80"/>
      <c r="AG1092" s="81"/>
      <c r="AH1092" s="79"/>
      <c r="AI1092" s="78" t="str">
        <f aca="false">IF(E1092="","",(V1092&lt;&gt;"")+(AA1092&lt;&gt;"")+(AF1092&lt;&gt;""))</f>
        <v/>
      </c>
      <c r="AJ1092" s="82" t="str">
        <f aca="false">IF(AF1092&lt;&gt;"",AF1092,IF(AA1092&lt;&gt;"",AA1092,IF(V1092&lt;&gt;"",V1092,"")))</f>
        <v/>
      </c>
      <c r="AK1092" s="83" t="str">
        <f aca="false">IF(E1092="","",IF(P1092="","À SOUDER",IF(S1092="","VT EN ATTENTE",IF(S1092="R","VT REJETÉ – À REPRENDRE",IF(AJ1092="","À RADIOGRAPHIER",IF(AJ1092="A","ACCEPTÉ",IF(AJ1092="NX","NX – RT À REFAIRE",IF(IF(AI1092=1,X1092,IF(AI1092=2,AC1092,""))="A","RÉPARÉ – À RADIOGRAPHIER",IF(IF(AI1092=1,X1092,IF(AI1092=2,AC1092,""))="R","VT REJETÉ – À REPRENDRE",IF(AJ1092="CO","COUPE – À RESOUDER","À RÉPARER"))))))))))</f>
        <v/>
      </c>
      <c r="AL1092" s="82" t="str">
        <f aca="false">IF(AND(ISNUMBER(P1092),OR(AK1092="À RADIOGRAPHIER",AK1092="RÉPARÉ – À RADIOGRAPHIER",AK1092="NX – RT À REFAIRE",AK1092="À RÉPARER",AK1092="COUPE – À RESOUDER",AK1092="VT REJETÉ – À REPRENDRE")),MAX(0,'PROGRAMME RT'!$C$4-P1092),"")</f>
        <v/>
      </c>
      <c r="AM1092" s="78" t="n">
        <f aca="false">IF(AND(OR(AK1092="À RADIOGRAPHIER",AK1092="RÉPARÉ – À RADIOGRAPHIER",AK1092="NX – RT À REFAIRE"),OR('PROGRAMME RT'!$D$5="TOUTES",B1092='PROGRAMME RT'!$D$5)),1,0)</f>
        <v>0</v>
      </c>
      <c r="AN1092" s="78" t="str">
        <f aca="false">IF(AM1092=1,SUM(AM$7:AM1092),"")</f>
        <v/>
      </c>
      <c r="AO1092" s="78" t="n">
        <f aca="false">IF(AND(OR(AK1092="À RÉPARER",AK1092="COUPE – À RESOUDER",AK1092="VT REJETÉ – À REPRENDRE"),OR(RÉPARATIONS!$D$5="TOUTES",B1092=RÉPARATIONS!$D$5)),1,0)</f>
        <v>0</v>
      </c>
      <c r="AP1092" s="78" t="str">
        <f aca="false">IF(AO1092=1,SUM(AO$7:AO1092),"")</f>
        <v/>
      </c>
    </row>
    <row r="1093" customFormat="false" ht="15" hidden="false" customHeight="false" outlineLevel="0" collapsed="false">
      <c r="A1093" s="78" t="str">
        <f aca="false">IF(E1093="","",ROW()-6)</f>
        <v/>
      </c>
      <c r="B1093" s="79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0"/>
      <c r="P1093" s="81"/>
      <c r="Q1093" s="81"/>
      <c r="R1093" s="80"/>
      <c r="S1093" s="80"/>
      <c r="T1093" s="81"/>
      <c r="U1093" s="80"/>
      <c r="V1093" s="80"/>
      <c r="W1093" s="80"/>
      <c r="X1093" s="80"/>
      <c r="Y1093" s="81"/>
      <c r="Z1093" s="80"/>
      <c r="AA1093" s="80"/>
      <c r="AB1093" s="80"/>
      <c r="AC1093" s="80"/>
      <c r="AD1093" s="81"/>
      <c r="AE1093" s="80"/>
      <c r="AF1093" s="80"/>
      <c r="AG1093" s="81"/>
      <c r="AH1093" s="79"/>
      <c r="AI1093" s="78" t="str">
        <f aca="false">IF(E1093="","",(V1093&lt;&gt;"")+(AA1093&lt;&gt;"")+(AF1093&lt;&gt;""))</f>
        <v/>
      </c>
      <c r="AJ1093" s="82" t="str">
        <f aca="false">IF(AF1093&lt;&gt;"",AF1093,IF(AA1093&lt;&gt;"",AA1093,IF(V1093&lt;&gt;"",V1093,"")))</f>
        <v/>
      </c>
      <c r="AK1093" s="83" t="str">
        <f aca="false">IF(E1093="","",IF(P1093="","À SOUDER",IF(S1093="","VT EN ATTENTE",IF(S1093="R","VT REJETÉ – À REPRENDRE",IF(AJ1093="","À RADIOGRAPHIER",IF(AJ1093="A","ACCEPTÉ",IF(AJ1093="NX","NX – RT À REFAIRE",IF(IF(AI1093=1,X1093,IF(AI1093=2,AC1093,""))="A","RÉPARÉ – À RADIOGRAPHIER",IF(IF(AI1093=1,X1093,IF(AI1093=2,AC1093,""))="R","VT REJETÉ – À REPRENDRE",IF(AJ1093="CO","COUPE – À RESOUDER","À RÉPARER"))))))))))</f>
        <v/>
      </c>
      <c r="AL1093" s="82" t="str">
        <f aca="false">IF(AND(ISNUMBER(P1093),OR(AK1093="À RADIOGRAPHIER",AK1093="RÉPARÉ – À RADIOGRAPHIER",AK1093="NX – RT À REFAIRE",AK1093="À RÉPARER",AK1093="COUPE – À RESOUDER",AK1093="VT REJETÉ – À REPRENDRE")),MAX(0,'PROGRAMME RT'!$C$4-P1093),"")</f>
        <v/>
      </c>
      <c r="AM1093" s="78" t="n">
        <f aca="false">IF(AND(OR(AK1093="À RADIOGRAPHIER",AK1093="RÉPARÉ – À RADIOGRAPHIER",AK1093="NX – RT À REFAIRE"),OR('PROGRAMME RT'!$D$5="TOUTES",B1093='PROGRAMME RT'!$D$5)),1,0)</f>
        <v>0</v>
      </c>
      <c r="AN1093" s="78" t="str">
        <f aca="false">IF(AM1093=1,SUM(AM$7:AM1093),"")</f>
        <v/>
      </c>
      <c r="AO1093" s="78" t="n">
        <f aca="false">IF(AND(OR(AK1093="À RÉPARER",AK1093="COUPE – À RESOUDER",AK1093="VT REJETÉ – À REPRENDRE"),OR(RÉPARATIONS!$D$5="TOUTES",B1093=RÉPARATIONS!$D$5)),1,0)</f>
        <v>0</v>
      </c>
      <c r="AP1093" s="78" t="str">
        <f aca="false">IF(AO1093=1,SUM(AO$7:AO1093),"")</f>
        <v/>
      </c>
    </row>
    <row r="1094" customFormat="false" ht="15" hidden="false" customHeight="false" outlineLevel="0" collapsed="false">
      <c r="A1094" s="78" t="str">
        <f aca="false">IF(E1094="","",ROW()-6)</f>
        <v/>
      </c>
      <c r="B1094" s="79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0"/>
      <c r="P1094" s="81"/>
      <c r="Q1094" s="81"/>
      <c r="R1094" s="80"/>
      <c r="S1094" s="80"/>
      <c r="T1094" s="81"/>
      <c r="U1094" s="80"/>
      <c r="V1094" s="80"/>
      <c r="W1094" s="80"/>
      <c r="X1094" s="80"/>
      <c r="Y1094" s="81"/>
      <c r="Z1094" s="80"/>
      <c r="AA1094" s="80"/>
      <c r="AB1094" s="80"/>
      <c r="AC1094" s="80"/>
      <c r="AD1094" s="81"/>
      <c r="AE1094" s="80"/>
      <c r="AF1094" s="80"/>
      <c r="AG1094" s="81"/>
      <c r="AH1094" s="79"/>
      <c r="AI1094" s="78" t="str">
        <f aca="false">IF(E1094="","",(V1094&lt;&gt;"")+(AA1094&lt;&gt;"")+(AF1094&lt;&gt;""))</f>
        <v/>
      </c>
      <c r="AJ1094" s="82" t="str">
        <f aca="false">IF(AF1094&lt;&gt;"",AF1094,IF(AA1094&lt;&gt;"",AA1094,IF(V1094&lt;&gt;"",V1094,"")))</f>
        <v/>
      </c>
      <c r="AK1094" s="83" t="str">
        <f aca="false">IF(E1094="","",IF(P1094="","À SOUDER",IF(S1094="","VT EN ATTENTE",IF(S1094="R","VT REJETÉ – À REPRENDRE",IF(AJ1094="","À RADIOGRAPHIER",IF(AJ1094="A","ACCEPTÉ",IF(AJ1094="NX","NX – RT À REFAIRE",IF(IF(AI1094=1,X1094,IF(AI1094=2,AC1094,""))="A","RÉPARÉ – À RADIOGRAPHIER",IF(IF(AI1094=1,X1094,IF(AI1094=2,AC1094,""))="R","VT REJETÉ – À REPRENDRE",IF(AJ1094="CO","COUPE – À RESOUDER","À RÉPARER"))))))))))</f>
        <v/>
      </c>
      <c r="AL1094" s="82" t="str">
        <f aca="false">IF(AND(ISNUMBER(P1094),OR(AK1094="À RADIOGRAPHIER",AK1094="RÉPARÉ – À RADIOGRAPHIER",AK1094="NX – RT À REFAIRE",AK1094="À RÉPARER",AK1094="COUPE – À RESOUDER",AK1094="VT REJETÉ – À REPRENDRE")),MAX(0,'PROGRAMME RT'!$C$4-P1094),"")</f>
        <v/>
      </c>
      <c r="AM1094" s="78" t="n">
        <f aca="false">IF(AND(OR(AK1094="À RADIOGRAPHIER",AK1094="RÉPARÉ – À RADIOGRAPHIER",AK1094="NX – RT À REFAIRE"),OR('PROGRAMME RT'!$D$5="TOUTES",B1094='PROGRAMME RT'!$D$5)),1,0)</f>
        <v>0</v>
      </c>
      <c r="AN1094" s="78" t="str">
        <f aca="false">IF(AM1094=1,SUM(AM$7:AM1094),"")</f>
        <v/>
      </c>
      <c r="AO1094" s="78" t="n">
        <f aca="false">IF(AND(OR(AK1094="À RÉPARER",AK1094="COUPE – À RESOUDER",AK1094="VT REJETÉ – À REPRENDRE"),OR(RÉPARATIONS!$D$5="TOUTES",B1094=RÉPARATIONS!$D$5)),1,0)</f>
        <v>0</v>
      </c>
      <c r="AP1094" s="78" t="str">
        <f aca="false">IF(AO1094=1,SUM(AO$7:AO1094),"")</f>
        <v/>
      </c>
    </row>
    <row r="1095" customFormat="false" ht="15" hidden="false" customHeight="false" outlineLevel="0" collapsed="false">
      <c r="A1095" s="78" t="str">
        <f aca="false">IF(E1095="","",ROW()-6)</f>
        <v/>
      </c>
      <c r="B1095" s="79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0"/>
      <c r="P1095" s="81"/>
      <c r="Q1095" s="81"/>
      <c r="R1095" s="80"/>
      <c r="S1095" s="80"/>
      <c r="T1095" s="81"/>
      <c r="U1095" s="80"/>
      <c r="V1095" s="80"/>
      <c r="W1095" s="80"/>
      <c r="X1095" s="80"/>
      <c r="Y1095" s="81"/>
      <c r="Z1095" s="80"/>
      <c r="AA1095" s="80"/>
      <c r="AB1095" s="80"/>
      <c r="AC1095" s="80"/>
      <c r="AD1095" s="81"/>
      <c r="AE1095" s="80"/>
      <c r="AF1095" s="80"/>
      <c r="AG1095" s="81"/>
      <c r="AH1095" s="79"/>
      <c r="AI1095" s="78" t="str">
        <f aca="false">IF(E1095="","",(V1095&lt;&gt;"")+(AA1095&lt;&gt;"")+(AF1095&lt;&gt;""))</f>
        <v/>
      </c>
      <c r="AJ1095" s="82" t="str">
        <f aca="false">IF(AF1095&lt;&gt;"",AF1095,IF(AA1095&lt;&gt;"",AA1095,IF(V1095&lt;&gt;"",V1095,"")))</f>
        <v/>
      </c>
      <c r="AK1095" s="83" t="str">
        <f aca="false">IF(E1095="","",IF(P1095="","À SOUDER",IF(S1095="","VT EN ATTENTE",IF(S1095="R","VT REJETÉ – À REPRENDRE",IF(AJ1095="","À RADIOGRAPHIER",IF(AJ1095="A","ACCEPTÉ",IF(AJ1095="NX","NX – RT À REFAIRE",IF(IF(AI1095=1,X1095,IF(AI1095=2,AC1095,""))="A","RÉPARÉ – À RADIOGRAPHIER",IF(IF(AI1095=1,X1095,IF(AI1095=2,AC1095,""))="R","VT REJETÉ – À REPRENDRE",IF(AJ1095="CO","COUPE – À RESOUDER","À RÉPARER"))))))))))</f>
        <v/>
      </c>
      <c r="AL1095" s="82" t="str">
        <f aca="false">IF(AND(ISNUMBER(P1095),OR(AK1095="À RADIOGRAPHIER",AK1095="RÉPARÉ – À RADIOGRAPHIER",AK1095="NX – RT À REFAIRE",AK1095="À RÉPARER",AK1095="COUPE – À RESOUDER",AK1095="VT REJETÉ – À REPRENDRE")),MAX(0,'PROGRAMME RT'!$C$4-P1095),"")</f>
        <v/>
      </c>
      <c r="AM1095" s="78" t="n">
        <f aca="false">IF(AND(OR(AK1095="À RADIOGRAPHIER",AK1095="RÉPARÉ – À RADIOGRAPHIER",AK1095="NX – RT À REFAIRE"),OR('PROGRAMME RT'!$D$5="TOUTES",B1095='PROGRAMME RT'!$D$5)),1,0)</f>
        <v>0</v>
      </c>
      <c r="AN1095" s="78" t="str">
        <f aca="false">IF(AM1095=1,SUM(AM$7:AM1095),"")</f>
        <v/>
      </c>
      <c r="AO1095" s="78" t="n">
        <f aca="false">IF(AND(OR(AK1095="À RÉPARER",AK1095="COUPE – À RESOUDER",AK1095="VT REJETÉ – À REPRENDRE"),OR(RÉPARATIONS!$D$5="TOUTES",B1095=RÉPARATIONS!$D$5)),1,0)</f>
        <v>0</v>
      </c>
      <c r="AP1095" s="78" t="str">
        <f aca="false">IF(AO1095=1,SUM(AO$7:AO1095),"")</f>
        <v/>
      </c>
    </row>
    <row r="1096" customFormat="false" ht="15" hidden="false" customHeight="false" outlineLevel="0" collapsed="false">
      <c r="A1096" s="78" t="str">
        <f aca="false">IF(E1096="","",ROW()-6)</f>
        <v/>
      </c>
      <c r="B1096" s="79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0"/>
      <c r="P1096" s="81"/>
      <c r="Q1096" s="81"/>
      <c r="R1096" s="80"/>
      <c r="S1096" s="80"/>
      <c r="T1096" s="81"/>
      <c r="U1096" s="80"/>
      <c r="V1096" s="80"/>
      <c r="W1096" s="80"/>
      <c r="X1096" s="80"/>
      <c r="Y1096" s="81"/>
      <c r="Z1096" s="80"/>
      <c r="AA1096" s="80"/>
      <c r="AB1096" s="80"/>
      <c r="AC1096" s="80"/>
      <c r="AD1096" s="81"/>
      <c r="AE1096" s="80"/>
      <c r="AF1096" s="80"/>
      <c r="AG1096" s="81"/>
      <c r="AH1096" s="79"/>
      <c r="AI1096" s="78" t="str">
        <f aca="false">IF(E1096="","",(V1096&lt;&gt;"")+(AA1096&lt;&gt;"")+(AF1096&lt;&gt;""))</f>
        <v/>
      </c>
      <c r="AJ1096" s="82" t="str">
        <f aca="false">IF(AF1096&lt;&gt;"",AF1096,IF(AA1096&lt;&gt;"",AA1096,IF(V1096&lt;&gt;"",V1096,"")))</f>
        <v/>
      </c>
      <c r="AK1096" s="83" t="str">
        <f aca="false">IF(E1096="","",IF(P1096="","À SOUDER",IF(S1096="","VT EN ATTENTE",IF(S1096="R","VT REJETÉ – À REPRENDRE",IF(AJ1096="","À RADIOGRAPHIER",IF(AJ1096="A","ACCEPTÉ",IF(AJ1096="NX","NX – RT À REFAIRE",IF(IF(AI1096=1,X1096,IF(AI1096=2,AC1096,""))="A","RÉPARÉ – À RADIOGRAPHIER",IF(IF(AI1096=1,X1096,IF(AI1096=2,AC1096,""))="R","VT REJETÉ – À REPRENDRE",IF(AJ1096="CO","COUPE – À RESOUDER","À RÉPARER"))))))))))</f>
        <v/>
      </c>
      <c r="AL1096" s="82" t="str">
        <f aca="false">IF(AND(ISNUMBER(P1096),OR(AK1096="À RADIOGRAPHIER",AK1096="RÉPARÉ – À RADIOGRAPHIER",AK1096="NX – RT À REFAIRE",AK1096="À RÉPARER",AK1096="COUPE – À RESOUDER",AK1096="VT REJETÉ – À REPRENDRE")),MAX(0,'PROGRAMME RT'!$C$4-P1096),"")</f>
        <v/>
      </c>
      <c r="AM1096" s="78" t="n">
        <f aca="false">IF(AND(OR(AK1096="À RADIOGRAPHIER",AK1096="RÉPARÉ – À RADIOGRAPHIER",AK1096="NX – RT À REFAIRE"),OR('PROGRAMME RT'!$D$5="TOUTES",B1096='PROGRAMME RT'!$D$5)),1,0)</f>
        <v>0</v>
      </c>
      <c r="AN1096" s="78" t="str">
        <f aca="false">IF(AM1096=1,SUM(AM$7:AM1096),"")</f>
        <v/>
      </c>
      <c r="AO1096" s="78" t="n">
        <f aca="false">IF(AND(OR(AK1096="À RÉPARER",AK1096="COUPE – À RESOUDER",AK1096="VT REJETÉ – À REPRENDRE"),OR(RÉPARATIONS!$D$5="TOUTES",B1096=RÉPARATIONS!$D$5)),1,0)</f>
        <v>0</v>
      </c>
      <c r="AP1096" s="78" t="str">
        <f aca="false">IF(AO1096=1,SUM(AO$7:AO1096),"")</f>
        <v/>
      </c>
    </row>
    <row r="1097" customFormat="false" ht="15" hidden="false" customHeight="false" outlineLevel="0" collapsed="false">
      <c r="A1097" s="78" t="str">
        <f aca="false">IF(E1097="","",ROW()-6)</f>
        <v/>
      </c>
      <c r="B1097" s="79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0"/>
      <c r="P1097" s="81"/>
      <c r="Q1097" s="81"/>
      <c r="R1097" s="80"/>
      <c r="S1097" s="80"/>
      <c r="T1097" s="81"/>
      <c r="U1097" s="80"/>
      <c r="V1097" s="80"/>
      <c r="W1097" s="80"/>
      <c r="X1097" s="80"/>
      <c r="Y1097" s="81"/>
      <c r="Z1097" s="80"/>
      <c r="AA1097" s="80"/>
      <c r="AB1097" s="80"/>
      <c r="AC1097" s="80"/>
      <c r="AD1097" s="81"/>
      <c r="AE1097" s="80"/>
      <c r="AF1097" s="80"/>
      <c r="AG1097" s="81"/>
      <c r="AH1097" s="79"/>
      <c r="AI1097" s="78" t="str">
        <f aca="false">IF(E1097="","",(V1097&lt;&gt;"")+(AA1097&lt;&gt;"")+(AF1097&lt;&gt;""))</f>
        <v/>
      </c>
      <c r="AJ1097" s="82" t="str">
        <f aca="false">IF(AF1097&lt;&gt;"",AF1097,IF(AA1097&lt;&gt;"",AA1097,IF(V1097&lt;&gt;"",V1097,"")))</f>
        <v/>
      </c>
      <c r="AK1097" s="83" t="str">
        <f aca="false">IF(E1097="","",IF(P1097="","À SOUDER",IF(S1097="","VT EN ATTENTE",IF(S1097="R","VT REJETÉ – À REPRENDRE",IF(AJ1097="","À RADIOGRAPHIER",IF(AJ1097="A","ACCEPTÉ",IF(AJ1097="NX","NX – RT À REFAIRE",IF(IF(AI1097=1,X1097,IF(AI1097=2,AC1097,""))="A","RÉPARÉ – À RADIOGRAPHIER",IF(IF(AI1097=1,X1097,IF(AI1097=2,AC1097,""))="R","VT REJETÉ – À REPRENDRE",IF(AJ1097="CO","COUPE – À RESOUDER","À RÉPARER"))))))))))</f>
        <v/>
      </c>
      <c r="AL1097" s="82" t="str">
        <f aca="false">IF(AND(ISNUMBER(P1097),OR(AK1097="À RADIOGRAPHIER",AK1097="RÉPARÉ – À RADIOGRAPHIER",AK1097="NX – RT À REFAIRE",AK1097="À RÉPARER",AK1097="COUPE – À RESOUDER",AK1097="VT REJETÉ – À REPRENDRE")),MAX(0,'PROGRAMME RT'!$C$4-P1097),"")</f>
        <v/>
      </c>
      <c r="AM1097" s="78" t="n">
        <f aca="false">IF(AND(OR(AK1097="À RADIOGRAPHIER",AK1097="RÉPARÉ – À RADIOGRAPHIER",AK1097="NX – RT À REFAIRE"),OR('PROGRAMME RT'!$D$5="TOUTES",B1097='PROGRAMME RT'!$D$5)),1,0)</f>
        <v>0</v>
      </c>
      <c r="AN1097" s="78" t="str">
        <f aca="false">IF(AM1097=1,SUM(AM$7:AM1097),"")</f>
        <v/>
      </c>
      <c r="AO1097" s="78" t="n">
        <f aca="false">IF(AND(OR(AK1097="À RÉPARER",AK1097="COUPE – À RESOUDER",AK1097="VT REJETÉ – À REPRENDRE"),OR(RÉPARATIONS!$D$5="TOUTES",B1097=RÉPARATIONS!$D$5)),1,0)</f>
        <v>0</v>
      </c>
      <c r="AP1097" s="78" t="str">
        <f aca="false">IF(AO1097=1,SUM(AO$7:AO1097),"")</f>
        <v/>
      </c>
    </row>
    <row r="1098" customFormat="false" ht="15" hidden="false" customHeight="false" outlineLevel="0" collapsed="false">
      <c r="A1098" s="78" t="str">
        <f aca="false">IF(E1098="","",ROW()-6)</f>
        <v/>
      </c>
      <c r="B1098" s="79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0"/>
      <c r="P1098" s="81"/>
      <c r="Q1098" s="81"/>
      <c r="R1098" s="80"/>
      <c r="S1098" s="80"/>
      <c r="T1098" s="81"/>
      <c r="U1098" s="80"/>
      <c r="V1098" s="80"/>
      <c r="W1098" s="80"/>
      <c r="X1098" s="80"/>
      <c r="Y1098" s="81"/>
      <c r="Z1098" s="80"/>
      <c r="AA1098" s="80"/>
      <c r="AB1098" s="80"/>
      <c r="AC1098" s="80"/>
      <c r="AD1098" s="81"/>
      <c r="AE1098" s="80"/>
      <c r="AF1098" s="80"/>
      <c r="AG1098" s="81"/>
      <c r="AH1098" s="79"/>
      <c r="AI1098" s="78" t="str">
        <f aca="false">IF(E1098="","",(V1098&lt;&gt;"")+(AA1098&lt;&gt;"")+(AF1098&lt;&gt;""))</f>
        <v/>
      </c>
      <c r="AJ1098" s="82" t="str">
        <f aca="false">IF(AF1098&lt;&gt;"",AF1098,IF(AA1098&lt;&gt;"",AA1098,IF(V1098&lt;&gt;"",V1098,"")))</f>
        <v/>
      </c>
      <c r="AK1098" s="83" t="str">
        <f aca="false">IF(E1098="","",IF(P1098="","À SOUDER",IF(S1098="","VT EN ATTENTE",IF(S1098="R","VT REJETÉ – À REPRENDRE",IF(AJ1098="","À RADIOGRAPHIER",IF(AJ1098="A","ACCEPTÉ",IF(AJ1098="NX","NX – RT À REFAIRE",IF(IF(AI1098=1,X1098,IF(AI1098=2,AC1098,""))="A","RÉPARÉ – À RADIOGRAPHIER",IF(IF(AI1098=1,X1098,IF(AI1098=2,AC1098,""))="R","VT REJETÉ – À REPRENDRE",IF(AJ1098="CO","COUPE – À RESOUDER","À RÉPARER"))))))))))</f>
        <v/>
      </c>
      <c r="AL1098" s="82" t="str">
        <f aca="false">IF(AND(ISNUMBER(P1098),OR(AK1098="À RADIOGRAPHIER",AK1098="RÉPARÉ – À RADIOGRAPHIER",AK1098="NX – RT À REFAIRE",AK1098="À RÉPARER",AK1098="COUPE – À RESOUDER",AK1098="VT REJETÉ – À REPRENDRE")),MAX(0,'PROGRAMME RT'!$C$4-P1098),"")</f>
        <v/>
      </c>
      <c r="AM1098" s="78" t="n">
        <f aca="false">IF(AND(OR(AK1098="À RADIOGRAPHIER",AK1098="RÉPARÉ – À RADIOGRAPHIER",AK1098="NX – RT À REFAIRE"),OR('PROGRAMME RT'!$D$5="TOUTES",B1098='PROGRAMME RT'!$D$5)),1,0)</f>
        <v>0</v>
      </c>
      <c r="AN1098" s="78" t="str">
        <f aca="false">IF(AM1098=1,SUM(AM$7:AM1098),"")</f>
        <v/>
      </c>
      <c r="AO1098" s="78" t="n">
        <f aca="false">IF(AND(OR(AK1098="À RÉPARER",AK1098="COUPE – À RESOUDER",AK1098="VT REJETÉ – À REPRENDRE"),OR(RÉPARATIONS!$D$5="TOUTES",B1098=RÉPARATIONS!$D$5)),1,0)</f>
        <v>0</v>
      </c>
      <c r="AP1098" s="78" t="str">
        <f aca="false">IF(AO1098=1,SUM(AO$7:AO1098),"")</f>
        <v/>
      </c>
    </row>
    <row r="1099" customFormat="false" ht="15" hidden="false" customHeight="false" outlineLevel="0" collapsed="false">
      <c r="A1099" s="78" t="str">
        <f aca="false">IF(E1099="","",ROW()-6)</f>
        <v/>
      </c>
      <c r="B1099" s="79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0"/>
      <c r="P1099" s="81"/>
      <c r="Q1099" s="81"/>
      <c r="R1099" s="80"/>
      <c r="S1099" s="80"/>
      <c r="T1099" s="81"/>
      <c r="U1099" s="80"/>
      <c r="V1099" s="80"/>
      <c r="W1099" s="80"/>
      <c r="X1099" s="80"/>
      <c r="Y1099" s="81"/>
      <c r="Z1099" s="80"/>
      <c r="AA1099" s="80"/>
      <c r="AB1099" s="80"/>
      <c r="AC1099" s="80"/>
      <c r="AD1099" s="81"/>
      <c r="AE1099" s="80"/>
      <c r="AF1099" s="80"/>
      <c r="AG1099" s="81"/>
      <c r="AH1099" s="79"/>
      <c r="AI1099" s="78" t="str">
        <f aca="false">IF(E1099="","",(V1099&lt;&gt;"")+(AA1099&lt;&gt;"")+(AF1099&lt;&gt;""))</f>
        <v/>
      </c>
      <c r="AJ1099" s="82" t="str">
        <f aca="false">IF(AF1099&lt;&gt;"",AF1099,IF(AA1099&lt;&gt;"",AA1099,IF(V1099&lt;&gt;"",V1099,"")))</f>
        <v/>
      </c>
      <c r="AK1099" s="83" t="str">
        <f aca="false">IF(E1099="","",IF(P1099="","À SOUDER",IF(S1099="","VT EN ATTENTE",IF(S1099="R","VT REJETÉ – À REPRENDRE",IF(AJ1099="","À RADIOGRAPHIER",IF(AJ1099="A","ACCEPTÉ",IF(AJ1099="NX","NX – RT À REFAIRE",IF(IF(AI1099=1,X1099,IF(AI1099=2,AC1099,""))="A","RÉPARÉ – À RADIOGRAPHIER",IF(IF(AI1099=1,X1099,IF(AI1099=2,AC1099,""))="R","VT REJETÉ – À REPRENDRE",IF(AJ1099="CO","COUPE – À RESOUDER","À RÉPARER"))))))))))</f>
        <v/>
      </c>
      <c r="AL1099" s="82" t="str">
        <f aca="false">IF(AND(ISNUMBER(P1099),OR(AK1099="À RADIOGRAPHIER",AK1099="RÉPARÉ – À RADIOGRAPHIER",AK1099="NX – RT À REFAIRE",AK1099="À RÉPARER",AK1099="COUPE – À RESOUDER",AK1099="VT REJETÉ – À REPRENDRE")),MAX(0,'PROGRAMME RT'!$C$4-P1099),"")</f>
        <v/>
      </c>
      <c r="AM1099" s="78" t="n">
        <f aca="false">IF(AND(OR(AK1099="À RADIOGRAPHIER",AK1099="RÉPARÉ – À RADIOGRAPHIER",AK1099="NX – RT À REFAIRE"),OR('PROGRAMME RT'!$D$5="TOUTES",B1099='PROGRAMME RT'!$D$5)),1,0)</f>
        <v>0</v>
      </c>
      <c r="AN1099" s="78" t="str">
        <f aca="false">IF(AM1099=1,SUM(AM$7:AM1099),"")</f>
        <v/>
      </c>
      <c r="AO1099" s="78" t="n">
        <f aca="false">IF(AND(OR(AK1099="À RÉPARER",AK1099="COUPE – À RESOUDER",AK1099="VT REJETÉ – À REPRENDRE"),OR(RÉPARATIONS!$D$5="TOUTES",B1099=RÉPARATIONS!$D$5)),1,0)</f>
        <v>0</v>
      </c>
      <c r="AP1099" s="78" t="str">
        <f aca="false">IF(AO1099=1,SUM(AO$7:AO1099),"")</f>
        <v/>
      </c>
    </row>
    <row r="1100" customFormat="false" ht="15" hidden="false" customHeight="false" outlineLevel="0" collapsed="false">
      <c r="A1100" s="78" t="str">
        <f aca="false">IF(E1100="","",ROW()-6)</f>
        <v/>
      </c>
      <c r="B1100" s="79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0"/>
      <c r="P1100" s="81"/>
      <c r="Q1100" s="81"/>
      <c r="R1100" s="80"/>
      <c r="S1100" s="80"/>
      <c r="T1100" s="81"/>
      <c r="U1100" s="80"/>
      <c r="V1100" s="80"/>
      <c r="W1100" s="80"/>
      <c r="X1100" s="80"/>
      <c r="Y1100" s="81"/>
      <c r="Z1100" s="80"/>
      <c r="AA1100" s="80"/>
      <c r="AB1100" s="80"/>
      <c r="AC1100" s="80"/>
      <c r="AD1100" s="81"/>
      <c r="AE1100" s="80"/>
      <c r="AF1100" s="80"/>
      <c r="AG1100" s="81"/>
      <c r="AH1100" s="79"/>
      <c r="AI1100" s="78" t="str">
        <f aca="false">IF(E1100="","",(V1100&lt;&gt;"")+(AA1100&lt;&gt;"")+(AF1100&lt;&gt;""))</f>
        <v/>
      </c>
      <c r="AJ1100" s="82" t="str">
        <f aca="false">IF(AF1100&lt;&gt;"",AF1100,IF(AA1100&lt;&gt;"",AA1100,IF(V1100&lt;&gt;"",V1100,"")))</f>
        <v/>
      </c>
      <c r="AK1100" s="83" t="str">
        <f aca="false">IF(E1100="","",IF(P1100="","À SOUDER",IF(S1100="","VT EN ATTENTE",IF(S1100="R","VT REJETÉ – À REPRENDRE",IF(AJ1100="","À RADIOGRAPHIER",IF(AJ1100="A","ACCEPTÉ",IF(AJ1100="NX","NX – RT À REFAIRE",IF(IF(AI1100=1,X1100,IF(AI1100=2,AC1100,""))="A","RÉPARÉ – À RADIOGRAPHIER",IF(IF(AI1100=1,X1100,IF(AI1100=2,AC1100,""))="R","VT REJETÉ – À REPRENDRE",IF(AJ1100="CO","COUPE – À RESOUDER","À RÉPARER"))))))))))</f>
        <v/>
      </c>
      <c r="AL1100" s="82" t="str">
        <f aca="false">IF(AND(ISNUMBER(P1100),OR(AK1100="À RADIOGRAPHIER",AK1100="RÉPARÉ – À RADIOGRAPHIER",AK1100="NX – RT À REFAIRE",AK1100="À RÉPARER",AK1100="COUPE – À RESOUDER",AK1100="VT REJETÉ – À REPRENDRE")),MAX(0,'PROGRAMME RT'!$C$4-P1100),"")</f>
        <v/>
      </c>
      <c r="AM1100" s="78" t="n">
        <f aca="false">IF(AND(OR(AK1100="À RADIOGRAPHIER",AK1100="RÉPARÉ – À RADIOGRAPHIER",AK1100="NX – RT À REFAIRE"),OR('PROGRAMME RT'!$D$5="TOUTES",B1100='PROGRAMME RT'!$D$5)),1,0)</f>
        <v>0</v>
      </c>
      <c r="AN1100" s="78" t="str">
        <f aca="false">IF(AM1100=1,SUM(AM$7:AM1100),"")</f>
        <v/>
      </c>
      <c r="AO1100" s="78" t="n">
        <f aca="false">IF(AND(OR(AK1100="À RÉPARER",AK1100="COUPE – À RESOUDER",AK1100="VT REJETÉ – À REPRENDRE"),OR(RÉPARATIONS!$D$5="TOUTES",B1100=RÉPARATIONS!$D$5)),1,0)</f>
        <v>0</v>
      </c>
      <c r="AP1100" s="78" t="str">
        <f aca="false">IF(AO1100=1,SUM(AO$7:AO1100),"")</f>
        <v/>
      </c>
    </row>
    <row r="1101" customFormat="false" ht="15" hidden="false" customHeight="false" outlineLevel="0" collapsed="false">
      <c r="A1101" s="78" t="str">
        <f aca="false">IF(E1101="","",ROW()-6)</f>
        <v/>
      </c>
      <c r="B1101" s="79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0"/>
      <c r="P1101" s="81"/>
      <c r="Q1101" s="81"/>
      <c r="R1101" s="80"/>
      <c r="S1101" s="80"/>
      <c r="T1101" s="81"/>
      <c r="U1101" s="80"/>
      <c r="V1101" s="80"/>
      <c r="W1101" s="80"/>
      <c r="X1101" s="80"/>
      <c r="Y1101" s="81"/>
      <c r="Z1101" s="80"/>
      <c r="AA1101" s="80"/>
      <c r="AB1101" s="80"/>
      <c r="AC1101" s="80"/>
      <c r="AD1101" s="81"/>
      <c r="AE1101" s="80"/>
      <c r="AF1101" s="80"/>
      <c r="AG1101" s="81"/>
      <c r="AH1101" s="79"/>
      <c r="AI1101" s="78" t="str">
        <f aca="false">IF(E1101="","",(V1101&lt;&gt;"")+(AA1101&lt;&gt;"")+(AF1101&lt;&gt;""))</f>
        <v/>
      </c>
      <c r="AJ1101" s="82" t="str">
        <f aca="false">IF(AF1101&lt;&gt;"",AF1101,IF(AA1101&lt;&gt;"",AA1101,IF(V1101&lt;&gt;"",V1101,"")))</f>
        <v/>
      </c>
      <c r="AK1101" s="83" t="str">
        <f aca="false">IF(E1101="","",IF(P1101="","À SOUDER",IF(S1101="","VT EN ATTENTE",IF(S1101="R","VT REJETÉ – À REPRENDRE",IF(AJ1101="","À RADIOGRAPHIER",IF(AJ1101="A","ACCEPTÉ",IF(AJ1101="NX","NX – RT À REFAIRE",IF(IF(AI1101=1,X1101,IF(AI1101=2,AC1101,""))="A","RÉPARÉ – À RADIOGRAPHIER",IF(IF(AI1101=1,X1101,IF(AI1101=2,AC1101,""))="R","VT REJETÉ – À REPRENDRE",IF(AJ1101="CO","COUPE – À RESOUDER","À RÉPARER"))))))))))</f>
        <v/>
      </c>
      <c r="AL1101" s="82" t="str">
        <f aca="false">IF(AND(ISNUMBER(P1101),OR(AK1101="À RADIOGRAPHIER",AK1101="RÉPARÉ – À RADIOGRAPHIER",AK1101="NX – RT À REFAIRE",AK1101="À RÉPARER",AK1101="COUPE – À RESOUDER",AK1101="VT REJETÉ – À REPRENDRE")),MAX(0,'PROGRAMME RT'!$C$4-P1101),"")</f>
        <v/>
      </c>
      <c r="AM1101" s="78" t="n">
        <f aca="false">IF(AND(OR(AK1101="À RADIOGRAPHIER",AK1101="RÉPARÉ – À RADIOGRAPHIER",AK1101="NX – RT À REFAIRE"),OR('PROGRAMME RT'!$D$5="TOUTES",B1101='PROGRAMME RT'!$D$5)),1,0)</f>
        <v>0</v>
      </c>
      <c r="AN1101" s="78" t="str">
        <f aca="false">IF(AM1101=1,SUM(AM$7:AM1101),"")</f>
        <v/>
      </c>
      <c r="AO1101" s="78" t="n">
        <f aca="false">IF(AND(OR(AK1101="À RÉPARER",AK1101="COUPE – À RESOUDER",AK1101="VT REJETÉ – À REPRENDRE"),OR(RÉPARATIONS!$D$5="TOUTES",B1101=RÉPARATIONS!$D$5)),1,0)</f>
        <v>0</v>
      </c>
      <c r="AP1101" s="78" t="str">
        <f aca="false">IF(AO1101=1,SUM(AO$7:AO1101),"")</f>
        <v/>
      </c>
    </row>
    <row r="1102" customFormat="false" ht="15" hidden="false" customHeight="false" outlineLevel="0" collapsed="false">
      <c r="A1102" s="78" t="str">
        <f aca="false">IF(E1102="","",ROW()-6)</f>
        <v/>
      </c>
      <c r="B1102" s="79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0"/>
      <c r="P1102" s="81"/>
      <c r="Q1102" s="81"/>
      <c r="R1102" s="80"/>
      <c r="S1102" s="80"/>
      <c r="T1102" s="81"/>
      <c r="U1102" s="80"/>
      <c r="V1102" s="80"/>
      <c r="W1102" s="80"/>
      <c r="X1102" s="80"/>
      <c r="Y1102" s="81"/>
      <c r="Z1102" s="80"/>
      <c r="AA1102" s="80"/>
      <c r="AB1102" s="80"/>
      <c r="AC1102" s="80"/>
      <c r="AD1102" s="81"/>
      <c r="AE1102" s="80"/>
      <c r="AF1102" s="80"/>
      <c r="AG1102" s="81"/>
      <c r="AH1102" s="79"/>
      <c r="AI1102" s="78" t="str">
        <f aca="false">IF(E1102="","",(V1102&lt;&gt;"")+(AA1102&lt;&gt;"")+(AF1102&lt;&gt;""))</f>
        <v/>
      </c>
      <c r="AJ1102" s="82" t="str">
        <f aca="false">IF(AF1102&lt;&gt;"",AF1102,IF(AA1102&lt;&gt;"",AA1102,IF(V1102&lt;&gt;"",V1102,"")))</f>
        <v/>
      </c>
      <c r="AK1102" s="83" t="str">
        <f aca="false">IF(E1102="","",IF(P1102="","À SOUDER",IF(S1102="","VT EN ATTENTE",IF(S1102="R","VT REJETÉ – À REPRENDRE",IF(AJ1102="","À RADIOGRAPHIER",IF(AJ1102="A","ACCEPTÉ",IF(AJ1102="NX","NX – RT À REFAIRE",IF(IF(AI1102=1,X1102,IF(AI1102=2,AC1102,""))="A","RÉPARÉ – À RADIOGRAPHIER",IF(IF(AI1102=1,X1102,IF(AI1102=2,AC1102,""))="R","VT REJETÉ – À REPRENDRE",IF(AJ1102="CO","COUPE – À RESOUDER","À RÉPARER"))))))))))</f>
        <v/>
      </c>
      <c r="AL1102" s="82" t="str">
        <f aca="false">IF(AND(ISNUMBER(P1102),OR(AK1102="À RADIOGRAPHIER",AK1102="RÉPARÉ – À RADIOGRAPHIER",AK1102="NX – RT À REFAIRE",AK1102="À RÉPARER",AK1102="COUPE – À RESOUDER",AK1102="VT REJETÉ – À REPRENDRE")),MAX(0,'PROGRAMME RT'!$C$4-P1102),"")</f>
        <v/>
      </c>
      <c r="AM1102" s="78" t="n">
        <f aca="false">IF(AND(OR(AK1102="À RADIOGRAPHIER",AK1102="RÉPARÉ – À RADIOGRAPHIER",AK1102="NX – RT À REFAIRE"),OR('PROGRAMME RT'!$D$5="TOUTES",B1102='PROGRAMME RT'!$D$5)),1,0)</f>
        <v>0</v>
      </c>
      <c r="AN1102" s="78" t="str">
        <f aca="false">IF(AM1102=1,SUM(AM$7:AM1102),"")</f>
        <v/>
      </c>
      <c r="AO1102" s="78" t="n">
        <f aca="false">IF(AND(OR(AK1102="À RÉPARER",AK1102="COUPE – À RESOUDER",AK1102="VT REJETÉ – À REPRENDRE"),OR(RÉPARATIONS!$D$5="TOUTES",B1102=RÉPARATIONS!$D$5)),1,0)</f>
        <v>0</v>
      </c>
      <c r="AP1102" s="78" t="str">
        <f aca="false">IF(AO1102=1,SUM(AO$7:AO1102),"")</f>
        <v/>
      </c>
    </row>
    <row r="1103" customFormat="false" ht="15" hidden="false" customHeight="false" outlineLevel="0" collapsed="false">
      <c r="A1103" s="78" t="str">
        <f aca="false">IF(E1103="","",ROW()-6)</f>
        <v/>
      </c>
      <c r="B1103" s="79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0"/>
      <c r="P1103" s="81"/>
      <c r="Q1103" s="81"/>
      <c r="R1103" s="80"/>
      <c r="S1103" s="80"/>
      <c r="T1103" s="81"/>
      <c r="U1103" s="80"/>
      <c r="V1103" s="80"/>
      <c r="W1103" s="80"/>
      <c r="X1103" s="80"/>
      <c r="Y1103" s="81"/>
      <c r="Z1103" s="80"/>
      <c r="AA1103" s="80"/>
      <c r="AB1103" s="80"/>
      <c r="AC1103" s="80"/>
      <c r="AD1103" s="81"/>
      <c r="AE1103" s="80"/>
      <c r="AF1103" s="80"/>
      <c r="AG1103" s="81"/>
      <c r="AH1103" s="79"/>
      <c r="AI1103" s="78" t="str">
        <f aca="false">IF(E1103="","",(V1103&lt;&gt;"")+(AA1103&lt;&gt;"")+(AF1103&lt;&gt;""))</f>
        <v/>
      </c>
      <c r="AJ1103" s="82" t="str">
        <f aca="false">IF(AF1103&lt;&gt;"",AF1103,IF(AA1103&lt;&gt;"",AA1103,IF(V1103&lt;&gt;"",V1103,"")))</f>
        <v/>
      </c>
      <c r="AK1103" s="83" t="str">
        <f aca="false">IF(E1103="","",IF(P1103="","À SOUDER",IF(S1103="","VT EN ATTENTE",IF(S1103="R","VT REJETÉ – À REPRENDRE",IF(AJ1103="","À RADIOGRAPHIER",IF(AJ1103="A","ACCEPTÉ",IF(AJ1103="NX","NX – RT À REFAIRE",IF(IF(AI1103=1,X1103,IF(AI1103=2,AC1103,""))="A","RÉPARÉ – À RADIOGRAPHIER",IF(IF(AI1103=1,X1103,IF(AI1103=2,AC1103,""))="R","VT REJETÉ – À REPRENDRE",IF(AJ1103="CO","COUPE – À RESOUDER","À RÉPARER"))))))))))</f>
        <v/>
      </c>
      <c r="AL1103" s="82" t="str">
        <f aca="false">IF(AND(ISNUMBER(P1103),OR(AK1103="À RADIOGRAPHIER",AK1103="RÉPARÉ – À RADIOGRAPHIER",AK1103="NX – RT À REFAIRE",AK1103="À RÉPARER",AK1103="COUPE – À RESOUDER",AK1103="VT REJETÉ – À REPRENDRE")),MAX(0,'PROGRAMME RT'!$C$4-P1103),"")</f>
        <v/>
      </c>
      <c r="AM1103" s="78" t="n">
        <f aca="false">IF(AND(OR(AK1103="À RADIOGRAPHIER",AK1103="RÉPARÉ – À RADIOGRAPHIER",AK1103="NX – RT À REFAIRE"),OR('PROGRAMME RT'!$D$5="TOUTES",B1103='PROGRAMME RT'!$D$5)),1,0)</f>
        <v>0</v>
      </c>
      <c r="AN1103" s="78" t="str">
        <f aca="false">IF(AM1103=1,SUM(AM$7:AM1103),"")</f>
        <v/>
      </c>
      <c r="AO1103" s="78" t="n">
        <f aca="false">IF(AND(OR(AK1103="À RÉPARER",AK1103="COUPE – À RESOUDER",AK1103="VT REJETÉ – À REPRENDRE"),OR(RÉPARATIONS!$D$5="TOUTES",B1103=RÉPARATIONS!$D$5)),1,0)</f>
        <v>0</v>
      </c>
      <c r="AP1103" s="78" t="str">
        <f aca="false">IF(AO1103=1,SUM(AO$7:AO1103),"")</f>
        <v/>
      </c>
    </row>
    <row r="1104" customFormat="false" ht="15" hidden="false" customHeight="false" outlineLevel="0" collapsed="false">
      <c r="A1104" s="78" t="str">
        <f aca="false">IF(E1104="","",ROW()-6)</f>
        <v/>
      </c>
      <c r="B1104" s="79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0"/>
      <c r="P1104" s="81"/>
      <c r="Q1104" s="81"/>
      <c r="R1104" s="80"/>
      <c r="S1104" s="80"/>
      <c r="T1104" s="81"/>
      <c r="U1104" s="80"/>
      <c r="V1104" s="80"/>
      <c r="W1104" s="80"/>
      <c r="X1104" s="80"/>
      <c r="Y1104" s="81"/>
      <c r="Z1104" s="80"/>
      <c r="AA1104" s="80"/>
      <c r="AB1104" s="80"/>
      <c r="AC1104" s="80"/>
      <c r="AD1104" s="81"/>
      <c r="AE1104" s="80"/>
      <c r="AF1104" s="80"/>
      <c r="AG1104" s="81"/>
      <c r="AH1104" s="79"/>
      <c r="AI1104" s="78" t="str">
        <f aca="false">IF(E1104="","",(V1104&lt;&gt;"")+(AA1104&lt;&gt;"")+(AF1104&lt;&gt;""))</f>
        <v/>
      </c>
      <c r="AJ1104" s="82" t="str">
        <f aca="false">IF(AF1104&lt;&gt;"",AF1104,IF(AA1104&lt;&gt;"",AA1104,IF(V1104&lt;&gt;"",V1104,"")))</f>
        <v/>
      </c>
      <c r="AK1104" s="83" t="str">
        <f aca="false">IF(E1104="","",IF(P1104="","À SOUDER",IF(S1104="","VT EN ATTENTE",IF(S1104="R","VT REJETÉ – À REPRENDRE",IF(AJ1104="","À RADIOGRAPHIER",IF(AJ1104="A","ACCEPTÉ",IF(AJ1104="NX","NX – RT À REFAIRE",IF(IF(AI1104=1,X1104,IF(AI1104=2,AC1104,""))="A","RÉPARÉ – À RADIOGRAPHIER",IF(IF(AI1104=1,X1104,IF(AI1104=2,AC1104,""))="R","VT REJETÉ – À REPRENDRE",IF(AJ1104="CO","COUPE – À RESOUDER","À RÉPARER"))))))))))</f>
        <v/>
      </c>
      <c r="AL1104" s="82" t="str">
        <f aca="false">IF(AND(ISNUMBER(P1104),OR(AK1104="À RADIOGRAPHIER",AK1104="RÉPARÉ – À RADIOGRAPHIER",AK1104="NX – RT À REFAIRE",AK1104="À RÉPARER",AK1104="COUPE – À RESOUDER",AK1104="VT REJETÉ – À REPRENDRE")),MAX(0,'PROGRAMME RT'!$C$4-P1104),"")</f>
        <v/>
      </c>
      <c r="AM1104" s="78" t="n">
        <f aca="false">IF(AND(OR(AK1104="À RADIOGRAPHIER",AK1104="RÉPARÉ – À RADIOGRAPHIER",AK1104="NX – RT À REFAIRE"),OR('PROGRAMME RT'!$D$5="TOUTES",B1104='PROGRAMME RT'!$D$5)),1,0)</f>
        <v>0</v>
      </c>
      <c r="AN1104" s="78" t="str">
        <f aca="false">IF(AM1104=1,SUM(AM$7:AM1104),"")</f>
        <v/>
      </c>
      <c r="AO1104" s="78" t="n">
        <f aca="false">IF(AND(OR(AK1104="À RÉPARER",AK1104="COUPE – À RESOUDER",AK1104="VT REJETÉ – À REPRENDRE"),OR(RÉPARATIONS!$D$5="TOUTES",B1104=RÉPARATIONS!$D$5)),1,0)</f>
        <v>0</v>
      </c>
      <c r="AP1104" s="78" t="str">
        <f aca="false">IF(AO1104=1,SUM(AO$7:AO1104),"")</f>
        <v/>
      </c>
    </row>
    <row r="1105" customFormat="false" ht="15" hidden="false" customHeight="false" outlineLevel="0" collapsed="false">
      <c r="A1105" s="78" t="str">
        <f aca="false">IF(E1105="","",ROW()-6)</f>
        <v/>
      </c>
      <c r="B1105" s="79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0"/>
      <c r="P1105" s="81"/>
      <c r="Q1105" s="81"/>
      <c r="R1105" s="80"/>
      <c r="S1105" s="80"/>
      <c r="T1105" s="81"/>
      <c r="U1105" s="80"/>
      <c r="V1105" s="80"/>
      <c r="W1105" s="80"/>
      <c r="X1105" s="80"/>
      <c r="Y1105" s="81"/>
      <c r="Z1105" s="80"/>
      <c r="AA1105" s="80"/>
      <c r="AB1105" s="80"/>
      <c r="AC1105" s="80"/>
      <c r="AD1105" s="81"/>
      <c r="AE1105" s="80"/>
      <c r="AF1105" s="80"/>
      <c r="AG1105" s="81"/>
      <c r="AH1105" s="79"/>
      <c r="AI1105" s="78" t="str">
        <f aca="false">IF(E1105="","",(V1105&lt;&gt;"")+(AA1105&lt;&gt;"")+(AF1105&lt;&gt;""))</f>
        <v/>
      </c>
      <c r="AJ1105" s="82" t="str">
        <f aca="false">IF(AF1105&lt;&gt;"",AF1105,IF(AA1105&lt;&gt;"",AA1105,IF(V1105&lt;&gt;"",V1105,"")))</f>
        <v/>
      </c>
      <c r="AK1105" s="83" t="str">
        <f aca="false">IF(E1105="","",IF(P1105="","À SOUDER",IF(S1105="","VT EN ATTENTE",IF(S1105="R","VT REJETÉ – À REPRENDRE",IF(AJ1105="","À RADIOGRAPHIER",IF(AJ1105="A","ACCEPTÉ",IF(AJ1105="NX","NX – RT À REFAIRE",IF(IF(AI1105=1,X1105,IF(AI1105=2,AC1105,""))="A","RÉPARÉ – À RADIOGRAPHIER",IF(IF(AI1105=1,X1105,IF(AI1105=2,AC1105,""))="R","VT REJETÉ – À REPRENDRE",IF(AJ1105="CO","COUPE – À RESOUDER","À RÉPARER"))))))))))</f>
        <v/>
      </c>
      <c r="AL1105" s="82" t="str">
        <f aca="false">IF(AND(ISNUMBER(P1105),OR(AK1105="À RADIOGRAPHIER",AK1105="RÉPARÉ – À RADIOGRAPHIER",AK1105="NX – RT À REFAIRE",AK1105="À RÉPARER",AK1105="COUPE – À RESOUDER",AK1105="VT REJETÉ – À REPRENDRE")),MAX(0,'PROGRAMME RT'!$C$4-P1105),"")</f>
        <v/>
      </c>
      <c r="AM1105" s="78" t="n">
        <f aca="false">IF(AND(OR(AK1105="À RADIOGRAPHIER",AK1105="RÉPARÉ – À RADIOGRAPHIER",AK1105="NX – RT À REFAIRE"),OR('PROGRAMME RT'!$D$5="TOUTES",B1105='PROGRAMME RT'!$D$5)),1,0)</f>
        <v>0</v>
      </c>
      <c r="AN1105" s="78" t="str">
        <f aca="false">IF(AM1105=1,SUM(AM$7:AM1105),"")</f>
        <v/>
      </c>
      <c r="AO1105" s="78" t="n">
        <f aca="false">IF(AND(OR(AK1105="À RÉPARER",AK1105="COUPE – À RESOUDER",AK1105="VT REJETÉ – À REPRENDRE"),OR(RÉPARATIONS!$D$5="TOUTES",B1105=RÉPARATIONS!$D$5)),1,0)</f>
        <v>0</v>
      </c>
      <c r="AP1105" s="78" t="str">
        <f aca="false">IF(AO1105=1,SUM(AO$7:AO1105),"")</f>
        <v/>
      </c>
    </row>
    <row r="1106" customFormat="false" ht="15" hidden="false" customHeight="false" outlineLevel="0" collapsed="false">
      <c r="A1106" s="78" t="str">
        <f aca="false">IF(E1106="","",ROW()-6)</f>
        <v/>
      </c>
      <c r="B1106" s="79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0"/>
      <c r="P1106" s="81"/>
      <c r="Q1106" s="81"/>
      <c r="R1106" s="80"/>
      <c r="S1106" s="80"/>
      <c r="T1106" s="81"/>
      <c r="U1106" s="80"/>
      <c r="V1106" s="80"/>
      <c r="W1106" s="80"/>
      <c r="X1106" s="80"/>
      <c r="Y1106" s="81"/>
      <c r="Z1106" s="80"/>
      <c r="AA1106" s="80"/>
      <c r="AB1106" s="80"/>
      <c r="AC1106" s="80"/>
      <c r="AD1106" s="81"/>
      <c r="AE1106" s="80"/>
      <c r="AF1106" s="80"/>
      <c r="AG1106" s="81"/>
      <c r="AH1106" s="79"/>
      <c r="AI1106" s="78" t="str">
        <f aca="false">IF(E1106="","",(V1106&lt;&gt;"")+(AA1106&lt;&gt;"")+(AF1106&lt;&gt;""))</f>
        <v/>
      </c>
      <c r="AJ1106" s="82" t="str">
        <f aca="false">IF(AF1106&lt;&gt;"",AF1106,IF(AA1106&lt;&gt;"",AA1106,IF(V1106&lt;&gt;"",V1106,"")))</f>
        <v/>
      </c>
      <c r="AK1106" s="83" t="str">
        <f aca="false">IF(E1106="","",IF(P1106="","À SOUDER",IF(S1106="","VT EN ATTENTE",IF(S1106="R","VT REJETÉ – À REPRENDRE",IF(AJ1106="","À RADIOGRAPHIER",IF(AJ1106="A","ACCEPTÉ",IF(AJ1106="NX","NX – RT À REFAIRE",IF(IF(AI1106=1,X1106,IF(AI1106=2,AC1106,""))="A","RÉPARÉ – À RADIOGRAPHIER",IF(IF(AI1106=1,X1106,IF(AI1106=2,AC1106,""))="R","VT REJETÉ – À REPRENDRE",IF(AJ1106="CO","COUPE – À RESOUDER","À RÉPARER"))))))))))</f>
        <v/>
      </c>
      <c r="AL1106" s="82" t="str">
        <f aca="false">IF(AND(ISNUMBER(P1106),OR(AK1106="À RADIOGRAPHIER",AK1106="RÉPARÉ – À RADIOGRAPHIER",AK1106="NX – RT À REFAIRE",AK1106="À RÉPARER",AK1106="COUPE – À RESOUDER",AK1106="VT REJETÉ – À REPRENDRE")),MAX(0,'PROGRAMME RT'!$C$4-P1106),"")</f>
        <v/>
      </c>
      <c r="AM1106" s="78" t="n">
        <f aca="false">IF(AND(OR(AK1106="À RADIOGRAPHIER",AK1106="RÉPARÉ – À RADIOGRAPHIER",AK1106="NX – RT À REFAIRE"),OR('PROGRAMME RT'!$D$5="TOUTES",B1106='PROGRAMME RT'!$D$5)),1,0)</f>
        <v>0</v>
      </c>
      <c r="AN1106" s="78" t="str">
        <f aca="false">IF(AM1106=1,SUM(AM$7:AM1106),"")</f>
        <v/>
      </c>
      <c r="AO1106" s="78" t="n">
        <f aca="false">IF(AND(OR(AK1106="À RÉPARER",AK1106="COUPE – À RESOUDER",AK1106="VT REJETÉ – À REPRENDRE"),OR(RÉPARATIONS!$D$5="TOUTES",B1106=RÉPARATIONS!$D$5)),1,0)</f>
        <v>0</v>
      </c>
      <c r="AP1106" s="78" t="str">
        <f aca="false">IF(AO1106=1,SUM(AO$7:AO1106),"")</f>
        <v/>
      </c>
    </row>
    <row r="1107" customFormat="false" ht="15" hidden="false" customHeight="false" outlineLevel="0" collapsed="false">
      <c r="A1107" s="78" t="str">
        <f aca="false">IF(E1107="","",ROW()-6)</f>
        <v/>
      </c>
      <c r="B1107" s="79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0"/>
      <c r="P1107" s="81"/>
      <c r="Q1107" s="81"/>
      <c r="R1107" s="80"/>
      <c r="S1107" s="80"/>
      <c r="T1107" s="81"/>
      <c r="U1107" s="80"/>
      <c r="V1107" s="80"/>
      <c r="W1107" s="80"/>
      <c r="X1107" s="80"/>
      <c r="Y1107" s="81"/>
      <c r="Z1107" s="80"/>
      <c r="AA1107" s="80"/>
      <c r="AB1107" s="80"/>
      <c r="AC1107" s="80"/>
      <c r="AD1107" s="81"/>
      <c r="AE1107" s="80"/>
      <c r="AF1107" s="80"/>
      <c r="AG1107" s="81"/>
      <c r="AH1107" s="79"/>
      <c r="AI1107" s="78" t="str">
        <f aca="false">IF(E1107="","",(V1107&lt;&gt;"")+(AA1107&lt;&gt;"")+(AF1107&lt;&gt;""))</f>
        <v/>
      </c>
      <c r="AJ1107" s="82" t="str">
        <f aca="false">IF(AF1107&lt;&gt;"",AF1107,IF(AA1107&lt;&gt;"",AA1107,IF(V1107&lt;&gt;"",V1107,"")))</f>
        <v/>
      </c>
      <c r="AK1107" s="83" t="str">
        <f aca="false">IF(E1107="","",IF(P1107="","À SOUDER",IF(S1107="","VT EN ATTENTE",IF(S1107="R","VT REJETÉ – À REPRENDRE",IF(AJ1107="","À RADIOGRAPHIER",IF(AJ1107="A","ACCEPTÉ",IF(AJ1107="NX","NX – RT À REFAIRE",IF(IF(AI1107=1,X1107,IF(AI1107=2,AC1107,""))="A","RÉPARÉ – À RADIOGRAPHIER",IF(IF(AI1107=1,X1107,IF(AI1107=2,AC1107,""))="R","VT REJETÉ – À REPRENDRE",IF(AJ1107="CO","COUPE – À RESOUDER","À RÉPARER"))))))))))</f>
        <v/>
      </c>
      <c r="AL1107" s="82" t="str">
        <f aca="false">IF(AND(ISNUMBER(P1107),OR(AK1107="À RADIOGRAPHIER",AK1107="RÉPARÉ – À RADIOGRAPHIER",AK1107="NX – RT À REFAIRE",AK1107="À RÉPARER",AK1107="COUPE – À RESOUDER",AK1107="VT REJETÉ – À REPRENDRE")),MAX(0,'PROGRAMME RT'!$C$4-P1107),"")</f>
        <v/>
      </c>
      <c r="AM1107" s="78" t="n">
        <f aca="false">IF(AND(OR(AK1107="À RADIOGRAPHIER",AK1107="RÉPARÉ – À RADIOGRAPHIER",AK1107="NX – RT À REFAIRE"),OR('PROGRAMME RT'!$D$5="TOUTES",B1107='PROGRAMME RT'!$D$5)),1,0)</f>
        <v>0</v>
      </c>
      <c r="AN1107" s="78" t="str">
        <f aca="false">IF(AM1107=1,SUM(AM$7:AM1107),"")</f>
        <v/>
      </c>
      <c r="AO1107" s="78" t="n">
        <f aca="false">IF(AND(OR(AK1107="À RÉPARER",AK1107="COUPE – À RESOUDER",AK1107="VT REJETÉ – À REPRENDRE"),OR(RÉPARATIONS!$D$5="TOUTES",B1107=RÉPARATIONS!$D$5)),1,0)</f>
        <v>0</v>
      </c>
      <c r="AP1107" s="78" t="str">
        <f aca="false">IF(AO1107=1,SUM(AO$7:AO1107),"")</f>
        <v/>
      </c>
    </row>
    <row r="1108" customFormat="false" ht="15" hidden="false" customHeight="false" outlineLevel="0" collapsed="false">
      <c r="A1108" s="78" t="str">
        <f aca="false">IF(E1108="","",ROW()-6)</f>
        <v/>
      </c>
      <c r="B1108" s="79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0"/>
      <c r="P1108" s="81"/>
      <c r="Q1108" s="81"/>
      <c r="R1108" s="80"/>
      <c r="S1108" s="80"/>
      <c r="T1108" s="81"/>
      <c r="U1108" s="80"/>
      <c r="V1108" s="80"/>
      <c r="W1108" s="80"/>
      <c r="X1108" s="80"/>
      <c r="Y1108" s="81"/>
      <c r="Z1108" s="80"/>
      <c r="AA1108" s="80"/>
      <c r="AB1108" s="80"/>
      <c r="AC1108" s="80"/>
      <c r="AD1108" s="81"/>
      <c r="AE1108" s="80"/>
      <c r="AF1108" s="80"/>
      <c r="AG1108" s="81"/>
      <c r="AH1108" s="79"/>
      <c r="AI1108" s="78" t="str">
        <f aca="false">IF(E1108="","",(V1108&lt;&gt;"")+(AA1108&lt;&gt;"")+(AF1108&lt;&gt;""))</f>
        <v/>
      </c>
      <c r="AJ1108" s="82" t="str">
        <f aca="false">IF(AF1108&lt;&gt;"",AF1108,IF(AA1108&lt;&gt;"",AA1108,IF(V1108&lt;&gt;"",V1108,"")))</f>
        <v/>
      </c>
      <c r="AK1108" s="83" t="str">
        <f aca="false">IF(E1108="","",IF(P1108="","À SOUDER",IF(S1108="","VT EN ATTENTE",IF(S1108="R","VT REJETÉ – À REPRENDRE",IF(AJ1108="","À RADIOGRAPHIER",IF(AJ1108="A","ACCEPTÉ",IF(AJ1108="NX","NX – RT À REFAIRE",IF(IF(AI1108=1,X1108,IF(AI1108=2,AC1108,""))="A","RÉPARÉ – À RADIOGRAPHIER",IF(IF(AI1108=1,X1108,IF(AI1108=2,AC1108,""))="R","VT REJETÉ – À REPRENDRE",IF(AJ1108="CO","COUPE – À RESOUDER","À RÉPARER"))))))))))</f>
        <v/>
      </c>
      <c r="AL1108" s="82" t="str">
        <f aca="false">IF(AND(ISNUMBER(P1108),OR(AK1108="À RADIOGRAPHIER",AK1108="RÉPARÉ – À RADIOGRAPHIER",AK1108="NX – RT À REFAIRE",AK1108="À RÉPARER",AK1108="COUPE – À RESOUDER",AK1108="VT REJETÉ – À REPRENDRE")),MAX(0,'PROGRAMME RT'!$C$4-P1108),"")</f>
        <v/>
      </c>
      <c r="AM1108" s="78" t="n">
        <f aca="false">IF(AND(OR(AK1108="À RADIOGRAPHIER",AK1108="RÉPARÉ – À RADIOGRAPHIER",AK1108="NX – RT À REFAIRE"),OR('PROGRAMME RT'!$D$5="TOUTES",B1108='PROGRAMME RT'!$D$5)),1,0)</f>
        <v>0</v>
      </c>
      <c r="AN1108" s="78" t="str">
        <f aca="false">IF(AM1108=1,SUM(AM$7:AM1108),"")</f>
        <v/>
      </c>
      <c r="AO1108" s="78" t="n">
        <f aca="false">IF(AND(OR(AK1108="À RÉPARER",AK1108="COUPE – À RESOUDER",AK1108="VT REJETÉ – À REPRENDRE"),OR(RÉPARATIONS!$D$5="TOUTES",B1108=RÉPARATIONS!$D$5)),1,0)</f>
        <v>0</v>
      </c>
      <c r="AP1108" s="78" t="str">
        <f aca="false">IF(AO1108=1,SUM(AO$7:AO1108),"")</f>
        <v/>
      </c>
    </row>
    <row r="1109" customFormat="false" ht="15" hidden="false" customHeight="false" outlineLevel="0" collapsed="false">
      <c r="A1109" s="78" t="str">
        <f aca="false">IF(E1109="","",ROW()-6)</f>
        <v/>
      </c>
      <c r="B1109" s="79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0"/>
      <c r="P1109" s="81"/>
      <c r="Q1109" s="81"/>
      <c r="R1109" s="80"/>
      <c r="S1109" s="80"/>
      <c r="T1109" s="81"/>
      <c r="U1109" s="80"/>
      <c r="V1109" s="80"/>
      <c r="W1109" s="80"/>
      <c r="X1109" s="80"/>
      <c r="Y1109" s="81"/>
      <c r="Z1109" s="80"/>
      <c r="AA1109" s="80"/>
      <c r="AB1109" s="80"/>
      <c r="AC1109" s="80"/>
      <c r="AD1109" s="81"/>
      <c r="AE1109" s="80"/>
      <c r="AF1109" s="80"/>
      <c r="AG1109" s="81"/>
      <c r="AH1109" s="79"/>
      <c r="AI1109" s="78" t="str">
        <f aca="false">IF(E1109="","",(V1109&lt;&gt;"")+(AA1109&lt;&gt;"")+(AF1109&lt;&gt;""))</f>
        <v/>
      </c>
      <c r="AJ1109" s="82" t="str">
        <f aca="false">IF(AF1109&lt;&gt;"",AF1109,IF(AA1109&lt;&gt;"",AA1109,IF(V1109&lt;&gt;"",V1109,"")))</f>
        <v/>
      </c>
      <c r="AK1109" s="83" t="str">
        <f aca="false">IF(E1109="","",IF(P1109="","À SOUDER",IF(S1109="","VT EN ATTENTE",IF(S1109="R","VT REJETÉ – À REPRENDRE",IF(AJ1109="","À RADIOGRAPHIER",IF(AJ1109="A","ACCEPTÉ",IF(AJ1109="NX","NX – RT À REFAIRE",IF(IF(AI1109=1,X1109,IF(AI1109=2,AC1109,""))="A","RÉPARÉ – À RADIOGRAPHIER",IF(IF(AI1109=1,X1109,IF(AI1109=2,AC1109,""))="R","VT REJETÉ – À REPRENDRE",IF(AJ1109="CO","COUPE – À RESOUDER","À RÉPARER"))))))))))</f>
        <v/>
      </c>
      <c r="AL1109" s="82" t="str">
        <f aca="false">IF(AND(ISNUMBER(P1109),OR(AK1109="À RADIOGRAPHIER",AK1109="RÉPARÉ – À RADIOGRAPHIER",AK1109="NX – RT À REFAIRE",AK1109="À RÉPARER",AK1109="COUPE – À RESOUDER",AK1109="VT REJETÉ – À REPRENDRE")),MAX(0,'PROGRAMME RT'!$C$4-P1109),"")</f>
        <v/>
      </c>
      <c r="AM1109" s="78" t="n">
        <f aca="false">IF(AND(OR(AK1109="À RADIOGRAPHIER",AK1109="RÉPARÉ – À RADIOGRAPHIER",AK1109="NX – RT À REFAIRE"),OR('PROGRAMME RT'!$D$5="TOUTES",B1109='PROGRAMME RT'!$D$5)),1,0)</f>
        <v>0</v>
      </c>
      <c r="AN1109" s="78" t="str">
        <f aca="false">IF(AM1109=1,SUM(AM$7:AM1109),"")</f>
        <v/>
      </c>
      <c r="AO1109" s="78" t="n">
        <f aca="false">IF(AND(OR(AK1109="À RÉPARER",AK1109="COUPE – À RESOUDER",AK1109="VT REJETÉ – À REPRENDRE"),OR(RÉPARATIONS!$D$5="TOUTES",B1109=RÉPARATIONS!$D$5)),1,0)</f>
        <v>0</v>
      </c>
      <c r="AP1109" s="78" t="str">
        <f aca="false">IF(AO1109=1,SUM(AO$7:AO1109),"")</f>
        <v/>
      </c>
    </row>
    <row r="1110" customFormat="false" ht="15" hidden="false" customHeight="false" outlineLevel="0" collapsed="false">
      <c r="A1110" s="78" t="str">
        <f aca="false">IF(E1110="","",ROW()-6)</f>
        <v/>
      </c>
      <c r="B1110" s="79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0"/>
      <c r="P1110" s="81"/>
      <c r="Q1110" s="81"/>
      <c r="R1110" s="80"/>
      <c r="S1110" s="80"/>
      <c r="T1110" s="81"/>
      <c r="U1110" s="80"/>
      <c r="V1110" s="80"/>
      <c r="W1110" s="80"/>
      <c r="X1110" s="80"/>
      <c r="Y1110" s="81"/>
      <c r="Z1110" s="80"/>
      <c r="AA1110" s="80"/>
      <c r="AB1110" s="80"/>
      <c r="AC1110" s="80"/>
      <c r="AD1110" s="81"/>
      <c r="AE1110" s="80"/>
      <c r="AF1110" s="80"/>
      <c r="AG1110" s="81"/>
      <c r="AH1110" s="79"/>
      <c r="AI1110" s="78" t="str">
        <f aca="false">IF(E1110="","",(V1110&lt;&gt;"")+(AA1110&lt;&gt;"")+(AF1110&lt;&gt;""))</f>
        <v/>
      </c>
      <c r="AJ1110" s="82" t="str">
        <f aca="false">IF(AF1110&lt;&gt;"",AF1110,IF(AA1110&lt;&gt;"",AA1110,IF(V1110&lt;&gt;"",V1110,"")))</f>
        <v/>
      </c>
      <c r="AK1110" s="83" t="str">
        <f aca="false">IF(E1110="","",IF(P1110="","À SOUDER",IF(S1110="","VT EN ATTENTE",IF(S1110="R","VT REJETÉ – À REPRENDRE",IF(AJ1110="","À RADIOGRAPHIER",IF(AJ1110="A","ACCEPTÉ",IF(AJ1110="NX","NX – RT À REFAIRE",IF(IF(AI1110=1,X1110,IF(AI1110=2,AC1110,""))="A","RÉPARÉ – À RADIOGRAPHIER",IF(IF(AI1110=1,X1110,IF(AI1110=2,AC1110,""))="R","VT REJETÉ – À REPRENDRE",IF(AJ1110="CO","COUPE – À RESOUDER","À RÉPARER"))))))))))</f>
        <v/>
      </c>
      <c r="AL1110" s="82" t="str">
        <f aca="false">IF(AND(ISNUMBER(P1110),OR(AK1110="À RADIOGRAPHIER",AK1110="RÉPARÉ – À RADIOGRAPHIER",AK1110="NX – RT À REFAIRE",AK1110="À RÉPARER",AK1110="COUPE – À RESOUDER",AK1110="VT REJETÉ – À REPRENDRE")),MAX(0,'PROGRAMME RT'!$C$4-P1110),"")</f>
        <v/>
      </c>
      <c r="AM1110" s="78" t="n">
        <f aca="false">IF(AND(OR(AK1110="À RADIOGRAPHIER",AK1110="RÉPARÉ – À RADIOGRAPHIER",AK1110="NX – RT À REFAIRE"),OR('PROGRAMME RT'!$D$5="TOUTES",B1110='PROGRAMME RT'!$D$5)),1,0)</f>
        <v>0</v>
      </c>
      <c r="AN1110" s="78" t="str">
        <f aca="false">IF(AM1110=1,SUM(AM$7:AM1110),"")</f>
        <v/>
      </c>
      <c r="AO1110" s="78" t="n">
        <f aca="false">IF(AND(OR(AK1110="À RÉPARER",AK1110="COUPE – À RESOUDER",AK1110="VT REJETÉ – À REPRENDRE"),OR(RÉPARATIONS!$D$5="TOUTES",B1110=RÉPARATIONS!$D$5)),1,0)</f>
        <v>0</v>
      </c>
      <c r="AP1110" s="78" t="str">
        <f aca="false">IF(AO1110=1,SUM(AO$7:AO1110),"")</f>
        <v/>
      </c>
    </row>
    <row r="1111" customFormat="false" ht="15" hidden="false" customHeight="false" outlineLevel="0" collapsed="false">
      <c r="A1111" s="78" t="str">
        <f aca="false">IF(E1111="","",ROW()-6)</f>
        <v/>
      </c>
      <c r="B1111" s="79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0"/>
      <c r="P1111" s="81"/>
      <c r="Q1111" s="81"/>
      <c r="R1111" s="80"/>
      <c r="S1111" s="80"/>
      <c r="T1111" s="81"/>
      <c r="U1111" s="80"/>
      <c r="V1111" s="80"/>
      <c r="W1111" s="80"/>
      <c r="X1111" s="80"/>
      <c r="Y1111" s="81"/>
      <c r="Z1111" s="80"/>
      <c r="AA1111" s="80"/>
      <c r="AB1111" s="80"/>
      <c r="AC1111" s="80"/>
      <c r="AD1111" s="81"/>
      <c r="AE1111" s="80"/>
      <c r="AF1111" s="80"/>
      <c r="AG1111" s="81"/>
      <c r="AH1111" s="79"/>
      <c r="AI1111" s="78" t="str">
        <f aca="false">IF(E1111="","",(V1111&lt;&gt;"")+(AA1111&lt;&gt;"")+(AF1111&lt;&gt;""))</f>
        <v/>
      </c>
      <c r="AJ1111" s="82" t="str">
        <f aca="false">IF(AF1111&lt;&gt;"",AF1111,IF(AA1111&lt;&gt;"",AA1111,IF(V1111&lt;&gt;"",V1111,"")))</f>
        <v/>
      </c>
      <c r="AK1111" s="83" t="str">
        <f aca="false">IF(E1111="","",IF(P1111="","À SOUDER",IF(S1111="","VT EN ATTENTE",IF(S1111="R","VT REJETÉ – À REPRENDRE",IF(AJ1111="","À RADIOGRAPHIER",IF(AJ1111="A","ACCEPTÉ",IF(AJ1111="NX","NX – RT À REFAIRE",IF(IF(AI1111=1,X1111,IF(AI1111=2,AC1111,""))="A","RÉPARÉ – À RADIOGRAPHIER",IF(IF(AI1111=1,X1111,IF(AI1111=2,AC1111,""))="R","VT REJETÉ – À REPRENDRE",IF(AJ1111="CO","COUPE – À RESOUDER","À RÉPARER"))))))))))</f>
        <v/>
      </c>
      <c r="AL1111" s="82" t="str">
        <f aca="false">IF(AND(ISNUMBER(P1111),OR(AK1111="À RADIOGRAPHIER",AK1111="RÉPARÉ – À RADIOGRAPHIER",AK1111="NX – RT À REFAIRE",AK1111="À RÉPARER",AK1111="COUPE – À RESOUDER",AK1111="VT REJETÉ – À REPRENDRE")),MAX(0,'PROGRAMME RT'!$C$4-P1111),"")</f>
        <v/>
      </c>
      <c r="AM1111" s="78" t="n">
        <f aca="false">IF(AND(OR(AK1111="À RADIOGRAPHIER",AK1111="RÉPARÉ – À RADIOGRAPHIER",AK1111="NX – RT À REFAIRE"),OR('PROGRAMME RT'!$D$5="TOUTES",B1111='PROGRAMME RT'!$D$5)),1,0)</f>
        <v>0</v>
      </c>
      <c r="AN1111" s="78" t="str">
        <f aca="false">IF(AM1111=1,SUM(AM$7:AM1111),"")</f>
        <v/>
      </c>
      <c r="AO1111" s="78" t="n">
        <f aca="false">IF(AND(OR(AK1111="À RÉPARER",AK1111="COUPE – À RESOUDER",AK1111="VT REJETÉ – À REPRENDRE"),OR(RÉPARATIONS!$D$5="TOUTES",B1111=RÉPARATIONS!$D$5)),1,0)</f>
        <v>0</v>
      </c>
      <c r="AP1111" s="78" t="str">
        <f aca="false">IF(AO1111=1,SUM(AO$7:AO1111),"")</f>
        <v/>
      </c>
    </row>
    <row r="1112" customFormat="false" ht="15" hidden="false" customHeight="false" outlineLevel="0" collapsed="false">
      <c r="A1112" s="78" t="str">
        <f aca="false">IF(E1112="","",ROW()-6)</f>
        <v/>
      </c>
      <c r="B1112" s="79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0"/>
      <c r="P1112" s="81"/>
      <c r="Q1112" s="81"/>
      <c r="R1112" s="80"/>
      <c r="S1112" s="80"/>
      <c r="T1112" s="81"/>
      <c r="U1112" s="80"/>
      <c r="V1112" s="80"/>
      <c r="W1112" s="80"/>
      <c r="X1112" s="80"/>
      <c r="Y1112" s="81"/>
      <c r="Z1112" s="80"/>
      <c r="AA1112" s="80"/>
      <c r="AB1112" s="80"/>
      <c r="AC1112" s="80"/>
      <c r="AD1112" s="81"/>
      <c r="AE1112" s="80"/>
      <c r="AF1112" s="80"/>
      <c r="AG1112" s="81"/>
      <c r="AH1112" s="79"/>
      <c r="AI1112" s="78" t="str">
        <f aca="false">IF(E1112="","",(V1112&lt;&gt;"")+(AA1112&lt;&gt;"")+(AF1112&lt;&gt;""))</f>
        <v/>
      </c>
      <c r="AJ1112" s="82" t="str">
        <f aca="false">IF(AF1112&lt;&gt;"",AF1112,IF(AA1112&lt;&gt;"",AA1112,IF(V1112&lt;&gt;"",V1112,"")))</f>
        <v/>
      </c>
      <c r="AK1112" s="83" t="str">
        <f aca="false">IF(E1112="","",IF(P1112="","À SOUDER",IF(S1112="","VT EN ATTENTE",IF(S1112="R","VT REJETÉ – À REPRENDRE",IF(AJ1112="","À RADIOGRAPHIER",IF(AJ1112="A","ACCEPTÉ",IF(AJ1112="NX","NX – RT À REFAIRE",IF(IF(AI1112=1,X1112,IF(AI1112=2,AC1112,""))="A","RÉPARÉ – À RADIOGRAPHIER",IF(IF(AI1112=1,X1112,IF(AI1112=2,AC1112,""))="R","VT REJETÉ – À REPRENDRE",IF(AJ1112="CO","COUPE – À RESOUDER","À RÉPARER"))))))))))</f>
        <v/>
      </c>
      <c r="AL1112" s="82" t="str">
        <f aca="false">IF(AND(ISNUMBER(P1112),OR(AK1112="À RADIOGRAPHIER",AK1112="RÉPARÉ – À RADIOGRAPHIER",AK1112="NX – RT À REFAIRE",AK1112="À RÉPARER",AK1112="COUPE – À RESOUDER",AK1112="VT REJETÉ – À REPRENDRE")),MAX(0,'PROGRAMME RT'!$C$4-P1112),"")</f>
        <v/>
      </c>
      <c r="AM1112" s="78" t="n">
        <f aca="false">IF(AND(OR(AK1112="À RADIOGRAPHIER",AK1112="RÉPARÉ – À RADIOGRAPHIER",AK1112="NX – RT À REFAIRE"),OR('PROGRAMME RT'!$D$5="TOUTES",B1112='PROGRAMME RT'!$D$5)),1,0)</f>
        <v>0</v>
      </c>
      <c r="AN1112" s="78" t="str">
        <f aca="false">IF(AM1112=1,SUM(AM$7:AM1112),"")</f>
        <v/>
      </c>
      <c r="AO1112" s="78" t="n">
        <f aca="false">IF(AND(OR(AK1112="À RÉPARER",AK1112="COUPE – À RESOUDER",AK1112="VT REJETÉ – À REPRENDRE"),OR(RÉPARATIONS!$D$5="TOUTES",B1112=RÉPARATIONS!$D$5)),1,0)</f>
        <v>0</v>
      </c>
      <c r="AP1112" s="78" t="str">
        <f aca="false">IF(AO1112=1,SUM(AO$7:AO1112),"")</f>
        <v/>
      </c>
    </row>
    <row r="1113" customFormat="false" ht="15" hidden="false" customHeight="false" outlineLevel="0" collapsed="false">
      <c r="A1113" s="78" t="str">
        <f aca="false">IF(E1113="","",ROW()-6)</f>
        <v/>
      </c>
      <c r="B1113" s="79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0"/>
      <c r="P1113" s="81"/>
      <c r="Q1113" s="81"/>
      <c r="R1113" s="80"/>
      <c r="S1113" s="80"/>
      <c r="T1113" s="81"/>
      <c r="U1113" s="80"/>
      <c r="V1113" s="80"/>
      <c r="W1113" s="80"/>
      <c r="X1113" s="80"/>
      <c r="Y1113" s="81"/>
      <c r="Z1113" s="80"/>
      <c r="AA1113" s="80"/>
      <c r="AB1113" s="80"/>
      <c r="AC1113" s="80"/>
      <c r="AD1113" s="81"/>
      <c r="AE1113" s="80"/>
      <c r="AF1113" s="80"/>
      <c r="AG1113" s="81"/>
      <c r="AH1113" s="79"/>
      <c r="AI1113" s="78" t="str">
        <f aca="false">IF(E1113="","",(V1113&lt;&gt;"")+(AA1113&lt;&gt;"")+(AF1113&lt;&gt;""))</f>
        <v/>
      </c>
      <c r="AJ1113" s="82" t="str">
        <f aca="false">IF(AF1113&lt;&gt;"",AF1113,IF(AA1113&lt;&gt;"",AA1113,IF(V1113&lt;&gt;"",V1113,"")))</f>
        <v/>
      </c>
      <c r="AK1113" s="83" t="str">
        <f aca="false">IF(E1113="","",IF(P1113="","À SOUDER",IF(S1113="","VT EN ATTENTE",IF(S1113="R","VT REJETÉ – À REPRENDRE",IF(AJ1113="","À RADIOGRAPHIER",IF(AJ1113="A","ACCEPTÉ",IF(AJ1113="NX","NX – RT À REFAIRE",IF(IF(AI1113=1,X1113,IF(AI1113=2,AC1113,""))="A","RÉPARÉ – À RADIOGRAPHIER",IF(IF(AI1113=1,X1113,IF(AI1113=2,AC1113,""))="R","VT REJETÉ – À REPRENDRE",IF(AJ1113="CO","COUPE – À RESOUDER","À RÉPARER"))))))))))</f>
        <v/>
      </c>
      <c r="AL1113" s="82" t="str">
        <f aca="false">IF(AND(ISNUMBER(P1113),OR(AK1113="À RADIOGRAPHIER",AK1113="RÉPARÉ – À RADIOGRAPHIER",AK1113="NX – RT À REFAIRE",AK1113="À RÉPARER",AK1113="COUPE – À RESOUDER",AK1113="VT REJETÉ – À REPRENDRE")),MAX(0,'PROGRAMME RT'!$C$4-P1113),"")</f>
        <v/>
      </c>
      <c r="AM1113" s="78" t="n">
        <f aca="false">IF(AND(OR(AK1113="À RADIOGRAPHIER",AK1113="RÉPARÉ – À RADIOGRAPHIER",AK1113="NX – RT À REFAIRE"),OR('PROGRAMME RT'!$D$5="TOUTES",B1113='PROGRAMME RT'!$D$5)),1,0)</f>
        <v>0</v>
      </c>
      <c r="AN1113" s="78" t="str">
        <f aca="false">IF(AM1113=1,SUM(AM$7:AM1113),"")</f>
        <v/>
      </c>
      <c r="AO1113" s="78" t="n">
        <f aca="false">IF(AND(OR(AK1113="À RÉPARER",AK1113="COUPE – À RESOUDER",AK1113="VT REJETÉ – À REPRENDRE"),OR(RÉPARATIONS!$D$5="TOUTES",B1113=RÉPARATIONS!$D$5)),1,0)</f>
        <v>0</v>
      </c>
      <c r="AP1113" s="78" t="str">
        <f aca="false">IF(AO1113=1,SUM(AO$7:AO1113),"")</f>
        <v/>
      </c>
    </row>
    <row r="1114" customFormat="false" ht="15" hidden="false" customHeight="false" outlineLevel="0" collapsed="false">
      <c r="A1114" s="78" t="str">
        <f aca="false">IF(E1114="","",ROW()-6)</f>
        <v/>
      </c>
      <c r="B1114" s="79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0"/>
      <c r="P1114" s="81"/>
      <c r="Q1114" s="81"/>
      <c r="R1114" s="80"/>
      <c r="S1114" s="80"/>
      <c r="T1114" s="81"/>
      <c r="U1114" s="80"/>
      <c r="V1114" s="80"/>
      <c r="W1114" s="80"/>
      <c r="X1114" s="80"/>
      <c r="Y1114" s="81"/>
      <c r="Z1114" s="80"/>
      <c r="AA1114" s="80"/>
      <c r="AB1114" s="80"/>
      <c r="AC1114" s="80"/>
      <c r="AD1114" s="81"/>
      <c r="AE1114" s="80"/>
      <c r="AF1114" s="80"/>
      <c r="AG1114" s="81"/>
      <c r="AH1114" s="79"/>
      <c r="AI1114" s="78" t="str">
        <f aca="false">IF(E1114="","",(V1114&lt;&gt;"")+(AA1114&lt;&gt;"")+(AF1114&lt;&gt;""))</f>
        <v/>
      </c>
      <c r="AJ1114" s="82" t="str">
        <f aca="false">IF(AF1114&lt;&gt;"",AF1114,IF(AA1114&lt;&gt;"",AA1114,IF(V1114&lt;&gt;"",V1114,"")))</f>
        <v/>
      </c>
      <c r="AK1114" s="83" t="str">
        <f aca="false">IF(E1114="","",IF(P1114="","À SOUDER",IF(S1114="","VT EN ATTENTE",IF(S1114="R","VT REJETÉ – À REPRENDRE",IF(AJ1114="","À RADIOGRAPHIER",IF(AJ1114="A","ACCEPTÉ",IF(AJ1114="NX","NX – RT À REFAIRE",IF(IF(AI1114=1,X1114,IF(AI1114=2,AC1114,""))="A","RÉPARÉ – À RADIOGRAPHIER",IF(IF(AI1114=1,X1114,IF(AI1114=2,AC1114,""))="R","VT REJETÉ – À REPRENDRE",IF(AJ1114="CO","COUPE – À RESOUDER","À RÉPARER"))))))))))</f>
        <v/>
      </c>
      <c r="AL1114" s="82" t="str">
        <f aca="false">IF(AND(ISNUMBER(P1114),OR(AK1114="À RADIOGRAPHIER",AK1114="RÉPARÉ – À RADIOGRAPHIER",AK1114="NX – RT À REFAIRE",AK1114="À RÉPARER",AK1114="COUPE – À RESOUDER",AK1114="VT REJETÉ – À REPRENDRE")),MAX(0,'PROGRAMME RT'!$C$4-P1114),"")</f>
        <v/>
      </c>
      <c r="AM1114" s="78" t="n">
        <f aca="false">IF(AND(OR(AK1114="À RADIOGRAPHIER",AK1114="RÉPARÉ – À RADIOGRAPHIER",AK1114="NX – RT À REFAIRE"),OR('PROGRAMME RT'!$D$5="TOUTES",B1114='PROGRAMME RT'!$D$5)),1,0)</f>
        <v>0</v>
      </c>
      <c r="AN1114" s="78" t="str">
        <f aca="false">IF(AM1114=1,SUM(AM$7:AM1114),"")</f>
        <v/>
      </c>
      <c r="AO1114" s="78" t="n">
        <f aca="false">IF(AND(OR(AK1114="À RÉPARER",AK1114="COUPE – À RESOUDER",AK1114="VT REJETÉ – À REPRENDRE"),OR(RÉPARATIONS!$D$5="TOUTES",B1114=RÉPARATIONS!$D$5)),1,0)</f>
        <v>0</v>
      </c>
      <c r="AP1114" s="78" t="str">
        <f aca="false">IF(AO1114=1,SUM(AO$7:AO1114),"")</f>
        <v/>
      </c>
    </row>
    <row r="1115" customFormat="false" ht="15" hidden="false" customHeight="false" outlineLevel="0" collapsed="false">
      <c r="A1115" s="78" t="str">
        <f aca="false">IF(E1115="","",ROW()-6)</f>
        <v/>
      </c>
      <c r="B1115" s="79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0"/>
      <c r="P1115" s="81"/>
      <c r="Q1115" s="81"/>
      <c r="R1115" s="80"/>
      <c r="S1115" s="80"/>
      <c r="T1115" s="81"/>
      <c r="U1115" s="80"/>
      <c r="V1115" s="80"/>
      <c r="W1115" s="80"/>
      <c r="X1115" s="80"/>
      <c r="Y1115" s="81"/>
      <c r="Z1115" s="80"/>
      <c r="AA1115" s="80"/>
      <c r="AB1115" s="80"/>
      <c r="AC1115" s="80"/>
      <c r="AD1115" s="81"/>
      <c r="AE1115" s="80"/>
      <c r="AF1115" s="80"/>
      <c r="AG1115" s="81"/>
      <c r="AH1115" s="79"/>
      <c r="AI1115" s="78" t="str">
        <f aca="false">IF(E1115="","",(V1115&lt;&gt;"")+(AA1115&lt;&gt;"")+(AF1115&lt;&gt;""))</f>
        <v/>
      </c>
      <c r="AJ1115" s="82" t="str">
        <f aca="false">IF(AF1115&lt;&gt;"",AF1115,IF(AA1115&lt;&gt;"",AA1115,IF(V1115&lt;&gt;"",V1115,"")))</f>
        <v/>
      </c>
      <c r="AK1115" s="83" t="str">
        <f aca="false">IF(E1115="","",IF(P1115="","À SOUDER",IF(S1115="","VT EN ATTENTE",IF(S1115="R","VT REJETÉ – À REPRENDRE",IF(AJ1115="","À RADIOGRAPHIER",IF(AJ1115="A","ACCEPTÉ",IF(AJ1115="NX","NX – RT À REFAIRE",IF(IF(AI1115=1,X1115,IF(AI1115=2,AC1115,""))="A","RÉPARÉ – À RADIOGRAPHIER",IF(IF(AI1115=1,X1115,IF(AI1115=2,AC1115,""))="R","VT REJETÉ – À REPRENDRE",IF(AJ1115="CO","COUPE – À RESOUDER","À RÉPARER"))))))))))</f>
        <v/>
      </c>
      <c r="AL1115" s="82" t="str">
        <f aca="false">IF(AND(ISNUMBER(P1115),OR(AK1115="À RADIOGRAPHIER",AK1115="RÉPARÉ – À RADIOGRAPHIER",AK1115="NX – RT À REFAIRE",AK1115="À RÉPARER",AK1115="COUPE – À RESOUDER",AK1115="VT REJETÉ – À REPRENDRE")),MAX(0,'PROGRAMME RT'!$C$4-P1115),"")</f>
        <v/>
      </c>
      <c r="AM1115" s="78" t="n">
        <f aca="false">IF(AND(OR(AK1115="À RADIOGRAPHIER",AK1115="RÉPARÉ – À RADIOGRAPHIER",AK1115="NX – RT À REFAIRE"),OR('PROGRAMME RT'!$D$5="TOUTES",B1115='PROGRAMME RT'!$D$5)),1,0)</f>
        <v>0</v>
      </c>
      <c r="AN1115" s="78" t="str">
        <f aca="false">IF(AM1115=1,SUM(AM$7:AM1115),"")</f>
        <v/>
      </c>
      <c r="AO1115" s="78" t="n">
        <f aca="false">IF(AND(OR(AK1115="À RÉPARER",AK1115="COUPE – À RESOUDER",AK1115="VT REJETÉ – À REPRENDRE"),OR(RÉPARATIONS!$D$5="TOUTES",B1115=RÉPARATIONS!$D$5)),1,0)</f>
        <v>0</v>
      </c>
      <c r="AP1115" s="78" t="str">
        <f aca="false">IF(AO1115=1,SUM(AO$7:AO1115),"")</f>
        <v/>
      </c>
    </row>
    <row r="1116" customFormat="false" ht="15" hidden="false" customHeight="false" outlineLevel="0" collapsed="false">
      <c r="A1116" s="78" t="str">
        <f aca="false">IF(E1116="","",ROW()-6)</f>
        <v/>
      </c>
      <c r="B1116" s="79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0"/>
      <c r="P1116" s="81"/>
      <c r="Q1116" s="81"/>
      <c r="R1116" s="80"/>
      <c r="S1116" s="80"/>
      <c r="T1116" s="81"/>
      <c r="U1116" s="80"/>
      <c r="V1116" s="80"/>
      <c r="W1116" s="80"/>
      <c r="X1116" s="80"/>
      <c r="Y1116" s="81"/>
      <c r="Z1116" s="80"/>
      <c r="AA1116" s="80"/>
      <c r="AB1116" s="80"/>
      <c r="AC1116" s="80"/>
      <c r="AD1116" s="81"/>
      <c r="AE1116" s="80"/>
      <c r="AF1116" s="80"/>
      <c r="AG1116" s="81"/>
      <c r="AH1116" s="79"/>
      <c r="AI1116" s="78" t="str">
        <f aca="false">IF(E1116="","",(V1116&lt;&gt;"")+(AA1116&lt;&gt;"")+(AF1116&lt;&gt;""))</f>
        <v/>
      </c>
      <c r="AJ1116" s="82" t="str">
        <f aca="false">IF(AF1116&lt;&gt;"",AF1116,IF(AA1116&lt;&gt;"",AA1116,IF(V1116&lt;&gt;"",V1116,"")))</f>
        <v/>
      </c>
      <c r="AK1116" s="83" t="str">
        <f aca="false">IF(E1116="","",IF(P1116="","À SOUDER",IF(S1116="","VT EN ATTENTE",IF(S1116="R","VT REJETÉ – À REPRENDRE",IF(AJ1116="","À RADIOGRAPHIER",IF(AJ1116="A","ACCEPTÉ",IF(AJ1116="NX","NX – RT À REFAIRE",IF(IF(AI1116=1,X1116,IF(AI1116=2,AC1116,""))="A","RÉPARÉ – À RADIOGRAPHIER",IF(IF(AI1116=1,X1116,IF(AI1116=2,AC1116,""))="R","VT REJETÉ – À REPRENDRE",IF(AJ1116="CO","COUPE – À RESOUDER","À RÉPARER"))))))))))</f>
        <v/>
      </c>
      <c r="AL1116" s="82" t="str">
        <f aca="false">IF(AND(ISNUMBER(P1116),OR(AK1116="À RADIOGRAPHIER",AK1116="RÉPARÉ – À RADIOGRAPHIER",AK1116="NX – RT À REFAIRE",AK1116="À RÉPARER",AK1116="COUPE – À RESOUDER",AK1116="VT REJETÉ – À REPRENDRE")),MAX(0,'PROGRAMME RT'!$C$4-P1116),"")</f>
        <v/>
      </c>
      <c r="AM1116" s="78" t="n">
        <f aca="false">IF(AND(OR(AK1116="À RADIOGRAPHIER",AK1116="RÉPARÉ – À RADIOGRAPHIER",AK1116="NX – RT À REFAIRE"),OR('PROGRAMME RT'!$D$5="TOUTES",B1116='PROGRAMME RT'!$D$5)),1,0)</f>
        <v>0</v>
      </c>
      <c r="AN1116" s="78" t="str">
        <f aca="false">IF(AM1116=1,SUM(AM$7:AM1116),"")</f>
        <v/>
      </c>
      <c r="AO1116" s="78" t="n">
        <f aca="false">IF(AND(OR(AK1116="À RÉPARER",AK1116="COUPE – À RESOUDER",AK1116="VT REJETÉ – À REPRENDRE"),OR(RÉPARATIONS!$D$5="TOUTES",B1116=RÉPARATIONS!$D$5)),1,0)</f>
        <v>0</v>
      </c>
      <c r="AP1116" s="78" t="str">
        <f aca="false">IF(AO1116=1,SUM(AO$7:AO1116),"")</f>
        <v/>
      </c>
    </row>
    <row r="1117" customFormat="false" ht="15" hidden="false" customHeight="false" outlineLevel="0" collapsed="false">
      <c r="A1117" s="78" t="str">
        <f aca="false">IF(E1117="","",ROW()-6)</f>
        <v/>
      </c>
      <c r="B1117" s="79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0"/>
      <c r="P1117" s="81"/>
      <c r="Q1117" s="81"/>
      <c r="R1117" s="80"/>
      <c r="S1117" s="80"/>
      <c r="T1117" s="81"/>
      <c r="U1117" s="80"/>
      <c r="V1117" s="80"/>
      <c r="W1117" s="80"/>
      <c r="X1117" s="80"/>
      <c r="Y1117" s="81"/>
      <c r="Z1117" s="80"/>
      <c r="AA1117" s="80"/>
      <c r="AB1117" s="80"/>
      <c r="AC1117" s="80"/>
      <c r="AD1117" s="81"/>
      <c r="AE1117" s="80"/>
      <c r="AF1117" s="80"/>
      <c r="AG1117" s="81"/>
      <c r="AH1117" s="79"/>
      <c r="AI1117" s="78" t="str">
        <f aca="false">IF(E1117="","",(V1117&lt;&gt;"")+(AA1117&lt;&gt;"")+(AF1117&lt;&gt;""))</f>
        <v/>
      </c>
      <c r="AJ1117" s="82" t="str">
        <f aca="false">IF(AF1117&lt;&gt;"",AF1117,IF(AA1117&lt;&gt;"",AA1117,IF(V1117&lt;&gt;"",V1117,"")))</f>
        <v/>
      </c>
      <c r="AK1117" s="83" t="str">
        <f aca="false">IF(E1117="","",IF(P1117="","À SOUDER",IF(S1117="","VT EN ATTENTE",IF(S1117="R","VT REJETÉ – À REPRENDRE",IF(AJ1117="","À RADIOGRAPHIER",IF(AJ1117="A","ACCEPTÉ",IF(AJ1117="NX","NX – RT À REFAIRE",IF(IF(AI1117=1,X1117,IF(AI1117=2,AC1117,""))="A","RÉPARÉ – À RADIOGRAPHIER",IF(IF(AI1117=1,X1117,IF(AI1117=2,AC1117,""))="R","VT REJETÉ – À REPRENDRE",IF(AJ1117="CO","COUPE – À RESOUDER","À RÉPARER"))))))))))</f>
        <v/>
      </c>
      <c r="AL1117" s="82" t="str">
        <f aca="false">IF(AND(ISNUMBER(P1117),OR(AK1117="À RADIOGRAPHIER",AK1117="RÉPARÉ – À RADIOGRAPHIER",AK1117="NX – RT À REFAIRE",AK1117="À RÉPARER",AK1117="COUPE – À RESOUDER",AK1117="VT REJETÉ – À REPRENDRE")),MAX(0,'PROGRAMME RT'!$C$4-P1117),"")</f>
        <v/>
      </c>
      <c r="AM1117" s="78" t="n">
        <f aca="false">IF(AND(OR(AK1117="À RADIOGRAPHIER",AK1117="RÉPARÉ – À RADIOGRAPHIER",AK1117="NX – RT À REFAIRE"),OR('PROGRAMME RT'!$D$5="TOUTES",B1117='PROGRAMME RT'!$D$5)),1,0)</f>
        <v>0</v>
      </c>
      <c r="AN1117" s="78" t="str">
        <f aca="false">IF(AM1117=1,SUM(AM$7:AM1117),"")</f>
        <v/>
      </c>
      <c r="AO1117" s="78" t="n">
        <f aca="false">IF(AND(OR(AK1117="À RÉPARER",AK1117="COUPE – À RESOUDER",AK1117="VT REJETÉ – À REPRENDRE"),OR(RÉPARATIONS!$D$5="TOUTES",B1117=RÉPARATIONS!$D$5)),1,0)</f>
        <v>0</v>
      </c>
      <c r="AP1117" s="78" t="str">
        <f aca="false">IF(AO1117=1,SUM(AO$7:AO1117),"")</f>
        <v/>
      </c>
    </row>
    <row r="1118" customFormat="false" ht="15" hidden="false" customHeight="false" outlineLevel="0" collapsed="false">
      <c r="A1118" s="78" t="str">
        <f aca="false">IF(E1118="","",ROW()-6)</f>
        <v/>
      </c>
      <c r="B1118" s="79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0"/>
      <c r="P1118" s="81"/>
      <c r="Q1118" s="81"/>
      <c r="R1118" s="80"/>
      <c r="S1118" s="80"/>
      <c r="T1118" s="81"/>
      <c r="U1118" s="80"/>
      <c r="V1118" s="80"/>
      <c r="W1118" s="80"/>
      <c r="X1118" s="80"/>
      <c r="Y1118" s="81"/>
      <c r="Z1118" s="80"/>
      <c r="AA1118" s="80"/>
      <c r="AB1118" s="80"/>
      <c r="AC1118" s="80"/>
      <c r="AD1118" s="81"/>
      <c r="AE1118" s="80"/>
      <c r="AF1118" s="80"/>
      <c r="AG1118" s="81"/>
      <c r="AH1118" s="79"/>
      <c r="AI1118" s="78" t="str">
        <f aca="false">IF(E1118="","",(V1118&lt;&gt;"")+(AA1118&lt;&gt;"")+(AF1118&lt;&gt;""))</f>
        <v/>
      </c>
      <c r="AJ1118" s="82" t="str">
        <f aca="false">IF(AF1118&lt;&gt;"",AF1118,IF(AA1118&lt;&gt;"",AA1118,IF(V1118&lt;&gt;"",V1118,"")))</f>
        <v/>
      </c>
      <c r="AK1118" s="83" t="str">
        <f aca="false">IF(E1118="","",IF(P1118="","À SOUDER",IF(S1118="","VT EN ATTENTE",IF(S1118="R","VT REJETÉ – À REPRENDRE",IF(AJ1118="","À RADIOGRAPHIER",IF(AJ1118="A","ACCEPTÉ",IF(AJ1118="NX","NX – RT À REFAIRE",IF(IF(AI1118=1,X1118,IF(AI1118=2,AC1118,""))="A","RÉPARÉ – À RADIOGRAPHIER",IF(IF(AI1118=1,X1118,IF(AI1118=2,AC1118,""))="R","VT REJETÉ – À REPRENDRE",IF(AJ1118="CO","COUPE – À RESOUDER","À RÉPARER"))))))))))</f>
        <v/>
      </c>
      <c r="AL1118" s="82" t="str">
        <f aca="false">IF(AND(ISNUMBER(P1118),OR(AK1118="À RADIOGRAPHIER",AK1118="RÉPARÉ – À RADIOGRAPHIER",AK1118="NX – RT À REFAIRE",AK1118="À RÉPARER",AK1118="COUPE – À RESOUDER",AK1118="VT REJETÉ – À REPRENDRE")),MAX(0,'PROGRAMME RT'!$C$4-P1118),"")</f>
        <v/>
      </c>
      <c r="AM1118" s="78" t="n">
        <f aca="false">IF(AND(OR(AK1118="À RADIOGRAPHIER",AK1118="RÉPARÉ – À RADIOGRAPHIER",AK1118="NX – RT À REFAIRE"),OR('PROGRAMME RT'!$D$5="TOUTES",B1118='PROGRAMME RT'!$D$5)),1,0)</f>
        <v>0</v>
      </c>
      <c r="AN1118" s="78" t="str">
        <f aca="false">IF(AM1118=1,SUM(AM$7:AM1118),"")</f>
        <v/>
      </c>
      <c r="AO1118" s="78" t="n">
        <f aca="false">IF(AND(OR(AK1118="À RÉPARER",AK1118="COUPE – À RESOUDER",AK1118="VT REJETÉ – À REPRENDRE"),OR(RÉPARATIONS!$D$5="TOUTES",B1118=RÉPARATIONS!$D$5)),1,0)</f>
        <v>0</v>
      </c>
      <c r="AP1118" s="78" t="str">
        <f aca="false">IF(AO1118=1,SUM(AO$7:AO1118),"")</f>
        <v/>
      </c>
    </row>
    <row r="1119" customFormat="false" ht="15" hidden="false" customHeight="false" outlineLevel="0" collapsed="false">
      <c r="A1119" s="78" t="str">
        <f aca="false">IF(E1119="","",ROW()-6)</f>
        <v/>
      </c>
      <c r="B1119" s="79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0"/>
      <c r="P1119" s="81"/>
      <c r="Q1119" s="81"/>
      <c r="R1119" s="80"/>
      <c r="S1119" s="80"/>
      <c r="T1119" s="81"/>
      <c r="U1119" s="80"/>
      <c r="V1119" s="80"/>
      <c r="W1119" s="80"/>
      <c r="X1119" s="80"/>
      <c r="Y1119" s="81"/>
      <c r="Z1119" s="80"/>
      <c r="AA1119" s="80"/>
      <c r="AB1119" s="80"/>
      <c r="AC1119" s="80"/>
      <c r="AD1119" s="81"/>
      <c r="AE1119" s="80"/>
      <c r="AF1119" s="80"/>
      <c r="AG1119" s="81"/>
      <c r="AH1119" s="79"/>
      <c r="AI1119" s="78" t="str">
        <f aca="false">IF(E1119="","",(V1119&lt;&gt;"")+(AA1119&lt;&gt;"")+(AF1119&lt;&gt;""))</f>
        <v/>
      </c>
      <c r="AJ1119" s="82" t="str">
        <f aca="false">IF(AF1119&lt;&gt;"",AF1119,IF(AA1119&lt;&gt;"",AA1119,IF(V1119&lt;&gt;"",V1119,"")))</f>
        <v/>
      </c>
      <c r="AK1119" s="83" t="str">
        <f aca="false">IF(E1119="","",IF(P1119="","À SOUDER",IF(S1119="","VT EN ATTENTE",IF(S1119="R","VT REJETÉ – À REPRENDRE",IF(AJ1119="","À RADIOGRAPHIER",IF(AJ1119="A","ACCEPTÉ",IF(AJ1119="NX","NX – RT À REFAIRE",IF(IF(AI1119=1,X1119,IF(AI1119=2,AC1119,""))="A","RÉPARÉ – À RADIOGRAPHIER",IF(IF(AI1119=1,X1119,IF(AI1119=2,AC1119,""))="R","VT REJETÉ – À REPRENDRE",IF(AJ1119="CO","COUPE – À RESOUDER","À RÉPARER"))))))))))</f>
        <v/>
      </c>
      <c r="AL1119" s="82" t="str">
        <f aca="false">IF(AND(ISNUMBER(P1119),OR(AK1119="À RADIOGRAPHIER",AK1119="RÉPARÉ – À RADIOGRAPHIER",AK1119="NX – RT À REFAIRE",AK1119="À RÉPARER",AK1119="COUPE – À RESOUDER",AK1119="VT REJETÉ – À REPRENDRE")),MAX(0,'PROGRAMME RT'!$C$4-P1119),"")</f>
        <v/>
      </c>
      <c r="AM1119" s="78" t="n">
        <f aca="false">IF(AND(OR(AK1119="À RADIOGRAPHIER",AK1119="RÉPARÉ – À RADIOGRAPHIER",AK1119="NX – RT À REFAIRE"),OR('PROGRAMME RT'!$D$5="TOUTES",B1119='PROGRAMME RT'!$D$5)),1,0)</f>
        <v>0</v>
      </c>
      <c r="AN1119" s="78" t="str">
        <f aca="false">IF(AM1119=1,SUM(AM$7:AM1119),"")</f>
        <v/>
      </c>
      <c r="AO1119" s="78" t="n">
        <f aca="false">IF(AND(OR(AK1119="À RÉPARER",AK1119="COUPE – À RESOUDER",AK1119="VT REJETÉ – À REPRENDRE"),OR(RÉPARATIONS!$D$5="TOUTES",B1119=RÉPARATIONS!$D$5)),1,0)</f>
        <v>0</v>
      </c>
      <c r="AP1119" s="78" t="str">
        <f aca="false">IF(AO1119=1,SUM(AO$7:AO1119),"")</f>
        <v/>
      </c>
    </row>
    <row r="1120" customFormat="false" ht="15" hidden="false" customHeight="false" outlineLevel="0" collapsed="false">
      <c r="A1120" s="78" t="str">
        <f aca="false">IF(E1120="","",ROW()-6)</f>
        <v/>
      </c>
      <c r="B1120" s="79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0"/>
      <c r="P1120" s="81"/>
      <c r="Q1120" s="81"/>
      <c r="R1120" s="80"/>
      <c r="S1120" s="80"/>
      <c r="T1120" s="81"/>
      <c r="U1120" s="80"/>
      <c r="V1120" s="80"/>
      <c r="W1120" s="80"/>
      <c r="X1120" s="80"/>
      <c r="Y1120" s="81"/>
      <c r="Z1120" s="80"/>
      <c r="AA1120" s="80"/>
      <c r="AB1120" s="80"/>
      <c r="AC1120" s="80"/>
      <c r="AD1120" s="81"/>
      <c r="AE1120" s="80"/>
      <c r="AF1120" s="80"/>
      <c r="AG1120" s="81"/>
      <c r="AH1120" s="79"/>
      <c r="AI1120" s="78" t="str">
        <f aca="false">IF(E1120="","",(V1120&lt;&gt;"")+(AA1120&lt;&gt;"")+(AF1120&lt;&gt;""))</f>
        <v/>
      </c>
      <c r="AJ1120" s="82" t="str">
        <f aca="false">IF(AF1120&lt;&gt;"",AF1120,IF(AA1120&lt;&gt;"",AA1120,IF(V1120&lt;&gt;"",V1120,"")))</f>
        <v/>
      </c>
      <c r="AK1120" s="83" t="str">
        <f aca="false">IF(E1120="","",IF(P1120="","À SOUDER",IF(S1120="","VT EN ATTENTE",IF(S1120="R","VT REJETÉ – À REPRENDRE",IF(AJ1120="","À RADIOGRAPHIER",IF(AJ1120="A","ACCEPTÉ",IF(AJ1120="NX","NX – RT À REFAIRE",IF(IF(AI1120=1,X1120,IF(AI1120=2,AC1120,""))="A","RÉPARÉ – À RADIOGRAPHIER",IF(IF(AI1120=1,X1120,IF(AI1120=2,AC1120,""))="R","VT REJETÉ – À REPRENDRE",IF(AJ1120="CO","COUPE – À RESOUDER","À RÉPARER"))))))))))</f>
        <v/>
      </c>
      <c r="AL1120" s="82" t="str">
        <f aca="false">IF(AND(ISNUMBER(P1120),OR(AK1120="À RADIOGRAPHIER",AK1120="RÉPARÉ – À RADIOGRAPHIER",AK1120="NX – RT À REFAIRE",AK1120="À RÉPARER",AK1120="COUPE – À RESOUDER",AK1120="VT REJETÉ – À REPRENDRE")),MAX(0,'PROGRAMME RT'!$C$4-P1120),"")</f>
        <v/>
      </c>
      <c r="AM1120" s="78" t="n">
        <f aca="false">IF(AND(OR(AK1120="À RADIOGRAPHIER",AK1120="RÉPARÉ – À RADIOGRAPHIER",AK1120="NX – RT À REFAIRE"),OR('PROGRAMME RT'!$D$5="TOUTES",B1120='PROGRAMME RT'!$D$5)),1,0)</f>
        <v>0</v>
      </c>
      <c r="AN1120" s="78" t="str">
        <f aca="false">IF(AM1120=1,SUM(AM$7:AM1120),"")</f>
        <v/>
      </c>
      <c r="AO1120" s="78" t="n">
        <f aca="false">IF(AND(OR(AK1120="À RÉPARER",AK1120="COUPE – À RESOUDER",AK1120="VT REJETÉ – À REPRENDRE"),OR(RÉPARATIONS!$D$5="TOUTES",B1120=RÉPARATIONS!$D$5)),1,0)</f>
        <v>0</v>
      </c>
      <c r="AP1120" s="78" t="str">
        <f aca="false">IF(AO1120=1,SUM(AO$7:AO1120),"")</f>
        <v/>
      </c>
    </row>
    <row r="1121" customFormat="false" ht="15" hidden="false" customHeight="false" outlineLevel="0" collapsed="false">
      <c r="A1121" s="78" t="str">
        <f aca="false">IF(E1121="","",ROW()-6)</f>
        <v/>
      </c>
      <c r="B1121" s="79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0"/>
      <c r="P1121" s="81"/>
      <c r="Q1121" s="81"/>
      <c r="R1121" s="80"/>
      <c r="S1121" s="80"/>
      <c r="T1121" s="81"/>
      <c r="U1121" s="80"/>
      <c r="V1121" s="80"/>
      <c r="W1121" s="80"/>
      <c r="X1121" s="80"/>
      <c r="Y1121" s="81"/>
      <c r="Z1121" s="80"/>
      <c r="AA1121" s="80"/>
      <c r="AB1121" s="80"/>
      <c r="AC1121" s="80"/>
      <c r="AD1121" s="81"/>
      <c r="AE1121" s="80"/>
      <c r="AF1121" s="80"/>
      <c r="AG1121" s="81"/>
      <c r="AH1121" s="79"/>
      <c r="AI1121" s="78" t="str">
        <f aca="false">IF(E1121="","",(V1121&lt;&gt;"")+(AA1121&lt;&gt;"")+(AF1121&lt;&gt;""))</f>
        <v/>
      </c>
      <c r="AJ1121" s="82" t="str">
        <f aca="false">IF(AF1121&lt;&gt;"",AF1121,IF(AA1121&lt;&gt;"",AA1121,IF(V1121&lt;&gt;"",V1121,"")))</f>
        <v/>
      </c>
      <c r="AK1121" s="83" t="str">
        <f aca="false">IF(E1121="","",IF(P1121="","À SOUDER",IF(S1121="","VT EN ATTENTE",IF(S1121="R","VT REJETÉ – À REPRENDRE",IF(AJ1121="","À RADIOGRAPHIER",IF(AJ1121="A","ACCEPTÉ",IF(AJ1121="NX","NX – RT À REFAIRE",IF(IF(AI1121=1,X1121,IF(AI1121=2,AC1121,""))="A","RÉPARÉ – À RADIOGRAPHIER",IF(IF(AI1121=1,X1121,IF(AI1121=2,AC1121,""))="R","VT REJETÉ – À REPRENDRE",IF(AJ1121="CO","COUPE – À RESOUDER","À RÉPARER"))))))))))</f>
        <v/>
      </c>
      <c r="AL1121" s="82" t="str">
        <f aca="false">IF(AND(ISNUMBER(P1121),OR(AK1121="À RADIOGRAPHIER",AK1121="RÉPARÉ – À RADIOGRAPHIER",AK1121="NX – RT À REFAIRE",AK1121="À RÉPARER",AK1121="COUPE – À RESOUDER",AK1121="VT REJETÉ – À REPRENDRE")),MAX(0,'PROGRAMME RT'!$C$4-P1121),"")</f>
        <v/>
      </c>
      <c r="AM1121" s="78" t="n">
        <f aca="false">IF(AND(OR(AK1121="À RADIOGRAPHIER",AK1121="RÉPARÉ – À RADIOGRAPHIER",AK1121="NX – RT À REFAIRE"),OR('PROGRAMME RT'!$D$5="TOUTES",B1121='PROGRAMME RT'!$D$5)),1,0)</f>
        <v>0</v>
      </c>
      <c r="AN1121" s="78" t="str">
        <f aca="false">IF(AM1121=1,SUM(AM$7:AM1121),"")</f>
        <v/>
      </c>
      <c r="AO1121" s="78" t="n">
        <f aca="false">IF(AND(OR(AK1121="À RÉPARER",AK1121="COUPE – À RESOUDER",AK1121="VT REJETÉ – À REPRENDRE"),OR(RÉPARATIONS!$D$5="TOUTES",B1121=RÉPARATIONS!$D$5)),1,0)</f>
        <v>0</v>
      </c>
      <c r="AP1121" s="78" t="str">
        <f aca="false">IF(AO1121=1,SUM(AO$7:AO1121),"")</f>
        <v/>
      </c>
    </row>
    <row r="1122" customFormat="false" ht="15" hidden="false" customHeight="false" outlineLevel="0" collapsed="false">
      <c r="A1122" s="78" t="str">
        <f aca="false">IF(E1122="","",ROW()-6)</f>
        <v/>
      </c>
      <c r="B1122" s="79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0"/>
      <c r="P1122" s="81"/>
      <c r="Q1122" s="81"/>
      <c r="R1122" s="80"/>
      <c r="S1122" s="80"/>
      <c r="T1122" s="81"/>
      <c r="U1122" s="80"/>
      <c r="V1122" s="80"/>
      <c r="W1122" s="80"/>
      <c r="X1122" s="80"/>
      <c r="Y1122" s="81"/>
      <c r="Z1122" s="80"/>
      <c r="AA1122" s="80"/>
      <c r="AB1122" s="80"/>
      <c r="AC1122" s="80"/>
      <c r="AD1122" s="81"/>
      <c r="AE1122" s="80"/>
      <c r="AF1122" s="80"/>
      <c r="AG1122" s="81"/>
      <c r="AH1122" s="79"/>
      <c r="AI1122" s="78" t="str">
        <f aca="false">IF(E1122="","",(V1122&lt;&gt;"")+(AA1122&lt;&gt;"")+(AF1122&lt;&gt;""))</f>
        <v/>
      </c>
      <c r="AJ1122" s="82" t="str">
        <f aca="false">IF(AF1122&lt;&gt;"",AF1122,IF(AA1122&lt;&gt;"",AA1122,IF(V1122&lt;&gt;"",V1122,"")))</f>
        <v/>
      </c>
      <c r="AK1122" s="83" t="str">
        <f aca="false">IF(E1122="","",IF(P1122="","À SOUDER",IF(S1122="","VT EN ATTENTE",IF(S1122="R","VT REJETÉ – À REPRENDRE",IF(AJ1122="","À RADIOGRAPHIER",IF(AJ1122="A","ACCEPTÉ",IF(AJ1122="NX","NX – RT À REFAIRE",IF(IF(AI1122=1,X1122,IF(AI1122=2,AC1122,""))="A","RÉPARÉ – À RADIOGRAPHIER",IF(IF(AI1122=1,X1122,IF(AI1122=2,AC1122,""))="R","VT REJETÉ – À REPRENDRE",IF(AJ1122="CO","COUPE – À RESOUDER","À RÉPARER"))))))))))</f>
        <v/>
      </c>
      <c r="AL1122" s="82" t="str">
        <f aca="false">IF(AND(ISNUMBER(P1122),OR(AK1122="À RADIOGRAPHIER",AK1122="RÉPARÉ – À RADIOGRAPHIER",AK1122="NX – RT À REFAIRE",AK1122="À RÉPARER",AK1122="COUPE – À RESOUDER",AK1122="VT REJETÉ – À REPRENDRE")),MAX(0,'PROGRAMME RT'!$C$4-P1122),"")</f>
        <v/>
      </c>
      <c r="AM1122" s="78" t="n">
        <f aca="false">IF(AND(OR(AK1122="À RADIOGRAPHIER",AK1122="RÉPARÉ – À RADIOGRAPHIER",AK1122="NX – RT À REFAIRE"),OR('PROGRAMME RT'!$D$5="TOUTES",B1122='PROGRAMME RT'!$D$5)),1,0)</f>
        <v>0</v>
      </c>
      <c r="AN1122" s="78" t="str">
        <f aca="false">IF(AM1122=1,SUM(AM$7:AM1122),"")</f>
        <v/>
      </c>
      <c r="AO1122" s="78" t="n">
        <f aca="false">IF(AND(OR(AK1122="À RÉPARER",AK1122="COUPE – À RESOUDER",AK1122="VT REJETÉ – À REPRENDRE"),OR(RÉPARATIONS!$D$5="TOUTES",B1122=RÉPARATIONS!$D$5)),1,0)</f>
        <v>0</v>
      </c>
      <c r="AP1122" s="78" t="str">
        <f aca="false">IF(AO1122=1,SUM(AO$7:AO1122),"")</f>
        <v/>
      </c>
    </row>
    <row r="1123" customFormat="false" ht="15" hidden="false" customHeight="false" outlineLevel="0" collapsed="false">
      <c r="A1123" s="78" t="str">
        <f aca="false">IF(E1123="","",ROW()-6)</f>
        <v/>
      </c>
      <c r="B1123" s="79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0"/>
      <c r="P1123" s="81"/>
      <c r="Q1123" s="81"/>
      <c r="R1123" s="80"/>
      <c r="S1123" s="80"/>
      <c r="T1123" s="81"/>
      <c r="U1123" s="80"/>
      <c r="V1123" s="80"/>
      <c r="W1123" s="80"/>
      <c r="X1123" s="80"/>
      <c r="Y1123" s="81"/>
      <c r="Z1123" s="80"/>
      <c r="AA1123" s="80"/>
      <c r="AB1123" s="80"/>
      <c r="AC1123" s="80"/>
      <c r="AD1123" s="81"/>
      <c r="AE1123" s="80"/>
      <c r="AF1123" s="80"/>
      <c r="AG1123" s="81"/>
      <c r="AH1123" s="79"/>
      <c r="AI1123" s="78" t="str">
        <f aca="false">IF(E1123="","",(V1123&lt;&gt;"")+(AA1123&lt;&gt;"")+(AF1123&lt;&gt;""))</f>
        <v/>
      </c>
      <c r="AJ1123" s="82" t="str">
        <f aca="false">IF(AF1123&lt;&gt;"",AF1123,IF(AA1123&lt;&gt;"",AA1123,IF(V1123&lt;&gt;"",V1123,"")))</f>
        <v/>
      </c>
      <c r="AK1123" s="83" t="str">
        <f aca="false">IF(E1123="","",IF(P1123="","À SOUDER",IF(S1123="","VT EN ATTENTE",IF(S1123="R","VT REJETÉ – À REPRENDRE",IF(AJ1123="","À RADIOGRAPHIER",IF(AJ1123="A","ACCEPTÉ",IF(AJ1123="NX","NX – RT À REFAIRE",IF(IF(AI1123=1,X1123,IF(AI1123=2,AC1123,""))="A","RÉPARÉ – À RADIOGRAPHIER",IF(IF(AI1123=1,X1123,IF(AI1123=2,AC1123,""))="R","VT REJETÉ – À REPRENDRE",IF(AJ1123="CO","COUPE – À RESOUDER","À RÉPARER"))))))))))</f>
        <v/>
      </c>
      <c r="AL1123" s="82" t="str">
        <f aca="false">IF(AND(ISNUMBER(P1123),OR(AK1123="À RADIOGRAPHIER",AK1123="RÉPARÉ – À RADIOGRAPHIER",AK1123="NX – RT À REFAIRE",AK1123="À RÉPARER",AK1123="COUPE – À RESOUDER",AK1123="VT REJETÉ – À REPRENDRE")),MAX(0,'PROGRAMME RT'!$C$4-P1123),"")</f>
        <v/>
      </c>
      <c r="AM1123" s="78" t="n">
        <f aca="false">IF(AND(OR(AK1123="À RADIOGRAPHIER",AK1123="RÉPARÉ – À RADIOGRAPHIER",AK1123="NX – RT À REFAIRE"),OR('PROGRAMME RT'!$D$5="TOUTES",B1123='PROGRAMME RT'!$D$5)),1,0)</f>
        <v>0</v>
      </c>
      <c r="AN1123" s="78" t="str">
        <f aca="false">IF(AM1123=1,SUM(AM$7:AM1123),"")</f>
        <v/>
      </c>
      <c r="AO1123" s="78" t="n">
        <f aca="false">IF(AND(OR(AK1123="À RÉPARER",AK1123="COUPE – À RESOUDER",AK1123="VT REJETÉ – À REPRENDRE"),OR(RÉPARATIONS!$D$5="TOUTES",B1123=RÉPARATIONS!$D$5)),1,0)</f>
        <v>0</v>
      </c>
      <c r="AP1123" s="78" t="str">
        <f aca="false">IF(AO1123=1,SUM(AO$7:AO1123),"")</f>
        <v/>
      </c>
    </row>
    <row r="1124" customFormat="false" ht="15" hidden="false" customHeight="false" outlineLevel="0" collapsed="false">
      <c r="A1124" s="78" t="str">
        <f aca="false">IF(E1124="","",ROW()-6)</f>
        <v/>
      </c>
      <c r="B1124" s="79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0"/>
      <c r="P1124" s="81"/>
      <c r="Q1124" s="81"/>
      <c r="R1124" s="80"/>
      <c r="S1124" s="80"/>
      <c r="T1124" s="81"/>
      <c r="U1124" s="80"/>
      <c r="V1124" s="80"/>
      <c r="W1124" s="80"/>
      <c r="X1124" s="80"/>
      <c r="Y1124" s="81"/>
      <c r="Z1124" s="80"/>
      <c r="AA1124" s="80"/>
      <c r="AB1124" s="80"/>
      <c r="AC1124" s="80"/>
      <c r="AD1124" s="81"/>
      <c r="AE1124" s="80"/>
      <c r="AF1124" s="80"/>
      <c r="AG1124" s="81"/>
      <c r="AH1124" s="79"/>
      <c r="AI1124" s="78" t="str">
        <f aca="false">IF(E1124="","",(V1124&lt;&gt;"")+(AA1124&lt;&gt;"")+(AF1124&lt;&gt;""))</f>
        <v/>
      </c>
      <c r="AJ1124" s="82" t="str">
        <f aca="false">IF(AF1124&lt;&gt;"",AF1124,IF(AA1124&lt;&gt;"",AA1124,IF(V1124&lt;&gt;"",V1124,"")))</f>
        <v/>
      </c>
      <c r="AK1124" s="83" t="str">
        <f aca="false">IF(E1124="","",IF(P1124="","À SOUDER",IF(S1124="","VT EN ATTENTE",IF(S1124="R","VT REJETÉ – À REPRENDRE",IF(AJ1124="","À RADIOGRAPHIER",IF(AJ1124="A","ACCEPTÉ",IF(AJ1124="NX","NX – RT À REFAIRE",IF(IF(AI1124=1,X1124,IF(AI1124=2,AC1124,""))="A","RÉPARÉ – À RADIOGRAPHIER",IF(IF(AI1124=1,X1124,IF(AI1124=2,AC1124,""))="R","VT REJETÉ – À REPRENDRE",IF(AJ1124="CO","COUPE – À RESOUDER","À RÉPARER"))))))))))</f>
        <v/>
      </c>
      <c r="AL1124" s="82" t="str">
        <f aca="false">IF(AND(ISNUMBER(P1124),OR(AK1124="À RADIOGRAPHIER",AK1124="RÉPARÉ – À RADIOGRAPHIER",AK1124="NX – RT À REFAIRE",AK1124="À RÉPARER",AK1124="COUPE – À RESOUDER",AK1124="VT REJETÉ – À REPRENDRE")),MAX(0,'PROGRAMME RT'!$C$4-P1124),"")</f>
        <v/>
      </c>
      <c r="AM1124" s="78" t="n">
        <f aca="false">IF(AND(OR(AK1124="À RADIOGRAPHIER",AK1124="RÉPARÉ – À RADIOGRAPHIER",AK1124="NX – RT À REFAIRE"),OR('PROGRAMME RT'!$D$5="TOUTES",B1124='PROGRAMME RT'!$D$5)),1,0)</f>
        <v>0</v>
      </c>
      <c r="AN1124" s="78" t="str">
        <f aca="false">IF(AM1124=1,SUM(AM$7:AM1124),"")</f>
        <v/>
      </c>
      <c r="AO1124" s="78" t="n">
        <f aca="false">IF(AND(OR(AK1124="À RÉPARER",AK1124="COUPE – À RESOUDER",AK1124="VT REJETÉ – À REPRENDRE"),OR(RÉPARATIONS!$D$5="TOUTES",B1124=RÉPARATIONS!$D$5)),1,0)</f>
        <v>0</v>
      </c>
      <c r="AP1124" s="78" t="str">
        <f aca="false">IF(AO1124=1,SUM(AO$7:AO1124),"")</f>
        <v/>
      </c>
    </row>
    <row r="1125" customFormat="false" ht="15" hidden="false" customHeight="false" outlineLevel="0" collapsed="false">
      <c r="A1125" s="78" t="str">
        <f aca="false">IF(E1125="","",ROW()-6)</f>
        <v/>
      </c>
      <c r="B1125" s="79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0"/>
      <c r="P1125" s="81"/>
      <c r="Q1125" s="81"/>
      <c r="R1125" s="80"/>
      <c r="S1125" s="80"/>
      <c r="T1125" s="81"/>
      <c r="U1125" s="80"/>
      <c r="V1125" s="80"/>
      <c r="W1125" s="80"/>
      <c r="X1125" s="80"/>
      <c r="Y1125" s="81"/>
      <c r="Z1125" s="80"/>
      <c r="AA1125" s="80"/>
      <c r="AB1125" s="80"/>
      <c r="AC1125" s="80"/>
      <c r="AD1125" s="81"/>
      <c r="AE1125" s="80"/>
      <c r="AF1125" s="80"/>
      <c r="AG1125" s="81"/>
      <c r="AH1125" s="79"/>
      <c r="AI1125" s="78" t="str">
        <f aca="false">IF(E1125="","",(V1125&lt;&gt;"")+(AA1125&lt;&gt;"")+(AF1125&lt;&gt;""))</f>
        <v/>
      </c>
      <c r="AJ1125" s="82" t="str">
        <f aca="false">IF(AF1125&lt;&gt;"",AF1125,IF(AA1125&lt;&gt;"",AA1125,IF(V1125&lt;&gt;"",V1125,"")))</f>
        <v/>
      </c>
      <c r="AK1125" s="83" t="str">
        <f aca="false">IF(E1125="","",IF(P1125="","À SOUDER",IF(S1125="","VT EN ATTENTE",IF(S1125="R","VT REJETÉ – À REPRENDRE",IF(AJ1125="","À RADIOGRAPHIER",IF(AJ1125="A","ACCEPTÉ",IF(AJ1125="NX","NX – RT À REFAIRE",IF(IF(AI1125=1,X1125,IF(AI1125=2,AC1125,""))="A","RÉPARÉ – À RADIOGRAPHIER",IF(IF(AI1125=1,X1125,IF(AI1125=2,AC1125,""))="R","VT REJETÉ – À REPRENDRE",IF(AJ1125="CO","COUPE – À RESOUDER","À RÉPARER"))))))))))</f>
        <v/>
      </c>
      <c r="AL1125" s="82" t="str">
        <f aca="false">IF(AND(ISNUMBER(P1125),OR(AK1125="À RADIOGRAPHIER",AK1125="RÉPARÉ – À RADIOGRAPHIER",AK1125="NX – RT À REFAIRE",AK1125="À RÉPARER",AK1125="COUPE – À RESOUDER",AK1125="VT REJETÉ – À REPRENDRE")),MAX(0,'PROGRAMME RT'!$C$4-P1125),"")</f>
        <v/>
      </c>
      <c r="AM1125" s="78" t="n">
        <f aca="false">IF(AND(OR(AK1125="À RADIOGRAPHIER",AK1125="RÉPARÉ – À RADIOGRAPHIER",AK1125="NX – RT À REFAIRE"),OR('PROGRAMME RT'!$D$5="TOUTES",B1125='PROGRAMME RT'!$D$5)),1,0)</f>
        <v>0</v>
      </c>
      <c r="AN1125" s="78" t="str">
        <f aca="false">IF(AM1125=1,SUM(AM$7:AM1125),"")</f>
        <v/>
      </c>
      <c r="AO1125" s="78" t="n">
        <f aca="false">IF(AND(OR(AK1125="À RÉPARER",AK1125="COUPE – À RESOUDER",AK1125="VT REJETÉ – À REPRENDRE"),OR(RÉPARATIONS!$D$5="TOUTES",B1125=RÉPARATIONS!$D$5)),1,0)</f>
        <v>0</v>
      </c>
      <c r="AP1125" s="78" t="str">
        <f aca="false">IF(AO1125=1,SUM(AO$7:AO1125),"")</f>
        <v/>
      </c>
    </row>
    <row r="1126" customFormat="false" ht="15" hidden="false" customHeight="false" outlineLevel="0" collapsed="false">
      <c r="A1126" s="78" t="str">
        <f aca="false">IF(E1126="","",ROW()-6)</f>
        <v/>
      </c>
      <c r="B1126" s="79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0"/>
      <c r="P1126" s="81"/>
      <c r="Q1126" s="81"/>
      <c r="R1126" s="80"/>
      <c r="S1126" s="80"/>
      <c r="T1126" s="81"/>
      <c r="U1126" s="80"/>
      <c r="V1126" s="80"/>
      <c r="W1126" s="80"/>
      <c r="X1126" s="80"/>
      <c r="Y1126" s="81"/>
      <c r="Z1126" s="80"/>
      <c r="AA1126" s="80"/>
      <c r="AB1126" s="80"/>
      <c r="AC1126" s="80"/>
      <c r="AD1126" s="81"/>
      <c r="AE1126" s="80"/>
      <c r="AF1126" s="80"/>
      <c r="AG1126" s="81"/>
      <c r="AH1126" s="79"/>
      <c r="AI1126" s="78" t="str">
        <f aca="false">IF(E1126="","",(V1126&lt;&gt;"")+(AA1126&lt;&gt;"")+(AF1126&lt;&gt;""))</f>
        <v/>
      </c>
      <c r="AJ1126" s="82" t="str">
        <f aca="false">IF(AF1126&lt;&gt;"",AF1126,IF(AA1126&lt;&gt;"",AA1126,IF(V1126&lt;&gt;"",V1126,"")))</f>
        <v/>
      </c>
      <c r="AK1126" s="83" t="str">
        <f aca="false">IF(E1126="","",IF(P1126="","À SOUDER",IF(S1126="","VT EN ATTENTE",IF(S1126="R","VT REJETÉ – À REPRENDRE",IF(AJ1126="","À RADIOGRAPHIER",IF(AJ1126="A","ACCEPTÉ",IF(AJ1126="NX","NX – RT À REFAIRE",IF(IF(AI1126=1,X1126,IF(AI1126=2,AC1126,""))="A","RÉPARÉ – À RADIOGRAPHIER",IF(IF(AI1126=1,X1126,IF(AI1126=2,AC1126,""))="R","VT REJETÉ – À REPRENDRE",IF(AJ1126="CO","COUPE – À RESOUDER","À RÉPARER"))))))))))</f>
        <v/>
      </c>
      <c r="AL1126" s="82" t="str">
        <f aca="false">IF(AND(ISNUMBER(P1126),OR(AK1126="À RADIOGRAPHIER",AK1126="RÉPARÉ – À RADIOGRAPHIER",AK1126="NX – RT À REFAIRE",AK1126="À RÉPARER",AK1126="COUPE – À RESOUDER",AK1126="VT REJETÉ – À REPRENDRE")),MAX(0,'PROGRAMME RT'!$C$4-P1126),"")</f>
        <v/>
      </c>
      <c r="AM1126" s="78" t="n">
        <f aca="false">IF(AND(OR(AK1126="À RADIOGRAPHIER",AK1126="RÉPARÉ – À RADIOGRAPHIER",AK1126="NX – RT À REFAIRE"),OR('PROGRAMME RT'!$D$5="TOUTES",B1126='PROGRAMME RT'!$D$5)),1,0)</f>
        <v>0</v>
      </c>
      <c r="AN1126" s="78" t="str">
        <f aca="false">IF(AM1126=1,SUM(AM$7:AM1126),"")</f>
        <v/>
      </c>
      <c r="AO1126" s="78" t="n">
        <f aca="false">IF(AND(OR(AK1126="À RÉPARER",AK1126="COUPE – À RESOUDER",AK1126="VT REJETÉ – À REPRENDRE"),OR(RÉPARATIONS!$D$5="TOUTES",B1126=RÉPARATIONS!$D$5)),1,0)</f>
        <v>0</v>
      </c>
      <c r="AP1126" s="78" t="str">
        <f aca="false">IF(AO1126=1,SUM(AO$7:AO1126),"")</f>
        <v/>
      </c>
    </row>
    <row r="1127" customFormat="false" ht="15" hidden="false" customHeight="false" outlineLevel="0" collapsed="false">
      <c r="A1127" s="78" t="str">
        <f aca="false">IF(E1127="","",ROW()-6)</f>
        <v/>
      </c>
      <c r="B1127" s="79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0"/>
      <c r="P1127" s="81"/>
      <c r="Q1127" s="81"/>
      <c r="R1127" s="80"/>
      <c r="S1127" s="80"/>
      <c r="T1127" s="81"/>
      <c r="U1127" s="80"/>
      <c r="V1127" s="80"/>
      <c r="W1127" s="80"/>
      <c r="X1127" s="80"/>
      <c r="Y1127" s="81"/>
      <c r="Z1127" s="80"/>
      <c r="AA1127" s="80"/>
      <c r="AB1127" s="80"/>
      <c r="AC1127" s="80"/>
      <c r="AD1127" s="81"/>
      <c r="AE1127" s="80"/>
      <c r="AF1127" s="80"/>
      <c r="AG1127" s="81"/>
      <c r="AH1127" s="79"/>
      <c r="AI1127" s="78" t="str">
        <f aca="false">IF(E1127="","",(V1127&lt;&gt;"")+(AA1127&lt;&gt;"")+(AF1127&lt;&gt;""))</f>
        <v/>
      </c>
      <c r="AJ1127" s="82" t="str">
        <f aca="false">IF(AF1127&lt;&gt;"",AF1127,IF(AA1127&lt;&gt;"",AA1127,IF(V1127&lt;&gt;"",V1127,"")))</f>
        <v/>
      </c>
      <c r="AK1127" s="83" t="str">
        <f aca="false">IF(E1127="","",IF(P1127="","À SOUDER",IF(S1127="","VT EN ATTENTE",IF(S1127="R","VT REJETÉ – À REPRENDRE",IF(AJ1127="","À RADIOGRAPHIER",IF(AJ1127="A","ACCEPTÉ",IF(AJ1127="NX","NX – RT À REFAIRE",IF(IF(AI1127=1,X1127,IF(AI1127=2,AC1127,""))="A","RÉPARÉ – À RADIOGRAPHIER",IF(IF(AI1127=1,X1127,IF(AI1127=2,AC1127,""))="R","VT REJETÉ – À REPRENDRE",IF(AJ1127="CO","COUPE – À RESOUDER","À RÉPARER"))))))))))</f>
        <v/>
      </c>
      <c r="AL1127" s="82" t="str">
        <f aca="false">IF(AND(ISNUMBER(P1127),OR(AK1127="À RADIOGRAPHIER",AK1127="RÉPARÉ – À RADIOGRAPHIER",AK1127="NX – RT À REFAIRE",AK1127="À RÉPARER",AK1127="COUPE – À RESOUDER",AK1127="VT REJETÉ – À REPRENDRE")),MAX(0,'PROGRAMME RT'!$C$4-P1127),"")</f>
        <v/>
      </c>
      <c r="AM1127" s="78" t="n">
        <f aca="false">IF(AND(OR(AK1127="À RADIOGRAPHIER",AK1127="RÉPARÉ – À RADIOGRAPHIER",AK1127="NX – RT À REFAIRE"),OR('PROGRAMME RT'!$D$5="TOUTES",B1127='PROGRAMME RT'!$D$5)),1,0)</f>
        <v>0</v>
      </c>
      <c r="AN1127" s="78" t="str">
        <f aca="false">IF(AM1127=1,SUM(AM$7:AM1127),"")</f>
        <v/>
      </c>
      <c r="AO1127" s="78" t="n">
        <f aca="false">IF(AND(OR(AK1127="À RÉPARER",AK1127="COUPE – À RESOUDER",AK1127="VT REJETÉ – À REPRENDRE"),OR(RÉPARATIONS!$D$5="TOUTES",B1127=RÉPARATIONS!$D$5)),1,0)</f>
        <v>0</v>
      </c>
      <c r="AP1127" s="78" t="str">
        <f aca="false">IF(AO1127=1,SUM(AO$7:AO1127),"")</f>
        <v/>
      </c>
    </row>
    <row r="1128" customFormat="false" ht="15" hidden="false" customHeight="false" outlineLevel="0" collapsed="false">
      <c r="A1128" s="78" t="str">
        <f aca="false">IF(E1128="","",ROW()-6)</f>
        <v/>
      </c>
      <c r="B1128" s="79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0"/>
      <c r="P1128" s="81"/>
      <c r="Q1128" s="81"/>
      <c r="R1128" s="80"/>
      <c r="S1128" s="80"/>
      <c r="T1128" s="81"/>
      <c r="U1128" s="80"/>
      <c r="V1128" s="80"/>
      <c r="W1128" s="80"/>
      <c r="X1128" s="80"/>
      <c r="Y1128" s="81"/>
      <c r="Z1128" s="80"/>
      <c r="AA1128" s="80"/>
      <c r="AB1128" s="80"/>
      <c r="AC1128" s="80"/>
      <c r="AD1128" s="81"/>
      <c r="AE1128" s="80"/>
      <c r="AF1128" s="80"/>
      <c r="AG1128" s="81"/>
      <c r="AH1128" s="79"/>
      <c r="AI1128" s="78" t="str">
        <f aca="false">IF(E1128="","",(V1128&lt;&gt;"")+(AA1128&lt;&gt;"")+(AF1128&lt;&gt;""))</f>
        <v/>
      </c>
      <c r="AJ1128" s="82" t="str">
        <f aca="false">IF(AF1128&lt;&gt;"",AF1128,IF(AA1128&lt;&gt;"",AA1128,IF(V1128&lt;&gt;"",V1128,"")))</f>
        <v/>
      </c>
      <c r="AK1128" s="83" t="str">
        <f aca="false">IF(E1128="","",IF(P1128="","À SOUDER",IF(S1128="","VT EN ATTENTE",IF(S1128="R","VT REJETÉ – À REPRENDRE",IF(AJ1128="","À RADIOGRAPHIER",IF(AJ1128="A","ACCEPTÉ",IF(AJ1128="NX","NX – RT À REFAIRE",IF(IF(AI1128=1,X1128,IF(AI1128=2,AC1128,""))="A","RÉPARÉ – À RADIOGRAPHIER",IF(IF(AI1128=1,X1128,IF(AI1128=2,AC1128,""))="R","VT REJETÉ – À REPRENDRE",IF(AJ1128="CO","COUPE – À RESOUDER","À RÉPARER"))))))))))</f>
        <v/>
      </c>
      <c r="AL1128" s="82" t="str">
        <f aca="false">IF(AND(ISNUMBER(P1128),OR(AK1128="À RADIOGRAPHIER",AK1128="RÉPARÉ – À RADIOGRAPHIER",AK1128="NX – RT À REFAIRE",AK1128="À RÉPARER",AK1128="COUPE – À RESOUDER",AK1128="VT REJETÉ – À REPRENDRE")),MAX(0,'PROGRAMME RT'!$C$4-P1128),"")</f>
        <v/>
      </c>
      <c r="AM1128" s="78" t="n">
        <f aca="false">IF(AND(OR(AK1128="À RADIOGRAPHIER",AK1128="RÉPARÉ – À RADIOGRAPHIER",AK1128="NX – RT À REFAIRE"),OR('PROGRAMME RT'!$D$5="TOUTES",B1128='PROGRAMME RT'!$D$5)),1,0)</f>
        <v>0</v>
      </c>
      <c r="AN1128" s="78" t="str">
        <f aca="false">IF(AM1128=1,SUM(AM$7:AM1128),"")</f>
        <v/>
      </c>
      <c r="AO1128" s="78" t="n">
        <f aca="false">IF(AND(OR(AK1128="À RÉPARER",AK1128="COUPE – À RESOUDER",AK1128="VT REJETÉ – À REPRENDRE"),OR(RÉPARATIONS!$D$5="TOUTES",B1128=RÉPARATIONS!$D$5)),1,0)</f>
        <v>0</v>
      </c>
      <c r="AP1128" s="78" t="str">
        <f aca="false">IF(AO1128=1,SUM(AO$7:AO1128),"")</f>
        <v/>
      </c>
    </row>
    <row r="1129" customFormat="false" ht="15" hidden="false" customHeight="false" outlineLevel="0" collapsed="false">
      <c r="A1129" s="78" t="str">
        <f aca="false">IF(E1129="","",ROW()-6)</f>
        <v/>
      </c>
      <c r="B1129" s="79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0"/>
      <c r="P1129" s="81"/>
      <c r="Q1129" s="81"/>
      <c r="R1129" s="80"/>
      <c r="S1129" s="80"/>
      <c r="T1129" s="81"/>
      <c r="U1129" s="80"/>
      <c r="V1129" s="80"/>
      <c r="W1129" s="80"/>
      <c r="X1129" s="80"/>
      <c r="Y1129" s="81"/>
      <c r="Z1129" s="80"/>
      <c r="AA1129" s="80"/>
      <c r="AB1129" s="80"/>
      <c r="AC1129" s="80"/>
      <c r="AD1129" s="81"/>
      <c r="AE1129" s="80"/>
      <c r="AF1129" s="80"/>
      <c r="AG1129" s="81"/>
      <c r="AH1129" s="79"/>
      <c r="AI1129" s="78" t="str">
        <f aca="false">IF(E1129="","",(V1129&lt;&gt;"")+(AA1129&lt;&gt;"")+(AF1129&lt;&gt;""))</f>
        <v/>
      </c>
      <c r="AJ1129" s="82" t="str">
        <f aca="false">IF(AF1129&lt;&gt;"",AF1129,IF(AA1129&lt;&gt;"",AA1129,IF(V1129&lt;&gt;"",V1129,"")))</f>
        <v/>
      </c>
      <c r="AK1129" s="83" t="str">
        <f aca="false">IF(E1129="","",IF(P1129="","À SOUDER",IF(S1129="","VT EN ATTENTE",IF(S1129="R","VT REJETÉ – À REPRENDRE",IF(AJ1129="","À RADIOGRAPHIER",IF(AJ1129="A","ACCEPTÉ",IF(AJ1129="NX","NX – RT À REFAIRE",IF(IF(AI1129=1,X1129,IF(AI1129=2,AC1129,""))="A","RÉPARÉ – À RADIOGRAPHIER",IF(IF(AI1129=1,X1129,IF(AI1129=2,AC1129,""))="R","VT REJETÉ – À REPRENDRE",IF(AJ1129="CO","COUPE – À RESOUDER","À RÉPARER"))))))))))</f>
        <v/>
      </c>
      <c r="AL1129" s="82" t="str">
        <f aca="false">IF(AND(ISNUMBER(P1129),OR(AK1129="À RADIOGRAPHIER",AK1129="RÉPARÉ – À RADIOGRAPHIER",AK1129="NX – RT À REFAIRE",AK1129="À RÉPARER",AK1129="COUPE – À RESOUDER",AK1129="VT REJETÉ – À REPRENDRE")),MAX(0,'PROGRAMME RT'!$C$4-P1129),"")</f>
        <v/>
      </c>
      <c r="AM1129" s="78" t="n">
        <f aca="false">IF(AND(OR(AK1129="À RADIOGRAPHIER",AK1129="RÉPARÉ – À RADIOGRAPHIER",AK1129="NX – RT À REFAIRE"),OR('PROGRAMME RT'!$D$5="TOUTES",B1129='PROGRAMME RT'!$D$5)),1,0)</f>
        <v>0</v>
      </c>
      <c r="AN1129" s="78" t="str">
        <f aca="false">IF(AM1129=1,SUM(AM$7:AM1129),"")</f>
        <v/>
      </c>
      <c r="AO1129" s="78" t="n">
        <f aca="false">IF(AND(OR(AK1129="À RÉPARER",AK1129="COUPE – À RESOUDER",AK1129="VT REJETÉ – À REPRENDRE"),OR(RÉPARATIONS!$D$5="TOUTES",B1129=RÉPARATIONS!$D$5)),1,0)</f>
        <v>0</v>
      </c>
      <c r="AP1129" s="78" t="str">
        <f aca="false">IF(AO1129=1,SUM(AO$7:AO1129),"")</f>
        <v/>
      </c>
    </row>
    <row r="1130" customFormat="false" ht="15" hidden="false" customHeight="false" outlineLevel="0" collapsed="false">
      <c r="A1130" s="78" t="str">
        <f aca="false">IF(E1130="","",ROW()-6)</f>
        <v/>
      </c>
      <c r="B1130" s="79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0"/>
      <c r="P1130" s="81"/>
      <c r="Q1130" s="81"/>
      <c r="R1130" s="80"/>
      <c r="S1130" s="80"/>
      <c r="T1130" s="81"/>
      <c r="U1130" s="80"/>
      <c r="V1130" s="80"/>
      <c r="W1130" s="80"/>
      <c r="X1130" s="80"/>
      <c r="Y1130" s="81"/>
      <c r="Z1130" s="80"/>
      <c r="AA1130" s="80"/>
      <c r="AB1130" s="80"/>
      <c r="AC1130" s="80"/>
      <c r="AD1130" s="81"/>
      <c r="AE1130" s="80"/>
      <c r="AF1130" s="80"/>
      <c r="AG1130" s="81"/>
      <c r="AH1130" s="79"/>
      <c r="AI1130" s="78" t="str">
        <f aca="false">IF(E1130="","",(V1130&lt;&gt;"")+(AA1130&lt;&gt;"")+(AF1130&lt;&gt;""))</f>
        <v/>
      </c>
      <c r="AJ1130" s="82" t="str">
        <f aca="false">IF(AF1130&lt;&gt;"",AF1130,IF(AA1130&lt;&gt;"",AA1130,IF(V1130&lt;&gt;"",V1130,"")))</f>
        <v/>
      </c>
      <c r="AK1130" s="83" t="str">
        <f aca="false">IF(E1130="","",IF(P1130="","À SOUDER",IF(S1130="","VT EN ATTENTE",IF(S1130="R","VT REJETÉ – À REPRENDRE",IF(AJ1130="","À RADIOGRAPHIER",IF(AJ1130="A","ACCEPTÉ",IF(AJ1130="NX","NX – RT À REFAIRE",IF(IF(AI1130=1,X1130,IF(AI1130=2,AC1130,""))="A","RÉPARÉ – À RADIOGRAPHIER",IF(IF(AI1130=1,X1130,IF(AI1130=2,AC1130,""))="R","VT REJETÉ – À REPRENDRE",IF(AJ1130="CO","COUPE – À RESOUDER","À RÉPARER"))))))))))</f>
        <v/>
      </c>
      <c r="AL1130" s="82" t="str">
        <f aca="false">IF(AND(ISNUMBER(P1130),OR(AK1130="À RADIOGRAPHIER",AK1130="RÉPARÉ – À RADIOGRAPHIER",AK1130="NX – RT À REFAIRE",AK1130="À RÉPARER",AK1130="COUPE – À RESOUDER",AK1130="VT REJETÉ – À REPRENDRE")),MAX(0,'PROGRAMME RT'!$C$4-P1130),"")</f>
        <v/>
      </c>
      <c r="AM1130" s="78" t="n">
        <f aca="false">IF(AND(OR(AK1130="À RADIOGRAPHIER",AK1130="RÉPARÉ – À RADIOGRAPHIER",AK1130="NX – RT À REFAIRE"),OR('PROGRAMME RT'!$D$5="TOUTES",B1130='PROGRAMME RT'!$D$5)),1,0)</f>
        <v>0</v>
      </c>
      <c r="AN1130" s="78" t="str">
        <f aca="false">IF(AM1130=1,SUM(AM$7:AM1130),"")</f>
        <v/>
      </c>
      <c r="AO1130" s="78" t="n">
        <f aca="false">IF(AND(OR(AK1130="À RÉPARER",AK1130="COUPE – À RESOUDER",AK1130="VT REJETÉ – À REPRENDRE"),OR(RÉPARATIONS!$D$5="TOUTES",B1130=RÉPARATIONS!$D$5)),1,0)</f>
        <v>0</v>
      </c>
      <c r="AP1130" s="78" t="str">
        <f aca="false">IF(AO1130=1,SUM(AO$7:AO1130),"")</f>
        <v/>
      </c>
    </row>
    <row r="1131" customFormat="false" ht="15" hidden="false" customHeight="false" outlineLevel="0" collapsed="false">
      <c r="A1131" s="78" t="str">
        <f aca="false">IF(E1131="","",ROW()-6)</f>
        <v/>
      </c>
      <c r="B1131" s="79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0"/>
      <c r="P1131" s="81"/>
      <c r="Q1131" s="81"/>
      <c r="R1131" s="80"/>
      <c r="S1131" s="80"/>
      <c r="T1131" s="81"/>
      <c r="U1131" s="80"/>
      <c r="V1131" s="80"/>
      <c r="W1131" s="80"/>
      <c r="X1131" s="80"/>
      <c r="Y1131" s="81"/>
      <c r="Z1131" s="80"/>
      <c r="AA1131" s="80"/>
      <c r="AB1131" s="80"/>
      <c r="AC1131" s="80"/>
      <c r="AD1131" s="81"/>
      <c r="AE1131" s="80"/>
      <c r="AF1131" s="80"/>
      <c r="AG1131" s="81"/>
      <c r="AH1131" s="79"/>
      <c r="AI1131" s="78" t="str">
        <f aca="false">IF(E1131="","",(V1131&lt;&gt;"")+(AA1131&lt;&gt;"")+(AF1131&lt;&gt;""))</f>
        <v/>
      </c>
      <c r="AJ1131" s="82" t="str">
        <f aca="false">IF(AF1131&lt;&gt;"",AF1131,IF(AA1131&lt;&gt;"",AA1131,IF(V1131&lt;&gt;"",V1131,"")))</f>
        <v/>
      </c>
      <c r="AK1131" s="83" t="str">
        <f aca="false">IF(E1131="","",IF(P1131="","À SOUDER",IF(S1131="","VT EN ATTENTE",IF(S1131="R","VT REJETÉ – À REPRENDRE",IF(AJ1131="","À RADIOGRAPHIER",IF(AJ1131="A","ACCEPTÉ",IF(AJ1131="NX","NX – RT À REFAIRE",IF(IF(AI1131=1,X1131,IF(AI1131=2,AC1131,""))="A","RÉPARÉ – À RADIOGRAPHIER",IF(IF(AI1131=1,X1131,IF(AI1131=2,AC1131,""))="R","VT REJETÉ – À REPRENDRE",IF(AJ1131="CO","COUPE – À RESOUDER","À RÉPARER"))))))))))</f>
        <v/>
      </c>
      <c r="AL1131" s="82" t="str">
        <f aca="false">IF(AND(ISNUMBER(P1131),OR(AK1131="À RADIOGRAPHIER",AK1131="RÉPARÉ – À RADIOGRAPHIER",AK1131="NX – RT À REFAIRE",AK1131="À RÉPARER",AK1131="COUPE – À RESOUDER",AK1131="VT REJETÉ – À REPRENDRE")),MAX(0,'PROGRAMME RT'!$C$4-P1131),"")</f>
        <v/>
      </c>
      <c r="AM1131" s="78" t="n">
        <f aca="false">IF(AND(OR(AK1131="À RADIOGRAPHIER",AK1131="RÉPARÉ – À RADIOGRAPHIER",AK1131="NX – RT À REFAIRE"),OR('PROGRAMME RT'!$D$5="TOUTES",B1131='PROGRAMME RT'!$D$5)),1,0)</f>
        <v>0</v>
      </c>
      <c r="AN1131" s="78" t="str">
        <f aca="false">IF(AM1131=1,SUM(AM$7:AM1131),"")</f>
        <v/>
      </c>
      <c r="AO1131" s="78" t="n">
        <f aca="false">IF(AND(OR(AK1131="À RÉPARER",AK1131="COUPE – À RESOUDER",AK1131="VT REJETÉ – À REPRENDRE"),OR(RÉPARATIONS!$D$5="TOUTES",B1131=RÉPARATIONS!$D$5)),1,0)</f>
        <v>0</v>
      </c>
      <c r="AP1131" s="78" t="str">
        <f aca="false">IF(AO1131=1,SUM(AO$7:AO1131),"")</f>
        <v/>
      </c>
    </row>
    <row r="1132" customFormat="false" ht="15" hidden="false" customHeight="false" outlineLevel="0" collapsed="false">
      <c r="A1132" s="78" t="str">
        <f aca="false">IF(E1132="","",ROW()-6)</f>
        <v/>
      </c>
      <c r="B1132" s="79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0"/>
      <c r="P1132" s="81"/>
      <c r="Q1132" s="81"/>
      <c r="R1132" s="80"/>
      <c r="S1132" s="80"/>
      <c r="T1132" s="81"/>
      <c r="U1132" s="80"/>
      <c r="V1132" s="80"/>
      <c r="W1132" s="80"/>
      <c r="X1132" s="80"/>
      <c r="Y1132" s="81"/>
      <c r="Z1132" s="80"/>
      <c r="AA1132" s="80"/>
      <c r="AB1132" s="80"/>
      <c r="AC1132" s="80"/>
      <c r="AD1132" s="81"/>
      <c r="AE1132" s="80"/>
      <c r="AF1132" s="80"/>
      <c r="AG1132" s="81"/>
      <c r="AH1132" s="79"/>
      <c r="AI1132" s="78" t="str">
        <f aca="false">IF(E1132="","",(V1132&lt;&gt;"")+(AA1132&lt;&gt;"")+(AF1132&lt;&gt;""))</f>
        <v/>
      </c>
      <c r="AJ1132" s="82" t="str">
        <f aca="false">IF(AF1132&lt;&gt;"",AF1132,IF(AA1132&lt;&gt;"",AA1132,IF(V1132&lt;&gt;"",V1132,"")))</f>
        <v/>
      </c>
      <c r="AK1132" s="83" t="str">
        <f aca="false">IF(E1132="","",IF(P1132="","À SOUDER",IF(S1132="","VT EN ATTENTE",IF(S1132="R","VT REJETÉ – À REPRENDRE",IF(AJ1132="","À RADIOGRAPHIER",IF(AJ1132="A","ACCEPTÉ",IF(AJ1132="NX","NX – RT À REFAIRE",IF(IF(AI1132=1,X1132,IF(AI1132=2,AC1132,""))="A","RÉPARÉ – À RADIOGRAPHIER",IF(IF(AI1132=1,X1132,IF(AI1132=2,AC1132,""))="R","VT REJETÉ – À REPRENDRE",IF(AJ1132="CO","COUPE – À RESOUDER","À RÉPARER"))))))))))</f>
        <v/>
      </c>
      <c r="AL1132" s="82" t="str">
        <f aca="false">IF(AND(ISNUMBER(P1132),OR(AK1132="À RADIOGRAPHIER",AK1132="RÉPARÉ – À RADIOGRAPHIER",AK1132="NX – RT À REFAIRE",AK1132="À RÉPARER",AK1132="COUPE – À RESOUDER",AK1132="VT REJETÉ – À REPRENDRE")),MAX(0,'PROGRAMME RT'!$C$4-P1132),"")</f>
        <v/>
      </c>
      <c r="AM1132" s="78" t="n">
        <f aca="false">IF(AND(OR(AK1132="À RADIOGRAPHIER",AK1132="RÉPARÉ – À RADIOGRAPHIER",AK1132="NX – RT À REFAIRE"),OR('PROGRAMME RT'!$D$5="TOUTES",B1132='PROGRAMME RT'!$D$5)),1,0)</f>
        <v>0</v>
      </c>
      <c r="AN1132" s="78" t="str">
        <f aca="false">IF(AM1132=1,SUM(AM$7:AM1132),"")</f>
        <v/>
      </c>
      <c r="AO1132" s="78" t="n">
        <f aca="false">IF(AND(OR(AK1132="À RÉPARER",AK1132="COUPE – À RESOUDER",AK1132="VT REJETÉ – À REPRENDRE"),OR(RÉPARATIONS!$D$5="TOUTES",B1132=RÉPARATIONS!$D$5)),1,0)</f>
        <v>0</v>
      </c>
      <c r="AP1132" s="78" t="str">
        <f aca="false">IF(AO1132=1,SUM(AO$7:AO1132),"")</f>
        <v/>
      </c>
    </row>
    <row r="1133" customFormat="false" ht="15" hidden="false" customHeight="false" outlineLevel="0" collapsed="false">
      <c r="A1133" s="78" t="str">
        <f aca="false">IF(E1133="","",ROW()-6)</f>
        <v/>
      </c>
      <c r="B1133" s="79"/>
      <c r="C1133" s="80"/>
      <c r="D1133" s="80"/>
      <c r="E1133" s="80"/>
      <c r="F1133" s="80"/>
      <c r="G1133" s="80"/>
      <c r="H1133" s="80"/>
      <c r="I1133" s="80"/>
      <c r="J1133" s="80"/>
      <c r="K1133" s="80"/>
      <c r="L1133" s="80"/>
      <c r="M1133" s="80"/>
      <c r="N1133" s="80"/>
      <c r="O1133" s="80"/>
      <c r="P1133" s="81"/>
      <c r="Q1133" s="81"/>
      <c r="R1133" s="80"/>
      <c r="S1133" s="80"/>
      <c r="T1133" s="81"/>
      <c r="U1133" s="80"/>
      <c r="V1133" s="80"/>
      <c r="W1133" s="80"/>
      <c r="X1133" s="80"/>
      <c r="Y1133" s="81"/>
      <c r="Z1133" s="80"/>
      <c r="AA1133" s="80"/>
      <c r="AB1133" s="80"/>
      <c r="AC1133" s="80"/>
      <c r="AD1133" s="81"/>
      <c r="AE1133" s="80"/>
      <c r="AF1133" s="80"/>
      <c r="AG1133" s="81"/>
      <c r="AH1133" s="79"/>
      <c r="AI1133" s="78" t="str">
        <f aca="false">IF(E1133="","",(V1133&lt;&gt;"")+(AA1133&lt;&gt;"")+(AF1133&lt;&gt;""))</f>
        <v/>
      </c>
      <c r="AJ1133" s="82" t="str">
        <f aca="false">IF(AF1133&lt;&gt;"",AF1133,IF(AA1133&lt;&gt;"",AA1133,IF(V1133&lt;&gt;"",V1133,"")))</f>
        <v/>
      </c>
      <c r="AK1133" s="83" t="str">
        <f aca="false">IF(E1133="","",IF(P1133="","À SOUDER",IF(S1133="","VT EN ATTENTE",IF(S1133="R","VT REJETÉ – À REPRENDRE",IF(AJ1133="","À RADIOGRAPHIER",IF(AJ1133="A","ACCEPTÉ",IF(AJ1133="NX","NX – RT À REFAIRE",IF(IF(AI1133=1,X1133,IF(AI1133=2,AC1133,""))="A","RÉPARÉ – À RADIOGRAPHIER",IF(IF(AI1133=1,X1133,IF(AI1133=2,AC1133,""))="R","VT REJETÉ – À REPRENDRE",IF(AJ1133="CO","COUPE – À RESOUDER","À RÉPARER"))))))))))</f>
        <v/>
      </c>
      <c r="AL1133" s="82" t="str">
        <f aca="false">IF(AND(ISNUMBER(P1133),OR(AK1133="À RADIOGRAPHIER",AK1133="RÉPARÉ – À RADIOGRAPHIER",AK1133="NX – RT À REFAIRE",AK1133="À RÉPARER",AK1133="COUPE – À RESOUDER",AK1133="VT REJETÉ – À REPRENDRE")),MAX(0,'PROGRAMME RT'!$C$4-P1133),"")</f>
        <v/>
      </c>
      <c r="AM1133" s="78" t="n">
        <f aca="false">IF(AND(OR(AK1133="À RADIOGRAPHIER",AK1133="RÉPARÉ – À RADIOGRAPHIER",AK1133="NX – RT À REFAIRE"),OR('PROGRAMME RT'!$D$5="TOUTES",B1133='PROGRAMME RT'!$D$5)),1,0)</f>
        <v>0</v>
      </c>
      <c r="AN1133" s="78" t="str">
        <f aca="false">IF(AM1133=1,SUM(AM$7:AM1133),"")</f>
        <v/>
      </c>
      <c r="AO1133" s="78" t="n">
        <f aca="false">IF(AND(OR(AK1133="À RÉPARER",AK1133="COUPE – À RESOUDER",AK1133="VT REJETÉ – À REPRENDRE"),OR(RÉPARATIONS!$D$5="TOUTES",B1133=RÉPARATIONS!$D$5)),1,0)</f>
        <v>0</v>
      </c>
      <c r="AP1133" s="78" t="str">
        <f aca="false">IF(AO1133=1,SUM(AO$7:AO1133),"")</f>
        <v/>
      </c>
    </row>
    <row r="1134" customFormat="false" ht="15" hidden="false" customHeight="false" outlineLevel="0" collapsed="false">
      <c r="A1134" s="78" t="str">
        <f aca="false">IF(E1134="","",ROW()-6)</f>
        <v/>
      </c>
      <c r="B1134" s="79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0"/>
      <c r="P1134" s="81"/>
      <c r="Q1134" s="81"/>
      <c r="R1134" s="80"/>
      <c r="S1134" s="80"/>
      <c r="T1134" s="81"/>
      <c r="U1134" s="80"/>
      <c r="V1134" s="80"/>
      <c r="W1134" s="80"/>
      <c r="X1134" s="80"/>
      <c r="Y1134" s="81"/>
      <c r="Z1134" s="80"/>
      <c r="AA1134" s="80"/>
      <c r="AB1134" s="80"/>
      <c r="AC1134" s="80"/>
      <c r="AD1134" s="81"/>
      <c r="AE1134" s="80"/>
      <c r="AF1134" s="80"/>
      <c r="AG1134" s="81"/>
      <c r="AH1134" s="79"/>
      <c r="AI1134" s="78" t="str">
        <f aca="false">IF(E1134="","",(V1134&lt;&gt;"")+(AA1134&lt;&gt;"")+(AF1134&lt;&gt;""))</f>
        <v/>
      </c>
      <c r="AJ1134" s="82" t="str">
        <f aca="false">IF(AF1134&lt;&gt;"",AF1134,IF(AA1134&lt;&gt;"",AA1134,IF(V1134&lt;&gt;"",V1134,"")))</f>
        <v/>
      </c>
      <c r="AK1134" s="83" t="str">
        <f aca="false">IF(E1134="","",IF(P1134="","À SOUDER",IF(S1134="","VT EN ATTENTE",IF(S1134="R","VT REJETÉ – À REPRENDRE",IF(AJ1134="","À RADIOGRAPHIER",IF(AJ1134="A","ACCEPTÉ",IF(AJ1134="NX","NX – RT À REFAIRE",IF(IF(AI1134=1,X1134,IF(AI1134=2,AC1134,""))="A","RÉPARÉ – À RADIOGRAPHIER",IF(IF(AI1134=1,X1134,IF(AI1134=2,AC1134,""))="R","VT REJETÉ – À REPRENDRE",IF(AJ1134="CO","COUPE – À RESOUDER","À RÉPARER"))))))))))</f>
        <v/>
      </c>
      <c r="AL1134" s="82" t="str">
        <f aca="false">IF(AND(ISNUMBER(P1134),OR(AK1134="À RADIOGRAPHIER",AK1134="RÉPARÉ – À RADIOGRAPHIER",AK1134="NX – RT À REFAIRE",AK1134="À RÉPARER",AK1134="COUPE – À RESOUDER",AK1134="VT REJETÉ – À REPRENDRE")),MAX(0,'PROGRAMME RT'!$C$4-P1134),"")</f>
        <v/>
      </c>
      <c r="AM1134" s="78" t="n">
        <f aca="false">IF(AND(OR(AK1134="À RADIOGRAPHIER",AK1134="RÉPARÉ – À RADIOGRAPHIER",AK1134="NX – RT À REFAIRE"),OR('PROGRAMME RT'!$D$5="TOUTES",B1134='PROGRAMME RT'!$D$5)),1,0)</f>
        <v>0</v>
      </c>
      <c r="AN1134" s="78" t="str">
        <f aca="false">IF(AM1134=1,SUM(AM$7:AM1134),"")</f>
        <v/>
      </c>
      <c r="AO1134" s="78" t="n">
        <f aca="false">IF(AND(OR(AK1134="À RÉPARER",AK1134="COUPE – À RESOUDER",AK1134="VT REJETÉ – À REPRENDRE"),OR(RÉPARATIONS!$D$5="TOUTES",B1134=RÉPARATIONS!$D$5)),1,0)</f>
        <v>0</v>
      </c>
      <c r="AP1134" s="78" t="str">
        <f aca="false">IF(AO1134=1,SUM(AO$7:AO1134),"")</f>
        <v/>
      </c>
    </row>
    <row r="1135" customFormat="false" ht="15" hidden="false" customHeight="false" outlineLevel="0" collapsed="false">
      <c r="A1135" s="78" t="str">
        <f aca="false">IF(E1135="","",ROW()-6)</f>
        <v/>
      </c>
      <c r="B1135" s="79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0"/>
      <c r="P1135" s="81"/>
      <c r="Q1135" s="81"/>
      <c r="R1135" s="80"/>
      <c r="S1135" s="80"/>
      <c r="T1135" s="81"/>
      <c r="U1135" s="80"/>
      <c r="V1135" s="80"/>
      <c r="W1135" s="80"/>
      <c r="X1135" s="80"/>
      <c r="Y1135" s="81"/>
      <c r="Z1135" s="80"/>
      <c r="AA1135" s="80"/>
      <c r="AB1135" s="80"/>
      <c r="AC1135" s="80"/>
      <c r="AD1135" s="81"/>
      <c r="AE1135" s="80"/>
      <c r="AF1135" s="80"/>
      <c r="AG1135" s="81"/>
      <c r="AH1135" s="79"/>
      <c r="AI1135" s="78" t="str">
        <f aca="false">IF(E1135="","",(V1135&lt;&gt;"")+(AA1135&lt;&gt;"")+(AF1135&lt;&gt;""))</f>
        <v/>
      </c>
      <c r="AJ1135" s="82" t="str">
        <f aca="false">IF(AF1135&lt;&gt;"",AF1135,IF(AA1135&lt;&gt;"",AA1135,IF(V1135&lt;&gt;"",V1135,"")))</f>
        <v/>
      </c>
      <c r="AK1135" s="83" t="str">
        <f aca="false">IF(E1135="","",IF(P1135="","À SOUDER",IF(S1135="","VT EN ATTENTE",IF(S1135="R","VT REJETÉ – À REPRENDRE",IF(AJ1135="","À RADIOGRAPHIER",IF(AJ1135="A","ACCEPTÉ",IF(AJ1135="NX","NX – RT À REFAIRE",IF(IF(AI1135=1,X1135,IF(AI1135=2,AC1135,""))="A","RÉPARÉ – À RADIOGRAPHIER",IF(IF(AI1135=1,X1135,IF(AI1135=2,AC1135,""))="R","VT REJETÉ – À REPRENDRE",IF(AJ1135="CO","COUPE – À RESOUDER","À RÉPARER"))))))))))</f>
        <v/>
      </c>
      <c r="AL1135" s="82" t="str">
        <f aca="false">IF(AND(ISNUMBER(P1135),OR(AK1135="À RADIOGRAPHIER",AK1135="RÉPARÉ – À RADIOGRAPHIER",AK1135="NX – RT À REFAIRE",AK1135="À RÉPARER",AK1135="COUPE – À RESOUDER",AK1135="VT REJETÉ – À REPRENDRE")),MAX(0,'PROGRAMME RT'!$C$4-P1135),"")</f>
        <v/>
      </c>
      <c r="AM1135" s="78" t="n">
        <f aca="false">IF(AND(OR(AK1135="À RADIOGRAPHIER",AK1135="RÉPARÉ – À RADIOGRAPHIER",AK1135="NX – RT À REFAIRE"),OR('PROGRAMME RT'!$D$5="TOUTES",B1135='PROGRAMME RT'!$D$5)),1,0)</f>
        <v>0</v>
      </c>
      <c r="AN1135" s="78" t="str">
        <f aca="false">IF(AM1135=1,SUM(AM$7:AM1135),"")</f>
        <v/>
      </c>
      <c r="AO1135" s="78" t="n">
        <f aca="false">IF(AND(OR(AK1135="À RÉPARER",AK1135="COUPE – À RESOUDER",AK1135="VT REJETÉ – À REPRENDRE"),OR(RÉPARATIONS!$D$5="TOUTES",B1135=RÉPARATIONS!$D$5)),1,0)</f>
        <v>0</v>
      </c>
      <c r="AP1135" s="78" t="str">
        <f aca="false">IF(AO1135=1,SUM(AO$7:AO1135),"")</f>
        <v/>
      </c>
    </row>
    <row r="1136" customFormat="false" ht="15" hidden="false" customHeight="false" outlineLevel="0" collapsed="false">
      <c r="A1136" s="78" t="str">
        <f aca="false">IF(E1136="","",ROW()-6)</f>
        <v/>
      </c>
      <c r="B1136" s="79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0"/>
      <c r="P1136" s="81"/>
      <c r="Q1136" s="81"/>
      <c r="R1136" s="80"/>
      <c r="S1136" s="80"/>
      <c r="T1136" s="81"/>
      <c r="U1136" s="80"/>
      <c r="V1136" s="80"/>
      <c r="W1136" s="80"/>
      <c r="X1136" s="80"/>
      <c r="Y1136" s="81"/>
      <c r="Z1136" s="80"/>
      <c r="AA1136" s="80"/>
      <c r="AB1136" s="80"/>
      <c r="AC1136" s="80"/>
      <c r="AD1136" s="81"/>
      <c r="AE1136" s="80"/>
      <c r="AF1136" s="80"/>
      <c r="AG1136" s="81"/>
      <c r="AH1136" s="79"/>
      <c r="AI1136" s="78" t="str">
        <f aca="false">IF(E1136="","",(V1136&lt;&gt;"")+(AA1136&lt;&gt;"")+(AF1136&lt;&gt;""))</f>
        <v/>
      </c>
      <c r="AJ1136" s="82" t="str">
        <f aca="false">IF(AF1136&lt;&gt;"",AF1136,IF(AA1136&lt;&gt;"",AA1136,IF(V1136&lt;&gt;"",V1136,"")))</f>
        <v/>
      </c>
      <c r="AK1136" s="83" t="str">
        <f aca="false">IF(E1136="","",IF(P1136="","À SOUDER",IF(S1136="","VT EN ATTENTE",IF(S1136="R","VT REJETÉ – À REPRENDRE",IF(AJ1136="","À RADIOGRAPHIER",IF(AJ1136="A","ACCEPTÉ",IF(AJ1136="NX","NX – RT À REFAIRE",IF(IF(AI1136=1,X1136,IF(AI1136=2,AC1136,""))="A","RÉPARÉ – À RADIOGRAPHIER",IF(IF(AI1136=1,X1136,IF(AI1136=2,AC1136,""))="R","VT REJETÉ – À REPRENDRE",IF(AJ1136="CO","COUPE – À RESOUDER","À RÉPARER"))))))))))</f>
        <v/>
      </c>
      <c r="AL1136" s="82" t="str">
        <f aca="false">IF(AND(ISNUMBER(P1136),OR(AK1136="À RADIOGRAPHIER",AK1136="RÉPARÉ – À RADIOGRAPHIER",AK1136="NX – RT À REFAIRE",AK1136="À RÉPARER",AK1136="COUPE – À RESOUDER",AK1136="VT REJETÉ – À REPRENDRE")),MAX(0,'PROGRAMME RT'!$C$4-P1136),"")</f>
        <v/>
      </c>
      <c r="AM1136" s="78" t="n">
        <f aca="false">IF(AND(OR(AK1136="À RADIOGRAPHIER",AK1136="RÉPARÉ – À RADIOGRAPHIER",AK1136="NX – RT À REFAIRE"),OR('PROGRAMME RT'!$D$5="TOUTES",B1136='PROGRAMME RT'!$D$5)),1,0)</f>
        <v>0</v>
      </c>
      <c r="AN1136" s="78" t="str">
        <f aca="false">IF(AM1136=1,SUM(AM$7:AM1136),"")</f>
        <v/>
      </c>
      <c r="AO1136" s="78" t="n">
        <f aca="false">IF(AND(OR(AK1136="À RÉPARER",AK1136="COUPE – À RESOUDER",AK1136="VT REJETÉ – À REPRENDRE"),OR(RÉPARATIONS!$D$5="TOUTES",B1136=RÉPARATIONS!$D$5)),1,0)</f>
        <v>0</v>
      </c>
      <c r="AP1136" s="78" t="str">
        <f aca="false">IF(AO1136=1,SUM(AO$7:AO1136),"")</f>
        <v/>
      </c>
    </row>
    <row r="1137" customFormat="false" ht="15" hidden="false" customHeight="false" outlineLevel="0" collapsed="false">
      <c r="A1137" s="78" t="str">
        <f aca="false">IF(E1137="","",ROW()-6)</f>
        <v/>
      </c>
      <c r="B1137" s="79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0"/>
      <c r="P1137" s="81"/>
      <c r="Q1137" s="81"/>
      <c r="R1137" s="80"/>
      <c r="S1137" s="80"/>
      <c r="T1137" s="81"/>
      <c r="U1137" s="80"/>
      <c r="V1137" s="80"/>
      <c r="W1137" s="80"/>
      <c r="X1137" s="80"/>
      <c r="Y1137" s="81"/>
      <c r="Z1137" s="80"/>
      <c r="AA1137" s="80"/>
      <c r="AB1137" s="80"/>
      <c r="AC1137" s="80"/>
      <c r="AD1137" s="81"/>
      <c r="AE1137" s="80"/>
      <c r="AF1137" s="80"/>
      <c r="AG1137" s="81"/>
      <c r="AH1137" s="79"/>
      <c r="AI1137" s="78" t="str">
        <f aca="false">IF(E1137="","",(V1137&lt;&gt;"")+(AA1137&lt;&gt;"")+(AF1137&lt;&gt;""))</f>
        <v/>
      </c>
      <c r="AJ1137" s="82" t="str">
        <f aca="false">IF(AF1137&lt;&gt;"",AF1137,IF(AA1137&lt;&gt;"",AA1137,IF(V1137&lt;&gt;"",V1137,"")))</f>
        <v/>
      </c>
      <c r="AK1137" s="83" t="str">
        <f aca="false">IF(E1137="","",IF(P1137="","À SOUDER",IF(S1137="","VT EN ATTENTE",IF(S1137="R","VT REJETÉ – À REPRENDRE",IF(AJ1137="","À RADIOGRAPHIER",IF(AJ1137="A","ACCEPTÉ",IF(AJ1137="NX","NX – RT À REFAIRE",IF(IF(AI1137=1,X1137,IF(AI1137=2,AC1137,""))="A","RÉPARÉ – À RADIOGRAPHIER",IF(IF(AI1137=1,X1137,IF(AI1137=2,AC1137,""))="R","VT REJETÉ – À REPRENDRE",IF(AJ1137="CO","COUPE – À RESOUDER","À RÉPARER"))))))))))</f>
        <v/>
      </c>
      <c r="AL1137" s="82" t="str">
        <f aca="false">IF(AND(ISNUMBER(P1137),OR(AK1137="À RADIOGRAPHIER",AK1137="RÉPARÉ – À RADIOGRAPHIER",AK1137="NX – RT À REFAIRE",AK1137="À RÉPARER",AK1137="COUPE – À RESOUDER",AK1137="VT REJETÉ – À REPRENDRE")),MAX(0,'PROGRAMME RT'!$C$4-P1137),"")</f>
        <v/>
      </c>
      <c r="AM1137" s="78" t="n">
        <f aca="false">IF(AND(OR(AK1137="À RADIOGRAPHIER",AK1137="RÉPARÉ – À RADIOGRAPHIER",AK1137="NX – RT À REFAIRE"),OR('PROGRAMME RT'!$D$5="TOUTES",B1137='PROGRAMME RT'!$D$5)),1,0)</f>
        <v>0</v>
      </c>
      <c r="AN1137" s="78" t="str">
        <f aca="false">IF(AM1137=1,SUM(AM$7:AM1137),"")</f>
        <v/>
      </c>
      <c r="AO1137" s="78" t="n">
        <f aca="false">IF(AND(OR(AK1137="À RÉPARER",AK1137="COUPE – À RESOUDER",AK1137="VT REJETÉ – À REPRENDRE"),OR(RÉPARATIONS!$D$5="TOUTES",B1137=RÉPARATIONS!$D$5)),1,0)</f>
        <v>0</v>
      </c>
      <c r="AP1137" s="78" t="str">
        <f aca="false">IF(AO1137=1,SUM(AO$7:AO1137),"")</f>
        <v/>
      </c>
    </row>
    <row r="1138" customFormat="false" ht="15" hidden="false" customHeight="false" outlineLevel="0" collapsed="false">
      <c r="A1138" s="78" t="str">
        <f aca="false">IF(E1138="","",ROW()-6)</f>
        <v/>
      </c>
      <c r="B1138" s="79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0"/>
      <c r="P1138" s="81"/>
      <c r="Q1138" s="81"/>
      <c r="R1138" s="80"/>
      <c r="S1138" s="80"/>
      <c r="T1138" s="81"/>
      <c r="U1138" s="80"/>
      <c r="V1138" s="80"/>
      <c r="W1138" s="80"/>
      <c r="X1138" s="80"/>
      <c r="Y1138" s="81"/>
      <c r="Z1138" s="80"/>
      <c r="AA1138" s="80"/>
      <c r="AB1138" s="80"/>
      <c r="AC1138" s="80"/>
      <c r="AD1138" s="81"/>
      <c r="AE1138" s="80"/>
      <c r="AF1138" s="80"/>
      <c r="AG1138" s="81"/>
      <c r="AH1138" s="79"/>
      <c r="AI1138" s="78" t="str">
        <f aca="false">IF(E1138="","",(V1138&lt;&gt;"")+(AA1138&lt;&gt;"")+(AF1138&lt;&gt;""))</f>
        <v/>
      </c>
      <c r="AJ1138" s="82" t="str">
        <f aca="false">IF(AF1138&lt;&gt;"",AF1138,IF(AA1138&lt;&gt;"",AA1138,IF(V1138&lt;&gt;"",V1138,"")))</f>
        <v/>
      </c>
      <c r="AK1138" s="83" t="str">
        <f aca="false">IF(E1138="","",IF(P1138="","À SOUDER",IF(S1138="","VT EN ATTENTE",IF(S1138="R","VT REJETÉ – À REPRENDRE",IF(AJ1138="","À RADIOGRAPHIER",IF(AJ1138="A","ACCEPTÉ",IF(AJ1138="NX","NX – RT À REFAIRE",IF(IF(AI1138=1,X1138,IF(AI1138=2,AC1138,""))="A","RÉPARÉ – À RADIOGRAPHIER",IF(IF(AI1138=1,X1138,IF(AI1138=2,AC1138,""))="R","VT REJETÉ – À REPRENDRE",IF(AJ1138="CO","COUPE – À RESOUDER","À RÉPARER"))))))))))</f>
        <v/>
      </c>
      <c r="AL1138" s="82" t="str">
        <f aca="false">IF(AND(ISNUMBER(P1138),OR(AK1138="À RADIOGRAPHIER",AK1138="RÉPARÉ – À RADIOGRAPHIER",AK1138="NX – RT À REFAIRE",AK1138="À RÉPARER",AK1138="COUPE – À RESOUDER",AK1138="VT REJETÉ – À REPRENDRE")),MAX(0,'PROGRAMME RT'!$C$4-P1138),"")</f>
        <v/>
      </c>
      <c r="AM1138" s="78" t="n">
        <f aca="false">IF(AND(OR(AK1138="À RADIOGRAPHIER",AK1138="RÉPARÉ – À RADIOGRAPHIER",AK1138="NX – RT À REFAIRE"),OR('PROGRAMME RT'!$D$5="TOUTES",B1138='PROGRAMME RT'!$D$5)),1,0)</f>
        <v>0</v>
      </c>
      <c r="AN1138" s="78" t="str">
        <f aca="false">IF(AM1138=1,SUM(AM$7:AM1138),"")</f>
        <v/>
      </c>
      <c r="AO1138" s="78" t="n">
        <f aca="false">IF(AND(OR(AK1138="À RÉPARER",AK1138="COUPE – À RESOUDER",AK1138="VT REJETÉ – À REPRENDRE"),OR(RÉPARATIONS!$D$5="TOUTES",B1138=RÉPARATIONS!$D$5)),1,0)</f>
        <v>0</v>
      </c>
      <c r="AP1138" s="78" t="str">
        <f aca="false">IF(AO1138=1,SUM(AO$7:AO1138),"")</f>
        <v/>
      </c>
    </row>
    <row r="1139" customFormat="false" ht="15" hidden="false" customHeight="false" outlineLevel="0" collapsed="false">
      <c r="A1139" s="78" t="str">
        <f aca="false">IF(E1139="","",ROW()-6)</f>
        <v/>
      </c>
      <c r="B1139" s="79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0"/>
      <c r="P1139" s="81"/>
      <c r="Q1139" s="81"/>
      <c r="R1139" s="80"/>
      <c r="S1139" s="80"/>
      <c r="T1139" s="81"/>
      <c r="U1139" s="80"/>
      <c r="V1139" s="80"/>
      <c r="W1139" s="80"/>
      <c r="X1139" s="80"/>
      <c r="Y1139" s="81"/>
      <c r="Z1139" s="80"/>
      <c r="AA1139" s="80"/>
      <c r="AB1139" s="80"/>
      <c r="AC1139" s="80"/>
      <c r="AD1139" s="81"/>
      <c r="AE1139" s="80"/>
      <c r="AF1139" s="80"/>
      <c r="AG1139" s="81"/>
      <c r="AH1139" s="79"/>
      <c r="AI1139" s="78" t="str">
        <f aca="false">IF(E1139="","",(V1139&lt;&gt;"")+(AA1139&lt;&gt;"")+(AF1139&lt;&gt;""))</f>
        <v/>
      </c>
      <c r="AJ1139" s="82" t="str">
        <f aca="false">IF(AF1139&lt;&gt;"",AF1139,IF(AA1139&lt;&gt;"",AA1139,IF(V1139&lt;&gt;"",V1139,"")))</f>
        <v/>
      </c>
      <c r="AK1139" s="83" t="str">
        <f aca="false">IF(E1139="","",IF(P1139="","À SOUDER",IF(S1139="","VT EN ATTENTE",IF(S1139="R","VT REJETÉ – À REPRENDRE",IF(AJ1139="","À RADIOGRAPHIER",IF(AJ1139="A","ACCEPTÉ",IF(AJ1139="NX","NX – RT À REFAIRE",IF(IF(AI1139=1,X1139,IF(AI1139=2,AC1139,""))="A","RÉPARÉ – À RADIOGRAPHIER",IF(IF(AI1139=1,X1139,IF(AI1139=2,AC1139,""))="R","VT REJETÉ – À REPRENDRE",IF(AJ1139="CO","COUPE – À RESOUDER","À RÉPARER"))))))))))</f>
        <v/>
      </c>
      <c r="AL1139" s="82" t="str">
        <f aca="false">IF(AND(ISNUMBER(P1139),OR(AK1139="À RADIOGRAPHIER",AK1139="RÉPARÉ – À RADIOGRAPHIER",AK1139="NX – RT À REFAIRE",AK1139="À RÉPARER",AK1139="COUPE – À RESOUDER",AK1139="VT REJETÉ – À REPRENDRE")),MAX(0,'PROGRAMME RT'!$C$4-P1139),"")</f>
        <v/>
      </c>
      <c r="AM1139" s="78" t="n">
        <f aca="false">IF(AND(OR(AK1139="À RADIOGRAPHIER",AK1139="RÉPARÉ – À RADIOGRAPHIER",AK1139="NX – RT À REFAIRE"),OR('PROGRAMME RT'!$D$5="TOUTES",B1139='PROGRAMME RT'!$D$5)),1,0)</f>
        <v>0</v>
      </c>
      <c r="AN1139" s="78" t="str">
        <f aca="false">IF(AM1139=1,SUM(AM$7:AM1139),"")</f>
        <v/>
      </c>
      <c r="AO1139" s="78" t="n">
        <f aca="false">IF(AND(OR(AK1139="À RÉPARER",AK1139="COUPE – À RESOUDER",AK1139="VT REJETÉ – À REPRENDRE"),OR(RÉPARATIONS!$D$5="TOUTES",B1139=RÉPARATIONS!$D$5)),1,0)</f>
        <v>0</v>
      </c>
      <c r="AP1139" s="78" t="str">
        <f aca="false">IF(AO1139=1,SUM(AO$7:AO1139),"")</f>
        <v/>
      </c>
    </row>
    <row r="1140" customFormat="false" ht="15" hidden="false" customHeight="false" outlineLevel="0" collapsed="false">
      <c r="A1140" s="78" t="str">
        <f aca="false">IF(E1140="","",ROW()-6)</f>
        <v/>
      </c>
      <c r="B1140" s="79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0"/>
      <c r="P1140" s="81"/>
      <c r="Q1140" s="81"/>
      <c r="R1140" s="80"/>
      <c r="S1140" s="80"/>
      <c r="T1140" s="81"/>
      <c r="U1140" s="80"/>
      <c r="V1140" s="80"/>
      <c r="W1140" s="80"/>
      <c r="X1140" s="80"/>
      <c r="Y1140" s="81"/>
      <c r="Z1140" s="80"/>
      <c r="AA1140" s="80"/>
      <c r="AB1140" s="80"/>
      <c r="AC1140" s="80"/>
      <c r="AD1140" s="81"/>
      <c r="AE1140" s="80"/>
      <c r="AF1140" s="80"/>
      <c r="AG1140" s="81"/>
      <c r="AH1140" s="79"/>
      <c r="AI1140" s="78" t="str">
        <f aca="false">IF(E1140="","",(V1140&lt;&gt;"")+(AA1140&lt;&gt;"")+(AF1140&lt;&gt;""))</f>
        <v/>
      </c>
      <c r="AJ1140" s="82" t="str">
        <f aca="false">IF(AF1140&lt;&gt;"",AF1140,IF(AA1140&lt;&gt;"",AA1140,IF(V1140&lt;&gt;"",V1140,"")))</f>
        <v/>
      </c>
      <c r="AK1140" s="83" t="str">
        <f aca="false">IF(E1140="","",IF(P1140="","À SOUDER",IF(S1140="","VT EN ATTENTE",IF(S1140="R","VT REJETÉ – À REPRENDRE",IF(AJ1140="","À RADIOGRAPHIER",IF(AJ1140="A","ACCEPTÉ",IF(AJ1140="NX","NX – RT À REFAIRE",IF(IF(AI1140=1,X1140,IF(AI1140=2,AC1140,""))="A","RÉPARÉ – À RADIOGRAPHIER",IF(IF(AI1140=1,X1140,IF(AI1140=2,AC1140,""))="R","VT REJETÉ – À REPRENDRE",IF(AJ1140="CO","COUPE – À RESOUDER","À RÉPARER"))))))))))</f>
        <v/>
      </c>
      <c r="AL1140" s="82" t="str">
        <f aca="false">IF(AND(ISNUMBER(P1140),OR(AK1140="À RADIOGRAPHIER",AK1140="RÉPARÉ – À RADIOGRAPHIER",AK1140="NX – RT À REFAIRE",AK1140="À RÉPARER",AK1140="COUPE – À RESOUDER",AK1140="VT REJETÉ – À REPRENDRE")),MAX(0,'PROGRAMME RT'!$C$4-P1140),"")</f>
        <v/>
      </c>
      <c r="AM1140" s="78" t="n">
        <f aca="false">IF(AND(OR(AK1140="À RADIOGRAPHIER",AK1140="RÉPARÉ – À RADIOGRAPHIER",AK1140="NX – RT À REFAIRE"),OR('PROGRAMME RT'!$D$5="TOUTES",B1140='PROGRAMME RT'!$D$5)),1,0)</f>
        <v>0</v>
      </c>
      <c r="AN1140" s="78" t="str">
        <f aca="false">IF(AM1140=1,SUM(AM$7:AM1140),"")</f>
        <v/>
      </c>
      <c r="AO1140" s="78" t="n">
        <f aca="false">IF(AND(OR(AK1140="À RÉPARER",AK1140="COUPE – À RESOUDER",AK1140="VT REJETÉ – À REPRENDRE"),OR(RÉPARATIONS!$D$5="TOUTES",B1140=RÉPARATIONS!$D$5)),1,0)</f>
        <v>0</v>
      </c>
      <c r="AP1140" s="78" t="str">
        <f aca="false">IF(AO1140=1,SUM(AO$7:AO1140),"")</f>
        <v/>
      </c>
    </row>
    <row r="1141" customFormat="false" ht="15" hidden="false" customHeight="false" outlineLevel="0" collapsed="false">
      <c r="A1141" s="78" t="str">
        <f aca="false">IF(E1141="","",ROW()-6)</f>
        <v/>
      </c>
      <c r="B1141" s="79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0"/>
      <c r="P1141" s="81"/>
      <c r="Q1141" s="81"/>
      <c r="R1141" s="80"/>
      <c r="S1141" s="80"/>
      <c r="T1141" s="81"/>
      <c r="U1141" s="80"/>
      <c r="V1141" s="80"/>
      <c r="W1141" s="80"/>
      <c r="X1141" s="80"/>
      <c r="Y1141" s="81"/>
      <c r="Z1141" s="80"/>
      <c r="AA1141" s="80"/>
      <c r="AB1141" s="80"/>
      <c r="AC1141" s="80"/>
      <c r="AD1141" s="81"/>
      <c r="AE1141" s="80"/>
      <c r="AF1141" s="80"/>
      <c r="AG1141" s="81"/>
      <c r="AH1141" s="79"/>
      <c r="AI1141" s="78" t="str">
        <f aca="false">IF(E1141="","",(V1141&lt;&gt;"")+(AA1141&lt;&gt;"")+(AF1141&lt;&gt;""))</f>
        <v/>
      </c>
      <c r="AJ1141" s="82" t="str">
        <f aca="false">IF(AF1141&lt;&gt;"",AF1141,IF(AA1141&lt;&gt;"",AA1141,IF(V1141&lt;&gt;"",V1141,"")))</f>
        <v/>
      </c>
      <c r="AK1141" s="83" t="str">
        <f aca="false">IF(E1141="","",IF(P1141="","À SOUDER",IF(S1141="","VT EN ATTENTE",IF(S1141="R","VT REJETÉ – À REPRENDRE",IF(AJ1141="","À RADIOGRAPHIER",IF(AJ1141="A","ACCEPTÉ",IF(AJ1141="NX","NX – RT À REFAIRE",IF(IF(AI1141=1,X1141,IF(AI1141=2,AC1141,""))="A","RÉPARÉ – À RADIOGRAPHIER",IF(IF(AI1141=1,X1141,IF(AI1141=2,AC1141,""))="R","VT REJETÉ – À REPRENDRE",IF(AJ1141="CO","COUPE – À RESOUDER","À RÉPARER"))))))))))</f>
        <v/>
      </c>
      <c r="AL1141" s="82" t="str">
        <f aca="false">IF(AND(ISNUMBER(P1141),OR(AK1141="À RADIOGRAPHIER",AK1141="RÉPARÉ – À RADIOGRAPHIER",AK1141="NX – RT À REFAIRE",AK1141="À RÉPARER",AK1141="COUPE – À RESOUDER",AK1141="VT REJETÉ – À REPRENDRE")),MAX(0,'PROGRAMME RT'!$C$4-P1141),"")</f>
        <v/>
      </c>
      <c r="AM1141" s="78" t="n">
        <f aca="false">IF(AND(OR(AK1141="À RADIOGRAPHIER",AK1141="RÉPARÉ – À RADIOGRAPHIER",AK1141="NX – RT À REFAIRE"),OR('PROGRAMME RT'!$D$5="TOUTES",B1141='PROGRAMME RT'!$D$5)),1,0)</f>
        <v>0</v>
      </c>
      <c r="AN1141" s="78" t="str">
        <f aca="false">IF(AM1141=1,SUM(AM$7:AM1141),"")</f>
        <v/>
      </c>
      <c r="AO1141" s="78" t="n">
        <f aca="false">IF(AND(OR(AK1141="À RÉPARER",AK1141="COUPE – À RESOUDER",AK1141="VT REJETÉ – À REPRENDRE"),OR(RÉPARATIONS!$D$5="TOUTES",B1141=RÉPARATIONS!$D$5)),1,0)</f>
        <v>0</v>
      </c>
      <c r="AP1141" s="78" t="str">
        <f aca="false">IF(AO1141=1,SUM(AO$7:AO1141),"")</f>
        <v/>
      </c>
    </row>
    <row r="1142" customFormat="false" ht="15" hidden="false" customHeight="false" outlineLevel="0" collapsed="false">
      <c r="A1142" s="78" t="str">
        <f aca="false">IF(E1142="","",ROW()-6)</f>
        <v/>
      </c>
      <c r="B1142" s="79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0"/>
      <c r="P1142" s="81"/>
      <c r="Q1142" s="81"/>
      <c r="R1142" s="80"/>
      <c r="S1142" s="80"/>
      <c r="T1142" s="81"/>
      <c r="U1142" s="80"/>
      <c r="V1142" s="80"/>
      <c r="W1142" s="80"/>
      <c r="X1142" s="80"/>
      <c r="Y1142" s="81"/>
      <c r="Z1142" s="80"/>
      <c r="AA1142" s="80"/>
      <c r="AB1142" s="80"/>
      <c r="AC1142" s="80"/>
      <c r="AD1142" s="81"/>
      <c r="AE1142" s="80"/>
      <c r="AF1142" s="80"/>
      <c r="AG1142" s="81"/>
      <c r="AH1142" s="79"/>
      <c r="AI1142" s="78" t="str">
        <f aca="false">IF(E1142="","",(V1142&lt;&gt;"")+(AA1142&lt;&gt;"")+(AF1142&lt;&gt;""))</f>
        <v/>
      </c>
      <c r="AJ1142" s="82" t="str">
        <f aca="false">IF(AF1142&lt;&gt;"",AF1142,IF(AA1142&lt;&gt;"",AA1142,IF(V1142&lt;&gt;"",V1142,"")))</f>
        <v/>
      </c>
      <c r="AK1142" s="83" t="str">
        <f aca="false">IF(E1142="","",IF(P1142="","À SOUDER",IF(S1142="","VT EN ATTENTE",IF(S1142="R","VT REJETÉ – À REPRENDRE",IF(AJ1142="","À RADIOGRAPHIER",IF(AJ1142="A","ACCEPTÉ",IF(AJ1142="NX","NX – RT À REFAIRE",IF(IF(AI1142=1,X1142,IF(AI1142=2,AC1142,""))="A","RÉPARÉ – À RADIOGRAPHIER",IF(IF(AI1142=1,X1142,IF(AI1142=2,AC1142,""))="R","VT REJETÉ – À REPRENDRE",IF(AJ1142="CO","COUPE – À RESOUDER","À RÉPARER"))))))))))</f>
        <v/>
      </c>
      <c r="AL1142" s="82" t="str">
        <f aca="false">IF(AND(ISNUMBER(P1142),OR(AK1142="À RADIOGRAPHIER",AK1142="RÉPARÉ – À RADIOGRAPHIER",AK1142="NX – RT À REFAIRE",AK1142="À RÉPARER",AK1142="COUPE – À RESOUDER",AK1142="VT REJETÉ – À REPRENDRE")),MAX(0,'PROGRAMME RT'!$C$4-P1142),"")</f>
        <v/>
      </c>
      <c r="AM1142" s="78" t="n">
        <f aca="false">IF(AND(OR(AK1142="À RADIOGRAPHIER",AK1142="RÉPARÉ – À RADIOGRAPHIER",AK1142="NX – RT À REFAIRE"),OR('PROGRAMME RT'!$D$5="TOUTES",B1142='PROGRAMME RT'!$D$5)),1,0)</f>
        <v>0</v>
      </c>
      <c r="AN1142" s="78" t="str">
        <f aca="false">IF(AM1142=1,SUM(AM$7:AM1142),"")</f>
        <v/>
      </c>
      <c r="AO1142" s="78" t="n">
        <f aca="false">IF(AND(OR(AK1142="À RÉPARER",AK1142="COUPE – À RESOUDER",AK1142="VT REJETÉ – À REPRENDRE"),OR(RÉPARATIONS!$D$5="TOUTES",B1142=RÉPARATIONS!$D$5)),1,0)</f>
        <v>0</v>
      </c>
      <c r="AP1142" s="78" t="str">
        <f aca="false">IF(AO1142=1,SUM(AO$7:AO1142),"")</f>
        <v/>
      </c>
    </row>
    <row r="1143" customFormat="false" ht="15" hidden="false" customHeight="false" outlineLevel="0" collapsed="false">
      <c r="A1143" s="78" t="str">
        <f aca="false">IF(E1143="","",ROW()-6)</f>
        <v/>
      </c>
      <c r="B1143" s="79"/>
      <c r="C1143" s="80"/>
      <c r="D1143" s="80"/>
      <c r="E1143" s="80"/>
      <c r="F1143" s="80"/>
      <c r="G1143" s="80"/>
      <c r="H1143" s="80"/>
      <c r="I1143" s="80"/>
      <c r="J1143" s="80"/>
      <c r="K1143" s="80"/>
      <c r="L1143" s="80"/>
      <c r="M1143" s="80"/>
      <c r="N1143" s="80"/>
      <c r="O1143" s="80"/>
      <c r="P1143" s="81"/>
      <c r="Q1143" s="81"/>
      <c r="R1143" s="80"/>
      <c r="S1143" s="80"/>
      <c r="T1143" s="81"/>
      <c r="U1143" s="80"/>
      <c r="V1143" s="80"/>
      <c r="W1143" s="80"/>
      <c r="X1143" s="80"/>
      <c r="Y1143" s="81"/>
      <c r="Z1143" s="80"/>
      <c r="AA1143" s="80"/>
      <c r="AB1143" s="80"/>
      <c r="AC1143" s="80"/>
      <c r="AD1143" s="81"/>
      <c r="AE1143" s="80"/>
      <c r="AF1143" s="80"/>
      <c r="AG1143" s="81"/>
      <c r="AH1143" s="79"/>
      <c r="AI1143" s="78" t="str">
        <f aca="false">IF(E1143="","",(V1143&lt;&gt;"")+(AA1143&lt;&gt;"")+(AF1143&lt;&gt;""))</f>
        <v/>
      </c>
      <c r="AJ1143" s="82" t="str">
        <f aca="false">IF(AF1143&lt;&gt;"",AF1143,IF(AA1143&lt;&gt;"",AA1143,IF(V1143&lt;&gt;"",V1143,"")))</f>
        <v/>
      </c>
      <c r="AK1143" s="83" t="str">
        <f aca="false">IF(E1143="","",IF(P1143="","À SOUDER",IF(S1143="","VT EN ATTENTE",IF(S1143="R","VT REJETÉ – À REPRENDRE",IF(AJ1143="","À RADIOGRAPHIER",IF(AJ1143="A","ACCEPTÉ",IF(AJ1143="NX","NX – RT À REFAIRE",IF(IF(AI1143=1,X1143,IF(AI1143=2,AC1143,""))="A","RÉPARÉ – À RADIOGRAPHIER",IF(IF(AI1143=1,X1143,IF(AI1143=2,AC1143,""))="R","VT REJETÉ – À REPRENDRE",IF(AJ1143="CO","COUPE – À RESOUDER","À RÉPARER"))))))))))</f>
        <v/>
      </c>
      <c r="AL1143" s="82" t="str">
        <f aca="false">IF(AND(ISNUMBER(P1143),OR(AK1143="À RADIOGRAPHIER",AK1143="RÉPARÉ – À RADIOGRAPHIER",AK1143="NX – RT À REFAIRE",AK1143="À RÉPARER",AK1143="COUPE – À RESOUDER",AK1143="VT REJETÉ – À REPRENDRE")),MAX(0,'PROGRAMME RT'!$C$4-P1143),"")</f>
        <v/>
      </c>
      <c r="AM1143" s="78" t="n">
        <f aca="false">IF(AND(OR(AK1143="À RADIOGRAPHIER",AK1143="RÉPARÉ – À RADIOGRAPHIER",AK1143="NX – RT À REFAIRE"),OR('PROGRAMME RT'!$D$5="TOUTES",B1143='PROGRAMME RT'!$D$5)),1,0)</f>
        <v>0</v>
      </c>
      <c r="AN1143" s="78" t="str">
        <f aca="false">IF(AM1143=1,SUM(AM$7:AM1143),"")</f>
        <v/>
      </c>
      <c r="AO1143" s="78" t="n">
        <f aca="false">IF(AND(OR(AK1143="À RÉPARER",AK1143="COUPE – À RESOUDER",AK1143="VT REJETÉ – À REPRENDRE"),OR(RÉPARATIONS!$D$5="TOUTES",B1143=RÉPARATIONS!$D$5)),1,0)</f>
        <v>0</v>
      </c>
      <c r="AP1143" s="78" t="str">
        <f aca="false">IF(AO1143=1,SUM(AO$7:AO1143),"")</f>
        <v/>
      </c>
    </row>
    <row r="1144" customFormat="false" ht="15" hidden="false" customHeight="false" outlineLevel="0" collapsed="false">
      <c r="A1144" s="78" t="str">
        <f aca="false">IF(E1144="","",ROW()-6)</f>
        <v/>
      </c>
      <c r="B1144" s="79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0"/>
      <c r="P1144" s="81"/>
      <c r="Q1144" s="81"/>
      <c r="R1144" s="80"/>
      <c r="S1144" s="80"/>
      <c r="T1144" s="81"/>
      <c r="U1144" s="80"/>
      <c r="V1144" s="80"/>
      <c r="W1144" s="80"/>
      <c r="X1144" s="80"/>
      <c r="Y1144" s="81"/>
      <c r="Z1144" s="80"/>
      <c r="AA1144" s="80"/>
      <c r="AB1144" s="80"/>
      <c r="AC1144" s="80"/>
      <c r="AD1144" s="81"/>
      <c r="AE1144" s="80"/>
      <c r="AF1144" s="80"/>
      <c r="AG1144" s="81"/>
      <c r="AH1144" s="79"/>
      <c r="AI1144" s="78" t="str">
        <f aca="false">IF(E1144="","",(V1144&lt;&gt;"")+(AA1144&lt;&gt;"")+(AF1144&lt;&gt;""))</f>
        <v/>
      </c>
      <c r="AJ1144" s="82" t="str">
        <f aca="false">IF(AF1144&lt;&gt;"",AF1144,IF(AA1144&lt;&gt;"",AA1144,IF(V1144&lt;&gt;"",V1144,"")))</f>
        <v/>
      </c>
      <c r="AK1144" s="83" t="str">
        <f aca="false">IF(E1144="","",IF(P1144="","À SOUDER",IF(S1144="","VT EN ATTENTE",IF(S1144="R","VT REJETÉ – À REPRENDRE",IF(AJ1144="","À RADIOGRAPHIER",IF(AJ1144="A","ACCEPTÉ",IF(AJ1144="NX","NX – RT À REFAIRE",IF(IF(AI1144=1,X1144,IF(AI1144=2,AC1144,""))="A","RÉPARÉ – À RADIOGRAPHIER",IF(IF(AI1144=1,X1144,IF(AI1144=2,AC1144,""))="R","VT REJETÉ – À REPRENDRE",IF(AJ1144="CO","COUPE – À RESOUDER","À RÉPARER"))))))))))</f>
        <v/>
      </c>
      <c r="AL1144" s="82" t="str">
        <f aca="false">IF(AND(ISNUMBER(P1144),OR(AK1144="À RADIOGRAPHIER",AK1144="RÉPARÉ – À RADIOGRAPHIER",AK1144="NX – RT À REFAIRE",AK1144="À RÉPARER",AK1144="COUPE – À RESOUDER",AK1144="VT REJETÉ – À REPRENDRE")),MAX(0,'PROGRAMME RT'!$C$4-P1144),"")</f>
        <v/>
      </c>
      <c r="AM1144" s="78" t="n">
        <f aca="false">IF(AND(OR(AK1144="À RADIOGRAPHIER",AK1144="RÉPARÉ – À RADIOGRAPHIER",AK1144="NX – RT À REFAIRE"),OR('PROGRAMME RT'!$D$5="TOUTES",B1144='PROGRAMME RT'!$D$5)),1,0)</f>
        <v>0</v>
      </c>
      <c r="AN1144" s="78" t="str">
        <f aca="false">IF(AM1144=1,SUM(AM$7:AM1144),"")</f>
        <v/>
      </c>
      <c r="AO1144" s="78" t="n">
        <f aca="false">IF(AND(OR(AK1144="À RÉPARER",AK1144="COUPE – À RESOUDER",AK1144="VT REJETÉ – À REPRENDRE"),OR(RÉPARATIONS!$D$5="TOUTES",B1144=RÉPARATIONS!$D$5)),1,0)</f>
        <v>0</v>
      </c>
      <c r="AP1144" s="78" t="str">
        <f aca="false">IF(AO1144=1,SUM(AO$7:AO1144),"")</f>
        <v/>
      </c>
    </row>
    <row r="1145" customFormat="false" ht="15" hidden="false" customHeight="false" outlineLevel="0" collapsed="false">
      <c r="A1145" s="78" t="str">
        <f aca="false">IF(E1145="","",ROW()-6)</f>
        <v/>
      </c>
      <c r="B1145" s="79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0"/>
      <c r="P1145" s="81"/>
      <c r="Q1145" s="81"/>
      <c r="R1145" s="80"/>
      <c r="S1145" s="80"/>
      <c r="T1145" s="81"/>
      <c r="U1145" s="80"/>
      <c r="V1145" s="80"/>
      <c r="W1145" s="80"/>
      <c r="X1145" s="80"/>
      <c r="Y1145" s="81"/>
      <c r="Z1145" s="80"/>
      <c r="AA1145" s="80"/>
      <c r="AB1145" s="80"/>
      <c r="AC1145" s="80"/>
      <c r="AD1145" s="81"/>
      <c r="AE1145" s="80"/>
      <c r="AF1145" s="80"/>
      <c r="AG1145" s="81"/>
      <c r="AH1145" s="79"/>
      <c r="AI1145" s="78" t="str">
        <f aca="false">IF(E1145="","",(V1145&lt;&gt;"")+(AA1145&lt;&gt;"")+(AF1145&lt;&gt;""))</f>
        <v/>
      </c>
      <c r="AJ1145" s="82" t="str">
        <f aca="false">IF(AF1145&lt;&gt;"",AF1145,IF(AA1145&lt;&gt;"",AA1145,IF(V1145&lt;&gt;"",V1145,"")))</f>
        <v/>
      </c>
      <c r="AK1145" s="83" t="str">
        <f aca="false">IF(E1145="","",IF(P1145="","À SOUDER",IF(S1145="","VT EN ATTENTE",IF(S1145="R","VT REJETÉ – À REPRENDRE",IF(AJ1145="","À RADIOGRAPHIER",IF(AJ1145="A","ACCEPTÉ",IF(AJ1145="NX","NX – RT À REFAIRE",IF(IF(AI1145=1,X1145,IF(AI1145=2,AC1145,""))="A","RÉPARÉ – À RADIOGRAPHIER",IF(IF(AI1145=1,X1145,IF(AI1145=2,AC1145,""))="R","VT REJETÉ – À REPRENDRE",IF(AJ1145="CO","COUPE – À RESOUDER","À RÉPARER"))))))))))</f>
        <v/>
      </c>
      <c r="AL1145" s="82" t="str">
        <f aca="false">IF(AND(ISNUMBER(P1145),OR(AK1145="À RADIOGRAPHIER",AK1145="RÉPARÉ – À RADIOGRAPHIER",AK1145="NX – RT À REFAIRE",AK1145="À RÉPARER",AK1145="COUPE – À RESOUDER",AK1145="VT REJETÉ – À REPRENDRE")),MAX(0,'PROGRAMME RT'!$C$4-P1145),"")</f>
        <v/>
      </c>
      <c r="AM1145" s="78" t="n">
        <f aca="false">IF(AND(OR(AK1145="À RADIOGRAPHIER",AK1145="RÉPARÉ – À RADIOGRAPHIER",AK1145="NX – RT À REFAIRE"),OR('PROGRAMME RT'!$D$5="TOUTES",B1145='PROGRAMME RT'!$D$5)),1,0)</f>
        <v>0</v>
      </c>
      <c r="AN1145" s="78" t="str">
        <f aca="false">IF(AM1145=1,SUM(AM$7:AM1145),"")</f>
        <v/>
      </c>
      <c r="AO1145" s="78" t="n">
        <f aca="false">IF(AND(OR(AK1145="À RÉPARER",AK1145="COUPE – À RESOUDER",AK1145="VT REJETÉ – À REPRENDRE"),OR(RÉPARATIONS!$D$5="TOUTES",B1145=RÉPARATIONS!$D$5)),1,0)</f>
        <v>0</v>
      </c>
      <c r="AP1145" s="78" t="str">
        <f aca="false">IF(AO1145=1,SUM(AO$7:AO1145),"")</f>
        <v/>
      </c>
    </row>
    <row r="1146" customFormat="false" ht="15" hidden="false" customHeight="false" outlineLevel="0" collapsed="false">
      <c r="A1146" s="78" t="str">
        <f aca="false">IF(E1146="","",ROW()-6)</f>
        <v/>
      </c>
      <c r="B1146" s="79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0"/>
      <c r="P1146" s="81"/>
      <c r="Q1146" s="81"/>
      <c r="R1146" s="80"/>
      <c r="S1146" s="80"/>
      <c r="T1146" s="81"/>
      <c r="U1146" s="80"/>
      <c r="V1146" s="80"/>
      <c r="W1146" s="80"/>
      <c r="X1146" s="80"/>
      <c r="Y1146" s="81"/>
      <c r="Z1146" s="80"/>
      <c r="AA1146" s="80"/>
      <c r="AB1146" s="80"/>
      <c r="AC1146" s="80"/>
      <c r="AD1146" s="81"/>
      <c r="AE1146" s="80"/>
      <c r="AF1146" s="80"/>
      <c r="AG1146" s="81"/>
      <c r="AH1146" s="79"/>
      <c r="AI1146" s="78" t="str">
        <f aca="false">IF(E1146="","",(V1146&lt;&gt;"")+(AA1146&lt;&gt;"")+(AF1146&lt;&gt;""))</f>
        <v/>
      </c>
      <c r="AJ1146" s="82" t="str">
        <f aca="false">IF(AF1146&lt;&gt;"",AF1146,IF(AA1146&lt;&gt;"",AA1146,IF(V1146&lt;&gt;"",V1146,"")))</f>
        <v/>
      </c>
      <c r="AK1146" s="83" t="str">
        <f aca="false">IF(E1146="","",IF(P1146="","À SOUDER",IF(S1146="","VT EN ATTENTE",IF(S1146="R","VT REJETÉ – À REPRENDRE",IF(AJ1146="","À RADIOGRAPHIER",IF(AJ1146="A","ACCEPTÉ",IF(AJ1146="NX","NX – RT À REFAIRE",IF(IF(AI1146=1,X1146,IF(AI1146=2,AC1146,""))="A","RÉPARÉ – À RADIOGRAPHIER",IF(IF(AI1146=1,X1146,IF(AI1146=2,AC1146,""))="R","VT REJETÉ – À REPRENDRE",IF(AJ1146="CO","COUPE – À RESOUDER","À RÉPARER"))))))))))</f>
        <v/>
      </c>
      <c r="AL1146" s="82" t="str">
        <f aca="false">IF(AND(ISNUMBER(P1146),OR(AK1146="À RADIOGRAPHIER",AK1146="RÉPARÉ – À RADIOGRAPHIER",AK1146="NX – RT À REFAIRE",AK1146="À RÉPARER",AK1146="COUPE – À RESOUDER",AK1146="VT REJETÉ – À REPRENDRE")),MAX(0,'PROGRAMME RT'!$C$4-P1146),"")</f>
        <v/>
      </c>
      <c r="AM1146" s="78" t="n">
        <f aca="false">IF(AND(OR(AK1146="À RADIOGRAPHIER",AK1146="RÉPARÉ – À RADIOGRAPHIER",AK1146="NX – RT À REFAIRE"),OR('PROGRAMME RT'!$D$5="TOUTES",B1146='PROGRAMME RT'!$D$5)),1,0)</f>
        <v>0</v>
      </c>
      <c r="AN1146" s="78" t="str">
        <f aca="false">IF(AM1146=1,SUM(AM$7:AM1146),"")</f>
        <v/>
      </c>
      <c r="AO1146" s="78" t="n">
        <f aca="false">IF(AND(OR(AK1146="À RÉPARER",AK1146="COUPE – À RESOUDER",AK1146="VT REJETÉ – À REPRENDRE"),OR(RÉPARATIONS!$D$5="TOUTES",B1146=RÉPARATIONS!$D$5)),1,0)</f>
        <v>0</v>
      </c>
      <c r="AP1146" s="78" t="str">
        <f aca="false">IF(AO1146=1,SUM(AO$7:AO1146),"")</f>
        <v/>
      </c>
    </row>
    <row r="1147" customFormat="false" ht="15" hidden="false" customHeight="false" outlineLevel="0" collapsed="false">
      <c r="A1147" s="78" t="str">
        <f aca="false">IF(E1147="","",ROW()-6)</f>
        <v/>
      </c>
      <c r="B1147" s="79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0"/>
      <c r="P1147" s="81"/>
      <c r="Q1147" s="81"/>
      <c r="R1147" s="80"/>
      <c r="S1147" s="80"/>
      <c r="T1147" s="81"/>
      <c r="U1147" s="80"/>
      <c r="V1147" s="80"/>
      <c r="W1147" s="80"/>
      <c r="X1147" s="80"/>
      <c r="Y1147" s="81"/>
      <c r="Z1147" s="80"/>
      <c r="AA1147" s="80"/>
      <c r="AB1147" s="80"/>
      <c r="AC1147" s="80"/>
      <c r="AD1147" s="81"/>
      <c r="AE1147" s="80"/>
      <c r="AF1147" s="80"/>
      <c r="AG1147" s="81"/>
      <c r="AH1147" s="79"/>
      <c r="AI1147" s="78" t="str">
        <f aca="false">IF(E1147="","",(V1147&lt;&gt;"")+(AA1147&lt;&gt;"")+(AF1147&lt;&gt;""))</f>
        <v/>
      </c>
      <c r="AJ1147" s="82" t="str">
        <f aca="false">IF(AF1147&lt;&gt;"",AF1147,IF(AA1147&lt;&gt;"",AA1147,IF(V1147&lt;&gt;"",V1147,"")))</f>
        <v/>
      </c>
      <c r="AK1147" s="83" t="str">
        <f aca="false">IF(E1147="","",IF(P1147="","À SOUDER",IF(S1147="","VT EN ATTENTE",IF(S1147="R","VT REJETÉ – À REPRENDRE",IF(AJ1147="","À RADIOGRAPHIER",IF(AJ1147="A","ACCEPTÉ",IF(AJ1147="NX","NX – RT À REFAIRE",IF(IF(AI1147=1,X1147,IF(AI1147=2,AC1147,""))="A","RÉPARÉ – À RADIOGRAPHIER",IF(IF(AI1147=1,X1147,IF(AI1147=2,AC1147,""))="R","VT REJETÉ – À REPRENDRE",IF(AJ1147="CO","COUPE – À RESOUDER","À RÉPARER"))))))))))</f>
        <v/>
      </c>
      <c r="AL1147" s="82" t="str">
        <f aca="false">IF(AND(ISNUMBER(P1147),OR(AK1147="À RADIOGRAPHIER",AK1147="RÉPARÉ – À RADIOGRAPHIER",AK1147="NX – RT À REFAIRE",AK1147="À RÉPARER",AK1147="COUPE – À RESOUDER",AK1147="VT REJETÉ – À REPRENDRE")),MAX(0,'PROGRAMME RT'!$C$4-P1147),"")</f>
        <v/>
      </c>
      <c r="AM1147" s="78" t="n">
        <f aca="false">IF(AND(OR(AK1147="À RADIOGRAPHIER",AK1147="RÉPARÉ – À RADIOGRAPHIER",AK1147="NX – RT À REFAIRE"),OR('PROGRAMME RT'!$D$5="TOUTES",B1147='PROGRAMME RT'!$D$5)),1,0)</f>
        <v>0</v>
      </c>
      <c r="AN1147" s="78" t="str">
        <f aca="false">IF(AM1147=1,SUM(AM$7:AM1147),"")</f>
        <v/>
      </c>
      <c r="AO1147" s="78" t="n">
        <f aca="false">IF(AND(OR(AK1147="À RÉPARER",AK1147="COUPE – À RESOUDER",AK1147="VT REJETÉ – À REPRENDRE"),OR(RÉPARATIONS!$D$5="TOUTES",B1147=RÉPARATIONS!$D$5)),1,0)</f>
        <v>0</v>
      </c>
      <c r="AP1147" s="78" t="str">
        <f aca="false">IF(AO1147=1,SUM(AO$7:AO1147),"")</f>
        <v/>
      </c>
    </row>
    <row r="1148" customFormat="false" ht="15" hidden="false" customHeight="false" outlineLevel="0" collapsed="false">
      <c r="A1148" s="78" t="str">
        <f aca="false">IF(E1148="","",ROW()-6)</f>
        <v/>
      </c>
      <c r="B1148" s="79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0"/>
      <c r="P1148" s="81"/>
      <c r="Q1148" s="81"/>
      <c r="R1148" s="80"/>
      <c r="S1148" s="80"/>
      <c r="T1148" s="81"/>
      <c r="U1148" s="80"/>
      <c r="V1148" s="80"/>
      <c r="W1148" s="80"/>
      <c r="X1148" s="80"/>
      <c r="Y1148" s="81"/>
      <c r="Z1148" s="80"/>
      <c r="AA1148" s="80"/>
      <c r="AB1148" s="80"/>
      <c r="AC1148" s="80"/>
      <c r="AD1148" s="81"/>
      <c r="AE1148" s="80"/>
      <c r="AF1148" s="80"/>
      <c r="AG1148" s="81"/>
      <c r="AH1148" s="79"/>
      <c r="AI1148" s="78" t="str">
        <f aca="false">IF(E1148="","",(V1148&lt;&gt;"")+(AA1148&lt;&gt;"")+(AF1148&lt;&gt;""))</f>
        <v/>
      </c>
      <c r="AJ1148" s="82" t="str">
        <f aca="false">IF(AF1148&lt;&gt;"",AF1148,IF(AA1148&lt;&gt;"",AA1148,IF(V1148&lt;&gt;"",V1148,"")))</f>
        <v/>
      </c>
      <c r="AK1148" s="83" t="str">
        <f aca="false">IF(E1148="","",IF(P1148="","À SOUDER",IF(S1148="","VT EN ATTENTE",IF(S1148="R","VT REJETÉ – À REPRENDRE",IF(AJ1148="","À RADIOGRAPHIER",IF(AJ1148="A","ACCEPTÉ",IF(AJ1148="NX","NX – RT À REFAIRE",IF(IF(AI1148=1,X1148,IF(AI1148=2,AC1148,""))="A","RÉPARÉ – À RADIOGRAPHIER",IF(IF(AI1148=1,X1148,IF(AI1148=2,AC1148,""))="R","VT REJETÉ – À REPRENDRE",IF(AJ1148="CO","COUPE – À RESOUDER","À RÉPARER"))))))))))</f>
        <v/>
      </c>
      <c r="AL1148" s="82" t="str">
        <f aca="false">IF(AND(ISNUMBER(P1148),OR(AK1148="À RADIOGRAPHIER",AK1148="RÉPARÉ – À RADIOGRAPHIER",AK1148="NX – RT À REFAIRE",AK1148="À RÉPARER",AK1148="COUPE – À RESOUDER",AK1148="VT REJETÉ – À REPRENDRE")),MAX(0,'PROGRAMME RT'!$C$4-P1148),"")</f>
        <v/>
      </c>
      <c r="AM1148" s="78" t="n">
        <f aca="false">IF(AND(OR(AK1148="À RADIOGRAPHIER",AK1148="RÉPARÉ – À RADIOGRAPHIER",AK1148="NX – RT À REFAIRE"),OR('PROGRAMME RT'!$D$5="TOUTES",B1148='PROGRAMME RT'!$D$5)),1,0)</f>
        <v>0</v>
      </c>
      <c r="AN1148" s="78" t="str">
        <f aca="false">IF(AM1148=1,SUM(AM$7:AM1148),"")</f>
        <v/>
      </c>
      <c r="AO1148" s="78" t="n">
        <f aca="false">IF(AND(OR(AK1148="À RÉPARER",AK1148="COUPE – À RESOUDER",AK1148="VT REJETÉ – À REPRENDRE"),OR(RÉPARATIONS!$D$5="TOUTES",B1148=RÉPARATIONS!$D$5)),1,0)</f>
        <v>0</v>
      </c>
      <c r="AP1148" s="78" t="str">
        <f aca="false">IF(AO1148=1,SUM(AO$7:AO1148),"")</f>
        <v/>
      </c>
    </row>
    <row r="1149" customFormat="false" ht="15" hidden="false" customHeight="false" outlineLevel="0" collapsed="false">
      <c r="A1149" s="78" t="str">
        <f aca="false">IF(E1149="","",ROW()-6)</f>
        <v/>
      </c>
      <c r="B1149" s="79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0"/>
      <c r="P1149" s="81"/>
      <c r="Q1149" s="81"/>
      <c r="R1149" s="80"/>
      <c r="S1149" s="80"/>
      <c r="T1149" s="81"/>
      <c r="U1149" s="80"/>
      <c r="V1149" s="80"/>
      <c r="W1149" s="80"/>
      <c r="X1149" s="80"/>
      <c r="Y1149" s="81"/>
      <c r="Z1149" s="80"/>
      <c r="AA1149" s="80"/>
      <c r="AB1149" s="80"/>
      <c r="AC1149" s="80"/>
      <c r="AD1149" s="81"/>
      <c r="AE1149" s="80"/>
      <c r="AF1149" s="80"/>
      <c r="AG1149" s="81"/>
      <c r="AH1149" s="79"/>
      <c r="AI1149" s="78" t="str">
        <f aca="false">IF(E1149="","",(V1149&lt;&gt;"")+(AA1149&lt;&gt;"")+(AF1149&lt;&gt;""))</f>
        <v/>
      </c>
      <c r="AJ1149" s="82" t="str">
        <f aca="false">IF(AF1149&lt;&gt;"",AF1149,IF(AA1149&lt;&gt;"",AA1149,IF(V1149&lt;&gt;"",V1149,"")))</f>
        <v/>
      </c>
      <c r="AK1149" s="83" t="str">
        <f aca="false">IF(E1149="","",IF(P1149="","À SOUDER",IF(S1149="","VT EN ATTENTE",IF(S1149="R","VT REJETÉ – À REPRENDRE",IF(AJ1149="","À RADIOGRAPHIER",IF(AJ1149="A","ACCEPTÉ",IF(AJ1149="NX","NX – RT À REFAIRE",IF(IF(AI1149=1,X1149,IF(AI1149=2,AC1149,""))="A","RÉPARÉ – À RADIOGRAPHIER",IF(IF(AI1149=1,X1149,IF(AI1149=2,AC1149,""))="R","VT REJETÉ – À REPRENDRE",IF(AJ1149="CO","COUPE – À RESOUDER","À RÉPARER"))))))))))</f>
        <v/>
      </c>
      <c r="AL1149" s="82" t="str">
        <f aca="false">IF(AND(ISNUMBER(P1149),OR(AK1149="À RADIOGRAPHIER",AK1149="RÉPARÉ – À RADIOGRAPHIER",AK1149="NX – RT À REFAIRE",AK1149="À RÉPARER",AK1149="COUPE – À RESOUDER",AK1149="VT REJETÉ – À REPRENDRE")),MAX(0,'PROGRAMME RT'!$C$4-P1149),"")</f>
        <v/>
      </c>
      <c r="AM1149" s="78" t="n">
        <f aca="false">IF(AND(OR(AK1149="À RADIOGRAPHIER",AK1149="RÉPARÉ – À RADIOGRAPHIER",AK1149="NX – RT À REFAIRE"),OR('PROGRAMME RT'!$D$5="TOUTES",B1149='PROGRAMME RT'!$D$5)),1,0)</f>
        <v>0</v>
      </c>
      <c r="AN1149" s="78" t="str">
        <f aca="false">IF(AM1149=1,SUM(AM$7:AM1149),"")</f>
        <v/>
      </c>
      <c r="AO1149" s="78" t="n">
        <f aca="false">IF(AND(OR(AK1149="À RÉPARER",AK1149="COUPE – À RESOUDER",AK1149="VT REJETÉ – À REPRENDRE"),OR(RÉPARATIONS!$D$5="TOUTES",B1149=RÉPARATIONS!$D$5)),1,0)</f>
        <v>0</v>
      </c>
      <c r="AP1149" s="78" t="str">
        <f aca="false">IF(AO1149=1,SUM(AO$7:AO1149),"")</f>
        <v/>
      </c>
    </row>
    <row r="1150" customFormat="false" ht="15" hidden="false" customHeight="false" outlineLevel="0" collapsed="false">
      <c r="A1150" s="78" t="str">
        <f aca="false">IF(E1150="","",ROW()-6)</f>
        <v/>
      </c>
      <c r="B1150" s="79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0"/>
      <c r="P1150" s="81"/>
      <c r="Q1150" s="81"/>
      <c r="R1150" s="80"/>
      <c r="S1150" s="80"/>
      <c r="T1150" s="81"/>
      <c r="U1150" s="80"/>
      <c r="V1150" s="80"/>
      <c r="W1150" s="80"/>
      <c r="X1150" s="80"/>
      <c r="Y1150" s="81"/>
      <c r="Z1150" s="80"/>
      <c r="AA1150" s="80"/>
      <c r="AB1150" s="80"/>
      <c r="AC1150" s="80"/>
      <c r="AD1150" s="81"/>
      <c r="AE1150" s="80"/>
      <c r="AF1150" s="80"/>
      <c r="AG1150" s="81"/>
      <c r="AH1150" s="79"/>
      <c r="AI1150" s="78" t="str">
        <f aca="false">IF(E1150="","",(V1150&lt;&gt;"")+(AA1150&lt;&gt;"")+(AF1150&lt;&gt;""))</f>
        <v/>
      </c>
      <c r="AJ1150" s="82" t="str">
        <f aca="false">IF(AF1150&lt;&gt;"",AF1150,IF(AA1150&lt;&gt;"",AA1150,IF(V1150&lt;&gt;"",V1150,"")))</f>
        <v/>
      </c>
      <c r="AK1150" s="83" t="str">
        <f aca="false">IF(E1150="","",IF(P1150="","À SOUDER",IF(S1150="","VT EN ATTENTE",IF(S1150="R","VT REJETÉ – À REPRENDRE",IF(AJ1150="","À RADIOGRAPHIER",IF(AJ1150="A","ACCEPTÉ",IF(AJ1150="NX","NX – RT À REFAIRE",IF(IF(AI1150=1,X1150,IF(AI1150=2,AC1150,""))="A","RÉPARÉ – À RADIOGRAPHIER",IF(IF(AI1150=1,X1150,IF(AI1150=2,AC1150,""))="R","VT REJETÉ – À REPRENDRE",IF(AJ1150="CO","COUPE – À RESOUDER","À RÉPARER"))))))))))</f>
        <v/>
      </c>
      <c r="AL1150" s="82" t="str">
        <f aca="false">IF(AND(ISNUMBER(P1150),OR(AK1150="À RADIOGRAPHIER",AK1150="RÉPARÉ – À RADIOGRAPHIER",AK1150="NX – RT À REFAIRE",AK1150="À RÉPARER",AK1150="COUPE – À RESOUDER",AK1150="VT REJETÉ – À REPRENDRE")),MAX(0,'PROGRAMME RT'!$C$4-P1150),"")</f>
        <v/>
      </c>
      <c r="AM1150" s="78" t="n">
        <f aca="false">IF(AND(OR(AK1150="À RADIOGRAPHIER",AK1150="RÉPARÉ – À RADIOGRAPHIER",AK1150="NX – RT À REFAIRE"),OR('PROGRAMME RT'!$D$5="TOUTES",B1150='PROGRAMME RT'!$D$5)),1,0)</f>
        <v>0</v>
      </c>
      <c r="AN1150" s="78" t="str">
        <f aca="false">IF(AM1150=1,SUM(AM$7:AM1150),"")</f>
        <v/>
      </c>
      <c r="AO1150" s="78" t="n">
        <f aca="false">IF(AND(OR(AK1150="À RÉPARER",AK1150="COUPE – À RESOUDER",AK1150="VT REJETÉ – À REPRENDRE"),OR(RÉPARATIONS!$D$5="TOUTES",B1150=RÉPARATIONS!$D$5)),1,0)</f>
        <v>0</v>
      </c>
      <c r="AP1150" s="78" t="str">
        <f aca="false">IF(AO1150=1,SUM(AO$7:AO1150),"")</f>
        <v/>
      </c>
    </row>
    <row r="1151" customFormat="false" ht="15" hidden="false" customHeight="false" outlineLevel="0" collapsed="false">
      <c r="A1151" s="78" t="str">
        <f aca="false">IF(E1151="","",ROW()-6)</f>
        <v/>
      </c>
      <c r="B1151" s="79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0"/>
      <c r="P1151" s="81"/>
      <c r="Q1151" s="81"/>
      <c r="R1151" s="80"/>
      <c r="S1151" s="80"/>
      <c r="T1151" s="81"/>
      <c r="U1151" s="80"/>
      <c r="V1151" s="80"/>
      <c r="W1151" s="80"/>
      <c r="X1151" s="80"/>
      <c r="Y1151" s="81"/>
      <c r="Z1151" s="80"/>
      <c r="AA1151" s="80"/>
      <c r="AB1151" s="80"/>
      <c r="AC1151" s="80"/>
      <c r="AD1151" s="81"/>
      <c r="AE1151" s="80"/>
      <c r="AF1151" s="80"/>
      <c r="AG1151" s="81"/>
      <c r="AH1151" s="79"/>
      <c r="AI1151" s="78" t="str">
        <f aca="false">IF(E1151="","",(V1151&lt;&gt;"")+(AA1151&lt;&gt;"")+(AF1151&lt;&gt;""))</f>
        <v/>
      </c>
      <c r="AJ1151" s="82" t="str">
        <f aca="false">IF(AF1151&lt;&gt;"",AF1151,IF(AA1151&lt;&gt;"",AA1151,IF(V1151&lt;&gt;"",V1151,"")))</f>
        <v/>
      </c>
      <c r="AK1151" s="83" t="str">
        <f aca="false">IF(E1151="","",IF(P1151="","À SOUDER",IF(S1151="","VT EN ATTENTE",IF(S1151="R","VT REJETÉ – À REPRENDRE",IF(AJ1151="","À RADIOGRAPHIER",IF(AJ1151="A","ACCEPTÉ",IF(AJ1151="NX","NX – RT À REFAIRE",IF(IF(AI1151=1,X1151,IF(AI1151=2,AC1151,""))="A","RÉPARÉ – À RADIOGRAPHIER",IF(IF(AI1151=1,X1151,IF(AI1151=2,AC1151,""))="R","VT REJETÉ – À REPRENDRE",IF(AJ1151="CO","COUPE – À RESOUDER","À RÉPARER"))))))))))</f>
        <v/>
      </c>
      <c r="AL1151" s="82" t="str">
        <f aca="false">IF(AND(ISNUMBER(P1151),OR(AK1151="À RADIOGRAPHIER",AK1151="RÉPARÉ – À RADIOGRAPHIER",AK1151="NX – RT À REFAIRE",AK1151="À RÉPARER",AK1151="COUPE – À RESOUDER",AK1151="VT REJETÉ – À REPRENDRE")),MAX(0,'PROGRAMME RT'!$C$4-P1151),"")</f>
        <v/>
      </c>
      <c r="AM1151" s="78" t="n">
        <f aca="false">IF(AND(OR(AK1151="À RADIOGRAPHIER",AK1151="RÉPARÉ – À RADIOGRAPHIER",AK1151="NX – RT À REFAIRE"),OR('PROGRAMME RT'!$D$5="TOUTES",B1151='PROGRAMME RT'!$D$5)),1,0)</f>
        <v>0</v>
      </c>
      <c r="AN1151" s="78" t="str">
        <f aca="false">IF(AM1151=1,SUM(AM$7:AM1151),"")</f>
        <v/>
      </c>
      <c r="AO1151" s="78" t="n">
        <f aca="false">IF(AND(OR(AK1151="À RÉPARER",AK1151="COUPE – À RESOUDER",AK1151="VT REJETÉ – À REPRENDRE"),OR(RÉPARATIONS!$D$5="TOUTES",B1151=RÉPARATIONS!$D$5)),1,0)</f>
        <v>0</v>
      </c>
      <c r="AP1151" s="78" t="str">
        <f aca="false">IF(AO1151=1,SUM(AO$7:AO1151),"")</f>
        <v/>
      </c>
    </row>
    <row r="1152" customFormat="false" ht="15" hidden="false" customHeight="false" outlineLevel="0" collapsed="false">
      <c r="A1152" s="78" t="str">
        <f aca="false">IF(E1152="","",ROW()-6)</f>
        <v/>
      </c>
      <c r="B1152" s="79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0"/>
      <c r="P1152" s="81"/>
      <c r="Q1152" s="81"/>
      <c r="R1152" s="80"/>
      <c r="S1152" s="80"/>
      <c r="T1152" s="81"/>
      <c r="U1152" s="80"/>
      <c r="V1152" s="80"/>
      <c r="W1152" s="80"/>
      <c r="X1152" s="80"/>
      <c r="Y1152" s="81"/>
      <c r="Z1152" s="80"/>
      <c r="AA1152" s="80"/>
      <c r="AB1152" s="80"/>
      <c r="AC1152" s="80"/>
      <c r="AD1152" s="81"/>
      <c r="AE1152" s="80"/>
      <c r="AF1152" s="80"/>
      <c r="AG1152" s="81"/>
      <c r="AH1152" s="79"/>
      <c r="AI1152" s="78" t="str">
        <f aca="false">IF(E1152="","",(V1152&lt;&gt;"")+(AA1152&lt;&gt;"")+(AF1152&lt;&gt;""))</f>
        <v/>
      </c>
      <c r="AJ1152" s="82" t="str">
        <f aca="false">IF(AF1152&lt;&gt;"",AF1152,IF(AA1152&lt;&gt;"",AA1152,IF(V1152&lt;&gt;"",V1152,"")))</f>
        <v/>
      </c>
      <c r="AK1152" s="83" t="str">
        <f aca="false">IF(E1152="","",IF(P1152="","À SOUDER",IF(S1152="","VT EN ATTENTE",IF(S1152="R","VT REJETÉ – À REPRENDRE",IF(AJ1152="","À RADIOGRAPHIER",IF(AJ1152="A","ACCEPTÉ",IF(AJ1152="NX","NX – RT À REFAIRE",IF(IF(AI1152=1,X1152,IF(AI1152=2,AC1152,""))="A","RÉPARÉ – À RADIOGRAPHIER",IF(IF(AI1152=1,X1152,IF(AI1152=2,AC1152,""))="R","VT REJETÉ – À REPRENDRE",IF(AJ1152="CO","COUPE – À RESOUDER","À RÉPARER"))))))))))</f>
        <v/>
      </c>
      <c r="AL1152" s="82" t="str">
        <f aca="false">IF(AND(ISNUMBER(P1152),OR(AK1152="À RADIOGRAPHIER",AK1152="RÉPARÉ – À RADIOGRAPHIER",AK1152="NX – RT À REFAIRE",AK1152="À RÉPARER",AK1152="COUPE – À RESOUDER",AK1152="VT REJETÉ – À REPRENDRE")),MAX(0,'PROGRAMME RT'!$C$4-P1152),"")</f>
        <v/>
      </c>
      <c r="AM1152" s="78" t="n">
        <f aca="false">IF(AND(OR(AK1152="À RADIOGRAPHIER",AK1152="RÉPARÉ – À RADIOGRAPHIER",AK1152="NX – RT À REFAIRE"),OR('PROGRAMME RT'!$D$5="TOUTES",B1152='PROGRAMME RT'!$D$5)),1,0)</f>
        <v>0</v>
      </c>
      <c r="AN1152" s="78" t="str">
        <f aca="false">IF(AM1152=1,SUM(AM$7:AM1152),"")</f>
        <v/>
      </c>
      <c r="AO1152" s="78" t="n">
        <f aca="false">IF(AND(OR(AK1152="À RÉPARER",AK1152="COUPE – À RESOUDER",AK1152="VT REJETÉ – À REPRENDRE"),OR(RÉPARATIONS!$D$5="TOUTES",B1152=RÉPARATIONS!$D$5)),1,0)</f>
        <v>0</v>
      </c>
      <c r="AP1152" s="78" t="str">
        <f aca="false">IF(AO1152=1,SUM(AO$7:AO1152),"")</f>
        <v/>
      </c>
    </row>
    <row r="1153" customFormat="false" ht="15" hidden="false" customHeight="false" outlineLevel="0" collapsed="false">
      <c r="A1153" s="78" t="str">
        <f aca="false">IF(E1153="","",ROW()-6)</f>
        <v/>
      </c>
      <c r="B1153" s="79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0"/>
      <c r="P1153" s="81"/>
      <c r="Q1153" s="81"/>
      <c r="R1153" s="80"/>
      <c r="S1153" s="80"/>
      <c r="T1153" s="81"/>
      <c r="U1153" s="80"/>
      <c r="V1153" s="80"/>
      <c r="W1153" s="80"/>
      <c r="X1153" s="80"/>
      <c r="Y1153" s="81"/>
      <c r="Z1153" s="80"/>
      <c r="AA1153" s="80"/>
      <c r="AB1153" s="80"/>
      <c r="AC1153" s="80"/>
      <c r="AD1153" s="81"/>
      <c r="AE1153" s="80"/>
      <c r="AF1153" s="80"/>
      <c r="AG1153" s="81"/>
      <c r="AH1153" s="79"/>
      <c r="AI1153" s="78" t="str">
        <f aca="false">IF(E1153="","",(V1153&lt;&gt;"")+(AA1153&lt;&gt;"")+(AF1153&lt;&gt;""))</f>
        <v/>
      </c>
      <c r="AJ1153" s="82" t="str">
        <f aca="false">IF(AF1153&lt;&gt;"",AF1153,IF(AA1153&lt;&gt;"",AA1153,IF(V1153&lt;&gt;"",V1153,"")))</f>
        <v/>
      </c>
      <c r="AK1153" s="83" t="str">
        <f aca="false">IF(E1153="","",IF(P1153="","À SOUDER",IF(S1153="","VT EN ATTENTE",IF(S1153="R","VT REJETÉ – À REPRENDRE",IF(AJ1153="","À RADIOGRAPHIER",IF(AJ1153="A","ACCEPTÉ",IF(AJ1153="NX","NX – RT À REFAIRE",IF(IF(AI1153=1,X1153,IF(AI1153=2,AC1153,""))="A","RÉPARÉ – À RADIOGRAPHIER",IF(IF(AI1153=1,X1153,IF(AI1153=2,AC1153,""))="R","VT REJETÉ – À REPRENDRE",IF(AJ1153="CO","COUPE – À RESOUDER","À RÉPARER"))))))))))</f>
        <v/>
      </c>
      <c r="AL1153" s="82" t="str">
        <f aca="false">IF(AND(ISNUMBER(P1153),OR(AK1153="À RADIOGRAPHIER",AK1153="RÉPARÉ – À RADIOGRAPHIER",AK1153="NX – RT À REFAIRE",AK1153="À RÉPARER",AK1153="COUPE – À RESOUDER",AK1153="VT REJETÉ – À REPRENDRE")),MAX(0,'PROGRAMME RT'!$C$4-P1153),"")</f>
        <v/>
      </c>
      <c r="AM1153" s="78" t="n">
        <f aca="false">IF(AND(OR(AK1153="À RADIOGRAPHIER",AK1153="RÉPARÉ – À RADIOGRAPHIER",AK1153="NX – RT À REFAIRE"),OR('PROGRAMME RT'!$D$5="TOUTES",B1153='PROGRAMME RT'!$D$5)),1,0)</f>
        <v>0</v>
      </c>
      <c r="AN1153" s="78" t="str">
        <f aca="false">IF(AM1153=1,SUM(AM$7:AM1153),"")</f>
        <v/>
      </c>
      <c r="AO1153" s="78" t="n">
        <f aca="false">IF(AND(OR(AK1153="À RÉPARER",AK1153="COUPE – À RESOUDER",AK1153="VT REJETÉ – À REPRENDRE"),OR(RÉPARATIONS!$D$5="TOUTES",B1153=RÉPARATIONS!$D$5)),1,0)</f>
        <v>0</v>
      </c>
      <c r="AP1153" s="78" t="str">
        <f aca="false">IF(AO1153=1,SUM(AO$7:AO1153),"")</f>
        <v/>
      </c>
    </row>
    <row r="1154" customFormat="false" ht="15" hidden="false" customHeight="false" outlineLevel="0" collapsed="false">
      <c r="A1154" s="78" t="str">
        <f aca="false">IF(E1154="","",ROW()-6)</f>
        <v/>
      </c>
      <c r="B1154" s="79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0"/>
      <c r="P1154" s="81"/>
      <c r="Q1154" s="81"/>
      <c r="R1154" s="80"/>
      <c r="S1154" s="80"/>
      <c r="T1154" s="81"/>
      <c r="U1154" s="80"/>
      <c r="V1154" s="80"/>
      <c r="W1154" s="80"/>
      <c r="X1154" s="80"/>
      <c r="Y1154" s="81"/>
      <c r="Z1154" s="80"/>
      <c r="AA1154" s="80"/>
      <c r="AB1154" s="80"/>
      <c r="AC1154" s="80"/>
      <c r="AD1154" s="81"/>
      <c r="AE1154" s="80"/>
      <c r="AF1154" s="80"/>
      <c r="AG1154" s="81"/>
      <c r="AH1154" s="79"/>
      <c r="AI1154" s="78" t="str">
        <f aca="false">IF(E1154="","",(V1154&lt;&gt;"")+(AA1154&lt;&gt;"")+(AF1154&lt;&gt;""))</f>
        <v/>
      </c>
      <c r="AJ1154" s="82" t="str">
        <f aca="false">IF(AF1154&lt;&gt;"",AF1154,IF(AA1154&lt;&gt;"",AA1154,IF(V1154&lt;&gt;"",V1154,"")))</f>
        <v/>
      </c>
      <c r="AK1154" s="83" t="str">
        <f aca="false">IF(E1154="","",IF(P1154="","À SOUDER",IF(S1154="","VT EN ATTENTE",IF(S1154="R","VT REJETÉ – À REPRENDRE",IF(AJ1154="","À RADIOGRAPHIER",IF(AJ1154="A","ACCEPTÉ",IF(AJ1154="NX","NX – RT À REFAIRE",IF(IF(AI1154=1,X1154,IF(AI1154=2,AC1154,""))="A","RÉPARÉ – À RADIOGRAPHIER",IF(IF(AI1154=1,X1154,IF(AI1154=2,AC1154,""))="R","VT REJETÉ – À REPRENDRE",IF(AJ1154="CO","COUPE – À RESOUDER","À RÉPARER"))))))))))</f>
        <v/>
      </c>
      <c r="AL1154" s="82" t="str">
        <f aca="false">IF(AND(ISNUMBER(P1154),OR(AK1154="À RADIOGRAPHIER",AK1154="RÉPARÉ – À RADIOGRAPHIER",AK1154="NX – RT À REFAIRE",AK1154="À RÉPARER",AK1154="COUPE – À RESOUDER",AK1154="VT REJETÉ – À REPRENDRE")),MAX(0,'PROGRAMME RT'!$C$4-P1154),"")</f>
        <v/>
      </c>
      <c r="AM1154" s="78" t="n">
        <f aca="false">IF(AND(OR(AK1154="À RADIOGRAPHIER",AK1154="RÉPARÉ – À RADIOGRAPHIER",AK1154="NX – RT À REFAIRE"),OR('PROGRAMME RT'!$D$5="TOUTES",B1154='PROGRAMME RT'!$D$5)),1,0)</f>
        <v>0</v>
      </c>
      <c r="AN1154" s="78" t="str">
        <f aca="false">IF(AM1154=1,SUM(AM$7:AM1154),"")</f>
        <v/>
      </c>
      <c r="AO1154" s="78" t="n">
        <f aca="false">IF(AND(OR(AK1154="À RÉPARER",AK1154="COUPE – À RESOUDER",AK1154="VT REJETÉ – À REPRENDRE"),OR(RÉPARATIONS!$D$5="TOUTES",B1154=RÉPARATIONS!$D$5)),1,0)</f>
        <v>0</v>
      </c>
      <c r="AP1154" s="78" t="str">
        <f aca="false">IF(AO1154=1,SUM(AO$7:AO1154),"")</f>
        <v/>
      </c>
    </row>
    <row r="1155" customFormat="false" ht="15" hidden="false" customHeight="false" outlineLevel="0" collapsed="false">
      <c r="A1155" s="78" t="str">
        <f aca="false">IF(E1155="","",ROW()-6)</f>
        <v/>
      </c>
      <c r="B1155" s="79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0"/>
      <c r="P1155" s="81"/>
      <c r="Q1155" s="81"/>
      <c r="R1155" s="80"/>
      <c r="S1155" s="80"/>
      <c r="T1155" s="81"/>
      <c r="U1155" s="80"/>
      <c r="V1155" s="80"/>
      <c r="W1155" s="80"/>
      <c r="X1155" s="80"/>
      <c r="Y1155" s="81"/>
      <c r="Z1155" s="80"/>
      <c r="AA1155" s="80"/>
      <c r="AB1155" s="80"/>
      <c r="AC1155" s="80"/>
      <c r="AD1155" s="81"/>
      <c r="AE1155" s="80"/>
      <c r="AF1155" s="80"/>
      <c r="AG1155" s="81"/>
      <c r="AH1155" s="79"/>
      <c r="AI1155" s="78" t="str">
        <f aca="false">IF(E1155="","",(V1155&lt;&gt;"")+(AA1155&lt;&gt;"")+(AF1155&lt;&gt;""))</f>
        <v/>
      </c>
      <c r="AJ1155" s="82" t="str">
        <f aca="false">IF(AF1155&lt;&gt;"",AF1155,IF(AA1155&lt;&gt;"",AA1155,IF(V1155&lt;&gt;"",V1155,"")))</f>
        <v/>
      </c>
      <c r="AK1155" s="83" t="str">
        <f aca="false">IF(E1155="","",IF(P1155="","À SOUDER",IF(S1155="","VT EN ATTENTE",IF(S1155="R","VT REJETÉ – À REPRENDRE",IF(AJ1155="","À RADIOGRAPHIER",IF(AJ1155="A","ACCEPTÉ",IF(AJ1155="NX","NX – RT À REFAIRE",IF(IF(AI1155=1,X1155,IF(AI1155=2,AC1155,""))="A","RÉPARÉ – À RADIOGRAPHIER",IF(IF(AI1155=1,X1155,IF(AI1155=2,AC1155,""))="R","VT REJETÉ – À REPRENDRE",IF(AJ1155="CO","COUPE – À RESOUDER","À RÉPARER"))))))))))</f>
        <v/>
      </c>
      <c r="AL1155" s="82" t="str">
        <f aca="false">IF(AND(ISNUMBER(P1155),OR(AK1155="À RADIOGRAPHIER",AK1155="RÉPARÉ – À RADIOGRAPHIER",AK1155="NX – RT À REFAIRE",AK1155="À RÉPARER",AK1155="COUPE – À RESOUDER",AK1155="VT REJETÉ – À REPRENDRE")),MAX(0,'PROGRAMME RT'!$C$4-P1155),"")</f>
        <v/>
      </c>
      <c r="AM1155" s="78" t="n">
        <f aca="false">IF(AND(OR(AK1155="À RADIOGRAPHIER",AK1155="RÉPARÉ – À RADIOGRAPHIER",AK1155="NX – RT À REFAIRE"),OR('PROGRAMME RT'!$D$5="TOUTES",B1155='PROGRAMME RT'!$D$5)),1,0)</f>
        <v>0</v>
      </c>
      <c r="AN1155" s="78" t="str">
        <f aca="false">IF(AM1155=1,SUM(AM$7:AM1155),"")</f>
        <v/>
      </c>
      <c r="AO1155" s="78" t="n">
        <f aca="false">IF(AND(OR(AK1155="À RÉPARER",AK1155="COUPE – À RESOUDER",AK1155="VT REJETÉ – À REPRENDRE"),OR(RÉPARATIONS!$D$5="TOUTES",B1155=RÉPARATIONS!$D$5)),1,0)</f>
        <v>0</v>
      </c>
      <c r="AP1155" s="78" t="str">
        <f aca="false">IF(AO1155=1,SUM(AO$7:AO1155),"")</f>
        <v/>
      </c>
    </row>
    <row r="1156" customFormat="false" ht="15" hidden="false" customHeight="false" outlineLevel="0" collapsed="false">
      <c r="A1156" s="78" t="str">
        <f aca="false">IF(E1156="","",ROW()-6)</f>
        <v/>
      </c>
      <c r="B1156" s="79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0"/>
      <c r="P1156" s="81"/>
      <c r="Q1156" s="81"/>
      <c r="R1156" s="80"/>
      <c r="S1156" s="80"/>
      <c r="T1156" s="81"/>
      <c r="U1156" s="80"/>
      <c r="V1156" s="80"/>
      <c r="W1156" s="80"/>
      <c r="X1156" s="80"/>
      <c r="Y1156" s="81"/>
      <c r="Z1156" s="80"/>
      <c r="AA1156" s="80"/>
      <c r="AB1156" s="80"/>
      <c r="AC1156" s="80"/>
      <c r="AD1156" s="81"/>
      <c r="AE1156" s="80"/>
      <c r="AF1156" s="80"/>
      <c r="AG1156" s="81"/>
      <c r="AH1156" s="79"/>
      <c r="AI1156" s="78" t="str">
        <f aca="false">IF(E1156="","",(V1156&lt;&gt;"")+(AA1156&lt;&gt;"")+(AF1156&lt;&gt;""))</f>
        <v/>
      </c>
      <c r="AJ1156" s="82" t="str">
        <f aca="false">IF(AF1156&lt;&gt;"",AF1156,IF(AA1156&lt;&gt;"",AA1156,IF(V1156&lt;&gt;"",V1156,"")))</f>
        <v/>
      </c>
      <c r="AK1156" s="83" t="str">
        <f aca="false">IF(E1156="","",IF(P1156="","À SOUDER",IF(S1156="","VT EN ATTENTE",IF(S1156="R","VT REJETÉ – À REPRENDRE",IF(AJ1156="","À RADIOGRAPHIER",IF(AJ1156="A","ACCEPTÉ",IF(AJ1156="NX","NX – RT À REFAIRE",IF(IF(AI1156=1,X1156,IF(AI1156=2,AC1156,""))="A","RÉPARÉ – À RADIOGRAPHIER",IF(IF(AI1156=1,X1156,IF(AI1156=2,AC1156,""))="R","VT REJETÉ – À REPRENDRE",IF(AJ1156="CO","COUPE – À RESOUDER","À RÉPARER"))))))))))</f>
        <v/>
      </c>
      <c r="AL1156" s="82" t="str">
        <f aca="false">IF(AND(ISNUMBER(P1156),OR(AK1156="À RADIOGRAPHIER",AK1156="RÉPARÉ – À RADIOGRAPHIER",AK1156="NX – RT À REFAIRE",AK1156="À RÉPARER",AK1156="COUPE – À RESOUDER",AK1156="VT REJETÉ – À REPRENDRE")),MAX(0,'PROGRAMME RT'!$C$4-P1156),"")</f>
        <v/>
      </c>
      <c r="AM1156" s="78" t="n">
        <f aca="false">IF(AND(OR(AK1156="À RADIOGRAPHIER",AK1156="RÉPARÉ – À RADIOGRAPHIER",AK1156="NX – RT À REFAIRE"),OR('PROGRAMME RT'!$D$5="TOUTES",B1156='PROGRAMME RT'!$D$5)),1,0)</f>
        <v>0</v>
      </c>
      <c r="AN1156" s="78" t="str">
        <f aca="false">IF(AM1156=1,SUM(AM$7:AM1156),"")</f>
        <v/>
      </c>
      <c r="AO1156" s="78" t="n">
        <f aca="false">IF(AND(OR(AK1156="À RÉPARER",AK1156="COUPE – À RESOUDER",AK1156="VT REJETÉ – À REPRENDRE"),OR(RÉPARATIONS!$D$5="TOUTES",B1156=RÉPARATIONS!$D$5)),1,0)</f>
        <v>0</v>
      </c>
      <c r="AP1156" s="78" t="str">
        <f aca="false">IF(AO1156=1,SUM(AO$7:AO1156),"")</f>
        <v/>
      </c>
    </row>
    <row r="1157" customFormat="false" ht="15" hidden="false" customHeight="false" outlineLevel="0" collapsed="false">
      <c r="A1157" s="78" t="str">
        <f aca="false">IF(E1157="","",ROW()-6)</f>
        <v/>
      </c>
      <c r="B1157" s="79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0"/>
      <c r="P1157" s="81"/>
      <c r="Q1157" s="81"/>
      <c r="R1157" s="80"/>
      <c r="S1157" s="80"/>
      <c r="T1157" s="81"/>
      <c r="U1157" s="80"/>
      <c r="V1157" s="80"/>
      <c r="W1157" s="80"/>
      <c r="X1157" s="80"/>
      <c r="Y1157" s="81"/>
      <c r="Z1157" s="80"/>
      <c r="AA1157" s="80"/>
      <c r="AB1157" s="80"/>
      <c r="AC1157" s="80"/>
      <c r="AD1157" s="81"/>
      <c r="AE1157" s="80"/>
      <c r="AF1157" s="80"/>
      <c r="AG1157" s="81"/>
      <c r="AH1157" s="79"/>
      <c r="AI1157" s="78" t="str">
        <f aca="false">IF(E1157="","",(V1157&lt;&gt;"")+(AA1157&lt;&gt;"")+(AF1157&lt;&gt;""))</f>
        <v/>
      </c>
      <c r="AJ1157" s="82" t="str">
        <f aca="false">IF(AF1157&lt;&gt;"",AF1157,IF(AA1157&lt;&gt;"",AA1157,IF(V1157&lt;&gt;"",V1157,"")))</f>
        <v/>
      </c>
      <c r="AK1157" s="83" t="str">
        <f aca="false">IF(E1157="","",IF(P1157="","À SOUDER",IF(S1157="","VT EN ATTENTE",IF(S1157="R","VT REJETÉ – À REPRENDRE",IF(AJ1157="","À RADIOGRAPHIER",IF(AJ1157="A","ACCEPTÉ",IF(AJ1157="NX","NX – RT À REFAIRE",IF(IF(AI1157=1,X1157,IF(AI1157=2,AC1157,""))="A","RÉPARÉ – À RADIOGRAPHIER",IF(IF(AI1157=1,X1157,IF(AI1157=2,AC1157,""))="R","VT REJETÉ – À REPRENDRE",IF(AJ1157="CO","COUPE – À RESOUDER","À RÉPARER"))))))))))</f>
        <v/>
      </c>
      <c r="AL1157" s="82" t="str">
        <f aca="false">IF(AND(ISNUMBER(P1157),OR(AK1157="À RADIOGRAPHIER",AK1157="RÉPARÉ – À RADIOGRAPHIER",AK1157="NX – RT À REFAIRE",AK1157="À RÉPARER",AK1157="COUPE – À RESOUDER",AK1157="VT REJETÉ – À REPRENDRE")),MAX(0,'PROGRAMME RT'!$C$4-P1157),"")</f>
        <v/>
      </c>
      <c r="AM1157" s="78" t="n">
        <f aca="false">IF(AND(OR(AK1157="À RADIOGRAPHIER",AK1157="RÉPARÉ – À RADIOGRAPHIER",AK1157="NX – RT À REFAIRE"),OR('PROGRAMME RT'!$D$5="TOUTES",B1157='PROGRAMME RT'!$D$5)),1,0)</f>
        <v>0</v>
      </c>
      <c r="AN1157" s="78" t="str">
        <f aca="false">IF(AM1157=1,SUM(AM$7:AM1157),"")</f>
        <v/>
      </c>
      <c r="AO1157" s="78" t="n">
        <f aca="false">IF(AND(OR(AK1157="À RÉPARER",AK1157="COUPE – À RESOUDER",AK1157="VT REJETÉ – À REPRENDRE"),OR(RÉPARATIONS!$D$5="TOUTES",B1157=RÉPARATIONS!$D$5)),1,0)</f>
        <v>0</v>
      </c>
      <c r="AP1157" s="78" t="str">
        <f aca="false">IF(AO1157=1,SUM(AO$7:AO1157),"")</f>
        <v/>
      </c>
    </row>
    <row r="1158" customFormat="false" ht="15" hidden="false" customHeight="false" outlineLevel="0" collapsed="false">
      <c r="A1158" s="78" t="str">
        <f aca="false">IF(E1158="","",ROW()-6)</f>
        <v/>
      </c>
      <c r="B1158" s="79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0"/>
      <c r="P1158" s="81"/>
      <c r="Q1158" s="81"/>
      <c r="R1158" s="80"/>
      <c r="S1158" s="80"/>
      <c r="T1158" s="81"/>
      <c r="U1158" s="80"/>
      <c r="V1158" s="80"/>
      <c r="W1158" s="80"/>
      <c r="X1158" s="80"/>
      <c r="Y1158" s="81"/>
      <c r="Z1158" s="80"/>
      <c r="AA1158" s="80"/>
      <c r="AB1158" s="80"/>
      <c r="AC1158" s="80"/>
      <c r="AD1158" s="81"/>
      <c r="AE1158" s="80"/>
      <c r="AF1158" s="80"/>
      <c r="AG1158" s="81"/>
      <c r="AH1158" s="79"/>
      <c r="AI1158" s="78" t="str">
        <f aca="false">IF(E1158="","",(V1158&lt;&gt;"")+(AA1158&lt;&gt;"")+(AF1158&lt;&gt;""))</f>
        <v/>
      </c>
      <c r="AJ1158" s="82" t="str">
        <f aca="false">IF(AF1158&lt;&gt;"",AF1158,IF(AA1158&lt;&gt;"",AA1158,IF(V1158&lt;&gt;"",V1158,"")))</f>
        <v/>
      </c>
      <c r="AK1158" s="83" t="str">
        <f aca="false">IF(E1158="","",IF(P1158="","À SOUDER",IF(S1158="","VT EN ATTENTE",IF(S1158="R","VT REJETÉ – À REPRENDRE",IF(AJ1158="","À RADIOGRAPHIER",IF(AJ1158="A","ACCEPTÉ",IF(AJ1158="NX","NX – RT À REFAIRE",IF(IF(AI1158=1,X1158,IF(AI1158=2,AC1158,""))="A","RÉPARÉ – À RADIOGRAPHIER",IF(IF(AI1158=1,X1158,IF(AI1158=2,AC1158,""))="R","VT REJETÉ – À REPRENDRE",IF(AJ1158="CO","COUPE – À RESOUDER","À RÉPARER"))))))))))</f>
        <v/>
      </c>
      <c r="AL1158" s="82" t="str">
        <f aca="false">IF(AND(ISNUMBER(P1158),OR(AK1158="À RADIOGRAPHIER",AK1158="RÉPARÉ – À RADIOGRAPHIER",AK1158="NX – RT À REFAIRE",AK1158="À RÉPARER",AK1158="COUPE – À RESOUDER",AK1158="VT REJETÉ – À REPRENDRE")),MAX(0,'PROGRAMME RT'!$C$4-P1158),"")</f>
        <v/>
      </c>
      <c r="AM1158" s="78" t="n">
        <f aca="false">IF(AND(OR(AK1158="À RADIOGRAPHIER",AK1158="RÉPARÉ – À RADIOGRAPHIER",AK1158="NX – RT À REFAIRE"),OR('PROGRAMME RT'!$D$5="TOUTES",B1158='PROGRAMME RT'!$D$5)),1,0)</f>
        <v>0</v>
      </c>
      <c r="AN1158" s="78" t="str">
        <f aca="false">IF(AM1158=1,SUM(AM$7:AM1158),"")</f>
        <v/>
      </c>
      <c r="AO1158" s="78" t="n">
        <f aca="false">IF(AND(OR(AK1158="À RÉPARER",AK1158="COUPE – À RESOUDER",AK1158="VT REJETÉ – À REPRENDRE"),OR(RÉPARATIONS!$D$5="TOUTES",B1158=RÉPARATIONS!$D$5)),1,0)</f>
        <v>0</v>
      </c>
      <c r="AP1158" s="78" t="str">
        <f aca="false">IF(AO1158=1,SUM(AO$7:AO1158),"")</f>
        <v/>
      </c>
    </row>
    <row r="1159" customFormat="false" ht="15" hidden="false" customHeight="false" outlineLevel="0" collapsed="false">
      <c r="A1159" s="78" t="str">
        <f aca="false">IF(E1159="","",ROW()-6)</f>
        <v/>
      </c>
      <c r="B1159" s="79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0"/>
      <c r="P1159" s="81"/>
      <c r="Q1159" s="81"/>
      <c r="R1159" s="80"/>
      <c r="S1159" s="80"/>
      <c r="T1159" s="81"/>
      <c r="U1159" s="80"/>
      <c r="V1159" s="80"/>
      <c r="W1159" s="80"/>
      <c r="X1159" s="80"/>
      <c r="Y1159" s="81"/>
      <c r="Z1159" s="80"/>
      <c r="AA1159" s="80"/>
      <c r="AB1159" s="80"/>
      <c r="AC1159" s="80"/>
      <c r="AD1159" s="81"/>
      <c r="AE1159" s="80"/>
      <c r="AF1159" s="80"/>
      <c r="AG1159" s="81"/>
      <c r="AH1159" s="79"/>
      <c r="AI1159" s="78" t="str">
        <f aca="false">IF(E1159="","",(V1159&lt;&gt;"")+(AA1159&lt;&gt;"")+(AF1159&lt;&gt;""))</f>
        <v/>
      </c>
      <c r="AJ1159" s="82" t="str">
        <f aca="false">IF(AF1159&lt;&gt;"",AF1159,IF(AA1159&lt;&gt;"",AA1159,IF(V1159&lt;&gt;"",V1159,"")))</f>
        <v/>
      </c>
      <c r="AK1159" s="83" t="str">
        <f aca="false">IF(E1159="","",IF(P1159="","À SOUDER",IF(S1159="","VT EN ATTENTE",IF(S1159="R","VT REJETÉ – À REPRENDRE",IF(AJ1159="","À RADIOGRAPHIER",IF(AJ1159="A","ACCEPTÉ",IF(AJ1159="NX","NX – RT À REFAIRE",IF(IF(AI1159=1,X1159,IF(AI1159=2,AC1159,""))="A","RÉPARÉ – À RADIOGRAPHIER",IF(IF(AI1159=1,X1159,IF(AI1159=2,AC1159,""))="R","VT REJETÉ – À REPRENDRE",IF(AJ1159="CO","COUPE – À RESOUDER","À RÉPARER"))))))))))</f>
        <v/>
      </c>
      <c r="AL1159" s="82" t="str">
        <f aca="false">IF(AND(ISNUMBER(P1159),OR(AK1159="À RADIOGRAPHIER",AK1159="RÉPARÉ – À RADIOGRAPHIER",AK1159="NX – RT À REFAIRE",AK1159="À RÉPARER",AK1159="COUPE – À RESOUDER",AK1159="VT REJETÉ – À REPRENDRE")),MAX(0,'PROGRAMME RT'!$C$4-P1159),"")</f>
        <v/>
      </c>
      <c r="AM1159" s="78" t="n">
        <f aca="false">IF(AND(OR(AK1159="À RADIOGRAPHIER",AK1159="RÉPARÉ – À RADIOGRAPHIER",AK1159="NX – RT À REFAIRE"),OR('PROGRAMME RT'!$D$5="TOUTES",B1159='PROGRAMME RT'!$D$5)),1,0)</f>
        <v>0</v>
      </c>
      <c r="AN1159" s="78" t="str">
        <f aca="false">IF(AM1159=1,SUM(AM$7:AM1159),"")</f>
        <v/>
      </c>
      <c r="AO1159" s="78" t="n">
        <f aca="false">IF(AND(OR(AK1159="À RÉPARER",AK1159="COUPE – À RESOUDER",AK1159="VT REJETÉ – À REPRENDRE"),OR(RÉPARATIONS!$D$5="TOUTES",B1159=RÉPARATIONS!$D$5)),1,0)</f>
        <v>0</v>
      </c>
      <c r="AP1159" s="78" t="str">
        <f aca="false">IF(AO1159=1,SUM(AO$7:AO1159),"")</f>
        <v/>
      </c>
    </row>
    <row r="1160" customFormat="false" ht="15" hidden="false" customHeight="false" outlineLevel="0" collapsed="false">
      <c r="A1160" s="78" t="str">
        <f aca="false">IF(E1160="","",ROW()-6)</f>
        <v/>
      </c>
      <c r="B1160" s="79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0"/>
      <c r="P1160" s="81"/>
      <c r="Q1160" s="81"/>
      <c r="R1160" s="80"/>
      <c r="S1160" s="80"/>
      <c r="T1160" s="81"/>
      <c r="U1160" s="80"/>
      <c r="V1160" s="80"/>
      <c r="W1160" s="80"/>
      <c r="X1160" s="80"/>
      <c r="Y1160" s="81"/>
      <c r="Z1160" s="80"/>
      <c r="AA1160" s="80"/>
      <c r="AB1160" s="80"/>
      <c r="AC1160" s="80"/>
      <c r="AD1160" s="81"/>
      <c r="AE1160" s="80"/>
      <c r="AF1160" s="80"/>
      <c r="AG1160" s="81"/>
      <c r="AH1160" s="79"/>
      <c r="AI1160" s="78" t="str">
        <f aca="false">IF(E1160="","",(V1160&lt;&gt;"")+(AA1160&lt;&gt;"")+(AF1160&lt;&gt;""))</f>
        <v/>
      </c>
      <c r="AJ1160" s="82" t="str">
        <f aca="false">IF(AF1160&lt;&gt;"",AF1160,IF(AA1160&lt;&gt;"",AA1160,IF(V1160&lt;&gt;"",V1160,"")))</f>
        <v/>
      </c>
      <c r="AK1160" s="83" t="str">
        <f aca="false">IF(E1160="","",IF(P1160="","À SOUDER",IF(S1160="","VT EN ATTENTE",IF(S1160="R","VT REJETÉ – À REPRENDRE",IF(AJ1160="","À RADIOGRAPHIER",IF(AJ1160="A","ACCEPTÉ",IF(AJ1160="NX","NX – RT À REFAIRE",IF(IF(AI1160=1,X1160,IF(AI1160=2,AC1160,""))="A","RÉPARÉ – À RADIOGRAPHIER",IF(IF(AI1160=1,X1160,IF(AI1160=2,AC1160,""))="R","VT REJETÉ – À REPRENDRE",IF(AJ1160="CO","COUPE – À RESOUDER","À RÉPARER"))))))))))</f>
        <v/>
      </c>
      <c r="AL1160" s="82" t="str">
        <f aca="false">IF(AND(ISNUMBER(P1160),OR(AK1160="À RADIOGRAPHIER",AK1160="RÉPARÉ – À RADIOGRAPHIER",AK1160="NX – RT À REFAIRE",AK1160="À RÉPARER",AK1160="COUPE – À RESOUDER",AK1160="VT REJETÉ – À REPRENDRE")),MAX(0,'PROGRAMME RT'!$C$4-P1160),"")</f>
        <v/>
      </c>
      <c r="AM1160" s="78" t="n">
        <f aca="false">IF(AND(OR(AK1160="À RADIOGRAPHIER",AK1160="RÉPARÉ – À RADIOGRAPHIER",AK1160="NX – RT À REFAIRE"),OR('PROGRAMME RT'!$D$5="TOUTES",B1160='PROGRAMME RT'!$D$5)),1,0)</f>
        <v>0</v>
      </c>
      <c r="AN1160" s="78" t="str">
        <f aca="false">IF(AM1160=1,SUM(AM$7:AM1160),"")</f>
        <v/>
      </c>
      <c r="AO1160" s="78" t="n">
        <f aca="false">IF(AND(OR(AK1160="À RÉPARER",AK1160="COUPE – À RESOUDER",AK1160="VT REJETÉ – À REPRENDRE"),OR(RÉPARATIONS!$D$5="TOUTES",B1160=RÉPARATIONS!$D$5)),1,0)</f>
        <v>0</v>
      </c>
      <c r="AP1160" s="78" t="str">
        <f aca="false">IF(AO1160=1,SUM(AO$7:AO1160),"")</f>
        <v/>
      </c>
    </row>
    <row r="1161" customFormat="false" ht="15" hidden="false" customHeight="false" outlineLevel="0" collapsed="false">
      <c r="A1161" s="78" t="str">
        <f aca="false">IF(E1161="","",ROW()-6)</f>
        <v/>
      </c>
      <c r="B1161" s="79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0"/>
      <c r="P1161" s="81"/>
      <c r="Q1161" s="81"/>
      <c r="R1161" s="80"/>
      <c r="S1161" s="80"/>
      <c r="T1161" s="81"/>
      <c r="U1161" s="80"/>
      <c r="V1161" s="80"/>
      <c r="W1161" s="80"/>
      <c r="X1161" s="80"/>
      <c r="Y1161" s="81"/>
      <c r="Z1161" s="80"/>
      <c r="AA1161" s="80"/>
      <c r="AB1161" s="80"/>
      <c r="AC1161" s="80"/>
      <c r="AD1161" s="81"/>
      <c r="AE1161" s="80"/>
      <c r="AF1161" s="80"/>
      <c r="AG1161" s="81"/>
      <c r="AH1161" s="79"/>
      <c r="AI1161" s="78" t="str">
        <f aca="false">IF(E1161="","",(V1161&lt;&gt;"")+(AA1161&lt;&gt;"")+(AF1161&lt;&gt;""))</f>
        <v/>
      </c>
      <c r="AJ1161" s="82" t="str">
        <f aca="false">IF(AF1161&lt;&gt;"",AF1161,IF(AA1161&lt;&gt;"",AA1161,IF(V1161&lt;&gt;"",V1161,"")))</f>
        <v/>
      </c>
      <c r="AK1161" s="83" t="str">
        <f aca="false">IF(E1161="","",IF(P1161="","À SOUDER",IF(S1161="","VT EN ATTENTE",IF(S1161="R","VT REJETÉ – À REPRENDRE",IF(AJ1161="","À RADIOGRAPHIER",IF(AJ1161="A","ACCEPTÉ",IF(AJ1161="NX","NX – RT À REFAIRE",IF(IF(AI1161=1,X1161,IF(AI1161=2,AC1161,""))="A","RÉPARÉ – À RADIOGRAPHIER",IF(IF(AI1161=1,X1161,IF(AI1161=2,AC1161,""))="R","VT REJETÉ – À REPRENDRE",IF(AJ1161="CO","COUPE – À RESOUDER","À RÉPARER"))))))))))</f>
        <v/>
      </c>
      <c r="AL1161" s="82" t="str">
        <f aca="false">IF(AND(ISNUMBER(P1161),OR(AK1161="À RADIOGRAPHIER",AK1161="RÉPARÉ – À RADIOGRAPHIER",AK1161="NX – RT À REFAIRE",AK1161="À RÉPARER",AK1161="COUPE – À RESOUDER",AK1161="VT REJETÉ – À REPRENDRE")),MAX(0,'PROGRAMME RT'!$C$4-P1161),"")</f>
        <v/>
      </c>
      <c r="AM1161" s="78" t="n">
        <f aca="false">IF(AND(OR(AK1161="À RADIOGRAPHIER",AK1161="RÉPARÉ – À RADIOGRAPHIER",AK1161="NX – RT À REFAIRE"),OR('PROGRAMME RT'!$D$5="TOUTES",B1161='PROGRAMME RT'!$D$5)),1,0)</f>
        <v>0</v>
      </c>
      <c r="AN1161" s="78" t="str">
        <f aca="false">IF(AM1161=1,SUM(AM$7:AM1161),"")</f>
        <v/>
      </c>
      <c r="AO1161" s="78" t="n">
        <f aca="false">IF(AND(OR(AK1161="À RÉPARER",AK1161="COUPE – À RESOUDER",AK1161="VT REJETÉ – À REPRENDRE"),OR(RÉPARATIONS!$D$5="TOUTES",B1161=RÉPARATIONS!$D$5)),1,0)</f>
        <v>0</v>
      </c>
      <c r="AP1161" s="78" t="str">
        <f aca="false">IF(AO1161=1,SUM(AO$7:AO1161),"")</f>
        <v/>
      </c>
    </row>
    <row r="1162" customFormat="false" ht="15" hidden="false" customHeight="false" outlineLevel="0" collapsed="false">
      <c r="A1162" s="78" t="str">
        <f aca="false">IF(E1162="","",ROW()-6)</f>
        <v/>
      </c>
      <c r="B1162" s="79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0"/>
      <c r="P1162" s="81"/>
      <c r="Q1162" s="81"/>
      <c r="R1162" s="80"/>
      <c r="S1162" s="80"/>
      <c r="T1162" s="81"/>
      <c r="U1162" s="80"/>
      <c r="V1162" s="80"/>
      <c r="W1162" s="80"/>
      <c r="X1162" s="80"/>
      <c r="Y1162" s="81"/>
      <c r="Z1162" s="80"/>
      <c r="AA1162" s="80"/>
      <c r="AB1162" s="80"/>
      <c r="AC1162" s="80"/>
      <c r="AD1162" s="81"/>
      <c r="AE1162" s="80"/>
      <c r="AF1162" s="80"/>
      <c r="AG1162" s="81"/>
      <c r="AH1162" s="79"/>
      <c r="AI1162" s="78" t="str">
        <f aca="false">IF(E1162="","",(V1162&lt;&gt;"")+(AA1162&lt;&gt;"")+(AF1162&lt;&gt;""))</f>
        <v/>
      </c>
      <c r="AJ1162" s="82" t="str">
        <f aca="false">IF(AF1162&lt;&gt;"",AF1162,IF(AA1162&lt;&gt;"",AA1162,IF(V1162&lt;&gt;"",V1162,"")))</f>
        <v/>
      </c>
      <c r="AK1162" s="83" t="str">
        <f aca="false">IF(E1162="","",IF(P1162="","À SOUDER",IF(S1162="","VT EN ATTENTE",IF(S1162="R","VT REJETÉ – À REPRENDRE",IF(AJ1162="","À RADIOGRAPHIER",IF(AJ1162="A","ACCEPTÉ",IF(AJ1162="NX","NX – RT À REFAIRE",IF(IF(AI1162=1,X1162,IF(AI1162=2,AC1162,""))="A","RÉPARÉ – À RADIOGRAPHIER",IF(IF(AI1162=1,X1162,IF(AI1162=2,AC1162,""))="R","VT REJETÉ – À REPRENDRE",IF(AJ1162="CO","COUPE – À RESOUDER","À RÉPARER"))))))))))</f>
        <v/>
      </c>
      <c r="AL1162" s="82" t="str">
        <f aca="false">IF(AND(ISNUMBER(P1162),OR(AK1162="À RADIOGRAPHIER",AK1162="RÉPARÉ – À RADIOGRAPHIER",AK1162="NX – RT À REFAIRE",AK1162="À RÉPARER",AK1162="COUPE – À RESOUDER",AK1162="VT REJETÉ – À REPRENDRE")),MAX(0,'PROGRAMME RT'!$C$4-P1162),"")</f>
        <v/>
      </c>
      <c r="AM1162" s="78" t="n">
        <f aca="false">IF(AND(OR(AK1162="À RADIOGRAPHIER",AK1162="RÉPARÉ – À RADIOGRAPHIER",AK1162="NX – RT À REFAIRE"),OR('PROGRAMME RT'!$D$5="TOUTES",B1162='PROGRAMME RT'!$D$5)),1,0)</f>
        <v>0</v>
      </c>
      <c r="AN1162" s="78" t="str">
        <f aca="false">IF(AM1162=1,SUM(AM$7:AM1162),"")</f>
        <v/>
      </c>
      <c r="AO1162" s="78" t="n">
        <f aca="false">IF(AND(OR(AK1162="À RÉPARER",AK1162="COUPE – À RESOUDER",AK1162="VT REJETÉ – À REPRENDRE"),OR(RÉPARATIONS!$D$5="TOUTES",B1162=RÉPARATIONS!$D$5)),1,0)</f>
        <v>0</v>
      </c>
      <c r="AP1162" s="78" t="str">
        <f aca="false">IF(AO1162=1,SUM(AO$7:AO1162),"")</f>
        <v/>
      </c>
    </row>
    <row r="1163" customFormat="false" ht="15" hidden="false" customHeight="false" outlineLevel="0" collapsed="false">
      <c r="A1163" s="78" t="str">
        <f aca="false">IF(E1163="","",ROW()-6)</f>
        <v/>
      </c>
      <c r="B1163" s="79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0"/>
      <c r="P1163" s="81"/>
      <c r="Q1163" s="81"/>
      <c r="R1163" s="80"/>
      <c r="S1163" s="80"/>
      <c r="T1163" s="81"/>
      <c r="U1163" s="80"/>
      <c r="V1163" s="80"/>
      <c r="W1163" s="80"/>
      <c r="X1163" s="80"/>
      <c r="Y1163" s="81"/>
      <c r="Z1163" s="80"/>
      <c r="AA1163" s="80"/>
      <c r="AB1163" s="80"/>
      <c r="AC1163" s="80"/>
      <c r="AD1163" s="81"/>
      <c r="AE1163" s="80"/>
      <c r="AF1163" s="80"/>
      <c r="AG1163" s="81"/>
      <c r="AH1163" s="79"/>
      <c r="AI1163" s="78" t="str">
        <f aca="false">IF(E1163="","",(V1163&lt;&gt;"")+(AA1163&lt;&gt;"")+(AF1163&lt;&gt;""))</f>
        <v/>
      </c>
      <c r="AJ1163" s="82" t="str">
        <f aca="false">IF(AF1163&lt;&gt;"",AF1163,IF(AA1163&lt;&gt;"",AA1163,IF(V1163&lt;&gt;"",V1163,"")))</f>
        <v/>
      </c>
      <c r="AK1163" s="83" t="str">
        <f aca="false">IF(E1163="","",IF(P1163="","À SOUDER",IF(S1163="","VT EN ATTENTE",IF(S1163="R","VT REJETÉ – À REPRENDRE",IF(AJ1163="","À RADIOGRAPHIER",IF(AJ1163="A","ACCEPTÉ",IF(AJ1163="NX","NX – RT À REFAIRE",IF(IF(AI1163=1,X1163,IF(AI1163=2,AC1163,""))="A","RÉPARÉ – À RADIOGRAPHIER",IF(IF(AI1163=1,X1163,IF(AI1163=2,AC1163,""))="R","VT REJETÉ – À REPRENDRE",IF(AJ1163="CO","COUPE – À RESOUDER","À RÉPARER"))))))))))</f>
        <v/>
      </c>
      <c r="AL1163" s="82" t="str">
        <f aca="false">IF(AND(ISNUMBER(P1163),OR(AK1163="À RADIOGRAPHIER",AK1163="RÉPARÉ – À RADIOGRAPHIER",AK1163="NX – RT À REFAIRE",AK1163="À RÉPARER",AK1163="COUPE – À RESOUDER",AK1163="VT REJETÉ – À REPRENDRE")),MAX(0,'PROGRAMME RT'!$C$4-P1163),"")</f>
        <v/>
      </c>
      <c r="AM1163" s="78" t="n">
        <f aca="false">IF(AND(OR(AK1163="À RADIOGRAPHIER",AK1163="RÉPARÉ – À RADIOGRAPHIER",AK1163="NX – RT À REFAIRE"),OR('PROGRAMME RT'!$D$5="TOUTES",B1163='PROGRAMME RT'!$D$5)),1,0)</f>
        <v>0</v>
      </c>
      <c r="AN1163" s="78" t="str">
        <f aca="false">IF(AM1163=1,SUM(AM$7:AM1163),"")</f>
        <v/>
      </c>
      <c r="AO1163" s="78" t="n">
        <f aca="false">IF(AND(OR(AK1163="À RÉPARER",AK1163="COUPE – À RESOUDER",AK1163="VT REJETÉ – À REPRENDRE"),OR(RÉPARATIONS!$D$5="TOUTES",B1163=RÉPARATIONS!$D$5)),1,0)</f>
        <v>0</v>
      </c>
      <c r="AP1163" s="78" t="str">
        <f aca="false">IF(AO1163=1,SUM(AO$7:AO1163),"")</f>
        <v/>
      </c>
    </row>
    <row r="1164" customFormat="false" ht="15" hidden="false" customHeight="false" outlineLevel="0" collapsed="false">
      <c r="A1164" s="78" t="str">
        <f aca="false">IF(E1164="","",ROW()-6)</f>
        <v/>
      </c>
      <c r="B1164" s="79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0"/>
      <c r="P1164" s="81"/>
      <c r="Q1164" s="81"/>
      <c r="R1164" s="80"/>
      <c r="S1164" s="80"/>
      <c r="T1164" s="81"/>
      <c r="U1164" s="80"/>
      <c r="V1164" s="80"/>
      <c r="W1164" s="80"/>
      <c r="X1164" s="80"/>
      <c r="Y1164" s="81"/>
      <c r="Z1164" s="80"/>
      <c r="AA1164" s="80"/>
      <c r="AB1164" s="80"/>
      <c r="AC1164" s="80"/>
      <c r="AD1164" s="81"/>
      <c r="AE1164" s="80"/>
      <c r="AF1164" s="80"/>
      <c r="AG1164" s="81"/>
      <c r="AH1164" s="79"/>
      <c r="AI1164" s="78" t="str">
        <f aca="false">IF(E1164="","",(V1164&lt;&gt;"")+(AA1164&lt;&gt;"")+(AF1164&lt;&gt;""))</f>
        <v/>
      </c>
      <c r="AJ1164" s="82" t="str">
        <f aca="false">IF(AF1164&lt;&gt;"",AF1164,IF(AA1164&lt;&gt;"",AA1164,IF(V1164&lt;&gt;"",V1164,"")))</f>
        <v/>
      </c>
      <c r="AK1164" s="83" t="str">
        <f aca="false">IF(E1164="","",IF(P1164="","À SOUDER",IF(S1164="","VT EN ATTENTE",IF(S1164="R","VT REJETÉ – À REPRENDRE",IF(AJ1164="","À RADIOGRAPHIER",IF(AJ1164="A","ACCEPTÉ",IF(AJ1164="NX","NX – RT À REFAIRE",IF(IF(AI1164=1,X1164,IF(AI1164=2,AC1164,""))="A","RÉPARÉ – À RADIOGRAPHIER",IF(IF(AI1164=1,X1164,IF(AI1164=2,AC1164,""))="R","VT REJETÉ – À REPRENDRE",IF(AJ1164="CO","COUPE – À RESOUDER","À RÉPARER"))))))))))</f>
        <v/>
      </c>
      <c r="AL1164" s="82" t="str">
        <f aca="false">IF(AND(ISNUMBER(P1164),OR(AK1164="À RADIOGRAPHIER",AK1164="RÉPARÉ – À RADIOGRAPHIER",AK1164="NX – RT À REFAIRE",AK1164="À RÉPARER",AK1164="COUPE – À RESOUDER",AK1164="VT REJETÉ – À REPRENDRE")),MAX(0,'PROGRAMME RT'!$C$4-P1164),"")</f>
        <v/>
      </c>
      <c r="AM1164" s="78" t="n">
        <f aca="false">IF(AND(OR(AK1164="À RADIOGRAPHIER",AK1164="RÉPARÉ – À RADIOGRAPHIER",AK1164="NX – RT À REFAIRE"),OR('PROGRAMME RT'!$D$5="TOUTES",B1164='PROGRAMME RT'!$D$5)),1,0)</f>
        <v>0</v>
      </c>
      <c r="AN1164" s="78" t="str">
        <f aca="false">IF(AM1164=1,SUM(AM$7:AM1164),"")</f>
        <v/>
      </c>
      <c r="AO1164" s="78" t="n">
        <f aca="false">IF(AND(OR(AK1164="À RÉPARER",AK1164="COUPE – À RESOUDER",AK1164="VT REJETÉ – À REPRENDRE"),OR(RÉPARATIONS!$D$5="TOUTES",B1164=RÉPARATIONS!$D$5)),1,0)</f>
        <v>0</v>
      </c>
      <c r="AP1164" s="78" t="str">
        <f aca="false">IF(AO1164=1,SUM(AO$7:AO1164),"")</f>
        <v/>
      </c>
    </row>
    <row r="1165" customFormat="false" ht="15" hidden="false" customHeight="false" outlineLevel="0" collapsed="false">
      <c r="A1165" s="78" t="str">
        <f aca="false">IF(E1165="","",ROW()-6)</f>
        <v/>
      </c>
      <c r="B1165" s="79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0"/>
      <c r="P1165" s="81"/>
      <c r="Q1165" s="81"/>
      <c r="R1165" s="80"/>
      <c r="S1165" s="80"/>
      <c r="T1165" s="81"/>
      <c r="U1165" s="80"/>
      <c r="V1165" s="80"/>
      <c r="W1165" s="80"/>
      <c r="X1165" s="80"/>
      <c r="Y1165" s="81"/>
      <c r="Z1165" s="80"/>
      <c r="AA1165" s="80"/>
      <c r="AB1165" s="80"/>
      <c r="AC1165" s="80"/>
      <c r="AD1165" s="81"/>
      <c r="AE1165" s="80"/>
      <c r="AF1165" s="80"/>
      <c r="AG1165" s="81"/>
      <c r="AH1165" s="79"/>
      <c r="AI1165" s="78" t="str">
        <f aca="false">IF(E1165="","",(V1165&lt;&gt;"")+(AA1165&lt;&gt;"")+(AF1165&lt;&gt;""))</f>
        <v/>
      </c>
      <c r="AJ1165" s="82" t="str">
        <f aca="false">IF(AF1165&lt;&gt;"",AF1165,IF(AA1165&lt;&gt;"",AA1165,IF(V1165&lt;&gt;"",V1165,"")))</f>
        <v/>
      </c>
      <c r="AK1165" s="83" t="str">
        <f aca="false">IF(E1165="","",IF(P1165="","À SOUDER",IF(S1165="","VT EN ATTENTE",IF(S1165="R","VT REJETÉ – À REPRENDRE",IF(AJ1165="","À RADIOGRAPHIER",IF(AJ1165="A","ACCEPTÉ",IF(AJ1165="NX","NX – RT À REFAIRE",IF(IF(AI1165=1,X1165,IF(AI1165=2,AC1165,""))="A","RÉPARÉ – À RADIOGRAPHIER",IF(IF(AI1165=1,X1165,IF(AI1165=2,AC1165,""))="R","VT REJETÉ – À REPRENDRE",IF(AJ1165="CO","COUPE – À RESOUDER","À RÉPARER"))))))))))</f>
        <v/>
      </c>
      <c r="AL1165" s="82" t="str">
        <f aca="false">IF(AND(ISNUMBER(P1165),OR(AK1165="À RADIOGRAPHIER",AK1165="RÉPARÉ – À RADIOGRAPHIER",AK1165="NX – RT À REFAIRE",AK1165="À RÉPARER",AK1165="COUPE – À RESOUDER",AK1165="VT REJETÉ – À REPRENDRE")),MAX(0,'PROGRAMME RT'!$C$4-P1165),"")</f>
        <v/>
      </c>
      <c r="AM1165" s="78" t="n">
        <f aca="false">IF(AND(OR(AK1165="À RADIOGRAPHIER",AK1165="RÉPARÉ – À RADIOGRAPHIER",AK1165="NX – RT À REFAIRE"),OR('PROGRAMME RT'!$D$5="TOUTES",B1165='PROGRAMME RT'!$D$5)),1,0)</f>
        <v>0</v>
      </c>
      <c r="AN1165" s="78" t="str">
        <f aca="false">IF(AM1165=1,SUM(AM$7:AM1165),"")</f>
        <v/>
      </c>
      <c r="AO1165" s="78" t="n">
        <f aca="false">IF(AND(OR(AK1165="À RÉPARER",AK1165="COUPE – À RESOUDER",AK1165="VT REJETÉ – À REPRENDRE"),OR(RÉPARATIONS!$D$5="TOUTES",B1165=RÉPARATIONS!$D$5)),1,0)</f>
        <v>0</v>
      </c>
      <c r="AP1165" s="78" t="str">
        <f aca="false">IF(AO1165=1,SUM(AO$7:AO1165),"")</f>
        <v/>
      </c>
    </row>
    <row r="1166" customFormat="false" ht="15" hidden="false" customHeight="false" outlineLevel="0" collapsed="false">
      <c r="A1166" s="78" t="str">
        <f aca="false">IF(E1166="","",ROW()-6)</f>
        <v/>
      </c>
      <c r="B1166" s="79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0"/>
      <c r="P1166" s="81"/>
      <c r="Q1166" s="81"/>
      <c r="R1166" s="80"/>
      <c r="S1166" s="80"/>
      <c r="T1166" s="81"/>
      <c r="U1166" s="80"/>
      <c r="V1166" s="80"/>
      <c r="W1166" s="80"/>
      <c r="X1166" s="80"/>
      <c r="Y1166" s="81"/>
      <c r="Z1166" s="80"/>
      <c r="AA1166" s="80"/>
      <c r="AB1166" s="80"/>
      <c r="AC1166" s="80"/>
      <c r="AD1166" s="81"/>
      <c r="AE1166" s="80"/>
      <c r="AF1166" s="80"/>
      <c r="AG1166" s="81"/>
      <c r="AH1166" s="79"/>
      <c r="AI1166" s="78" t="str">
        <f aca="false">IF(E1166="","",(V1166&lt;&gt;"")+(AA1166&lt;&gt;"")+(AF1166&lt;&gt;""))</f>
        <v/>
      </c>
      <c r="AJ1166" s="82" t="str">
        <f aca="false">IF(AF1166&lt;&gt;"",AF1166,IF(AA1166&lt;&gt;"",AA1166,IF(V1166&lt;&gt;"",V1166,"")))</f>
        <v/>
      </c>
      <c r="AK1166" s="83" t="str">
        <f aca="false">IF(E1166="","",IF(P1166="","À SOUDER",IF(S1166="","VT EN ATTENTE",IF(S1166="R","VT REJETÉ – À REPRENDRE",IF(AJ1166="","À RADIOGRAPHIER",IF(AJ1166="A","ACCEPTÉ",IF(AJ1166="NX","NX – RT À REFAIRE",IF(IF(AI1166=1,X1166,IF(AI1166=2,AC1166,""))="A","RÉPARÉ – À RADIOGRAPHIER",IF(IF(AI1166=1,X1166,IF(AI1166=2,AC1166,""))="R","VT REJETÉ – À REPRENDRE",IF(AJ1166="CO","COUPE – À RESOUDER","À RÉPARER"))))))))))</f>
        <v/>
      </c>
      <c r="AL1166" s="82" t="str">
        <f aca="false">IF(AND(ISNUMBER(P1166),OR(AK1166="À RADIOGRAPHIER",AK1166="RÉPARÉ – À RADIOGRAPHIER",AK1166="NX – RT À REFAIRE",AK1166="À RÉPARER",AK1166="COUPE – À RESOUDER",AK1166="VT REJETÉ – À REPRENDRE")),MAX(0,'PROGRAMME RT'!$C$4-P1166),"")</f>
        <v/>
      </c>
      <c r="AM1166" s="78" t="n">
        <f aca="false">IF(AND(OR(AK1166="À RADIOGRAPHIER",AK1166="RÉPARÉ – À RADIOGRAPHIER",AK1166="NX – RT À REFAIRE"),OR('PROGRAMME RT'!$D$5="TOUTES",B1166='PROGRAMME RT'!$D$5)),1,0)</f>
        <v>0</v>
      </c>
      <c r="AN1166" s="78" t="str">
        <f aca="false">IF(AM1166=1,SUM(AM$7:AM1166),"")</f>
        <v/>
      </c>
      <c r="AO1166" s="78" t="n">
        <f aca="false">IF(AND(OR(AK1166="À RÉPARER",AK1166="COUPE – À RESOUDER",AK1166="VT REJETÉ – À REPRENDRE"),OR(RÉPARATIONS!$D$5="TOUTES",B1166=RÉPARATIONS!$D$5)),1,0)</f>
        <v>0</v>
      </c>
      <c r="AP1166" s="78" t="str">
        <f aca="false">IF(AO1166=1,SUM(AO$7:AO1166),"")</f>
        <v/>
      </c>
    </row>
    <row r="1167" customFormat="false" ht="15" hidden="false" customHeight="false" outlineLevel="0" collapsed="false">
      <c r="A1167" s="78" t="str">
        <f aca="false">IF(E1167="","",ROW()-6)</f>
        <v/>
      </c>
      <c r="B1167" s="79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0"/>
      <c r="P1167" s="81"/>
      <c r="Q1167" s="81"/>
      <c r="R1167" s="80"/>
      <c r="S1167" s="80"/>
      <c r="T1167" s="81"/>
      <c r="U1167" s="80"/>
      <c r="V1167" s="80"/>
      <c r="W1167" s="80"/>
      <c r="X1167" s="80"/>
      <c r="Y1167" s="81"/>
      <c r="Z1167" s="80"/>
      <c r="AA1167" s="80"/>
      <c r="AB1167" s="80"/>
      <c r="AC1167" s="80"/>
      <c r="AD1167" s="81"/>
      <c r="AE1167" s="80"/>
      <c r="AF1167" s="80"/>
      <c r="AG1167" s="81"/>
      <c r="AH1167" s="79"/>
      <c r="AI1167" s="78" t="str">
        <f aca="false">IF(E1167="","",(V1167&lt;&gt;"")+(AA1167&lt;&gt;"")+(AF1167&lt;&gt;""))</f>
        <v/>
      </c>
      <c r="AJ1167" s="82" t="str">
        <f aca="false">IF(AF1167&lt;&gt;"",AF1167,IF(AA1167&lt;&gt;"",AA1167,IF(V1167&lt;&gt;"",V1167,"")))</f>
        <v/>
      </c>
      <c r="AK1167" s="83" t="str">
        <f aca="false">IF(E1167="","",IF(P1167="","À SOUDER",IF(S1167="","VT EN ATTENTE",IF(S1167="R","VT REJETÉ – À REPRENDRE",IF(AJ1167="","À RADIOGRAPHIER",IF(AJ1167="A","ACCEPTÉ",IF(AJ1167="NX","NX – RT À REFAIRE",IF(IF(AI1167=1,X1167,IF(AI1167=2,AC1167,""))="A","RÉPARÉ – À RADIOGRAPHIER",IF(IF(AI1167=1,X1167,IF(AI1167=2,AC1167,""))="R","VT REJETÉ – À REPRENDRE",IF(AJ1167="CO","COUPE – À RESOUDER","À RÉPARER"))))))))))</f>
        <v/>
      </c>
      <c r="AL1167" s="82" t="str">
        <f aca="false">IF(AND(ISNUMBER(P1167),OR(AK1167="À RADIOGRAPHIER",AK1167="RÉPARÉ – À RADIOGRAPHIER",AK1167="NX – RT À REFAIRE",AK1167="À RÉPARER",AK1167="COUPE – À RESOUDER",AK1167="VT REJETÉ – À REPRENDRE")),MAX(0,'PROGRAMME RT'!$C$4-P1167),"")</f>
        <v/>
      </c>
      <c r="AM1167" s="78" t="n">
        <f aca="false">IF(AND(OR(AK1167="À RADIOGRAPHIER",AK1167="RÉPARÉ – À RADIOGRAPHIER",AK1167="NX – RT À REFAIRE"),OR('PROGRAMME RT'!$D$5="TOUTES",B1167='PROGRAMME RT'!$D$5)),1,0)</f>
        <v>0</v>
      </c>
      <c r="AN1167" s="78" t="str">
        <f aca="false">IF(AM1167=1,SUM(AM$7:AM1167),"")</f>
        <v/>
      </c>
      <c r="AO1167" s="78" t="n">
        <f aca="false">IF(AND(OR(AK1167="À RÉPARER",AK1167="COUPE – À RESOUDER",AK1167="VT REJETÉ – À REPRENDRE"),OR(RÉPARATIONS!$D$5="TOUTES",B1167=RÉPARATIONS!$D$5)),1,0)</f>
        <v>0</v>
      </c>
      <c r="AP1167" s="78" t="str">
        <f aca="false">IF(AO1167=1,SUM(AO$7:AO1167),"")</f>
        <v/>
      </c>
    </row>
    <row r="1168" customFormat="false" ht="15" hidden="false" customHeight="false" outlineLevel="0" collapsed="false">
      <c r="A1168" s="78" t="str">
        <f aca="false">IF(E1168="","",ROW()-6)</f>
        <v/>
      </c>
      <c r="B1168" s="79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0"/>
      <c r="P1168" s="81"/>
      <c r="Q1168" s="81"/>
      <c r="R1168" s="80"/>
      <c r="S1168" s="80"/>
      <c r="T1168" s="81"/>
      <c r="U1168" s="80"/>
      <c r="V1168" s="80"/>
      <c r="W1168" s="80"/>
      <c r="X1168" s="80"/>
      <c r="Y1168" s="81"/>
      <c r="Z1168" s="80"/>
      <c r="AA1168" s="80"/>
      <c r="AB1168" s="80"/>
      <c r="AC1168" s="80"/>
      <c r="AD1168" s="81"/>
      <c r="AE1168" s="80"/>
      <c r="AF1168" s="80"/>
      <c r="AG1168" s="81"/>
      <c r="AH1168" s="79"/>
      <c r="AI1168" s="78" t="str">
        <f aca="false">IF(E1168="","",(V1168&lt;&gt;"")+(AA1168&lt;&gt;"")+(AF1168&lt;&gt;""))</f>
        <v/>
      </c>
      <c r="AJ1168" s="82" t="str">
        <f aca="false">IF(AF1168&lt;&gt;"",AF1168,IF(AA1168&lt;&gt;"",AA1168,IF(V1168&lt;&gt;"",V1168,"")))</f>
        <v/>
      </c>
      <c r="AK1168" s="83" t="str">
        <f aca="false">IF(E1168="","",IF(P1168="","À SOUDER",IF(S1168="","VT EN ATTENTE",IF(S1168="R","VT REJETÉ – À REPRENDRE",IF(AJ1168="","À RADIOGRAPHIER",IF(AJ1168="A","ACCEPTÉ",IF(AJ1168="NX","NX – RT À REFAIRE",IF(IF(AI1168=1,X1168,IF(AI1168=2,AC1168,""))="A","RÉPARÉ – À RADIOGRAPHIER",IF(IF(AI1168=1,X1168,IF(AI1168=2,AC1168,""))="R","VT REJETÉ – À REPRENDRE",IF(AJ1168="CO","COUPE – À RESOUDER","À RÉPARER"))))))))))</f>
        <v/>
      </c>
      <c r="AL1168" s="82" t="str">
        <f aca="false">IF(AND(ISNUMBER(P1168),OR(AK1168="À RADIOGRAPHIER",AK1168="RÉPARÉ – À RADIOGRAPHIER",AK1168="NX – RT À REFAIRE",AK1168="À RÉPARER",AK1168="COUPE – À RESOUDER",AK1168="VT REJETÉ – À REPRENDRE")),MAX(0,'PROGRAMME RT'!$C$4-P1168),"")</f>
        <v/>
      </c>
      <c r="AM1168" s="78" t="n">
        <f aca="false">IF(AND(OR(AK1168="À RADIOGRAPHIER",AK1168="RÉPARÉ – À RADIOGRAPHIER",AK1168="NX – RT À REFAIRE"),OR('PROGRAMME RT'!$D$5="TOUTES",B1168='PROGRAMME RT'!$D$5)),1,0)</f>
        <v>0</v>
      </c>
      <c r="AN1168" s="78" t="str">
        <f aca="false">IF(AM1168=1,SUM(AM$7:AM1168),"")</f>
        <v/>
      </c>
      <c r="AO1168" s="78" t="n">
        <f aca="false">IF(AND(OR(AK1168="À RÉPARER",AK1168="COUPE – À RESOUDER",AK1168="VT REJETÉ – À REPRENDRE"),OR(RÉPARATIONS!$D$5="TOUTES",B1168=RÉPARATIONS!$D$5)),1,0)</f>
        <v>0</v>
      </c>
      <c r="AP1168" s="78" t="str">
        <f aca="false">IF(AO1168=1,SUM(AO$7:AO1168),"")</f>
        <v/>
      </c>
    </row>
    <row r="1169" customFormat="false" ht="15" hidden="false" customHeight="false" outlineLevel="0" collapsed="false">
      <c r="A1169" s="78" t="str">
        <f aca="false">IF(E1169="","",ROW()-6)</f>
        <v/>
      </c>
      <c r="B1169" s="79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0"/>
      <c r="P1169" s="81"/>
      <c r="Q1169" s="81"/>
      <c r="R1169" s="80"/>
      <c r="S1169" s="80"/>
      <c r="T1169" s="81"/>
      <c r="U1169" s="80"/>
      <c r="V1169" s="80"/>
      <c r="W1169" s="80"/>
      <c r="X1169" s="80"/>
      <c r="Y1169" s="81"/>
      <c r="Z1169" s="80"/>
      <c r="AA1169" s="80"/>
      <c r="AB1169" s="80"/>
      <c r="AC1169" s="80"/>
      <c r="AD1169" s="81"/>
      <c r="AE1169" s="80"/>
      <c r="AF1169" s="80"/>
      <c r="AG1169" s="81"/>
      <c r="AH1169" s="79"/>
      <c r="AI1169" s="78" t="str">
        <f aca="false">IF(E1169="","",(V1169&lt;&gt;"")+(AA1169&lt;&gt;"")+(AF1169&lt;&gt;""))</f>
        <v/>
      </c>
      <c r="AJ1169" s="82" t="str">
        <f aca="false">IF(AF1169&lt;&gt;"",AF1169,IF(AA1169&lt;&gt;"",AA1169,IF(V1169&lt;&gt;"",V1169,"")))</f>
        <v/>
      </c>
      <c r="AK1169" s="83" t="str">
        <f aca="false">IF(E1169="","",IF(P1169="","À SOUDER",IF(S1169="","VT EN ATTENTE",IF(S1169="R","VT REJETÉ – À REPRENDRE",IF(AJ1169="","À RADIOGRAPHIER",IF(AJ1169="A","ACCEPTÉ",IF(AJ1169="NX","NX – RT À REFAIRE",IF(IF(AI1169=1,X1169,IF(AI1169=2,AC1169,""))="A","RÉPARÉ – À RADIOGRAPHIER",IF(IF(AI1169=1,X1169,IF(AI1169=2,AC1169,""))="R","VT REJETÉ – À REPRENDRE",IF(AJ1169="CO","COUPE – À RESOUDER","À RÉPARER"))))))))))</f>
        <v/>
      </c>
      <c r="AL1169" s="82" t="str">
        <f aca="false">IF(AND(ISNUMBER(P1169),OR(AK1169="À RADIOGRAPHIER",AK1169="RÉPARÉ – À RADIOGRAPHIER",AK1169="NX – RT À REFAIRE",AK1169="À RÉPARER",AK1169="COUPE – À RESOUDER",AK1169="VT REJETÉ – À REPRENDRE")),MAX(0,'PROGRAMME RT'!$C$4-P1169),"")</f>
        <v/>
      </c>
      <c r="AM1169" s="78" t="n">
        <f aca="false">IF(AND(OR(AK1169="À RADIOGRAPHIER",AK1169="RÉPARÉ – À RADIOGRAPHIER",AK1169="NX – RT À REFAIRE"),OR('PROGRAMME RT'!$D$5="TOUTES",B1169='PROGRAMME RT'!$D$5)),1,0)</f>
        <v>0</v>
      </c>
      <c r="AN1169" s="78" t="str">
        <f aca="false">IF(AM1169=1,SUM(AM$7:AM1169),"")</f>
        <v/>
      </c>
      <c r="AO1169" s="78" t="n">
        <f aca="false">IF(AND(OR(AK1169="À RÉPARER",AK1169="COUPE – À RESOUDER",AK1169="VT REJETÉ – À REPRENDRE"),OR(RÉPARATIONS!$D$5="TOUTES",B1169=RÉPARATIONS!$D$5)),1,0)</f>
        <v>0</v>
      </c>
      <c r="AP1169" s="78" t="str">
        <f aca="false">IF(AO1169=1,SUM(AO$7:AO1169),"")</f>
        <v/>
      </c>
    </row>
    <row r="1170" customFormat="false" ht="15" hidden="false" customHeight="false" outlineLevel="0" collapsed="false">
      <c r="A1170" s="78" t="str">
        <f aca="false">IF(E1170="","",ROW()-6)</f>
        <v/>
      </c>
      <c r="B1170" s="79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0"/>
      <c r="P1170" s="81"/>
      <c r="Q1170" s="81"/>
      <c r="R1170" s="80"/>
      <c r="S1170" s="80"/>
      <c r="T1170" s="81"/>
      <c r="U1170" s="80"/>
      <c r="V1170" s="80"/>
      <c r="W1170" s="80"/>
      <c r="X1170" s="80"/>
      <c r="Y1170" s="81"/>
      <c r="Z1170" s="80"/>
      <c r="AA1170" s="80"/>
      <c r="AB1170" s="80"/>
      <c r="AC1170" s="80"/>
      <c r="AD1170" s="81"/>
      <c r="AE1170" s="80"/>
      <c r="AF1170" s="80"/>
      <c r="AG1170" s="81"/>
      <c r="AH1170" s="79"/>
      <c r="AI1170" s="78" t="str">
        <f aca="false">IF(E1170="","",(V1170&lt;&gt;"")+(AA1170&lt;&gt;"")+(AF1170&lt;&gt;""))</f>
        <v/>
      </c>
      <c r="AJ1170" s="82" t="str">
        <f aca="false">IF(AF1170&lt;&gt;"",AF1170,IF(AA1170&lt;&gt;"",AA1170,IF(V1170&lt;&gt;"",V1170,"")))</f>
        <v/>
      </c>
      <c r="AK1170" s="83" t="str">
        <f aca="false">IF(E1170="","",IF(P1170="","À SOUDER",IF(S1170="","VT EN ATTENTE",IF(S1170="R","VT REJETÉ – À REPRENDRE",IF(AJ1170="","À RADIOGRAPHIER",IF(AJ1170="A","ACCEPTÉ",IF(AJ1170="NX","NX – RT À REFAIRE",IF(IF(AI1170=1,X1170,IF(AI1170=2,AC1170,""))="A","RÉPARÉ – À RADIOGRAPHIER",IF(IF(AI1170=1,X1170,IF(AI1170=2,AC1170,""))="R","VT REJETÉ – À REPRENDRE",IF(AJ1170="CO","COUPE – À RESOUDER","À RÉPARER"))))))))))</f>
        <v/>
      </c>
      <c r="AL1170" s="82" t="str">
        <f aca="false">IF(AND(ISNUMBER(P1170),OR(AK1170="À RADIOGRAPHIER",AK1170="RÉPARÉ – À RADIOGRAPHIER",AK1170="NX – RT À REFAIRE",AK1170="À RÉPARER",AK1170="COUPE – À RESOUDER",AK1170="VT REJETÉ – À REPRENDRE")),MAX(0,'PROGRAMME RT'!$C$4-P1170),"")</f>
        <v/>
      </c>
      <c r="AM1170" s="78" t="n">
        <f aca="false">IF(AND(OR(AK1170="À RADIOGRAPHIER",AK1170="RÉPARÉ – À RADIOGRAPHIER",AK1170="NX – RT À REFAIRE"),OR('PROGRAMME RT'!$D$5="TOUTES",B1170='PROGRAMME RT'!$D$5)),1,0)</f>
        <v>0</v>
      </c>
      <c r="AN1170" s="78" t="str">
        <f aca="false">IF(AM1170=1,SUM(AM$7:AM1170),"")</f>
        <v/>
      </c>
      <c r="AO1170" s="78" t="n">
        <f aca="false">IF(AND(OR(AK1170="À RÉPARER",AK1170="COUPE – À RESOUDER",AK1170="VT REJETÉ – À REPRENDRE"),OR(RÉPARATIONS!$D$5="TOUTES",B1170=RÉPARATIONS!$D$5)),1,0)</f>
        <v>0</v>
      </c>
      <c r="AP1170" s="78" t="str">
        <f aca="false">IF(AO1170=1,SUM(AO$7:AO1170),"")</f>
        <v/>
      </c>
    </row>
    <row r="1171" customFormat="false" ht="15" hidden="false" customHeight="false" outlineLevel="0" collapsed="false">
      <c r="A1171" s="78" t="str">
        <f aca="false">IF(E1171="","",ROW()-6)</f>
        <v/>
      </c>
      <c r="B1171" s="79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0"/>
      <c r="P1171" s="81"/>
      <c r="Q1171" s="81"/>
      <c r="R1171" s="80"/>
      <c r="S1171" s="80"/>
      <c r="T1171" s="81"/>
      <c r="U1171" s="80"/>
      <c r="V1171" s="80"/>
      <c r="W1171" s="80"/>
      <c r="X1171" s="80"/>
      <c r="Y1171" s="81"/>
      <c r="Z1171" s="80"/>
      <c r="AA1171" s="80"/>
      <c r="AB1171" s="80"/>
      <c r="AC1171" s="80"/>
      <c r="AD1171" s="81"/>
      <c r="AE1171" s="80"/>
      <c r="AF1171" s="80"/>
      <c r="AG1171" s="81"/>
      <c r="AH1171" s="79"/>
      <c r="AI1171" s="78" t="str">
        <f aca="false">IF(E1171="","",(V1171&lt;&gt;"")+(AA1171&lt;&gt;"")+(AF1171&lt;&gt;""))</f>
        <v/>
      </c>
      <c r="AJ1171" s="82" t="str">
        <f aca="false">IF(AF1171&lt;&gt;"",AF1171,IF(AA1171&lt;&gt;"",AA1171,IF(V1171&lt;&gt;"",V1171,"")))</f>
        <v/>
      </c>
      <c r="AK1171" s="83" t="str">
        <f aca="false">IF(E1171="","",IF(P1171="","À SOUDER",IF(S1171="","VT EN ATTENTE",IF(S1171="R","VT REJETÉ – À REPRENDRE",IF(AJ1171="","À RADIOGRAPHIER",IF(AJ1171="A","ACCEPTÉ",IF(AJ1171="NX","NX – RT À REFAIRE",IF(IF(AI1171=1,X1171,IF(AI1171=2,AC1171,""))="A","RÉPARÉ – À RADIOGRAPHIER",IF(IF(AI1171=1,X1171,IF(AI1171=2,AC1171,""))="R","VT REJETÉ – À REPRENDRE",IF(AJ1171="CO","COUPE – À RESOUDER","À RÉPARER"))))))))))</f>
        <v/>
      </c>
      <c r="AL1171" s="82" t="str">
        <f aca="false">IF(AND(ISNUMBER(P1171),OR(AK1171="À RADIOGRAPHIER",AK1171="RÉPARÉ – À RADIOGRAPHIER",AK1171="NX – RT À REFAIRE",AK1171="À RÉPARER",AK1171="COUPE – À RESOUDER",AK1171="VT REJETÉ – À REPRENDRE")),MAX(0,'PROGRAMME RT'!$C$4-P1171),"")</f>
        <v/>
      </c>
      <c r="AM1171" s="78" t="n">
        <f aca="false">IF(AND(OR(AK1171="À RADIOGRAPHIER",AK1171="RÉPARÉ – À RADIOGRAPHIER",AK1171="NX – RT À REFAIRE"),OR('PROGRAMME RT'!$D$5="TOUTES",B1171='PROGRAMME RT'!$D$5)),1,0)</f>
        <v>0</v>
      </c>
      <c r="AN1171" s="78" t="str">
        <f aca="false">IF(AM1171=1,SUM(AM$7:AM1171),"")</f>
        <v/>
      </c>
      <c r="AO1171" s="78" t="n">
        <f aca="false">IF(AND(OR(AK1171="À RÉPARER",AK1171="COUPE – À RESOUDER",AK1171="VT REJETÉ – À REPRENDRE"),OR(RÉPARATIONS!$D$5="TOUTES",B1171=RÉPARATIONS!$D$5)),1,0)</f>
        <v>0</v>
      </c>
      <c r="AP1171" s="78" t="str">
        <f aca="false">IF(AO1171=1,SUM(AO$7:AO1171),"")</f>
        <v/>
      </c>
    </row>
    <row r="1172" customFormat="false" ht="15" hidden="false" customHeight="false" outlineLevel="0" collapsed="false">
      <c r="A1172" s="78" t="str">
        <f aca="false">IF(E1172="","",ROW()-6)</f>
        <v/>
      </c>
      <c r="B1172" s="79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0"/>
      <c r="P1172" s="81"/>
      <c r="Q1172" s="81"/>
      <c r="R1172" s="80"/>
      <c r="S1172" s="80"/>
      <c r="T1172" s="81"/>
      <c r="U1172" s="80"/>
      <c r="V1172" s="80"/>
      <c r="W1172" s="80"/>
      <c r="X1172" s="80"/>
      <c r="Y1172" s="81"/>
      <c r="Z1172" s="80"/>
      <c r="AA1172" s="80"/>
      <c r="AB1172" s="80"/>
      <c r="AC1172" s="80"/>
      <c r="AD1172" s="81"/>
      <c r="AE1172" s="80"/>
      <c r="AF1172" s="80"/>
      <c r="AG1172" s="81"/>
      <c r="AH1172" s="79"/>
      <c r="AI1172" s="78" t="str">
        <f aca="false">IF(E1172="","",(V1172&lt;&gt;"")+(AA1172&lt;&gt;"")+(AF1172&lt;&gt;""))</f>
        <v/>
      </c>
      <c r="AJ1172" s="82" t="str">
        <f aca="false">IF(AF1172&lt;&gt;"",AF1172,IF(AA1172&lt;&gt;"",AA1172,IF(V1172&lt;&gt;"",V1172,"")))</f>
        <v/>
      </c>
      <c r="AK1172" s="83" t="str">
        <f aca="false">IF(E1172="","",IF(P1172="","À SOUDER",IF(S1172="","VT EN ATTENTE",IF(S1172="R","VT REJETÉ – À REPRENDRE",IF(AJ1172="","À RADIOGRAPHIER",IF(AJ1172="A","ACCEPTÉ",IF(AJ1172="NX","NX – RT À REFAIRE",IF(IF(AI1172=1,X1172,IF(AI1172=2,AC1172,""))="A","RÉPARÉ – À RADIOGRAPHIER",IF(IF(AI1172=1,X1172,IF(AI1172=2,AC1172,""))="R","VT REJETÉ – À REPRENDRE",IF(AJ1172="CO","COUPE – À RESOUDER","À RÉPARER"))))))))))</f>
        <v/>
      </c>
      <c r="AL1172" s="82" t="str">
        <f aca="false">IF(AND(ISNUMBER(P1172),OR(AK1172="À RADIOGRAPHIER",AK1172="RÉPARÉ – À RADIOGRAPHIER",AK1172="NX – RT À REFAIRE",AK1172="À RÉPARER",AK1172="COUPE – À RESOUDER",AK1172="VT REJETÉ – À REPRENDRE")),MAX(0,'PROGRAMME RT'!$C$4-P1172),"")</f>
        <v/>
      </c>
      <c r="AM1172" s="78" t="n">
        <f aca="false">IF(AND(OR(AK1172="À RADIOGRAPHIER",AK1172="RÉPARÉ – À RADIOGRAPHIER",AK1172="NX – RT À REFAIRE"),OR('PROGRAMME RT'!$D$5="TOUTES",B1172='PROGRAMME RT'!$D$5)),1,0)</f>
        <v>0</v>
      </c>
      <c r="AN1172" s="78" t="str">
        <f aca="false">IF(AM1172=1,SUM(AM$7:AM1172),"")</f>
        <v/>
      </c>
      <c r="AO1172" s="78" t="n">
        <f aca="false">IF(AND(OR(AK1172="À RÉPARER",AK1172="COUPE – À RESOUDER",AK1172="VT REJETÉ – À REPRENDRE"),OR(RÉPARATIONS!$D$5="TOUTES",B1172=RÉPARATIONS!$D$5)),1,0)</f>
        <v>0</v>
      </c>
      <c r="AP1172" s="78" t="str">
        <f aca="false">IF(AO1172=1,SUM(AO$7:AO1172),"")</f>
        <v/>
      </c>
    </row>
    <row r="1173" customFormat="false" ht="15" hidden="false" customHeight="false" outlineLevel="0" collapsed="false">
      <c r="A1173" s="78" t="str">
        <f aca="false">IF(E1173="","",ROW()-6)</f>
        <v/>
      </c>
      <c r="B1173" s="79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0"/>
      <c r="P1173" s="81"/>
      <c r="Q1173" s="81"/>
      <c r="R1173" s="80"/>
      <c r="S1173" s="80"/>
      <c r="T1173" s="81"/>
      <c r="U1173" s="80"/>
      <c r="V1173" s="80"/>
      <c r="W1173" s="80"/>
      <c r="X1173" s="80"/>
      <c r="Y1173" s="81"/>
      <c r="Z1173" s="80"/>
      <c r="AA1173" s="80"/>
      <c r="AB1173" s="80"/>
      <c r="AC1173" s="80"/>
      <c r="AD1173" s="81"/>
      <c r="AE1173" s="80"/>
      <c r="AF1173" s="80"/>
      <c r="AG1173" s="81"/>
      <c r="AH1173" s="79"/>
      <c r="AI1173" s="78" t="str">
        <f aca="false">IF(E1173="","",(V1173&lt;&gt;"")+(AA1173&lt;&gt;"")+(AF1173&lt;&gt;""))</f>
        <v/>
      </c>
      <c r="AJ1173" s="82" t="str">
        <f aca="false">IF(AF1173&lt;&gt;"",AF1173,IF(AA1173&lt;&gt;"",AA1173,IF(V1173&lt;&gt;"",V1173,"")))</f>
        <v/>
      </c>
      <c r="AK1173" s="83" t="str">
        <f aca="false">IF(E1173="","",IF(P1173="","À SOUDER",IF(S1173="","VT EN ATTENTE",IF(S1173="R","VT REJETÉ – À REPRENDRE",IF(AJ1173="","À RADIOGRAPHIER",IF(AJ1173="A","ACCEPTÉ",IF(AJ1173="NX","NX – RT À REFAIRE",IF(IF(AI1173=1,X1173,IF(AI1173=2,AC1173,""))="A","RÉPARÉ – À RADIOGRAPHIER",IF(IF(AI1173=1,X1173,IF(AI1173=2,AC1173,""))="R","VT REJETÉ – À REPRENDRE",IF(AJ1173="CO","COUPE – À RESOUDER","À RÉPARER"))))))))))</f>
        <v/>
      </c>
      <c r="AL1173" s="82" t="str">
        <f aca="false">IF(AND(ISNUMBER(P1173),OR(AK1173="À RADIOGRAPHIER",AK1173="RÉPARÉ – À RADIOGRAPHIER",AK1173="NX – RT À REFAIRE",AK1173="À RÉPARER",AK1173="COUPE – À RESOUDER",AK1173="VT REJETÉ – À REPRENDRE")),MAX(0,'PROGRAMME RT'!$C$4-P1173),"")</f>
        <v/>
      </c>
      <c r="AM1173" s="78" t="n">
        <f aca="false">IF(AND(OR(AK1173="À RADIOGRAPHIER",AK1173="RÉPARÉ – À RADIOGRAPHIER",AK1173="NX – RT À REFAIRE"),OR('PROGRAMME RT'!$D$5="TOUTES",B1173='PROGRAMME RT'!$D$5)),1,0)</f>
        <v>0</v>
      </c>
      <c r="AN1173" s="78" t="str">
        <f aca="false">IF(AM1173=1,SUM(AM$7:AM1173),"")</f>
        <v/>
      </c>
      <c r="AO1173" s="78" t="n">
        <f aca="false">IF(AND(OR(AK1173="À RÉPARER",AK1173="COUPE – À RESOUDER",AK1173="VT REJETÉ – À REPRENDRE"),OR(RÉPARATIONS!$D$5="TOUTES",B1173=RÉPARATIONS!$D$5)),1,0)</f>
        <v>0</v>
      </c>
      <c r="AP1173" s="78" t="str">
        <f aca="false">IF(AO1173=1,SUM(AO$7:AO1173),"")</f>
        <v/>
      </c>
    </row>
    <row r="1174" customFormat="false" ht="15" hidden="false" customHeight="false" outlineLevel="0" collapsed="false">
      <c r="A1174" s="78" t="str">
        <f aca="false">IF(E1174="","",ROW()-6)</f>
        <v/>
      </c>
      <c r="B1174" s="79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0"/>
      <c r="P1174" s="81"/>
      <c r="Q1174" s="81"/>
      <c r="R1174" s="80"/>
      <c r="S1174" s="80"/>
      <c r="T1174" s="81"/>
      <c r="U1174" s="80"/>
      <c r="V1174" s="80"/>
      <c r="W1174" s="80"/>
      <c r="X1174" s="80"/>
      <c r="Y1174" s="81"/>
      <c r="Z1174" s="80"/>
      <c r="AA1174" s="80"/>
      <c r="AB1174" s="80"/>
      <c r="AC1174" s="80"/>
      <c r="AD1174" s="81"/>
      <c r="AE1174" s="80"/>
      <c r="AF1174" s="80"/>
      <c r="AG1174" s="81"/>
      <c r="AH1174" s="79"/>
      <c r="AI1174" s="78" t="str">
        <f aca="false">IF(E1174="","",(V1174&lt;&gt;"")+(AA1174&lt;&gt;"")+(AF1174&lt;&gt;""))</f>
        <v/>
      </c>
      <c r="AJ1174" s="82" t="str">
        <f aca="false">IF(AF1174&lt;&gt;"",AF1174,IF(AA1174&lt;&gt;"",AA1174,IF(V1174&lt;&gt;"",V1174,"")))</f>
        <v/>
      </c>
      <c r="AK1174" s="83" t="str">
        <f aca="false">IF(E1174="","",IF(P1174="","À SOUDER",IF(S1174="","VT EN ATTENTE",IF(S1174="R","VT REJETÉ – À REPRENDRE",IF(AJ1174="","À RADIOGRAPHIER",IF(AJ1174="A","ACCEPTÉ",IF(AJ1174="NX","NX – RT À REFAIRE",IF(IF(AI1174=1,X1174,IF(AI1174=2,AC1174,""))="A","RÉPARÉ – À RADIOGRAPHIER",IF(IF(AI1174=1,X1174,IF(AI1174=2,AC1174,""))="R","VT REJETÉ – À REPRENDRE",IF(AJ1174="CO","COUPE – À RESOUDER","À RÉPARER"))))))))))</f>
        <v/>
      </c>
      <c r="AL1174" s="82" t="str">
        <f aca="false">IF(AND(ISNUMBER(P1174),OR(AK1174="À RADIOGRAPHIER",AK1174="RÉPARÉ – À RADIOGRAPHIER",AK1174="NX – RT À REFAIRE",AK1174="À RÉPARER",AK1174="COUPE – À RESOUDER",AK1174="VT REJETÉ – À REPRENDRE")),MAX(0,'PROGRAMME RT'!$C$4-P1174),"")</f>
        <v/>
      </c>
      <c r="AM1174" s="78" t="n">
        <f aca="false">IF(AND(OR(AK1174="À RADIOGRAPHIER",AK1174="RÉPARÉ – À RADIOGRAPHIER",AK1174="NX – RT À REFAIRE"),OR('PROGRAMME RT'!$D$5="TOUTES",B1174='PROGRAMME RT'!$D$5)),1,0)</f>
        <v>0</v>
      </c>
      <c r="AN1174" s="78" t="str">
        <f aca="false">IF(AM1174=1,SUM(AM$7:AM1174),"")</f>
        <v/>
      </c>
      <c r="AO1174" s="78" t="n">
        <f aca="false">IF(AND(OR(AK1174="À RÉPARER",AK1174="COUPE – À RESOUDER",AK1174="VT REJETÉ – À REPRENDRE"),OR(RÉPARATIONS!$D$5="TOUTES",B1174=RÉPARATIONS!$D$5)),1,0)</f>
        <v>0</v>
      </c>
      <c r="AP1174" s="78" t="str">
        <f aca="false">IF(AO1174=1,SUM(AO$7:AO1174),"")</f>
        <v/>
      </c>
    </row>
    <row r="1175" customFormat="false" ht="15" hidden="false" customHeight="false" outlineLevel="0" collapsed="false">
      <c r="A1175" s="78" t="str">
        <f aca="false">IF(E1175="","",ROW()-6)</f>
        <v/>
      </c>
      <c r="B1175" s="79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0"/>
      <c r="P1175" s="81"/>
      <c r="Q1175" s="81"/>
      <c r="R1175" s="80"/>
      <c r="S1175" s="80"/>
      <c r="T1175" s="81"/>
      <c r="U1175" s="80"/>
      <c r="V1175" s="80"/>
      <c r="W1175" s="80"/>
      <c r="X1175" s="80"/>
      <c r="Y1175" s="81"/>
      <c r="Z1175" s="80"/>
      <c r="AA1175" s="80"/>
      <c r="AB1175" s="80"/>
      <c r="AC1175" s="80"/>
      <c r="AD1175" s="81"/>
      <c r="AE1175" s="80"/>
      <c r="AF1175" s="80"/>
      <c r="AG1175" s="81"/>
      <c r="AH1175" s="79"/>
      <c r="AI1175" s="78" t="str">
        <f aca="false">IF(E1175="","",(V1175&lt;&gt;"")+(AA1175&lt;&gt;"")+(AF1175&lt;&gt;""))</f>
        <v/>
      </c>
      <c r="AJ1175" s="82" t="str">
        <f aca="false">IF(AF1175&lt;&gt;"",AF1175,IF(AA1175&lt;&gt;"",AA1175,IF(V1175&lt;&gt;"",V1175,"")))</f>
        <v/>
      </c>
      <c r="AK1175" s="83" t="str">
        <f aca="false">IF(E1175="","",IF(P1175="","À SOUDER",IF(S1175="","VT EN ATTENTE",IF(S1175="R","VT REJETÉ – À REPRENDRE",IF(AJ1175="","À RADIOGRAPHIER",IF(AJ1175="A","ACCEPTÉ",IF(AJ1175="NX","NX – RT À REFAIRE",IF(IF(AI1175=1,X1175,IF(AI1175=2,AC1175,""))="A","RÉPARÉ – À RADIOGRAPHIER",IF(IF(AI1175=1,X1175,IF(AI1175=2,AC1175,""))="R","VT REJETÉ – À REPRENDRE",IF(AJ1175="CO","COUPE – À RESOUDER","À RÉPARER"))))))))))</f>
        <v/>
      </c>
      <c r="AL1175" s="82" t="str">
        <f aca="false">IF(AND(ISNUMBER(P1175),OR(AK1175="À RADIOGRAPHIER",AK1175="RÉPARÉ – À RADIOGRAPHIER",AK1175="NX – RT À REFAIRE",AK1175="À RÉPARER",AK1175="COUPE – À RESOUDER",AK1175="VT REJETÉ – À REPRENDRE")),MAX(0,'PROGRAMME RT'!$C$4-P1175),"")</f>
        <v/>
      </c>
      <c r="AM1175" s="78" t="n">
        <f aca="false">IF(AND(OR(AK1175="À RADIOGRAPHIER",AK1175="RÉPARÉ – À RADIOGRAPHIER",AK1175="NX – RT À REFAIRE"),OR('PROGRAMME RT'!$D$5="TOUTES",B1175='PROGRAMME RT'!$D$5)),1,0)</f>
        <v>0</v>
      </c>
      <c r="AN1175" s="78" t="str">
        <f aca="false">IF(AM1175=1,SUM(AM$7:AM1175),"")</f>
        <v/>
      </c>
      <c r="AO1175" s="78" t="n">
        <f aca="false">IF(AND(OR(AK1175="À RÉPARER",AK1175="COUPE – À RESOUDER",AK1175="VT REJETÉ – À REPRENDRE"),OR(RÉPARATIONS!$D$5="TOUTES",B1175=RÉPARATIONS!$D$5)),1,0)</f>
        <v>0</v>
      </c>
      <c r="AP1175" s="78" t="str">
        <f aca="false">IF(AO1175=1,SUM(AO$7:AO1175),"")</f>
        <v/>
      </c>
    </row>
    <row r="1176" customFormat="false" ht="15" hidden="false" customHeight="false" outlineLevel="0" collapsed="false">
      <c r="A1176" s="78" t="str">
        <f aca="false">IF(E1176="","",ROW()-6)</f>
        <v/>
      </c>
      <c r="B1176" s="79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0"/>
      <c r="P1176" s="81"/>
      <c r="Q1176" s="81"/>
      <c r="R1176" s="80"/>
      <c r="S1176" s="80"/>
      <c r="T1176" s="81"/>
      <c r="U1176" s="80"/>
      <c r="V1176" s="80"/>
      <c r="W1176" s="80"/>
      <c r="X1176" s="80"/>
      <c r="Y1176" s="81"/>
      <c r="Z1176" s="80"/>
      <c r="AA1176" s="80"/>
      <c r="AB1176" s="80"/>
      <c r="AC1176" s="80"/>
      <c r="AD1176" s="81"/>
      <c r="AE1176" s="80"/>
      <c r="AF1176" s="80"/>
      <c r="AG1176" s="81"/>
      <c r="AH1176" s="79"/>
      <c r="AI1176" s="78" t="str">
        <f aca="false">IF(E1176="","",(V1176&lt;&gt;"")+(AA1176&lt;&gt;"")+(AF1176&lt;&gt;""))</f>
        <v/>
      </c>
      <c r="AJ1176" s="82" t="str">
        <f aca="false">IF(AF1176&lt;&gt;"",AF1176,IF(AA1176&lt;&gt;"",AA1176,IF(V1176&lt;&gt;"",V1176,"")))</f>
        <v/>
      </c>
      <c r="AK1176" s="83" t="str">
        <f aca="false">IF(E1176="","",IF(P1176="","À SOUDER",IF(S1176="","VT EN ATTENTE",IF(S1176="R","VT REJETÉ – À REPRENDRE",IF(AJ1176="","À RADIOGRAPHIER",IF(AJ1176="A","ACCEPTÉ",IF(AJ1176="NX","NX – RT À REFAIRE",IF(IF(AI1176=1,X1176,IF(AI1176=2,AC1176,""))="A","RÉPARÉ – À RADIOGRAPHIER",IF(IF(AI1176=1,X1176,IF(AI1176=2,AC1176,""))="R","VT REJETÉ – À REPRENDRE",IF(AJ1176="CO","COUPE – À RESOUDER","À RÉPARER"))))))))))</f>
        <v/>
      </c>
      <c r="AL1176" s="82" t="str">
        <f aca="false">IF(AND(ISNUMBER(P1176),OR(AK1176="À RADIOGRAPHIER",AK1176="RÉPARÉ – À RADIOGRAPHIER",AK1176="NX – RT À REFAIRE",AK1176="À RÉPARER",AK1176="COUPE – À RESOUDER",AK1176="VT REJETÉ – À REPRENDRE")),MAX(0,'PROGRAMME RT'!$C$4-P1176),"")</f>
        <v/>
      </c>
      <c r="AM1176" s="78" t="n">
        <f aca="false">IF(AND(OR(AK1176="À RADIOGRAPHIER",AK1176="RÉPARÉ – À RADIOGRAPHIER",AK1176="NX – RT À REFAIRE"),OR('PROGRAMME RT'!$D$5="TOUTES",B1176='PROGRAMME RT'!$D$5)),1,0)</f>
        <v>0</v>
      </c>
      <c r="AN1176" s="78" t="str">
        <f aca="false">IF(AM1176=1,SUM(AM$7:AM1176),"")</f>
        <v/>
      </c>
      <c r="AO1176" s="78" t="n">
        <f aca="false">IF(AND(OR(AK1176="À RÉPARER",AK1176="COUPE – À RESOUDER",AK1176="VT REJETÉ – À REPRENDRE"),OR(RÉPARATIONS!$D$5="TOUTES",B1176=RÉPARATIONS!$D$5)),1,0)</f>
        <v>0</v>
      </c>
      <c r="AP1176" s="78" t="str">
        <f aca="false">IF(AO1176=1,SUM(AO$7:AO1176),"")</f>
        <v/>
      </c>
    </row>
    <row r="1177" customFormat="false" ht="15" hidden="false" customHeight="false" outlineLevel="0" collapsed="false">
      <c r="A1177" s="78" t="str">
        <f aca="false">IF(E1177="","",ROW()-6)</f>
        <v/>
      </c>
      <c r="B1177" s="79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0"/>
      <c r="P1177" s="81"/>
      <c r="Q1177" s="81"/>
      <c r="R1177" s="80"/>
      <c r="S1177" s="80"/>
      <c r="T1177" s="81"/>
      <c r="U1177" s="80"/>
      <c r="V1177" s="80"/>
      <c r="W1177" s="80"/>
      <c r="X1177" s="80"/>
      <c r="Y1177" s="81"/>
      <c r="Z1177" s="80"/>
      <c r="AA1177" s="80"/>
      <c r="AB1177" s="80"/>
      <c r="AC1177" s="80"/>
      <c r="AD1177" s="81"/>
      <c r="AE1177" s="80"/>
      <c r="AF1177" s="80"/>
      <c r="AG1177" s="81"/>
      <c r="AH1177" s="79"/>
      <c r="AI1177" s="78" t="str">
        <f aca="false">IF(E1177="","",(V1177&lt;&gt;"")+(AA1177&lt;&gt;"")+(AF1177&lt;&gt;""))</f>
        <v/>
      </c>
      <c r="AJ1177" s="82" t="str">
        <f aca="false">IF(AF1177&lt;&gt;"",AF1177,IF(AA1177&lt;&gt;"",AA1177,IF(V1177&lt;&gt;"",V1177,"")))</f>
        <v/>
      </c>
      <c r="AK1177" s="83" t="str">
        <f aca="false">IF(E1177="","",IF(P1177="","À SOUDER",IF(S1177="","VT EN ATTENTE",IF(S1177="R","VT REJETÉ – À REPRENDRE",IF(AJ1177="","À RADIOGRAPHIER",IF(AJ1177="A","ACCEPTÉ",IF(AJ1177="NX","NX – RT À REFAIRE",IF(IF(AI1177=1,X1177,IF(AI1177=2,AC1177,""))="A","RÉPARÉ – À RADIOGRAPHIER",IF(IF(AI1177=1,X1177,IF(AI1177=2,AC1177,""))="R","VT REJETÉ – À REPRENDRE",IF(AJ1177="CO","COUPE – À RESOUDER","À RÉPARER"))))))))))</f>
        <v/>
      </c>
      <c r="AL1177" s="82" t="str">
        <f aca="false">IF(AND(ISNUMBER(P1177),OR(AK1177="À RADIOGRAPHIER",AK1177="RÉPARÉ – À RADIOGRAPHIER",AK1177="NX – RT À REFAIRE",AK1177="À RÉPARER",AK1177="COUPE – À RESOUDER",AK1177="VT REJETÉ – À REPRENDRE")),MAX(0,'PROGRAMME RT'!$C$4-P1177),"")</f>
        <v/>
      </c>
      <c r="AM1177" s="78" t="n">
        <f aca="false">IF(AND(OR(AK1177="À RADIOGRAPHIER",AK1177="RÉPARÉ – À RADIOGRAPHIER",AK1177="NX – RT À REFAIRE"),OR('PROGRAMME RT'!$D$5="TOUTES",B1177='PROGRAMME RT'!$D$5)),1,0)</f>
        <v>0</v>
      </c>
      <c r="AN1177" s="78" t="str">
        <f aca="false">IF(AM1177=1,SUM(AM$7:AM1177),"")</f>
        <v/>
      </c>
      <c r="AO1177" s="78" t="n">
        <f aca="false">IF(AND(OR(AK1177="À RÉPARER",AK1177="COUPE – À RESOUDER",AK1177="VT REJETÉ – À REPRENDRE"),OR(RÉPARATIONS!$D$5="TOUTES",B1177=RÉPARATIONS!$D$5)),1,0)</f>
        <v>0</v>
      </c>
      <c r="AP1177" s="78" t="str">
        <f aca="false">IF(AO1177=1,SUM(AO$7:AO1177),"")</f>
        <v/>
      </c>
    </row>
    <row r="1178" customFormat="false" ht="15" hidden="false" customHeight="false" outlineLevel="0" collapsed="false">
      <c r="A1178" s="78" t="str">
        <f aca="false">IF(E1178="","",ROW()-6)</f>
        <v/>
      </c>
      <c r="B1178" s="79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0"/>
      <c r="P1178" s="81"/>
      <c r="Q1178" s="81"/>
      <c r="R1178" s="80"/>
      <c r="S1178" s="80"/>
      <c r="T1178" s="81"/>
      <c r="U1178" s="80"/>
      <c r="V1178" s="80"/>
      <c r="W1178" s="80"/>
      <c r="X1178" s="80"/>
      <c r="Y1178" s="81"/>
      <c r="Z1178" s="80"/>
      <c r="AA1178" s="80"/>
      <c r="AB1178" s="80"/>
      <c r="AC1178" s="80"/>
      <c r="AD1178" s="81"/>
      <c r="AE1178" s="80"/>
      <c r="AF1178" s="80"/>
      <c r="AG1178" s="81"/>
      <c r="AH1178" s="79"/>
      <c r="AI1178" s="78" t="str">
        <f aca="false">IF(E1178="","",(V1178&lt;&gt;"")+(AA1178&lt;&gt;"")+(AF1178&lt;&gt;""))</f>
        <v/>
      </c>
      <c r="AJ1178" s="82" t="str">
        <f aca="false">IF(AF1178&lt;&gt;"",AF1178,IF(AA1178&lt;&gt;"",AA1178,IF(V1178&lt;&gt;"",V1178,"")))</f>
        <v/>
      </c>
      <c r="AK1178" s="83" t="str">
        <f aca="false">IF(E1178="","",IF(P1178="","À SOUDER",IF(S1178="","VT EN ATTENTE",IF(S1178="R","VT REJETÉ – À REPRENDRE",IF(AJ1178="","À RADIOGRAPHIER",IF(AJ1178="A","ACCEPTÉ",IF(AJ1178="NX","NX – RT À REFAIRE",IF(IF(AI1178=1,X1178,IF(AI1178=2,AC1178,""))="A","RÉPARÉ – À RADIOGRAPHIER",IF(IF(AI1178=1,X1178,IF(AI1178=2,AC1178,""))="R","VT REJETÉ – À REPRENDRE",IF(AJ1178="CO","COUPE – À RESOUDER","À RÉPARER"))))))))))</f>
        <v/>
      </c>
      <c r="AL1178" s="82" t="str">
        <f aca="false">IF(AND(ISNUMBER(P1178),OR(AK1178="À RADIOGRAPHIER",AK1178="RÉPARÉ – À RADIOGRAPHIER",AK1178="NX – RT À REFAIRE",AK1178="À RÉPARER",AK1178="COUPE – À RESOUDER",AK1178="VT REJETÉ – À REPRENDRE")),MAX(0,'PROGRAMME RT'!$C$4-P1178),"")</f>
        <v/>
      </c>
      <c r="AM1178" s="78" t="n">
        <f aca="false">IF(AND(OR(AK1178="À RADIOGRAPHIER",AK1178="RÉPARÉ – À RADIOGRAPHIER",AK1178="NX – RT À REFAIRE"),OR('PROGRAMME RT'!$D$5="TOUTES",B1178='PROGRAMME RT'!$D$5)),1,0)</f>
        <v>0</v>
      </c>
      <c r="AN1178" s="78" t="str">
        <f aca="false">IF(AM1178=1,SUM(AM$7:AM1178),"")</f>
        <v/>
      </c>
      <c r="AO1178" s="78" t="n">
        <f aca="false">IF(AND(OR(AK1178="À RÉPARER",AK1178="COUPE – À RESOUDER",AK1178="VT REJETÉ – À REPRENDRE"),OR(RÉPARATIONS!$D$5="TOUTES",B1178=RÉPARATIONS!$D$5)),1,0)</f>
        <v>0</v>
      </c>
      <c r="AP1178" s="78" t="str">
        <f aca="false">IF(AO1178=1,SUM(AO$7:AO1178),"")</f>
        <v/>
      </c>
    </row>
    <row r="1179" customFormat="false" ht="15" hidden="false" customHeight="false" outlineLevel="0" collapsed="false">
      <c r="A1179" s="78" t="str">
        <f aca="false">IF(E1179="","",ROW()-6)</f>
        <v/>
      </c>
      <c r="B1179" s="79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0"/>
      <c r="P1179" s="81"/>
      <c r="Q1179" s="81"/>
      <c r="R1179" s="80"/>
      <c r="S1179" s="80"/>
      <c r="T1179" s="81"/>
      <c r="U1179" s="80"/>
      <c r="V1179" s="80"/>
      <c r="W1179" s="80"/>
      <c r="X1179" s="80"/>
      <c r="Y1179" s="81"/>
      <c r="Z1179" s="80"/>
      <c r="AA1179" s="80"/>
      <c r="AB1179" s="80"/>
      <c r="AC1179" s="80"/>
      <c r="AD1179" s="81"/>
      <c r="AE1179" s="80"/>
      <c r="AF1179" s="80"/>
      <c r="AG1179" s="81"/>
      <c r="AH1179" s="79"/>
      <c r="AI1179" s="78" t="str">
        <f aca="false">IF(E1179="","",(V1179&lt;&gt;"")+(AA1179&lt;&gt;"")+(AF1179&lt;&gt;""))</f>
        <v/>
      </c>
      <c r="AJ1179" s="82" t="str">
        <f aca="false">IF(AF1179&lt;&gt;"",AF1179,IF(AA1179&lt;&gt;"",AA1179,IF(V1179&lt;&gt;"",V1179,"")))</f>
        <v/>
      </c>
      <c r="AK1179" s="83" t="str">
        <f aca="false">IF(E1179="","",IF(P1179="","À SOUDER",IF(S1179="","VT EN ATTENTE",IF(S1179="R","VT REJETÉ – À REPRENDRE",IF(AJ1179="","À RADIOGRAPHIER",IF(AJ1179="A","ACCEPTÉ",IF(AJ1179="NX","NX – RT À REFAIRE",IF(IF(AI1179=1,X1179,IF(AI1179=2,AC1179,""))="A","RÉPARÉ – À RADIOGRAPHIER",IF(IF(AI1179=1,X1179,IF(AI1179=2,AC1179,""))="R","VT REJETÉ – À REPRENDRE",IF(AJ1179="CO","COUPE – À RESOUDER","À RÉPARER"))))))))))</f>
        <v/>
      </c>
      <c r="AL1179" s="82" t="str">
        <f aca="false">IF(AND(ISNUMBER(P1179),OR(AK1179="À RADIOGRAPHIER",AK1179="RÉPARÉ – À RADIOGRAPHIER",AK1179="NX – RT À REFAIRE",AK1179="À RÉPARER",AK1179="COUPE – À RESOUDER",AK1179="VT REJETÉ – À REPRENDRE")),MAX(0,'PROGRAMME RT'!$C$4-P1179),"")</f>
        <v/>
      </c>
      <c r="AM1179" s="78" t="n">
        <f aca="false">IF(AND(OR(AK1179="À RADIOGRAPHIER",AK1179="RÉPARÉ – À RADIOGRAPHIER",AK1179="NX – RT À REFAIRE"),OR('PROGRAMME RT'!$D$5="TOUTES",B1179='PROGRAMME RT'!$D$5)),1,0)</f>
        <v>0</v>
      </c>
      <c r="AN1179" s="78" t="str">
        <f aca="false">IF(AM1179=1,SUM(AM$7:AM1179),"")</f>
        <v/>
      </c>
      <c r="AO1179" s="78" t="n">
        <f aca="false">IF(AND(OR(AK1179="À RÉPARER",AK1179="COUPE – À RESOUDER",AK1179="VT REJETÉ – À REPRENDRE"),OR(RÉPARATIONS!$D$5="TOUTES",B1179=RÉPARATIONS!$D$5)),1,0)</f>
        <v>0</v>
      </c>
      <c r="AP1179" s="78" t="str">
        <f aca="false">IF(AO1179=1,SUM(AO$7:AO1179),"")</f>
        <v/>
      </c>
    </row>
    <row r="1180" customFormat="false" ht="15" hidden="false" customHeight="false" outlineLevel="0" collapsed="false">
      <c r="A1180" s="78" t="str">
        <f aca="false">IF(E1180="","",ROW()-6)</f>
        <v/>
      </c>
      <c r="B1180" s="79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0"/>
      <c r="P1180" s="81"/>
      <c r="Q1180" s="81"/>
      <c r="R1180" s="80"/>
      <c r="S1180" s="80"/>
      <c r="T1180" s="81"/>
      <c r="U1180" s="80"/>
      <c r="V1180" s="80"/>
      <c r="W1180" s="80"/>
      <c r="X1180" s="80"/>
      <c r="Y1180" s="81"/>
      <c r="Z1180" s="80"/>
      <c r="AA1180" s="80"/>
      <c r="AB1180" s="80"/>
      <c r="AC1180" s="80"/>
      <c r="AD1180" s="81"/>
      <c r="AE1180" s="80"/>
      <c r="AF1180" s="80"/>
      <c r="AG1180" s="81"/>
      <c r="AH1180" s="79"/>
      <c r="AI1180" s="78" t="str">
        <f aca="false">IF(E1180="","",(V1180&lt;&gt;"")+(AA1180&lt;&gt;"")+(AF1180&lt;&gt;""))</f>
        <v/>
      </c>
      <c r="AJ1180" s="82" t="str">
        <f aca="false">IF(AF1180&lt;&gt;"",AF1180,IF(AA1180&lt;&gt;"",AA1180,IF(V1180&lt;&gt;"",V1180,"")))</f>
        <v/>
      </c>
      <c r="AK1180" s="83" t="str">
        <f aca="false">IF(E1180="","",IF(P1180="","À SOUDER",IF(S1180="","VT EN ATTENTE",IF(S1180="R","VT REJETÉ – À REPRENDRE",IF(AJ1180="","À RADIOGRAPHIER",IF(AJ1180="A","ACCEPTÉ",IF(AJ1180="NX","NX – RT À REFAIRE",IF(IF(AI1180=1,X1180,IF(AI1180=2,AC1180,""))="A","RÉPARÉ – À RADIOGRAPHIER",IF(IF(AI1180=1,X1180,IF(AI1180=2,AC1180,""))="R","VT REJETÉ – À REPRENDRE",IF(AJ1180="CO","COUPE – À RESOUDER","À RÉPARER"))))))))))</f>
        <v/>
      </c>
      <c r="AL1180" s="82" t="str">
        <f aca="false">IF(AND(ISNUMBER(P1180),OR(AK1180="À RADIOGRAPHIER",AK1180="RÉPARÉ – À RADIOGRAPHIER",AK1180="NX – RT À REFAIRE",AK1180="À RÉPARER",AK1180="COUPE – À RESOUDER",AK1180="VT REJETÉ – À REPRENDRE")),MAX(0,'PROGRAMME RT'!$C$4-P1180),"")</f>
        <v/>
      </c>
      <c r="AM1180" s="78" t="n">
        <f aca="false">IF(AND(OR(AK1180="À RADIOGRAPHIER",AK1180="RÉPARÉ – À RADIOGRAPHIER",AK1180="NX – RT À REFAIRE"),OR('PROGRAMME RT'!$D$5="TOUTES",B1180='PROGRAMME RT'!$D$5)),1,0)</f>
        <v>0</v>
      </c>
      <c r="AN1180" s="78" t="str">
        <f aca="false">IF(AM1180=1,SUM(AM$7:AM1180),"")</f>
        <v/>
      </c>
      <c r="AO1180" s="78" t="n">
        <f aca="false">IF(AND(OR(AK1180="À RÉPARER",AK1180="COUPE – À RESOUDER",AK1180="VT REJETÉ – À REPRENDRE"),OR(RÉPARATIONS!$D$5="TOUTES",B1180=RÉPARATIONS!$D$5)),1,0)</f>
        <v>0</v>
      </c>
      <c r="AP1180" s="78" t="str">
        <f aca="false">IF(AO1180=1,SUM(AO$7:AO1180),"")</f>
        <v/>
      </c>
    </row>
    <row r="1181" customFormat="false" ht="15" hidden="false" customHeight="false" outlineLevel="0" collapsed="false">
      <c r="A1181" s="78" t="str">
        <f aca="false">IF(E1181="","",ROW()-6)</f>
        <v/>
      </c>
      <c r="B1181" s="79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0"/>
      <c r="P1181" s="81"/>
      <c r="Q1181" s="81"/>
      <c r="R1181" s="80"/>
      <c r="S1181" s="80"/>
      <c r="T1181" s="81"/>
      <c r="U1181" s="80"/>
      <c r="V1181" s="80"/>
      <c r="W1181" s="80"/>
      <c r="X1181" s="80"/>
      <c r="Y1181" s="81"/>
      <c r="Z1181" s="80"/>
      <c r="AA1181" s="80"/>
      <c r="AB1181" s="80"/>
      <c r="AC1181" s="80"/>
      <c r="AD1181" s="81"/>
      <c r="AE1181" s="80"/>
      <c r="AF1181" s="80"/>
      <c r="AG1181" s="81"/>
      <c r="AH1181" s="79"/>
      <c r="AI1181" s="78" t="str">
        <f aca="false">IF(E1181="","",(V1181&lt;&gt;"")+(AA1181&lt;&gt;"")+(AF1181&lt;&gt;""))</f>
        <v/>
      </c>
      <c r="AJ1181" s="82" t="str">
        <f aca="false">IF(AF1181&lt;&gt;"",AF1181,IF(AA1181&lt;&gt;"",AA1181,IF(V1181&lt;&gt;"",V1181,"")))</f>
        <v/>
      </c>
      <c r="AK1181" s="83" t="str">
        <f aca="false">IF(E1181="","",IF(P1181="","À SOUDER",IF(S1181="","VT EN ATTENTE",IF(S1181="R","VT REJETÉ – À REPRENDRE",IF(AJ1181="","À RADIOGRAPHIER",IF(AJ1181="A","ACCEPTÉ",IF(AJ1181="NX","NX – RT À REFAIRE",IF(IF(AI1181=1,X1181,IF(AI1181=2,AC1181,""))="A","RÉPARÉ – À RADIOGRAPHIER",IF(IF(AI1181=1,X1181,IF(AI1181=2,AC1181,""))="R","VT REJETÉ – À REPRENDRE",IF(AJ1181="CO","COUPE – À RESOUDER","À RÉPARER"))))))))))</f>
        <v/>
      </c>
      <c r="AL1181" s="82" t="str">
        <f aca="false">IF(AND(ISNUMBER(P1181),OR(AK1181="À RADIOGRAPHIER",AK1181="RÉPARÉ – À RADIOGRAPHIER",AK1181="NX – RT À REFAIRE",AK1181="À RÉPARER",AK1181="COUPE – À RESOUDER",AK1181="VT REJETÉ – À REPRENDRE")),MAX(0,'PROGRAMME RT'!$C$4-P1181),"")</f>
        <v/>
      </c>
      <c r="AM1181" s="78" t="n">
        <f aca="false">IF(AND(OR(AK1181="À RADIOGRAPHIER",AK1181="RÉPARÉ – À RADIOGRAPHIER",AK1181="NX – RT À REFAIRE"),OR('PROGRAMME RT'!$D$5="TOUTES",B1181='PROGRAMME RT'!$D$5)),1,0)</f>
        <v>0</v>
      </c>
      <c r="AN1181" s="78" t="str">
        <f aca="false">IF(AM1181=1,SUM(AM$7:AM1181),"")</f>
        <v/>
      </c>
      <c r="AO1181" s="78" t="n">
        <f aca="false">IF(AND(OR(AK1181="À RÉPARER",AK1181="COUPE – À RESOUDER",AK1181="VT REJETÉ – À REPRENDRE"),OR(RÉPARATIONS!$D$5="TOUTES",B1181=RÉPARATIONS!$D$5)),1,0)</f>
        <v>0</v>
      </c>
      <c r="AP1181" s="78" t="str">
        <f aca="false">IF(AO1181=1,SUM(AO$7:AO1181),"")</f>
        <v/>
      </c>
    </row>
    <row r="1182" customFormat="false" ht="15" hidden="false" customHeight="false" outlineLevel="0" collapsed="false">
      <c r="A1182" s="78" t="str">
        <f aca="false">IF(E1182="","",ROW()-6)</f>
        <v/>
      </c>
      <c r="B1182" s="79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0"/>
      <c r="P1182" s="81"/>
      <c r="Q1182" s="81"/>
      <c r="R1182" s="80"/>
      <c r="S1182" s="80"/>
      <c r="T1182" s="81"/>
      <c r="U1182" s="80"/>
      <c r="V1182" s="80"/>
      <c r="W1182" s="80"/>
      <c r="X1182" s="80"/>
      <c r="Y1182" s="81"/>
      <c r="Z1182" s="80"/>
      <c r="AA1182" s="80"/>
      <c r="AB1182" s="80"/>
      <c r="AC1182" s="80"/>
      <c r="AD1182" s="81"/>
      <c r="AE1182" s="80"/>
      <c r="AF1182" s="80"/>
      <c r="AG1182" s="81"/>
      <c r="AH1182" s="79"/>
      <c r="AI1182" s="78" t="str">
        <f aca="false">IF(E1182="","",(V1182&lt;&gt;"")+(AA1182&lt;&gt;"")+(AF1182&lt;&gt;""))</f>
        <v/>
      </c>
      <c r="AJ1182" s="82" t="str">
        <f aca="false">IF(AF1182&lt;&gt;"",AF1182,IF(AA1182&lt;&gt;"",AA1182,IF(V1182&lt;&gt;"",V1182,"")))</f>
        <v/>
      </c>
      <c r="AK1182" s="83" t="str">
        <f aca="false">IF(E1182="","",IF(P1182="","À SOUDER",IF(S1182="","VT EN ATTENTE",IF(S1182="R","VT REJETÉ – À REPRENDRE",IF(AJ1182="","À RADIOGRAPHIER",IF(AJ1182="A","ACCEPTÉ",IF(AJ1182="NX","NX – RT À REFAIRE",IF(IF(AI1182=1,X1182,IF(AI1182=2,AC1182,""))="A","RÉPARÉ – À RADIOGRAPHIER",IF(IF(AI1182=1,X1182,IF(AI1182=2,AC1182,""))="R","VT REJETÉ – À REPRENDRE",IF(AJ1182="CO","COUPE – À RESOUDER","À RÉPARER"))))))))))</f>
        <v/>
      </c>
      <c r="AL1182" s="82" t="str">
        <f aca="false">IF(AND(ISNUMBER(P1182),OR(AK1182="À RADIOGRAPHIER",AK1182="RÉPARÉ – À RADIOGRAPHIER",AK1182="NX – RT À REFAIRE",AK1182="À RÉPARER",AK1182="COUPE – À RESOUDER",AK1182="VT REJETÉ – À REPRENDRE")),MAX(0,'PROGRAMME RT'!$C$4-P1182),"")</f>
        <v/>
      </c>
      <c r="AM1182" s="78" t="n">
        <f aca="false">IF(AND(OR(AK1182="À RADIOGRAPHIER",AK1182="RÉPARÉ – À RADIOGRAPHIER",AK1182="NX – RT À REFAIRE"),OR('PROGRAMME RT'!$D$5="TOUTES",B1182='PROGRAMME RT'!$D$5)),1,0)</f>
        <v>0</v>
      </c>
      <c r="AN1182" s="78" t="str">
        <f aca="false">IF(AM1182=1,SUM(AM$7:AM1182),"")</f>
        <v/>
      </c>
      <c r="AO1182" s="78" t="n">
        <f aca="false">IF(AND(OR(AK1182="À RÉPARER",AK1182="COUPE – À RESOUDER",AK1182="VT REJETÉ – À REPRENDRE"),OR(RÉPARATIONS!$D$5="TOUTES",B1182=RÉPARATIONS!$D$5)),1,0)</f>
        <v>0</v>
      </c>
      <c r="AP1182" s="78" t="str">
        <f aca="false">IF(AO1182=1,SUM(AO$7:AO1182),"")</f>
        <v/>
      </c>
    </row>
    <row r="1183" customFormat="false" ht="15" hidden="false" customHeight="false" outlineLevel="0" collapsed="false">
      <c r="A1183" s="78" t="str">
        <f aca="false">IF(E1183="","",ROW()-6)</f>
        <v/>
      </c>
      <c r="B1183" s="79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0"/>
      <c r="P1183" s="81"/>
      <c r="Q1183" s="81"/>
      <c r="R1183" s="80"/>
      <c r="S1183" s="80"/>
      <c r="T1183" s="81"/>
      <c r="U1183" s="80"/>
      <c r="V1183" s="80"/>
      <c r="W1183" s="80"/>
      <c r="X1183" s="80"/>
      <c r="Y1183" s="81"/>
      <c r="Z1183" s="80"/>
      <c r="AA1183" s="80"/>
      <c r="AB1183" s="80"/>
      <c r="AC1183" s="80"/>
      <c r="AD1183" s="81"/>
      <c r="AE1183" s="80"/>
      <c r="AF1183" s="80"/>
      <c r="AG1183" s="81"/>
      <c r="AH1183" s="79"/>
      <c r="AI1183" s="78" t="str">
        <f aca="false">IF(E1183="","",(V1183&lt;&gt;"")+(AA1183&lt;&gt;"")+(AF1183&lt;&gt;""))</f>
        <v/>
      </c>
      <c r="AJ1183" s="82" t="str">
        <f aca="false">IF(AF1183&lt;&gt;"",AF1183,IF(AA1183&lt;&gt;"",AA1183,IF(V1183&lt;&gt;"",V1183,"")))</f>
        <v/>
      </c>
      <c r="AK1183" s="83" t="str">
        <f aca="false">IF(E1183="","",IF(P1183="","À SOUDER",IF(S1183="","VT EN ATTENTE",IF(S1183="R","VT REJETÉ – À REPRENDRE",IF(AJ1183="","À RADIOGRAPHIER",IF(AJ1183="A","ACCEPTÉ",IF(AJ1183="NX","NX – RT À REFAIRE",IF(IF(AI1183=1,X1183,IF(AI1183=2,AC1183,""))="A","RÉPARÉ – À RADIOGRAPHIER",IF(IF(AI1183=1,X1183,IF(AI1183=2,AC1183,""))="R","VT REJETÉ – À REPRENDRE",IF(AJ1183="CO","COUPE – À RESOUDER","À RÉPARER"))))))))))</f>
        <v/>
      </c>
      <c r="AL1183" s="82" t="str">
        <f aca="false">IF(AND(ISNUMBER(P1183),OR(AK1183="À RADIOGRAPHIER",AK1183="RÉPARÉ – À RADIOGRAPHIER",AK1183="NX – RT À REFAIRE",AK1183="À RÉPARER",AK1183="COUPE – À RESOUDER",AK1183="VT REJETÉ – À REPRENDRE")),MAX(0,'PROGRAMME RT'!$C$4-P1183),"")</f>
        <v/>
      </c>
      <c r="AM1183" s="78" t="n">
        <f aca="false">IF(AND(OR(AK1183="À RADIOGRAPHIER",AK1183="RÉPARÉ – À RADIOGRAPHIER",AK1183="NX – RT À REFAIRE"),OR('PROGRAMME RT'!$D$5="TOUTES",B1183='PROGRAMME RT'!$D$5)),1,0)</f>
        <v>0</v>
      </c>
      <c r="AN1183" s="78" t="str">
        <f aca="false">IF(AM1183=1,SUM(AM$7:AM1183),"")</f>
        <v/>
      </c>
      <c r="AO1183" s="78" t="n">
        <f aca="false">IF(AND(OR(AK1183="À RÉPARER",AK1183="COUPE – À RESOUDER",AK1183="VT REJETÉ – À REPRENDRE"),OR(RÉPARATIONS!$D$5="TOUTES",B1183=RÉPARATIONS!$D$5)),1,0)</f>
        <v>0</v>
      </c>
      <c r="AP1183" s="78" t="str">
        <f aca="false">IF(AO1183=1,SUM(AO$7:AO1183),"")</f>
        <v/>
      </c>
    </row>
    <row r="1184" customFormat="false" ht="15" hidden="false" customHeight="false" outlineLevel="0" collapsed="false">
      <c r="A1184" s="78" t="str">
        <f aca="false">IF(E1184="","",ROW()-6)</f>
        <v/>
      </c>
      <c r="B1184" s="79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0"/>
      <c r="P1184" s="81"/>
      <c r="Q1184" s="81"/>
      <c r="R1184" s="80"/>
      <c r="S1184" s="80"/>
      <c r="T1184" s="81"/>
      <c r="U1184" s="80"/>
      <c r="V1184" s="80"/>
      <c r="W1184" s="80"/>
      <c r="X1184" s="80"/>
      <c r="Y1184" s="81"/>
      <c r="Z1184" s="80"/>
      <c r="AA1184" s="80"/>
      <c r="AB1184" s="80"/>
      <c r="AC1184" s="80"/>
      <c r="AD1184" s="81"/>
      <c r="AE1184" s="80"/>
      <c r="AF1184" s="80"/>
      <c r="AG1184" s="81"/>
      <c r="AH1184" s="79"/>
      <c r="AI1184" s="78" t="str">
        <f aca="false">IF(E1184="","",(V1184&lt;&gt;"")+(AA1184&lt;&gt;"")+(AF1184&lt;&gt;""))</f>
        <v/>
      </c>
      <c r="AJ1184" s="82" t="str">
        <f aca="false">IF(AF1184&lt;&gt;"",AF1184,IF(AA1184&lt;&gt;"",AA1184,IF(V1184&lt;&gt;"",V1184,"")))</f>
        <v/>
      </c>
      <c r="AK1184" s="83" t="str">
        <f aca="false">IF(E1184="","",IF(P1184="","À SOUDER",IF(S1184="","VT EN ATTENTE",IF(S1184="R","VT REJETÉ – À REPRENDRE",IF(AJ1184="","À RADIOGRAPHIER",IF(AJ1184="A","ACCEPTÉ",IF(AJ1184="NX","NX – RT À REFAIRE",IF(IF(AI1184=1,X1184,IF(AI1184=2,AC1184,""))="A","RÉPARÉ – À RADIOGRAPHIER",IF(IF(AI1184=1,X1184,IF(AI1184=2,AC1184,""))="R","VT REJETÉ – À REPRENDRE",IF(AJ1184="CO","COUPE – À RESOUDER","À RÉPARER"))))))))))</f>
        <v/>
      </c>
      <c r="AL1184" s="82" t="str">
        <f aca="false">IF(AND(ISNUMBER(P1184),OR(AK1184="À RADIOGRAPHIER",AK1184="RÉPARÉ – À RADIOGRAPHIER",AK1184="NX – RT À REFAIRE",AK1184="À RÉPARER",AK1184="COUPE – À RESOUDER",AK1184="VT REJETÉ – À REPRENDRE")),MAX(0,'PROGRAMME RT'!$C$4-P1184),"")</f>
        <v/>
      </c>
      <c r="AM1184" s="78" t="n">
        <f aca="false">IF(AND(OR(AK1184="À RADIOGRAPHIER",AK1184="RÉPARÉ – À RADIOGRAPHIER",AK1184="NX – RT À REFAIRE"),OR('PROGRAMME RT'!$D$5="TOUTES",B1184='PROGRAMME RT'!$D$5)),1,0)</f>
        <v>0</v>
      </c>
      <c r="AN1184" s="78" t="str">
        <f aca="false">IF(AM1184=1,SUM(AM$7:AM1184),"")</f>
        <v/>
      </c>
      <c r="AO1184" s="78" t="n">
        <f aca="false">IF(AND(OR(AK1184="À RÉPARER",AK1184="COUPE – À RESOUDER",AK1184="VT REJETÉ – À REPRENDRE"),OR(RÉPARATIONS!$D$5="TOUTES",B1184=RÉPARATIONS!$D$5)),1,0)</f>
        <v>0</v>
      </c>
      <c r="AP1184" s="78" t="str">
        <f aca="false">IF(AO1184=1,SUM(AO$7:AO1184),"")</f>
        <v/>
      </c>
    </row>
    <row r="1185" customFormat="false" ht="15" hidden="false" customHeight="false" outlineLevel="0" collapsed="false">
      <c r="A1185" s="78" t="str">
        <f aca="false">IF(E1185="","",ROW()-6)</f>
        <v/>
      </c>
      <c r="B1185" s="79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0"/>
      <c r="P1185" s="81"/>
      <c r="Q1185" s="81"/>
      <c r="R1185" s="80"/>
      <c r="S1185" s="80"/>
      <c r="T1185" s="81"/>
      <c r="U1185" s="80"/>
      <c r="V1185" s="80"/>
      <c r="W1185" s="80"/>
      <c r="X1185" s="80"/>
      <c r="Y1185" s="81"/>
      <c r="Z1185" s="80"/>
      <c r="AA1185" s="80"/>
      <c r="AB1185" s="80"/>
      <c r="AC1185" s="80"/>
      <c r="AD1185" s="81"/>
      <c r="AE1185" s="80"/>
      <c r="AF1185" s="80"/>
      <c r="AG1185" s="81"/>
      <c r="AH1185" s="79"/>
      <c r="AI1185" s="78" t="str">
        <f aca="false">IF(E1185="","",(V1185&lt;&gt;"")+(AA1185&lt;&gt;"")+(AF1185&lt;&gt;""))</f>
        <v/>
      </c>
      <c r="AJ1185" s="82" t="str">
        <f aca="false">IF(AF1185&lt;&gt;"",AF1185,IF(AA1185&lt;&gt;"",AA1185,IF(V1185&lt;&gt;"",V1185,"")))</f>
        <v/>
      </c>
      <c r="AK1185" s="83" t="str">
        <f aca="false">IF(E1185="","",IF(P1185="","À SOUDER",IF(S1185="","VT EN ATTENTE",IF(S1185="R","VT REJETÉ – À REPRENDRE",IF(AJ1185="","À RADIOGRAPHIER",IF(AJ1185="A","ACCEPTÉ",IF(AJ1185="NX","NX – RT À REFAIRE",IF(IF(AI1185=1,X1185,IF(AI1185=2,AC1185,""))="A","RÉPARÉ – À RADIOGRAPHIER",IF(IF(AI1185=1,X1185,IF(AI1185=2,AC1185,""))="R","VT REJETÉ – À REPRENDRE",IF(AJ1185="CO","COUPE – À RESOUDER","À RÉPARER"))))))))))</f>
        <v/>
      </c>
      <c r="AL1185" s="82" t="str">
        <f aca="false">IF(AND(ISNUMBER(P1185),OR(AK1185="À RADIOGRAPHIER",AK1185="RÉPARÉ – À RADIOGRAPHIER",AK1185="NX – RT À REFAIRE",AK1185="À RÉPARER",AK1185="COUPE – À RESOUDER",AK1185="VT REJETÉ – À REPRENDRE")),MAX(0,'PROGRAMME RT'!$C$4-P1185),"")</f>
        <v/>
      </c>
      <c r="AM1185" s="78" t="n">
        <f aca="false">IF(AND(OR(AK1185="À RADIOGRAPHIER",AK1185="RÉPARÉ – À RADIOGRAPHIER",AK1185="NX – RT À REFAIRE"),OR('PROGRAMME RT'!$D$5="TOUTES",B1185='PROGRAMME RT'!$D$5)),1,0)</f>
        <v>0</v>
      </c>
      <c r="AN1185" s="78" t="str">
        <f aca="false">IF(AM1185=1,SUM(AM$7:AM1185),"")</f>
        <v/>
      </c>
      <c r="AO1185" s="78" t="n">
        <f aca="false">IF(AND(OR(AK1185="À RÉPARER",AK1185="COUPE – À RESOUDER",AK1185="VT REJETÉ – À REPRENDRE"),OR(RÉPARATIONS!$D$5="TOUTES",B1185=RÉPARATIONS!$D$5)),1,0)</f>
        <v>0</v>
      </c>
      <c r="AP1185" s="78" t="str">
        <f aca="false">IF(AO1185=1,SUM(AO$7:AO1185),"")</f>
        <v/>
      </c>
    </row>
    <row r="1186" customFormat="false" ht="15" hidden="false" customHeight="false" outlineLevel="0" collapsed="false">
      <c r="A1186" s="78" t="str">
        <f aca="false">IF(E1186="","",ROW()-6)</f>
        <v/>
      </c>
      <c r="B1186" s="79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0"/>
      <c r="P1186" s="81"/>
      <c r="Q1186" s="81"/>
      <c r="R1186" s="80"/>
      <c r="S1186" s="80"/>
      <c r="T1186" s="81"/>
      <c r="U1186" s="80"/>
      <c r="V1186" s="80"/>
      <c r="W1186" s="80"/>
      <c r="X1186" s="80"/>
      <c r="Y1186" s="81"/>
      <c r="Z1186" s="80"/>
      <c r="AA1186" s="80"/>
      <c r="AB1186" s="80"/>
      <c r="AC1186" s="80"/>
      <c r="AD1186" s="81"/>
      <c r="AE1186" s="80"/>
      <c r="AF1186" s="80"/>
      <c r="AG1186" s="81"/>
      <c r="AH1186" s="79"/>
      <c r="AI1186" s="78" t="str">
        <f aca="false">IF(E1186="","",(V1186&lt;&gt;"")+(AA1186&lt;&gt;"")+(AF1186&lt;&gt;""))</f>
        <v/>
      </c>
      <c r="AJ1186" s="82" t="str">
        <f aca="false">IF(AF1186&lt;&gt;"",AF1186,IF(AA1186&lt;&gt;"",AA1186,IF(V1186&lt;&gt;"",V1186,"")))</f>
        <v/>
      </c>
      <c r="AK1186" s="83" t="str">
        <f aca="false">IF(E1186="","",IF(P1186="","À SOUDER",IF(S1186="","VT EN ATTENTE",IF(S1186="R","VT REJETÉ – À REPRENDRE",IF(AJ1186="","À RADIOGRAPHIER",IF(AJ1186="A","ACCEPTÉ",IF(AJ1186="NX","NX – RT À REFAIRE",IF(IF(AI1186=1,X1186,IF(AI1186=2,AC1186,""))="A","RÉPARÉ – À RADIOGRAPHIER",IF(IF(AI1186=1,X1186,IF(AI1186=2,AC1186,""))="R","VT REJETÉ – À REPRENDRE",IF(AJ1186="CO","COUPE – À RESOUDER","À RÉPARER"))))))))))</f>
        <v/>
      </c>
      <c r="AL1186" s="82" t="str">
        <f aca="false">IF(AND(ISNUMBER(P1186),OR(AK1186="À RADIOGRAPHIER",AK1186="RÉPARÉ – À RADIOGRAPHIER",AK1186="NX – RT À REFAIRE",AK1186="À RÉPARER",AK1186="COUPE – À RESOUDER",AK1186="VT REJETÉ – À REPRENDRE")),MAX(0,'PROGRAMME RT'!$C$4-P1186),"")</f>
        <v/>
      </c>
      <c r="AM1186" s="78" t="n">
        <f aca="false">IF(AND(OR(AK1186="À RADIOGRAPHIER",AK1186="RÉPARÉ – À RADIOGRAPHIER",AK1186="NX – RT À REFAIRE"),OR('PROGRAMME RT'!$D$5="TOUTES",B1186='PROGRAMME RT'!$D$5)),1,0)</f>
        <v>0</v>
      </c>
      <c r="AN1186" s="78" t="str">
        <f aca="false">IF(AM1186=1,SUM(AM$7:AM1186),"")</f>
        <v/>
      </c>
      <c r="AO1186" s="78" t="n">
        <f aca="false">IF(AND(OR(AK1186="À RÉPARER",AK1186="COUPE – À RESOUDER",AK1186="VT REJETÉ – À REPRENDRE"),OR(RÉPARATIONS!$D$5="TOUTES",B1186=RÉPARATIONS!$D$5)),1,0)</f>
        <v>0</v>
      </c>
      <c r="AP1186" s="78" t="str">
        <f aca="false">IF(AO1186=1,SUM(AO$7:AO1186),"")</f>
        <v/>
      </c>
    </row>
    <row r="1187" customFormat="false" ht="15" hidden="false" customHeight="false" outlineLevel="0" collapsed="false">
      <c r="A1187" s="78" t="str">
        <f aca="false">IF(E1187="","",ROW()-6)</f>
        <v/>
      </c>
      <c r="B1187" s="79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0"/>
      <c r="P1187" s="81"/>
      <c r="Q1187" s="81"/>
      <c r="R1187" s="80"/>
      <c r="S1187" s="80"/>
      <c r="T1187" s="81"/>
      <c r="U1187" s="80"/>
      <c r="V1187" s="80"/>
      <c r="W1187" s="80"/>
      <c r="X1187" s="80"/>
      <c r="Y1187" s="81"/>
      <c r="Z1187" s="80"/>
      <c r="AA1187" s="80"/>
      <c r="AB1187" s="80"/>
      <c r="AC1187" s="80"/>
      <c r="AD1187" s="81"/>
      <c r="AE1187" s="80"/>
      <c r="AF1187" s="80"/>
      <c r="AG1187" s="81"/>
      <c r="AH1187" s="79"/>
      <c r="AI1187" s="78" t="str">
        <f aca="false">IF(E1187="","",(V1187&lt;&gt;"")+(AA1187&lt;&gt;"")+(AF1187&lt;&gt;""))</f>
        <v/>
      </c>
      <c r="AJ1187" s="82" t="str">
        <f aca="false">IF(AF1187&lt;&gt;"",AF1187,IF(AA1187&lt;&gt;"",AA1187,IF(V1187&lt;&gt;"",V1187,"")))</f>
        <v/>
      </c>
      <c r="AK1187" s="83" t="str">
        <f aca="false">IF(E1187="","",IF(P1187="","À SOUDER",IF(S1187="","VT EN ATTENTE",IF(S1187="R","VT REJETÉ – À REPRENDRE",IF(AJ1187="","À RADIOGRAPHIER",IF(AJ1187="A","ACCEPTÉ",IF(AJ1187="NX","NX – RT À REFAIRE",IF(IF(AI1187=1,X1187,IF(AI1187=2,AC1187,""))="A","RÉPARÉ – À RADIOGRAPHIER",IF(IF(AI1187=1,X1187,IF(AI1187=2,AC1187,""))="R","VT REJETÉ – À REPRENDRE",IF(AJ1187="CO","COUPE – À RESOUDER","À RÉPARER"))))))))))</f>
        <v/>
      </c>
      <c r="AL1187" s="82" t="str">
        <f aca="false">IF(AND(ISNUMBER(P1187),OR(AK1187="À RADIOGRAPHIER",AK1187="RÉPARÉ – À RADIOGRAPHIER",AK1187="NX – RT À REFAIRE",AK1187="À RÉPARER",AK1187="COUPE – À RESOUDER",AK1187="VT REJETÉ – À REPRENDRE")),MAX(0,'PROGRAMME RT'!$C$4-P1187),"")</f>
        <v/>
      </c>
      <c r="AM1187" s="78" t="n">
        <f aca="false">IF(AND(OR(AK1187="À RADIOGRAPHIER",AK1187="RÉPARÉ – À RADIOGRAPHIER",AK1187="NX – RT À REFAIRE"),OR('PROGRAMME RT'!$D$5="TOUTES",B1187='PROGRAMME RT'!$D$5)),1,0)</f>
        <v>0</v>
      </c>
      <c r="AN1187" s="78" t="str">
        <f aca="false">IF(AM1187=1,SUM(AM$7:AM1187),"")</f>
        <v/>
      </c>
      <c r="AO1187" s="78" t="n">
        <f aca="false">IF(AND(OR(AK1187="À RÉPARER",AK1187="COUPE – À RESOUDER",AK1187="VT REJETÉ – À REPRENDRE"),OR(RÉPARATIONS!$D$5="TOUTES",B1187=RÉPARATIONS!$D$5)),1,0)</f>
        <v>0</v>
      </c>
      <c r="AP1187" s="78" t="str">
        <f aca="false">IF(AO1187=1,SUM(AO$7:AO1187),"")</f>
        <v/>
      </c>
    </row>
    <row r="1188" customFormat="false" ht="15" hidden="false" customHeight="false" outlineLevel="0" collapsed="false">
      <c r="A1188" s="78" t="str">
        <f aca="false">IF(E1188="","",ROW()-6)</f>
        <v/>
      </c>
      <c r="B1188" s="79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0"/>
      <c r="P1188" s="81"/>
      <c r="Q1188" s="81"/>
      <c r="R1188" s="80"/>
      <c r="S1188" s="80"/>
      <c r="T1188" s="81"/>
      <c r="U1188" s="80"/>
      <c r="V1188" s="80"/>
      <c r="W1188" s="80"/>
      <c r="X1188" s="80"/>
      <c r="Y1188" s="81"/>
      <c r="Z1188" s="80"/>
      <c r="AA1188" s="80"/>
      <c r="AB1188" s="80"/>
      <c r="AC1188" s="80"/>
      <c r="AD1188" s="81"/>
      <c r="AE1188" s="80"/>
      <c r="AF1188" s="80"/>
      <c r="AG1188" s="81"/>
      <c r="AH1188" s="79"/>
      <c r="AI1188" s="78" t="str">
        <f aca="false">IF(E1188="","",(V1188&lt;&gt;"")+(AA1188&lt;&gt;"")+(AF1188&lt;&gt;""))</f>
        <v/>
      </c>
      <c r="AJ1188" s="82" t="str">
        <f aca="false">IF(AF1188&lt;&gt;"",AF1188,IF(AA1188&lt;&gt;"",AA1188,IF(V1188&lt;&gt;"",V1188,"")))</f>
        <v/>
      </c>
      <c r="AK1188" s="83" t="str">
        <f aca="false">IF(E1188="","",IF(P1188="","À SOUDER",IF(S1188="","VT EN ATTENTE",IF(S1188="R","VT REJETÉ – À REPRENDRE",IF(AJ1188="","À RADIOGRAPHIER",IF(AJ1188="A","ACCEPTÉ",IF(AJ1188="NX","NX – RT À REFAIRE",IF(IF(AI1188=1,X1188,IF(AI1188=2,AC1188,""))="A","RÉPARÉ – À RADIOGRAPHIER",IF(IF(AI1188=1,X1188,IF(AI1188=2,AC1188,""))="R","VT REJETÉ – À REPRENDRE",IF(AJ1188="CO","COUPE – À RESOUDER","À RÉPARER"))))))))))</f>
        <v/>
      </c>
      <c r="AL1188" s="82" t="str">
        <f aca="false">IF(AND(ISNUMBER(P1188),OR(AK1188="À RADIOGRAPHIER",AK1188="RÉPARÉ – À RADIOGRAPHIER",AK1188="NX – RT À REFAIRE",AK1188="À RÉPARER",AK1188="COUPE – À RESOUDER",AK1188="VT REJETÉ – À REPRENDRE")),MAX(0,'PROGRAMME RT'!$C$4-P1188),"")</f>
        <v/>
      </c>
      <c r="AM1188" s="78" t="n">
        <f aca="false">IF(AND(OR(AK1188="À RADIOGRAPHIER",AK1188="RÉPARÉ – À RADIOGRAPHIER",AK1188="NX – RT À REFAIRE"),OR('PROGRAMME RT'!$D$5="TOUTES",B1188='PROGRAMME RT'!$D$5)),1,0)</f>
        <v>0</v>
      </c>
      <c r="AN1188" s="78" t="str">
        <f aca="false">IF(AM1188=1,SUM(AM$7:AM1188),"")</f>
        <v/>
      </c>
      <c r="AO1188" s="78" t="n">
        <f aca="false">IF(AND(OR(AK1188="À RÉPARER",AK1188="COUPE – À RESOUDER",AK1188="VT REJETÉ – À REPRENDRE"),OR(RÉPARATIONS!$D$5="TOUTES",B1188=RÉPARATIONS!$D$5)),1,0)</f>
        <v>0</v>
      </c>
      <c r="AP1188" s="78" t="str">
        <f aca="false">IF(AO1188=1,SUM(AO$7:AO1188),"")</f>
        <v/>
      </c>
    </row>
    <row r="1189" customFormat="false" ht="15" hidden="false" customHeight="false" outlineLevel="0" collapsed="false">
      <c r="A1189" s="78" t="str">
        <f aca="false">IF(E1189="","",ROW()-6)</f>
        <v/>
      </c>
      <c r="B1189" s="79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0"/>
      <c r="P1189" s="81"/>
      <c r="Q1189" s="81"/>
      <c r="R1189" s="80"/>
      <c r="S1189" s="80"/>
      <c r="T1189" s="81"/>
      <c r="U1189" s="80"/>
      <c r="V1189" s="80"/>
      <c r="W1189" s="80"/>
      <c r="X1189" s="80"/>
      <c r="Y1189" s="81"/>
      <c r="Z1189" s="80"/>
      <c r="AA1189" s="80"/>
      <c r="AB1189" s="80"/>
      <c r="AC1189" s="80"/>
      <c r="AD1189" s="81"/>
      <c r="AE1189" s="80"/>
      <c r="AF1189" s="80"/>
      <c r="AG1189" s="81"/>
      <c r="AH1189" s="79"/>
      <c r="AI1189" s="78" t="str">
        <f aca="false">IF(E1189="","",(V1189&lt;&gt;"")+(AA1189&lt;&gt;"")+(AF1189&lt;&gt;""))</f>
        <v/>
      </c>
      <c r="AJ1189" s="82" t="str">
        <f aca="false">IF(AF1189&lt;&gt;"",AF1189,IF(AA1189&lt;&gt;"",AA1189,IF(V1189&lt;&gt;"",V1189,"")))</f>
        <v/>
      </c>
      <c r="AK1189" s="83" t="str">
        <f aca="false">IF(E1189="","",IF(P1189="","À SOUDER",IF(S1189="","VT EN ATTENTE",IF(S1189="R","VT REJETÉ – À REPRENDRE",IF(AJ1189="","À RADIOGRAPHIER",IF(AJ1189="A","ACCEPTÉ",IF(AJ1189="NX","NX – RT À REFAIRE",IF(IF(AI1189=1,X1189,IF(AI1189=2,AC1189,""))="A","RÉPARÉ – À RADIOGRAPHIER",IF(IF(AI1189=1,X1189,IF(AI1189=2,AC1189,""))="R","VT REJETÉ – À REPRENDRE",IF(AJ1189="CO","COUPE – À RESOUDER","À RÉPARER"))))))))))</f>
        <v/>
      </c>
      <c r="AL1189" s="82" t="str">
        <f aca="false">IF(AND(ISNUMBER(P1189),OR(AK1189="À RADIOGRAPHIER",AK1189="RÉPARÉ – À RADIOGRAPHIER",AK1189="NX – RT À REFAIRE",AK1189="À RÉPARER",AK1189="COUPE – À RESOUDER",AK1189="VT REJETÉ – À REPRENDRE")),MAX(0,'PROGRAMME RT'!$C$4-P1189),"")</f>
        <v/>
      </c>
      <c r="AM1189" s="78" t="n">
        <f aca="false">IF(AND(OR(AK1189="À RADIOGRAPHIER",AK1189="RÉPARÉ – À RADIOGRAPHIER",AK1189="NX – RT À REFAIRE"),OR('PROGRAMME RT'!$D$5="TOUTES",B1189='PROGRAMME RT'!$D$5)),1,0)</f>
        <v>0</v>
      </c>
      <c r="AN1189" s="78" t="str">
        <f aca="false">IF(AM1189=1,SUM(AM$7:AM1189),"")</f>
        <v/>
      </c>
      <c r="AO1189" s="78" t="n">
        <f aca="false">IF(AND(OR(AK1189="À RÉPARER",AK1189="COUPE – À RESOUDER",AK1189="VT REJETÉ – À REPRENDRE"),OR(RÉPARATIONS!$D$5="TOUTES",B1189=RÉPARATIONS!$D$5)),1,0)</f>
        <v>0</v>
      </c>
      <c r="AP1189" s="78" t="str">
        <f aca="false">IF(AO1189=1,SUM(AO$7:AO1189),"")</f>
        <v/>
      </c>
    </row>
    <row r="1190" customFormat="false" ht="15" hidden="false" customHeight="false" outlineLevel="0" collapsed="false">
      <c r="A1190" s="78" t="str">
        <f aca="false">IF(E1190="","",ROW()-6)</f>
        <v/>
      </c>
      <c r="B1190" s="79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0"/>
      <c r="P1190" s="81"/>
      <c r="Q1190" s="81"/>
      <c r="R1190" s="80"/>
      <c r="S1190" s="80"/>
      <c r="T1190" s="81"/>
      <c r="U1190" s="80"/>
      <c r="V1190" s="80"/>
      <c r="W1190" s="80"/>
      <c r="X1190" s="80"/>
      <c r="Y1190" s="81"/>
      <c r="Z1190" s="80"/>
      <c r="AA1190" s="80"/>
      <c r="AB1190" s="80"/>
      <c r="AC1190" s="80"/>
      <c r="AD1190" s="81"/>
      <c r="AE1190" s="80"/>
      <c r="AF1190" s="80"/>
      <c r="AG1190" s="81"/>
      <c r="AH1190" s="79"/>
      <c r="AI1190" s="78" t="str">
        <f aca="false">IF(E1190="","",(V1190&lt;&gt;"")+(AA1190&lt;&gt;"")+(AF1190&lt;&gt;""))</f>
        <v/>
      </c>
      <c r="AJ1190" s="82" t="str">
        <f aca="false">IF(AF1190&lt;&gt;"",AF1190,IF(AA1190&lt;&gt;"",AA1190,IF(V1190&lt;&gt;"",V1190,"")))</f>
        <v/>
      </c>
      <c r="AK1190" s="83" t="str">
        <f aca="false">IF(E1190="","",IF(P1190="","À SOUDER",IF(S1190="","VT EN ATTENTE",IF(S1190="R","VT REJETÉ – À REPRENDRE",IF(AJ1190="","À RADIOGRAPHIER",IF(AJ1190="A","ACCEPTÉ",IF(AJ1190="NX","NX – RT À REFAIRE",IF(IF(AI1190=1,X1190,IF(AI1190=2,AC1190,""))="A","RÉPARÉ – À RADIOGRAPHIER",IF(IF(AI1190=1,X1190,IF(AI1190=2,AC1190,""))="R","VT REJETÉ – À REPRENDRE",IF(AJ1190="CO","COUPE – À RESOUDER","À RÉPARER"))))))))))</f>
        <v/>
      </c>
      <c r="AL1190" s="82" t="str">
        <f aca="false">IF(AND(ISNUMBER(P1190),OR(AK1190="À RADIOGRAPHIER",AK1190="RÉPARÉ – À RADIOGRAPHIER",AK1190="NX – RT À REFAIRE",AK1190="À RÉPARER",AK1190="COUPE – À RESOUDER",AK1190="VT REJETÉ – À REPRENDRE")),MAX(0,'PROGRAMME RT'!$C$4-P1190),"")</f>
        <v/>
      </c>
      <c r="AM1190" s="78" t="n">
        <f aca="false">IF(AND(OR(AK1190="À RADIOGRAPHIER",AK1190="RÉPARÉ – À RADIOGRAPHIER",AK1190="NX – RT À REFAIRE"),OR('PROGRAMME RT'!$D$5="TOUTES",B1190='PROGRAMME RT'!$D$5)),1,0)</f>
        <v>0</v>
      </c>
      <c r="AN1190" s="78" t="str">
        <f aca="false">IF(AM1190=1,SUM(AM$7:AM1190),"")</f>
        <v/>
      </c>
      <c r="AO1190" s="78" t="n">
        <f aca="false">IF(AND(OR(AK1190="À RÉPARER",AK1190="COUPE – À RESOUDER",AK1190="VT REJETÉ – À REPRENDRE"),OR(RÉPARATIONS!$D$5="TOUTES",B1190=RÉPARATIONS!$D$5)),1,0)</f>
        <v>0</v>
      </c>
      <c r="AP1190" s="78" t="str">
        <f aca="false">IF(AO1190=1,SUM(AO$7:AO1190),"")</f>
        <v/>
      </c>
    </row>
    <row r="1191" customFormat="false" ht="15" hidden="false" customHeight="false" outlineLevel="0" collapsed="false">
      <c r="A1191" s="78" t="str">
        <f aca="false">IF(E1191="","",ROW()-6)</f>
        <v/>
      </c>
      <c r="B1191" s="79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0"/>
      <c r="P1191" s="81"/>
      <c r="Q1191" s="81"/>
      <c r="R1191" s="80"/>
      <c r="S1191" s="80"/>
      <c r="T1191" s="81"/>
      <c r="U1191" s="80"/>
      <c r="V1191" s="80"/>
      <c r="W1191" s="80"/>
      <c r="X1191" s="80"/>
      <c r="Y1191" s="81"/>
      <c r="Z1191" s="80"/>
      <c r="AA1191" s="80"/>
      <c r="AB1191" s="80"/>
      <c r="AC1191" s="80"/>
      <c r="AD1191" s="81"/>
      <c r="AE1191" s="80"/>
      <c r="AF1191" s="80"/>
      <c r="AG1191" s="81"/>
      <c r="AH1191" s="79"/>
      <c r="AI1191" s="78" t="str">
        <f aca="false">IF(E1191="","",(V1191&lt;&gt;"")+(AA1191&lt;&gt;"")+(AF1191&lt;&gt;""))</f>
        <v/>
      </c>
      <c r="AJ1191" s="82" t="str">
        <f aca="false">IF(AF1191&lt;&gt;"",AF1191,IF(AA1191&lt;&gt;"",AA1191,IF(V1191&lt;&gt;"",V1191,"")))</f>
        <v/>
      </c>
      <c r="AK1191" s="83" t="str">
        <f aca="false">IF(E1191="","",IF(P1191="","À SOUDER",IF(S1191="","VT EN ATTENTE",IF(S1191="R","VT REJETÉ – À REPRENDRE",IF(AJ1191="","À RADIOGRAPHIER",IF(AJ1191="A","ACCEPTÉ",IF(AJ1191="NX","NX – RT À REFAIRE",IF(IF(AI1191=1,X1191,IF(AI1191=2,AC1191,""))="A","RÉPARÉ – À RADIOGRAPHIER",IF(IF(AI1191=1,X1191,IF(AI1191=2,AC1191,""))="R","VT REJETÉ – À REPRENDRE",IF(AJ1191="CO","COUPE – À RESOUDER","À RÉPARER"))))))))))</f>
        <v/>
      </c>
      <c r="AL1191" s="82" t="str">
        <f aca="false">IF(AND(ISNUMBER(P1191),OR(AK1191="À RADIOGRAPHIER",AK1191="RÉPARÉ – À RADIOGRAPHIER",AK1191="NX – RT À REFAIRE",AK1191="À RÉPARER",AK1191="COUPE – À RESOUDER",AK1191="VT REJETÉ – À REPRENDRE")),MAX(0,'PROGRAMME RT'!$C$4-P1191),"")</f>
        <v/>
      </c>
      <c r="AM1191" s="78" t="n">
        <f aca="false">IF(AND(OR(AK1191="À RADIOGRAPHIER",AK1191="RÉPARÉ – À RADIOGRAPHIER",AK1191="NX – RT À REFAIRE"),OR('PROGRAMME RT'!$D$5="TOUTES",B1191='PROGRAMME RT'!$D$5)),1,0)</f>
        <v>0</v>
      </c>
      <c r="AN1191" s="78" t="str">
        <f aca="false">IF(AM1191=1,SUM(AM$7:AM1191),"")</f>
        <v/>
      </c>
      <c r="AO1191" s="78" t="n">
        <f aca="false">IF(AND(OR(AK1191="À RÉPARER",AK1191="COUPE – À RESOUDER",AK1191="VT REJETÉ – À REPRENDRE"),OR(RÉPARATIONS!$D$5="TOUTES",B1191=RÉPARATIONS!$D$5)),1,0)</f>
        <v>0</v>
      </c>
      <c r="AP1191" s="78" t="str">
        <f aca="false">IF(AO1191=1,SUM(AO$7:AO1191),"")</f>
        <v/>
      </c>
    </row>
    <row r="1192" customFormat="false" ht="15" hidden="false" customHeight="false" outlineLevel="0" collapsed="false">
      <c r="A1192" s="78" t="str">
        <f aca="false">IF(E1192="","",ROW()-6)</f>
        <v/>
      </c>
      <c r="B1192" s="79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0"/>
      <c r="P1192" s="81"/>
      <c r="Q1192" s="81"/>
      <c r="R1192" s="80"/>
      <c r="S1192" s="80"/>
      <c r="T1192" s="81"/>
      <c r="U1192" s="80"/>
      <c r="V1192" s="80"/>
      <c r="W1192" s="80"/>
      <c r="X1192" s="80"/>
      <c r="Y1192" s="81"/>
      <c r="Z1192" s="80"/>
      <c r="AA1192" s="80"/>
      <c r="AB1192" s="80"/>
      <c r="AC1192" s="80"/>
      <c r="AD1192" s="81"/>
      <c r="AE1192" s="80"/>
      <c r="AF1192" s="80"/>
      <c r="AG1192" s="81"/>
      <c r="AH1192" s="79"/>
      <c r="AI1192" s="78" t="str">
        <f aca="false">IF(E1192="","",(V1192&lt;&gt;"")+(AA1192&lt;&gt;"")+(AF1192&lt;&gt;""))</f>
        <v/>
      </c>
      <c r="AJ1192" s="82" t="str">
        <f aca="false">IF(AF1192&lt;&gt;"",AF1192,IF(AA1192&lt;&gt;"",AA1192,IF(V1192&lt;&gt;"",V1192,"")))</f>
        <v/>
      </c>
      <c r="AK1192" s="83" t="str">
        <f aca="false">IF(E1192="","",IF(P1192="","À SOUDER",IF(S1192="","VT EN ATTENTE",IF(S1192="R","VT REJETÉ – À REPRENDRE",IF(AJ1192="","À RADIOGRAPHIER",IF(AJ1192="A","ACCEPTÉ",IF(AJ1192="NX","NX – RT À REFAIRE",IF(IF(AI1192=1,X1192,IF(AI1192=2,AC1192,""))="A","RÉPARÉ – À RADIOGRAPHIER",IF(IF(AI1192=1,X1192,IF(AI1192=2,AC1192,""))="R","VT REJETÉ – À REPRENDRE",IF(AJ1192="CO","COUPE – À RESOUDER","À RÉPARER"))))))))))</f>
        <v/>
      </c>
      <c r="AL1192" s="82" t="str">
        <f aca="false">IF(AND(ISNUMBER(P1192),OR(AK1192="À RADIOGRAPHIER",AK1192="RÉPARÉ – À RADIOGRAPHIER",AK1192="NX – RT À REFAIRE",AK1192="À RÉPARER",AK1192="COUPE – À RESOUDER",AK1192="VT REJETÉ – À REPRENDRE")),MAX(0,'PROGRAMME RT'!$C$4-P1192),"")</f>
        <v/>
      </c>
      <c r="AM1192" s="78" t="n">
        <f aca="false">IF(AND(OR(AK1192="À RADIOGRAPHIER",AK1192="RÉPARÉ – À RADIOGRAPHIER",AK1192="NX – RT À REFAIRE"),OR('PROGRAMME RT'!$D$5="TOUTES",B1192='PROGRAMME RT'!$D$5)),1,0)</f>
        <v>0</v>
      </c>
      <c r="AN1192" s="78" t="str">
        <f aca="false">IF(AM1192=1,SUM(AM$7:AM1192),"")</f>
        <v/>
      </c>
      <c r="AO1192" s="78" t="n">
        <f aca="false">IF(AND(OR(AK1192="À RÉPARER",AK1192="COUPE – À RESOUDER",AK1192="VT REJETÉ – À REPRENDRE"),OR(RÉPARATIONS!$D$5="TOUTES",B1192=RÉPARATIONS!$D$5)),1,0)</f>
        <v>0</v>
      </c>
      <c r="AP1192" s="78" t="str">
        <f aca="false">IF(AO1192=1,SUM(AO$7:AO1192),"")</f>
        <v/>
      </c>
    </row>
    <row r="1193" customFormat="false" ht="15" hidden="false" customHeight="false" outlineLevel="0" collapsed="false">
      <c r="A1193" s="78" t="str">
        <f aca="false">IF(E1193="","",ROW()-6)</f>
        <v/>
      </c>
      <c r="B1193" s="79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0"/>
      <c r="P1193" s="81"/>
      <c r="Q1193" s="81"/>
      <c r="R1193" s="80"/>
      <c r="S1193" s="80"/>
      <c r="T1193" s="81"/>
      <c r="U1193" s="80"/>
      <c r="V1193" s="80"/>
      <c r="W1193" s="80"/>
      <c r="X1193" s="80"/>
      <c r="Y1193" s="81"/>
      <c r="Z1193" s="80"/>
      <c r="AA1193" s="80"/>
      <c r="AB1193" s="80"/>
      <c r="AC1193" s="80"/>
      <c r="AD1193" s="81"/>
      <c r="AE1193" s="80"/>
      <c r="AF1193" s="80"/>
      <c r="AG1193" s="81"/>
      <c r="AH1193" s="79"/>
      <c r="AI1193" s="78" t="str">
        <f aca="false">IF(E1193="","",(V1193&lt;&gt;"")+(AA1193&lt;&gt;"")+(AF1193&lt;&gt;""))</f>
        <v/>
      </c>
      <c r="AJ1193" s="82" t="str">
        <f aca="false">IF(AF1193&lt;&gt;"",AF1193,IF(AA1193&lt;&gt;"",AA1193,IF(V1193&lt;&gt;"",V1193,"")))</f>
        <v/>
      </c>
      <c r="AK1193" s="83" t="str">
        <f aca="false">IF(E1193="","",IF(P1193="","À SOUDER",IF(S1193="","VT EN ATTENTE",IF(S1193="R","VT REJETÉ – À REPRENDRE",IF(AJ1193="","À RADIOGRAPHIER",IF(AJ1193="A","ACCEPTÉ",IF(AJ1193="NX","NX – RT À REFAIRE",IF(IF(AI1193=1,X1193,IF(AI1193=2,AC1193,""))="A","RÉPARÉ – À RADIOGRAPHIER",IF(IF(AI1193=1,X1193,IF(AI1193=2,AC1193,""))="R","VT REJETÉ – À REPRENDRE",IF(AJ1193="CO","COUPE – À RESOUDER","À RÉPARER"))))))))))</f>
        <v/>
      </c>
      <c r="AL1193" s="82" t="str">
        <f aca="false">IF(AND(ISNUMBER(P1193),OR(AK1193="À RADIOGRAPHIER",AK1193="RÉPARÉ – À RADIOGRAPHIER",AK1193="NX – RT À REFAIRE",AK1193="À RÉPARER",AK1193="COUPE – À RESOUDER",AK1193="VT REJETÉ – À REPRENDRE")),MAX(0,'PROGRAMME RT'!$C$4-P1193),"")</f>
        <v/>
      </c>
      <c r="AM1193" s="78" t="n">
        <f aca="false">IF(AND(OR(AK1193="À RADIOGRAPHIER",AK1193="RÉPARÉ – À RADIOGRAPHIER",AK1193="NX – RT À REFAIRE"),OR('PROGRAMME RT'!$D$5="TOUTES",B1193='PROGRAMME RT'!$D$5)),1,0)</f>
        <v>0</v>
      </c>
      <c r="AN1193" s="78" t="str">
        <f aca="false">IF(AM1193=1,SUM(AM$7:AM1193),"")</f>
        <v/>
      </c>
      <c r="AO1193" s="78" t="n">
        <f aca="false">IF(AND(OR(AK1193="À RÉPARER",AK1193="COUPE – À RESOUDER",AK1193="VT REJETÉ – À REPRENDRE"),OR(RÉPARATIONS!$D$5="TOUTES",B1193=RÉPARATIONS!$D$5)),1,0)</f>
        <v>0</v>
      </c>
      <c r="AP1193" s="78" t="str">
        <f aca="false">IF(AO1193=1,SUM(AO$7:AO1193),"")</f>
        <v/>
      </c>
    </row>
    <row r="1194" customFormat="false" ht="15" hidden="false" customHeight="false" outlineLevel="0" collapsed="false">
      <c r="A1194" s="78" t="str">
        <f aca="false">IF(E1194="","",ROW()-6)</f>
        <v/>
      </c>
      <c r="B1194" s="79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0"/>
      <c r="P1194" s="81"/>
      <c r="Q1194" s="81"/>
      <c r="R1194" s="80"/>
      <c r="S1194" s="80"/>
      <c r="T1194" s="81"/>
      <c r="U1194" s="80"/>
      <c r="V1194" s="80"/>
      <c r="W1194" s="80"/>
      <c r="X1194" s="80"/>
      <c r="Y1194" s="81"/>
      <c r="Z1194" s="80"/>
      <c r="AA1194" s="80"/>
      <c r="AB1194" s="80"/>
      <c r="AC1194" s="80"/>
      <c r="AD1194" s="81"/>
      <c r="AE1194" s="80"/>
      <c r="AF1194" s="80"/>
      <c r="AG1194" s="81"/>
      <c r="AH1194" s="79"/>
      <c r="AI1194" s="78" t="str">
        <f aca="false">IF(E1194="","",(V1194&lt;&gt;"")+(AA1194&lt;&gt;"")+(AF1194&lt;&gt;""))</f>
        <v/>
      </c>
      <c r="AJ1194" s="82" t="str">
        <f aca="false">IF(AF1194&lt;&gt;"",AF1194,IF(AA1194&lt;&gt;"",AA1194,IF(V1194&lt;&gt;"",V1194,"")))</f>
        <v/>
      </c>
      <c r="AK1194" s="83" t="str">
        <f aca="false">IF(E1194="","",IF(P1194="","À SOUDER",IF(S1194="","VT EN ATTENTE",IF(S1194="R","VT REJETÉ – À REPRENDRE",IF(AJ1194="","À RADIOGRAPHIER",IF(AJ1194="A","ACCEPTÉ",IF(AJ1194="NX","NX – RT À REFAIRE",IF(IF(AI1194=1,X1194,IF(AI1194=2,AC1194,""))="A","RÉPARÉ – À RADIOGRAPHIER",IF(IF(AI1194=1,X1194,IF(AI1194=2,AC1194,""))="R","VT REJETÉ – À REPRENDRE",IF(AJ1194="CO","COUPE – À RESOUDER","À RÉPARER"))))))))))</f>
        <v/>
      </c>
      <c r="AL1194" s="82" t="str">
        <f aca="false">IF(AND(ISNUMBER(P1194),OR(AK1194="À RADIOGRAPHIER",AK1194="RÉPARÉ – À RADIOGRAPHIER",AK1194="NX – RT À REFAIRE",AK1194="À RÉPARER",AK1194="COUPE – À RESOUDER",AK1194="VT REJETÉ – À REPRENDRE")),MAX(0,'PROGRAMME RT'!$C$4-P1194),"")</f>
        <v/>
      </c>
      <c r="AM1194" s="78" t="n">
        <f aca="false">IF(AND(OR(AK1194="À RADIOGRAPHIER",AK1194="RÉPARÉ – À RADIOGRAPHIER",AK1194="NX – RT À REFAIRE"),OR('PROGRAMME RT'!$D$5="TOUTES",B1194='PROGRAMME RT'!$D$5)),1,0)</f>
        <v>0</v>
      </c>
      <c r="AN1194" s="78" t="str">
        <f aca="false">IF(AM1194=1,SUM(AM$7:AM1194),"")</f>
        <v/>
      </c>
      <c r="AO1194" s="78" t="n">
        <f aca="false">IF(AND(OR(AK1194="À RÉPARER",AK1194="COUPE – À RESOUDER",AK1194="VT REJETÉ – À REPRENDRE"),OR(RÉPARATIONS!$D$5="TOUTES",B1194=RÉPARATIONS!$D$5)),1,0)</f>
        <v>0</v>
      </c>
      <c r="AP1194" s="78" t="str">
        <f aca="false">IF(AO1194=1,SUM(AO$7:AO1194),"")</f>
        <v/>
      </c>
    </row>
    <row r="1195" customFormat="false" ht="15" hidden="false" customHeight="false" outlineLevel="0" collapsed="false">
      <c r="A1195" s="78" t="str">
        <f aca="false">IF(E1195="","",ROW()-6)</f>
        <v/>
      </c>
      <c r="B1195" s="79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0"/>
      <c r="P1195" s="81"/>
      <c r="Q1195" s="81"/>
      <c r="R1195" s="80"/>
      <c r="S1195" s="80"/>
      <c r="T1195" s="81"/>
      <c r="U1195" s="80"/>
      <c r="V1195" s="80"/>
      <c r="W1195" s="80"/>
      <c r="X1195" s="80"/>
      <c r="Y1195" s="81"/>
      <c r="Z1195" s="80"/>
      <c r="AA1195" s="80"/>
      <c r="AB1195" s="80"/>
      <c r="AC1195" s="80"/>
      <c r="AD1195" s="81"/>
      <c r="AE1195" s="80"/>
      <c r="AF1195" s="80"/>
      <c r="AG1195" s="81"/>
      <c r="AH1195" s="79"/>
      <c r="AI1195" s="78" t="str">
        <f aca="false">IF(E1195="","",(V1195&lt;&gt;"")+(AA1195&lt;&gt;"")+(AF1195&lt;&gt;""))</f>
        <v/>
      </c>
      <c r="AJ1195" s="82" t="str">
        <f aca="false">IF(AF1195&lt;&gt;"",AF1195,IF(AA1195&lt;&gt;"",AA1195,IF(V1195&lt;&gt;"",V1195,"")))</f>
        <v/>
      </c>
      <c r="AK1195" s="83" t="str">
        <f aca="false">IF(E1195="","",IF(P1195="","À SOUDER",IF(S1195="","VT EN ATTENTE",IF(S1195="R","VT REJETÉ – À REPRENDRE",IF(AJ1195="","À RADIOGRAPHIER",IF(AJ1195="A","ACCEPTÉ",IF(AJ1195="NX","NX – RT À REFAIRE",IF(IF(AI1195=1,X1195,IF(AI1195=2,AC1195,""))="A","RÉPARÉ – À RADIOGRAPHIER",IF(IF(AI1195=1,X1195,IF(AI1195=2,AC1195,""))="R","VT REJETÉ – À REPRENDRE",IF(AJ1195="CO","COUPE – À RESOUDER","À RÉPARER"))))))))))</f>
        <v/>
      </c>
      <c r="AL1195" s="82" t="str">
        <f aca="false">IF(AND(ISNUMBER(P1195),OR(AK1195="À RADIOGRAPHIER",AK1195="RÉPARÉ – À RADIOGRAPHIER",AK1195="NX – RT À REFAIRE",AK1195="À RÉPARER",AK1195="COUPE – À RESOUDER",AK1195="VT REJETÉ – À REPRENDRE")),MAX(0,'PROGRAMME RT'!$C$4-P1195),"")</f>
        <v/>
      </c>
      <c r="AM1195" s="78" t="n">
        <f aca="false">IF(AND(OR(AK1195="À RADIOGRAPHIER",AK1195="RÉPARÉ – À RADIOGRAPHIER",AK1195="NX – RT À REFAIRE"),OR('PROGRAMME RT'!$D$5="TOUTES",B1195='PROGRAMME RT'!$D$5)),1,0)</f>
        <v>0</v>
      </c>
      <c r="AN1195" s="78" t="str">
        <f aca="false">IF(AM1195=1,SUM(AM$7:AM1195),"")</f>
        <v/>
      </c>
      <c r="AO1195" s="78" t="n">
        <f aca="false">IF(AND(OR(AK1195="À RÉPARER",AK1195="COUPE – À RESOUDER",AK1195="VT REJETÉ – À REPRENDRE"),OR(RÉPARATIONS!$D$5="TOUTES",B1195=RÉPARATIONS!$D$5)),1,0)</f>
        <v>0</v>
      </c>
      <c r="AP1195" s="78" t="str">
        <f aca="false">IF(AO1195=1,SUM(AO$7:AO1195),"")</f>
        <v/>
      </c>
    </row>
    <row r="1196" customFormat="false" ht="15" hidden="false" customHeight="false" outlineLevel="0" collapsed="false">
      <c r="A1196" s="78" t="str">
        <f aca="false">IF(E1196="","",ROW()-6)</f>
        <v/>
      </c>
      <c r="B1196" s="79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0"/>
      <c r="P1196" s="81"/>
      <c r="Q1196" s="81"/>
      <c r="R1196" s="80"/>
      <c r="S1196" s="80"/>
      <c r="T1196" s="81"/>
      <c r="U1196" s="80"/>
      <c r="V1196" s="80"/>
      <c r="W1196" s="80"/>
      <c r="X1196" s="80"/>
      <c r="Y1196" s="81"/>
      <c r="Z1196" s="80"/>
      <c r="AA1196" s="80"/>
      <c r="AB1196" s="80"/>
      <c r="AC1196" s="80"/>
      <c r="AD1196" s="81"/>
      <c r="AE1196" s="80"/>
      <c r="AF1196" s="80"/>
      <c r="AG1196" s="81"/>
      <c r="AH1196" s="79"/>
      <c r="AI1196" s="78" t="str">
        <f aca="false">IF(E1196="","",(V1196&lt;&gt;"")+(AA1196&lt;&gt;"")+(AF1196&lt;&gt;""))</f>
        <v/>
      </c>
      <c r="AJ1196" s="82" t="str">
        <f aca="false">IF(AF1196&lt;&gt;"",AF1196,IF(AA1196&lt;&gt;"",AA1196,IF(V1196&lt;&gt;"",V1196,"")))</f>
        <v/>
      </c>
      <c r="AK1196" s="83" t="str">
        <f aca="false">IF(E1196="","",IF(P1196="","À SOUDER",IF(S1196="","VT EN ATTENTE",IF(S1196="R","VT REJETÉ – À REPRENDRE",IF(AJ1196="","À RADIOGRAPHIER",IF(AJ1196="A","ACCEPTÉ",IF(AJ1196="NX","NX – RT À REFAIRE",IF(IF(AI1196=1,X1196,IF(AI1196=2,AC1196,""))="A","RÉPARÉ – À RADIOGRAPHIER",IF(IF(AI1196=1,X1196,IF(AI1196=2,AC1196,""))="R","VT REJETÉ – À REPRENDRE",IF(AJ1196="CO","COUPE – À RESOUDER","À RÉPARER"))))))))))</f>
        <v/>
      </c>
      <c r="AL1196" s="82" t="str">
        <f aca="false">IF(AND(ISNUMBER(P1196),OR(AK1196="À RADIOGRAPHIER",AK1196="RÉPARÉ – À RADIOGRAPHIER",AK1196="NX – RT À REFAIRE",AK1196="À RÉPARER",AK1196="COUPE – À RESOUDER",AK1196="VT REJETÉ – À REPRENDRE")),MAX(0,'PROGRAMME RT'!$C$4-P1196),"")</f>
        <v/>
      </c>
      <c r="AM1196" s="78" t="n">
        <f aca="false">IF(AND(OR(AK1196="À RADIOGRAPHIER",AK1196="RÉPARÉ – À RADIOGRAPHIER",AK1196="NX – RT À REFAIRE"),OR('PROGRAMME RT'!$D$5="TOUTES",B1196='PROGRAMME RT'!$D$5)),1,0)</f>
        <v>0</v>
      </c>
      <c r="AN1196" s="78" t="str">
        <f aca="false">IF(AM1196=1,SUM(AM$7:AM1196),"")</f>
        <v/>
      </c>
      <c r="AO1196" s="78" t="n">
        <f aca="false">IF(AND(OR(AK1196="À RÉPARER",AK1196="COUPE – À RESOUDER",AK1196="VT REJETÉ – À REPRENDRE"),OR(RÉPARATIONS!$D$5="TOUTES",B1196=RÉPARATIONS!$D$5)),1,0)</f>
        <v>0</v>
      </c>
      <c r="AP1196" s="78" t="str">
        <f aca="false">IF(AO1196=1,SUM(AO$7:AO1196),"")</f>
        <v/>
      </c>
    </row>
    <row r="1197" customFormat="false" ht="15" hidden="false" customHeight="false" outlineLevel="0" collapsed="false">
      <c r="A1197" s="78" t="str">
        <f aca="false">IF(E1197="","",ROW()-6)</f>
        <v/>
      </c>
      <c r="B1197" s="79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0"/>
      <c r="P1197" s="81"/>
      <c r="Q1197" s="81"/>
      <c r="R1197" s="80"/>
      <c r="S1197" s="80"/>
      <c r="T1197" s="81"/>
      <c r="U1197" s="80"/>
      <c r="V1197" s="80"/>
      <c r="W1197" s="80"/>
      <c r="X1197" s="80"/>
      <c r="Y1197" s="81"/>
      <c r="Z1197" s="80"/>
      <c r="AA1197" s="80"/>
      <c r="AB1197" s="80"/>
      <c r="AC1197" s="80"/>
      <c r="AD1197" s="81"/>
      <c r="AE1197" s="80"/>
      <c r="AF1197" s="80"/>
      <c r="AG1197" s="81"/>
      <c r="AH1197" s="79"/>
      <c r="AI1197" s="78" t="str">
        <f aca="false">IF(E1197="","",(V1197&lt;&gt;"")+(AA1197&lt;&gt;"")+(AF1197&lt;&gt;""))</f>
        <v/>
      </c>
      <c r="AJ1197" s="82" t="str">
        <f aca="false">IF(AF1197&lt;&gt;"",AF1197,IF(AA1197&lt;&gt;"",AA1197,IF(V1197&lt;&gt;"",V1197,"")))</f>
        <v/>
      </c>
      <c r="AK1197" s="83" t="str">
        <f aca="false">IF(E1197="","",IF(P1197="","À SOUDER",IF(S1197="","VT EN ATTENTE",IF(S1197="R","VT REJETÉ – À REPRENDRE",IF(AJ1197="","À RADIOGRAPHIER",IF(AJ1197="A","ACCEPTÉ",IF(AJ1197="NX","NX – RT À REFAIRE",IF(IF(AI1197=1,X1197,IF(AI1197=2,AC1197,""))="A","RÉPARÉ – À RADIOGRAPHIER",IF(IF(AI1197=1,X1197,IF(AI1197=2,AC1197,""))="R","VT REJETÉ – À REPRENDRE",IF(AJ1197="CO","COUPE – À RESOUDER","À RÉPARER"))))))))))</f>
        <v/>
      </c>
      <c r="AL1197" s="82" t="str">
        <f aca="false">IF(AND(ISNUMBER(P1197),OR(AK1197="À RADIOGRAPHIER",AK1197="RÉPARÉ – À RADIOGRAPHIER",AK1197="NX – RT À REFAIRE",AK1197="À RÉPARER",AK1197="COUPE – À RESOUDER",AK1197="VT REJETÉ – À REPRENDRE")),MAX(0,'PROGRAMME RT'!$C$4-P1197),"")</f>
        <v/>
      </c>
      <c r="AM1197" s="78" t="n">
        <f aca="false">IF(AND(OR(AK1197="À RADIOGRAPHIER",AK1197="RÉPARÉ – À RADIOGRAPHIER",AK1197="NX – RT À REFAIRE"),OR('PROGRAMME RT'!$D$5="TOUTES",B1197='PROGRAMME RT'!$D$5)),1,0)</f>
        <v>0</v>
      </c>
      <c r="AN1197" s="78" t="str">
        <f aca="false">IF(AM1197=1,SUM(AM$7:AM1197),"")</f>
        <v/>
      </c>
      <c r="AO1197" s="78" t="n">
        <f aca="false">IF(AND(OR(AK1197="À RÉPARER",AK1197="COUPE – À RESOUDER",AK1197="VT REJETÉ – À REPRENDRE"),OR(RÉPARATIONS!$D$5="TOUTES",B1197=RÉPARATIONS!$D$5)),1,0)</f>
        <v>0</v>
      </c>
      <c r="AP1197" s="78" t="str">
        <f aca="false">IF(AO1197=1,SUM(AO$7:AO1197),"")</f>
        <v/>
      </c>
    </row>
    <row r="1198" customFormat="false" ht="15" hidden="false" customHeight="false" outlineLevel="0" collapsed="false">
      <c r="A1198" s="78" t="str">
        <f aca="false">IF(E1198="","",ROW()-6)</f>
        <v/>
      </c>
      <c r="B1198" s="79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0"/>
      <c r="P1198" s="81"/>
      <c r="Q1198" s="81"/>
      <c r="R1198" s="80"/>
      <c r="S1198" s="80"/>
      <c r="T1198" s="81"/>
      <c r="U1198" s="80"/>
      <c r="V1198" s="80"/>
      <c r="W1198" s="80"/>
      <c r="X1198" s="80"/>
      <c r="Y1198" s="81"/>
      <c r="Z1198" s="80"/>
      <c r="AA1198" s="80"/>
      <c r="AB1198" s="80"/>
      <c r="AC1198" s="80"/>
      <c r="AD1198" s="81"/>
      <c r="AE1198" s="80"/>
      <c r="AF1198" s="80"/>
      <c r="AG1198" s="81"/>
      <c r="AH1198" s="79"/>
      <c r="AI1198" s="78" t="str">
        <f aca="false">IF(E1198="","",(V1198&lt;&gt;"")+(AA1198&lt;&gt;"")+(AF1198&lt;&gt;""))</f>
        <v/>
      </c>
      <c r="AJ1198" s="82" t="str">
        <f aca="false">IF(AF1198&lt;&gt;"",AF1198,IF(AA1198&lt;&gt;"",AA1198,IF(V1198&lt;&gt;"",V1198,"")))</f>
        <v/>
      </c>
      <c r="AK1198" s="83" t="str">
        <f aca="false">IF(E1198="","",IF(P1198="","À SOUDER",IF(S1198="","VT EN ATTENTE",IF(S1198="R","VT REJETÉ – À REPRENDRE",IF(AJ1198="","À RADIOGRAPHIER",IF(AJ1198="A","ACCEPTÉ",IF(AJ1198="NX","NX – RT À REFAIRE",IF(IF(AI1198=1,X1198,IF(AI1198=2,AC1198,""))="A","RÉPARÉ – À RADIOGRAPHIER",IF(IF(AI1198=1,X1198,IF(AI1198=2,AC1198,""))="R","VT REJETÉ – À REPRENDRE",IF(AJ1198="CO","COUPE – À RESOUDER","À RÉPARER"))))))))))</f>
        <v/>
      </c>
      <c r="AL1198" s="82" t="str">
        <f aca="false">IF(AND(ISNUMBER(P1198),OR(AK1198="À RADIOGRAPHIER",AK1198="RÉPARÉ – À RADIOGRAPHIER",AK1198="NX – RT À REFAIRE",AK1198="À RÉPARER",AK1198="COUPE – À RESOUDER",AK1198="VT REJETÉ – À REPRENDRE")),MAX(0,'PROGRAMME RT'!$C$4-P1198),"")</f>
        <v/>
      </c>
      <c r="AM1198" s="78" t="n">
        <f aca="false">IF(AND(OR(AK1198="À RADIOGRAPHIER",AK1198="RÉPARÉ – À RADIOGRAPHIER",AK1198="NX – RT À REFAIRE"),OR('PROGRAMME RT'!$D$5="TOUTES",B1198='PROGRAMME RT'!$D$5)),1,0)</f>
        <v>0</v>
      </c>
      <c r="AN1198" s="78" t="str">
        <f aca="false">IF(AM1198=1,SUM(AM$7:AM1198),"")</f>
        <v/>
      </c>
      <c r="AO1198" s="78" t="n">
        <f aca="false">IF(AND(OR(AK1198="À RÉPARER",AK1198="COUPE – À RESOUDER",AK1198="VT REJETÉ – À REPRENDRE"),OR(RÉPARATIONS!$D$5="TOUTES",B1198=RÉPARATIONS!$D$5)),1,0)</f>
        <v>0</v>
      </c>
      <c r="AP1198" s="78" t="str">
        <f aca="false">IF(AO1198=1,SUM(AO$7:AO1198),"")</f>
        <v/>
      </c>
    </row>
    <row r="1199" customFormat="false" ht="15" hidden="false" customHeight="false" outlineLevel="0" collapsed="false">
      <c r="A1199" s="78" t="str">
        <f aca="false">IF(E1199="","",ROW()-6)</f>
        <v/>
      </c>
      <c r="B1199" s="79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0"/>
      <c r="P1199" s="81"/>
      <c r="Q1199" s="81"/>
      <c r="R1199" s="80"/>
      <c r="S1199" s="80"/>
      <c r="T1199" s="81"/>
      <c r="U1199" s="80"/>
      <c r="V1199" s="80"/>
      <c r="W1199" s="80"/>
      <c r="X1199" s="80"/>
      <c r="Y1199" s="81"/>
      <c r="Z1199" s="80"/>
      <c r="AA1199" s="80"/>
      <c r="AB1199" s="80"/>
      <c r="AC1199" s="80"/>
      <c r="AD1199" s="81"/>
      <c r="AE1199" s="80"/>
      <c r="AF1199" s="80"/>
      <c r="AG1199" s="81"/>
      <c r="AH1199" s="79"/>
      <c r="AI1199" s="78" t="str">
        <f aca="false">IF(E1199="","",(V1199&lt;&gt;"")+(AA1199&lt;&gt;"")+(AF1199&lt;&gt;""))</f>
        <v/>
      </c>
      <c r="AJ1199" s="82" t="str">
        <f aca="false">IF(AF1199&lt;&gt;"",AF1199,IF(AA1199&lt;&gt;"",AA1199,IF(V1199&lt;&gt;"",V1199,"")))</f>
        <v/>
      </c>
      <c r="AK1199" s="83" t="str">
        <f aca="false">IF(E1199="","",IF(P1199="","À SOUDER",IF(S1199="","VT EN ATTENTE",IF(S1199="R","VT REJETÉ – À REPRENDRE",IF(AJ1199="","À RADIOGRAPHIER",IF(AJ1199="A","ACCEPTÉ",IF(AJ1199="NX","NX – RT À REFAIRE",IF(IF(AI1199=1,X1199,IF(AI1199=2,AC1199,""))="A","RÉPARÉ – À RADIOGRAPHIER",IF(IF(AI1199=1,X1199,IF(AI1199=2,AC1199,""))="R","VT REJETÉ – À REPRENDRE",IF(AJ1199="CO","COUPE – À RESOUDER","À RÉPARER"))))))))))</f>
        <v/>
      </c>
      <c r="AL1199" s="82" t="str">
        <f aca="false">IF(AND(ISNUMBER(P1199),OR(AK1199="À RADIOGRAPHIER",AK1199="RÉPARÉ – À RADIOGRAPHIER",AK1199="NX – RT À REFAIRE",AK1199="À RÉPARER",AK1199="COUPE – À RESOUDER",AK1199="VT REJETÉ – À REPRENDRE")),MAX(0,'PROGRAMME RT'!$C$4-P1199),"")</f>
        <v/>
      </c>
      <c r="AM1199" s="78" t="n">
        <f aca="false">IF(AND(OR(AK1199="À RADIOGRAPHIER",AK1199="RÉPARÉ – À RADIOGRAPHIER",AK1199="NX – RT À REFAIRE"),OR('PROGRAMME RT'!$D$5="TOUTES",B1199='PROGRAMME RT'!$D$5)),1,0)</f>
        <v>0</v>
      </c>
      <c r="AN1199" s="78" t="str">
        <f aca="false">IF(AM1199=1,SUM(AM$7:AM1199),"")</f>
        <v/>
      </c>
      <c r="AO1199" s="78" t="n">
        <f aca="false">IF(AND(OR(AK1199="À RÉPARER",AK1199="COUPE – À RESOUDER",AK1199="VT REJETÉ – À REPRENDRE"),OR(RÉPARATIONS!$D$5="TOUTES",B1199=RÉPARATIONS!$D$5)),1,0)</f>
        <v>0</v>
      </c>
      <c r="AP1199" s="78" t="str">
        <f aca="false">IF(AO1199=1,SUM(AO$7:AO1199),"")</f>
        <v/>
      </c>
    </row>
    <row r="1200" customFormat="false" ht="15" hidden="false" customHeight="false" outlineLevel="0" collapsed="false">
      <c r="A1200" s="78" t="str">
        <f aca="false">IF(E1200="","",ROW()-6)</f>
        <v/>
      </c>
      <c r="B1200" s="79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0"/>
      <c r="P1200" s="81"/>
      <c r="Q1200" s="81"/>
      <c r="R1200" s="80"/>
      <c r="S1200" s="80"/>
      <c r="T1200" s="81"/>
      <c r="U1200" s="80"/>
      <c r="V1200" s="80"/>
      <c r="W1200" s="80"/>
      <c r="X1200" s="80"/>
      <c r="Y1200" s="81"/>
      <c r="Z1200" s="80"/>
      <c r="AA1200" s="80"/>
      <c r="AB1200" s="80"/>
      <c r="AC1200" s="80"/>
      <c r="AD1200" s="81"/>
      <c r="AE1200" s="80"/>
      <c r="AF1200" s="80"/>
      <c r="AG1200" s="81"/>
      <c r="AH1200" s="79"/>
      <c r="AI1200" s="78" t="str">
        <f aca="false">IF(E1200="","",(V1200&lt;&gt;"")+(AA1200&lt;&gt;"")+(AF1200&lt;&gt;""))</f>
        <v/>
      </c>
      <c r="AJ1200" s="82" t="str">
        <f aca="false">IF(AF1200&lt;&gt;"",AF1200,IF(AA1200&lt;&gt;"",AA1200,IF(V1200&lt;&gt;"",V1200,"")))</f>
        <v/>
      </c>
      <c r="AK1200" s="83" t="str">
        <f aca="false">IF(E1200="","",IF(P1200="","À SOUDER",IF(S1200="","VT EN ATTENTE",IF(S1200="R","VT REJETÉ – À REPRENDRE",IF(AJ1200="","À RADIOGRAPHIER",IF(AJ1200="A","ACCEPTÉ",IF(AJ1200="NX","NX – RT À REFAIRE",IF(IF(AI1200=1,X1200,IF(AI1200=2,AC1200,""))="A","RÉPARÉ – À RADIOGRAPHIER",IF(IF(AI1200=1,X1200,IF(AI1200=2,AC1200,""))="R","VT REJETÉ – À REPRENDRE",IF(AJ1200="CO","COUPE – À RESOUDER","À RÉPARER"))))))))))</f>
        <v/>
      </c>
      <c r="AL1200" s="82" t="str">
        <f aca="false">IF(AND(ISNUMBER(P1200),OR(AK1200="À RADIOGRAPHIER",AK1200="RÉPARÉ – À RADIOGRAPHIER",AK1200="NX – RT À REFAIRE",AK1200="À RÉPARER",AK1200="COUPE – À RESOUDER",AK1200="VT REJETÉ – À REPRENDRE")),MAX(0,'PROGRAMME RT'!$C$4-P1200),"")</f>
        <v/>
      </c>
      <c r="AM1200" s="78" t="n">
        <f aca="false">IF(AND(OR(AK1200="À RADIOGRAPHIER",AK1200="RÉPARÉ – À RADIOGRAPHIER",AK1200="NX – RT À REFAIRE"),OR('PROGRAMME RT'!$D$5="TOUTES",B1200='PROGRAMME RT'!$D$5)),1,0)</f>
        <v>0</v>
      </c>
      <c r="AN1200" s="78" t="str">
        <f aca="false">IF(AM1200=1,SUM(AM$7:AM1200),"")</f>
        <v/>
      </c>
      <c r="AO1200" s="78" t="n">
        <f aca="false">IF(AND(OR(AK1200="À RÉPARER",AK1200="COUPE – À RESOUDER",AK1200="VT REJETÉ – À REPRENDRE"),OR(RÉPARATIONS!$D$5="TOUTES",B1200=RÉPARATIONS!$D$5)),1,0)</f>
        <v>0</v>
      </c>
      <c r="AP1200" s="78" t="str">
        <f aca="false">IF(AO1200=1,SUM(AO$7:AO1200),"")</f>
        <v/>
      </c>
    </row>
    <row r="1201" customFormat="false" ht="15" hidden="false" customHeight="false" outlineLevel="0" collapsed="false">
      <c r="A1201" s="78" t="str">
        <f aca="false">IF(E1201="","",ROW()-6)</f>
        <v/>
      </c>
      <c r="B1201" s="79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0"/>
      <c r="P1201" s="81"/>
      <c r="Q1201" s="81"/>
      <c r="R1201" s="80"/>
      <c r="S1201" s="80"/>
      <c r="T1201" s="81"/>
      <c r="U1201" s="80"/>
      <c r="V1201" s="80"/>
      <c r="W1201" s="80"/>
      <c r="X1201" s="80"/>
      <c r="Y1201" s="81"/>
      <c r="Z1201" s="80"/>
      <c r="AA1201" s="80"/>
      <c r="AB1201" s="80"/>
      <c r="AC1201" s="80"/>
      <c r="AD1201" s="81"/>
      <c r="AE1201" s="80"/>
      <c r="AF1201" s="80"/>
      <c r="AG1201" s="81"/>
      <c r="AH1201" s="79"/>
      <c r="AI1201" s="78" t="str">
        <f aca="false">IF(E1201="","",(V1201&lt;&gt;"")+(AA1201&lt;&gt;"")+(AF1201&lt;&gt;""))</f>
        <v/>
      </c>
      <c r="AJ1201" s="82" t="str">
        <f aca="false">IF(AF1201&lt;&gt;"",AF1201,IF(AA1201&lt;&gt;"",AA1201,IF(V1201&lt;&gt;"",V1201,"")))</f>
        <v/>
      </c>
      <c r="AK1201" s="83" t="str">
        <f aca="false">IF(E1201="","",IF(P1201="","À SOUDER",IF(S1201="","VT EN ATTENTE",IF(S1201="R","VT REJETÉ – À REPRENDRE",IF(AJ1201="","À RADIOGRAPHIER",IF(AJ1201="A","ACCEPTÉ",IF(AJ1201="NX","NX – RT À REFAIRE",IF(IF(AI1201=1,X1201,IF(AI1201=2,AC1201,""))="A","RÉPARÉ – À RADIOGRAPHIER",IF(IF(AI1201=1,X1201,IF(AI1201=2,AC1201,""))="R","VT REJETÉ – À REPRENDRE",IF(AJ1201="CO","COUPE – À RESOUDER","À RÉPARER"))))))))))</f>
        <v/>
      </c>
      <c r="AL1201" s="82" t="str">
        <f aca="false">IF(AND(ISNUMBER(P1201),OR(AK1201="À RADIOGRAPHIER",AK1201="RÉPARÉ – À RADIOGRAPHIER",AK1201="NX – RT À REFAIRE",AK1201="À RÉPARER",AK1201="COUPE – À RESOUDER",AK1201="VT REJETÉ – À REPRENDRE")),MAX(0,'PROGRAMME RT'!$C$4-P1201),"")</f>
        <v/>
      </c>
      <c r="AM1201" s="78" t="n">
        <f aca="false">IF(AND(OR(AK1201="À RADIOGRAPHIER",AK1201="RÉPARÉ – À RADIOGRAPHIER",AK1201="NX – RT À REFAIRE"),OR('PROGRAMME RT'!$D$5="TOUTES",B1201='PROGRAMME RT'!$D$5)),1,0)</f>
        <v>0</v>
      </c>
      <c r="AN1201" s="78" t="str">
        <f aca="false">IF(AM1201=1,SUM(AM$7:AM1201),"")</f>
        <v/>
      </c>
      <c r="AO1201" s="78" t="n">
        <f aca="false">IF(AND(OR(AK1201="À RÉPARER",AK1201="COUPE – À RESOUDER",AK1201="VT REJETÉ – À REPRENDRE"),OR(RÉPARATIONS!$D$5="TOUTES",B1201=RÉPARATIONS!$D$5)),1,0)</f>
        <v>0</v>
      </c>
      <c r="AP1201" s="78" t="str">
        <f aca="false">IF(AO1201=1,SUM(AO$7:AO1201),"")</f>
        <v/>
      </c>
    </row>
    <row r="1202" customFormat="false" ht="15" hidden="false" customHeight="false" outlineLevel="0" collapsed="false">
      <c r="A1202" s="78" t="str">
        <f aca="false">IF(E1202="","",ROW()-6)</f>
        <v/>
      </c>
      <c r="B1202" s="79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0"/>
      <c r="P1202" s="81"/>
      <c r="Q1202" s="81"/>
      <c r="R1202" s="80"/>
      <c r="S1202" s="80"/>
      <c r="T1202" s="81"/>
      <c r="U1202" s="80"/>
      <c r="V1202" s="80"/>
      <c r="W1202" s="80"/>
      <c r="X1202" s="80"/>
      <c r="Y1202" s="81"/>
      <c r="Z1202" s="80"/>
      <c r="AA1202" s="80"/>
      <c r="AB1202" s="80"/>
      <c r="AC1202" s="80"/>
      <c r="AD1202" s="81"/>
      <c r="AE1202" s="80"/>
      <c r="AF1202" s="80"/>
      <c r="AG1202" s="81"/>
      <c r="AH1202" s="79"/>
      <c r="AI1202" s="78" t="str">
        <f aca="false">IF(E1202="","",(V1202&lt;&gt;"")+(AA1202&lt;&gt;"")+(AF1202&lt;&gt;""))</f>
        <v/>
      </c>
      <c r="AJ1202" s="82" t="str">
        <f aca="false">IF(AF1202&lt;&gt;"",AF1202,IF(AA1202&lt;&gt;"",AA1202,IF(V1202&lt;&gt;"",V1202,"")))</f>
        <v/>
      </c>
      <c r="AK1202" s="83" t="str">
        <f aca="false">IF(E1202="","",IF(P1202="","À SOUDER",IF(S1202="","VT EN ATTENTE",IF(S1202="R","VT REJETÉ – À REPRENDRE",IF(AJ1202="","À RADIOGRAPHIER",IF(AJ1202="A","ACCEPTÉ",IF(AJ1202="NX","NX – RT À REFAIRE",IF(IF(AI1202=1,X1202,IF(AI1202=2,AC1202,""))="A","RÉPARÉ – À RADIOGRAPHIER",IF(IF(AI1202=1,X1202,IF(AI1202=2,AC1202,""))="R","VT REJETÉ – À REPRENDRE",IF(AJ1202="CO","COUPE – À RESOUDER","À RÉPARER"))))))))))</f>
        <v/>
      </c>
      <c r="AL1202" s="82" t="str">
        <f aca="false">IF(AND(ISNUMBER(P1202),OR(AK1202="À RADIOGRAPHIER",AK1202="RÉPARÉ – À RADIOGRAPHIER",AK1202="NX – RT À REFAIRE",AK1202="À RÉPARER",AK1202="COUPE – À RESOUDER",AK1202="VT REJETÉ – À REPRENDRE")),MAX(0,'PROGRAMME RT'!$C$4-P1202),"")</f>
        <v/>
      </c>
      <c r="AM1202" s="78" t="n">
        <f aca="false">IF(AND(OR(AK1202="À RADIOGRAPHIER",AK1202="RÉPARÉ – À RADIOGRAPHIER",AK1202="NX – RT À REFAIRE"),OR('PROGRAMME RT'!$D$5="TOUTES",B1202='PROGRAMME RT'!$D$5)),1,0)</f>
        <v>0</v>
      </c>
      <c r="AN1202" s="78" t="str">
        <f aca="false">IF(AM1202=1,SUM(AM$7:AM1202),"")</f>
        <v/>
      </c>
      <c r="AO1202" s="78" t="n">
        <f aca="false">IF(AND(OR(AK1202="À RÉPARER",AK1202="COUPE – À RESOUDER",AK1202="VT REJETÉ – À REPRENDRE"),OR(RÉPARATIONS!$D$5="TOUTES",B1202=RÉPARATIONS!$D$5)),1,0)</f>
        <v>0</v>
      </c>
      <c r="AP1202" s="78" t="str">
        <f aca="false">IF(AO1202=1,SUM(AO$7:AO1202),"")</f>
        <v/>
      </c>
    </row>
    <row r="1203" customFormat="false" ht="15" hidden="false" customHeight="false" outlineLevel="0" collapsed="false">
      <c r="A1203" s="78" t="str">
        <f aca="false">IF(E1203="","",ROW()-6)</f>
        <v/>
      </c>
      <c r="B1203" s="79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0"/>
      <c r="P1203" s="81"/>
      <c r="Q1203" s="81"/>
      <c r="R1203" s="80"/>
      <c r="S1203" s="80"/>
      <c r="T1203" s="81"/>
      <c r="U1203" s="80"/>
      <c r="V1203" s="80"/>
      <c r="W1203" s="80"/>
      <c r="X1203" s="80"/>
      <c r="Y1203" s="81"/>
      <c r="Z1203" s="80"/>
      <c r="AA1203" s="80"/>
      <c r="AB1203" s="80"/>
      <c r="AC1203" s="80"/>
      <c r="AD1203" s="81"/>
      <c r="AE1203" s="80"/>
      <c r="AF1203" s="80"/>
      <c r="AG1203" s="81"/>
      <c r="AH1203" s="79"/>
      <c r="AI1203" s="78" t="str">
        <f aca="false">IF(E1203="","",(V1203&lt;&gt;"")+(AA1203&lt;&gt;"")+(AF1203&lt;&gt;""))</f>
        <v/>
      </c>
      <c r="AJ1203" s="82" t="str">
        <f aca="false">IF(AF1203&lt;&gt;"",AF1203,IF(AA1203&lt;&gt;"",AA1203,IF(V1203&lt;&gt;"",V1203,"")))</f>
        <v/>
      </c>
      <c r="AK1203" s="83" t="str">
        <f aca="false">IF(E1203="","",IF(P1203="","À SOUDER",IF(S1203="","VT EN ATTENTE",IF(S1203="R","VT REJETÉ – À REPRENDRE",IF(AJ1203="","À RADIOGRAPHIER",IF(AJ1203="A","ACCEPTÉ",IF(AJ1203="NX","NX – RT À REFAIRE",IF(IF(AI1203=1,X1203,IF(AI1203=2,AC1203,""))="A","RÉPARÉ – À RADIOGRAPHIER",IF(IF(AI1203=1,X1203,IF(AI1203=2,AC1203,""))="R","VT REJETÉ – À REPRENDRE",IF(AJ1203="CO","COUPE – À RESOUDER","À RÉPARER"))))))))))</f>
        <v/>
      </c>
      <c r="AL1203" s="82" t="str">
        <f aca="false">IF(AND(ISNUMBER(P1203),OR(AK1203="À RADIOGRAPHIER",AK1203="RÉPARÉ – À RADIOGRAPHIER",AK1203="NX – RT À REFAIRE",AK1203="À RÉPARER",AK1203="COUPE – À RESOUDER",AK1203="VT REJETÉ – À REPRENDRE")),MAX(0,'PROGRAMME RT'!$C$4-P1203),"")</f>
        <v/>
      </c>
      <c r="AM1203" s="78" t="n">
        <f aca="false">IF(AND(OR(AK1203="À RADIOGRAPHIER",AK1203="RÉPARÉ – À RADIOGRAPHIER",AK1203="NX – RT À REFAIRE"),OR('PROGRAMME RT'!$D$5="TOUTES",B1203='PROGRAMME RT'!$D$5)),1,0)</f>
        <v>0</v>
      </c>
      <c r="AN1203" s="78" t="str">
        <f aca="false">IF(AM1203=1,SUM(AM$7:AM1203),"")</f>
        <v/>
      </c>
      <c r="AO1203" s="78" t="n">
        <f aca="false">IF(AND(OR(AK1203="À RÉPARER",AK1203="COUPE – À RESOUDER",AK1203="VT REJETÉ – À REPRENDRE"),OR(RÉPARATIONS!$D$5="TOUTES",B1203=RÉPARATIONS!$D$5)),1,0)</f>
        <v>0</v>
      </c>
      <c r="AP1203" s="78" t="str">
        <f aca="false">IF(AO1203=1,SUM(AO$7:AO1203),"")</f>
        <v/>
      </c>
    </row>
    <row r="1204" customFormat="false" ht="15" hidden="false" customHeight="false" outlineLevel="0" collapsed="false">
      <c r="A1204" s="78" t="str">
        <f aca="false">IF(E1204="","",ROW()-6)</f>
        <v/>
      </c>
      <c r="B1204" s="79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0"/>
      <c r="P1204" s="81"/>
      <c r="Q1204" s="81"/>
      <c r="R1204" s="80"/>
      <c r="S1204" s="80"/>
      <c r="T1204" s="81"/>
      <c r="U1204" s="80"/>
      <c r="V1204" s="80"/>
      <c r="W1204" s="80"/>
      <c r="X1204" s="80"/>
      <c r="Y1204" s="81"/>
      <c r="Z1204" s="80"/>
      <c r="AA1204" s="80"/>
      <c r="AB1204" s="80"/>
      <c r="AC1204" s="80"/>
      <c r="AD1204" s="81"/>
      <c r="AE1204" s="80"/>
      <c r="AF1204" s="80"/>
      <c r="AG1204" s="81"/>
      <c r="AH1204" s="79"/>
      <c r="AI1204" s="78" t="str">
        <f aca="false">IF(E1204="","",(V1204&lt;&gt;"")+(AA1204&lt;&gt;"")+(AF1204&lt;&gt;""))</f>
        <v/>
      </c>
      <c r="AJ1204" s="82" t="str">
        <f aca="false">IF(AF1204&lt;&gt;"",AF1204,IF(AA1204&lt;&gt;"",AA1204,IF(V1204&lt;&gt;"",V1204,"")))</f>
        <v/>
      </c>
      <c r="AK1204" s="83" t="str">
        <f aca="false">IF(E1204="","",IF(P1204="","À SOUDER",IF(S1204="","VT EN ATTENTE",IF(S1204="R","VT REJETÉ – À REPRENDRE",IF(AJ1204="","À RADIOGRAPHIER",IF(AJ1204="A","ACCEPTÉ",IF(AJ1204="NX","NX – RT À REFAIRE",IF(IF(AI1204=1,X1204,IF(AI1204=2,AC1204,""))="A","RÉPARÉ – À RADIOGRAPHIER",IF(IF(AI1204=1,X1204,IF(AI1204=2,AC1204,""))="R","VT REJETÉ – À REPRENDRE",IF(AJ1204="CO","COUPE – À RESOUDER","À RÉPARER"))))))))))</f>
        <v/>
      </c>
      <c r="AL1204" s="82" t="str">
        <f aca="false">IF(AND(ISNUMBER(P1204),OR(AK1204="À RADIOGRAPHIER",AK1204="RÉPARÉ – À RADIOGRAPHIER",AK1204="NX – RT À REFAIRE",AK1204="À RÉPARER",AK1204="COUPE – À RESOUDER",AK1204="VT REJETÉ – À REPRENDRE")),MAX(0,'PROGRAMME RT'!$C$4-P1204),"")</f>
        <v/>
      </c>
      <c r="AM1204" s="78" t="n">
        <f aca="false">IF(AND(OR(AK1204="À RADIOGRAPHIER",AK1204="RÉPARÉ – À RADIOGRAPHIER",AK1204="NX – RT À REFAIRE"),OR('PROGRAMME RT'!$D$5="TOUTES",B1204='PROGRAMME RT'!$D$5)),1,0)</f>
        <v>0</v>
      </c>
      <c r="AN1204" s="78" t="str">
        <f aca="false">IF(AM1204=1,SUM(AM$7:AM1204),"")</f>
        <v/>
      </c>
      <c r="AO1204" s="78" t="n">
        <f aca="false">IF(AND(OR(AK1204="À RÉPARER",AK1204="COUPE – À RESOUDER",AK1204="VT REJETÉ – À REPRENDRE"),OR(RÉPARATIONS!$D$5="TOUTES",B1204=RÉPARATIONS!$D$5)),1,0)</f>
        <v>0</v>
      </c>
      <c r="AP1204" s="78" t="str">
        <f aca="false">IF(AO1204=1,SUM(AO$7:AO1204),"")</f>
        <v/>
      </c>
    </row>
    <row r="1205" customFormat="false" ht="15" hidden="false" customHeight="false" outlineLevel="0" collapsed="false">
      <c r="A1205" s="78" t="str">
        <f aca="false">IF(E1205="","",ROW()-6)</f>
        <v/>
      </c>
      <c r="B1205" s="79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0"/>
      <c r="P1205" s="81"/>
      <c r="Q1205" s="81"/>
      <c r="R1205" s="80"/>
      <c r="S1205" s="80"/>
      <c r="T1205" s="81"/>
      <c r="U1205" s="80"/>
      <c r="V1205" s="80"/>
      <c r="W1205" s="80"/>
      <c r="X1205" s="80"/>
      <c r="Y1205" s="81"/>
      <c r="Z1205" s="80"/>
      <c r="AA1205" s="80"/>
      <c r="AB1205" s="80"/>
      <c r="AC1205" s="80"/>
      <c r="AD1205" s="81"/>
      <c r="AE1205" s="80"/>
      <c r="AF1205" s="80"/>
      <c r="AG1205" s="81"/>
      <c r="AH1205" s="79"/>
      <c r="AI1205" s="78" t="str">
        <f aca="false">IF(E1205="","",(V1205&lt;&gt;"")+(AA1205&lt;&gt;"")+(AF1205&lt;&gt;""))</f>
        <v/>
      </c>
      <c r="AJ1205" s="82" t="str">
        <f aca="false">IF(AF1205&lt;&gt;"",AF1205,IF(AA1205&lt;&gt;"",AA1205,IF(V1205&lt;&gt;"",V1205,"")))</f>
        <v/>
      </c>
      <c r="AK1205" s="83" t="str">
        <f aca="false">IF(E1205="","",IF(P1205="","À SOUDER",IF(S1205="","VT EN ATTENTE",IF(S1205="R","VT REJETÉ – À REPRENDRE",IF(AJ1205="","À RADIOGRAPHIER",IF(AJ1205="A","ACCEPTÉ",IF(AJ1205="NX","NX – RT À REFAIRE",IF(IF(AI1205=1,X1205,IF(AI1205=2,AC1205,""))="A","RÉPARÉ – À RADIOGRAPHIER",IF(IF(AI1205=1,X1205,IF(AI1205=2,AC1205,""))="R","VT REJETÉ – À REPRENDRE",IF(AJ1205="CO","COUPE – À RESOUDER","À RÉPARER"))))))))))</f>
        <v/>
      </c>
      <c r="AL1205" s="82" t="str">
        <f aca="false">IF(AND(ISNUMBER(P1205),OR(AK1205="À RADIOGRAPHIER",AK1205="RÉPARÉ – À RADIOGRAPHIER",AK1205="NX – RT À REFAIRE",AK1205="À RÉPARER",AK1205="COUPE – À RESOUDER",AK1205="VT REJETÉ – À REPRENDRE")),MAX(0,'PROGRAMME RT'!$C$4-P1205),"")</f>
        <v/>
      </c>
      <c r="AM1205" s="78" t="n">
        <f aca="false">IF(AND(OR(AK1205="À RADIOGRAPHIER",AK1205="RÉPARÉ – À RADIOGRAPHIER",AK1205="NX – RT À REFAIRE"),OR('PROGRAMME RT'!$D$5="TOUTES",B1205='PROGRAMME RT'!$D$5)),1,0)</f>
        <v>0</v>
      </c>
      <c r="AN1205" s="78" t="str">
        <f aca="false">IF(AM1205=1,SUM(AM$7:AM1205),"")</f>
        <v/>
      </c>
      <c r="AO1205" s="78" t="n">
        <f aca="false">IF(AND(OR(AK1205="À RÉPARER",AK1205="COUPE – À RESOUDER",AK1205="VT REJETÉ – À REPRENDRE"),OR(RÉPARATIONS!$D$5="TOUTES",B1205=RÉPARATIONS!$D$5)),1,0)</f>
        <v>0</v>
      </c>
      <c r="AP1205" s="78" t="str">
        <f aca="false">IF(AO1205=1,SUM(AO$7:AO1205),"")</f>
        <v/>
      </c>
    </row>
    <row r="1206" customFormat="false" ht="15" hidden="false" customHeight="false" outlineLevel="0" collapsed="false">
      <c r="A1206" s="78" t="str">
        <f aca="false">IF(E1206="","",ROW()-6)</f>
        <v/>
      </c>
      <c r="B1206" s="79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0"/>
      <c r="P1206" s="81"/>
      <c r="Q1206" s="81"/>
      <c r="R1206" s="80"/>
      <c r="S1206" s="80"/>
      <c r="T1206" s="81"/>
      <c r="U1206" s="80"/>
      <c r="V1206" s="80"/>
      <c r="W1206" s="80"/>
      <c r="X1206" s="80"/>
      <c r="Y1206" s="81"/>
      <c r="Z1206" s="80"/>
      <c r="AA1206" s="80"/>
      <c r="AB1206" s="80"/>
      <c r="AC1206" s="80"/>
      <c r="AD1206" s="81"/>
      <c r="AE1206" s="80"/>
      <c r="AF1206" s="80"/>
      <c r="AG1206" s="81"/>
      <c r="AH1206" s="79"/>
      <c r="AI1206" s="78" t="str">
        <f aca="false">IF(E1206="","",(V1206&lt;&gt;"")+(AA1206&lt;&gt;"")+(AF1206&lt;&gt;""))</f>
        <v/>
      </c>
      <c r="AJ1206" s="82" t="str">
        <f aca="false">IF(AF1206&lt;&gt;"",AF1206,IF(AA1206&lt;&gt;"",AA1206,IF(V1206&lt;&gt;"",V1206,"")))</f>
        <v/>
      </c>
      <c r="AK1206" s="83" t="str">
        <f aca="false">IF(E1206="","",IF(P1206="","À SOUDER",IF(S1206="","VT EN ATTENTE",IF(S1206="R","VT REJETÉ – À REPRENDRE",IF(AJ1206="","À RADIOGRAPHIER",IF(AJ1206="A","ACCEPTÉ",IF(AJ1206="NX","NX – RT À REFAIRE",IF(IF(AI1206=1,X1206,IF(AI1206=2,AC1206,""))="A","RÉPARÉ – À RADIOGRAPHIER",IF(IF(AI1206=1,X1206,IF(AI1206=2,AC1206,""))="R","VT REJETÉ – À REPRENDRE",IF(AJ1206="CO","COUPE – À RESOUDER","À RÉPARER"))))))))))</f>
        <v/>
      </c>
      <c r="AL1206" s="82" t="str">
        <f aca="false">IF(AND(ISNUMBER(P1206),OR(AK1206="À RADIOGRAPHIER",AK1206="RÉPARÉ – À RADIOGRAPHIER",AK1206="NX – RT À REFAIRE",AK1206="À RÉPARER",AK1206="COUPE – À RESOUDER",AK1206="VT REJETÉ – À REPRENDRE")),MAX(0,'PROGRAMME RT'!$C$4-P1206),"")</f>
        <v/>
      </c>
      <c r="AM1206" s="78" t="n">
        <f aca="false">IF(AND(OR(AK1206="À RADIOGRAPHIER",AK1206="RÉPARÉ – À RADIOGRAPHIER",AK1206="NX – RT À REFAIRE"),OR('PROGRAMME RT'!$D$5="TOUTES",B1206='PROGRAMME RT'!$D$5)),1,0)</f>
        <v>0</v>
      </c>
      <c r="AN1206" s="78" t="str">
        <f aca="false">IF(AM1206=1,SUM(AM$7:AM1206),"")</f>
        <v/>
      </c>
      <c r="AO1206" s="78" t="n">
        <f aca="false">IF(AND(OR(AK1206="À RÉPARER",AK1206="COUPE – À RESOUDER",AK1206="VT REJETÉ – À REPRENDRE"),OR(RÉPARATIONS!$D$5="TOUTES",B1206=RÉPARATIONS!$D$5)),1,0)</f>
        <v>0</v>
      </c>
      <c r="AP1206" s="78" t="str">
        <f aca="false">IF(AO1206=1,SUM(AO$7:AO1206),"")</f>
        <v/>
      </c>
    </row>
    <row r="1207" customFormat="false" ht="15" hidden="false" customHeight="false" outlineLevel="0" collapsed="false">
      <c r="A1207" s="78" t="str">
        <f aca="false">IF(E1207="","",ROW()-6)</f>
        <v/>
      </c>
      <c r="B1207" s="79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0"/>
      <c r="P1207" s="81"/>
      <c r="Q1207" s="81"/>
      <c r="R1207" s="80"/>
      <c r="S1207" s="80"/>
      <c r="T1207" s="81"/>
      <c r="U1207" s="80"/>
      <c r="V1207" s="80"/>
      <c r="W1207" s="80"/>
      <c r="X1207" s="80"/>
      <c r="Y1207" s="81"/>
      <c r="Z1207" s="80"/>
      <c r="AA1207" s="80"/>
      <c r="AB1207" s="80"/>
      <c r="AC1207" s="80"/>
      <c r="AD1207" s="81"/>
      <c r="AE1207" s="80"/>
      <c r="AF1207" s="80"/>
      <c r="AG1207" s="81"/>
      <c r="AH1207" s="79"/>
      <c r="AI1207" s="78" t="str">
        <f aca="false">IF(E1207="","",(V1207&lt;&gt;"")+(AA1207&lt;&gt;"")+(AF1207&lt;&gt;""))</f>
        <v/>
      </c>
      <c r="AJ1207" s="82" t="str">
        <f aca="false">IF(AF1207&lt;&gt;"",AF1207,IF(AA1207&lt;&gt;"",AA1207,IF(V1207&lt;&gt;"",V1207,"")))</f>
        <v/>
      </c>
      <c r="AK1207" s="83" t="str">
        <f aca="false">IF(E1207="","",IF(P1207="","À SOUDER",IF(S1207="","VT EN ATTENTE",IF(S1207="R","VT REJETÉ – À REPRENDRE",IF(AJ1207="","À RADIOGRAPHIER",IF(AJ1207="A","ACCEPTÉ",IF(AJ1207="NX","NX – RT À REFAIRE",IF(IF(AI1207=1,X1207,IF(AI1207=2,AC1207,""))="A","RÉPARÉ – À RADIOGRAPHIER",IF(IF(AI1207=1,X1207,IF(AI1207=2,AC1207,""))="R","VT REJETÉ – À REPRENDRE",IF(AJ1207="CO","COUPE – À RESOUDER","À RÉPARER"))))))))))</f>
        <v/>
      </c>
      <c r="AL1207" s="82" t="str">
        <f aca="false">IF(AND(ISNUMBER(P1207),OR(AK1207="À RADIOGRAPHIER",AK1207="RÉPARÉ – À RADIOGRAPHIER",AK1207="NX – RT À REFAIRE",AK1207="À RÉPARER",AK1207="COUPE – À RESOUDER",AK1207="VT REJETÉ – À REPRENDRE")),MAX(0,'PROGRAMME RT'!$C$4-P1207),"")</f>
        <v/>
      </c>
      <c r="AM1207" s="78" t="n">
        <f aca="false">IF(AND(OR(AK1207="À RADIOGRAPHIER",AK1207="RÉPARÉ – À RADIOGRAPHIER",AK1207="NX – RT À REFAIRE"),OR('PROGRAMME RT'!$D$5="TOUTES",B1207='PROGRAMME RT'!$D$5)),1,0)</f>
        <v>0</v>
      </c>
      <c r="AN1207" s="78" t="str">
        <f aca="false">IF(AM1207=1,SUM(AM$7:AM1207),"")</f>
        <v/>
      </c>
      <c r="AO1207" s="78" t="n">
        <f aca="false">IF(AND(OR(AK1207="À RÉPARER",AK1207="COUPE – À RESOUDER",AK1207="VT REJETÉ – À REPRENDRE"),OR(RÉPARATIONS!$D$5="TOUTES",B1207=RÉPARATIONS!$D$5)),1,0)</f>
        <v>0</v>
      </c>
      <c r="AP1207" s="78" t="str">
        <f aca="false">IF(AO1207=1,SUM(AO$7:AO1207),"")</f>
        <v/>
      </c>
    </row>
    <row r="1208" customFormat="false" ht="15" hidden="false" customHeight="false" outlineLevel="0" collapsed="false">
      <c r="A1208" s="78" t="str">
        <f aca="false">IF(E1208="","",ROW()-6)</f>
        <v/>
      </c>
      <c r="B1208" s="79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0"/>
      <c r="P1208" s="81"/>
      <c r="Q1208" s="81"/>
      <c r="R1208" s="80"/>
      <c r="S1208" s="80"/>
      <c r="T1208" s="81"/>
      <c r="U1208" s="80"/>
      <c r="V1208" s="80"/>
      <c r="W1208" s="80"/>
      <c r="X1208" s="80"/>
      <c r="Y1208" s="81"/>
      <c r="Z1208" s="80"/>
      <c r="AA1208" s="80"/>
      <c r="AB1208" s="80"/>
      <c r="AC1208" s="80"/>
      <c r="AD1208" s="81"/>
      <c r="AE1208" s="80"/>
      <c r="AF1208" s="80"/>
      <c r="AG1208" s="81"/>
      <c r="AH1208" s="79"/>
      <c r="AI1208" s="78" t="str">
        <f aca="false">IF(E1208="","",(V1208&lt;&gt;"")+(AA1208&lt;&gt;"")+(AF1208&lt;&gt;""))</f>
        <v/>
      </c>
      <c r="AJ1208" s="82" t="str">
        <f aca="false">IF(AF1208&lt;&gt;"",AF1208,IF(AA1208&lt;&gt;"",AA1208,IF(V1208&lt;&gt;"",V1208,"")))</f>
        <v/>
      </c>
      <c r="AK1208" s="83" t="str">
        <f aca="false">IF(E1208="","",IF(P1208="","À SOUDER",IF(S1208="","VT EN ATTENTE",IF(S1208="R","VT REJETÉ – À REPRENDRE",IF(AJ1208="","À RADIOGRAPHIER",IF(AJ1208="A","ACCEPTÉ",IF(AJ1208="NX","NX – RT À REFAIRE",IF(IF(AI1208=1,X1208,IF(AI1208=2,AC1208,""))="A","RÉPARÉ – À RADIOGRAPHIER",IF(IF(AI1208=1,X1208,IF(AI1208=2,AC1208,""))="R","VT REJETÉ – À REPRENDRE",IF(AJ1208="CO","COUPE – À RESOUDER","À RÉPARER"))))))))))</f>
        <v/>
      </c>
      <c r="AL1208" s="82" t="str">
        <f aca="false">IF(AND(ISNUMBER(P1208),OR(AK1208="À RADIOGRAPHIER",AK1208="RÉPARÉ – À RADIOGRAPHIER",AK1208="NX – RT À REFAIRE",AK1208="À RÉPARER",AK1208="COUPE – À RESOUDER",AK1208="VT REJETÉ – À REPRENDRE")),MAX(0,'PROGRAMME RT'!$C$4-P1208),"")</f>
        <v/>
      </c>
      <c r="AM1208" s="78" t="n">
        <f aca="false">IF(AND(OR(AK1208="À RADIOGRAPHIER",AK1208="RÉPARÉ – À RADIOGRAPHIER",AK1208="NX – RT À REFAIRE"),OR('PROGRAMME RT'!$D$5="TOUTES",B1208='PROGRAMME RT'!$D$5)),1,0)</f>
        <v>0</v>
      </c>
      <c r="AN1208" s="78" t="str">
        <f aca="false">IF(AM1208=1,SUM(AM$7:AM1208),"")</f>
        <v/>
      </c>
      <c r="AO1208" s="78" t="n">
        <f aca="false">IF(AND(OR(AK1208="À RÉPARER",AK1208="COUPE – À RESOUDER",AK1208="VT REJETÉ – À REPRENDRE"),OR(RÉPARATIONS!$D$5="TOUTES",B1208=RÉPARATIONS!$D$5)),1,0)</f>
        <v>0</v>
      </c>
      <c r="AP1208" s="78" t="str">
        <f aca="false">IF(AO1208=1,SUM(AO$7:AO1208),"")</f>
        <v/>
      </c>
    </row>
    <row r="1209" customFormat="false" ht="15" hidden="false" customHeight="false" outlineLevel="0" collapsed="false">
      <c r="A1209" s="78" t="str">
        <f aca="false">IF(E1209="","",ROW()-6)</f>
        <v/>
      </c>
      <c r="B1209" s="79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0"/>
      <c r="P1209" s="81"/>
      <c r="Q1209" s="81"/>
      <c r="R1209" s="80"/>
      <c r="S1209" s="80"/>
      <c r="T1209" s="81"/>
      <c r="U1209" s="80"/>
      <c r="V1209" s="80"/>
      <c r="W1209" s="80"/>
      <c r="X1209" s="80"/>
      <c r="Y1209" s="81"/>
      <c r="Z1209" s="80"/>
      <c r="AA1209" s="80"/>
      <c r="AB1209" s="80"/>
      <c r="AC1209" s="80"/>
      <c r="AD1209" s="81"/>
      <c r="AE1209" s="80"/>
      <c r="AF1209" s="80"/>
      <c r="AG1209" s="81"/>
      <c r="AH1209" s="79"/>
      <c r="AI1209" s="78" t="str">
        <f aca="false">IF(E1209="","",(V1209&lt;&gt;"")+(AA1209&lt;&gt;"")+(AF1209&lt;&gt;""))</f>
        <v/>
      </c>
      <c r="AJ1209" s="82" t="str">
        <f aca="false">IF(AF1209&lt;&gt;"",AF1209,IF(AA1209&lt;&gt;"",AA1209,IF(V1209&lt;&gt;"",V1209,"")))</f>
        <v/>
      </c>
      <c r="AK1209" s="83" t="str">
        <f aca="false">IF(E1209="","",IF(P1209="","À SOUDER",IF(S1209="","VT EN ATTENTE",IF(S1209="R","VT REJETÉ – À REPRENDRE",IF(AJ1209="","À RADIOGRAPHIER",IF(AJ1209="A","ACCEPTÉ",IF(AJ1209="NX","NX – RT À REFAIRE",IF(IF(AI1209=1,X1209,IF(AI1209=2,AC1209,""))="A","RÉPARÉ – À RADIOGRAPHIER",IF(IF(AI1209=1,X1209,IF(AI1209=2,AC1209,""))="R","VT REJETÉ – À REPRENDRE",IF(AJ1209="CO","COUPE – À RESOUDER","À RÉPARER"))))))))))</f>
        <v/>
      </c>
      <c r="AL1209" s="82" t="str">
        <f aca="false">IF(AND(ISNUMBER(P1209),OR(AK1209="À RADIOGRAPHIER",AK1209="RÉPARÉ – À RADIOGRAPHIER",AK1209="NX – RT À REFAIRE",AK1209="À RÉPARER",AK1209="COUPE – À RESOUDER",AK1209="VT REJETÉ – À REPRENDRE")),MAX(0,'PROGRAMME RT'!$C$4-P1209),"")</f>
        <v/>
      </c>
      <c r="AM1209" s="78" t="n">
        <f aca="false">IF(AND(OR(AK1209="À RADIOGRAPHIER",AK1209="RÉPARÉ – À RADIOGRAPHIER",AK1209="NX – RT À REFAIRE"),OR('PROGRAMME RT'!$D$5="TOUTES",B1209='PROGRAMME RT'!$D$5)),1,0)</f>
        <v>0</v>
      </c>
      <c r="AN1209" s="78" t="str">
        <f aca="false">IF(AM1209=1,SUM(AM$7:AM1209),"")</f>
        <v/>
      </c>
      <c r="AO1209" s="78" t="n">
        <f aca="false">IF(AND(OR(AK1209="À RÉPARER",AK1209="COUPE – À RESOUDER",AK1209="VT REJETÉ – À REPRENDRE"),OR(RÉPARATIONS!$D$5="TOUTES",B1209=RÉPARATIONS!$D$5)),1,0)</f>
        <v>0</v>
      </c>
      <c r="AP1209" s="78" t="str">
        <f aca="false">IF(AO1209=1,SUM(AO$7:AO1209),"")</f>
        <v/>
      </c>
    </row>
    <row r="1210" customFormat="false" ht="15" hidden="false" customHeight="false" outlineLevel="0" collapsed="false">
      <c r="A1210" s="78" t="str">
        <f aca="false">IF(E1210="","",ROW()-6)</f>
        <v/>
      </c>
      <c r="B1210" s="79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0"/>
      <c r="P1210" s="81"/>
      <c r="Q1210" s="81"/>
      <c r="R1210" s="80"/>
      <c r="S1210" s="80"/>
      <c r="T1210" s="81"/>
      <c r="U1210" s="80"/>
      <c r="V1210" s="80"/>
      <c r="W1210" s="80"/>
      <c r="X1210" s="80"/>
      <c r="Y1210" s="81"/>
      <c r="Z1210" s="80"/>
      <c r="AA1210" s="80"/>
      <c r="AB1210" s="80"/>
      <c r="AC1210" s="80"/>
      <c r="AD1210" s="81"/>
      <c r="AE1210" s="80"/>
      <c r="AF1210" s="80"/>
      <c r="AG1210" s="81"/>
      <c r="AH1210" s="79"/>
      <c r="AI1210" s="78" t="str">
        <f aca="false">IF(E1210="","",(V1210&lt;&gt;"")+(AA1210&lt;&gt;"")+(AF1210&lt;&gt;""))</f>
        <v/>
      </c>
      <c r="AJ1210" s="82" t="str">
        <f aca="false">IF(AF1210&lt;&gt;"",AF1210,IF(AA1210&lt;&gt;"",AA1210,IF(V1210&lt;&gt;"",V1210,"")))</f>
        <v/>
      </c>
      <c r="AK1210" s="83" t="str">
        <f aca="false">IF(E1210="","",IF(P1210="","À SOUDER",IF(S1210="","VT EN ATTENTE",IF(S1210="R","VT REJETÉ – À REPRENDRE",IF(AJ1210="","À RADIOGRAPHIER",IF(AJ1210="A","ACCEPTÉ",IF(AJ1210="NX","NX – RT À REFAIRE",IF(IF(AI1210=1,X1210,IF(AI1210=2,AC1210,""))="A","RÉPARÉ – À RADIOGRAPHIER",IF(IF(AI1210=1,X1210,IF(AI1210=2,AC1210,""))="R","VT REJETÉ – À REPRENDRE",IF(AJ1210="CO","COUPE – À RESOUDER","À RÉPARER"))))))))))</f>
        <v/>
      </c>
      <c r="AL1210" s="82" t="str">
        <f aca="false">IF(AND(ISNUMBER(P1210),OR(AK1210="À RADIOGRAPHIER",AK1210="RÉPARÉ – À RADIOGRAPHIER",AK1210="NX – RT À REFAIRE",AK1210="À RÉPARER",AK1210="COUPE – À RESOUDER",AK1210="VT REJETÉ – À REPRENDRE")),MAX(0,'PROGRAMME RT'!$C$4-P1210),"")</f>
        <v/>
      </c>
      <c r="AM1210" s="78" t="n">
        <f aca="false">IF(AND(OR(AK1210="À RADIOGRAPHIER",AK1210="RÉPARÉ – À RADIOGRAPHIER",AK1210="NX – RT À REFAIRE"),OR('PROGRAMME RT'!$D$5="TOUTES",B1210='PROGRAMME RT'!$D$5)),1,0)</f>
        <v>0</v>
      </c>
      <c r="AN1210" s="78" t="str">
        <f aca="false">IF(AM1210=1,SUM(AM$7:AM1210),"")</f>
        <v/>
      </c>
      <c r="AO1210" s="78" t="n">
        <f aca="false">IF(AND(OR(AK1210="À RÉPARER",AK1210="COUPE – À RESOUDER",AK1210="VT REJETÉ – À REPRENDRE"),OR(RÉPARATIONS!$D$5="TOUTES",B1210=RÉPARATIONS!$D$5)),1,0)</f>
        <v>0</v>
      </c>
      <c r="AP1210" s="78" t="str">
        <f aca="false">IF(AO1210=1,SUM(AO$7:AO1210),"")</f>
        <v/>
      </c>
    </row>
    <row r="1211" customFormat="false" ht="15" hidden="false" customHeight="false" outlineLevel="0" collapsed="false">
      <c r="A1211" s="78" t="str">
        <f aca="false">IF(E1211="","",ROW()-6)</f>
        <v/>
      </c>
      <c r="B1211" s="79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0"/>
      <c r="P1211" s="81"/>
      <c r="Q1211" s="81"/>
      <c r="R1211" s="80"/>
      <c r="S1211" s="80"/>
      <c r="T1211" s="81"/>
      <c r="U1211" s="80"/>
      <c r="V1211" s="80"/>
      <c r="W1211" s="80"/>
      <c r="X1211" s="80"/>
      <c r="Y1211" s="81"/>
      <c r="Z1211" s="80"/>
      <c r="AA1211" s="80"/>
      <c r="AB1211" s="80"/>
      <c r="AC1211" s="80"/>
      <c r="AD1211" s="81"/>
      <c r="AE1211" s="80"/>
      <c r="AF1211" s="80"/>
      <c r="AG1211" s="81"/>
      <c r="AH1211" s="79"/>
      <c r="AI1211" s="78" t="str">
        <f aca="false">IF(E1211="","",(V1211&lt;&gt;"")+(AA1211&lt;&gt;"")+(AF1211&lt;&gt;""))</f>
        <v/>
      </c>
      <c r="AJ1211" s="82" t="str">
        <f aca="false">IF(AF1211&lt;&gt;"",AF1211,IF(AA1211&lt;&gt;"",AA1211,IF(V1211&lt;&gt;"",V1211,"")))</f>
        <v/>
      </c>
      <c r="AK1211" s="83" t="str">
        <f aca="false">IF(E1211="","",IF(P1211="","À SOUDER",IF(S1211="","VT EN ATTENTE",IF(S1211="R","VT REJETÉ – À REPRENDRE",IF(AJ1211="","À RADIOGRAPHIER",IF(AJ1211="A","ACCEPTÉ",IF(AJ1211="NX","NX – RT À REFAIRE",IF(IF(AI1211=1,X1211,IF(AI1211=2,AC1211,""))="A","RÉPARÉ – À RADIOGRAPHIER",IF(IF(AI1211=1,X1211,IF(AI1211=2,AC1211,""))="R","VT REJETÉ – À REPRENDRE",IF(AJ1211="CO","COUPE – À RESOUDER","À RÉPARER"))))))))))</f>
        <v/>
      </c>
      <c r="AL1211" s="82" t="str">
        <f aca="false">IF(AND(ISNUMBER(P1211),OR(AK1211="À RADIOGRAPHIER",AK1211="RÉPARÉ – À RADIOGRAPHIER",AK1211="NX – RT À REFAIRE",AK1211="À RÉPARER",AK1211="COUPE – À RESOUDER",AK1211="VT REJETÉ – À REPRENDRE")),MAX(0,'PROGRAMME RT'!$C$4-P1211),"")</f>
        <v/>
      </c>
      <c r="AM1211" s="78" t="n">
        <f aca="false">IF(AND(OR(AK1211="À RADIOGRAPHIER",AK1211="RÉPARÉ – À RADIOGRAPHIER",AK1211="NX – RT À REFAIRE"),OR('PROGRAMME RT'!$D$5="TOUTES",B1211='PROGRAMME RT'!$D$5)),1,0)</f>
        <v>0</v>
      </c>
      <c r="AN1211" s="78" t="str">
        <f aca="false">IF(AM1211=1,SUM(AM$7:AM1211),"")</f>
        <v/>
      </c>
      <c r="AO1211" s="78" t="n">
        <f aca="false">IF(AND(OR(AK1211="À RÉPARER",AK1211="COUPE – À RESOUDER",AK1211="VT REJETÉ – À REPRENDRE"),OR(RÉPARATIONS!$D$5="TOUTES",B1211=RÉPARATIONS!$D$5)),1,0)</f>
        <v>0</v>
      </c>
      <c r="AP1211" s="78" t="str">
        <f aca="false">IF(AO1211=1,SUM(AO$7:AO1211),"")</f>
        <v/>
      </c>
    </row>
    <row r="1212" customFormat="false" ht="15" hidden="false" customHeight="false" outlineLevel="0" collapsed="false">
      <c r="A1212" s="78" t="str">
        <f aca="false">IF(E1212="","",ROW()-6)</f>
        <v/>
      </c>
      <c r="B1212" s="79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0"/>
      <c r="P1212" s="81"/>
      <c r="Q1212" s="81"/>
      <c r="R1212" s="80"/>
      <c r="S1212" s="80"/>
      <c r="T1212" s="81"/>
      <c r="U1212" s="80"/>
      <c r="V1212" s="80"/>
      <c r="W1212" s="80"/>
      <c r="X1212" s="80"/>
      <c r="Y1212" s="81"/>
      <c r="Z1212" s="80"/>
      <c r="AA1212" s="80"/>
      <c r="AB1212" s="80"/>
      <c r="AC1212" s="80"/>
      <c r="AD1212" s="81"/>
      <c r="AE1212" s="80"/>
      <c r="AF1212" s="80"/>
      <c r="AG1212" s="81"/>
      <c r="AH1212" s="79"/>
      <c r="AI1212" s="78" t="str">
        <f aca="false">IF(E1212="","",(V1212&lt;&gt;"")+(AA1212&lt;&gt;"")+(AF1212&lt;&gt;""))</f>
        <v/>
      </c>
      <c r="AJ1212" s="82" t="str">
        <f aca="false">IF(AF1212&lt;&gt;"",AF1212,IF(AA1212&lt;&gt;"",AA1212,IF(V1212&lt;&gt;"",V1212,"")))</f>
        <v/>
      </c>
      <c r="AK1212" s="83" t="str">
        <f aca="false">IF(E1212="","",IF(P1212="","À SOUDER",IF(S1212="","VT EN ATTENTE",IF(S1212="R","VT REJETÉ – À REPRENDRE",IF(AJ1212="","À RADIOGRAPHIER",IF(AJ1212="A","ACCEPTÉ",IF(AJ1212="NX","NX – RT À REFAIRE",IF(IF(AI1212=1,X1212,IF(AI1212=2,AC1212,""))="A","RÉPARÉ – À RADIOGRAPHIER",IF(IF(AI1212=1,X1212,IF(AI1212=2,AC1212,""))="R","VT REJETÉ – À REPRENDRE",IF(AJ1212="CO","COUPE – À RESOUDER","À RÉPARER"))))))))))</f>
        <v/>
      </c>
      <c r="AL1212" s="82" t="str">
        <f aca="false">IF(AND(ISNUMBER(P1212),OR(AK1212="À RADIOGRAPHIER",AK1212="RÉPARÉ – À RADIOGRAPHIER",AK1212="NX – RT À REFAIRE",AK1212="À RÉPARER",AK1212="COUPE – À RESOUDER",AK1212="VT REJETÉ – À REPRENDRE")),MAX(0,'PROGRAMME RT'!$C$4-P1212),"")</f>
        <v/>
      </c>
      <c r="AM1212" s="78" t="n">
        <f aca="false">IF(AND(OR(AK1212="À RADIOGRAPHIER",AK1212="RÉPARÉ – À RADIOGRAPHIER",AK1212="NX – RT À REFAIRE"),OR('PROGRAMME RT'!$D$5="TOUTES",B1212='PROGRAMME RT'!$D$5)),1,0)</f>
        <v>0</v>
      </c>
      <c r="AN1212" s="78" t="str">
        <f aca="false">IF(AM1212=1,SUM(AM$7:AM1212),"")</f>
        <v/>
      </c>
      <c r="AO1212" s="78" t="n">
        <f aca="false">IF(AND(OR(AK1212="À RÉPARER",AK1212="COUPE – À RESOUDER",AK1212="VT REJETÉ – À REPRENDRE"),OR(RÉPARATIONS!$D$5="TOUTES",B1212=RÉPARATIONS!$D$5)),1,0)</f>
        <v>0</v>
      </c>
      <c r="AP1212" s="78" t="str">
        <f aca="false">IF(AO1212=1,SUM(AO$7:AO1212),"")</f>
        <v/>
      </c>
    </row>
    <row r="1213" customFormat="false" ht="15" hidden="false" customHeight="false" outlineLevel="0" collapsed="false">
      <c r="A1213" s="78" t="str">
        <f aca="false">IF(E1213="","",ROW()-6)</f>
        <v/>
      </c>
      <c r="B1213" s="79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0"/>
      <c r="P1213" s="81"/>
      <c r="Q1213" s="81"/>
      <c r="R1213" s="80"/>
      <c r="S1213" s="80"/>
      <c r="T1213" s="81"/>
      <c r="U1213" s="80"/>
      <c r="V1213" s="80"/>
      <c r="W1213" s="80"/>
      <c r="X1213" s="80"/>
      <c r="Y1213" s="81"/>
      <c r="Z1213" s="80"/>
      <c r="AA1213" s="80"/>
      <c r="AB1213" s="80"/>
      <c r="AC1213" s="80"/>
      <c r="AD1213" s="81"/>
      <c r="AE1213" s="80"/>
      <c r="AF1213" s="80"/>
      <c r="AG1213" s="81"/>
      <c r="AH1213" s="79"/>
      <c r="AI1213" s="78" t="str">
        <f aca="false">IF(E1213="","",(V1213&lt;&gt;"")+(AA1213&lt;&gt;"")+(AF1213&lt;&gt;""))</f>
        <v/>
      </c>
      <c r="AJ1213" s="82" t="str">
        <f aca="false">IF(AF1213&lt;&gt;"",AF1213,IF(AA1213&lt;&gt;"",AA1213,IF(V1213&lt;&gt;"",V1213,"")))</f>
        <v/>
      </c>
      <c r="AK1213" s="83" t="str">
        <f aca="false">IF(E1213="","",IF(P1213="","À SOUDER",IF(S1213="","VT EN ATTENTE",IF(S1213="R","VT REJETÉ – À REPRENDRE",IF(AJ1213="","À RADIOGRAPHIER",IF(AJ1213="A","ACCEPTÉ",IF(AJ1213="NX","NX – RT À REFAIRE",IF(IF(AI1213=1,X1213,IF(AI1213=2,AC1213,""))="A","RÉPARÉ – À RADIOGRAPHIER",IF(IF(AI1213=1,X1213,IF(AI1213=2,AC1213,""))="R","VT REJETÉ – À REPRENDRE",IF(AJ1213="CO","COUPE – À RESOUDER","À RÉPARER"))))))))))</f>
        <v/>
      </c>
      <c r="AL1213" s="82" t="str">
        <f aca="false">IF(AND(ISNUMBER(P1213),OR(AK1213="À RADIOGRAPHIER",AK1213="RÉPARÉ – À RADIOGRAPHIER",AK1213="NX – RT À REFAIRE",AK1213="À RÉPARER",AK1213="COUPE – À RESOUDER",AK1213="VT REJETÉ – À REPRENDRE")),MAX(0,'PROGRAMME RT'!$C$4-P1213),"")</f>
        <v/>
      </c>
      <c r="AM1213" s="78" t="n">
        <f aca="false">IF(AND(OR(AK1213="À RADIOGRAPHIER",AK1213="RÉPARÉ – À RADIOGRAPHIER",AK1213="NX – RT À REFAIRE"),OR('PROGRAMME RT'!$D$5="TOUTES",B1213='PROGRAMME RT'!$D$5)),1,0)</f>
        <v>0</v>
      </c>
      <c r="AN1213" s="78" t="str">
        <f aca="false">IF(AM1213=1,SUM(AM$7:AM1213),"")</f>
        <v/>
      </c>
      <c r="AO1213" s="78" t="n">
        <f aca="false">IF(AND(OR(AK1213="À RÉPARER",AK1213="COUPE – À RESOUDER",AK1213="VT REJETÉ – À REPRENDRE"),OR(RÉPARATIONS!$D$5="TOUTES",B1213=RÉPARATIONS!$D$5)),1,0)</f>
        <v>0</v>
      </c>
      <c r="AP1213" s="78" t="str">
        <f aca="false">IF(AO1213=1,SUM(AO$7:AO1213),"")</f>
        <v/>
      </c>
    </row>
    <row r="1214" customFormat="false" ht="15" hidden="false" customHeight="false" outlineLevel="0" collapsed="false">
      <c r="A1214" s="78" t="str">
        <f aca="false">IF(E1214="","",ROW()-6)</f>
        <v/>
      </c>
      <c r="B1214" s="79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0"/>
      <c r="P1214" s="81"/>
      <c r="Q1214" s="81"/>
      <c r="R1214" s="80"/>
      <c r="S1214" s="80"/>
      <c r="T1214" s="81"/>
      <c r="U1214" s="80"/>
      <c r="V1214" s="80"/>
      <c r="W1214" s="80"/>
      <c r="X1214" s="80"/>
      <c r="Y1214" s="81"/>
      <c r="Z1214" s="80"/>
      <c r="AA1214" s="80"/>
      <c r="AB1214" s="80"/>
      <c r="AC1214" s="80"/>
      <c r="AD1214" s="81"/>
      <c r="AE1214" s="80"/>
      <c r="AF1214" s="80"/>
      <c r="AG1214" s="81"/>
      <c r="AH1214" s="79"/>
      <c r="AI1214" s="78" t="str">
        <f aca="false">IF(E1214="","",(V1214&lt;&gt;"")+(AA1214&lt;&gt;"")+(AF1214&lt;&gt;""))</f>
        <v/>
      </c>
      <c r="AJ1214" s="82" t="str">
        <f aca="false">IF(AF1214&lt;&gt;"",AF1214,IF(AA1214&lt;&gt;"",AA1214,IF(V1214&lt;&gt;"",V1214,"")))</f>
        <v/>
      </c>
      <c r="AK1214" s="83" t="str">
        <f aca="false">IF(E1214="","",IF(P1214="","À SOUDER",IF(S1214="","VT EN ATTENTE",IF(S1214="R","VT REJETÉ – À REPRENDRE",IF(AJ1214="","À RADIOGRAPHIER",IF(AJ1214="A","ACCEPTÉ",IF(AJ1214="NX","NX – RT À REFAIRE",IF(IF(AI1214=1,X1214,IF(AI1214=2,AC1214,""))="A","RÉPARÉ – À RADIOGRAPHIER",IF(IF(AI1214=1,X1214,IF(AI1214=2,AC1214,""))="R","VT REJETÉ – À REPRENDRE",IF(AJ1214="CO","COUPE – À RESOUDER","À RÉPARER"))))))))))</f>
        <v/>
      </c>
      <c r="AL1214" s="82" t="str">
        <f aca="false">IF(AND(ISNUMBER(P1214),OR(AK1214="À RADIOGRAPHIER",AK1214="RÉPARÉ – À RADIOGRAPHIER",AK1214="NX – RT À REFAIRE",AK1214="À RÉPARER",AK1214="COUPE – À RESOUDER",AK1214="VT REJETÉ – À REPRENDRE")),MAX(0,'PROGRAMME RT'!$C$4-P1214),"")</f>
        <v/>
      </c>
      <c r="AM1214" s="78" t="n">
        <f aca="false">IF(AND(OR(AK1214="À RADIOGRAPHIER",AK1214="RÉPARÉ – À RADIOGRAPHIER",AK1214="NX – RT À REFAIRE"),OR('PROGRAMME RT'!$D$5="TOUTES",B1214='PROGRAMME RT'!$D$5)),1,0)</f>
        <v>0</v>
      </c>
      <c r="AN1214" s="78" t="str">
        <f aca="false">IF(AM1214=1,SUM(AM$7:AM1214),"")</f>
        <v/>
      </c>
      <c r="AO1214" s="78" t="n">
        <f aca="false">IF(AND(OR(AK1214="À RÉPARER",AK1214="COUPE – À RESOUDER",AK1214="VT REJETÉ – À REPRENDRE"),OR(RÉPARATIONS!$D$5="TOUTES",B1214=RÉPARATIONS!$D$5)),1,0)</f>
        <v>0</v>
      </c>
      <c r="AP1214" s="78" t="str">
        <f aca="false">IF(AO1214=1,SUM(AO$7:AO1214),"")</f>
        <v/>
      </c>
    </row>
    <row r="1215" customFormat="false" ht="15" hidden="false" customHeight="false" outlineLevel="0" collapsed="false">
      <c r="A1215" s="78" t="str">
        <f aca="false">IF(E1215="","",ROW()-6)</f>
        <v/>
      </c>
      <c r="B1215" s="79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0"/>
      <c r="P1215" s="81"/>
      <c r="Q1215" s="81"/>
      <c r="R1215" s="80"/>
      <c r="S1215" s="80"/>
      <c r="T1215" s="81"/>
      <c r="U1215" s="80"/>
      <c r="V1215" s="80"/>
      <c r="W1215" s="80"/>
      <c r="X1215" s="80"/>
      <c r="Y1215" s="81"/>
      <c r="Z1215" s="80"/>
      <c r="AA1215" s="80"/>
      <c r="AB1215" s="80"/>
      <c r="AC1215" s="80"/>
      <c r="AD1215" s="81"/>
      <c r="AE1215" s="80"/>
      <c r="AF1215" s="80"/>
      <c r="AG1215" s="81"/>
      <c r="AH1215" s="79"/>
      <c r="AI1215" s="78" t="str">
        <f aca="false">IF(E1215="","",(V1215&lt;&gt;"")+(AA1215&lt;&gt;"")+(AF1215&lt;&gt;""))</f>
        <v/>
      </c>
      <c r="AJ1215" s="82" t="str">
        <f aca="false">IF(AF1215&lt;&gt;"",AF1215,IF(AA1215&lt;&gt;"",AA1215,IF(V1215&lt;&gt;"",V1215,"")))</f>
        <v/>
      </c>
      <c r="AK1215" s="83" t="str">
        <f aca="false">IF(E1215="","",IF(P1215="","À SOUDER",IF(S1215="","VT EN ATTENTE",IF(S1215="R","VT REJETÉ – À REPRENDRE",IF(AJ1215="","À RADIOGRAPHIER",IF(AJ1215="A","ACCEPTÉ",IF(AJ1215="NX","NX – RT À REFAIRE",IF(IF(AI1215=1,X1215,IF(AI1215=2,AC1215,""))="A","RÉPARÉ – À RADIOGRAPHIER",IF(IF(AI1215=1,X1215,IF(AI1215=2,AC1215,""))="R","VT REJETÉ – À REPRENDRE",IF(AJ1215="CO","COUPE – À RESOUDER","À RÉPARER"))))))))))</f>
        <v/>
      </c>
      <c r="AL1215" s="82" t="str">
        <f aca="false">IF(AND(ISNUMBER(P1215),OR(AK1215="À RADIOGRAPHIER",AK1215="RÉPARÉ – À RADIOGRAPHIER",AK1215="NX – RT À REFAIRE",AK1215="À RÉPARER",AK1215="COUPE – À RESOUDER",AK1215="VT REJETÉ – À REPRENDRE")),MAX(0,'PROGRAMME RT'!$C$4-P1215),"")</f>
        <v/>
      </c>
      <c r="AM1215" s="78" t="n">
        <f aca="false">IF(AND(OR(AK1215="À RADIOGRAPHIER",AK1215="RÉPARÉ – À RADIOGRAPHIER",AK1215="NX – RT À REFAIRE"),OR('PROGRAMME RT'!$D$5="TOUTES",B1215='PROGRAMME RT'!$D$5)),1,0)</f>
        <v>0</v>
      </c>
      <c r="AN1215" s="78" t="str">
        <f aca="false">IF(AM1215=1,SUM(AM$7:AM1215),"")</f>
        <v/>
      </c>
      <c r="AO1215" s="78" t="n">
        <f aca="false">IF(AND(OR(AK1215="À RÉPARER",AK1215="COUPE – À RESOUDER",AK1215="VT REJETÉ – À REPRENDRE"),OR(RÉPARATIONS!$D$5="TOUTES",B1215=RÉPARATIONS!$D$5)),1,0)</f>
        <v>0</v>
      </c>
      <c r="AP1215" s="78" t="str">
        <f aca="false">IF(AO1215=1,SUM(AO$7:AO1215),"")</f>
        <v/>
      </c>
    </row>
    <row r="1216" customFormat="false" ht="15" hidden="false" customHeight="false" outlineLevel="0" collapsed="false">
      <c r="A1216" s="78" t="str">
        <f aca="false">IF(E1216="","",ROW()-6)</f>
        <v/>
      </c>
      <c r="B1216" s="79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0"/>
      <c r="P1216" s="81"/>
      <c r="Q1216" s="81"/>
      <c r="R1216" s="80"/>
      <c r="S1216" s="80"/>
      <c r="T1216" s="81"/>
      <c r="U1216" s="80"/>
      <c r="V1216" s="80"/>
      <c r="W1216" s="80"/>
      <c r="X1216" s="80"/>
      <c r="Y1216" s="81"/>
      <c r="Z1216" s="80"/>
      <c r="AA1216" s="80"/>
      <c r="AB1216" s="80"/>
      <c r="AC1216" s="80"/>
      <c r="AD1216" s="81"/>
      <c r="AE1216" s="80"/>
      <c r="AF1216" s="80"/>
      <c r="AG1216" s="81"/>
      <c r="AH1216" s="79"/>
      <c r="AI1216" s="78" t="str">
        <f aca="false">IF(E1216="","",(V1216&lt;&gt;"")+(AA1216&lt;&gt;"")+(AF1216&lt;&gt;""))</f>
        <v/>
      </c>
      <c r="AJ1216" s="82" t="str">
        <f aca="false">IF(AF1216&lt;&gt;"",AF1216,IF(AA1216&lt;&gt;"",AA1216,IF(V1216&lt;&gt;"",V1216,"")))</f>
        <v/>
      </c>
      <c r="AK1216" s="83" t="str">
        <f aca="false">IF(E1216="","",IF(P1216="","À SOUDER",IF(S1216="","VT EN ATTENTE",IF(S1216="R","VT REJETÉ – À REPRENDRE",IF(AJ1216="","À RADIOGRAPHIER",IF(AJ1216="A","ACCEPTÉ",IF(AJ1216="NX","NX – RT À REFAIRE",IF(IF(AI1216=1,X1216,IF(AI1216=2,AC1216,""))="A","RÉPARÉ – À RADIOGRAPHIER",IF(IF(AI1216=1,X1216,IF(AI1216=2,AC1216,""))="R","VT REJETÉ – À REPRENDRE",IF(AJ1216="CO","COUPE – À RESOUDER","À RÉPARER"))))))))))</f>
        <v/>
      </c>
      <c r="AL1216" s="82" t="str">
        <f aca="false">IF(AND(ISNUMBER(P1216),OR(AK1216="À RADIOGRAPHIER",AK1216="RÉPARÉ – À RADIOGRAPHIER",AK1216="NX – RT À REFAIRE",AK1216="À RÉPARER",AK1216="COUPE – À RESOUDER",AK1216="VT REJETÉ – À REPRENDRE")),MAX(0,'PROGRAMME RT'!$C$4-P1216),"")</f>
        <v/>
      </c>
      <c r="AM1216" s="78" t="n">
        <f aca="false">IF(AND(OR(AK1216="À RADIOGRAPHIER",AK1216="RÉPARÉ – À RADIOGRAPHIER",AK1216="NX – RT À REFAIRE"),OR('PROGRAMME RT'!$D$5="TOUTES",B1216='PROGRAMME RT'!$D$5)),1,0)</f>
        <v>0</v>
      </c>
      <c r="AN1216" s="78" t="str">
        <f aca="false">IF(AM1216=1,SUM(AM$7:AM1216),"")</f>
        <v/>
      </c>
      <c r="AO1216" s="78" t="n">
        <f aca="false">IF(AND(OR(AK1216="À RÉPARER",AK1216="COUPE – À RESOUDER",AK1216="VT REJETÉ – À REPRENDRE"),OR(RÉPARATIONS!$D$5="TOUTES",B1216=RÉPARATIONS!$D$5)),1,0)</f>
        <v>0</v>
      </c>
      <c r="AP1216" s="78" t="str">
        <f aca="false">IF(AO1216=1,SUM(AO$7:AO1216),"")</f>
        <v/>
      </c>
    </row>
    <row r="1217" customFormat="false" ht="15" hidden="false" customHeight="false" outlineLevel="0" collapsed="false">
      <c r="A1217" s="78" t="str">
        <f aca="false">IF(E1217="","",ROW()-6)</f>
        <v/>
      </c>
      <c r="B1217" s="79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0"/>
      <c r="P1217" s="81"/>
      <c r="Q1217" s="81"/>
      <c r="R1217" s="80"/>
      <c r="S1217" s="80"/>
      <c r="T1217" s="81"/>
      <c r="U1217" s="80"/>
      <c r="V1217" s="80"/>
      <c r="W1217" s="80"/>
      <c r="X1217" s="80"/>
      <c r="Y1217" s="81"/>
      <c r="Z1217" s="80"/>
      <c r="AA1217" s="80"/>
      <c r="AB1217" s="80"/>
      <c r="AC1217" s="80"/>
      <c r="AD1217" s="81"/>
      <c r="AE1217" s="80"/>
      <c r="AF1217" s="80"/>
      <c r="AG1217" s="81"/>
      <c r="AH1217" s="79"/>
      <c r="AI1217" s="78" t="str">
        <f aca="false">IF(E1217="","",(V1217&lt;&gt;"")+(AA1217&lt;&gt;"")+(AF1217&lt;&gt;""))</f>
        <v/>
      </c>
      <c r="AJ1217" s="82" t="str">
        <f aca="false">IF(AF1217&lt;&gt;"",AF1217,IF(AA1217&lt;&gt;"",AA1217,IF(V1217&lt;&gt;"",V1217,"")))</f>
        <v/>
      </c>
      <c r="AK1217" s="83" t="str">
        <f aca="false">IF(E1217="","",IF(P1217="","À SOUDER",IF(S1217="","VT EN ATTENTE",IF(S1217="R","VT REJETÉ – À REPRENDRE",IF(AJ1217="","À RADIOGRAPHIER",IF(AJ1217="A","ACCEPTÉ",IF(AJ1217="NX","NX – RT À REFAIRE",IF(IF(AI1217=1,X1217,IF(AI1217=2,AC1217,""))="A","RÉPARÉ – À RADIOGRAPHIER",IF(IF(AI1217=1,X1217,IF(AI1217=2,AC1217,""))="R","VT REJETÉ – À REPRENDRE",IF(AJ1217="CO","COUPE – À RESOUDER","À RÉPARER"))))))))))</f>
        <v/>
      </c>
      <c r="AL1217" s="82" t="str">
        <f aca="false">IF(AND(ISNUMBER(P1217),OR(AK1217="À RADIOGRAPHIER",AK1217="RÉPARÉ – À RADIOGRAPHIER",AK1217="NX – RT À REFAIRE",AK1217="À RÉPARER",AK1217="COUPE – À RESOUDER",AK1217="VT REJETÉ – À REPRENDRE")),MAX(0,'PROGRAMME RT'!$C$4-P1217),"")</f>
        <v/>
      </c>
      <c r="AM1217" s="78" t="n">
        <f aca="false">IF(AND(OR(AK1217="À RADIOGRAPHIER",AK1217="RÉPARÉ – À RADIOGRAPHIER",AK1217="NX – RT À REFAIRE"),OR('PROGRAMME RT'!$D$5="TOUTES",B1217='PROGRAMME RT'!$D$5)),1,0)</f>
        <v>0</v>
      </c>
      <c r="AN1217" s="78" t="str">
        <f aca="false">IF(AM1217=1,SUM(AM$7:AM1217),"")</f>
        <v/>
      </c>
      <c r="AO1217" s="78" t="n">
        <f aca="false">IF(AND(OR(AK1217="À RÉPARER",AK1217="COUPE – À RESOUDER",AK1217="VT REJETÉ – À REPRENDRE"),OR(RÉPARATIONS!$D$5="TOUTES",B1217=RÉPARATIONS!$D$5)),1,0)</f>
        <v>0</v>
      </c>
      <c r="AP1217" s="78" t="str">
        <f aca="false">IF(AO1217=1,SUM(AO$7:AO1217),"")</f>
        <v/>
      </c>
    </row>
    <row r="1218" customFormat="false" ht="15" hidden="false" customHeight="false" outlineLevel="0" collapsed="false">
      <c r="A1218" s="78" t="str">
        <f aca="false">IF(E1218="","",ROW()-6)</f>
        <v/>
      </c>
      <c r="B1218" s="79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0"/>
      <c r="P1218" s="81"/>
      <c r="Q1218" s="81"/>
      <c r="R1218" s="80"/>
      <c r="S1218" s="80"/>
      <c r="T1218" s="81"/>
      <c r="U1218" s="80"/>
      <c r="V1218" s="80"/>
      <c r="W1218" s="80"/>
      <c r="X1218" s="80"/>
      <c r="Y1218" s="81"/>
      <c r="Z1218" s="80"/>
      <c r="AA1218" s="80"/>
      <c r="AB1218" s="80"/>
      <c r="AC1218" s="80"/>
      <c r="AD1218" s="81"/>
      <c r="AE1218" s="80"/>
      <c r="AF1218" s="80"/>
      <c r="AG1218" s="81"/>
      <c r="AH1218" s="79"/>
      <c r="AI1218" s="78" t="str">
        <f aca="false">IF(E1218="","",(V1218&lt;&gt;"")+(AA1218&lt;&gt;"")+(AF1218&lt;&gt;""))</f>
        <v/>
      </c>
      <c r="AJ1218" s="82" t="str">
        <f aca="false">IF(AF1218&lt;&gt;"",AF1218,IF(AA1218&lt;&gt;"",AA1218,IF(V1218&lt;&gt;"",V1218,"")))</f>
        <v/>
      </c>
      <c r="AK1218" s="83" t="str">
        <f aca="false">IF(E1218="","",IF(P1218="","À SOUDER",IF(S1218="","VT EN ATTENTE",IF(S1218="R","VT REJETÉ – À REPRENDRE",IF(AJ1218="","À RADIOGRAPHIER",IF(AJ1218="A","ACCEPTÉ",IF(AJ1218="NX","NX – RT À REFAIRE",IF(IF(AI1218=1,X1218,IF(AI1218=2,AC1218,""))="A","RÉPARÉ – À RADIOGRAPHIER",IF(IF(AI1218=1,X1218,IF(AI1218=2,AC1218,""))="R","VT REJETÉ – À REPRENDRE",IF(AJ1218="CO","COUPE – À RESOUDER","À RÉPARER"))))))))))</f>
        <v/>
      </c>
      <c r="AL1218" s="82" t="str">
        <f aca="false">IF(AND(ISNUMBER(P1218),OR(AK1218="À RADIOGRAPHIER",AK1218="RÉPARÉ – À RADIOGRAPHIER",AK1218="NX – RT À REFAIRE",AK1218="À RÉPARER",AK1218="COUPE – À RESOUDER",AK1218="VT REJETÉ – À REPRENDRE")),MAX(0,'PROGRAMME RT'!$C$4-P1218),"")</f>
        <v/>
      </c>
      <c r="AM1218" s="78" t="n">
        <f aca="false">IF(AND(OR(AK1218="À RADIOGRAPHIER",AK1218="RÉPARÉ – À RADIOGRAPHIER",AK1218="NX – RT À REFAIRE"),OR('PROGRAMME RT'!$D$5="TOUTES",B1218='PROGRAMME RT'!$D$5)),1,0)</f>
        <v>0</v>
      </c>
      <c r="AN1218" s="78" t="str">
        <f aca="false">IF(AM1218=1,SUM(AM$7:AM1218),"")</f>
        <v/>
      </c>
      <c r="AO1218" s="78" t="n">
        <f aca="false">IF(AND(OR(AK1218="À RÉPARER",AK1218="COUPE – À RESOUDER",AK1218="VT REJETÉ – À REPRENDRE"),OR(RÉPARATIONS!$D$5="TOUTES",B1218=RÉPARATIONS!$D$5)),1,0)</f>
        <v>0</v>
      </c>
      <c r="AP1218" s="78" t="str">
        <f aca="false">IF(AO1218=1,SUM(AO$7:AO1218),"")</f>
        <v/>
      </c>
    </row>
    <row r="1219" customFormat="false" ht="15" hidden="false" customHeight="false" outlineLevel="0" collapsed="false">
      <c r="A1219" s="78" t="str">
        <f aca="false">IF(E1219="","",ROW()-6)</f>
        <v/>
      </c>
      <c r="B1219" s="79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0"/>
      <c r="P1219" s="81"/>
      <c r="Q1219" s="81"/>
      <c r="R1219" s="80"/>
      <c r="S1219" s="80"/>
      <c r="T1219" s="81"/>
      <c r="U1219" s="80"/>
      <c r="V1219" s="80"/>
      <c r="W1219" s="80"/>
      <c r="X1219" s="80"/>
      <c r="Y1219" s="81"/>
      <c r="Z1219" s="80"/>
      <c r="AA1219" s="80"/>
      <c r="AB1219" s="80"/>
      <c r="AC1219" s="80"/>
      <c r="AD1219" s="81"/>
      <c r="AE1219" s="80"/>
      <c r="AF1219" s="80"/>
      <c r="AG1219" s="81"/>
      <c r="AH1219" s="79"/>
      <c r="AI1219" s="78" t="str">
        <f aca="false">IF(E1219="","",(V1219&lt;&gt;"")+(AA1219&lt;&gt;"")+(AF1219&lt;&gt;""))</f>
        <v/>
      </c>
      <c r="AJ1219" s="82" t="str">
        <f aca="false">IF(AF1219&lt;&gt;"",AF1219,IF(AA1219&lt;&gt;"",AA1219,IF(V1219&lt;&gt;"",V1219,"")))</f>
        <v/>
      </c>
      <c r="AK1219" s="83" t="str">
        <f aca="false">IF(E1219="","",IF(P1219="","À SOUDER",IF(S1219="","VT EN ATTENTE",IF(S1219="R","VT REJETÉ – À REPRENDRE",IF(AJ1219="","À RADIOGRAPHIER",IF(AJ1219="A","ACCEPTÉ",IF(AJ1219="NX","NX – RT À REFAIRE",IF(IF(AI1219=1,X1219,IF(AI1219=2,AC1219,""))="A","RÉPARÉ – À RADIOGRAPHIER",IF(IF(AI1219=1,X1219,IF(AI1219=2,AC1219,""))="R","VT REJETÉ – À REPRENDRE",IF(AJ1219="CO","COUPE – À RESOUDER","À RÉPARER"))))))))))</f>
        <v/>
      </c>
      <c r="AL1219" s="82" t="str">
        <f aca="false">IF(AND(ISNUMBER(P1219),OR(AK1219="À RADIOGRAPHIER",AK1219="RÉPARÉ – À RADIOGRAPHIER",AK1219="NX – RT À REFAIRE",AK1219="À RÉPARER",AK1219="COUPE – À RESOUDER",AK1219="VT REJETÉ – À REPRENDRE")),MAX(0,'PROGRAMME RT'!$C$4-P1219),"")</f>
        <v/>
      </c>
      <c r="AM1219" s="78" t="n">
        <f aca="false">IF(AND(OR(AK1219="À RADIOGRAPHIER",AK1219="RÉPARÉ – À RADIOGRAPHIER",AK1219="NX – RT À REFAIRE"),OR('PROGRAMME RT'!$D$5="TOUTES",B1219='PROGRAMME RT'!$D$5)),1,0)</f>
        <v>0</v>
      </c>
      <c r="AN1219" s="78" t="str">
        <f aca="false">IF(AM1219=1,SUM(AM$7:AM1219),"")</f>
        <v/>
      </c>
      <c r="AO1219" s="78" t="n">
        <f aca="false">IF(AND(OR(AK1219="À RÉPARER",AK1219="COUPE – À RESOUDER",AK1219="VT REJETÉ – À REPRENDRE"),OR(RÉPARATIONS!$D$5="TOUTES",B1219=RÉPARATIONS!$D$5)),1,0)</f>
        <v>0</v>
      </c>
      <c r="AP1219" s="78" t="str">
        <f aca="false">IF(AO1219=1,SUM(AO$7:AO1219),"")</f>
        <v/>
      </c>
    </row>
    <row r="1220" customFormat="false" ht="15" hidden="false" customHeight="false" outlineLevel="0" collapsed="false">
      <c r="A1220" s="78" t="str">
        <f aca="false">IF(E1220="","",ROW()-6)</f>
        <v/>
      </c>
      <c r="B1220" s="79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0"/>
      <c r="P1220" s="81"/>
      <c r="Q1220" s="81"/>
      <c r="R1220" s="80"/>
      <c r="S1220" s="80"/>
      <c r="T1220" s="81"/>
      <c r="U1220" s="80"/>
      <c r="V1220" s="80"/>
      <c r="W1220" s="80"/>
      <c r="X1220" s="80"/>
      <c r="Y1220" s="81"/>
      <c r="Z1220" s="80"/>
      <c r="AA1220" s="80"/>
      <c r="AB1220" s="80"/>
      <c r="AC1220" s="80"/>
      <c r="AD1220" s="81"/>
      <c r="AE1220" s="80"/>
      <c r="AF1220" s="80"/>
      <c r="AG1220" s="81"/>
      <c r="AH1220" s="79"/>
      <c r="AI1220" s="78" t="str">
        <f aca="false">IF(E1220="","",(V1220&lt;&gt;"")+(AA1220&lt;&gt;"")+(AF1220&lt;&gt;""))</f>
        <v/>
      </c>
      <c r="AJ1220" s="82" t="str">
        <f aca="false">IF(AF1220&lt;&gt;"",AF1220,IF(AA1220&lt;&gt;"",AA1220,IF(V1220&lt;&gt;"",V1220,"")))</f>
        <v/>
      </c>
      <c r="AK1220" s="83" t="str">
        <f aca="false">IF(E1220="","",IF(P1220="","À SOUDER",IF(S1220="","VT EN ATTENTE",IF(S1220="R","VT REJETÉ – À REPRENDRE",IF(AJ1220="","À RADIOGRAPHIER",IF(AJ1220="A","ACCEPTÉ",IF(AJ1220="NX","NX – RT À REFAIRE",IF(IF(AI1220=1,X1220,IF(AI1220=2,AC1220,""))="A","RÉPARÉ – À RADIOGRAPHIER",IF(IF(AI1220=1,X1220,IF(AI1220=2,AC1220,""))="R","VT REJETÉ – À REPRENDRE",IF(AJ1220="CO","COUPE – À RESOUDER","À RÉPARER"))))))))))</f>
        <v/>
      </c>
      <c r="AL1220" s="82" t="str">
        <f aca="false">IF(AND(ISNUMBER(P1220),OR(AK1220="À RADIOGRAPHIER",AK1220="RÉPARÉ – À RADIOGRAPHIER",AK1220="NX – RT À REFAIRE",AK1220="À RÉPARER",AK1220="COUPE – À RESOUDER",AK1220="VT REJETÉ – À REPRENDRE")),MAX(0,'PROGRAMME RT'!$C$4-P1220),"")</f>
        <v/>
      </c>
      <c r="AM1220" s="78" t="n">
        <f aca="false">IF(AND(OR(AK1220="À RADIOGRAPHIER",AK1220="RÉPARÉ – À RADIOGRAPHIER",AK1220="NX – RT À REFAIRE"),OR('PROGRAMME RT'!$D$5="TOUTES",B1220='PROGRAMME RT'!$D$5)),1,0)</f>
        <v>0</v>
      </c>
      <c r="AN1220" s="78" t="str">
        <f aca="false">IF(AM1220=1,SUM(AM$7:AM1220),"")</f>
        <v/>
      </c>
      <c r="AO1220" s="78" t="n">
        <f aca="false">IF(AND(OR(AK1220="À RÉPARER",AK1220="COUPE – À RESOUDER",AK1220="VT REJETÉ – À REPRENDRE"),OR(RÉPARATIONS!$D$5="TOUTES",B1220=RÉPARATIONS!$D$5)),1,0)</f>
        <v>0</v>
      </c>
      <c r="AP1220" s="78" t="str">
        <f aca="false">IF(AO1220=1,SUM(AO$7:AO1220),"")</f>
        <v/>
      </c>
    </row>
    <row r="1221" customFormat="false" ht="15" hidden="false" customHeight="false" outlineLevel="0" collapsed="false">
      <c r="A1221" s="78" t="str">
        <f aca="false">IF(E1221="","",ROW()-6)</f>
        <v/>
      </c>
      <c r="B1221" s="79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0"/>
      <c r="P1221" s="81"/>
      <c r="Q1221" s="81"/>
      <c r="R1221" s="80"/>
      <c r="S1221" s="80"/>
      <c r="T1221" s="81"/>
      <c r="U1221" s="80"/>
      <c r="V1221" s="80"/>
      <c r="W1221" s="80"/>
      <c r="X1221" s="80"/>
      <c r="Y1221" s="81"/>
      <c r="Z1221" s="80"/>
      <c r="AA1221" s="80"/>
      <c r="AB1221" s="80"/>
      <c r="AC1221" s="80"/>
      <c r="AD1221" s="81"/>
      <c r="AE1221" s="80"/>
      <c r="AF1221" s="80"/>
      <c r="AG1221" s="81"/>
      <c r="AH1221" s="79"/>
      <c r="AI1221" s="78" t="str">
        <f aca="false">IF(E1221="","",(V1221&lt;&gt;"")+(AA1221&lt;&gt;"")+(AF1221&lt;&gt;""))</f>
        <v/>
      </c>
      <c r="AJ1221" s="82" t="str">
        <f aca="false">IF(AF1221&lt;&gt;"",AF1221,IF(AA1221&lt;&gt;"",AA1221,IF(V1221&lt;&gt;"",V1221,"")))</f>
        <v/>
      </c>
      <c r="AK1221" s="83" t="str">
        <f aca="false">IF(E1221="","",IF(P1221="","À SOUDER",IF(S1221="","VT EN ATTENTE",IF(S1221="R","VT REJETÉ – À REPRENDRE",IF(AJ1221="","À RADIOGRAPHIER",IF(AJ1221="A","ACCEPTÉ",IF(AJ1221="NX","NX – RT À REFAIRE",IF(IF(AI1221=1,X1221,IF(AI1221=2,AC1221,""))="A","RÉPARÉ – À RADIOGRAPHIER",IF(IF(AI1221=1,X1221,IF(AI1221=2,AC1221,""))="R","VT REJETÉ – À REPRENDRE",IF(AJ1221="CO","COUPE – À RESOUDER","À RÉPARER"))))))))))</f>
        <v/>
      </c>
      <c r="AL1221" s="82" t="str">
        <f aca="false">IF(AND(ISNUMBER(P1221),OR(AK1221="À RADIOGRAPHIER",AK1221="RÉPARÉ – À RADIOGRAPHIER",AK1221="NX – RT À REFAIRE",AK1221="À RÉPARER",AK1221="COUPE – À RESOUDER",AK1221="VT REJETÉ – À REPRENDRE")),MAX(0,'PROGRAMME RT'!$C$4-P1221),"")</f>
        <v/>
      </c>
      <c r="AM1221" s="78" t="n">
        <f aca="false">IF(AND(OR(AK1221="À RADIOGRAPHIER",AK1221="RÉPARÉ – À RADIOGRAPHIER",AK1221="NX – RT À REFAIRE"),OR('PROGRAMME RT'!$D$5="TOUTES",B1221='PROGRAMME RT'!$D$5)),1,0)</f>
        <v>0</v>
      </c>
      <c r="AN1221" s="78" t="str">
        <f aca="false">IF(AM1221=1,SUM(AM$7:AM1221),"")</f>
        <v/>
      </c>
      <c r="AO1221" s="78" t="n">
        <f aca="false">IF(AND(OR(AK1221="À RÉPARER",AK1221="COUPE – À RESOUDER",AK1221="VT REJETÉ – À REPRENDRE"),OR(RÉPARATIONS!$D$5="TOUTES",B1221=RÉPARATIONS!$D$5)),1,0)</f>
        <v>0</v>
      </c>
      <c r="AP1221" s="78" t="str">
        <f aca="false">IF(AO1221=1,SUM(AO$7:AO1221),"")</f>
        <v/>
      </c>
    </row>
    <row r="1222" customFormat="false" ht="15" hidden="false" customHeight="false" outlineLevel="0" collapsed="false">
      <c r="A1222" s="78" t="str">
        <f aca="false">IF(E1222="","",ROW()-6)</f>
        <v/>
      </c>
      <c r="B1222" s="79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0"/>
      <c r="P1222" s="81"/>
      <c r="Q1222" s="81"/>
      <c r="R1222" s="80"/>
      <c r="S1222" s="80"/>
      <c r="T1222" s="81"/>
      <c r="U1222" s="80"/>
      <c r="V1222" s="80"/>
      <c r="W1222" s="80"/>
      <c r="X1222" s="80"/>
      <c r="Y1222" s="81"/>
      <c r="Z1222" s="80"/>
      <c r="AA1222" s="80"/>
      <c r="AB1222" s="80"/>
      <c r="AC1222" s="80"/>
      <c r="AD1222" s="81"/>
      <c r="AE1222" s="80"/>
      <c r="AF1222" s="80"/>
      <c r="AG1222" s="81"/>
      <c r="AH1222" s="79"/>
      <c r="AI1222" s="78" t="str">
        <f aca="false">IF(E1222="","",(V1222&lt;&gt;"")+(AA1222&lt;&gt;"")+(AF1222&lt;&gt;""))</f>
        <v/>
      </c>
      <c r="AJ1222" s="82" t="str">
        <f aca="false">IF(AF1222&lt;&gt;"",AF1222,IF(AA1222&lt;&gt;"",AA1222,IF(V1222&lt;&gt;"",V1222,"")))</f>
        <v/>
      </c>
      <c r="AK1222" s="83" t="str">
        <f aca="false">IF(E1222="","",IF(P1222="","À SOUDER",IF(S1222="","VT EN ATTENTE",IF(S1222="R","VT REJETÉ – À REPRENDRE",IF(AJ1222="","À RADIOGRAPHIER",IF(AJ1222="A","ACCEPTÉ",IF(AJ1222="NX","NX – RT À REFAIRE",IF(IF(AI1222=1,X1222,IF(AI1222=2,AC1222,""))="A","RÉPARÉ – À RADIOGRAPHIER",IF(IF(AI1222=1,X1222,IF(AI1222=2,AC1222,""))="R","VT REJETÉ – À REPRENDRE",IF(AJ1222="CO","COUPE – À RESOUDER","À RÉPARER"))))))))))</f>
        <v/>
      </c>
      <c r="AL1222" s="82" t="str">
        <f aca="false">IF(AND(ISNUMBER(P1222),OR(AK1222="À RADIOGRAPHIER",AK1222="RÉPARÉ – À RADIOGRAPHIER",AK1222="NX – RT À REFAIRE",AK1222="À RÉPARER",AK1222="COUPE – À RESOUDER",AK1222="VT REJETÉ – À REPRENDRE")),MAX(0,'PROGRAMME RT'!$C$4-P1222),"")</f>
        <v/>
      </c>
      <c r="AM1222" s="78" t="n">
        <f aca="false">IF(AND(OR(AK1222="À RADIOGRAPHIER",AK1222="RÉPARÉ – À RADIOGRAPHIER",AK1222="NX – RT À REFAIRE"),OR('PROGRAMME RT'!$D$5="TOUTES",B1222='PROGRAMME RT'!$D$5)),1,0)</f>
        <v>0</v>
      </c>
      <c r="AN1222" s="78" t="str">
        <f aca="false">IF(AM1222=1,SUM(AM$7:AM1222),"")</f>
        <v/>
      </c>
      <c r="AO1222" s="78" t="n">
        <f aca="false">IF(AND(OR(AK1222="À RÉPARER",AK1222="COUPE – À RESOUDER",AK1222="VT REJETÉ – À REPRENDRE"),OR(RÉPARATIONS!$D$5="TOUTES",B1222=RÉPARATIONS!$D$5)),1,0)</f>
        <v>0</v>
      </c>
      <c r="AP1222" s="78" t="str">
        <f aca="false">IF(AO1222=1,SUM(AO$7:AO1222),"")</f>
        <v/>
      </c>
    </row>
    <row r="1223" customFormat="false" ht="15" hidden="false" customHeight="false" outlineLevel="0" collapsed="false">
      <c r="A1223" s="78" t="str">
        <f aca="false">IF(E1223="","",ROW()-6)</f>
        <v/>
      </c>
      <c r="B1223" s="79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0"/>
      <c r="P1223" s="81"/>
      <c r="Q1223" s="81"/>
      <c r="R1223" s="80"/>
      <c r="S1223" s="80"/>
      <c r="T1223" s="81"/>
      <c r="U1223" s="80"/>
      <c r="V1223" s="80"/>
      <c r="W1223" s="80"/>
      <c r="X1223" s="80"/>
      <c r="Y1223" s="81"/>
      <c r="Z1223" s="80"/>
      <c r="AA1223" s="80"/>
      <c r="AB1223" s="80"/>
      <c r="AC1223" s="80"/>
      <c r="AD1223" s="81"/>
      <c r="AE1223" s="80"/>
      <c r="AF1223" s="80"/>
      <c r="AG1223" s="81"/>
      <c r="AH1223" s="79"/>
      <c r="AI1223" s="78" t="str">
        <f aca="false">IF(E1223="","",(V1223&lt;&gt;"")+(AA1223&lt;&gt;"")+(AF1223&lt;&gt;""))</f>
        <v/>
      </c>
      <c r="AJ1223" s="82" t="str">
        <f aca="false">IF(AF1223&lt;&gt;"",AF1223,IF(AA1223&lt;&gt;"",AA1223,IF(V1223&lt;&gt;"",V1223,"")))</f>
        <v/>
      </c>
      <c r="AK1223" s="83" t="str">
        <f aca="false">IF(E1223="","",IF(P1223="","À SOUDER",IF(S1223="","VT EN ATTENTE",IF(S1223="R","VT REJETÉ – À REPRENDRE",IF(AJ1223="","À RADIOGRAPHIER",IF(AJ1223="A","ACCEPTÉ",IF(AJ1223="NX","NX – RT À REFAIRE",IF(IF(AI1223=1,X1223,IF(AI1223=2,AC1223,""))="A","RÉPARÉ – À RADIOGRAPHIER",IF(IF(AI1223=1,X1223,IF(AI1223=2,AC1223,""))="R","VT REJETÉ – À REPRENDRE",IF(AJ1223="CO","COUPE – À RESOUDER","À RÉPARER"))))))))))</f>
        <v/>
      </c>
      <c r="AL1223" s="82" t="str">
        <f aca="false">IF(AND(ISNUMBER(P1223),OR(AK1223="À RADIOGRAPHIER",AK1223="RÉPARÉ – À RADIOGRAPHIER",AK1223="NX – RT À REFAIRE",AK1223="À RÉPARER",AK1223="COUPE – À RESOUDER",AK1223="VT REJETÉ – À REPRENDRE")),MAX(0,'PROGRAMME RT'!$C$4-P1223),"")</f>
        <v/>
      </c>
      <c r="AM1223" s="78" t="n">
        <f aca="false">IF(AND(OR(AK1223="À RADIOGRAPHIER",AK1223="RÉPARÉ – À RADIOGRAPHIER",AK1223="NX – RT À REFAIRE"),OR('PROGRAMME RT'!$D$5="TOUTES",B1223='PROGRAMME RT'!$D$5)),1,0)</f>
        <v>0</v>
      </c>
      <c r="AN1223" s="78" t="str">
        <f aca="false">IF(AM1223=1,SUM(AM$7:AM1223),"")</f>
        <v/>
      </c>
      <c r="AO1223" s="78" t="n">
        <f aca="false">IF(AND(OR(AK1223="À RÉPARER",AK1223="COUPE – À RESOUDER",AK1223="VT REJETÉ – À REPRENDRE"),OR(RÉPARATIONS!$D$5="TOUTES",B1223=RÉPARATIONS!$D$5)),1,0)</f>
        <v>0</v>
      </c>
      <c r="AP1223" s="78" t="str">
        <f aca="false">IF(AO1223=1,SUM(AO$7:AO1223),"")</f>
        <v/>
      </c>
    </row>
    <row r="1224" customFormat="false" ht="15" hidden="false" customHeight="false" outlineLevel="0" collapsed="false">
      <c r="A1224" s="78" t="str">
        <f aca="false">IF(E1224="","",ROW()-6)</f>
        <v/>
      </c>
      <c r="B1224" s="79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0"/>
      <c r="P1224" s="81"/>
      <c r="Q1224" s="81"/>
      <c r="R1224" s="80"/>
      <c r="S1224" s="80"/>
      <c r="T1224" s="81"/>
      <c r="U1224" s="80"/>
      <c r="V1224" s="80"/>
      <c r="W1224" s="80"/>
      <c r="X1224" s="80"/>
      <c r="Y1224" s="81"/>
      <c r="Z1224" s="80"/>
      <c r="AA1224" s="80"/>
      <c r="AB1224" s="80"/>
      <c r="AC1224" s="80"/>
      <c r="AD1224" s="81"/>
      <c r="AE1224" s="80"/>
      <c r="AF1224" s="80"/>
      <c r="AG1224" s="81"/>
      <c r="AH1224" s="79"/>
      <c r="AI1224" s="78" t="str">
        <f aca="false">IF(E1224="","",(V1224&lt;&gt;"")+(AA1224&lt;&gt;"")+(AF1224&lt;&gt;""))</f>
        <v/>
      </c>
      <c r="AJ1224" s="82" t="str">
        <f aca="false">IF(AF1224&lt;&gt;"",AF1224,IF(AA1224&lt;&gt;"",AA1224,IF(V1224&lt;&gt;"",V1224,"")))</f>
        <v/>
      </c>
      <c r="AK1224" s="83" t="str">
        <f aca="false">IF(E1224="","",IF(P1224="","À SOUDER",IF(S1224="","VT EN ATTENTE",IF(S1224="R","VT REJETÉ – À REPRENDRE",IF(AJ1224="","À RADIOGRAPHIER",IF(AJ1224="A","ACCEPTÉ",IF(AJ1224="NX","NX – RT À REFAIRE",IF(IF(AI1224=1,X1224,IF(AI1224=2,AC1224,""))="A","RÉPARÉ – À RADIOGRAPHIER",IF(IF(AI1224=1,X1224,IF(AI1224=2,AC1224,""))="R","VT REJETÉ – À REPRENDRE",IF(AJ1224="CO","COUPE – À RESOUDER","À RÉPARER"))))))))))</f>
        <v/>
      </c>
      <c r="AL1224" s="82" t="str">
        <f aca="false">IF(AND(ISNUMBER(P1224),OR(AK1224="À RADIOGRAPHIER",AK1224="RÉPARÉ – À RADIOGRAPHIER",AK1224="NX – RT À REFAIRE",AK1224="À RÉPARER",AK1224="COUPE – À RESOUDER",AK1224="VT REJETÉ – À REPRENDRE")),MAX(0,'PROGRAMME RT'!$C$4-P1224),"")</f>
        <v/>
      </c>
      <c r="AM1224" s="78" t="n">
        <f aca="false">IF(AND(OR(AK1224="À RADIOGRAPHIER",AK1224="RÉPARÉ – À RADIOGRAPHIER",AK1224="NX – RT À REFAIRE"),OR('PROGRAMME RT'!$D$5="TOUTES",B1224='PROGRAMME RT'!$D$5)),1,0)</f>
        <v>0</v>
      </c>
      <c r="AN1224" s="78" t="str">
        <f aca="false">IF(AM1224=1,SUM(AM$7:AM1224),"")</f>
        <v/>
      </c>
      <c r="AO1224" s="78" t="n">
        <f aca="false">IF(AND(OR(AK1224="À RÉPARER",AK1224="COUPE – À RESOUDER",AK1224="VT REJETÉ – À REPRENDRE"),OR(RÉPARATIONS!$D$5="TOUTES",B1224=RÉPARATIONS!$D$5)),1,0)</f>
        <v>0</v>
      </c>
      <c r="AP1224" s="78" t="str">
        <f aca="false">IF(AO1224=1,SUM(AO$7:AO1224),"")</f>
        <v/>
      </c>
    </row>
    <row r="1225" customFormat="false" ht="15" hidden="false" customHeight="false" outlineLevel="0" collapsed="false">
      <c r="A1225" s="78" t="str">
        <f aca="false">IF(E1225="","",ROW()-6)</f>
        <v/>
      </c>
      <c r="B1225" s="79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0"/>
      <c r="P1225" s="81"/>
      <c r="Q1225" s="81"/>
      <c r="R1225" s="80"/>
      <c r="S1225" s="80"/>
      <c r="T1225" s="81"/>
      <c r="U1225" s="80"/>
      <c r="V1225" s="80"/>
      <c r="W1225" s="80"/>
      <c r="X1225" s="80"/>
      <c r="Y1225" s="81"/>
      <c r="Z1225" s="80"/>
      <c r="AA1225" s="80"/>
      <c r="AB1225" s="80"/>
      <c r="AC1225" s="80"/>
      <c r="AD1225" s="81"/>
      <c r="AE1225" s="80"/>
      <c r="AF1225" s="80"/>
      <c r="AG1225" s="81"/>
      <c r="AH1225" s="79"/>
      <c r="AI1225" s="78" t="str">
        <f aca="false">IF(E1225="","",(V1225&lt;&gt;"")+(AA1225&lt;&gt;"")+(AF1225&lt;&gt;""))</f>
        <v/>
      </c>
      <c r="AJ1225" s="82" t="str">
        <f aca="false">IF(AF1225&lt;&gt;"",AF1225,IF(AA1225&lt;&gt;"",AA1225,IF(V1225&lt;&gt;"",V1225,"")))</f>
        <v/>
      </c>
      <c r="AK1225" s="83" t="str">
        <f aca="false">IF(E1225="","",IF(P1225="","À SOUDER",IF(S1225="","VT EN ATTENTE",IF(S1225="R","VT REJETÉ – À REPRENDRE",IF(AJ1225="","À RADIOGRAPHIER",IF(AJ1225="A","ACCEPTÉ",IF(AJ1225="NX","NX – RT À REFAIRE",IF(IF(AI1225=1,X1225,IF(AI1225=2,AC1225,""))="A","RÉPARÉ – À RADIOGRAPHIER",IF(IF(AI1225=1,X1225,IF(AI1225=2,AC1225,""))="R","VT REJETÉ – À REPRENDRE",IF(AJ1225="CO","COUPE – À RESOUDER","À RÉPARER"))))))))))</f>
        <v/>
      </c>
      <c r="AL1225" s="82" t="str">
        <f aca="false">IF(AND(ISNUMBER(P1225),OR(AK1225="À RADIOGRAPHIER",AK1225="RÉPARÉ – À RADIOGRAPHIER",AK1225="NX – RT À REFAIRE",AK1225="À RÉPARER",AK1225="COUPE – À RESOUDER",AK1225="VT REJETÉ – À REPRENDRE")),MAX(0,'PROGRAMME RT'!$C$4-P1225),"")</f>
        <v/>
      </c>
      <c r="AM1225" s="78" t="n">
        <f aca="false">IF(AND(OR(AK1225="À RADIOGRAPHIER",AK1225="RÉPARÉ – À RADIOGRAPHIER",AK1225="NX – RT À REFAIRE"),OR('PROGRAMME RT'!$D$5="TOUTES",B1225='PROGRAMME RT'!$D$5)),1,0)</f>
        <v>0</v>
      </c>
      <c r="AN1225" s="78" t="str">
        <f aca="false">IF(AM1225=1,SUM(AM$7:AM1225),"")</f>
        <v/>
      </c>
      <c r="AO1225" s="78" t="n">
        <f aca="false">IF(AND(OR(AK1225="À RÉPARER",AK1225="COUPE – À RESOUDER",AK1225="VT REJETÉ – À REPRENDRE"),OR(RÉPARATIONS!$D$5="TOUTES",B1225=RÉPARATIONS!$D$5)),1,0)</f>
        <v>0</v>
      </c>
      <c r="AP1225" s="78" t="str">
        <f aca="false">IF(AO1225=1,SUM(AO$7:AO1225),"")</f>
        <v/>
      </c>
    </row>
    <row r="1226" customFormat="false" ht="15" hidden="false" customHeight="false" outlineLevel="0" collapsed="false">
      <c r="A1226" s="78" t="str">
        <f aca="false">IF(E1226="","",ROW()-6)</f>
        <v/>
      </c>
      <c r="B1226" s="79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0"/>
      <c r="P1226" s="81"/>
      <c r="Q1226" s="81"/>
      <c r="R1226" s="80"/>
      <c r="S1226" s="80"/>
      <c r="T1226" s="81"/>
      <c r="U1226" s="80"/>
      <c r="V1226" s="80"/>
      <c r="W1226" s="80"/>
      <c r="X1226" s="80"/>
      <c r="Y1226" s="81"/>
      <c r="Z1226" s="80"/>
      <c r="AA1226" s="80"/>
      <c r="AB1226" s="80"/>
      <c r="AC1226" s="80"/>
      <c r="AD1226" s="81"/>
      <c r="AE1226" s="80"/>
      <c r="AF1226" s="80"/>
      <c r="AG1226" s="81"/>
      <c r="AH1226" s="79"/>
      <c r="AI1226" s="78" t="str">
        <f aca="false">IF(E1226="","",(V1226&lt;&gt;"")+(AA1226&lt;&gt;"")+(AF1226&lt;&gt;""))</f>
        <v/>
      </c>
      <c r="AJ1226" s="82" t="str">
        <f aca="false">IF(AF1226&lt;&gt;"",AF1226,IF(AA1226&lt;&gt;"",AA1226,IF(V1226&lt;&gt;"",V1226,"")))</f>
        <v/>
      </c>
      <c r="AK1226" s="83" t="str">
        <f aca="false">IF(E1226="","",IF(P1226="","À SOUDER",IF(S1226="","VT EN ATTENTE",IF(S1226="R","VT REJETÉ – À REPRENDRE",IF(AJ1226="","À RADIOGRAPHIER",IF(AJ1226="A","ACCEPTÉ",IF(AJ1226="NX","NX – RT À REFAIRE",IF(IF(AI1226=1,X1226,IF(AI1226=2,AC1226,""))="A","RÉPARÉ – À RADIOGRAPHIER",IF(IF(AI1226=1,X1226,IF(AI1226=2,AC1226,""))="R","VT REJETÉ – À REPRENDRE",IF(AJ1226="CO","COUPE – À RESOUDER","À RÉPARER"))))))))))</f>
        <v/>
      </c>
      <c r="AL1226" s="82" t="str">
        <f aca="false">IF(AND(ISNUMBER(P1226),OR(AK1226="À RADIOGRAPHIER",AK1226="RÉPARÉ – À RADIOGRAPHIER",AK1226="NX – RT À REFAIRE",AK1226="À RÉPARER",AK1226="COUPE – À RESOUDER",AK1226="VT REJETÉ – À REPRENDRE")),MAX(0,'PROGRAMME RT'!$C$4-P1226),"")</f>
        <v/>
      </c>
      <c r="AM1226" s="78" t="n">
        <f aca="false">IF(AND(OR(AK1226="À RADIOGRAPHIER",AK1226="RÉPARÉ – À RADIOGRAPHIER",AK1226="NX – RT À REFAIRE"),OR('PROGRAMME RT'!$D$5="TOUTES",B1226='PROGRAMME RT'!$D$5)),1,0)</f>
        <v>0</v>
      </c>
      <c r="AN1226" s="78" t="str">
        <f aca="false">IF(AM1226=1,SUM(AM$7:AM1226),"")</f>
        <v/>
      </c>
      <c r="AO1226" s="78" t="n">
        <f aca="false">IF(AND(OR(AK1226="À RÉPARER",AK1226="COUPE – À RESOUDER",AK1226="VT REJETÉ – À REPRENDRE"),OR(RÉPARATIONS!$D$5="TOUTES",B1226=RÉPARATIONS!$D$5)),1,0)</f>
        <v>0</v>
      </c>
      <c r="AP1226" s="78" t="str">
        <f aca="false">IF(AO1226=1,SUM(AO$7:AO1226),"")</f>
        <v/>
      </c>
    </row>
    <row r="1227" customFormat="false" ht="15" hidden="false" customHeight="false" outlineLevel="0" collapsed="false">
      <c r="A1227" s="78" t="str">
        <f aca="false">IF(E1227="","",ROW()-6)</f>
        <v/>
      </c>
      <c r="B1227" s="79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0"/>
      <c r="P1227" s="81"/>
      <c r="Q1227" s="81"/>
      <c r="R1227" s="80"/>
      <c r="S1227" s="80"/>
      <c r="T1227" s="81"/>
      <c r="U1227" s="80"/>
      <c r="V1227" s="80"/>
      <c r="W1227" s="80"/>
      <c r="X1227" s="80"/>
      <c r="Y1227" s="81"/>
      <c r="Z1227" s="80"/>
      <c r="AA1227" s="80"/>
      <c r="AB1227" s="80"/>
      <c r="AC1227" s="80"/>
      <c r="AD1227" s="81"/>
      <c r="AE1227" s="80"/>
      <c r="AF1227" s="80"/>
      <c r="AG1227" s="81"/>
      <c r="AH1227" s="79"/>
      <c r="AI1227" s="78" t="str">
        <f aca="false">IF(E1227="","",(V1227&lt;&gt;"")+(AA1227&lt;&gt;"")+(AF1227&lt;&gt;""))</f>
        <v/>
      </c>
      <c r="AJ1227" s="82" t="str">
        <f aca="false">IF(AF1227&lt;&gt;"",AF1227,IF(AA1227&lt;&gt;"",AA1227,IF(V1227&lt;&gt;"",V1227,"")))</f>
        <v/>
      </c>
      <c r="AK1227" s="83" t="str">
        <f aca="false">IF(E1227="","",IF(P1227="","À SOUDER",IF(S1227="","VT EN ATTENTE",IF(S1227="R","VT REJETÉ – À REPRENDRE",IF(AJ1227="","À RADIOGRAPHIER",IF(AJ1227="A","ACCEPTÉ",IF(AJ1227="NX","NX – RT À REFAIRE",IF(IF(AI1227=1,X1227,IF(AI1227=2,AC1227,""))="A","RÉPARÉ – À RADIOGRAPHIER",IF(IF(AI1227=1,X1227,IF(AI1227=2,AC1227,""))="R","VT REJETÉ – À REPRENDRE",IF(AJ1227="CO","COUPE – À RESOUDER","À RÉPARER"))))))))))</f>
        <v/>
      </c>
      <c r="AL1227" s="82" t="str">
        <f aca="false">IF(AND(ISNUMBER(P1227),OR(AK1227="À RADIOGRAPHIER",AK1227="RÉPARÉ – À RADIOGRAPHIER",AK1227="NX – RT À REFAIRE",AK1227="À RÉPARER",AK1227="COUPE – À RESOUDER",AK1227="VT REJETÉ – À REPRENDRE")),MAX(0,'PROGRAMME RT'!$C$4-P1227),"")</f>
        <v/>
      </c>
      <c r="AM1227" s="78" t="n">
        <f aca="false">IF(AND(OR(AK1227="À RADIOGRAPHIER",AK1227="RÉPARÉ – À RADIOGRAPHIER",AK1227="NX – RT À REFAIRE"),OR('PROGRAMME RT'!$D$5="TOUTES",B1227='PROGRAMME RT'!$D$5)),1,0)</f>
        <v>0</v>
      </c>
      <c r="AN1227" s="78" t="str">
        <f aca="false">IF(AM1227=1,SUM(AM$7:AM1227),"")</f>
        <v/>
      </c>
      <c r="AO1227" s="78" t="n">
        <f aca="false">IF(AND(OR(AK1227="À RÉPARER",AK1227="COUPE – À RESOUDER",AK1227="VT REJETÉ – À REPRENDRE"),OR(RÉPARATIONS!$D$5="TOUTES",B1227=RÉPARATIONS!$D$5)),1,0)</f>
        <v>0</v>
      </c>
      <c r="AP1227" s="78" t="str">
        <f aca="false">IF(AO1227=1,SUM(AO$7:AO1227),"")</f>
        <v/>
      </c>
    </row>
    <row r="1228" customFormat="false" ht="15" hidden="false" customHeight="false" outlineLevel="0" collapsed="false">
      <c r="A1228" s="78" t="str">
        <f aca="false">IF(E1228="","",ROW()-6)</f>
        <v/>
      </c>
      <c r="B1228" s="79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0"/>
      <c r="P1228" s="81"/>
      <c r="Q1228" s="81"/>
      <c r="R1228" s="80"/>
      <c r="S1228" s="80"/>
      <c r="T1228" s="81"/>
      <c r="U1228" s="80"/>
      <c r="V1228" s="80"/>
      <c r="W1228" s="80"/>
      <c r="X1228" s="80"/>
      <c r="Y1228" s="81"/>
      <c r="Z1228" s="80"/>
      <c r="AA1228" s="80"/>
      <c r="AB1228" s="80"/>
      <c r="AC1228" s="80"/>
      <c r="AD1228" s="81"/>
      <c r="AE1228" s="80"/>
      <c r="AF1228" s="80"/>
      <c r="AG1228" s="81"/>
      <c r="AH1228" s="79"/>
      <c r="AI1228" s="78" t="str">
        <f aca="false">IF(E1228="","",(V1228&lt;&gt;"")+(AA1228&lt;&gt;"")+(AF1228&lt;&gt;""))</f>
        <v/>
      </c>
      <c r="AJ1228" s="82" t="str">
        <f aca="false">IF(AF1228&lt;&gt;"",AF1228,IF(AA1228&lt;&gt;"",AA1228,IF(V1228&lt;&gt;"",V1228,"")))</f>
        <v/>
      </c>
      <c r="AK1228" s="83" t="str">
        <f aca="false">IF(E1228="","",IF(P1228="","À SOUDER",IF(S1228="","VT EN ATTENTE",IF(S1228="R","VT REJETÉ – À REPRENDRE",IF(AJ1228="","À RADIOGRAPHIER",IF(AJ1228="A","ACCEPTÉ",IF(AJ1228="NX","NX – RT À REFAIRE",IF(IF(AI1228=1,X1228,IF(AI1228=2,AC1228,""))="A","RÉPARÉ – À RADIOGRAPHIER",IF(IF(AI1228=1,X1228,IF(AI1228=2,AC1228,""))="R","VT REJETÉ – À REPRENDRE",IF(AJ1228="CO","COUPE – À RESOUDER","À RÉPARER"))))))))))</f>
        <v/>
      </c>
      <c r="AL1228" s="82" t="str">
        <f aca="false">IF(AND(ISNUMBER(P1228),OR(AK1228="À RADIOGRAPHIER",AK1228="RÉPARÉ – À RADIOGRAPHIER",AK1228="NX – RT À REFAIRE",AK1228="À RÉPARER",AK1228="COUPE – À RESOUDER",AK1228="VT REJETÉ – À REPRENDRE")),MAX(0,'PROGRAMME RT'!$C$4-P1228),"")</f>
        <v/>
      </c>
      <c r="AM1228" s="78" t="n">
        <f aca="false">IF(AND(OR(AK1228="À RADIOGRAPHIER",AK1228="RÉPARÉ – À RADIOGRAPHIER",AK1228="NX – RT À REFAIRE"),OR('PROGRAMME RT'!$D$5="TOUTES",B1228='PROGRAMME RT'!$D$5)),1,0)</f>
        <v>0</v>
      </c>
      <c r="AN1228" s="78" t="str">
        <f aca="false">IF(AM1228=1,SUM(AM$7:AM1228),"")</f>
        <v/>
      </c>
      <c r="AO1228" s="78" t="n">
        <f aca="false">IF(AND(OR(AK1228="À RÉPARER",AK1228="COUPE – À RESOUDER",AK1228="VT REJETÉ – À REPRENDRE"),OR(RÉPARATIONS!$D$5="TOUTES",B1228=RÉPARATIONS!$D$5)),1,0)</f>
        <v>0</v>
      </c>
      <c r="AP1228" s="78" t="str">
        <f aca="false">IF(AO1228=1,SUM(AO$7:AO1228),"")</f>
        <v/>
      </c>
    </row>
    <row r="1229" customFormat="false" ht="15" hidden="false" customHeight="false" outlineLevel="0" collapsed="false">
      <c r="A1229" s="78" t="str">
        <f aca="false">IF(E1229="","",ROW()-6)</f>
        <v/>
      </c>
      <c r="B1229" s="79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0"/>
      <c r="P1229" s="81"/>
      <c r="Q1229" s="81"/>
      <c r="R1229" s="80"/>
      <c r="S1229" s="80"/>
      <c r="T1229" s="81"/>
      <c r="U1229" s="80"/>
      <c r="V1229" s="80"/>
      <c r="W1229" s="80"/>
      <c r="X1229" s="80"/>
      <c r="Y1229" s="81"/>
      <c r="Z1229" s="80"/>
      <c r="AA1229" s="80"/>
      <c r="AB1229" s="80"/>
      <c r="AC1229" s="80"/>
      <c r="AD1229" s="81"/>
      <c r="AE1229" s="80"/>
      <c r="AF1229" s="80"/>
      <c r="AG1229" s="81"/>
      <c r="AH1229" s="79"/>
      <c r="AI1229" s="78" t="str">
        <f aca="false">IF(E1229="","",(V1229&lt;&gt;"")+(AA1229&lt;&gt;"")+(AF1229&lt;&gt;""))</f>
        <v/>
      </c>
      <c r="AJ1229" s="82" t="str">
        <f aca="false">IF(AF1229&lt;&gt;"",AF1229,IF(AA1229&lt;&gt;"",AA1229,IF(V1229&lt;&gt;"",V1229,"")))</f>
        <v/>
      </c>
      <c r="AK1229" s="83" t="str">
        <f aca="false">IF(E1229="","",IF(P1229="","À SOUDER",IF(S1229="","VT EN ATTENTE",IF(S1229="R","VT REJETÉ – À REPRENDRE",IF(AJ1229="","À RADIOGRAPHIER",IF(AJ1229="A","ACCEPTÉ",IF(AJ1229="NX","NX – RT À REFAIRE",IF(IF(AI1229=1,X1229,IF(AI1229=2,AC1229,""))="A","RÉPARÉ – À RADIOGRAPHIER",IF(IF(AI1229=1,X1229,IF(AI1229=2,AC1229,""))="R","VT REJETÉ – À REPRENDRE",IF(AJ1229="CO","COUPE – À RESOUDER","À RÉPARER"))))))))))</f>
        <v/>
      </c>
      <c r="AL1229" s="82" t="str">
        <f aca="false">IF(AND(ISNUMBER(P1229),OR(AK1229="À RADIOGRAPHIER",AK1229="RÉPARÉ – À RADIOGRAPHIER",AK1229="NX – RT À REFAIRE",AK1229="À RÉPARER",AK1229="COUPE – À RESOUDER",AK1229="VT REJETÉ – À REPRENDRE")),MAX(0,'PROGRAMME RT'!$C$4-P1229),"")</f>
        <v/>
      </c>
      <c r="AM1229" s="78" t="n">
        <f aca="false">IF(AND(OR(AK1229="À RADIOGRAPHIER",AK1229="RÉPARÉ – À RADIOGRAPHIER",AK1229="NX – RT À REFAIRE"),OR('PROGRAMME RT'!$D$5="TOUTES",B1229='PROGRAMME RT'!$D$5)),1,0)</f>
        <v>0</v>
      </c>
      <c r="AN1229" s="78" t="str">
        <f aca="false">IF(AM1229=1,SUM(AM$7:AM1229),"")</f>
        <v/>
      </c>
      <c r="AO1229" s="78" t="n">
        <f aca="false">IF(AND(OR(AK1229="À RÉPARER",AK1229="COUPE – À RESOUDER",AK1229="VT REJETÉ – À REPRENDRE"),OR(RÉPARATIONS!$D$5="TOUTES",B1229=RÉPARATIONS!$D$5)),1,0)</f>
        <v>0</v>
      </c>
      <c r="AP1229" s="78" t="str">
        <f aca="false">IF(AO1229=1,SUM(AO$7:AO1229),"")</f>
        <v/>
      </c>
    </row>
    <row r="1230" customFormat="false" ht="15" hidden="false" customHeight="false" outlineLevel="0" collapsed="false">
      <c r="A1230" s="78" t="str">
        <f aca="false">IF(E1230="","",ROW()-6)</f>
        <v/>
      </c>
      <c r="B1230" s="79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0"/>
      <c r="P1230" s="81"/>
      <c r="Q1230" s="81"/>
      <c r="R1230" s="80"/>
      <c r="S1230" s="80"/>
      <c r="T1230" s="81"/>
      <c r="U1230" s="80"/>
      <c r="V1230" s="80"/>
      <c r="W1230" s="80"/>
      <c r="X1230" s="80"/>
      <c r="Y1230" s="81"/>
      <c r="Z1230" s="80"/>
      <c r="AA1230" s="80"/>
      <c r="AB1230" s="80"/>
      <c r="AC1230" s="80"/>
      <c r="AD1230" s="81"/>
      <c r="AE1230" s="80"/>
      <c r="AF1230" s="80"/>
      <c r="AG1230" s="81"/>
      <c r="AH1230" s="79"/>
      <c r="AI1230" s="78" t="str">
        <f aca="false">IF(E1230="","",(V1230&lt;&gt;"")+(AA1230&lt;&gt;"")+(AF1230&lt;&gt;""))</f>
        <v/>
      </c>
      <c r="AJ1230" s="82" t="str">
        <f aca="false">IF(AF1230&lt;&gt;"",AF1230,IF(AA1230&lt;&gt;"",AA1230,IF(V1230&lt;&gt;"",V1230,"")))</f>
        <v/>
      </c>
      <c r="AK1230" s="83" t="str">
        <f aca="false">IF(E1230="","",IF(P1230="","À SOUDER",IF(S1230="","VT EN ATTENTE",IF(S1230="R","VT REJETÉ – À REPRENDRE",IF(AJ1230="","À RADIOGRAPHIER",IF(AJ1230="A","ACCEPTÉ",IF(AJ1230="NX","NX – RT À REFAIRE",IF(IF(AI1230=1,X1230,IF(AI1230=2,AC1230,""))="A","RÉPARÉ – À RADIOGRAPHIER",IF(IF(AI1230=1,X1230,IF(AI1230=2,AC1230,""))="R","VT REJETÉ – À REPRENDRE",IF(AJ1230="CO","COUPE – À RESOUDER","À RÉPARER"))))))))))</f>
        <v/>
      </c>
      <c r="AL1230" s="82" t="str">
        <f aca="false">IF(AND(ISNUMBER(P1230),OR(AK1230="À RADIOGRAPHIER",AK1230="RÉPARÉ – À RADIOGRAPHIER",AK1230="NX – RT À REFAIRE",AK1230="À RÉPARER",AK1230="COUPE – À RESOUDER",AK1230="VT REJETÉ – À REPRENDRE")),MAX(0,'PROGRAMME RT'!$C$4-P1230),"")</f>
        <v/>
      </c>
      <c r="AM1230" s="78" t="n">
        <f aca="false">IF(AND(OR(AK1230="À RADIOGRAPHIER",AK1230="RÉPARÉ – À RADIOGRAPHIER",AK1230="NX – RT À REFAIRE"),OR('PROGRAMME RT'!$D$5="TOUTES",B1230='PROGRAMME RT'!$D$5)),1,0)</f>
        <v>0</v>
      </c>
      <c r="AN1230" s="78" t="str">
        <f aca="false">IF(AM1230=1,SUM(AM$7:AM1230),"")</f>
        <v/>
      </c>
      <c r="AO1230" s="78" t="n">
        <f aca="false">IF(AND(OR(AK1230="À RÉPARER",AK1230="COUPE – À RESOUDER",AK1230="VT REJETÉ – À REPRENDRE"),OR(RÉPARATIONS!$D$5="TOUTES",B1230=RÉPARATIONS!$D$5)),1,0)</f>
        <v>0</v>
      </c>
      <c r="AP1230" s="78" t="str">
        <f aca="false">IF(AO1230=1,SUM(AO$7:AO1230),"")</f>
        <v/>
      </c>
    </row>
    <row r="1231" customFormat="false" ht="15" hidden="false" customHeight="false" outlineLevel="0" collapsed="false">
      <c r="A1231" s="78" t="str">
        <f aca="false">IF(E1231="","",ROW()-6)</f>
        <v/>
      </c>
      <c r="B1231" s="79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0"/>
      <c r="P1231" s="81"/>
      <c r="Q1231" s="81"/>
      <c r="R1231" s="80"/>
      <c r="S1231" s="80"/>
      <c r="T1231" s="81"/>
      <c r="U1231" s="80"/>
      <c r="V1231" s="80"/>
      <c r="W1231" s="80"/>
      <c r="X1231" s="80"/>
      <c r="Y1231" s="81"/>
      <c r="Z1231" s="80"/>
      <c r="AA1231" s="80"/>
      <c r="AB1231" s="80"/>
      <c r="AC1231" s="80"/>
      <c r="AD1231" s="81"/>
      <c r="AE1231" s="80"/>
      <c r="AF1231" s="80"/>
      <c r="AG1231" s="81"/>
      <c r="AH1231" s="79"/>
      <c r="AI1231" s="78" t="str">
        <f aca="false">IF(E1231="","",(V1231&lt;&gt;"")+(AA1231&lt;&gt;"")+(AF1231&lt;&gt;""))</f>
        <v/>
      </c>
      <c r="AJ1231" s="82" t="str">
        <f aca="false">IF(AF1231&lt;&gt;"",AF1231,IF(AA1231&lt;&gt;"",AA1231,IF(V1231&lt;&gt;"",V1231,"")))</f>
        <v/>
      </c>
      <c r="AK1231" s="83" t="str">
        <f aca="false">IF(E1231="","",IF(P1231="","À SOUDER",IF(S1231="","VT EN ATTENTE",IF(S1231="R","VT REJETÉ – À REPRENDRE",IF(AJ1231="","À RADIOGRAPHIER",IF(AJ1231="A","ACCEPTÉ",IF(AJ1231="NX","NX – RT À REFAIRE",IF(IF(AI1231=1,X1231,IF(AI1231=2,AC1231,""))="A","RÉPARÉ – À RADIOGRAPHIER",IF(IF(AI1231=1,X1231,IF(AI1231=2,AC1231,""))="R","VT REJETÉ – À REPRENDRE",IF(AJ1231="CO","COUPE – À RESOUDER","À RÉPARER"))))))))))</f>
        <v/>
      </c>
      <c r="AL1231" s="82" t="str">
        <f aca="false">IF(AND(ISNUMBER(P1231),OR(AK1231="À RADIOGRAPHIER",AK1231="RÉPARÉ – À RADIOGRAPHIER",AK1231="NX – RT À REFAIRE",AK1231="À RÉPARER",AK1231="COUPE – À RESOUDER",AK1231="VT REJETÉ – À REPRENDRE")),MAX(0,'PROGRAMME RT'!$C$4-P1231),"")</f>
        <v/>
      </c>
      <c r="AM1231" s="78" t="n">
        <f aca="false">IF(AND(OR(AK1231="À RADIOGRAPHIER",AK1231="RÉPARÉ – À RADIOGRAPHIER",AK1231="NX – RT À REFAIRE"),OR('PROGRAMME RT'!$D$5="TOUTES",B1231='PROGRAMME RT'!$D$5)),1,0)</f>
        <v>0</v>
      </c>
      <c r="AN1231" s="78" t="str">
        <f aca="false">IF(AM1231=1,SUM(AM$7:AM1231),"")</f>
        <v/>
      </c>
      <c r="AO1231" s="78" t="n">
        <f aca="false">IF(AND(OR(AK1231="À RÉPARER",AK1231="COUPE – À RESOUDER",AK1231="VT REJETÉ – À REPRENDRE"),OR(RÉPARATIONS!$D$5="TOUTES",B1231=RÉPARATIONS!$D$5)),1,0)</f>
        <v>0</v>
      </c>
      <c r="AP1231" s="78" t="str">
        <f aca="false">IF(AO1231=1,SUM(AO$7:AO1231),"")</f>
        <v/>
      </c>
    </row>
    <row r="1232" customFormat="false" ht="15" hidden="false" customHeight="false" outlineLevel="0" collapsed="false">
      <c r="A1232" s="78" t="str">
        <f aca="false">IF(E1232="","",ROW()-6)</f>
        <v/>
      </c>
      <c r="B1232" s="79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0"/>
      <c r="P1232" s="81"/>
      <c r="Q1232" s="81"/>
      <c r="R1232" s="80"/>
      <c r="S1232" s="80"/>
      <c r="T1232" s="81"/>
      <c r="U1232" s="80"/>
      <c r="V1232" s="80"/>
      <c r="W1232" s="80"/>
      <c r="X1232" s="80"/>
      <c r="Y1232" s="81"/>
      <c r="Z1232" s="80"/>
      <c r="AA1232" s="80"/>
      <c r="AB1232" s="80"/>
      <c r="AC1232" s="80"/>
      <c r="AD1232" s="81"/>
      <c r="AE1232" s="80"/>
      <c r="AF1232" s="80"/>
      <c r="AG1232" s="81"/>
      <c r="AH1232" s="79"/>
      <c r="AI1232" s="78" t="str">
        <f aca="false">IF(E1232="","",(V1232&lt;&gt;"")+(AA1232&lt;&gt;"")+(AF1232&lt;&gt;""))</f>
        <v/>
      </c>
      <c r="AJ1232" s="82" t="str">
        <f aca="false">IF(AF1232&lt;&gt;"",AF1232,IF(AA1232&lt;&gt;"",AA1232,IF(V1232&lt;&gt;"",V1232,"")))</f>
        <v/>
      </c>
      <c r="AK1232" s="83" t="str">
        <f aca="false">IF(E1232="","",IF(P1232="","À SOUDER",IF(S1232="","VT EN ATTENTE",IF(S1232="R","VT REJETÉ – À REPRENDRE",IF(AJ1232="","À RADIOGRAPHIER",IF(AJ1232="A","ACCEPTÉ",IF(AJ1232="NX","NX – RT À REFAIRE",IF(IF(AI1232=1,X1232,IF(AI1232=2,AC1232,""))="A","RÉPARÉ – À RADIOGRAPHIER",IF(IF(AI1232=1,X1232,IF(AI1232=2,AC1232,""))="R","VT REJETÉ – À REPRENDRE",IF(AJ1232="CO","COUPE – À RESOUDER","À RÉPARER"))))))))))</f>
        <v/>
      </c>
      <c r="AL1232" s="82" t="str">
        <f aca="false">IF(AND(ISNUMBER(P1232),OR(AK1232="À RADIOGRAPHIER",AK1232="RÉPARÉ – À RADIOGRAPHIER",AK1232="NX – RT À REFAIRE",AK1232="À RÉPARER",AK1232="COUPE – À RESOUDER",AK1232="VT REJETÉ – À REPRENDRE")),MAX(0,'PROGRAMME RT'!$C$4-P1232),"")</f>
        <v/>
      </c>
      <c r="AM1232" s="78" t="n">
        <f aca="false">IF(AND(OR(AK1232="À RADIOGRAPHIER",AK1232="RÉPARÉ – À RADIOGRAPHIER",AK1232="NX – RT À REFAIRE"),OR('PROGRAMME RT'!$D$5="TOUTES",B1232='PROGRAMME RT'!$D$5)),1,0)</f>
        <v>0</v>
      </c>
      <c r="AN1232" s="78" t="str">
        <f aca="false">IF(AM1232=1,SUM(AM$7:AM1232),"")</f>
        <v/>
      </c>
      <c r="AO1232" s="78" t="n">
        <f aca="false">IF(AND(OR(AK1232="À RÉPARER",AK1232="COUPE – À RESOUDER",AK1232="VT REJETÉ – À REPRENDRE"),OR(RÉPARATIONS!$D$5="TOUTES",B1232=RÉPARATIONS!$D$5)),1,0)</f>
        <v>0</v>
      </c>
      <c r="AP1232" s="78" t="str">
        <f aca="false">IF(AO1232=1,SUM(AO$7:AO1232),"")</f>
        <v/>
      </c>
    </row>
    <row r="1233" customFormat="false" ht="15" hidden="false" customHeight="false" outlineLevel="0" collapsed="false">
      <c r="A1233" s="78" t="str">
        <f aca="false">IF(E1233="","",ROW()-6)</f>
        <v/>
      </c>
      <c r="B1233" s="79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0"/>
      <c r="P1233" s="81"/>
      <c r="Q1233" s="81"/>
      <c r="R1233" s="80"/>
      <c r="S1233" s="80"/>
      <c r="T1233" s="81"/>
      <c r="U1233" s="80"/>
      <c r="V1233" s="80"/>
      <c r="W1233" s="80"/>
      <c r="X1233" s="80"/>
      <c r="Y1233" s="81"/>
      <c r="Z1233" s="80"/>
      <c r="AA1233" s="80"/>
      <c r="AB1233" s="80"/>
      <c r="AC1233" s="80"/>
      <c r="AD1233" s="81"/>
      <c r="AE1233" s="80"/>
      <c r="AF1233" s="80"/>
      <c r="AG1233" s="81"/>
      <c r="AH1233" s="79"/>
      <c r="AI1233" s="78" t="str">
        <f aca="false">IF(E1233="","",(V1233&lt;&gt;"")+(AA1233&lt;&gt;"")+(AF1233&lt;&gt;""))</f>
        <v/>
      </c>
      <c r="AJ1233" s="82" t="str">
        <f aca="false">IF(AF1233&lt;&gt;"",AF1233,IF(AA1233&lt;&gt;"",AA1233,IF(V1233&lt;&gt;"",V1233,"")))</f>
        <v/>
      </c>
      <c r="AK1233" s="83" t="str">
        <f aca="false">IF(E1233="","",IF(P1233="","À SOUDER",IF(S1233="","VT EN ATTENTE",IF(S1233="R","VT REJETÉ – À REPRENDRE",IF(AJ1233="","À RADIOGRAPHIER",IF(AJ1233="A","ACCEPTÉ",IF(AJ1233="NX","NX – RT À REFAIRE",IF(IF(AI1233=1,X1233,IF(AI1233=2,AC1233,""))="A","RÉPARÉ – À RADIOGRAPHIER",IF(IF(AI1233=1,X1233,IF(AI1233=2,AC1233,""))="R","VT REJETÉ – À REPRENDRE",IF(AJ1233="CO","COUPE – À RESOUDER","À RÉPARER"))))))))))</f>
        <v/>
      </c>
      <c r="AL1233" s="82" t="str">
        <f aca="false">IF(AND(ISNUMBER(P1233),OR(AK1233="À RADIOGRAPHIER",AK1233="RÉPARÉ – À RADIOGRAPHIER",AK1233="NX – RT À REFAIRE",AK1233="À RÉPARER",AK1233="COUPE – À RESOUDER",AK1233="VT REJETÉ – À REPRENDRE")),MAX(0,'PROGRAMME RT'!$C$4-P1233),"")</f>
        <v/>
      </c>
      <c r="AM1233" s="78" t="n">
        <f aca="false">IF(AND(OR(AK1233="À RADIOGRAPHIER",AK1233="RÉPARÉ – À RADIOGRAPHIER",AK1233="NX – RT À REFAIRE"),OR('PROGRAMME RT'!$D$5="TOUTES",B1233='PROGRAMME RT'!$D$5)),1,0)</f>
        <v>0</v>
      </c>
      <c r="AN1233" s="78" t="str">
        <f aca="false">IF(AM1233=1,SUM(AM$7:AM1233),"")</f>
        <v/>
      </c>
      <c r="AO1233" s="78" t="n">
        <f aca="false">IF(AND(OR(AK1233="À RÉPARER",AK1233="COUPE – À RESOUDER",AK1233="VT REJETÉ – À REPRENDRE"),OR(RÉPARATIONS!$D$5="TOUTES",B1233=RÉPARATIONS!$D$5)),1,0)</f>
        <v>0</v>
      </c>
      <c r="AP1233" s="78" t="str">
        <f aca="false">IF(AO1233=1,SUM(AO$7:AO1233),"")</f>
        <v/>
      </c>
    </row>
    <row r="1234" customFormat="false" ht="15" hidden="false" customHeight="false" outlineLevel="0" collapsed="false">
      <c r="A1234" s="78" t="str">
        <f aca="false">IF(E1234="","",ROW()-6)</f>
        <v/>
      </c>
      <c r="B1234" s="79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0"/>
      <c r="P1234" s="81"/>
      <c r="Q1234" s="81"/>
      <c r="R1234" s="80"/>
      <c r="S1234" s="80"/>
      <c r="T1234" s="81"/>
      <c r="U1234" s="80"/>
      <c r="V1234" s="80"/>
      <c r="W1234" s="80"/>
      <c r="X1234" s="80"/>
      <c r="Y1234" s="81"/>
      <c r="Z1234" s="80"/>
      <c r="AA1234" s="80"/>
      <c r="AB1234" s="80"/>
      <c r="AC1234" s="80"/>
      <c r="AD1234" s="81"/>
      <c r="AE1234" s="80"/>
      <c r="AF1234" s="80"/>
      <c r="AG1234" s="81"/>
      <c r="AH1234" s="79"/>
      <c r="AI1234" s="78" t="str">
        <f aca="false">IF(E1234="","",(V1234&lt;&gt;"")+(AA1234&lt;&gt;"")+(AF1234&lt;&gt;""))</f>
        <v/>
      </c>
      <c r="AJ1234" s="82" t="str">
        <f aca="false">IF(AF1234&lt;&gt;"",AF1234,IF(AA1234&lt;&gt;"",AA1234,IF(V1234&lt;&gt;"",V1234,"")))</f>
        <v/>
      </c>
      <c r="AK1234" s="83" t="str">
        <f aca="false">IF(E1234="","",IF(P1234="","À SOUDER",IF(S1234="","VT EN ATTENTE",IF(S1234="R","VT REJETÉ – À REPRENDRE",IF(AJ1234="","À RADIOGRAPHIER",IF(AJ1234="A","ACCEPTÉ",IF(AJ1234="NX","NX – RT À REFAIRE",IF(IF(AI1234=1,X1234,IF(AI1234=2,AC1234,""))="A","RÉPARÉ – À RADIOGRAPHIER",IF(IF(AI1234=1,X1234,IF(AI1234=2,AC1234,""))="R","VT REJETÉ – À REPRENDRE",IF(AJ1234="CO","COUPE – À RESOUDER","À RÉPARER"))))))))))</f>
        <v/>
      </c>
      <c r="AL1234" s="82" t="str">
        <f aca="false">IF(AND(ISNUMBER(P1234),OR(AK1234="À RADIOGRAPHIER",AK1234="RÉPARÉ – À RADIOGRAPHIER",AK1234="NX – RT À REFAIRE",AK1234="À RÉPARER",AK1234="COUPE – À RESOUDER",AK1234="VT REJETÉ – À REPRENDRE")),MAX(0,'PROGRAMME RT'!$C$4-P1234),"")</f>
        <v/>
      </c>
      <c r="AM1234" s="78" t="n">
        <f aca="false">IF(AND(OR(AK1234="À RADIOGRAPHIER",AK1234="RÉPARÉ – À RADIOGRAPHIER",AK1234="NX – RT À REFAIRE"),OR('PROGRAMME RT'!$D$5="TOUTES",B1234='PROGRAMME RT'!$D$5)),1,0)</f>
        <v>0</v>
      </c>
      <c r="AN1234" s="78" t="str">
        <f aca="false">IF(AM1234=1,SUM(AM$7:AM1234),"")</f>
        <v/>
      </c>
      <c r="AO1234" s="78" t="n">
        <f aca="false">IF(AND(OR(AK1234="À RÉPARER",AK1234="COUPE – À RESOUDER",AK1234="VT REJETÉ – À REPRENDRE"),OR(RÉPARATIONS!$D$5="TOUTES",B1234=RÉPARATIONS!$D$5)),1,0)</f>
        <v>0</v>
      </c>
      <c r="AP1234" s="78" t="str">
        <f aca="false">IF(AO1234=1,SUM(AO$7:AO1234),"")</f>
        <v/>
      </c>
    </row>
    <row r="1235" customFormat="false" ht="15" hidden="false" customHeight="false" outlineLevel="0" collapsed="false">
      <c r="A1235" s="78" t="str">
        <f aca="false">IF(E1235="","",ROW()-6)</f>
        <v/>
      </c>
      <c r="B1235" s="79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0"/>
      <c r="P1235" s="81"/>
      <c r="Q1235" s="81"/>
      <c r="R1235" s="80"/>
      <c r="S1235" s="80"/>
      <c r="T1235" s="81"/>
      <c r="U1235" s="80"/>
      <c r="V1235" s="80"/>
      <c r="W1235" s="80"/>
      <c r="X1235" s="80"/>
      <c r="Y1235" s="81"/>
      <c r="Z1235" s="80"/>
      <c r="AA1235" s="80"/>
      <c r="AB1235" s="80"/>
      <c r="AC1235" s="80"/>
      <c r="AD1235" s="81"/>
      <c r="AE1235" s="80"/>
      <c r="AF1235" s="80"/>
      <c r="AG1235" s="81"/>
      <c r="AH1235" s="79"/>
      <c r="AI1235" s="78" t="str">
        <f aca="false">IF(E1235="","",(V1235&lt;&gt;"")+(AA1235&lt;&gt;"")+(AF1235&lt;&gt;""))</f>
        <v/>
      </c>
      <c r="AJ1235" s="82" t="str">
        <f aca="false">IF(AF1235&lt;&gt;"",AF1235,IF(AA1235&lt;&gt;"",AA1235,IF(V1235&lt;&gt;"",V1235,"")))</f>
        <v/>
      </c>
      <c r="AK1235" s="83" t="str">
        <f aca="false">IF(E1235="","",IF(P1235="","À SOUDER",IF(S1235="","VT EN ATTENTE",IF(S1235="R","VT REJETÉ – À REPRENDRE",IF(AJ1235="","À RADIOGRAPHIER",IF(AJ1235="A","ACCEPTÉ",IF(AJ1235="NX","NX – RT À REFAIRE",IF(IF(AI1235=1,X1235,IF(AI1235=2,AC1235,""))="A","RÉPARÉ – À RADIOGRAPHIER",IF(IF(AI1235=1,X1235,IF(AI1235=2,AC1235,""))="R","VT REJETÉ – À REPRENDRE",IF(AJ1235="CO","COUPE – À RESOUDER","À RÉPARER"))))))))))</f>
        <v/>
      </c>
      <c r="AL1235" s="82" t="str">
        <f aca="false">IF(AND(ISNUMBER(P1235),OR(AK1235="À RADIOGRAPHIER",AK1235="RÉPARÉ – À RADIOGRAPHIER",AK1235="NX – RT À REFAIRE",AK1235="À RÉPARER",AK1235="COUPE – À RESOUDER",AK1235="VT REJETÉ – À REPRENDRE")),MAX(0,'PROGRAMME RT'!$C$4-P1235),"")</f>
        <v/>
      </c>
      <c r="AM1235" s="78" t="n">
        <f aca="false">IF(AND(OR(AK1235="À RADIOGRAPHIER",AK1235="RÉPARÉ – À RADIOGRAPHIER",AK1235="NX – RT À REFAIRE"),OR('PROGRAMME RT'!$D$5="TOUTES",B1235='PROGRAMME RT'!$D$5)),1,0)</f>
        <v>0</v>
      </c>
      <c r="AN1235" s="78" t="str">
        <f aca="false">IF(AM1235=1,SUM(AM$7:AM1235),"")</f>
        <v/>
      </c>
      <c r="AO1235" s="78" t="n">
        <f aca="false">IF(AND(OR(AK1235="À RÉPARER",AK1235="COUPE – À RESOUDER",AK1235="VT REJETÉ – À REPRENDRE"),OR(RÉPARATIONS!$D$5="TOUTES",B1235=RÉPARATIONS!$D$5)),1,0)</f>
        <v>0</v>
      </c>
      <c r="AP1235" s="78" t="str">
        <f aca="false">IF(AO1235=1,SUM(AO$7:AO1235),"")</f>
        <v/>
      </c>
    </row>
    <row r="1236" customFormat="false" ht="15" hidden="false" customHeight="false" outlineLevel="0" collapsed="false">
      <c r="A1236" s="78" t="str">
        <f aca="false">IF(E1236="","",ROW()-6)</f>
        <v/>
      </c>
      <c r="B1236" s="79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0"/>
      <c r="P1236" s="81"/>
      <c r="Q1236" s="81"/>
      <c r="R1236" s="80"/>
      <c r="S1236" s="80"/>
      <c r="T1236" s="81"/>
      <c r="U1236" s="80"/>
      <c r="V1236" s="80"/>
      <c r="W1236" s="80"/>
      <c r="X1236" s="80"/>
      <c r="Y1236" s="81"/>
      <c r="Z1236" s="80"/>
      <c r="AA1236" s="80"/>
      <c r="AB1236" s="80"/>
      <c r="AC1236" s="80"/>
      <c r="AD1236" s="81"/>
      <c r="AE1236" s="80"/>
      <c r="AF1236" s="80"/>
      <c r="AG1236" s="81"/>
      <c r="AH1236" s="79"/>
      <c r="AI1236" s="78" t="str">
        <f aca="false">IF(E1236="","",(V1236&lt;&gt;"")+(AA1236&lt;&gt;"")+(AF1236&lt;&gt;""))</f>
        <v/>
      </c>
      <c r="AJ1236" s="82" t="str">
        <f aca="false">IF(AF1236&lt;&gt;"",AF1236,IF(AA1236&lt;&gt;"",AA1236,IF(V1236&lt;&gt;"",V1236,"")))</f>
        <v/>
      </c>
      <c r="AK1236" s="83" t="str">
        <f aca="false">IF(E1236="","",IF(P1236="","À SOUDER",IF(S1236="","VT EN ATTENTE",IF(S1236="R","VT REJETÉ – À REPRENDRE",IF(AJ1236="","À RADIOGRAPHIER",IF(AJ1236="A","ACCEPTÉ",IF(AJ1236="NX","NX – RT À REFAIRE",IF(IF(AI1236=1,X1236,IF(AI1236=2,AC1236,""))="A","RÉPARÉ – À RADIOGRAPHIER",IF(IF(AI1236=1,X1236,IF(AI1236=2,AC1236,""))="R","VT REJETÉ – À REPRENDRE",IF(AJ1236="CO","COUPE – À RESOUDER","À RÉPARER"))))))))))</f>
        <v/>
      </c>
      <c r="AL1236" s="82" t="str">
        <f aca="false">IF(AND(ISNUMBER(P1236),OR(AK1236="À RADIOGRAPHIER",AK1236="RÉPARÉ – À RADIOGRAPHIER",AK1236="NX – RT À REFAIRE",AK1236="À RÉPARER",AK1236="COUPE – À RESOUDER",AK1236="VT REJETÉ – À REPRENDRE")),MAX(0,'PROGRAMME RT'!$C$4-P1236),"")</f>
        <v/>
      </c>
      <c r="AM1236" s="78" t="n">
        <f aca="false">IF(AND(OR(AK1236="À RADIOGRAPHIER",AK1236="RÉPARÉ – À RADIOGRAPHIER",AK1236="NX – RT À REFAIRE"),OR('PROGRAMME RT'!$D$5="TOUTES",B1236='PROGRAMME RT'!$D$5)),1,0)</f>
        <v>0</v>
      </c>
      <c r="AN1236" s="78" t="str">
        <f aca="false">IF(AM1236=1,SUM(AM$7:AM1236),"")</f>
        <v/>
      </c>
      <c r="AO1236" s="78" t="n">
        <f aca="false">IF(AND(OR(AK1236="À RÉPARER",AK1236="COUPE – À RESOUDER",AK1236="VT REJETÉ – À REPRENDRE"),OR(RÉPARATIONS!$D$5="TOUTES",B1236=RÉPARATIONS!$D$5)),1,0)</f>
        <v>0</v>
      </c>
      <c r="AP1236" s="78" t="str">
        <f aca="false">IF(AO1236=1,SUM(AO$7:AO1236),"")</f>
        <v/>
      </c>
    </row>
    <row r="1237" customFormat="false" ht="15" hidden="false" customHeight="false" outlineLevel="0" collapsed="false">
      <c r="A1237" s="78" t="str">
        <f aca="false">IF(E1237="","",ROW()-6)</f>
        <v/>
      </c>
      <c r="B1237" s="79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0"/>
      <c r="P1237" s="81"/>
      <c r="Q1237" s="81"/>
      <c r="R1237" s="80"/>
      <c r="S1237" s="80"/>
      <c r="T1237" s="81"/>
      <c r="U1237" s="80"/>
      <c r="V1237" s="80"/>
      <c r="W1237" s="80"/>
      <c r="X1237" s="80"/>
      <c r="Y1237" s="81"/>
      <c r="Z1237" s="80"/>
      <c r="AA1237" s="80"/>
      <c r="AB1237" s="80"/>
      <c r="AC1237" s="80"/>
      <c r="AD1237" s="81"/>
      <c r="AE1237" s="80"/>
      <c r="AF1237" s="80"/>
      <c r="AG1237" s="81"/>
      <c r="AH1237" s="79"/>
      <c r="AI1237" s="78" t="str">
        <f aca="false">IF(E1237="","",(V1237&lt;&gt;"")+(AA1237&lt;&gt;"")+(AF1237&lt;&gt;""))</f>
        <v/>
      </c>
      <c r="AJ1237" s="82" t="str">
        <f aca="false">IF(AF1237&lt;&gt;"",AF1237,IF(AA1237&lt;&gt;"",AA1237,IF(V1237&lt;&gt;"",V1237,"")))</f>
        <v/>
      </c>
      <c r="AK1237" s="83" t="str">
        <f aca="false">IF(E1237="","",IF(P1237="","À SOUDER",IF(S1237="","VT EN ATTENTE",IF(S1237="R","VT REJETÉ – À REPRENDRE",IF(AJ1237="","À RADIOGRAPHIER",IF(AJ1237="A","ACCEPTÉ",IF(AJ1237="NX","NX – RT À REFAIRE",IF(IF(AI1237=1,X1237,IF(AI1237=2,AC1237,""))="A","RÉPARÉ – À RADIOGRAPHIER",IF(IF(AI1237=1,X1237,IF(AI1237=2,AC1237,""))="R","VT REJETÉ – À REPRENDRE",IF(AJ1237="CO","COUPE – À RESOUDER","À RÉPARER"))))))))))</f>
        <v/>
      </c>
      <c r="AL1237" s="82" t="str">
        <f aca="false">IF(AND(ISNUMBER(P1237),OR(AK1237="À RADIOGRAPHIER",AK1237="RÉPARÉ – À RADIOGRAPHIER",AK1237="NX – RT À REFAIRE",AK1237="À RÉPARER",AK1237="COUPE – À RESOUDER",AK1237="VT REJETÉ – À REPRENDRE")),MAX(0,'PROGRAMME RT'!$C$4-P1237),"")</f>
        <v/>
      </c>
      <c r="AM1237" s="78" t="n">
        <f aca="false">IF(AND(OR(AK1237="À RADIOGRAPHIER",AK1237="RÉPARÉ – À RADIOGRAPHIER",AK1237="NX – RT À REFAIRE"),OR('PROGRAMME RT'!$D$5="TOUTES",B1237='PROGRAMME RT'!$D$5)),1,0)</f>
        <v>0</v>
      </c>
      <c r="AN1237" s="78" t="str">
        <f aca="false">IF(AM1237=1,SUM(AM$7:AM1237),"")</f>
        <v/>
      </c>
      <c r="AO1237" s="78" t="n">
        <f aca="false">IF(AND(OR(AK1237="À RÉPARER",AK1237="COUPE – À RESOUDER",AK1237="VT REJETÉ – À REPRENDRE"),OR(RÉPARATIONS!$D$5="TOUTES",B1237=RÉPARATIONS!$D$5)),1,0)</f>
        <v>0</v>
      </c>
      <c r="AP1237" s="78" t="str">
        <f aca="false">IF(AO1237=1,SUM(AO$7:AO1237),"")</f>
        <v/>
      </c>
    </row>
    <row r="1238" customFormat="false" ht="15" hidden="false" customHeight="false" outlineLevel="0" collapsed="false">
      <c r="A1238" s="78" t="str">
        <f aca="false">IF(E1238="","",ROW()-6)</f>
        <v/>
      </c>
      <c r="B1238" s="79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0"/>
      <c r="P1238" s="81"/>
      <c r="Q1238" s="81"/>
      <c r="R1238" s="80"/>
      <c r="S1238" s="80"/>
      <c r="T1238" s="81"/>
      <c r="U1238" s="80"/>
      <c r="V1238" s="80"/>
      <c r="W1238" s="80"/>
      <c r="X1238" s="80"/>
      <c r="Y1238" s="81"/>
      <c r="Z1238" s="80"/>
      <c r="AA1238" s="80"/>
      <c r="AB1238" s="80"/>
      <c r="AC1238" s="80"/>
      <c r="AD1238" s="81"/>
      <c r="AE1238" s="80"/>
      <c r="AF1238" s="80"/>
      <c r="AG1238" s="81"/>
      <c r="AH1238" s="79"/>
      <c r="AI1238" s="78" t="str">
        <f aca="false">IF(E1238="","",(V1238&lt;&gt;"")+(AA1238&lt;&gt;"")+(AF1238&lt;&gt;""))</f>
        <v/>
      </c>
      <c r="AJ1238" s="82" t="str">
        <f aca="false">IF(AF1238&lt;&gt;"",AF1238,IF(AA1238&lt;&gt;"",AA1238,IF(V1238&lt;&gt;"",V1238,"")))</f>
        <v/>
      </c>
      <c r="AK1238" s="83" t="str">
        <f aca="false">IF(E1238="","",IF(P1238="","À SOUDER",IF(S1238="","VT EN ATTENTE",IF(S1238="R","VT REJETÉ – À REPRENDRE",IF(AJ1238="","À RADIOGRAPHIER",IF(AJ1238="A","ACCEPTÉ",IF(AJ1238="NX","NX – RT À REFAIRE",IF(IF(AI1238=1,X1238,IF(AI1238=2,AC1238,""))="A","RÉPARÉ – À RADIOGRAPHIER",IF(IF(AI1238=1,X1238,IF(AI1238=2,AC1238,""))="R","VT REJETÉ – À REPRENDRE",IF(AJ1238="CO","COUPE – À RESOUDER","À RÉPARER"))))))))))</f>
        <v/>
      </c>
      <c r="AL1238" s="82" t="str">
        <f aca="false">IF(AND(ISNUMBER(P1238),OR(AK1238="À RADIOGRAPHIER",AK1238="RÉPARÉ – À RADIOGRAPHIER",AK1238="NX – RT À REFAIRE",AK1238="À RÉPARER",AK1238="COUPE – À RESOUDER",AK1238="VT REJETÉ – À REPRENDRE")),MAX(0,'PROGRAMME RT'!$C$4-P1238),"")</f>
        <v/>
      </c>
      <c r="AM1238" s="78" t="n">
        <f aca="false">IF(AND(OR(AK1238="À RADIOGRAPHIER",AK1238="RÉPARÉ – À RADIOGRAPHIER",AK1238="NX – RT À REFAIRE"),OR('PROGRAMME RT'!$D$5="TOUTES",B1238='PROGRAMME RT'!$D$5)),1,0)</f>
        <v>0</v>
      </c>
      <c r="AN1238" s="78" t="str">
        <f aca="false">IF(AM1238=1,SUM(AM$7:AM1238),"")</f>
        <v/>
      </c>
      <c r="AO1238" s="78" t="n">
        <f aca="false">IF(AND(OR(AK1238="À RÉPARER",AK1238="COUPE – À RESOUDER",AK1238="VT REJETÉ – À REPRENDRE"),OR(RÉPARATIONS!$D$5="TOUTES",B1238=RÉPARATIONS!$D$5)),1,0)</f>
        <v>0</v>
      </c>
      <c r="AP1238" s="78" t="str">
        <f aca="false">IF(AO1238=1,SUM(AO$7:AO1238),"")</f>
        <v/>
      </c>
    </row>
    <row r="1239" customFormat="false" ht="15" hidden="false" customHeight="false" outlineLevel="0" collapsed="false">
      <c r="A1239" s="78" t="str">
        <f aca="false">IF(E1239="","",ROW()-6)</f>
        <v/>
      </c>
      <c r="B1239" s="79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0"/>
      <c r="P1239" s="81"/>
      <c r="Q1239" s="81"/>
      <c r="R1239" s="80"/>
      <c r="S1239" s="80"/>
      <c r="T1239" s="81"/>
      <c r="U1239" s="80"/>
      <c r="V1239" s="80"/>
      <c r="W1239" s="80"/>
      <c r="X1239" s="80"/>
      <c r="Y1239" s="81"/>
      <c r="Z1239" s="80"/>
      <c r="AA1239" s="80"/>
      <c r="AB1239" s="80"/>
      <c r="AC1239" s="80"/>
      <c r="AD1239" s="81"/>
      <c r="AE1239" s="80"/>
      <c r="AF1239" s="80"/>
      <c r="AG1239" s="81"/>
      <c r="AH1239" s="79"/>
      <c r="AI1239" s="78" t="str">
        <f aca="false">IF(E1239="","",(V1239&lt;&gt;"")+(AA1239&lt;&gt;"")+(AF1239&lt;&gt;""))</f>
        <v/>
      </c>
      <c r="AJ1239" s="82" t="str">
        <f aca="false">IF(AF1239&lt;&gt;"",AF1239,IF(AA1239&lt;&gt;"",AA1239,IF(V1239&lt;&gt;"",V1239,"")))</f>
        <v/>
      </c>
      <c r="AK1239" s="83" t="str">
        <f aca="false">IF(E1239="","",IF(P1239="","À SOUDER",IF(S1239="","VT EN ATTENTE",IF(S1239="R","VT REJETÉ – À REPRENDRE",IF(AJ1239="","À RADIOGRAPHIER",IF(AJ1239="A","ACCEPTÉ",IF(AJ1239="NX","NX – RT À REFAIRE",IF(IF(AI1239=1,X1239,IF(AI1239=2,AC1239,""))="A","RÉPARÉ – À RADIOGRAPHIER",IF(IF(AI1239=1,X1239,IF(AI1239=2,AC1239,""))="R","VT REJETÉ – À REPRENDRE",IF(AJ1239="CO","COUPE – À RESOUDER","À RÉPARER"))))))))))</f>
        <v/>
      </c>
      <c r="AL1239" s="82" t="str">
        <f aca="false">IF(AND(ISNUMBER(P1239),OR(AK1239="À RADIOGRAPHIER",AK1239="RÉPARÉ – À RADIOGRAPHIER",AK1239="NX – RT À REFAIRE",AK1239="À RÉPARER",AK1239="COUPE – À RESOUDER",AK1239="VT REJETÉ – À REPRENDRE")),MAX(0,'PROGRAMME RT'!$C$4-P1239),"")</f>
        <v/>
      </c>
      <c r="AM1239" s="78" t="n">
        <f aca="false">IF(AND(OR(AK1239="À RADIOGRAPHIER",AK1239="RÉPARÉ – À RADIOGRAPHIER",AK1239="NX – RT À REFAIRE"),OR('PROGRAMME RT'!$D$5="TOUTES",B1239='PROGRAMME RT'!$D$5)),1,0)</f>
        <v>0</v>
      </c>
      <c r="AN1239" s="78" t="str">
        <f aca="false">IF(AM1239=1,SUM(AM$7:AM1239),"")</f>
        <v/>
      </c>
      <c r="AO1239" s="78" t="n">
        <f aca="false">IF(AND(OR(AK1239="À RÉPARER",AK1239="COUPE – À RESOUDER",AK1239="VT REJETÉ – À REPRENDRE"),OR(RÉPARATIONS!$D$5="TOUTES",B1239=RÉPARATIONS!$D$5)),1,0)</f>
        <v>0</v>
      </c>
      <c r="AP1239" s="78" t="str">
        <f aca="false">IF(AO1239=1,SUM(AO$7:AO1239),"")</f>
        <v/>
      </c>
    </row>
    <row r="1240" customFormat="false" ht="15" hidden="false" customHeight="false" outlineLevel="0" collapsed="false">
      <c r="A1240" s="78" t="str">
        <f aca="false">IF(E1240="","",ROW()-6)</f>
        <v/>
      </c>
      <c r="B1240" s="79"/>
      <c r="C1240" s="80"/>
      <c r="D1240" s="80"/>
      <c r="E1240" s="80"/>
      <c r="F1240" s="80"/>
      <c r="G1240" s="80"/>
      <c r="H1240" s="80"/>
      <c r="I1240" s="80"/>
      <c r="J1240" s="80"/>
      <c r="K1240" s="80"/>
      <c r="L1240" s="80"/>
      <c r="M1240" s="80"/>
      <c r="N1240" s="80"/>
      <c r="O1240" s="80"/>
      <c r="P1240" s="81"/>
      <c r="Q1240" s="81"/>
      <c r="R1240" s="80"/>
      <c r="S1240" s="80"/>
      <c r="T1240" s="81"/>
      <c r="U1240" s="80"/>
      <c r="V1240" s="80"/>
      <c r="W1240" s="80"/>
      <c r="X1240" s="80"/>
      <c r="Y1240" s="81"/>
      <c r="Z1240" s="80"/>
      <c r="AA1240" s="80"/>
      <c r="AB1240" s="80"/>
      <c r="AC1240" s="80"/>
      <c r="AD1240" s="81"/>
      <c r="AE1240" s="80"/>
      <c r="AF1240" s="80"/>
      <c r="AG1240" s="81"/>
      <c r="AH1240" s="79"/>
      <c r="AI1240" s="78" t="str">
        <f aca="false">IF(E1240="","",(V1240&lt;&gt;"")+(AA1240&lt;&gt;"")+(AF1240&lt;&gt;""))</f>
        <v/>
      </c>
      <c r="AJ1240" s="82" t="str">
        <f aca="false">IF(AF1240&lt;&gt;"",AF1240,IF(AA1240&lt;&gt;"",AA1240,IF(V1240&lt;&gt;"",V1240,"")))</f>
        <v/>
      </c>
      <c r="AK1240" s="83" t="str">
        <f aca="false">IF(E1240="","",IF(P1240="","À SOUDER",IF(S1240="","VT EN ATTENTE",IF(S1240="R","VT REJETÉ – À REPRENDRE",IF(AJ1240="","À RADIOGRAPHIER",IF(AJ1240="A","ACCEPTÉ",IF(AJ1240="NX","NX – RT À REFAIRE",IF(IF(AI1240=1,X1240,IF(AI1240=2,AC1240,""))="A","RÉPARÉ – À RADIOGRAPHIER",IF(IF(AI1240=1,X1240,IF(AI1240=2,AC1240,""))="R","VT REJETÉ – À REPRENDRE",IF(AJ1240="CO","COUPE – À RESOUDER","À RÉPARER"))))))))))</f>
        <v/>
      </c>
      <c r="AL1240" s="82" t="str">
        <f aca="false">IF(AND(ISNUMBER(P1240),OR(AK1240="À RADIOGRAPHIER",AK1240="RÉPARÉ – À RADIOGRAPHIER",AK1240="NX – RT À REFAIRE",AK1240="À RÉPARER",AK1240="COUPE – À RESOUDER",AK1240="VT REJETÉ – À REPRENDRE")),MAX(0,'PROGRAMME RT'!$C$4-P1240),"")</f>
        <v/>
      </c>
      <c r="AM1240" s="78" t="n">
        <f aca="false">IF(AND(OR(AK1240="À RADIOGRAPHIER",AK1240="RÉPARÉ – À RADIOGRAPHIER",AK1240="NX – RT À REFAIRE"),OR('PROGRAMME RT'!$D$5="TOUTES",B1240='PROGRAMME RT'!$D$5)),1,0)</f>
        <v>0</v>
      </c>
      <c r="AN1240" s="78" t="str">
        <f aca="false">IF(AM1240=1,SUM(AM$7:AM1240),"")</f>
        <v/>
      </c>
      <c r="AO1240" s="78" t="n">
        <f aca="false">IF(AND(OR(AK1240="À RÉPARER",AK1240="COUPE – À RESOUDER",AK1240="VT REJETÉ – À REPRENDRE"),OR(RÉPARATIONS!$D$5="TOUTES",B1240=RÉPARATIONS!$D$5)),1,0)</f>
        <v>0</v>
      </c>
      <c r="AP1240" s="78" t="str">
        <f aca="false">IF(AO1240=1,SUM(AO$7:AO1240),"")</f>
        <v/>
      </c>
    </row>
    <row r="1241" customFormat="false" ht="15" hidden="false" customHeight="false" outlineLevel="0" collapsed="false">
      <c r="A1241" s="78" t="str">
        <f aca="false">IF(E1241="","",ROW()-6)</f>
        <v/>
      </c>
      <c r="B1241" s="79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0"/>
      <c r="P1241" s="81"/>
      <c r="Q1241" s="81"/>
      <c r="R1241" s="80"/>
      <c r="S1241" s="80"/>
      <c r="T1241" s="81"/>
      <c r="U1241" s="80"/>
      <c r="V1241" s="80"/>
      <c r="W1241" s="80"/>
      <c r="X1241" s="80"/>
      <c r="Y1241" s="81"/>
      <c r="Z1241" s="80"/>
      <c r="AA1241" s="80"/>
      <c r="AB1241" s="80"/>
      <c r="AC1241" s="80"/>
      <c r="AD1241" s="81"/>
      <c r="AE1241" s="80"/>
      <c r="AF1241" s="80"/>
      <c r="AG1241" s="81"/>
      <c r="AH1241" s="79"/>
      <c r="AI1241" s="78" t="str">
        <f aca="false">IF(E1241="","",(V1241&lt;&gt;"")+(AA1241&lt;&gt;"")+(AF1241&lt;&gt;""))</f>
        <v/>
      </c>
      <c r="AJ1241" s="82" t="str">
        <f aca="false">IF(AF1241&lt;&gt;"",AF1241,IF(AA1241&lt;&gt;"",AA1241,IF(V1241&lt;&gt;"",V1241,"")))</f>
        <v/>
      </c>
      <c r="AK1241" s="83" t="str">
        <f aca="false">IF(E1241="","",IF(P1241="","À SOUDER",IF(S1241="","VT EN ATTENTE",IF(S1241="R","VT REJETÉ – À REPRENDRE",IF(AJ1241="","À RADIOGRAPHIER",IF(AJ1241="A","ACCEPTÉ",IF(AJ1241="NX","NX – RT À REFAIRE",IF(IF(AI1241=1,X1241,IF(AI1241=2,AC1241,""))="A","RÉPARÉ – À RADIOGRAPHIER",IF(IF(AI1241=1,X1241,IF(AI1241=2,AC1241,""))="R","VT REJETÉ – À REPRENDRE",IF(AJ1241="CO","COUPE – À RESOUDER","À RÉPARER"))))))))))</f>
        <v/>
      </c>
      <c r="AL1241" s="82" t="str">
        <f aca="false">IF(AND(ISNUMBER(P1241),OR(AK1241="À RADIOGRAPHIER",AK1241="RÉPARÉ – À RADIOGRAPHIER",AK1241="NX – RT À REFAIRE",AK1241="À RÉPARER",AK1241="COUPE – À RESOUDER",AK1241="VT REJETÉ – À REPRENDRE")),MAX(0,'PROGRAMME RT'!$C$4-P1241),"")</f>
        <v/>
      </c>
      <c r="AM1241" s="78" t="n">
        <f aca="false">IF(AND(OR(AK1241="À RADIOGRAPHIER",AK1241="RÉPARÉ – À RADIOGRAPHIER",AK1241="NX – RT À REFAIRE"),OR('PROGRAMME RT'!$D$5="TOUTES",B1241='PROGRAMME RT'!$D$5)),1,0)</f>
        <v>0</v>
      </c>
      <c r="AN1241" s="78" t="str">
        <f aca="false">IF(AM1241=1,SUM(AM$7:AM1241),"")</f>
        <v/>
      </c>
      <c r="AO1241" s="78" t="n">
        <f aca="false">IF(AND(OR(AK1241="À RÉPARER",AK1241="COUPE – À RESOUDER",AK1241="VT REJETÉ – À REPRENDRE"),OR(RÉPARATIONS!$D$5="TOUTES",B1241=RÉPARATIONS!$D$5)),1,0)</f>
        <v>0</v>
      </c>
      <c r="AP1241" s="78" t="str">
        <f aca="false">IF(AO1241=1,SUM(AO$7:AO1241),"")</f>
        <v/>
      </c>
    </row>
    <row r="1242" customFormat="false" ht="15" hidden="false" customHeight="false" outlineLevel="0" collapsed="false">
      <c r="A1242" s="78" t="str">
        <f aca="false">IF(E1242="","",ROW()-6)</f>
        <v/>
      </c>
      <c r="B1242" s="79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0"/>
      <c r="P1242" s="81"/>
      <c r="Q1242" s="81"/>
      <c r="R1242" s="80"/>
      <c r="S1242" s="80"/>
      <c r="T1242" s="81"/>
      <c r="U1242" s="80"/>
      <c r="V1242" s="80"/>
      <c r="W1242" s="80"/>
      <c r="X1242" s="80"/>
      <c r="Y1242" s="81"/>
      <c r="Z1242" s="80"/>
      <c r="AA1242" s="80"/>
      <c r="AB1242" s="80"/>
      <c r="AC1242" s="80"/>
      <c r="AD1242" s="81"/>
      <c r="AE1242" s="80"/>
      <c r="AF1242" s="80"/>
      <c r="AG1242" s="81"/>
      <c r="AH1242" s="79"/>
      <c r="AI1242" s="78" t="str">
        <f aca="false">IF(E1242="","",(V1242&lt;&gt;"")+(AA1242&lt;&gt;"")+(AF1242&lt;&gt;""))</f>
        <v/>
      </c>
      <c r="AJ1242" s="82" t="str">
        <f aca="false">IF(AF1242&lt;&gt;"",AF1242,IF(AA1242&lt;&gt;"",AA1242,IF(V1242&lt;&gt;"",V1242,"")))</f>
        <v/>
      </c>
      <c r="AK1242" s="83" t="str">
        <f aca="false">IF(E1242="","",IF(P1242="","À SOUDER",IF(S1242="","VT EN ATTENTE",IF(S1242="R","VT REJETÉ – À REPRENDRE",IF(AJ1242="","À RADIOGRAPHIER",IF(AJ1242="A","ACCEPTÉ",IF(AJ1242="NX","NX – RT À REFAIRE",IF(IF(AI1242=1,X1242,IF(AI1242=2,AC1242,""))="A","RÉPARÉ – À RADIOGRAPHIER",IF(IF(AI1242=1,X1242,IF(AI1242=2,AC1242,""))="R","VT REJETÉ – À REPRENDRE",IF(AJ1242="CO","COUPE – À RESOUDER","À RÉPARER"))))))))))</f>
        <v/>
      </c>
      <c r="AL1242" s="82" t="str">
        <f aca="false">IF(AND(ISNUMBER(P1242),OR(AK1242="À RADIOGRAPHIER",AK1242="RÉPARÉ – À RADIOGRAPHIER",AK1242="NX – RT À REFAIRE",AK1242="À RÉPARER",AK1242="COUPE – À RESOUDER",AK1242="VT REJETÉ – À REPRENDRE")),MAX(0,'PROGRAMME RT'!$C$4-P1242),"")</f>
        <v/>
      </c>
      <c r="AM1242" s="78" t="n">
        <f aca="false">IF(AND(OR(AK1242="À RADIOGRAPHIER",AK1242="RÉPARÉ – À RADIOGRAPHIER",AK1242="NX – RT À REFAIRE"),OR('PROGRAMME RT'!$D$5="TOUTES",B1242='PROGRAMME RT'!$D$5)),1,0)</f>
        <v>0</v>
      </c>
      <c r="AN1242" s="78" t="str">
        <f aca="false">IF(AM1242=1,SUM(AM$7:AM1242),"")</f>
        <v/>
      </c>
      <c r="AO1242" s="78" t="n">
        <f aca="false">IF(AND(OR(AK1242="À RÉPARER",AK1242="COUPE – À RESOUDER",AK1242="VT REJETÉ – À REPRENDRE"),OR(RÉPARATIONS!$D$5="TOUTES",B1242=RÉPARATIONS!$D$5)),1,0)</f>
        <v>0</v>
      </c>
      <c r="AP1242" s="78" t="str">
        <f aca="false">IF(AO1242=1,SUM(AO$7:AO1242),"")</f>
        <v/>
      </c>
    </row>
    <row r="1243" customFormat="false" ht="15" hidden="false" customHeight="false" outlineLevel="0" collapsed="false">
      <c r="A1243" s="78" t="str">
        <f aca="false">IF(E1243="","",ROW()-6)</f>
        <v/>
      </c>
      <c r="B1243" s="79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0"/>
      <c r="P1243" s="81"/>
      <c r="Q1243" s="81"/>
      <c r="R1243" s="80"/>
      <c r="S1243" s="80"/>
      <c r="T1243" s="81"/>
      <c r="U1243" s="80"/>
      <c r="V1243" s="80"/>
      <c r="W1243" s="80"/>
      <c r="X1243" s="80"/>
      <c r="Y1243" s="81"/>
      <c r="Z1243" s="80"/>
      <c r="AA1243" s="80"/>
      <c r="AB1243" s="80"/>
      <c r="AC1243" s="80"/>
      <c r="AD1243" s="81"/>
      <c r="AE1243" s="80"/>
      <c r="AF1243" s="80"/>
      <c r="AG1243" s="81"/>
      <c r="AH1243" s="79"/>
      <c r="AI1243" s="78" t="str">
        <f aca="false">IF(E1243="","",(V1243&lt;&gt;"")+(AA1243&lt;&gt;"")+(AF1243&lt;&gt;""))</f>
        <v/>
      </c>
      <c r="AJ1243" s="82" t="str">
        <f aca="false">IF(AF1243&lt;&gt;"",AF1243,IF(AA1243&lt;&gt;"",AA1243,IF(V1243&lt;&gt;"",V1243,"")))</f>
        <v/>
      </c>
      <c r="AK1243" s="83" t="str">
        <f aca="false">IF(E1243="","",IF(P1243="","À SOUDER",IF(S1243="","VT EN ATTENTE",IF(S1243="R","VT REJETÉ – À REPRENDRE",IF(AJ1243="","À RADIOGRAPHIER",IF(AJ1243="A","ACCEPTÉ",IF(AJ1243="NX","NX – RT À REFAIRE",IF(IF(AI1243=1,X1243,IF(AI1243=2,AC1243,""))="A","RÉPARÉ – À RADIOGRAPHIER",IF(IF(AI1243=1,X1243,IF(AI1243=2,AC1243,""))="R","VT REJETÉ – À REPRENDRE",IF(AJ1243="CO","COUPE – À RESOUDER","À RÉPARER"))))))))))</f>
        <v/>
      </c>
      <c r="AL1243" s="82" t="str">
        <f aca="false">IF(AND(ISNUMBER(P1243),OR(AK1243="À RADIOGRAPHIER",AK1243="RÉPARÉ – À RADIOGRAPHIER",AK1243="NX – RT À REFAIRE",AK1243="À RÉPARER",AK1243="COUPE – À RESOUDER",AK1243="VT REJETÉ – À REPRENDRE")),MAX(0,'PROGRAMME RT'!$C$4-P1243),"")</f>
        <v/>
      </c>
      <c r="AM1243" s="78" t="n">
        <f aca="false">IF(AND(OR(AK1243="À RADIOGRAPHIER",AK1243="RÉPARÉ – À RADIOGRAPHIER",AK1243="NX – RT À REFAIRE"),OR('PROGRAMME RT'!$D$5="TOUTES",B1243='PROGRAMME RT'!$D$5)),1,0)</f>
        <v>0</v>
      </c>
      <c r="AN1243" s="78" t="str">
        <f aca="false">IF(AM1243=1,SUM(AM$7:AM1243),"")</f>
        <v/>
      </c>
      <c r="AO1243" s="78" t="n">
        <f aca="false">IF(AND(OR(AK1243="À RÉPARER",AK1243="COUPE – À RESOUDER",AK1243="VT REJETÉ – À REPRENDRE"),OR(RÉPARATIONS!$D$5="TOUTES",B1243=RÉPARATIONS!$D$5)),1,0)</f>
        <v>0</v>
      </c>
      <c r="AP1243" s="78" t="str">
        <f aca="false">IF(AO1243=1,SUM(AO$7:AO1243),"")</f>
        <v/>
      </c>
    </row>
    <row r="1244" customFormat="false" ht="15" hidden="false" customHeight="false" outlineLevel="0" collapsed="false">
      <c r="A1244" s="78" t="str">
        <f aca="false">IF(E1244="","",ROW()-6)</f>
        <v/>
      </c>
      <c r="B1244" s="79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0"/>
      <c r="P1244" s="81"/>
      <c r="Q1244" s="81"/>
      <c r="R1244" s="80"/>
      <c r="S1244" s="80"/>
      <c r="T1244" s="81"/>
      <c r="U1244" s="80"/>
      <c r="V1244" s="80"/>
      <c r="W1244" s="80"/>
      <c r="X1244" s="80"/>
      <c r="Y1244" s="81"/>
      <c r="Z1244" s="80"/>
      <c r="AA1244" s="80"/>
      <c r="AB1244" s="80"/>
      <c r="AC1244" s="80"/>
      <c r="AD1244" s="81"/>
      <c r="AE1244" s="80"/>
      <c r="AF1244" s="80"/>
      <c r="AG1244" s="81"/>
      <c r="AH1244" s="79"/>
      <c r="AI1244" s="78" t="str">
        <f aca="false">IF(E1244="","",(V1244&lt;&gt;"")+(AA1244&lt;&gt;"")+(AF1244&lt;&gt;""))</f>
        <v/>
      </c>
      <c r="AJ1244" s="82" t="str">
        <f aca="false">IF(AF1244&lt;&gt;"",AF1244,IF(AA1244&lt;&gt;"",AA1244,IF(V1244&lt;&gt;"",V1244,"")))</f>
        <v/>
      </c>
      <c r="AK1244" s="83" t="str">
        <f aca="false">IF(E1244="","",IF(P1244="","À SOUDER",IF(S1244="","VT EN ATTENTE",IF(S1244="R","VT REJETÉ – À REPRENDRE",IF(AJ1244="","À RADIOGRAPHIER",IF(AJ1244="A","ACCEPTÉ",IF(AJ1244="NX","NX – RT À REFAIRE",IF(IF(AI1244=1,X1244,IF(AI1244=2,AC1244,""))="A","RÉPARÉ – À RADIOGRAPHIER",IF(IF(AI1244=1,X1244,IF(AI1244=2,AC1244,""))="R","VT REJETÉ – À REPRENDRE",IF(AJ1244="CO","COUPE – À RESOUDER","À RÉPARER"))))))))))</f>
        <v/>
      </c>
      <c r="AL1244" s="82" t="str">
        <f aca="false">IF(AND(ISNUMBER(P1244),OR(AK1244="À RADIOGRAPHIER",AK1244="RÉPARÉ – À RADIOGRAPHIER",AK1244="NX – RT À REFAIRE",AK1244="À RÉPARER",AK1244="COUPE – À RESOUDER",AK1244="VT REJETÉ – À REPRENDRE")),MAX(0,'PROGRAMME RT'!$C$4-P1244),"")</f>
        <v/>
      </c>
      <c r="AM1244" s="78" t="n">
        <f aca="false">IF(AND(OR(AK1244="À RADIOGRAPHIER",AK1244="RÉPARÉ – À RADIOGRAPHIER",AK1244="NX – RT À REFAIRE"),OR('PROGRAMME RT'!$D$5="TOUTES",B1244='PROGRAMME RT'!$D$5)),1,0)</f>
        <v>0</v>
      </c>
      <c r="AN1244" s="78" t="str">
        <f aca="false">IF(AM1244=1,SUM(AM$7:AM1244),"")</f>
        <v/>
      </c>
      <c r="AO1244" s="78" t="n">
        <f aca="false">IF(AND(OR(AK1244="À RÉPARER",AK1244="COUPE – À RESOUDER",AK1244="VT REJETÉ – À REPRENDRE"),OR(RÉPARATIONS!$D$5="TOUTES",B1244=RÉPARATIONS!$D$5)),1,0)</f>
        <v>0</v>
      </c>
      <c r="AP1244" s="78" t="str">
        <f aca="false">IF(AO1244=1,SUM(AO$7:AO1244),"")</f>
        <v/>
      </c>
    </row>
    <row r="1245" customFormat="false" ht="15" hidden="false" customHeight="false" outlineLevel="0" collapsed="false">
      <c r="A1245" s="78" t="str">
        <f aca="false">IF(E1245="","",ROW()-6)</f>
        <v/>
      </c>
      <c r="B1245" s="79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0"/>
      <c r="P1245" s="81"/>
      <c r="Q1245" s="81"/>
      <c r="R1245" s="80"/>
      <c r="S1245" s="80"/>
      <c r="T1245" s="81"/>
      <c r="U1245" s="80"/>
      <c r="V1245" s="80"/>
      <c r="W1245" s="80"/>
      <c r="X1245" s="80"/>
      <c r="Y1245" s="81"/>
      <c r="Z1245" s="80"/>
      <c r="AA1245" s="80"/>
      <c r="AB1245" s="80"/>
      <c r="AC1245" s="80"/>
      <c r="AD1245" s="81"/>
      <c r="AE1245" s="80"/>
      <c r="AF1245" s="80"/>
      <c r="AG1245" s="81"/>
      <c r="AH1245" s="79"/>
      <c r="AI1245" s="78" t="str">
        <f aca="false">IF(E1245="","",(V1245&lt;&gt;"")+(AA1245&lt;&gt;"")+(AF1245&lt;&gt;""))</f>
        <v/>
      </c>
      <c r="AJ1245" s="82" t="str">
        <f aca="false">IF(AF1245&lt;&gt;"",AF1245,IF(AA1245&lt;&gt;"",AA1245,IF(V1245&lt;&gt;"",V1245,"")))</f>
        <v/>
      </c>
      <c r="AK1245" s="83" t="str">
        <f aca="false">IF(E1245="","",IF(P1245="","À SOUDER",IF(S1245="","VT EN ATTENTE",IF(S1245="R","VT REJETÉ – À REPRENDRE",IF(AJ1245="","À RADIOGRAPHIER",IF(AJ1245="A","ACCEPTÉ",IF(AJ1245="NX","NX – RT À REFAIRE",IF(IF(AI1245=1,X1245,IF(AI1245=2,AC1245,""))="A","RÉPARÉ – À RADIOGRAPHIER",IF(IF(AI1245=1,X1245,IF(AI1245=2,AC1245,""))="R","VT REJETÉ – À REPRENDRE",IF(AJ1245="CO","COUPE – À RESOUDER","À RÉPARER"))))))))))</f>
        <v/>
      </c>
      <c r="AL1245" s="82" t="str">
        <f aca="false">IF(AND(ISNUMBER(P1245),OR(AK1245="À RADIOGRAPHIER",AK1245="RÉPARÉ – À RADIOGRAPHIER",AK1245="NX – RT À REFAIRE",AK1245="À RÉPARER",AK1245="COUPE – À RESOUDER",AK1245="VT REJETÉ – À REPRENDRE")),MAX(0,'PROGRAMME RT'!$C$4-P1245),"")</f>
        <v/>
      </c>
      <c r="AM1245" s="78" t="n">
        <f aca="false">IF(AND(OR(AK1245="À RADIOGRAPHIER",AK1245="RÉPARÉ – À RADIOGRAPHIER",AK1245="NX – RT À REFAIRE"),OR('PROGRAMME RT'!$D$5="TOUTES",B1245='PROGRAMME RT'!$D$5)),1,0)</f>
        <v>0</v>
      </c>
      <c r="AN1245" s="78" t="str">
        <f aca="false">IF(AM1245=1,SUM(AM$7:AM1245),"")</f>
        <v/>
      </c>
      <c r="AO1245" s="78" t="n">
        <f aca="false">IF(AND(OR(AK1245="À RÉPARER",AK1245="COUPE – À RESOUDER",AK1245="VT REJETÉ – À REPRENDRE"),OR(RÉPARATIONS!$D$5="TOUTES",B1245=RÉPARATIONS!$D$5)),1,0)</f>
        <v>0</v>
      </c>
      <c r="AP1245" s="78" t="str">
        <f aca="false">IF(AO1245=1,SUM(AO$7:AO1245),"")</f>
        <v/>
      </c>
    </row>
    <row r="1246" customFormat="false" ht="15" hidden="false" customHeight="false" outlineLevel="0" collapsed="false">
      <c r="A1246" s="78" t="str">
        <f aca="false">IF(E1246="","",ROW()-6)</f>
        <v/>
      </c>
      <c r="B1246" s="79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0"/>
      <c r="P1246" s="81"/>
      <c r="Q1246" s="81"/>
      <c r="R1246" s="80"/>
      <c r="S1246" s="80"/>
      <c r="T1246" s="81"/>
      <c r="U1246" s="80"/>
      <c r="V1246" s="80"/>
      <c r="W1246" s="80"/>
      <c r="X1246" s="80"/>
      <c r="Y1246" s="81"/>
      <c r="Z1246" s="80"/>
      <c r="AA1246" s="80"/>
      <c r="AB1246" s="80"/>
      <c r="AC1246" s="80"/>
      <c r="AD1246" s="81"/>
      <c r="AE1246" s="80"/>
      <c r="AF1246" s="80"/>
      <c r="AG1246" s="81"/>
      <c r="AH1246" s="79"/>
      <c r="AI1246" s="78" t="str">
        <f aca="false">IF(E1246="","",(V1246&lt;&gt;"")+(AA1246&lt;&gt;"")+(AF1246&lt;&gt;""))</f>
        <v/>
      </c>
      <c r="AJ1246" s="82" t="str">
        <f aca="false">IF(AF1246&lt;&gt;"",AF1246,IF(AA1246&lt;&gt;"",AA1246,IF(V1246&lt;&gt;"",V1246,"")))</f>
        <v/>
      </c>
      <c r="AK1246" s="83" t="str">
        <f aca="false">IF(E1246="","",IF(P1246="","À SOUDER",IF(S1246="","VT EN ATTENTE",IF(S1246="R","VT REJETÉ – À REPRENDRE",IF(AJ1246="","À RADIOGRAPHIER",IF(AJ1246="A","ACCEPTÉ",IF(AJ1246="NX","NX – RT À REFAIRE",IF(IF(AI1246=1,X1246,IF(AI1246=2,AC1246,""))="A","RÉPARÉ – À RADIOGRAPHIER",IF(IF(AI1246=1,X1246,IF(AI1246=2,AC1246,""))="R","VT REJETÉ – À REPRENDRE",IF(AJ1246="CO","COUPE – À RESOUDER","À RÉPARER"))))))))))</f>
        <v/>
      </c>
      <c r="AL1246" s="82" t="str">
        <f aca="false">IF(AND(ISNUMBER(P1246),OR(AK1246="À RADIOGRAPHIER",AK1246="RÉPARÉ – À RADIOGRAPHIER",AK1246="NX – RT À REFAIRE",AK1246="À RÉPARER",AK1246="COUPE – À RESOUDER",AK1246="VT REJETÉ – À REPRENDRE")),MAX(0,'PROGRAMME RT'!$C$4-P1246),"")</f>
        <v/>
      </c>
      <c r="AM1246" s="78" t="n">
        <f aca="false">IF(AND(OR(AK1246="À RADIOGRAPHIER",AK1246="RÉPARÉ – À RADIOGRAPHIER",AK1246="NX – RT À REFAIRE"),OR('PROGRAMME RT'!$D$5="TOUTES",B1246='PROGRAMME RT'!$D$5)),1,0)</f>
        <v>0</v>
      </c>
      <c r="AN1246" s="78" t="str">
        <f aca="false">IF(AM1246=1,SUM(AM$7:AM1246),"")</f>
        <v/>
      </c>
      <c r="AO1246" s="78" t="n">
        <f aca="false">IF(AND(OR(AK1246="À RÉPARER",AK1246="COUPE – À RESOUDER",AK1246="VT REJETÉ – À REPRENDRE"),OR(RÉPARATIONS!$D$5="TOUTES",B1246=RÉPARATIONS!$D$5)),1,0)</f>
        <v>0</v>
      </c>
      <c r="AP1246" s="78" t="str">
        <f aca="false">IF(AO1246=1,SUM(AO$7:AO1246),"")</f>
        <v/>
      </c>
    </row>
    <row r="1247" customFormat="false" ht="15" hidden="false" customHeight="false" outlineLevel="0" collapsed="false">
      <c r="A1247" s="78" t="str">
        <f aca="false">IF(E1247="","",ROW()-6)</f>
        <v/>
      </c>
      <c r="B1247" s="79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0"/>
      <c r="P1247" s="81"/>
      <c r="Q1247" s="81"/>
      <c r="R1247" s="80"/>
      <c r="S1247" s="80"/>
      <c r="T1247" s="81"/>
      <c r="U1247" s="80"/>
      <c r="V1247" s="80"/>
      <c r="W1247" s="80"/>
      <c r="X1247" s="80"/>
      <c r="Y1247" s="81"/>
      <c r="Z1247" s="80"/>
      <c r="AA1247" s="80"/>
      <c r="AB1247" s="80"/>
      <c r="AC1247" s="80"/>
      <c r="AD1247" s="81"/>
      <c r="AE1247" s="80"/>
      <c r="AF1247" s="80"/>
      <c r="AG1247" s="81"/>
      <c r="AH1247" s="79"/>
      <c r="AI1247" s="78" t="str">
        <f aca="false">IF(E1247="","",(V1247&lt;&gt;"")+(AA1247&lt;&gt;"")+(AF1247&lt;&gt;""))</f>
        <v/>
      </c>
      <c r="AJ1247" s="82" t="str">
        <f aca="false">IF(AF1247&lt;&gt;"",AF1247,IF(AA1247&lt;&gt;"",AA1247,IF(V1247&lt;&gt;"",V1247,"")))</f>
        <v/>
      </c>
      <c r="AK1247" s="83" t="str">
        <f aca="false">IF(E1247="","",IF(P1247="","À SOUDER",IF(S1247="","VT EN ATTENTE",IF(S1247="R","VT REJETÉ – À REPRENDRE",IF(AJ1247="","À RADIOGRAPHIER",IF(AJ1247="A","ACCEPTÉ",IF(AJ1247="NX","NX – RT À REFAIRE",IF(IF(AI1247=1,X1247,IF(AI1247=2,AC1247,""))="A","RÉPARÉ – À RADIOGRAPHIER",IF(IF(AI1247=1,X1247,IF(AI1247=2,AC1247,""))="R","VT REJETÉ – À REPRENDRE",IF(AJ1247="CO","COUPE – À RESOUDER","À RÉPARER"))))))))))</f>
        <v/>
      </c>
      <c r="AL1247" s="82" t="str">
        <f aca="false">IF(AND(ISNUMBER(P1247),OR(AK1247="À RADIOGRAPHIER",AK1247="RÉPARÉ – À RADIOGRAPHIER",AK1247="NX – RT À REFAIRE",AK1247="À RÉPARER",AK1247="COUPE – À RESOUDER",AK1247="VT REJETÉ – À REPRENDRE")),MAX(0,'PROGRAMME RT'!$C$4-P1247),"")</f>
        <v/>
      </c>
      <c r="AM1247" s="78" t="n">
        <f aca="false">IF(AND(OR(AK1247="À RADIOGRAPHIER",AK1247="RÉPARÉ – À RADIOGRAPHIER",AK1247="NX – RT À REFAIRE"),OR('PROGRAMME RT'!$D$5="TOUTES",B1247='PROGRAMME RT'!$D$5)),1,0)</f>
        <v>0</v>
      </c>
      <c r="AN1247" s="78" t="str">
        <f aca="false">IF(AM1247=1,SUM(AM$7:AM1247),"")</f>
        <v/>
      </c>
      <c r="AO1247" s="78" t="n">
        <f aca="false">IF(AND(OR(AK1247="À RÉPARER",AK1247="COUPE – À RESOUDER",AK1247="VT REJETÉ – À REPRENDRE"),OR(RÉPARATIONS!$D$5="TOUTES",B1247=RÉPARATIONS!$D$5)),1,0)</f>
        <v>0</v>
      </c>
      <c r="AP1247" s="78" t="str">
        <f aca="false">IF(AO1247=1,SUM(AO$7:AO1247),"")</f>
        <v/>
      </c>
    </row>
    <row r="1248" customFormat="false" ht="15" hidden="false" customHeight="false" outlineLevel="0" collapsed="false">
      <c r="A1248" s="78" t="str">
        <f aca="false">IF(E1248="","",ROW()-6)</f>
        <v/>
      </c>
      <c r="B1248" s="79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0"/>
      <c r="P1248" s="81"/>
      <c r="Q1248" s="81"/>
      <c r="R1248" s="80"/>
      <c r="S1248" s="80"/>
      <c r="T1248" s="81"/>
      <c r="U1248" s="80"/>
      <c r="V1248" s="80"/>
      <c r="W1248" s="80"/>
      <c r="X1248" s="80"/>
      <c r="Y1248" s="81"/>
      <c r="Z1248" s="80"/>
      <c r="AA1248" s="80"/>
      <c r="AB1248" s="80"/>
      <c r="AC1248" s="80"/>
      <c r="AD1248" s="81"/>
      <c r="AE1248" s="80"/>
      <c r="AF1248" s="80"/>
      <c r="AG1248" s="81"/>
      <c r="AH1248" s="79"/>
      <c r="AI1248" s="78" t="str">
        <f aca="false">IF(E1248="","",(V1248&lt;&gt;"")+(AA1248&lt;&gt;"")+(AF1248&lt;&gt;""))</f>
        <v/>
      </c>
      <c r="AJ1248" s="82" t="str">
        <f aca="false">IF(AF1248&lt;&gt;"",AF1248,IF(AA1248&lt;&gt;"",AA1248,IF(V1248&lt;&gt;"",V1248,"")))</f>
        <v/>
      </c>
      <c r="AK1248" s="83" t="str">
        <f aca="false">IF(E1248="","",IF(P1248="","À SOUDER",IF(S1248="","VT EN ATTENTE",IF(S1248="R","VT REJETÉ – À REPRENDRE",IF(AJ1248="","À RADIOGRAPHIER",IF(AJ1248="A","ACCEPTÉ",IF(AJ1248="NX","NX – RT À REFAIRE",IF(IF(AI1248=1,X1248,IF(AI1248=2,AC1248,""))="A","RÉPARÉ – À RADIOGRAPHIER",IF(IF(AI1248=1,X1248,IF(AI1248=2,AC1248,""))="R","VT REJETÉ – À REPRENDRE",IF(AJ1248="CO","COUPE – À RESOUDER","À RÉPARER"))))))))))</f>
        <v/>
      </c>
      <c r="AL1248" s="82" t="str">
        <f aca="false">IF(AND(ISNUMBER(P1248),OR(AK1248="À RADIOGRAPHIER",AK1248="RÉPARÉ – À RADIOGRAPHIER",AK1248="NX – RT À REFAIRE",AK1248="À RÉPARER",AK1248="COUPE – À RESOUDER",AK1248="VT REJETÉ – À REPRENDRE")),MAX(0,'PROGRAMME RT'!$C$4-P1248),"")</f>
        <v/>
      </c>
      <c r="AM1248" s="78" t="n">
        <f aca="false">IF(AND(OR(AK1248="À RADIOGRAPHIER",AK1248="RÉPARÉ – À RADIOGRAPHIER",AK1248="NX – RT À REFAIRE"),OR('PROGRAMME RT'!$D$5="TOUTES",B1248='PROGRAMME RT'!$D$5)),1,0)</f>
        <v>0</v>
      </c>
      <c r="AN1248" s="78" t="str">
        <f aca="false">IF(AM1248=1,SUM(AM$7:AM1248),"")</f>
        <v/>
      </c>
      <c r="AO1248" s="78" t="n">
        <f aca="false">IF(AND(OR(AK1248="À RÉPARER",AK1248="COUPE – À RESOUDER",AK1248="VT REJETÉ – À REPRENDRE"),OR(RÉPARATIONS!$D$5="TOUTES",B1248=RÉPARATIONS!$D$5)),1,0)</f>
        <v>0</v>
      </c>
      <c r="AP1248" s="78" t="str">
        <f aca="false">IF(AO1248=1,SUM(AO$7:AO1248),"")</f>
        <v/>
      </c>
    </row>
    <row r="1249" customFormat="false" ht="15" hidden="false" customHeight="false" outlineLevel="0" collapsed="false">
      <c r="A1249" s="78" t="str">
        <f aca="false">IF(E1249="","",ROW()-6)</f>
        <v/>
      </c>
      <c r="B1249" s="79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0"/>
      <c r="P1249" s="81"/>
      <c r="Q1249" s="81"/>
      <c r="R1249" s="80"/>
      <c r="S1249" s="80"/>
      <c r="T1249" s="81"/>
      <c r="U1249" s="80"/>
      <c r="V1249" s="80"/>
      <c r="W1249" s="80"/>
      <c r="X1249" s="80"/>
      <c r="Y1249" s="81"/>
      <c r="Z1249" s="80"/>
      <c r="AA1249" s="80"/>
      <c r="AB1249" s="80"/>
      <c r="AC1249" s="80"/>
      <c r="AD1249" s="81"/>
      <c r="AE1249" s="80"/>
      <c r="AF1249" s="80"/>
      <c r="AG1249" s="81"/>
      <c r="AH1249" s="79"/>
      <c r="AI1249" s="78" t="str">
        <f aca="false">IF(E1249="","",(V1249&lt;&gt;"")+(AA1249&lt;&gt;"")+(AF1249&lt;&gt;""))</f>
        <v/>
      </c>
      <c r="AJ1249" s="82" t="str">
        <f aca="false">IF(AF1249&lt;&gt;"",AF1249,IF(AA1249&lt;&gt;"",AA1249,IF(V1249&lt;&gt;"",V1249,"")))</f>
        <v/>
      </c>
      <c r="AK1249" s="83" t="str">
        <f aca="false">IF(E1249="","",IF(P1249="","À SOUDER",IF(S1249="","VT EN ATTENTE",IF(S1249="R","VT REJETÉ – À REPRENDRE",IF(AJ1249="","À RADIOGRAPHIER",IF(AJ1249="A","ACCEPTÉ",IF(AJ1249="NX","NX – RT À REFAIRE",IF(IF(AI1249=1,X1249,IF(AI1249=2,AC1249,""))="A","RÉPARÉ – À RADIOGRAPHIER",IF(IF(AI1249=1,X1249,IF(AI1249=2,AC1249,""))="R","VT REJETÉ – À REPRENDRE",IF(AJ1249="CO","COUPE – À RESOUDER","À RÉPARER"))))))))))</f>
        <v/>
      </c>
      <c r="AL1249" s="82" t="str">
        <f aca="false">IF(AND(ISNUMBER(P1249),OR(AK1249="À RADIOGRAPHIER",AK1249="RÉPARÉ – À RADIOGRAPHIER",AK1249="NX – RT À REFAIRE",AK1249="À RÉPARER",AK1249="COUPE – À RESOUDER",AK1249="VT REJETÉ – À REPRENDRE")),MAX(0,'PROGRAMME RT'!$C$4-P1249),"")</f>
        <v/>
      </c>
      <c r="AM1249" s="78" t="n">
        <f aca="false">IF(AND(OR(AK1249="À RADIOGRAPHIER",AK1249="RÉPARÉ – À RADIOGRAPHIER",AK1249="NX – RT À REFAIRE"),OR('PROGRAMME RT'!$D$5="TOUTES",B1249='PROGRAMME RT'!$D$5)),1,0)</f>
        <v>0</v>
      </c>
      <c r="AN1249" s="78" t="str">
        <f aca="false">IF(AM1249=1,SUM(AM$7:AM1249),"")</f>
        <v/>
      </c>
      <c r="AO1249" s="78" t="n">
        <f aca="false">IF(AND(OR(AK1249="À RÉPARER",AK1249="COUPE – À RESOUDER",AK1249="VT REJETÉ – À REPRENDRE"),OR(RÉPARATIONS!$D$5="TOUTES",B1249=RÉPARATIONS!$D$5)),1,0)</f>
        <v>0</v>
      </c>
      <c r="AP1249" s="78" t="str">
        <f aca="false">IF(AO1249=1,SUM(AO$7:AO1249),"")</f>
        <v/>
      </c>
    </row>
    <row r="1250" customFormat="false" ht="15" hidden="false" customHeight="false" outlineLevel="0" collapsed="false">
      <c r="A1250" s="78" t="str">
        <f aca="false">IF(E1250="","",ROW()-6)</f>
        <v/>
      </c>
      <c r="B1250" s="79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0"/>
      <c r="P1250" s="81"/>
      <c r="Q1250" s="81"/>
      <c r="R1250" s="80"/>
      <c r="S1250" s="80"/>
      <c r="T1250" s="81"/>
      <c r="U1250" s="80"/>
      <c r="V1250" s="80"/>
      <c r="W1250" s="80"/>
      <c r="X1250" s="80"/>
      <c r="Y1250" s="81"/>
      <c r="Z1250" s="80"/>
      <c r="AA1250" s="80"/>
      <c r="AB1250" s="80"/>
      <c r="AC1250" s="80"/>
      <c r="AD1250" s="81"/>
      <c r="AE1250" s="80"/>
      <c r="AF1250" s="80"/>
      <c r="AG1250" s="81"/>
      <c r="AH1250" s="79"/>
      <c r="AI1250" s="78" t="str">
        <f aca="false">IF(E1250="","",(V1250&lt;&gt;"")+(AA1250&lt;&gt;"")+(AF1250&lt;&gt;""))</f>
        <v/>
      </c>
      <c r="AJ1250" s="82" t="str">
        <f aca="false">IF(AF1250&lt;&gt;"",AF1250,IF(AA1250&lt;&gt;"",AA1250,IF(V1250&lt;&gt;"",V1250,"")))</f>
        <v/>
      </c>
      <c r="AK1250" s="83" t="str">
        <f aca="false">IF(E1250="","",IF(P1250="","À SOUDER",IF(S1250="","VT EN ATTENTE",IF(S1250="R","VT REJETÉ – À REPRENDRE",IF(AJ1250="","À RADIOGRAPHIER",IF(AJ1250="A","ACCEPTÉ",IF(AJ1250="NX","NX – RT À REFAIRE",IF(IF(AI1250=1,X1250,IF(AI1250=2,AC1250,""))="A","RÉPARÉ – À RADIOGRAPHIER",IF(IF(AI1250=1,X1250,IF(AI1250=2,AC1250,""))="R","VT REJETÉ – À REPRENDRE",IF(AJ1250="CO","COUPE – À RESOUDER","À RÉPARER"))))))))))</f>
        <v/>
      </c>
      <c r="AL1250" s="82" t="str">
        <f aca="false">IF(AND(ISNUMBER(P1250),OR(AK1250="À RADIOGRAPHIER",AK1250="RÉPARÉ – À RADIOGRAPHIER",AK1250="NX – RT À REFAIRE",AK1250="À RÉPARER",AK1250="COUPE – À RESOUDER",AK1250="VT REJETÉ – À REPRENDRE")),MAX(0,'PROGRAMME RT'!$C$4-P1250),"")</f>
        <v/>
      </c>
      <c r="AM1250" s="78" t="n">
        <f aca="false">IF(AND(OR(AK1250="À RADIOGRAPHIER",AK1250="RÉPARÉ – À RADIOGRAPHIER",AK1250="NX – RT À REFAIRE"),OR('PROGRAMME RT'!$D$5="TOUTES",B1250='PROGRAMME RT'!$D$5)),1,0)</f>
        <v>0</v>
      </c>
      <c r="AN1250" s="78" t="str">
        <f aca="false">IF(AM1250=1,SUM(AM$7:AM1250),"")</f>
        <v/>
      </c>
      <c r="AO1250" s="78" t="n">
        <f aca="false">IF(AND(OR(AK1250="À RÉPARER",AK1250="COUPE – À RESOUDER",AK1250="VT REJETÉ – À REPRENDRE"),OR(RÉPARATIONS!$D$5="TOUTES",B1250=RÉPARATIONS!$D$5)),1,0)</f>
        <v>0</v>
      </c>
      <c r="AP1250" s="78" t="str">
        <f aca="false">IF(AO1250=1,SUM(AO$7:AO1250),"")</f>
        <v/>
      </c>
    </row>
    <row r="1251" customFormat="false" ht="15" hidden="false" customHeight="false" outlineLevel="0" collapsed="false">
      <c r="A1251" s="78" t="str">
        <f aca="false">IF(E1251="","",ROW()-6)</f>
        <v/>
      </c>
      <c r="B1251" s="79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0"/>
      <c r="P1251" s="81"/>
      <c r="Q1251" s="81"/>
      <c r="R1251" s="80"/>
      <c r="S1251" s="80"/>
      <c r="T1251" s="81"/>
      <c r="U1251" s="80"/>
      <c r="V1251" s="80"/>
      <c r="W1251" s="80"/>
      <c r="X1251" s="80"/>
      <c r="Y1251" s="81"/>
      <c r="Z1251" s="80"/>
      <c r="AA1251" s="80"/>
      <c r="AB1251" s="80"/>
      <c r="AC1251" s="80"/>
      <c r="AD1251" s="81"/>
      <c r="AE1251" s="80"/>
      <c r="AF1251" s="80"/>
      <c r="AG1251" s="81"/>
      <c r="AH1251" s="79"/>
      <c r="AI1251" s="78" t="str">
        <f aca="false">IF(E1251="","",(V1251&lt;&gt;"")+(AA1251&lt;&gt;"")+(AF1251&lt;&gt;""))</f>
        <v/>
      </c>
      <c r="AJ1251" s="82" t="str">
        <f aca="false">IF(AF1251&lt;&gt;"",AF1251,IF(AA1251&lt;&gt;"",AA1251,IF(V1251&lt;&gt;"",V1251,"")))</f>
        <v/>
      </c>
      <c r="AK1251" s="83" t="str">
        <f aca="false">IF(E1251="","",IF(P1251="","À SOUDER",IF(S1251="","VT EN ATTENTE",IF(S1251="R","VT REJETÉ – À REPRENDRE",IF(AJ1251="","À RADIOGRAPHIER",IF(AJ1251="A","ACCEPTÉ",IF(AJ1251="NX","NX – RT À REFAIRE",IF(IF(AI1251=1,X1251,IF(AI1251=2,AC1251,""))="A","RÉPARÉ – À RADIOGRAPHIER",IF(IF(AI1251=1,X1251,IF(AI1251=2,AC1251,""))="R","VT REJETÉ – À REPRENDRE",IF(AJ1251="CO","COUPE – À RESOUDER","À RÉPARER"))))))))))</f>
        <v/>
      </c>
      <c r="AL1251" s="82" t="str">
        <f aca="false">IF(AND(ISNUMBER(P1251),OR(AK1251="À RADIOGRAPHIER",AK1251="RÉPARÉ – À RADIOGRAPHIER",AK1251="NX – RT À REFAIRE",AK1251="À RÉPARER",AK1251="COUPE – À RESOUDER",AK1251="VT REJETÉ – À REPRENDRE")),MAX(0,'PROGRAMME RT'!$C$4-P1251),"")</f>
        <v/>
      </c>
      <c r="AM1251" s="78" t="n">
        <f aca="false">IF(AND(OR(AK1251="À RADIOGRAPHIER",AK1251="RÉPARÉ – À RADIOGRAPHIER",AK1251="NX – RT À REFAIRE"),OR('PROGRAMME RT'!$D$5="TOUTES",B1251='PROGRAMME RT'!$D$5)),1,0)</f>
        <v>0</v>
      </c>
      <c r="AN1251" s="78" t="str">
        <f aca="false">IF(AM1251=1,SUM(AM$7:AM1251),"")</f>
        <v/>
      </c>
      <c r="AO1251" s="78" t="n">
        <f aca="false">IF(AND(OR(AK1251="À RÉPARER",AK1251="COUPE – À RESOUDER",AK1251="VT REJETÉ – À REPRENDRE"),OR(RÉPARATIONS!$D$5="TOUTES",B1251=RÉPARATIONS!$D$5)),1,0)</f>
        <v>0</v>
      </c>
      <c r="AP1251" s="78" t="str">
        <f aca="false">IF(AO1251=1,SUM(AO$7:AO1251),"")</f>
        <v/>
      </c>
    </row>
    <row r="1252" customFormat="false" ht="15" hidden="false" customHeight="false" outlineLevel="0" collapsed="false">
      <c r="A1252" s="78" t="str">
        <f aca="false">IF(E1252="","",ROW()-6)</f>
        <v/>
      </c>
      <c r="B1252" s="79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0"/>
      <c r="P1252" s="81"/>
      <c r="Q1252" s="81"/>
      <c r="R1252" s="80"/>
      <c r="S1252" s="80"/>
      <c r="T1252" s="81"/>
      <c r="U1252" s="80"/>
      <c r="V1252" s="80"/>
      <c r="W1252" s="80"/>
      <c r="X1252" s="80"/>
      <c r="Y1252" s="81"/>
      <c r="Z1252" s="80"/>
      <c r="AA1252" s="80"/>
      <c r="AB1252" s="80"/>
      <c r="AC1252" s="80"/>
      <c r="AD1252" s="81"/>
      <c r="AE1252" s="80"/>
      <c r="AF1252" s="80"/>
      <c r="AG1252" s="81"/>
      <c r="AH1252" s="79"/>
      <c r="AI1252" s="78" t="str">
        <f aca="false">IF(E1252="","",(V1252&lt;&gt;"")+(AA1252&lt;&gt;"")+(AF1252&lt;&gt;""))</f>
        <v/>
      </c>
      <c r="AJ1252" s="82" t="str">
        <f aca="false">IF(AF1252&lt;&gt;"",AF1252,IF(AA1252&lt;&gt;"",AA1252,IF(V1252&lt;&gt;"",V1252,"")))</f>
        <v/>
      </c>
      <c r="AK1252" s="83" t="str">
        <f aca="false">IF(E1252="","",IF(P1252="","À SOUDER",IF(S1252="","VT EN ATTENTE",IF(S1252="R","VT REJETÉ – À REPRENDRE",IF(AJ1252="","À RADIOGRAPHIER",IF(AJ1252="A","ACCEPTÉ",IF(AJ1252="NX","NX – RT À REFAIRE",IF(IF(AI1252=1,X1252,IF(AI1252=2,AC1252,""))="A","RÉPARÉ – À RADIOGRAPHIER",IF(IF(AI1252=1,X1252,IF(AI1252=2,AC1252,""))="R","VT REJETÉ – À REPRENDRE",IF(AJ1252="CO","COUPE – À RESOUDER","À RÉPARER"))))))))))</f>
        <v/>
      </c>
      <c r="AL1252" s="82" t="str">
        <f aca="false">IF(AND(ISNUMBER(P1252),OR(AK1252="À RADIOGRAPHIER",AK1252="RÉPARÉ – À RADIOGRAPHIER",AK1252="NX – RT À REFAIRE",AK1252="À RÉPARER",AK1252="COUPE – À RESOUDER",AK1252="VT REJETÉ – À REPRENDRE")),MAX(0,'PROGRAMME RT'!$C$4-P1252),"")</f>
        <v/>
      </c>
      <c r="AM1252" s="78" t="n">
        <f aca="false">IF(AND(OR(AK1252="À RADIOGRAPHIER",AK1252="RÉPARÉ – À RADIOGRAPHIER",AK1252="NX – RT À REFAIRE"),OR('PROGRAMME RT'!$D$5="TOUTES",B1252='PROGRAMME RT'!$D$5)),1,0)</f>
        <v>0</v>
      </c>
      <c r="AN1252" s="78" t="str">
        <f aca="false">IF(AM1252=1,SUM(AM$7:AM1252),"")</f>
        <v/>
      </c>
      <c r="AO1252" s="78" t="n">
        <f aca="false">IF(AND(OR(AK1252="À RÉPARER",AK1252="COUPE – À RESOUDER",AK1252="VT REJETÉ – À REPRENDRE"),OR(RÉPARATIONS!$D$5="TOUTES",B1252=RÉPARATIONS!$D$5)),1,0)</f>
        <v>0</v>
      </c>
      <c r="AP1252" s="78" t="str">
        <f aca="false">IF(AO1252=1,SUM(AO$7:AO1252),"")</f>
        <v/>
      </c>
    </row>
    <row r="1253" customFormat="false" ht="15" hidden="false" customHeight="false" outlineLevel="0" collapsed="false">
      <c r="A1253" s="78" t="str">
        <f aca="false">IF(E1253="","",ROW()-6)</f>
        <v/>
      </c>
      <c r="B1253" s="79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0"/>
      <c r="P1253" s="81"/>
      <c r="Q1253" s="81"/>
      <c r="R1253" s="80"/>
      <c r="S1253" s="80"/>
      <c r="T1253" s="81"/>
      <c r="U1253" s="80"/>
      <c r="V1253" s="80"/>
      <c r="W1253" s="80"/>
      <c r="X1253" s="80"/>
      <c r="Y1253" s="81"/>
      <c r="Z1253" s="80"/>
      <c r="AA1253" s="80"/>
      <c r="AB1253" s="80"/>
      <c r="AC1253" s="80"/>
      <c r="AD1253" s="81"/>
      <c r="AE1253" s="80"/>
      <c r="AF1253" s="80"/>
      <c r="AG1253" s="81"/>
      <c r="AH1253" s="79"/>
      <c r="AI1253" s="78" t="str">
        <f aca="false">IF(E1253="","",(V1253&lt;&gt;"")+(AA1253&lt;&gt;"")+(AF1253&lt;&gt;""))</f>
        <v/>
      </c>
      <c r="AJ1253" s="82" t="str">
        <f aca="false">IF(AF1253&lt;&gt;"",AF1253,IF(AA1253&lt;&gt;"",AA1253,IF(V1253&lt;&gt;"",V1253,"")))</f>
        <v/>
      </c>
      <c r="AK1253" s="83" t="str">
        <f aca="false">IF(E1253="","",IF(P1253="","À SOUDER",IF(S1253="","VT EN ATTENTE",IF(S1253="R","VT REJETÉ – À REPRENDRE",IF(AJ1253="","À RADIOGRAPHIER",IF(AJ1253="A","ACCEPTÉ",IF(AJ1253="NX","NX – RT À REFAIRE",IF(IF(AI1253=1,X1253,IF(AI1253=2,AC1253,""))="A","RÉPARÉ – À RADIOGRAPHIER",IF(IF(AI1253=1,X1253,IF(AI1253=2,AC1253,""))="R","VT REJETÉ – À REPRENDRE",IF(AJ1253="CO","COUPE – À RESOUDER","À RÉPARER"))))))))))</f>
        <v/>
      </c>
      <c r="AL1253" s="82" t="str">
        <f aca="false">IF(AND(ISNUMBER(P1253),OR(AK1253="À RADIOGRAPHIER",AK1253="RÉPARÉ – À RADIOGRAPHIER",AK1253="NX – RT À REFAIRE",AK1253="À RÉPARER",AK1253="COUPE – À RESOUDER",AK1253="VT REJETÉ – À REPRENDRE")),MAX(0,'PROGRAMME RT'!$C$4-P1253),"")</f>
        <v/>
      </c>
      <c r="AM1253" s="78" t="n">
        <f aca="false">IF(AND(OR(AK1253="À RADIOGRAPHIER",AK1253="RÉPARÉ – À RADIOGRAPHIER",AK1253="NX – RT À REFAIRE"),OR('PROGRAMME RT'!$D$5="TOUTES",B1253='PROGRAMME RT'!$D$5)),1,0)</f>
        <v>0</v>
      </c>
      <c r="AN1253" s="78" t="str">
        <f aca="false">IF(AM1253=1,SUM(AM$7:AM1253),"")</f>
        <v/>
      </c>
      <c r="AO1253" s="78" t="n">
        <f aca="false">IF(AND(OR(AK1253="À RÉPARER",AK1253="COUPE – À RESOUDER",AK1253="VT REJETÉ – À REPRENDRE"),OR(RÉPARATIONS!$D$5="TOUTES",B1253=RÉPARATIONS!$D$5)),1,0)</f>
        <v>0</v>
      </c>
      <c r="AP1253" s="78" t="str">
        <f aca="false">IF(AO1253=1,SUM(AO$7:AO1253),"")</f>
        <v/>
      </c>
    </row>
    <row r="1254" customFormat="false" ht="15" hidden="false" customHeight="false" outlineLevel="0" collapsed="false">
      <c r="A1254" s="78" t="str">
        <f aca="false">IF(E1254="","",ROW()-6)</f>
        <v/>
      </c>
      <c r="B1254" s="79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0"/>
      <c r="P1254" s="81"/>
      <c r="Q1254" s="81"/>
      <c r="R1254" s="80"/>
      <c r="S1254" s="80"/>
      <c r="T1254" s="81"/>
      <c r="U1254" s="80"/>
      <c r="V1254" s="80"/>
      <c r="W1254" s="80"/>
      <c r="X1254" s="80"/>
      <c r="Y1254" s="81"/>
      <c r="Z1254" s="80"/>
      <c r="AA1254" s="80"/>
      <c r="AB1254" s="80"/>
      <c r="AC1254" s="80"/>
      <c r="AD1254" s="81"/>
      <c r="AE1254" s="80"/>
      <c r="AF1254" s="80"/>
      <c r="AG1254" s="81"/>
      <c r="AH1254" s="79"/>
      <c r="AI1254" s="78" t="str">
        <f aca="false">IF(E1254="","",(V1254&lt;&gt;"")+(AA1254&lt;&gt;"")+(AF1254&lt;&gt;""))</f>
        <v/>
      </c>
      <c r="AJ1254" s="82" t="str">
        <f aca="false">IF(AF1254&lt;&gt;"",AF1254,IF(AA1254&lt;&gt;"",AA1254,IF(V1254&lt;&gt;"",V1254,"")))</f>
        <v/>
      </c>
      <c r="AK1254" s="83" t="str">
        <f aca="false">IF(E1254="","",IF(P1254="","À SOUDER",IF(S1254="","VT EN ATTENTE",IF(S1254="R","VT REJETÉ – À REPRENDRE",IF(AJ1254="","À RADIOGRAPHIER",IF(AJ1254="A","ACCEPTÉ",IF(AJ1254="NX","NX – RT À REFAIRE",IF(IF(AI1254=1,X1254,IF(AI1254=2,AC1254,""))="A","RÉPARÉ – À RADIOGRAPHIER",IF(IF(AI1254=1,X1254,IF(AI1254=2,AC1254,""))="R","VT REJETÉ – À REPRENDRE",IF(AJ1254="CO","COUPE – À RESOUDER","À RÉPARER"))))))))))</f>
        <v/>
      </c>
      <c r="AL1254" s="82" t="str">
        <f aca="false">IF(AND(ISNUMBER(P1254),OR(AK1254="À RADIOGRAPHIER",AK1254="RÉPARÉ – À RADIOGRAPHIER",AK1254="NX – RT À REFAIRE",AK1254="À RÉPARER",AK1254="COUPE – À RESOUDER",AK1254="VT REJETÉ – À REPRENDRE")),MAX(0,'PROGRAMME RT'!$C$4-P1254),"")</f>
        <v/>
      </c>
      <c r="AM1254" s="78" t="n">
        <f aca="false">IF(AND(OR(AK1254="À RADIOGRAPHIER",AK1254="RÉPARÉ – À RADIOGRAPHIER",AK1254="NX – RT À REFAIRE"),OR('PROGRAMME RT'!$D$5="TOUTES",B1254='PROGRAMME RT'!$D$5)),1,0)</f>
        <v>0</v>
      </c>
      <c r="AN1254" s="78" t="str">
        <f aca="false">IF(AM1254=1,SUM(AM$7:AM1254),"")</f>
        <v/>
      </c>
      <c r="AO1254" s="78" t="n">
        <f aca="false">IF(AND(OR(AK1254="À RÉPARER",AK1254="COUPE – À RESOUDER",AK1254="VT REJETÉ – À REPRENDRE"),OR(RÉPARATIONS!$D$5="TOUTES",B1254=RÉPARATIONS!$D$5)),1,0)</f>
        <v>0</v>
      </c>
      <c r="AP1254" s="78" t="str">
        <f aca="false">IF(AO1254=1,SUM(AO$7:AO1254),"")</f>
        <v/>
      </c>
    </row>
    <row r="1255" customFormat="false" ht="15" hidden="false" customHeight="false" outlineLevel="0" collapsed="false">
      <c r="A1255" s="78" t="str">
        <f aca="false">IF(E1255="","",ROW()-6)</f>
        <v/>
      </c>
      <c r="B1255" s="79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0"/>
      <c r="P1255" s="81"/>
      <c r="Q1255" s="81"/>
      <c r="R1255" s="80"/>
      <c r="S1255" s="80"/>
      <c r="T1255" s="81"/>
      <c r="U1255" s="80"/>
      <c r="V1255" s="80"/>
      <c r="W1255" s="80"/>
      <c r="X1255" s="80"/>
      <c r="Y1255" s="81"/>
      <c r="Z1255" s="80"/>
      <c r="AA1255" s="80"/>
      <c r="AB1255" s="80"/>
      <c r="AC1255" s="80"/>
      <c r="AD1255" s="81"/>
      <c r="AE1255" s="80"/>
      <c r="AF1255" s="80"/>
      <c r="AG1255" s="81"/>
      <c r="AH1255" s="79"/>
      <c r="AI1255" s="78" t="str">
        <f aca="false">IF(E1255="","",(V1255&lt;&gt;"")+(AA1255&lt;&gt;"")+(AF1255&lt;&gt;""))</f>
        <v/>
      </c>
      <c r="AJ1255" s="82" t="str">
        <f aca="false">IF(AF1255&lt;&gt;"",AF1255,IF(AA1255&lt;&gt;"",AA1255,IF(V1255&lt;&gt;"",V1255,"")))</f>
        <v/>
      </c>
      <c r="AK1255" s="83" t="str">
        <f aca="false">IF(E1255="","",IF(P1255="","À SOUDER",IF(S1255="","VT EN ATTENTE",IF(S1255="R","VT REJETÉ – À REPRENDRE",IF(AJ1255="","À RADIOGRAPHIER",IF(AJ1255="A","ACCEPTÉ",IF(AJ1255="NX","NX – RT À REFAIRE",IF(IF(AI1255=1,X1255,IF(AI1255=2,AC1255,""))="A","RÉPARÉ – À RADIOGRAPHIER",IF(IF(AI1255=1,X1255,IF(AI1255=2,AC1255,""))="R","VT REJETÉ – À REPRENDRE",IF(AJ1255="CO","COUPE – À RESOUDER","À RÉPARER"))))))))))</f>
        <v/>
      </c>
      <c r="AL1255" s="82" t="str">
        <f aca="false">IF(AND(ISNUMBER(P1255),OR(AK1255="À RADIOGRAPHIER",AK1255="RÉPARÉ – À RADIOGRAPHIER",AK1255="NX – RT À REFAIRE",AK1255="À RÉPARER",AK1255="COUPE – À RESOUDER",AK1255="VT REJETÉ – À REPRENDRE")),MAX(0,'PROGRAMME RT'!$C$4-P1255),"")</f>
        <v/>
      </c>
      <c r="AM1255" s="78" t="n">
        <f aca="false">IF(AND(OR(AK1255="À RADIOGRAPHIER",AK1255="RÉPARÉ – À RADIOGRAPHIER",AK1255="NX – RT À REFAIRE"),OR('PROGRAMME RT'!$D$5="TOUTES",B1255='PROGRAMME RT'!$D$5)),1,0)</f>
        <v>0</v>
      </c>
      <c r="AN1255" s="78" t="str">
        <f aca="false">IF(AM1255=1,SUM(AM$7:AM1255),"")</f>
        <v/>
      </c>
      <c r="AO1255" s="78" t="n">
        <f aca="false">IF(AND(OR(AK1255="À RÉPARER",AK1255="COUPE – À RESOUDER",AK1255="VT REJETÉ – À REPRENDRE"),OR(RÉPARATIONS!$D$5="TOUTES",B1255=RÉPARATIONS!$D$5)),1,0)</f>
        <v>0</v>
      </c>
      <c r="AP1255" s="78" t="str">
        <f aca="false">IF(AO1255=1,SUM(AO$7:AO1255),"")</f>
        <v/>
      </c>
    </row>
    <row r="1256" customFormat="false" ht="15" hidden="false" customHeight="false" outlineLevel="0" collapsed="false">
      <c r="A1256" s="78" t="str">
        <f aca="false">IF(E1256="","",ROW()-6)</f>
        <v/>
      </c>
      <c r="B1256" s="79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0"/>
      <c r="P1256" s="81"/>
      <c r="Q1256" s="81"/>
      <c r="R1256" s="80"/>
      <c r="S1256" s="80"/>
      <c r="T1256" s="81"/>
      <c r="U1256" s="80"/>
      <c r="V1256" s="80"/>
      <c r="W1256" s="80"/>
      <c r="X1256" s="80"/>
      <c r="Y1256" s="81"/>
      <c r="Z1256" s="80"/>
      <c r="AA1256" s="80"/>
      <c r="AB1256" s="80"/>
      <c r="AC1256" s="80"/>
      <c r="AD1256" s="81"/>
      <c r="AE1256" s="80"/>
      <c r="AF1256" s="80"/>
      <c r="AG1256" s="81"/>
      <c r="AH1256" s="79"/>
      <c r="AI1256" s="78" t="str">
        <f aca="false">IF(E1256="","",(V1256&lt;&gt;"")+(AA1256&lt;&gt;"")+(AF1256&lt;&gt;""))</f>
        <v/>
      </c>
      <c r="AJ1256" s="82" t="str">
        <f aca="false">IF(AF1256&lt;&gt;"",AF1256,IF(AA1256&lt;&gt;"",AA1256,IF(V1256&lt;&gt;"",V1256,"")))</f>
        <v/>
      </c>
      <c r="AK1256" s="83" t="str">
        <f aca="false">IF(E1256="","",IF(P1256="","À SOUDER",IF(S1256="","VT EN ATTENTE",IF(S1256="R","VT REJETÉ – À REPRENDRE",IF(AJ1256="","À RADIOGRAPHIER",IF(AJ1256="A","ACCEPTÉ",IF(AJ1256="NX","NX – RT À REFAIRE",IF(IF(AI1256=1,X1256,IF(AI1256=2,AC1256,""))="A","RÉPARÉ – À RADIOGRAPHIER",IF(IF(AI1256=1,X1256,IF(AI1256=2,AC1256,""))="R","VT REJETÉ – À REPRENDRE",IF(AJ1256="CO","COUPE – À RESOUDER","À RÉPARER"))))))))))</f>
        <v/>
      </c>
      <c r="AL1256" s="82" t="str">
        <f aca="false">IF(AND(ISNUMBER(P1256),OR(AK1256="À RADIOGRAPHIER",AK1256="RÉPARÉ – À RADIOGRAPHIER",AK1256="NX – RT À REFAIRE",AK1256="À RÉPARER",AK1256="COUPE – À RESOUDER",AK1256="VT REJETÉ – À REPRENDRE")),MAX(0,'PROGRAMME RT'!$C$4-P1256),"")</f>
        <v/>
      </c>
      <c r="AM1256" s="78" t="n">
        <f aca="false">IF(AND(OR(AK1256="À RADIOGRAPHIER",AK1256="RÉPARÉ – À RADIOGRAPHIER",AK1256="NX – RT À REFAIRE"),OR('PROGRAMME RT'!$D$5="TOUTES",B1256='PROGRAMME RT'!$D$5)),1,0)</f>
        <v>0</v>
      </c>
      <c r="AN1256" s="78" t="str">
        <f aca="false">IF(AM1256=1,SUM(AM$7:AM1256),"")</f>
        <v/>
      </c>
      <c r="AO1256" s="78" t="n">
        <f aca="false">IF(AND(OR(AK1256="À RÉPARER",AK1256="COUPE – À RESOUDER",AK1256="VT REJETÉ – À REPRENDRE"),OR(RÉPARATIONS!$D$5="TOUTES",B1256=RÉPARATIONS!$D$5)),1,0)</f>
        <v>0</v>
      </c>
      <c r="AP1256" s="78" t="str">
        <f aca="false">IF(AO1256=1,SUM(AO$7:AO1256),"")</f>
        <v/>
      </c>
    </row>
    <row r="1257" customFormat="false" ht="15" hidden="false" customHeight="false" outlineLevel="0" collapsed="false">
      <c r="A1257" s="78" t="str">
        <f aca="false">IF(E1257="","",ROW()-6)</f>
        <v/>
      </c>
      <c r="B1257" s="79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0"/>
      <c r="P1257" s="81"/>
      <c r="Q1257" s="81"/>
      <c r="R1257" s="80"/>
      <c r="S1257" s="80"/>
      <c r="T1257" s="81"/>
      <c r="U1257" s="80"/>
      <c r="V1257" s="80"/>
      <c r="W1257" s="80"/>
      <c r="X1257" s="80"/>
      <c r="Y1257" s="81"/>
      <c r="Z1257" s="80"/>
      <c r="AA1257" s="80"/>
      <c r="AB1257" s="80"/>
      <c r="AC1257" s="80"/>
      <c r="AD1257" s="81"/>
      <c r="AE1257" s="80"/>
      <c r="AF1257" s="80"/>
      <c r="AG1257" s="81"/>
      <c r="AH1257" s="79"/>
      <c r="AI1257" s="78" t="str">
        <f aca="false">IF(E1257="","",(V1257&lt;&gt;"")+(AA1257&lt;&gt;"")+(AF1257&lt;&gt;""))</f>
        <v/>
      </c>
      <c r="AJ1257" s="82" t="str">
        <f aca="false">IF(AF1257&lt;&gt;"",AF1257,IF(AA1257&lt;&gt;"",AA1257,IF(V1257&lt;&gt;"",V1257,"")))</f>
        <v/>
      </c>
      <c r="AK1257" s="83" t="str">
        <f aca="false">IF(E1257="","",IF(P1257="","À SOUDER",IF(S1257="","VT EN ATTENTE",IF(S1257="R","VT REJETÉ – À REPRENDRE",IF(AJ1257="","À RADIOGRAPHIER",IF(AJ1257="A","ACCEPTÉ",IF(AJ1257="NX","NX – RT À REFAIRE",IF(IF(AI1257=1,X1257,IF(AI1257=2,AC1257,""))="A","RÉPARÉ – À RADIOGRAPHIER",IF(IF(AI1257=1,X1257,IF(AI1257=2,AC1257,""))="R","VT REJETÉ – À REPRENDRE",IF(AJ1257="CO","COUPE – À RESOUDER","À RÉPARER"))))))))))</f>
        <v/>
      </c>
      <c r="AL1257" s="82" t="str">
        <f aca="false">IF(AND(ISNUMBER(P1257),OR(AK1257="À RADIOGRAPHIER",AK1257="RÉPARÉ – À RADIOGRAPHIER",AK1257="NX – RT À REFAIRE",AK1257="À RÉPARER",AK1257="COUPE – À RESOUDER",AK1257="VT REJETÉ – À REPRENDRE")),MAX(0,'PROGRAMME RT'!$C$4-P1257),"")</f>
        <v/>
      </c>
      <c r="AM1257" s="78" t="n">
        <f aca="false">IF(AND(OR(AK1257="À RADIOGRAPHIER",AK1257="RÉPARÉ – À RADIOGRAPHIER",AK1257="NX – RT À REFAIRE"),OR('PROGRAMME RT'!$D$5="TOUTES",B1257='PROGRAMME RT'!$D$5)),1,0)</f>
        <v>0</v>
      </c>
      <c r="AN1257" s="78" t="str">
        <f aca="false">IF(AM1257=1,SUM(AM$7:AM1257),"")</f>
        <v/>
      </c>
      <c r="AO1257" s="78" t="n">
        <f aca="false">IF(AND(OR(AK1257="À RÉPARER",AK1257="COUPE – À RESOUDER",AK1257="VT REJETÉ – À REPRENDRE"),OR(RÉPARATIONS!$D$5="TOUTES",B1257=RÉPARATIONS!$D$5)),1,0)</f>
        <v>0</v>
      </c>
      <c r="AP1257" s="78" t="str">
        <f aca="false">IF(AO1257=1,SUM(AO$7:AO1257),"")</f>
        <v/>
      </c>
    </row>
    <row r="1258" customFormat="false" ht="15" hidden="false" customHeight="false" outlineLevel="0" collapsed="false">
      <c r="A1258" s="78" t="str">
        <f aca="false">IF(E1258="","",ROW()-6)</f>
        <v/>
      </c>
      <c r="B1258" s="79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0"/>
      <c r="P1258" s="81"/>
      <c r="Q1258" s="81"/>
      <c r="R1258" s="80"/>
      <c r="S1258" s="80"/>
      <c r="T1258" s="81"/>
      <c r="U1258" s="80"/>
      <c r="V1258" s="80"/>
      <c r="W1258" s="80"/>
      <c r="X1258" s="80"/>
      <c r="Y1258" s="81"/>
      <c r="Z1258" s="80"/>
      <c r="AA1258" s="80"/>
      <c r="AB1258" s="80"/>
      <c r="AC1258" s="80"/>
      <c r="AD1258" s="81"/>
      <c r="AE1258" s="80"/>
      <c r="AF1258" s="80"/>
      <c r="AG1258" s="81"/>
      <c r="AH1258" s="79"/>
      <c r="AI1258" s="78" t="str">
        <f aca="false">IF(E1258="","",(V1258&lt;&gt;"")+(AA1258&lt;&gt;"")+(AF1258&lt;&gt;""))</f>
        <v/>
      </c>
      <c r="AJ1258" s="82" t="str">
        <f aca="false">IF(AF1258&lt;&gt;"",AF1258,IF(AA1258&lt;&gt;"",AA1258,IF(V1258&lt;&gt;"",V1258,"")))</f>
        <v/>
      </c>
      <c r="AK1258" s="83" t="str">
        <f aca="false">IF(E1258="","",IF(P1258="","À SOUDER",IF(S1258="","VT EN ATTENTE",IF(S1258="R","VT REJETÉ – À REPRENDRE",IF(AJ1258="","À RADIOGRAPHIER",IF(AJ1258="A","ACCEPTÉ",IF(AJ1258="NX","NX – RT À REFAIRE",IF(IF(AI1258=1,X1258,IF(AI1258=2,AC1258,""))="A","RÉPARÉ – À RADIOGRAPHIER",IF(IF(AI1258=1,X1258,IF(AI1258=2,AC1258,""))="R","VT REJETÉ – À REPRENDRE",IF(AJ1258="CO","COUPE – À RESOUDER","À RÉPARER"))))))))))</f>
        <v/>
      </c>
      <c r="AL1258" s="82" t="str">
        <f aca="false">IF(AND(ISNUMBER(P1258),OR(AK1258="À RADIOGRAPHIER",AK1258="RÉPARÉ – À RADIOGRAPHIER",AK1258="NX – RT À REFAIRE",AK1258="À RÉPARER",AK1258="COUPE – À RESOUDER",AK1258="VT REJETÉ – À REPRENDRE")),MAX(0,'PROGRAMME RT'!$C$4-P1258),"")</f>
        <v/>
      </c>
      <c r="AM1258" s="78" t="n">
        <f aca="false">IF(AND(OR(AK1258="À RADIOGRAPHIER",AK1258="RÉPARÉ – À RADIOGRAPHIER",AK1258="NX – RT À REFAIRE"),OR('PROGRAMME RT'!$D$5="TOUTES",B1258='PROGRAMME RT'!$D$5)),1,0)</f>
        <v>0</v>
      </c>
      <c r="AN1258" s="78" t="str">
        <f aca="false">IF(AM1258=1,SUM(AM$7:AM1258),"")</f>
        <v/>
      </c>
      <c r="AO1258" s="78" t="n">
        <f aca="false">IF(AND(OR(AK1258="À RÉPARER",AK1258="COUPE – À RESOUDER",AK1258="VT REJETÉ – À REPRENDRE"),OR(RÉPARATIONS!$D$5="TOUTES",B1258=RÉPARATIONS!$D$5)),1,0)</f>
        <v>0</v>
      </c>
      <c r="AP1258" s="78" t="str">
        <f aca="false">IF(AO1258=1,SUM(AO$7:AO1258),"")</f>
        <v/>
      </c>
    </row>
    <row r="1259" customFormat="false" ht="15" hidden="false" customHeight="false" outlineLevel="0" collapsed="false">
      <c r="A1259" s="78" t="str">
        <f aca="false">IF(E1259="","",ROW()-6)</f>
        <v/>
      </c>
      <c r="B1259" s="79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0"/>
      <c r="P1259" s="81"/>
      <c r="Q1259" s="81"/>
      <c r="R1259" s="80"/>
      <c r="S1259" s="80"/>
      <c r="T1259" s="81"/>
      <c r="U1259" s="80"/>
      <c r="V1259" s="80"/>
      <c r="W1259" s="80"/>
      <c r="X1259" s="80"/>
      <c r="Y1259" s="81"/>
      <c r="Z1259" s="80"/>
      <c r="AA1259" s="80"/>
      <c r="AB1259" s="80"/>
      <c r="AC1259" s="80"/>
      <c r="AD1259" s="81"/>
      <c r="AE1259" s="80"/>
      <c r="AF1259" s="80"/>
      <c r="AG1259" s="81"/>
      <c r="AH1259" s="79"/>
      <c r="AI1259" s="78" t="str">
        <f aca="false">IF(E1259="","",(V1259&lt;&gt;"")+(AA1259&lt;&gt;"")+(AF1259&lt;&gt;""))</f>
        <v/>
      </c>
      <c r="AJ1259" s="82" t="str">
        <f aca="false">IF(AF1259&lt;&gt;"",AF1259,IF(AA1259&lt;&gt;"",AA1259,IF(V1259&lt;&gt;"",V1259,"")))</f>
        <v/>
      </c>
      <c r="AK1259" s="83" t="str">
        <f aca="false">IF(E1259="","",IF(P1259="","À SOUDER",IF(S1259="","VT EN ATTENTE",IF(S1259="R","VT REJETÉ – À REPRENDRE",IF(AJ1259="","À RADIOGRAPHIER",IF(AJ1259="A","ACCEPTÉ",IF(AJ1259="NX","NX – RT À REFAIRE",IF(IF(AI1259=1,X1259,IF(AI1259=2,AC1259,""))="A","RÉPARÉ – À RADIOGRAPHIER",IF(IF(AI1259=1,X1259,IF(AI1259=2,AC1259,""))="R","VT REJETÉ – À REPRENDRE",IF(AJ1259="CO","COUPE – À RESOUDER","À RÉPARER"))))))))))</f>
        <v/>
      </c>
      <c r="AL1259" s="82" t="str">
        <f aca="false">IF(AND(ISNUMBER(P1259),OR(AK1259="À RADIOGRAPHIER",AK1259="RÉPARÉ – À RADIOGRAPHIER",AK1259="NX – RT À REFAIRE",AK1259="À RÉPARER",AK1259="COUPE – À RESOUDER",AK1259="VT REJETÉ – À REPRENDRE")),MAX(0,'PROGRAMME RT'!$C$4-P1259),"")</f>
        <v/>
      </c>
      <c r="AM1259" s="78" t="n">
        <f aca="false">IF(AND(OR(AK1259="À RADIOGRAPHIER",AK1259="RÉPARÉ – À RADIOGRAPHIER",AK1259="NX – RT À REFAIRE"),OR('PROGRAMME RT'!$D$5="TOUTES",B1259='PROGRAMME RT'!$D$5)),1,0)</f>
        <v>0</v>
      </c>
      <c r="AN1259" s="78" t="str">
        <f aca="false">IF(AM1259=1,SUM(AM$7:AM1259),"")</f>
        <v/>
      </c>
      <c r="AO1259" s="78" t="n">
        <f aca="false">IF(AND(OR(AK1259="À RÉPARER",AK1259="COUPE – À RESOUDER",AK1259="VT REJETÉ – À REPRENDRE"),OR(RÉPARATIONS!$D$5="TOUTES",B1259=RÉPARATIONS!$D$5)),1,0)</f>
        <v>0</v>
      </c>
      <c r="AP1259" s="78" t="str">
        <f aca="false">IF(AO1259=1,SUM(AO$7:AO1259),"")</f>
        <v/>
      </c>
    </row>
    <row r="1260" customFormat="false" ht="15" hidden="false" customHeight="false" outlineLevel="0" collapsed="false">
      <c r="A1260" s="78" t="str">
        <f aca="false">IF(E1260="","",ROW()-6)</f>
        <v/>
      </c>
      <c r="B1260" s="79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0"/>
      <c r="P1260" s="81"/>
      <c r="Q1260" s="81"/>
      <c r="R1260" s="80"/>
      <c r="S1260" s="80"/>
      <c r="T1260" s="81"/>
      <c r="U1260" s="80"/>
      <c r="V1260" s="80"/>
      <c r="W1260" s="80"/>
      <c r="X1260" s="80"/>
      <c r="Y1260" s="81"/>
      <c r="Z1260" s="80"/>
      <c r="AA1260" s="80"/>
      <c r="AB1260" s="80"/>
      <c r="AC1260" s="80"/>
      <c r="AD1260" s="81"/>
      <c r="AE1260" s="80"/>
      <c r="AF1260" s="80"/>
      <c r="AG1260" s="81"/>
      <c r="AH1260" s="79"/>
      <c r="AI1260" s="78" t="str">
        <f aca="false">IF(E1260="","",(V1260&lt;&gt;"")+(AA1260&lt;&gt;"")+(AF1260&lt;&gt;""))</f>
        <v/>
      </c>
      <c r="AJ1260" s="82" t="str">
        <f aca="false">IF(AF1260&lt;&gt;"",AF1260,IF(AA1260&lt;&gt;"",AA1260,IF(V1260&lt;&gt;"",V1260,"")))</f>
        <v/>
      </c>
      <c r="AK1260" s="83" t="str">
        <f aca="false">IF(E1260="","",IF(P1260="","À SOUDER",IF(S1260="","VT EN ATTENTE",IF(S1260="R","VT REJETÉ – À REPRENDRE",IF(AJ1260="","À RADIOGRAPHIER",IF(AJ1260="A","ACCEPTÉ",IF(AJ1260="NX","NX – RT À REFAIRE",IF(IF(AI1260=1,X1260,IF(AI1260=2,AC1260,""))="A","RÉPARÉ – À RADIOGRAPHIER",IF(IF(AI1260=1,X1260,IF(AI1260=2,AC1260,""))="R","VT REJETÉ – À REPRENDRE",IF(AJ1260="CO","COUPE – À RESOUDER","À RÉPARER"))))))))))</f>
        <v/>
      </c>
      <c r="AL1260" s="82" t="str">
        <f aca="false">IF(AND(ISNUMBER(P1260),OR(AK1260="À RADIOGRAPHIER",AK1260="RÉPARÉ – À RADIOGRAPHIER",AK1260="NX – RT À REFAIRE",AK1260="À RÉPARER",AK1260="COUPE – À RESOUDER",AK1260="VT REJETÉ – À REPRENDRE")),MAX(0,'PROGRAMME RT'!$C$4-P1260),"")</f>
        <v/>
      </c>
      <c r="AM1260" s="78" t="n">
        <f aca="false">IF(AND(OR(AK1260="À RADIOGRAPHIER",AK1260="RÉPARÉ – À RADIOGRAPHIER",AK1260="NX – RT À REFAIRE"),OR('PROGRAMME RT'!$D$5="TOUTES",B1260='PROGRAMME RT'!$D$5)),1,0)</f>
        <v>0</v>
      </c>
      <c r="AN1260" s="78" t="str">
        <f aca="false">IF(AM1260=1,SUM(AM$7:AM1260),"")</f>
        <v/>
      </c>
      <c r="AO1260" s="78" t="n">
        <f aca="false">IF(AND(OR(AK1260="À RÉPARER",AK1260="COUPE – À RESOUDER",AK1260="VT REJETÉ – À REPRENDRE"),OR(RÉPARATIONS!$D$5="TOUTES",B1260=RÉPARATIONS!$D$5)),1,0)</f>
        <v>0</v>
      </c>
      <c r="AP1260" s="78" t="str">
        <f aca="false">IF(AO1260=1,SUM(AO$7:AO1260),"")</f>
        <v/>
      </c>
    </row>
    <row r="1261" customFormat="false" ht="15" hidden="false" customHeight="false" outlineLevel="0" collapsed="false">
      <c r="A1261" s="78" t="str">
        <f aca="false">IF(E1261="","",ROW()-6)</f>
        <v/>
      </c>
      <c r="B1261" s="79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0"/>
      <c r="P1261" s="81"/>
      <c r="Q1261" s="81"/>
      <c r="R1261" s="80"/>
      <c r="S1261" s="80"/>
      <c r="T1261" s="81"/>
      <c r="U1261" s="80"/>
      <c r="V1261" s="80"/>
      <c r="W1261" s="80"/>
      <c r="X1261" s="80"/>
      <c r="Y1261" s="81"/>
      <c r="Z1261" s="80"/>
      <c r="AA1261" s="80"/>
      <c r="AB1261" s="80"/>
      <c r="AC1261" s="80"/>
      <c r="AD1261" s="81"/>
      <c r="AE1261" s="80"/>
      <c r="AF1261" s="80"/>
      <c r="AG1261" s="81"/>
      <c r="AH1261" s="79"/>
      <c r="AI1261" s="78" t="str">
        <f aca="false">IF(E1261="","",(V1261&lt;&gt;"")+(AA1261&lt;&gt;"")+(AF1261&lt;&gt;""))</f>
        <v/>
      </c>
      <c r="AJ1261" s="82" t="str">
        <f aca="false">IF(AF1261&lt;&gt;"",AF1261,IF(AA1261&lt;&gt;"",AA1261,IF(V1261&lt;&gt;"",V1261,"")))</f>
        <v/>
      </c>
      <c r="AK1261" s="83" t="str">
        <f aca="false">IF(E1261="","",IF(P1261="","À SOUDER",IF(S1261="","VT EN ATTENTE",IF(S1261="R","VT REJETÉ – À REPRENDRE",IF(AJ1261="","À RADIOGRAPHIER",IF(AJ1261="A","ACCEPTÉ",IF(AJ1261="NX","NX – RT À REFAIRE",IF(IF(AI1261=1,X1261,IF(AI1261=2,AC1261,""))="A","RÉPARÉ – À RADIOGRAPHIER",IF(IF(AI1261=1,X1261,IF(AI1261=2,AC1261,""))="R","VT REJETÉ – À REPRENDRE",IF(AJ1261="CO","COUPE – À RESOUDER","À RÉPARER"))))))))))</f>
        <v/>
      </c>
      <c r="AL1261" s="82" t="str">
        <f aca="false">IF(AND(ISNUMBER(P1261),OR(AK1261="À RADIOGRAPHIER",AK1261="RÉPARÉ – À RADIOGRAPHIER",AK1261="NX – RT À REFAIRE",AK1261="À RÉPARER",AK1261="COUPE – À RESOUDER",AK1261="VT REJETÉ – À REPRENDRE")),MAX(0,'PROGRAMME RT'!$C$4-P1261),"")</f>
        <v/>
      </c>
      <c r="AM1261" s="78" t="n">
        <f aca="false">IF(AND(OR(AK1261="À RADIOGRAPHIER",AK1261="RÉPARÉ – À RADIOGRAPHIER",AK1261="NX – RT À REFAIRE"),OR('PROGRAMME RT'!$D$5="TOUTES",B1261='PROGRAMME RT'!$D$5)),1,0)</f>
        <v>0</v>
      </c>
      <c r="AN1261" s="78" t="str">
        <f aca="false">IF(AM1261=1,SUM(AM$7:AM1261),"")</f>
        <v/>
      </c>
      <c r="AO1261" s="78" t="n">
        <f aca="false">IF(AND(OR(AK1261="À RÉPARER",AK1261="COUPE – À RESOUDER",AK1261="VT REJETÉ – À REPRENDRE"),OR(RÉPARATIONS!$D$5="TOUTES",B1261=RÉPARATIONS!$D$5)),1,0)</f>
        <v>0</v>
      </c>
      <c r="AP1261" s="78" t="str">
        <f aca="false">IF(AO1261=1,SUM(AO$7:AO1261),"")</f>
        <v/>
      </c>
    </row>
    <row r="1262" customFormat="false" ht="15" hidden="false" customHeight="false" outlineLevel="0" collapsed="false">
      <c r="A1262" s="78" t="str">
        <f aca="false">IF(E1262="","",ROW()-6)</f>
        <v/>
      </c>
      <c r="B1262" s="79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0"/>
      <c r="P1262" s="81"/>
      <c r="Q1262" s="81"/>
      <c r="R1262" s="80"/>
      <c r="S1262" s="80"/>
      <c r="T1262" s="81"/>
      <c r="U1262" s="80"/>
      <c r="V1262" s="80"/>
      <c r="W1262" s="80"/>
      <c r="X1262" s="80"/>
      <c r="Y1262" s="81"/>
      <c r="Z1262" s="80"/>
      <c r="AA1262" s="80"/>
      <c r="AB1262" s="80"/>
      <c r="AC1262" s="80"/>
      <c r="AD1262" s="81"/>
      <c r="AE1262" s="80"/>
      <c r="AF1262" s="80"/>
      <c r="AG1262" s="81"/>
      <c r="AH1262" s="79"/>
      <c r="AI1262" s="78" t="str">
        <f aca="false">IF(E1262="","",(V1262&lt;&gt;"")+(AA1262&lt;&gt;"")+(AF1262&lt;&gt;""))</f>
        <v/>
      </c>
      <c r="AJ1262" s="82" t="str">
        <f aca="false">IF(AF1262&lt;&gt;"",AF1262,IF(AA1262&lt;&gt;"",AA1262,IF(V1262&lt;&gt;"",V1262,"")))</f>
        <v/>
      </c>
      <c r="AK1262" s="83" t="str">
        <f aca="false">IF(E1262="","",IF(P1262="","À SOUDER",IF(S1262="","VT EN ATTENTE",IF(S1262="R","VT REJETÉ – À REPRENDRE",IF(AJ1262="","À RADIOGRAPHIER",IF(AJ1262="A","ACCEPTÉ",IF(AJ1262="NX","NX – RT À REFAIRE",IF(IF(AI1262=1,X1262,IF(AI1262=2,AC1262,""))="A","RÉPARÉ – À RADIOGRAPHIER",IF(IF(AI1262=1,X1262,IF(AI1262=2,AC1262,""))="R","VT REJETÉ – À REPRENDRE",IF(AJ1262="CO","COUPE – À RESOUDER","À RÉPARER"))))))))))</f>
        <v/>
      </c>
      <c r="AL1262" s="82" t="str">
        <f aca="false">IF(AND(ISNUMBER(P1262),OR(AK1262="À RADIOGRAPHIER",AK1262="RÉPARÉ – À RADIOGRAPHIER",AK1262="NX – RT À REFAIRE",AK1262="À RÉPARER",AK1262="COUPE – À RESOUDER",AK1262="VT REJETÉ – À REPRENDRE")),MAX(0,'PROGRAMME RT'!$C$4-P1262),"")</f>
        <v/>
      </c>
      <c r="AM1262" s="78" t="n">
        <f aca="false">IF(AND(OR(AK1262="À RADIOGRAPHIER",AK1262="RÉPARÉ – À RADIOGRAPHIER",AK1262="NX – RT À REFAIRE"),OR('PROGRAMME RT'!$D$5="TOUTES",B1262='PROGRAMME RT'!$D$5)),1,0)</f>
        <v>0</v>
      </c>
      <c r="AN1262" s="78" t="str">
        <f aca="false">IF(AM1262=1,SUM(AM$7:AM1262),"")</f>
        <v/>
      </c>
      <c r="AO1262" s="78" t="n">
        <f aca="false">IF(AND(OR(AK1262="À RÉPARER",AK1262="COUPE – À RESOUDER",AK1262="VT REJETÉ – À REPRENDRE"),OR(RÉPARATIONS!$D$5="TOUTES",B1262=RÉPARATIONS!$D$5)),1,0)</f>
        <v>0</v>
      </c>
      <c r="AP1262" s="78" t="str">
        <f aca="false">IF(AO1262=1,SUM(AO$7:AO1262),"")</f>
        <v/>
      </c>
    </row>
    <row r="1263" customFormat="false" ht="15" hidden="false" customHeight="false" outlineLevel="0" collapsed="false">
      <c r="A1263" s="78" t="str">
        <f aca="false">IF(E1263="","",ROW()-6)</f>
        <v/>
      </c>
      <c r="B1263" s="79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0"/>
      <c r="P1263" s="81"/>
      <c r="Q1263" s="81"/>
      <c r="R1263" s="80"/>
      <c r="S1263" s="80"/>
      <c r="T1263" s="81"/>
      <c r="U1263" s="80"/>
      <c r="V1263" s="80"/>
      <c r="W1263" s="80"/>
      <c r="X1263" s="80"/>
      <c r="Y1263" s="81"/>
      <c r="Z1263" s="80"/>
      <c r="AA1263" s="80"/>
      <c r="AB1263" s="80"/>
      <c r="AC1263" s="80"/>
      <c r="AD1263" s="81"/>
      <c r="AE1263" s="80"/>
      <c r="AF1263" s="80"/>
      <c r="AG1263" s="81"/>
      <c r="AH1263" s="79"/>
      <c r="AI1263" s="78" t="str">
        <f aca="false">IF(E1263="","",(V1263&lt;&gt;"")+(AA1263&lt;&gt;"")+(AF1263&lt;&gt;""))</f>
        <v/>
      </c>
      <c r="AJ1263" s="82" t="str">
        <f aca="false">IF(AF1263&lt;&gt;"",AF1263,IF(AA1263&lt;&gt;"",AA1263,IF(V1263&lt;&gt;"",V1263,"")))</f>
        <v/>
      </c>
      <c r="AK1263" s="83" t="str">
        <f aca="false">IF(E1263="","",IF(P1263="","À SOUDER",IF(S1263="","VT EN ATTENTE",IF(S1263="R","VT REJETÉ – À REPRENDRE",IF(AJ1263="","À RADIOGRAPHIER",IF(AJ1263="A","ACCEPTÉ",IF(AJ1263="NX","NX – RT À REFAIRE",IF(IF(AI1263=1,X1263,IF(AI1263=2,AC1263,""))="A","RÉPARÉ – À RADIOGRAPHIER",IF(IF(AI1263=1,X1263,IF(AI1263=2,AC1263,""))="R","VT REJETÉ – À REPRENDRE",IF(AJ1263="CO","COUPE – À RESOUDER","À RÉPARER"))))))))))</f>
        <v/>
      </c>
      <c r="AL1263" s="82" t="str">
        <f aca="false">IF(AND(ISNUMBER(P1263),OR(AK1263="À RADIOGRAPHIER",AK1263="RÉPARÉ – À RADIOGRAPHIER",AK1263="NX – RT À REFAIRE",AK1263="À RÉPARER",AK1263="COUPE – À RESOUDER",AK1263="VT REJETÉ – À REPRENDRE")),MAX(0,'PROGRAMME RT'!$C$4-P1263),"")</f>
        <v/>
      </c>
      <c r="AM1263" s="78" t="n">
        <f aca="false">IF(AND(OR(AK1263="À RADIOGRAPHIER",AK1263="RÉPARÉ – À RADIOGRAPHIER",AK1263="NX – RT À REFAIRE"),OR('PROGRAMME RT'!$D$5="TOUTES",B1263='PROGRAMME RT'!$D$5)),1,0)</f>
        <v>0</v>
      </c>
      <c r="AN1263" s="78" t="str">
        <f aca="false">IF(AM1263=1,SUM(AM$7:AM1263),"")</f>
        <v/>
      </c>
      <c r="AO1263" s="78" t="n">
        <f aca="false">IF(AND(OR(AK1263="À RÉPARER",AK1263="COUPE – À RESOUDER",AK1263="VT REJETÉ – À REPRENDRE"),OR(RÉPARATIONS!$D$5="TOUTES",B1263=RÉPARATIONS!$D$5)),1,0)</f>
        <v>0</v>
      </c>
      <c r="AP1263" s="78" t="str">
        <f aca="false">IF(AO1263=1,SUM(AO$7:AO1263),"")</f>
        <v/>
      </c>
    </row>
    <row r="1264" customFormat="false" ht="15" hidden="false" customHeight="false" outlineLevel="0" collapsed="false">
      <c r="A1264" s="78" t="str">
        <f aca="false">IF(E1264="","",ROW()-6)</f>
        <v/>
      </c>
      <c r="B1264" s="79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0"/>
      <c r="P1264" s="81"/>
      <c r="Q1264" s="81"/>
      <c r="R1264" s="80"/>
      <c r="S1264" s="80"/>
      <c r="T1264" s="81"/>
      <c r="U1264" s="80"/>
      <c r="V1264" s="80"/>
      <c r="W1264" s="80"/>
      <c r="X1264" s="80"/>
      <c r="Y1264" s="81"/>
      <c r="Z1264" s="80"/>
      <c r="AA1264" s="80"/>
      <c r="AB1264" s="80"/>
      <c r="AC1264" s="80"/>
      <c r="AD1264" s="81"/>
      <c r="AE1264" s="80"/>
      <c r="AF1264" s="80"/>
      <c r="AG1264" s="81"/>
      <c r="AH1264" s="79"/>
      <c r="AI1264" s="78" t="str">
        <f aca="false">IF(E1264="","",(V1264&lt;&gt;"")+(AA1264&lt;&gt;"")+(AF1264&lt;&gt;""))</f>
        <v/>
      </c>
      <c r="AJ1264" s="82" t="str">
        <f aca="false">IF(AF1264&lt;&gt;"",AF1264,IF(AA1264&lt;&gt;"",AA1264,IF(V1264&lt;&gt;"",V1264,"")))</f>
        <v/>
      </c>
      <c r="AK1264" s="83" t="str">
        <f aca="false">IF(E1264="","",IF(P1264="","À SOUDER",IF(S1264="","VT EN ATTENTE",IF(S1264="R","VT REJETÉ – À REPRENDRE",IF(AJ1264="","À RADIOGRAPHIER",IF(AJ1264="A","ACCEPTÉ",IF(AJ1264="NX","NX – RT À REFAIRE",IF(IF(AI1264=1,X1264,IF(AI1264=2,AC1264,""))="A","RÉPARÉ – À RADIOGRAPHIER",IF(IF(AI1264=1,X1264,IF(AI1264=2,AC1264,""))="R","VT REJETÉ – À REPRENDRE",IF(AJ1264="CO","COUPE – À RESOUDER","À RÉPARER"))))))))))</f>
        <v/>
      </c>
      <c r="AL1264" s="82" t="str">
        <f aca="false">IF(AND(ISNUMBER(P1264),OR(AK1264="À RADIOGRAPHIER",AK1264="RÉPARÉ – À RADIOGRAPHIER",AK1264="NX – RT À REFAIRE",AK1264="À RÉPARER",AK1264="COUPE – À RESOUDER",AK1264="VT REJETÉ – À REPRENDRE")),MAX(0,'PROGRAMME RT'!$C$4-P1264),"")</f>
        <v/>
      </c>
      <c r="AM1264" s="78" t="n">
        <f aca="false">IF(AND(OR(AK1264="À RADIOGRAPHIER",AK1264="RÉPARÉ – À RADIOGRAPHIER",AK1264="NX – RT À REFAIRE"),OR('PROGRAMME RT'!$D$5="TOUTES",B1264='PROGRAMME RT'!$D$5)),1,0)</f>
        <v>0</v>
      </c>
      <c r="AN1264" s="78" t="str">
        <f aca="false">IF(AM1264=1,SUM(AM$7:AM1264),"")</f>
        <v/>
      </c>
      <c r="AO1264" s="78" t="n">
        <f aca="false">IF(AND(OR(AK1264="À RÉPARER",AK1264="COUPE – À RESOUDER",AK1264="VT REJETÉ – À REPRENDRE"),OR(RÉPARATIONS!$D$5="TOUTES",B1264=RÉPARATIONS!$D$5)),1,0)</f>
        <v>0</v>
      </c>
      <c r="AP1264" s="78" t="str">
        <f aca="false">IF(AO1264=1,SUM(AO$7:AO1264),"")</f>
        <v/>
      </c>
    </row>
    <row r="1265" customFormat="false" ht="15" hidden="false" customHeight="false" outlineLevel="0" collapsed="false">
      <c r="A1265" s="78" t="str">
        <f aca="false">IF(E1265="","",ROW()-6)</f>
        <v/>
      </c>
      <c r="B1265" s="79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0"/>
      <c r="P1265" s="81"/>
      <c r="Q1265" s="81"/>
      <c r="R1265" s="80"/>
      <c r="S1265" s="80"/>
      <c r="T1265" s="81"/>
      <c r="U1265" s="80"/>
      <c r="V1265" s="80"/>
      <c r="W1265" s="80"/>
      <c r="X1265" s="80"/>
      <c r="Y1265" s="81"/>
      <c r="Z1265" s="80"/>
      <c r="AA1265" s="80"/>
      <c r="AB1265" s="80"/>
      <c r="AC1265" s="80"/>
      <c r="AD1265" s="81"/>
      <c r="AE1265" s="80"/>
      <c r="AF1265" s="80"/>
      <c r="AG1265" s="81"/>
      <c r="AH1265" s="79"/>
      <c r="AI1265" s="78" t="str">
        <f aca="false">IF(E1265="","",(V1265&lt;&gt;"")+(AA1265&lt;&gt;"")+(AF1265&lt;&gt;""))</f>
        <v/>
      </c>
      <c r="AJ1265" s="82" t="str">
        <f aca="false">IF(AF1265&lt;&gt;"",AF1265,IF(AA1265&lt;&gt;"",AA1265,IF(V1265&lt;&gt;"",V1265,"")))</f>
        <v/>
      </c>
      <c r="AK1265" s="83" t="str">
        <f aca="false">IF(E1265="","",IF(P1265="","À SOUDER",IF(S1265="","VT EN ATTENTE",IF(S1265="R","VT REJETÉ – À REPRENDRE",IF(AJ1265="","À RADIOGRAPHIER",IF(AJ1265="A","ACCEPTÉ",IF(AJ1265="NX","NX – RT À REFAIRE",IF(IF(AI1265=1,X1265,IF(AI1265=2,AC1265,""))="A","RÉPARÉ – À RADIOGRAPHIER",IF(IF(AI1265=1,X1265,IF(AI1265=2,AC1265,""))="R","VT REJETÉ – À REPRENDRE",IF(AJ1265="CO","COUPE – À RESOUDER","À RÉPARER"))))))))))</f>
        <v/>
      </c>
      <c r="AL1265" s="82" t="str">
        <f aca="false">IF(AND(ISNUMBER(P1265),OR(AK1265="À RADIOGRAPHIER",AK1265="RÉPARÉ – À RADIOGRAPHIER",AK1265="NX – RT À REFAIRE",AK1265="À RÉPARER",AK1265="COUPE – À RESOUDER",AK1265="VT REJETÉ – À REPRENDRE")),MAX(0,'PROGRAMME RT'!$C$4-P1265),"")</f>
        <v/>
      </c>
      <c r="AM1265" s="78" t="n">
        <f aca="false">IF(AND(OR(AK1265="À RADIOGRAPHIER",AK1265="RÉPARÉ – À RADIOGRAPHIER",AK1265="NX – RT À REFAIRE"),OR('PROGRAMME RT'!$D$5="TOUTES",B1265='PROGRAMME RT'!$D$5)),1,0)</f>
        <v>0</v>
      </c>
      <c r="AN1265" s="78" t="str">
        <f aca="false">IF(AM1265=1,SUM(AM$7:AM1265),"")</f>
        <v/>
      </c>
      <c r="AO1265" s="78" t="n">
        <f aca="false">IF(AND(OR(AK1265="À RÉPARER",AK1265="COUPE – À RESOUDER",AK1265="VT REJETÉ – À REPRENDRE"),OR(RÉPARATIONS!$D$5="TOUTES",B1265=RÉPARATIONS!$D$5)),1,0)</f>
        <v>0</v>
      </c>
      <c r="AP1265" s="78" t="str">
        <f aca="false">IF(AO1265=1,SUM(AO$7:AO1265),"")</f>
        <v/>
      </c>
    </row>
    <row r="1266" customFormat="false" ht="15" hidden="false" customHeight="false" outlineLevel="0" collapsed="false">
      <c r="A1266" s="78" t="str">
        <f aca="false">IF(E1266="","",ROW()-6)</f>
        <v/>
      </c>
      <c r="B1266" s="79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0"/>
      <c r="P1266" s="81"/>
      <c r="Q1266" s="81"/>
      <c r="R1266" s="80"/>
      <c r="S1266" s="80"/>
      <c r="T1266" s="81"/>
      <c r="U1266" s="80"/>
      <c r="V1266" s="80"/>
      <c r="W1266" s="80"/>
      <c r="X1266" s="80"/>
      <c r="Y1266" s="81"/>
      <c r="Z1266" s="80"/>
      <c r="AA1266" s="80"/>
      <c r="AB1266" s="80"/>
      <c r="AC1266" s="80"/>
      <c r="AD1266" s="81"/>
      <c r="AE1266" s="80"/>
      <c r="AF1266" s="80"/>
      <c r="AG1266" s="81"/>
      <c r="AH1266" s="79"/>
      <c r="AI1266" s="78" t="str">
        <f aca="false">IF(E1266="","",(V1266&lt;&gt;"")+(AA1266&lt;&gt;"")+(AF1266&lt;&gt;""))</f>
        <v/>
      </c>
      <c r="AJ1266" s="82" t="str">
        <f aca="false">IF(AF1266&lt;&gt;"",AF1266,IF(AA1266&lt;&gt;"",AA1266,IF(V1266&lt;&gt;"",V1266,"")))</f>
        <v/>
      </c>
      <c r="AK1266" s="83" t="str">
        <f aca="false">IF(E1266="","",IF(P1266="","À SOUDER",IF(S1266="","VT EN ATTENTE",IF(S1266="R","VT REJETÉ – À REPRENDRE",IF(AJ1266="","À RADIOGRAPHIER",IF(AJ1266="A","ACCEPTÉ",IF(AJ1266="NX","NX – RT À REFAIRE",IF(IF(AI1266=1,X1266,IF(AI1266=2,AC1266,""))="A","RÉPARÉ – À RADIOGRAPHIER",IF(IF(AI1266=1,X1266,IF(AI1266=2,AC1266,""))="R","VT REJETÉ – À REPRENDRE",IF(AJ1266="CO","COUPE – À RESOUDER","À RÉPARER"))))))))))</f>
        <v/>
      </c>
      <c r="AL1266" s="82" t="str">
        <f aca="false">IF(AND(ISNUMBER(P1266),OR(AK1266="À RADIOGRAPHIER",AK1266="RÉPARÉ – À RADIOGRAPHIER",AK1266="NX – RT À REFAIRE",AK1266="À RÉPARER",AK1266="COUPE – À RESOUDER",AK1266="VT REJETÉ – À REPRENDRE")),MAX(0,'PROGRAMME RT'!$C$4-P1266),"")</f>
        <v/>
      </c>
      <c r="AM1266" s="78" t="n">
        <f aca="false">IF(AND(OR(AK1266="À RADIOGRAPHIER",AK1266="RÉPARÉ – À RADIOGRAPHIER",AK1266="NX – RT À REFAIRE"),OR('PROGRAMME RT'!$D$5="TOUTES",B1266='PROGRAMME RT'!$D$5)),1,0)</f>
        <v>0</v>
      </c>
      <c r="AN1266" s="78" t="str">
        <f aca="false">IF(AM1266=1,SUM(AM$7:AM1266),"")</f>
        <v/>
      </c>
      <c r="AO1266" s="78" t="n">
        <f aca="false">IF(AND(OR(AK1266="À RÉPARER",AK1266="COUPE – À RESOUDER",AK1266="VT REJETÉ – À REPRENDRE"),OR(RÉPARATIONS!$D$5="TOUTES",B1266=RÉPARATIONS!$D$5)),1,0)</f>
        <v>0</v>
      </c>
      <c r="AP1266" s="78" t="str">
        <f aca="false">IF(AO1266=1,SUM(AO$7:AO1266),"")</f>
        <v/>
      </c>
    </row>
    <row r="1267" customFormat="false" ht="15" hidden="false" customHeight="false" outlineLevel="0" collapsed="false">
      <c r="A1267" s="78" t="str">
        <f aca="false">IF(E1267="","",ROW()-6)</f>
        <v/>
      </c>
      <c r="B1267" s="79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0"/>
      <c r="P1267" s="81"/>
      <c r="Q1267" s="81"/>
      <c r="R1267" s="80"/>
      <c r="S1267" s="80"/>
      <c r="T1267" s="81"/>
      <c r="U1267" s="80"/>
      <c r="V1267" s="80"/>
      <c r="W1267" s="80"/>
      <c r="X1267" s="80"/>
      <c r="Y1267" s="81"/>
      <c r="Z1267" s="80"/>
      <c r="AA1267" s="80"/>
      <c r="AB1267" s="80"/>
      <c r="AC1267" s="80"/>
      <c r="AD1267" s="81"/>
      <c r="AE1267" s="80"/>
      <c r="AF1267" s="80"/>
      <c r="AG1267" s="81"/>
      <c r="AH1267" s="79"/>
      <c r="AI1267" s="78" t="str">
        <f aca="false">IF(E1267="","",(V1267&lt;&gt;"")+(AA1267&lt;&gt;"")+(AF1267&lt;&gt;""))</f>
        <v/>
      </c>
      <c r="AJ1267" s="82" t="str">
        <f aca="false">IF(AF1267&lt;&gt;"",AF1267,IF(AA1267&lt;&gt;"",AA1267,IF(V1267&lt;&gt;"",V1267,"")))</f>
        <v/>
      </c>
      <c r="AK1267" s="83" t="str">
        <f aca="false">IF(E1267="","",IF(P1267="","À SOUDER",IF(S1267="","VT EN ATTENTE",IF(S1267="R","VT REJETÉ – À REPRENDRE",IF(AJ1267="","À RADIOGRAPHIER",IF(AJ1267="A","ACCEPTÉ",IF(AJ1267="NX","NX – RT À REFAIRE",IF(IF(AI1267=1,X1267,IF(AI1267=2,AC1267,""))="A","RÉPARÉ – À RADIOGRAPHIER",IF(IF(AI1267=1,X1267,IF(AI1267=2,AC1267,""))="R","VT REJETÉ – À REPRENDRE",IF(AJ1267="CO","COUPE – À RESOUDER","À RÉPARER"))))))))))</f>
        <v/>
      </c>
      <c r="AL1267" s="82" t="str">
        <f aca="false">IF(AND(ISNUMBER(P1267),OR(AK1267="À RADIOGRAPHIER",AK1267="RÉPARÉ – À RADIOGRAPHIER",AK1267="NX – RT À REFAIRE",AK1267="À RÉPARER",AK1267="COUPE – À RESOUDER",AK1267="VT REJETÉ – À REPRENDRE")),MAX(0,'PROGRAMME RT'!$C$4-P1267),"")</f>
        <v/>
      </c>
      <c r="AM1267" s="78" t="n">
        <f aca="false">IF(AND(OR(AK1267="À RADIOGRAPHIER",AK1267="RÉPARÉ – À RADIOGRAPHIER",AK1267="NX – RT À REFAIRE"),OR('PROGRAMME RT'!$D$5="TOUTES",B1267='PROGRAMME RT'!$D$5)),1,0)</f>
        <v>0</v>
      </c>
      <c r="AN1267" s="78" t="str">
        <f aca="false">IF(AM1267=1,SUM(AM$7:AM1267),"")</f>
        <v/>
      </c>
      <c r="AO1267" s="78" t="n">
        <f aca="false">IF(AND(OR(AK1267="À RÉPARER",AK1267="COUPE – À RESOUDER",AK1267="VT REJETÉ – À REPRENDRE"),OR(RÉPARATIONS!$D$5="TOUTES",B1267=RÉPARATIONS!$D$5)),1,0)</f>
        <v>0</v>
      </c>
      <c r="AP1267" s="78" t="str">
        <f aca="false">IF(AO1267=1,SUM(AO$7:AO1267),"")</f>
        <v/>
      </c>
    </row>
    <row r="1268" customFormat="false" ht="15" hidden="false" customHeight="false" outlineLevel="0" collapsed="false">
      <c r="A1268" s="78" t="str">
        <f aca="false">IF(E1268="","",ROW()-6)</f>
        <v/>
      </c>
      <c r="B1268" s="79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0"/>
      <c r="P1268" s="81"/>
      <c r="Q1268" s="81"/>
      <c r="R1268" s="80"/>
      <c r="S1268" s="80"/>
      <c r="T1268" s="81"/>
      <c r="U1268" s="80"/>
      <c r="V1268" s="80"/>
      <c r="W1268" s="80"/>
      <c r="X1268" s="80"/>
      <c r="Y1268" s="81"/>
      <c r="Z1268" s="80"/>
      <c r="AA1268" s="80"/>
      <c r="AB1268" s="80"/>
      <c r="AC1268" s="80"/>
      <c r="AD1268" s="81"/>
      <c r="AE1268" s="80"/>
      <c r="AF1268" s="80"/>
      <c r="AG1268" s="81"/>
      <c r="AH1268" s="79"/>
      <c r="AI1268" s="78" t="str">
        <f aca="false">IF(E1268="","",(V1268&lt;&gt;"")+(AA1268&lt;&gt;"")+(AF1268&lt;&gt;""))</f>
        <v/>
      </c>
      <c r="AJ1268" s="82" t="str">
        <f aca="false">IF(AF1268&lt;&gt;"",AF1268,IF(AA1268&lt;&gt;"",AA1268,IF(V1268&lt;&gt;"",V1268,"")))</f>
        <v/>
      </c>
      <c r="AK1268" s="83" t="str">
        <f aca="false">IF(E1268="","",IF(P1268="","À SOUDER",IF(S1268="","VT EN ATTENTE",IF(S1268="R","VT REJETÉ – À REPRENDRE",IF(AJ1268="","À RADIOGRAPHIER",IF(AJ1268="A","ACCEPTÉ",IF(AJ1268="NX","NX – RT À REFAIRE",IF(IF(AI1268=1,X1268,IF(AI1268=2,AC1268,""))="A","RÉPARÉ – À RADIOGRAPHIER",IF(IF(AI1268=1,X1268,IF(AI1268=2,AC1268,""))="R","VT REJETÉ – À REPRENDRE",IF(AJ1268="CO","COUPE – À RESOUDER","À RÉPARER"))))))))))</f>
        <v/>
      </c>
      <c r="AL1268" s="82" t="str">
        <f aca="false">IF(AND(ISNUMBER(P1268),OR(AK1268="À RADIOGRAPHIER",AK1268="RÉPARÉ – À RADIOGRAPHIER",AK1268="NX – RT À REFAIRE",AK1268="À RÉPARER",AK1268="COUPE – À RESOUDER",AK1268="VT REJETÉ – À REPRENDRE")),MAX(0,'PROGRAMME RT'!$C$4-P1268),"")</f>
        <v/>
      </c>
      <c r="AM1268" s="78" t="n">
        <f aca="false">IF(AND(OR(AK1268="À RADIOGRAPHIER",AK1268="RÉPARÉ – À RADIOGRAPHIER",AK1268="NX – RT À REFAIRE"),OR('PROGRAMME RT'!$D$5="TOUTES",B1268='PROGRAMME RT'!$D$5)),1,0)</f>
        <v>0</v>
      </c>
      <c r="AN1268" s="78" t="str">
        <f aca="false">IF(AM1268=1,SUM(AM$7:AM1268),"")</f>
        <v/>
      </c>
      <c r="AO1268" s="78" t="n">
        <f aca="false">IF(AND(OR(AK1268="À RÉPARER",AK1268="COUPE – À RESOUDER",AK1268="VT REJETÉ – À REPRENDRE"),OR(RÉPARATIONS!$D$5="TOUTES",B1268=RÉPARATIONS!$D$5)),1,0)</f>
        <v>0</v>
      </c>
      <c r="AP1268" s="78" t="str">
        <f aca="false">IF(AO1268=1,SUM(AO$7:AO1268),"")</f>
        <v/>
      </c>
    </row>
    <row r="1269" customFormat="false" ht="15" hidden="false" customHeight="false" outlineLevel="0" collapsed="false">
      <c r="A1269" s="78" t="str">
        <f aca="false">IF(E1269="","",ROW()-6)</f>
        <v/>
      </c>
      <c r="B1269" s="79"/>
      <c r="C1269" s="80"/>
      <c r="D1269" s="80"/>
      <c r="E1269" s="80"/>
      <c r="F1269" s="80"/>
      <c r="G1269" s="80"/>
      <c r="H1269" s="80"/>
      <c r="I1269" s="80"/>
      <c r="J1269" s="80"/>
      <c r="K1269" s="80"/>
      <c r="L1269" s="80"/>
      <c r="M1269" s="80"/>
      <c r="N1269" s="80"/>
      <c r="O1269" s="80"/>
      <c r="P1269" s="81"/>
      <c r="Q1269" s="81"/>
      <c r="R1269" s="80"/>
      <c r="S1269" s="80"/>
      <c r="T1269" s="81"/>
      <c r="U1269" s="80"/>
      <c r="V1269" s="80"/>
      <c r="W1269" s="80"/>
      <c r="X1269" s="80"/>
      <c r="Y1269" s="81"/>
      <c r="Z1269" s="80"/>
      <c r="AA1269" s="80"/>
      <c r="AB1269" s="80"/>
      <c r="AC1269" s="80"/>
      <c r="AD1269" s="81"/>
      <c r="AE1269" s="80"/>
      <c r="AF1269" s="80"/>
      <c r="AG1269" s="81"/>
      <c r="AH1269" s="79"/>
      <c r="AI1269" s="78" t="str">
        <f aca="false">IF(E1269="","",(V1269&lt;&gt;"")+(AA1269&lt;&gt;"")+(AF1269&lt;&gt;""))</f>
        <v/>
      </c>
      <c r="AJ1269" s="82" t="str">
        <f aca="false">IF(AF1269&lt;&gt;"",AF1269,IF(AA1269&lt;&gt;"",AA1269,IF(V1269&lt;&gt;"",V1269,"")))</f>
        <v/>
      </c>
      <c r="AK1269" s="83" t="str">
        <f aca="false">IF(E1269="","",IF(P1269="","À SOUDER",IF(S1269="","VT EN ATTENTE",IF(S1269="R","VT REJETÉ – À REPRENDRE",IF(AJ1269="","À RADIOGRAPHIER",IF(AJ1269="A","ACCEPTÉ",IF(AJ1269="NX","NX – RT À REFAIRE",IF(IF(AI1269=1,X1269,IF(AI1269=2,AC1269,""))="A","RÉPARÉ – À RADIOGRAPHIER",IF(IF(AI1269=1,X1269,IF(AI1269=2,AC1269,""))="R","VT REJETÉ – À REPRENDRE",IF(AJ1269="CO","COUPE – À RESOUDER","À RÉPARER"))))))))))</f>
        <v/>
      </c>
      <c r="AL1269" s="82" t="str">
        <f aca="false">IF(AND(ISNUMBER(P1269),OR(AK1269="À RADIOGRAPHIER",AK1269="RÉPARÉ – À RADIOGRAPHIER",AK1269="NX – RT À REFAIRE",AK1269="À RÉPARER",AK1269="COUPE – À RESOUDER",AK1269="VT REJETÉ – À REPRENDRE")),MAX(0,'PROGRAMME RT'!$C$4-P1269),"")</f>
        <v/>
      </c>
      <c r="AM1269" s="78" t="n">
        <f aca="false">IF(AND(OR(AK1269="À RADIOGRAPHIER",AK1269="RÉPARÉ – À RADIOGRAPHIER",AK1269="NX – RT À REFAIRE"),OR('PROGRAMME RT'!$D$5="TOUTES",B1269='PROGRAMME RT'!$D$5)),1,0)</f>
        <v>0</v>
      </c>
      <c r="AN1269" s="78" t="str">
        <f aca="false">IF(AM1269=1,SUM(AM$7:AM1269),"")</f>
        <v/>
      </c>
      <c r="AO1269" s="78" t="n">
        <f aca="false">IF(AND(OR(AK1269="À RÉPARER",AK1269="COUPE – À RESOUDER",AK1269="VT REJETÉ – À REPRENDRE"),OR(RÉPARATIONS!$D$5="TOUTES",B1269=RÉPARATIONS!$D$5)),1,0)</f>
        <v>0</v>
      </c>
      <c r="AP1269" s="78" t="str">
        <f aca="false">IF(AO1269=1,SUM(AO$7:AO1269),"")</f>
        <v/>
      </c>
    </row>
    <row r="1270" customFormat="false" ht="15" hidden="false" customHeight="false" outlineLevel="0" collapsed="false">
      <c r="A1270" s="78" t="str">
        <f aca="false">IF(E1270="","",ROW()-6)</f>
        <v/>
      </c>
      <c r="B1270" s="79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0"/>
      <c r="P1270" s="81"/>
      <c r="Q1270" s="81"/>
      <c r="R1270" s="80"/>
      <c r="S1270" s="80"/>
      <c r="T1270" s="81"/>
      <c r="U1270" s="80"/>
      <c r="V1270" s="80"/>
      <c r="W1270" s="80"/>
      <c r="X1270" s="80"/>
      <c r="Y1270" s="81"/>
      <c r="Z1270" s="80"/>
      <c r="AA1270" s="80"/>
      <c r="AB1270" s="80"/>
      <c r="AC1270" s="80"/>
      <c r="AD1270" s="81"/>
      <c r="AE1270" s="80"/>
      <c r="AF1270" s="80"/>
      <c r="AG1270" s="81"/>
      <c r="AH1270" s="79"/>
      <c r="AI1270" s="78" t="str">
        <f aca="false">IF(E1270="","",(V1270&lt;&gt;"")+(AA1270&lt;&gt;"")+(AF1270&lt;&gt;""))</f>
        <v/>
      </c>
      <c r="AJ1270" s="82" t="str">
        <f aca="false">IF(AF1270&lt;&gt;"",AF1270,IF(AA1270&lt;&gt;"",AA1270,IF(V1270&lt;&gt;"",V1270,"")))</f>
        <v/>
      </c>
      <c r="AK1270" s="83" t="str">
        <f aca="false">IF(E1270="","",IF(P1270="","À SOUDER",IF(S1270="","VT EN ATTENTE",IF(S1270="R","VT REJETÉ – À REPRENDRE",IF(AJ1270="","À RADIOGRAPHIER",IF(AJ1270="A","ACCEPTÉ",IF(AJ1270="NX","NX – RT À REFAIRE",IF(IF(AI1270=1,X1270,IF(AI1270=2,AC1270,""))="A","RÉPARÉ – À RADIOGRAPHIER",IF(IF(AI1270=1,X1270,IF(AI1270=2,AC1270,""))="R","VT REJETÉ – À REPRENDRE",IF(AJ1270="CO","COUPE – À RESOUDER","À RÉPARER"))))))))))</f>
        <v/>
      </c>
      <c r="AL1270" s="82" t="str">
        <f aca="false">IF(AND(ISNUMBER(P1270),OR(AK1270="À RADIOGRAPHIER",AK1270="RÉPARÉ – À RADIOGRAPHIER",AK1270="NX – RT À REFAIRE",AK1270="À RÉPARER",AK1270="COUPE – À RESOUDER",AK1270="VT REJETÉ – À REPRENDRE")),MAX(0,'PROGRAMME RT'!$C$4-P1270),"")</f>
        <v/>
      </c>
      <c r="AM1270" s="78" t="n">
        <f aca="false">IF(AND(OR(AK1270="À RADIOGRAPHIER",AK1270="RÉPARÉ – À RADIOGRAPHIER",AK1270="NX – RT À REFAIRE"),OR('PROGRAMME RT'!$D$5="TOUTES",B1270='PROGRAMME RT'!$D$5)),1,0)</f>
        <v>0</v>
      </c>
      <c r="AN1270" s="78" t="str">
        <f aca="false">IF(AM1270=1,SUM(AM$7:AM1270),"")</f>
        <v/>
      </c>
      <c r="AO1270" s="78" t="n">
        <f aca="false">IF(AND(OR(AK1270="À RÉPARER",AK1270="COUPE – À RESOUDER",AK1270="VT REJETÉ – À REPRENDRE"),OR(RÉPARATIONS!$D$5="TOUTES",B1270=RÉPARATIONS!$D$5)),1,0)</f>
        <v>0</v>
      </c>
      <c r="AP1270" s="78" t="str">
        <f aca="false">IF(AO1270=1,SUM(AO$7:AO1270),"")</f>
        <v/>
      </c>
    </row>
    <row r="1271" customFormat="false" ht="15" hidden="false" customHeight="false" outlineLevel="0" collapsed="false">
      <c r="A1271" s="78" t="str">
        <f aca="false">IF(E1271="","",ROW()-6)</f>
        <v/>
      </c>
      <c r="B1271" s="79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0"/>
      <c r="P1271" s="81"/>
      <c r="Q1271" s="81"/>
      <c r="R1271" s="80"/>
      <c r="S1271" s="80"/>
      <c r="T1271" s="81"/>
      <c r="U1271" s="80"/>
      <c r="V1271" s="80"/>
      <c r="W1271" s="80"/>
      <c r="X1271" s="80"/>
      <c r="Y1271" s="81"/>
      <c r="Z1271" s="80"/>
      <c r="AA1271" s="80"/>
      <c r="AB1271" s="80"/>
      <c r="AC1271" s="80"/>
      <c r="AD1271" s="81"/>
      <c r="AE1271" s="80"/>
      <c r="AF1271" s="80"/>
      <c r="AG1271" s="81"/>
      <c r="AH1271" s="79"/>
      <c r="AI1271" s="78" t="str">
        <f aca="false">IF(E1271="","",(V1271&lt;&gt;"")+(AA1271&lt;&gt;"")+(AF1271&lt;&gt;""))</f>
        <v/>
      </c>
      <c r="AJ1271" s="82" t="str">
        <f aca="false">IF(AF1271&lt;&gt;"",AF1271,IF(AA1271&lt;&gt;"",AA1271,IF(V1271&lt;&gt;"",V1271,"")))</f>
        <v/>
      </c>
      <c r="AK1271" s="83" t="str">
        <f aca="false">IF(E1271="","",IF(P1271="","À SOUDER",IF(S1271="","VT EN ATTENTE",IF(S1271="R","VT REJETÉ – À REPRENDRE",IF(AJ1271="","À RADIOGRAPHIER",IF(AJ1271="A","ACCEPTÉ",IF(AJ1271="NX","NX – RT À REFAIRE",IF(IF(AI1271=1,X1271,IF(AI1271=2,AC1271,""))="A","RÉPARÉ – À RADIOGRAPHIER",IF(IF(AI1271=1,X1271,IF(AI1271=2,AC1271,""))="R","VT REJETÉ – À REPRENDRE",IF(AJ1271="CO","COUPE – À RESOUDER","À RÉPARER"))))))))))</f>
        <v/>
      </c>
      <c r="AL1271" s="82" t="str">
        <f aca="false">IF(AND(ISNUMBER(P1271),OR(AK1271="À RADIOGRAPHIER",AK1271="RÉPARÉ – À RADIOGRAPHIER",AK1271="NX – RT À REFAIRE",AK1271="À RÉPARER",AK1271="COUPE – À RESOUDER",AK1271="VT REJETÉ – À REPRENDRE")),MAX(0,'PROGRAMME RT'!$C$4-P1271),"")</f>
        <v/>
      </c>
      <c r="AM1271" s="78" t="n">
        <f aca="false">IF(AND(OR(AK1271="À RADIOGRAPHIER",AK1271="RÉPARÉ – À RADIOGRAPHIER",AK1271="NX – RT À REFAIRE"),OR('PROGRAMME RT'!$D$5="TOUTES",B1271='PROGRAMME RT'!$D$5)),1,0)</f>
        <v>0</v>
      </c>
      <c r="AN1271" s="78" t="str">
        <f aca="false">IF(AM1271=1,SUM(AM$7:AM1271),"")</f>
        <v/>
      </c>
      <c r="AO1271" s="78" t="n">
        <f aca="false">IF(AND(OR(AK1271="À RÉPARER",AK1271="COUPE – À RESOUDER",AK1271="VT REJETÉ – À REPRENDRE"),OR(RÉPARATIONS!$D$5="TOUTES",B1271=RÉPARATIONS!$D$5)),1,0)</f>
        <v>0</v>
      </c>
      <c r="AP1271" s="78" t="str">
        <f aca="false">IF(AO1271=1,SUM(AO$7:AO1271),"")</f>
        <v/>
      </c>
    </row>
    <row r="1272" customFormat="false" ht="15" hidden="false" customHeight="false" outlineLevel="0" collapsed="false">
      <c r="A1272" s="78" t="str">
        <f aca="false">IF(E1272="","",ROW()-6)</f>
        <v/>
      </c>
      <c r="B1272" s="79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0"/>
      <c r="P1272" s="81"/>
      <c r="Q1272" s="81"/>
      <c r="R1272" s="80"/>
      <c r="S1272" s="80"/>
      <c r="T1272" s="81"/>
      <c r="U1272" s="80"/>
      <c r="V1272" s="80"/>
      <c r="W1272" s="80"/>
      <c r="X1272" s="80"/>
      <c r="Y1272" s="81"/>
      <c r="Z1272" s="80"/>
      <c r="AA1272" s="80"/>
      <c r="AB1272" s="80"/>
      <c r="AC1272" s="80"/>
      <c r="AD1272" s="81"/>
      <c r="AE1272" s="80"/>
      <c r="AF1272" s="80"/>
      <c r="AG1272" s="81"/>
      <c r="AH1272" s="79"/>
      <c r="AI1272" s="78" t="str">
        <f aca="false">IF(E1272="","",(V1272&lt;&gt;"")+(AA1272&lt;&gt;"")+(AF1272&lt;&gt;""))</f>
        <v/>
      </c>
      <c r="AJ1272" s="82" t="str">
        <f aca="false">IF(AF1272&lt;&gt;"",AF1272,IF(AA1272&lt;&gt;"",AA1272,IF(V1272&lt;&gt;"",V1272,"")))</f>
        <v/>
      </c>
      <c r="AK1272" s="83" t="str">
        <f aca="false">IF(E1272="","",IF(P1272="","À SOUDER",IF(S1272="","VT EN ATTENTE",IF(S1272="R","VT REJETÉ – À REPRENDRE",IF(AJ1272="","À RADIOGRAPHIER",IF(AJ1272="A","ACCEPTÉ",IF(AJ1272="NX","NX – RT À REFAIRE",IF(IF(AI1272=1,X1272,IF(AI1272=2,AC1272,""))="A","RÉPARÉ – À RADIOGRAPHIER",IF(IF(AI1272=1,X1272,IF(AI1272=2,AC1272,""))="R","VT REJETÉ – À REPRENDRE",IF(AJ1272="CO","COUPE – À RESOUDER","À RÉPARER"))))))))))</f>
        <v/>
      </c>
      <c r="AL1272" s="82" t="str">
        <f aca="false">IF(AND(ISNUMBER(P1272),OR(AK1272="À RADIOGRAPHIER",AK1272="RÉPARÉ – À RADIOGRAPHIER",AK1272="NX – RT À REFAIRE",AK1272="À RÉPARER",AK1272="COUPE – À RESOUDER",AK1272="VT REJETÉ – À REPRENDRE")),MAX(0,'PROGRAMME RT'!$C$4-P1272),"")</f>
        <v/>
      </c>
      <c r="AM1272" s="78" t="n">
        <f aca="false">IF(AND(OR(AK1272="À RADIOGRAPHIER",AK1272="RÉPARÉ – À RADIOGRAPHIER",AK1272="NX – RT À REFAIRE"),OR('PROGRAMME RT'!$D$5="TOUTES",B1272='PROGRAMME RT'!$D$5)),1,0)</f>
        <v>0</v>
      </c>
      <c r="AN1272" s="78" t="str">
        <f aca="false">IF(AM1272=1,SUM(AM$7:AM1272),"")</f>
        <v/>
      </c>
      <c r="AO1272" s="78" t="n">
        <f aca="false">IF(AND(OR(AK1272="À RÉPARER",AK1272="COUPE – À RESOUDER",AK1272="VT REJETÉ – À REPRENDRE"),OR(RÉPARATIONS!$D$5="TOUTES",B1272=RÉPARATIONS!$D$5)),1,0)</f>
        <v>0</v>
      </c>
      <c r="AP1272" s="78" t="str">
        <f aca="false">IF(AO1272=1,SUM(AO$7:AO1272),"")</f>
        <v/>
      </c>
    </row>
    <row r="1273" customFormat="false" ht="15" hidden="false" customHeight="false" outlineLevel="0" collapsed="false">
      <c r="A1273" s="78" t="str">
        <f aca="false">IF(E1273="","",ROW()-6)</f>
        <v/>
      </c>
      <c r="B1273" s="79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0"/>
      <c r="P1273" s="81"/>
      <c r="Q1273" s="81"/>
      <c r="R1273" s="80"/>
      <c r="S1273" s="80"/>
      <c r="T1273" s="81"/>
      <c r="U1273" s="80"/>
      <c r="V1273" s="80"/>
      <c r="W1273" s="80"/>
      <c r="X1273" s="80"/>
      <c r="Y1273" s="81"/>
      <c r="Z1273" s="80"/>
      <c r="AA1273" s="80"/>
      <c r="AB1273" s="80"/>
      <c r="AC1273" s="80"/>
      <c r="AD1273" s="81"/>
      <c r="AE1273" s="80"/>
      <c r="AF1273" s="80"/>
      <c r="AG1273" s="81"/>
      <c r="AH1273" s="79"/>
      <c r="AI1273" s="78" t="str">
        <f aca="false">IF(E1273="","",(V1273&lt;&gt;"")+(AA1273&lt;&gt;"")+(AF1273&lt;&gt;""))</f>
        <v/>
      </c>
      <c r="AJ1273" s="82" t="str">
        <f aca="false">IF(AF1273&lt;&gt;"",AF1273,IF(AA1273&lt;&gt;"",AA1273,IF(V1273&lt;&gt;"",V1273,"")))</f>
        <v/>
      </c>
      <c r="AK1273" s="83" t="str">
        <f aca="false">IF(E1273="","",IF(P1273="","À SOUDER",IF(S1273="","VT EN ATTENTE",IF(S1273="R","VT REJETÉ – À REPRENDRE",IF(AJ1273="","À RADIOGRAPHIER",IF(AJ1273="A","ACCEPTÉ",IF(AJ1273="NX","NX – RT À REFAIRE",IF(IF(AI1273=1,X1273,IF(AI1273=2,AC1273,""))="A","RÉPARÉ – À RADIOGRAPHIER",IF(IF(AI1273=1,X1273,IF(AI1273=2,AC1273,""))="R","VT REJETÉ – À REPRENDRE",IF(AJ1273="CO","COUPE – À RESOUDER","À RÉPARER"))))))))))</f>
        <v/>
      </c>
      <c r="AL1273" s="82" t="str">
        <f aca="false">IF(AND(ISNUMBER(P1273),OR(AK1273="À RADIOGRAPHIER",AK1273="RÉPARÉ – À RADIOGRAPHIER",AK1273="NX – RT À REFAIRE",AK1273="À RÉPARER",AK1273="COUPE – À RESOUDER",AK1273="VT REJETÉ – À REPRENDRE")),MAX(0,'PROGRAMME RT'!$C$4-P1273),"")</f>
        <v/>
      </c>
      <c r="AM1273" s="78" t="n">
        <f aca="false">IF(AND(OR(AK1273="À RADIOGRAPHIER",AK1273="RÉPARÉ – À RADIOGRAPHIER",AK1273="NX – RT À REFAIRE"),OR('PROGRAMME RT'!$D$5="TOUTES",B1273='PROGRAMME RT'!$D$5)),1,0)</f>
        <v>0</v>
      </c>
      <c r="AN1273" s="78" t="str">
        <f aca="false">IF(AM1273=1,SUM(AM$7:AM1273),"")</f>
        <v/>
      </c>
      <c r="AO1273" s="78" t="n">
        <f aca="false">IF(AND(OR(AK1273="À RÉPARER",AK1273="COUPE – À RESOUDER",AK1273="VT REJETÉ – À REPRENDRE"),OR(RÉPARATIONS!$D$5="TOUTES",B1273=RÉPARATIONS!$D$5)),1,0)</f>
        <v>0</v>
      </c>
      <c r="AP1273" s="78" t="str">
        <f aca="false">IF(AO1273=1,SUM(AO$7:AO1273),"")</f>
        <v/>
      </c>
    </row>
    <row r="1274" customFormat="false" ht="15" hidden="false" customHeight="false" outlineLevel="0" collapsed="false">
      <c r="A1274" s="78" t="str">
        <f aca="false">IF(E1274="","",ROW()-6)</f>
        <v/>
      </c>
      <c r="B1274" s="79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0"/>
      <c r="P1274" s="81"/>
      <c r="Q1274" s="81"/>
      <c r="R1274" s="80"/>
      <c r="S1274" s="80"/>
      <c r="T1274" s="81"/>
      <c r="U1274" s="80"/>
      <c r="V1274" s="80"/>
      <c r="W1274" s="80"/>
      <c r="X1274" s="80"/>
      <c r="Y1274" s="81"/>
      <c r="Z1274" s="80"/>
      <c r="AA1274" s="80"/>
      <c r="AB1274" s="80"/>
      <c r="AC1274" s="80"/>
      <c r="AD1274" s="81"/>
      <c r="AE1274" s="80"/>
      <c r="AF1274" s="80"/>
      <c r="AG1274" s="81"/>
      <c r="AH1274" s="79"/>
      <c r="AI1274" s="78" t="str">
        <f aca="false">IF(E1274="","",(V1274&lt;&gt;"")+(AA1274&lt;&gt;"")+(AF1274&lt;&gt;""))</f>
        <v/>
      </c>
      <c r="AJ1274" s="82" t="str">
        <f aca="false">IF(AF1274&lt;&gt;"",AF1274,IF(AA1274&lt;&gt;"",AA1274,IF(V1274&lt;&gt;"",V1274,"")))</f>
        <v/>
      </c>
      <c r="AK1274" s="83" t="str">
        <f aca="false">IF(E1274="","",IF(P1274="","À SOUDER",IF(S1274="","VT EN ATTENTE",IF(S1274="R","VT REJETÉ – À REPRENDRE",IF(AJ1274="","À RADIOGRAPHIER",IF(AJ1274="A","ACCEPTÉ",IF(AJ1274="NX","NX – RT À REFAIRE",IF(IF(AI1274=1,X1274,IF(AI1274=2,AC1274,""))="A","RÉPARÉ – À RADIOGRAPHIER",IF(IF(AI1274=1,X1274,IF(AI1274=2,AC1274,""))="R","VT REJETÉ – À REPRENDRE",IF(AJ1274="CO","COUPE – À RESOUDER","À RÉPARER"))))))))))</f>
        <v/>
      </c>
      <c r="AL1274" s="82" t="str">
        <f aca="false">IF(AND(ISNUMBER(P1274),OR(AK1274="À RADIOGRAPHIER",AK1274="RÉPARÉ – À RADIOGRAPHIER",AK1274="NX – RT À REFAIRE",AK1274="À RÉPARER",AK1274="COUPE – À RESOUDER",AK1274="VT REJETÉ – À REPRENDRE")),MAX(0,'PROGRAMME RT'!$C$4-P1274),"")</f>
        <v/>
      </c>
      <c r="AM1274" s="78" t="n">
        <f aca="false">IF(AND(OR(AK1274="À RADIOGRAPHIER",AK1274="RÉPARÉ – À RADIOGRAPHIER",AK1274="NX – RT À REFAIRE"),OR('PROGRAMME RT'!$D$5="TOUTES",B1274='PROGRAMME RT'!$D$5)),1,0)</f>
        <v>0</v>
      </c>
      <c r="AN1274" s="78" t="str">
        <f aca="false">IF(AM1274=1,SUM(AM$7:AM1274),"")</f>
        <v/>
      </c>
      <c r="AO1274" s="78" t="n">
        <f aca="false">IF(AND(OR(AK1274="À RÉPARER",AK1274="COUPE – À RESOUDER",AK1274="VT REJETÉ – À REPRENDRE"),OR(RÉPARATIONS!$D$5="TOUTES",B1274=RÉPARATIONS!$D$5)),1,0)</f>
        <v>0</v>
      </c>
      <c r="AP1274" s="78" t="str">
        <f aca="false">IF(AO1274=1,SUM(AO$7:AO1274),"")</f>
        <v/>
      </c>
    </row>
    <row r="1275" customFormat="false" ht="15" hidden="false" customHeight="false" outlineLevel="0" collapsed="false">
      <c r="A1275" s="78" t="str">
        <f aca="false">IF(E1275="","",ROW()-6)</f>
        <v/>
      </c>
      <c r="B1275" s="79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0"/>
      <c r="P1275" s="81"/>
      <c r="Q1275" s="81"/>
      <c r="R1275" s="80"/>
      <c r="S1275" s="80"/>
      <c r="T1275" s="81"/>
      <c r="U1275" s="80"/>
      <c r="V1275" s="80"/>
      <c r="W1275" s="80"/>
      <c r="X1275" s="80"/>
      <c r="Y1275" s="81"/>
      <c r="Z1275" s="80"/>
      <c r="AA1275" s="80"/>
      <c r="AB1275" s="80"/>
      <c r="AC1275" s="80"/>
      <c r="AD1275" s="81"/>
      <c r="AE1275" s="80"/>
      <c r="AF1275" s="80"/>
      <c r="AG1275" s="81"/>
      <c r="AH1275" s="79"/>
      <c r="AI1275" s="78" t="str">
        <f aca="false">IF(E1275="","",(V1275&lt;&gt;"")+(AA1275&lt;&gt;"")+(AF1275&lt;&gt;""))</f>
        <v/>
      </c>
      <c r="AJ1275" s="82" t="str">
        <f aca="false">IF(AF1275&lt;&gt;"",AF1275,IF(AA1275&lt;&gt;"",AA1275,IF(V1275&lt;&gt;"",V1275,"")))</f>
        <v/>
      </c>
      <c r="AK1275" s="83" t="str">
        <f aca="false">IF(E1275="","",IF(P1275="","À SOUDER",IF(S1275="","VT EN ATTENTE",IF(S1275="R","VT REJETÉ – À REPRENDRE",IF(AJ1275="","À RADIOGRAPHIER",IF(AJ1275="A","ACCEPTÉ",IF(AJ1275="NX","NX – RT À REFAIRE",IF(IF(AI1275=1,X1275,IF(AI1275=2,AC1275,""))="A","RÉPARÉ – À RADIOGRAPHIER",IF(IF(AI1275=1,X1275,IF(AI1275=2,AC1275,""))="R","VT REJETÉ – À REPRENDRE",IF(AJ1275="CO","COUPE – À RESOUDER","À RÉPARER"))))))))))</f>
        <v/>
      </c>
      <c r="AL1275" s="82" t="str">
        <f aca="false">IF(AND(ISNUMBER(P1275),OR(AK1275="À RADIOGRAPHIER",AK1275="RÉPARÉ – À RADIOGRAPHIER",AK1275="NX – RT À REFAIRE",AK1275="À RÉPARER",AK1275="COUPE – À RESOUDER",AK1275="VT REJETÉ – À REPRENDRE")),MAX(0,'PROGRAMME RT'!$C$4-P1275),"")</f>
        <v/>
      </c>
      <c r="AM1275" s="78" t="n">
        <f aca="false">IF(AND(OR(AK1275="À RADIOGRAPHIER",AK1275="RÉPARÉ – À RADIOGRAPHIER",AK1275="NX – RT À REFAIRE"),OR('PROGRAMME RT'!$D$5="TOUTES",B1275='PROGRAMME RT'!$D$5)),1,0)</f>
        <v>0</v>
      </c>
      <c r="AN1275" s="78" t="str">
        <f aca="false">IF(AM1275=1,SUM(AM$7:AM1275),"")</f>
        <v/>
      </c>
      <c r="AO1275" s="78" t="n">
        <f aca="false">IF(AND(OR(AK1275="À RÉPARER",AK1275="COUPE – À RESOUDER",AK1275="VT REJETÉ – À REPRENDRE"),OR(RÉPARATIONS!$D$5="TOUTES",B1275=RÉPARATIONS!$D$5)),1,0)</f>
        <v>0</v>
      </c>
      <c r="AP1275" s="78" t="str">
        <f aca="false">IF(AO1275=1,SUM(AO$7:AO1275),"")</f>
        <v/>
      </c>
    </row>
    <row r="1276" customFormat="false" ht="15" hidden="false" customHeight="false" outlineLevel="0" collapsed="false">
      <c r="A1276" s="78" t="str">
        <f aca="false">IF(E1276="","",ROW()-6)</f>
        <v/>
      </c>
      <c r="B1276" s="79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0"/>
      <c r="P1276" s="81"/>
      <c r="Q1276" s="81"/>
      <c r="R1276" s="80"/>
      <c r="S1276" s="80"/>
      <c r="T1276" s="81"/>
      <c r="U1276" s="80"/>
      <c r="V1276" s="80"/>
      <c r="W1276" s="80"/>
      <c r="X1276" s="80"/>
      <c r="Y1276" s="81"/>
      <c r="Z1276" s="80"/>
      <c r="AA1276" s="80"/>
      <c r="AB1276" s="80"/>
      <c r="AC1276" s="80"/>
      <c r="AD1276" s="81"/>
      <c r="AE1276" s="80"/>
      <c r="AF1276" s="80"/>
      <c r="AG1276" s="81"/>
      <c r="AH1276" s="79"/>
      <c r="AI1276" s="78" t="str">
        <f aca="false">IF(E1276="","",(V1276&lt;&gt;"")+(AA1276&lt;&gt;"")+(AF1276&lt;&gt;""))</f>
        <v/>
      </c>
      <c r="AJ1276" s="82" t="str">
        <f aca="false">IF(AF1276&lt;&gt;"",AF1276,IF(AA1276&lt;&gt;"",AA1276,IF(V1276&lt;&gt;"",V1276,"")))</f>
        <v/>
      </c>
      <c r="AK1276" s="83" t="str">
        <f aca="false">IF(E1276="","",IF(P1276="","À SOUDER",IF(S1276="","VT EN ATTENTE",IF(S1276="R","VT REJETÉ – À REPRENDRE",IF(AJ1276="","À RADIOGRAPHIER",IF(AJ1276="A","ACCEPTÉ",IF(AJ1276="NX","NX – RT À REFAIRE",IF(IF(AI1276=1,X1276,IF(AI1276=2,AC1276,""))="A","RÉPARÉ – À RADIOGRAPHIER",IF(IF(AI1276=1,X1276,IF(AI1276=2,AC1276,""))="R","VT REJETÉ – À REPRENDRE",IF(AJ1276="CO","COUPE – À RESOUDER","À RÉPARER"))))))))))</f>
        <v/>
      </c>
      <c r="AL1276" s="82" t="str">
        <f aca="false">IF(AND(ISNUMBER(P1276),OR(AK1276="À RADIOGRAPHIER",AK1276="RÉPARÉ – À RADIOGRAPHIER",AK1276="NX – RT À REFAIRE",AK1276="À RÉPARER",AK1276="COUPE – À RESOUDER",AK1276="VT REJETÉ – À REPRENDRE")),MAX(0,'PROGRAMME RT'!$C$4-P1276),"")</f>
        <v/>
      </c>
      <c r="AM1276" s="78" t="n">
        <f aca="false">IF(AND(OR(AK1276="À RADIOGRAPHIER",AK1276="RÉPARÉ – À RADIOGRAPHIER",AK1276="NX – RT À REFAIRE"),OR('PROGRAMME RT'!$D$5="TOUTES",B1276='PROGRAMME RT'!$D$5)),1,0)</f>
        <v>0</v>
      </c>
      <c r="AN1276" s="78" t="str">
        <f aca="false">IF(AM1276=1,SUM(AM$7:AM1276),"")</f>
        <v/>
      </c>
      <c r="AO1276" s="78" t="n">
        <f aca="false">IF(AND(OR(AK1276="À RÉPARER",AK1276="COUPE – À RESOUDER",AK1276="VT REJETÉ – À REPRENDRE"),OR(RÉPARATIONS!$D$5="TOUTES",B1276=RÉPARATIONS!$D$5)),1,0)</f>
        <v>0</v>
      </c>
      <c r="AP1276" s="78" t="str">
        <f aca="false">IF(AO1276=1,SUM(AO$7:AO1276),"")</f>
        <v/>
      </c>
    </row>
    <row r="1277" customFormat="false" ht="15" hidden="false" customHeight="false" outlineLevel="0" collapsed="false">
      <c r="A1277" s="78" t="str">
        <f aca="false">IF(E1277="","",ROW()-6)</f>
        <v/>
      </c>
      <c r="B1277" s="79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0"/>
      <c r="P1277" s="81"/>
      <c r="Q1277" s="81"/>
      <c r="R1277" s="80"/>
      <c r="S1277" s="80"/>
      <c r="T1277" s="81"/>
      <c r="U1277" s="80"/>
      <c r="V1277" s="80"/>
      <c r="W1277" s="80"/>
      <c r="X1277" s="80"/>
      <c r="Y1277" s="81"/>
      <c r="Z1277" s="80"/>
      <c r="AA1277" s="80"/>
      <c r="AB1277" s="80"/>
      <c r="AC1277" s="80"/>
      <c r="AD1277" s="81"/>
      <c r="AE1277" s="80"/>
      <c r="AF1277" s="80"/>
      <c r="AG1277" s="81"/>
      <c r="AH1277" s="79"/>
      <c r="AI1277" s="78" t="str">
        <f aca="false">IF(E1277="","",(V1277&lt;&gt;"")+(AA1277&lt;&gt;"")+(AF1277&lt;&gt;""))</f>
        <v/>
      </c>
      <c r="AJ1277" s="82" t="str">
        <f aca="false">IF(AF1277&lt;&gt;"",AF1277,IF(AA1277&lt;&gt;"",AA1277,IF(V1277&lt;&gt;"",V1277,"")))</f>
        <v/>
      </c>
      <c r="AK1277" s="83" t="str">
        <f aca="false">IF(E1277="","",IF(P1277="","À SOUDER",IF(S1277="","VT EN ATTENTE",IF(S1277="R","VT REJETÉ – À REPRENDRE",IF(AJ1277="","À RADIOGRAPHIER",IF(AJ1277="A","ACCEPTÉ",IF(AJ1277="NX","NX – RT À REFAIRE",IF(IF(AI1277=1,X1277,IF(AI1277=2,AC1277,""))="A","RÉPARÉ – À RADIOGRAPHIER",IF(IF(AI1277=1,X1277,IF(AI1277=2,AC1277,""))="R","VT REJETÉ – À REPRENDRE",IF(AJ1277="CO","COUPE – À RESOUDER","À RÉPARER"))))))))))</f>
        <v/>
      </c>
      <c r="AL1277" s="82" t="str">
        <f aca="false">IF(AND(ISNUMBER(P1277),OR(AK1277="À RADIOGRAPHIER",AK1277="RÉPARÉ – À RADIOGRAPHIER",AK1277="NX – RT À REFAIRE",AK1277="À RÉPARER",AK1277="COUPE – À RESOUDER",AK1277="VT REJETÉ – À REPRENDRE")),MAX(0,'PROGRAMME RT'!$C$4-P1277),"")</f>
        <v/>
      </c>
      <c r="AM1277" s="78" t="n">
        <f aca="false">IF(AND(OR(AK1277="À RADIOGRAPHIER",AK1277="RÉPARÉ – À RADIOGRAPHIER",AK1277="NX – RT À REFAIRE"),OR('PROGRAMME RT'!$D$5="TOUTES",B1277='PROGRAMME RT'!$D$5)),1,0)</f>
        <v>0</v>
      </c>
      <c r="AN1277" s="78" t="str">
        <f aca="false">IF(AM1277=1,SUM(AM$7:AM1277),"")</f>
        <v/>
      </c>
      <c r="AO1277" s="78" t="n">
        <f aca="false">IF(AND(OR(AK1277="À RÉPARER",AK1277="COUPE – À RESOUDER",AK1277="VT REJETÉ – À REPRENDRE"),OR(RÉPARATIONS!$D$5="TOUTES",B1277=RÉPARATIONS!$D$5)),1,0)</f>
        <v>0</v>
      </c>
      <c r="AP1277" s="78" t="str">
        <f aca="false">IF(AO1277=1,SUM(AO$7:AO1277),"")</f>
        <v/>
      </c>
    </row>
    <row r="1278" customFormat="false" ht="15" hidden="false" customHeight="false" outlineLevel="0" collapsed="false">
      <c r="A1278" s="78" t="str">
        <f aca="false">IF(E1278="","",ROW()-6)</f>
        <v/>
      </c>
      <c r="B1278" s="79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0"/>
      <c r="P1278" s="81"/>
      <c r="Q1278" s="81"/>
      <c r="R1278" s="80"/>
      <c r="S1278" s="80"/>
      <c r="T1278" s="81"/>
      <c r="U1278" s="80"/>
      <c r="V1278" s="80"/>
      <c r="W1278" s="80"/>
      <c r="X1278" s="80"/>
      <c r="Y1278" s="81"/>
      <c r="Z1278" s="80"/>
      <c r="AA1278" s="80"/>
      <c r="AB1278" s="80"/>
      <c r="AC1278" s="80"/>
      <c r="AD1278" s="81"/>
      <c r="AE1278" s="80"/>
      <c r="AF1278" s="80"/>
      <c r="AG1278" s="81"/>
      <c r="AH1278" s="79"/>
      <c r="AI1278" s="78" t="str">
        <f aca="false">IF(E1278="","",(V1278&lt;&gt;"")+(AA1278&lt;&gt;"")+(AF1278&lt;&gt;""))</f>
        <v/>
      </c>
      <c r="AJ1278" s="82" t="str">
        <f aca="false">IF(AF1278&lt;&gt;"",AF1278,IF(AA1278&lt;&gt;"",AA1278,IF(V1278&lt;&gt;"",V1278,"")))</f>
        <v/>
      </c>
      <c r="AK1278" s="83" t="str">
        <f aca="false">IF(E1278="","",IF(P1278="","À SOUDER",IF(S1278="","VT EN ATTENTE",IF(S1278="R","VT REJETÉ – À REPRENDRE",IF(AJ1278="","À RADIOGRAPHIER",IF(AJ1278="A","ACCEPTÉ",IF(AJ1278="NX","NX – RT À REFAIRE",IF(IF(AI1278=1,X1278,IF(AI1278=2,AC1278,""))="A","RÉPARÉ – À RADIOGRAPHIER",IF(IF(AI1278=1,X1278,IF(AI1278=2,AC1278,""))="R","VT REJETÉ – À REPRENDRE",IF(AJ1278="CO","COUPE – À RESOUDER","À RÉPARER"))))))))))</f>
        <v/>
      </c>
      <c r="AL1278" s="82" t="str">
        <f aca="false">IF(AND(ISNUMBER(P1278),OR(AK1278="À RADIOGRAPHIER",AK1278="RÉPARÉ – À RADIOGRAPHIER",AK1278="NX – RT À REFAIRE",AK1278="À RÉPARER",AK1278="COUPE – À RESOUDER",AK1278="VT REJETÉ – À REPRENDRE")),MAX(0,'PROGRAMME RT'!$C$4-P1278),"")</f>
        <v/>
      </c>
      <c r="AM1278" s="78" t="n">
        <f aca="false">IF(AND(OR(AK1278="À RADIOGRAPHIER",AK1278="RÉPARÉ – À RADIOGRAPHIER",AK1278="NX – RT À REFAIRE"),OR('PROGRAMME RT'!$D$5="TOUTES",B1278='PROGRAMME RT'!$D$5)),1,0)</f>
        <v>0</v>
      </c>
      <c r="AN1278" s="78" t="str">
        <f aca="false">IF(AM1278=1,SUM(AM$7:AM1278),"")</f>
        <v/>
      </c>
      <c r="AO1278" s="78" t="n">
        <f aca="false">IF(AND(OR(AK1278="À RÉPARER",AK1278="COUPE – À RESOUDER",AK1278="VT REJETÉ – À REPRENDRE"),OR(RÉPARATIONS!$D$5="TOUTES",B1278=RÉPARATIONS!$D$5)),1,0)</f>
        <v>0</v>
      </c>
      <c r="AP1278" s="78" t="str">
        <f aca="false">IF(AO1278=1,SUM(AO$7:AO1278),"")</f>
        <v/>
      </c>
    </row>
    <row r="1279" customFormat="false" ht="15" hidden="false" customHeight="false" outlineLevel="0" collapsed="false">
      <c r="A1279" s="78" t="str">
        <f aca="false">IF(E1279="","",ROW()-6)</f>
        <v/>
      </c>
      <c r="B1279" s="79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0"/>
      <c r="P1279" s="81"/>
      <c r="Q1279" s="81"/>
      <c r="R1279" s="80"/>
      <c r="S1279" s="80"/>
      <c r="T1279" s="81"/>
      <c r="U1279" s="80"/>
      <c r="V1279" s="80"/>
      <c r="W1279" s="80"/>
      <c r="X1279" s="80"/>
      <c r="Y1279" s="81"/>
      <c r="Z1279" s="80"/>
      <c r="AA1279" s="80"/>
      <c r="AB1279" s="80"/>
      <c r="AC1279" s="80"/>
      <c r="AD1279" s="81"/>
      <c r="AE1279" s="80"/>
      <c r="AF1279" s="80"/>
      <c r="AG1279" s="81"/>
      <c r="AH1279" s="79"/>
      <c r="AI1279" s="78" t="str">
        <f aca="false">IF(E1279="","",(V1279&lt;&gt;"")+(AA1279&lt;&gt;"")+(AF1279&lt;&gt;""))</f>
        <v/>
      </c>
      <c r="AJ1279" s="82" t="str">
        <f aca="false">IF(AF1279&lt;&gt;"",AF1279,IF(AA1279&lt;&gt;"",AA1279,IF(V1279&lt;&gt;"",V1279,"")))</f>
        <v/>
      </c>
      <c r="AK1279" s="83" t="str">
        <f aca="false">IF(E1279="","",IF(P1279="","À SOUDER",IF(S1279="","VT EN ATTENTE",IF(S1279="R","VT REJETÉ – À REPRENDRE",IF(AJ1279="","À RADIOGRAPHIER",IF(AJ1279="A","ACCEPTÉ",IF(AJ1279="NX","NX – RT À REFAIRE",IF(IF(AI1279=1,X1279,IF(AI1279=2,AC1279,""))="A","RÉPARÉ – À RADIOGRAPHIER",IF(IF(AI1279=1,X1279,IF(AI1279=2,AC1279,""))="R","VT REJETÉ – À REPRENDRE",IF(AJ1279="CO","COUPE – À RESOUDER","À RÉPARER"))))))))))</f>
        <v/>
      </c>
      <c r="AL1279" s="82" t="str">
        <f aca="false">IF(AND(ISNUMBER(P1279),OR(AK1279="À RADIOGRAPHIER",AK1279="RÉPARÉ – À RADIOGRAPHIER",AK1279="NX – RT À REFAIRE",AK1279="À RÉPARER",AK1279="COUPE – À RESOUDER",AK1279="VT REJETÉ – À REPRENDRE")),MAX(0,'PROGRAMME RT'!$C$4-P1279),"")</f>
        <v/>
      </c>
      <c r="AM1279" s="78" t="n">
        <f aca="false">IF(AND(OR(AK1279="À RADIOGRAPHIER",AK1279="RÉPARÉ – À RADIOGRAPHIER",AK1279="NX – RT À REFAIRE"),OR('PROGRAMME RT'!$D$5="TOUTES",B1279='PROGRAMME RT'!$D$5)),1,0)</f>
        <v>0</v>
      </c>
      <c r="AN1279" s="78" t="str">
        <f aca="false">IF(AM1279=1,SUM(AM$7:AM1279),"")</f>
        <v/>
      </c>
      <c r="AO1279" s="78" t="n">
        <f aca="false">IF(AND(OR(AK1279="À RÉPARER",AK1279="COUPE – À RESOUDER",AK1279="VT REJETÉ – À REPRENDRE"),OR(RÉPARATIONS!$D$5="TOUTES",B1279=RÉPARATIONS!$D$5)),1,0)</f>
        <v>0</v>
      </c>
      <c r="AP1279" s="78" t="str">
        <f aca="false">IF(AO1279=1,SUM(AO$7:AO1279),"")</f>
        <v/>
      </c>
    </row>
    <row r="1280" customFormat="false" ht="15" hidden="false" customHeight="false" outlineLevel="0" collapsed="false">
      <c r="A1280" s="78" t="str">
        <f aca="false">IF(E1280="","",ROW()-6)</f>
        <v/>
      </c>
      <c r="B1280" s="79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0"/>
      <c r="P1280" s="81"/>
      <c r="Q1280" s="81"/>
      <c r="R1280" s="80"/>
      <c r="S1280" s="80"/>
      <c r="T1280" s="81"/>
      <c r="U1280" s="80"/>
      <c r="V1280" s="80"/>
      <c r="W1280" s="80"/>
      <c r="X1280" s="80"/>
      <c r="Y1280" s="81"/>
      <c r="Z1280" s="80"/>
      <c r="AA1280" s="80"/>
      <c r="AB1280" s="80"/>
      <c r="AC1280" s="80"/>
      <c r="AD1280" s="81"/>
      <c r="AE1280" s="80"/>
      <c r="AF1280" s="80"/>
      <c r="AG1280" s="81"/>
      <c r="AH1280" s="79"/>
      <c r="AI1280" s="78" t="str">
        <f aca="false">IF(E1280="","",(V1280&lt;&gt;"")+(AA1280&lt;&gt;"")+(AF1280&lt;&gt;""))</f>
        <v/>
      </c>
      <c r="AJ1280" s="82" t="str">
        <f aca="false">IF(AF1280&lt;&gt;"",AF1280,IF(AA1280&lt;&gt;"",AA1280,IF(V1280&lt;&gt;"",V1280,"")))</f>
        <v/>
      </c>
      <c r="AK1280" s="83" t="str">
        <f aca="false">IF(E1280="","",IF(P1280="","À SOUDER",IF(S1280="","VT EN ATTENTE",IF(S1280="R","VT REJETÉ – À REPRENDRE",IF(AJ1280="","À RADIOGRAPHIER",IF(AJ1280="A","ACCEPTÉ",IF(AJ1280="NX","NX – RT À REFAIRE",IF(IF(AI1280=1,X1280,IF(AI1280=2,AC1280,""))="A","RÉPARÉ – À RADIOGRAPHIER",IF(IF(AI1280=1,X1280,IF(AI1280=2,AC1280,""))="R","VT REJETÉ – À REPRENDRE",IF(AJ1280="CO","COUPE – À RESOUDER","À RÉPARER"))))))))))</f>
        <v/>
      </c>
      <c r="AL1280" s="82" t="str">
        <f aca="false">IF(AND(ISNUMBER(P1280),OR(AK1280="À RADIOGRAPHIER",AK1280="RÉPARÉ – À RADIOGRAPHIER",AK1280="NX – RT À REFAIRE",AK1280="À RÉPARER",AK1280="COUPE – À RESOUDER",AK1280="VT REJETÉ – À REPRENDRE")),MAX(0,'PROGRAMME RT'!$C$4-P1280),"")</f>
        <v/>
      </c>
      <c r="AM1280" s="78" t="n">
        <f aca="false">IF(AND(OR(AK1280="À RADIOGRAPHIER",AK1280="RÉPARÉ – À RADIOGRAPHIER",AK1280="NX – RT À REFAIRE"),OR('PROGRAMME RT'!$D$5="TOUTES",B1280='PROGRAMME RT'!$D$5)),1,0)</f>
        <v>0</v>
      </c>
      <c r="AN1280" s="78" t="str">
        <f aca="false">IF(AM1280=1,SUM(AM$7:AM1280),"")</f>
        <v/>
      </c>
      <c r="AO1280" s="78" t="n">
        <f aca="false">IF(AND(OR(AK1280="À RÉPARER",AK1280="COUPE – À RESOUDER",AK1280="VT REJETÉ – À REPRENDRE"),OR(RÉPARATIONS!$D$5="TOUTES",B1280=RÉPARATIONS!$D$5)),1,0)</f>
        <v>0</v>
      </c>
      <c r="AP1280" s="78" t="str">
        <f aca="false">IF(AO1280=1,SUM(AO$7:AO1280),"")</f>
        <v/>
      </c>
    </row>
    <row r="1281" customFormat="false" ht="15" hidden="false" customHeight="false" outlineLevel="0" collapsed="false">
      <c r="A1281" s="78" t="str">
        <f aca="false">IF(E1281="","",ROW()-6)</f>
        <v/>
      </c>
      <c r="B1281" s="79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0"/>
      <c r="P1281" s="81"/>
      <c r="Q1281" s="81"/>
      <c r="R1281" s="80"/>
      <c r="S1281" s="80"/>
      <c r="T1281" s="81"/>
      <c r="U1281" s="80"/>
      <c r="V1281" s="80"/>
      <c r="W1281" s="80"/>
      <c r="X1281" s="80"/>
      <c r="Y1281" s="81"/>
      <c r="Z1281" s="80"/>
      <c r="AA1281" s="80"/>
      <c r="AB1281" s="80"/>
      <c r="AC1281" s="80"/>
      <c r="AD1281" s="81"/>
      <c r="AE1281" s="80"/>
      <c r="AF1281" s="80"/>
      <c r="AG1281" s="81"/>
      <c r="AH1281" s="79"/>
      <c r="AI1281" s="78" t="str">
        <f aca="false">IF(E1281="","",(V1281&lt;&gt;"")+(AA1281&lt;&gt;"")+(AF1281&lt;&gt;""))</f>
        <v/>
      </c>
      <c r="AJ1281" s="82" t="str">
        <f aca="false">IF(AF1281&lt;&gt;"",AF1281,IF(AA1281&lt;&gt;"",AA1281,IF(V1281&lt;&gt;"",V1281,"")))</f>
        <v/>
      </c>
      <c r="AK1281" s="83" t="str">
        <f aca="false">IF(E1281="","",IF(P1281="","À SOUDER",IF(S1281="","VT EN ATTENTE",IF(S1281="R","VT REJETÉ – À REPRENDRE",IF(AJ1281="","À RADIOGRAPHIER",IF(AJ1281="A","ACCEPTÉ",IF(AJ1281="NX","NX – RT À REFAIRE",IF(IF(AI1281=1,X1281,IF(AI1281=2,AC1281,""))="A","RÉPARÉ – À RADIOGRAPHIER",IF(IF(AI1281=1,X1281,IF(AI1281=2,AC1281,""))="R","VT REJETÉ – À REPRENDRE",IF(AJ1281="CO","COUPE – À RESOUDER","À RÉPARER"))))))))))</f>
        <v/>
      </c>
      <c r="AL1281" s="82" t="str">
        <f aca="false">IF(AND(ISNUMBER(P1281),OR(AK1281="À RADIOGRAPHIER",AK1281="RÉPARÉ – À RADIOGRAPHIER",AK1281="NX – RT À REFAIRE",AK1281="À RÉPARER",AK1281="COUPE – À RESOUDER",AK1281="VT REJETÉ – À REPRENDRE")),MAX(0,'PROGRAMME RT'!$C$4-P1281),"")</f>
        <v/>
      </c>
      <c r="AM1281" s="78" t="n">
        <f aca="false">IF(AND(OR(AK1281="À RADIOGRAPHIER",AK1281="RÉPARÉ – À RADIOGRAPHIER",AK1281="NX – RT À REFAIRE"),OR('PROGRAMME RT'!$D$5="TOUTES",B1281='PROGRAMME RT'!$D$5)),1,0)</f>
        <v>0</v>
      </c>
      <c r="AN1281" s="78" t="str">
        <f aca="false">IF(AM1281=1,SUM(AM$7:AM1281),"")</f>
        <v/>
      </c>
      <c r="AO1281" s="78" t="n">
        <f aca="false">IF(AND(OR(AK1281="À RÉPARER",AK1281="COUPE – À RESOUDER",AK1281="VT REJETÉ – À REPRENDRE"),OR(RÉPARATIONS!$D$5="TOUTES",B1281=RÉPARATIONS!$D$5)),1,0)</f>
        <v>0</v>
      </c>
      <c r="AP1281" s="78" t="str">
        <f aca="false">IF(AO1281=1,SUM(AO$7:AO1281),"")</f>
        <v/>
      </c>
    </row>
    <row r="1282" customFormat="false" ht="15" hidden="false" customHeight="false" outlineLevel="0" collapsed="false">
      <c r="A1282" s="78" t="str">
        <f aca="false">IF(E1282="","",ROW()-6)</f>
        <v/>
      </c>
      <c r="B1282" s="79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0"/>
      <c r="P1282" s="81"/>
      <c r="Q1282" s="81"/>
      <c r="R1282" s="80"/>
      <c r="S1282" s="80"/>
      <c r="T1282" s="81"/>
      <c r="U1282" s="80"/>
      <c r="V1282" s="80"/>
      <c r="W1282" s="80"/>
      <c r="X1282" s="80"/>
      <c r="Y1282" s="81"/>
      <c r="Z1282" s="80"/>
      <c r="AA1282" s="80"/>
      <c r="AB1282" s="80"/>
      <c r="AC1282" s="80"/>
      <c r="AD1282" s="81"/>
      <c r="AE1282" s="80"/>
      <c r="AF1282" s="80"/>
      <c r="AG1282" s="81"/>
      <c r="AH1282" s="79"/>
      <c r="AI1282" s="78" t="str">
        <f aca="false">IF(E1282="","",(V1282&lt;&gt;"")+(AA1282&lt;&gt;"")+(AF1282&lt;&gt;""))</f>
        <v/>
      </c>
      <c r="AJ1282" s="82" t="str">
        <f aca="false">IF(AF1282&lt;&gt;"",AF1282,IF(AA1282&lt;&gt;"",AA1282,IF(V1282&lt;&gt;"",V1282,"")))</f>
        <v/>
      </c>
      <c r="AK1282" s="83" t="str">
        <f aca="false">IF(E1282="","",IF(P1282="","À SOUDER",IF(S1282="","VT EN ATTENTE",IF(S1282="R","VT REJETÉ – À REPRENDRE",IF(AJ1282="","À RADIOGRAPHIER",IF(AJ1282="A","ACCEPTÉ",IF(AJ1282="NX","NX – RT À REFAIRE",IF(IF(AI1282=1,X1282,IF(AI1282=2,AC1282,""))="A","RÉPARÉ – À RADIOGRAPHIER",IF(IF(AI1282=1,X1282,IF(AI1282=2,AC1282,""))="R","VT REJETÉ – À REPRENDRE",IF(AJ1282="CO","COUPE – À RESOUDER","À RÉPARER"))))))))))</f>
        <v/>
      </c>
      <c r="AL1282" s="82" t="str">
        <f aca="false">IF(AND(ISNUMBER(P1282),OR(AK1282="À RADIOGRAPHIER",AK1282="RÉPARÉ – À RADIOGRAPHIER",AK1282="NX – RT À REFAIRE",AK1282="À RÉPARER",AK1282="COUPE – À RESOUDER",AK1282="VT REJETÉ – À REPRENDRE")),MAX(0,'PROGRAMME RT'!$C$4-P1282),"")</f>
        <v/>
      </c>
      <c r="AM1282" s="78" t="n">
        <f aca="false">IF(AND(OR(AK1282="À RADIOGRAPHIER",AK1282="RÉPARÉ – À RADIOGRAPHIER",AK1282="NX – RT À REFAIRE"),OR('PROGRAMME RT'!$D$5="TOUTES",B1282='PROGRAMME RT'!$D$5)),1,0)</f>
        <v>0</v>
      </c>
      <c r="AN1282" s="78" t="str">
        <f aca="false">IF(AM1282=1,SUM(AM$7:AM1282),"")</f>
        <v/>
      </c>
      <c r="AO1282" s="78" t="n">
        <f aca="false">IF(AND(OR(AK1282="À RÉPARER",AK1282="COUPE – À RESOUDER",AK1282="VT REJETÉ – À REPRENDRE"),OR(RÉPARATIONS!$D$5="TOUTES",B1282=RÉPARATIONS!$D$5)),1,0)</f>
        <v>0</v>
      </c>
      <c r="AP1282" s="78" t="str">
        <f aca="false">IF(AO1282=1,SUM(AO$7:AO1282),"")</f>
        <v/>
      </c>
    </row>
    <row r="1283" customFormat="false" ht="15" hidden="false" customHeight="false" outlineLevel="0" collapsed="false">
      <c r="A1283" s="78" t="str">
        <f aca="false">IF(E1283="","",ROW()-6)</f>
        <v/>
      </c>
      <c r="B1283" s="79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0"/>
      <c r="P1283" s="81"/>
      <c r="Q1283" s="81"/>
      <c r="R1283" s="80"/>
      <c r="S1283" s="80"/>
      <c r="T1283" s="81"/>
      <c r="U1283" s="80"/>
      <c r="V1283" s="80"/>
      <c r="W1283" s="80"/>
      <c r="X1283" s="80"/>
      <c r="Y1283" s="81"/>
      <c r="Z1283" s="80"/>
      <c r="AA1283" s="80"/>
      <c r="AB1283" s="80"/>
      <c r="AC1283" s="80"/>
      <c r="AD1283" s="81"/>
      <c r="AE1283" s="80"/>
      <c r="AF1283" s="80"/>
      <c r="AG1283" s="81"/>
      <c r="AH1283" s="79"/>
      <c r="AI1283" s="78" t="str">
        <f aca="false">IF(E1283="","",(V1283&lt;&gt;"")+(AA1283&lt;&gt;"")+(AF1283&lt;&gt;""))</f>
        <v/>
      </c>
      <c r="AJ1283" s="82" t="str">
        <f aca="false">IF(AF1283&lt;&gt;"",AF1283,IF(AA1283&lt;&gt;"",AA1283,IF(V1283&lt;&gt;"",V1283,"")))</f>
        <v/>
      </c>
      <c r="AK1283" s="83" t="str">
        <f aca="false">IF(E1283="","",IF(P1283="","À SOUDER",IF(S1283="","VT EN ATTENTE",IF(S1283="R","VT REJETÉ – À REPRENDRE",IF(AJ1283="","À RADIOGRAPHIER",IF(AJ1283="A","ACCEPTÉ",IF(AJ1283="NX","NX – RT À REFAIRE",IF(IF(AI1283=1,X1283,IF(AI1283=2,AC1283,""))="A","RÉPARÉ – À RADIOGRAPHIER",IF(IF(AI1283=1,X1283,IF(AI1283=2,AC1283,""))="R","VT REJETÉ – À REPRENDRE",IF(AJ1283="CO","COUPE – À RESOUDER","À RÉPARER"))))))))))</f>
        <v/>
      </c>
      <c r="AL1283" s="82" t="str">
        <f aca="false">IF(AND(ISNUMBER(P1283),OR(AK1283="À RADIOGRAPHIER",AK1283="RÉPARÉ – À RADIOGRAPHIER",AK1283="NX – RT À REFAIRE",AK1283="À RÉPARER",AK1283="COUPE – À RESOUDER",AK1283="VT REJETÉ – À REPRENDRE")),MAX(0,'PROGRAMME RT'!$C$4-P1283),"")</f>
        <v/>
      </c>
      <c r="AM1283" s="78" t="n">
        <f aca="false">IF(AND(OR(AK1283="À RADIOGRAPHIER",AK1283="RÉPARÉ – À RADIOGRAPHIER",AK1283="NX – RT À REFAIRE"),OR('PROGRAMME RT'!$D$5="TOUTES",B1283='PROGRAMME RT'!$D$5)),1,0)</f>
        <v>0</v>
      </c>
      <c r="AN1283" s="78" t="str">
        <f aca="false">IF(AM1283=1,SUM(AM$7:AM1283),"")</f>
        <v/>
      </c>
      <c r="AO1283" s="78" t="n">
        <f aca="false">IF(AND(OR(AK1283="À RÉPARER",AK1283="COUPE – À RESOUDER",AK1283="VT REJETÉ – À REPRENDRE"),OR(RÉPARATIONS!$D$5="TOUTES",B1283=RÉPARATIONS!$D$5)),1,0)</f>
        <v>0</v>
      </c>
      <c r="AP1283" s="78" t="str">
        <f aca="false">IF(AO1283=1,SUM(AO$7:AO1283),"")</f>
        <v/>
      </c>
    </row>
    <row r="1284" customFormat="false" ht="15" hidden="false" customHeight="false" outlineLevel="0" collapsed="false">
      <c r="A1284" s="78" t="str">
        <f aca="false">IF(E1284="","",ROW()-6)</f>
        <v/>
      </c>
      <c r="B1284" s="79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0"/>
      <c r="P1284" s="81"/>
      <c r="Q1284" s="81"/>
      <c r="R1284" s="80"/>
      <c r="S1284" s="80"/>
      <c r="T1284" s="81"/>
      <c r="U1284" s="80"/>
      <c r="V1284" s="80"/>
      <c r="W1284" s="80"/>
      <c r="X1284" s="80"/>
      <c r="Y1284" s="81"/>
      <c r="Z1284" s="80"/>
      <c r="AA1284" s="80"/>
      <c r="AB1284" s="80"/>
      <c r="AC1284" s="80"/>
      <c r="AD1284" s="81"/>
      <c r="AE1284" s="80"/>
      <c r="AF1284" s="80"/>
      <c r="AG1284" s="81"/>
      <c r="AH1284" s="79"/>
      <c r="AI1284" s="78" t="str">
        <f aca="false">IF(E1284="","",(V1284&lt;&gt;"")+(AA1284&lt;&gt;"")+(AF1284&lt;&gt;""))</f>
        <v/>
      </c>
      <c r="AJ1284" s="82" t="str">
        <f aca="false">IF(AF1284&lt;&gt;"",AF1284,IF(AA1284&lt;&gt;"",AA1284,IF(V1284&lt;&gt;"",V1284,"")))</f>
        <v/>
      </c>
      <c r="AK1284" s="83" t="str">
        <f aca="false">IF(E1284="","",IF(P1284="","À SOUDER",IF(S1284="","VT EN ATTENTE",IF(S1284="R","VT REJETÉ – À REPRENDRE",IF(AJ1284="","À RADIOGRAPHIER",IF(AJ1284="A","ACCEPTÉ",IF(AJ1284="NX","NX – RT À REFAIRE",IF(IF(AI1284=1,X1284,IF(AI1284=2,AC1284,""))="A","RÉPARÉ – À RADIOGRAPHIER",IF(IF(AI1284=1,X1284,IF(AI1284=2,AC1284,""))="R","VT REJETÉ – À REPRENDRE",IF(AJ1284="CO","COUPE – À RESOUDER","À RÉPARER"))))))))))</f>
        <v/>
      </c>
      <c r="AL1284" s="82" t="str">
        <f aca="false">IF(AND(ISNUMBER(P1284),OR(AK1284="À RADIOGRAPHIER",AK1284="RÉPARÉ – À RADIOGRAPHIER",AK1284="NX – RT À REFAIRE",AK1284="À RÉPARER",AK1284="COUPE – À RESOUDER",AK1284="VT REJETÉ – À REPRENDRE")),MAX(0,'PROGRAMME RT'!$C$4-P1284),"")</f>
        <v/>
      </c>
      <c r="AM1284" s="78" t="n">
        <f aca="false">IF(AND(OR(AK1284="À RADIOGRAPHIER",AK1284="RÉPARÉ – À RADIOGRAPHIER",AK1284="NX – RT À REFAIRE"),OR('PROGRAMME RT'!$D$5="TOUTES",B1284='PROGRAMME RT'!$D$5)),1,0)</f>
        <v>0</v>
      </c>
      <c r="AN1284" s="78" t="str">
        <f aca="false">IF(AM1284=1,SUM(AM$7:AM1284),"")</f>
        <v/>
      </c>
      <c r="AO1284" s="78" t="n">
        <f aca="false">IF(AND(OR(AK1284="À RÉPARER",AK1284="COUPE – À RESOUDER",AK1284="VT REJETÉ – À REPRENDRE"),OR(RÉPARATIONS!$D$5="TOUTES",B1284=RÉPARATIONS!$D$5)),1,0)</f>
        <v>0</v>
      </c>
      <c r="AP1284" s="78" t="str">
        <f aca="false">IF(AO1284=1,SUM(AO$7:AO1284),"")</f>
        <v/>
      </c>
    </row>
    <row r="1285" customFormat="false" ht="15" hidden="false" customHeight="false" outlineLevel="0" collapsed="false">
      <c r="A1285" s="78" t="str">
        <f aca="false">IF(E1285="","",ROW()-6)</f>
        <v/>
      </c>
      <c r="B1285" s="79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0"/>
      <c r="P1285" s="81"/>
      <c r="Q1285" s="81"/>
      <c r="R1285" s="80"/>
      <c r="S1285" s="80"/>
      <c r="T1285" s="81"/>
      <c r="U1285" s="80"/>
      <c r="V1285" s="80"/>
      <c r="W1285" s="80"/>
      <c r="X1285" s="80"/>
      <c r="Y1285" s="81"/>
      <c r="Z1285" s="80"/>
      <c r="AA1285" s="80"/>
      <c r="AB1285" s="80"/>
      <c r="AC1285" s="80"/>
      <c r="AD1285" s="81"/>
      <c r="AE1285" s="80"/>
      <c r="AF1285" s="80"/>
      <c r="AG1285" s="81"/>
      <c r="AH1285" s="79"/>
      <c r="AI1285" s="78" t="str">
        <f aca="false">IF(E1285="","",(V1285&lt;&gt;"")+(AA1285&lt;&gt;"")+(AF1285&lt;&gt;""))</f>
        <v/>
      </c>
      <c r="AJ1285" s="82" t="str">
        <f aca="false">IF(AF1285&lt;&gt;"",AF1285,IF(AA1285&lt;&gt;"",AA1285,IF(V1285&lt;&gt;"",V1285,"")))</f>
        <v/>
      </c>
      <c r="AK1285" s="83" t="str">
        <f aca="false">IF(E1285="","",IF(P1285="","À SOUDER",IF(S1285="","VT EN ATTENTE",IF(S1285="R","VT REJETÉ – À REPRENDRE",IF(AJ1285="","À RADIOGRAPHIER",IF(AJ1285="A","ACCEPTÉ",IF(AJ1285="NX","NX – RT À REFAIRE",IF(IF(AI1285=1,X1285,IF(AI1285=2,AC1285,""))="A","RÉPARÉ – À RADIOGRAPHIER",IF(IF(AI1285=1,X1285,IF(AI1285=2,AC1285,""))="R","VT REJETÉ – À REPRENDRE",IF(AJ1285="CO","COUPE – À RESOUDER","À RÉPARER"))))))))))</f>
        <v/>
      </c>
      <c r="AL1285" s="82" t="str">
        <f aca="false">IF(AND(ISNUMBER(P1285),OR(AK1285="À RADIOGRAPHIER",AK1285="RÉPARÉ – À RADIOGRAPHIER",AK1285="NX – RT À REFAIRE",AK1285="À RÉPARER",AK1285="COUPE – À RESOUDER",AK1285="VT REJETÉ – À REPRENDRE")),MAX(0,'PROGRAMME RT'!$C$4-P1285),"")</f>
        <v/>
      </c>
      <c r="AM1285" s="78" t="n">
        <f aca="false">IF(AND(OR(AK1285="À RADIOGRAPHIER",AK1285="RÉPARÉ – À RADIOGRAPHIER",AK1285="NX – RT À REFAIRE"),OR('PROGRAMME RT'!$D$5="TOUTES",B1285='PROGRAMME RT'!$D$5)),1,0)</f>
        <v>0</v>
      </c>
      <c r="AN1285" s="78" t="str">
        <f aca="false">IF(AM1285=1,SUM(AM$7:AM1285),"")</f>
        <v/>
      </c>
      <c r="AO1285" s="78" t="n">
        <f aca="false">IF(AND(OR(AK1285="À RÉPARER",AK1285="COUPE – À RESOUDER",AK1285="VT REJETÉ – À REPRENDRE"),OR(RÉPARATIONS!$D$5="TOUTES",B1285=RÉPARATIONS!$D$5)),1,0)</f>
        <v>0</v>
      </c>
      <c r="AP1285" s="78" t="str">
        <f aca="false">IF(AO1285=1,SUM(AO$7:AO1285),"")</f>
        <v/>
      </c>
    </row>
    <row r="1286" customFormat="false" ht="15" hidden="false" customHeight="false" outlineLevel="0" collapsed="false">
      <c r="A1286" s="78" t="str">
        <f aca="false">IF(E1286="","",ROW()-6)</f>
        <v/>
      </c>
      <c r="B1286" s="79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0"/>
      <c r="P1286" s="81"/>
      <c r="Q1286" s="81"/>
      <c r="R1286" s="80"/>
      <c r="S1286" s="80"/>
      <c r="T1286" s="81"/>
      <c r="U1286" s="80"/>
      <c r="V1286" s="80"/>
      <c r="W1286" s="80"/>
      <c r="X1286" s="80"/>
      <c r="Y1286" s="81"/>
      <c r="Z1286" s="80"/>
      <c r="AA1286" s="80"/>
      <c r="AB1286" s="80"/>
      <c r="AC1286" s="80"/>
      <c r="AD1286" s="81"/>
      <c r="AE1286" s="80"/>
      <c r="AF1286" s="80"/>
      <c r="AG1286" s="81"/>
      <c r="AH1286" s="79"/>
      <c r="AI1286" s="78" t="str">
        <f aca="false">IF(E1286="","",(V1286&lt;&gt;"")+(AA1286&lt;&gt;"")+(AF1286&lt;&gt;""))</f>
        <v/>
      </c>
      <c r="AJ1286" s="82" t="str">
        <f aca="false">IF(AF1286&lt;&gt;"",AF1286,IF(AA1286&lt;&gt;"",AA1286,IF(V1286&lt;&gt;"",V1286,"")))</f>
        <v/>
      </c>
      <c r="AK1286" s="83" t="str">
        <f aca="false">IF(E1286="","",IF(P1286="","À SOUDER",IF(S1286="","VT EN ATTENTE",IF(S1286="R","VT REJETÉ – À REPRENDRE",IF(AJ1286="","À RADIOGRAPHIER",IF(AJ1286="A","ACCEPTÉ",IF(AJ1286="NX","NX – RT À REFAIRE",IF(IF(AI1286=1,X1286,IF(AI1286=2,AC1286,""))="A","RÉPARÉ – À RADIOGRAPHIER",IF(IF(AI1286=1,X1286,IF(AI1286=2,AC1286,""))="R","VT REJETÉ – À REPRENDRE",IF(AJ1286="CO","COUPE – À RESOUDER","À RÉPARER"))))))))))</f>
        <v/>
      </c>
      <c r="AL1286" s="82" t="str">
        <f aca="false">IF(AND(ISNUMBER(P1286),OR(AK1286="À RADIOGRAPHIER",AK1286="RÉPARÉ – À RADIOGRAPHIER",AK1286="NX – RT À REFAIRE",AK1286="À RÉPARER",AK1286="COUPE – À RESOUDER",AK1286="VT REJETÉ – À REPRENDRE")),MAX(0,'PROGRAMME RT'!$C$4-P1286),"")</f>
        <v/>
      </c>
      <c r="AM1286" s="78" t="n">
        <f aca="false">IF(AND(OR(AK1286="À RADIOGRAPHIER",AK1286="RÉPARÉ – À RADIOGRAPHIER",AK1286="NX – RT À REFAIRE"),OR('PROGRAMME RT'!$D$5="TOUTES",B1286='PROGRAMME RT'!$D$5)),1,0)</f>
        <v>0</v>
      </c>
      <c r="AN1286" s="78" t="str">
        <f aca="false">IF(AM1286=1,SUM(AM$7:AM1286),"")</f>
        <v/>
      </c>
      <c r="AO1286" s="78" t="n">
        <f aca="false">IF(AND(OR(AK1286="À RÉPARER",AK1286="COUPE – À RESOUDER",AK1286="VT REJETÉ – À REPRENDRE"),OR(RÉPARATIONS!$D$5="TOUTES",B1286=RÉPARATIONS!$D$5)),1,0)</f>
        <v>0</v>
      </c>
      <c r="AP1286" s="78" t="str">
        <f aca="false">IF(AO1286=1,SUM(AO$7:AO1286),"")</f>
        <v/>
      </c>
    </row>
    <row r="1287" customFormat="false" ht="15" hidden="false" customHeight="false" outlineLevel="0" collapsed="false">
      <c r="A1287" s="78" t="str">
        <f aca="false">IF(E1287="","",ROW()-6)</f>
        <v/>
      </c>
      <c r="B1287" s="79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0"/>
      <c r="P1287" s="81"/>
      <c r="Q1287" s="81"/>
      <c r="R1287" s="80"/>
      <c r="S1287" s="80"/>
      <c r="T1287" s="81"/>
      <c r="U1287" s="80"/>
      <c r="V1287" s="80"/>
      <c r="W1287" s="80"/>
      <c r="X1287" s="80"/>
      <c r="Y1287" s="81"/>
      <c r="Z1287" s="80"/>
      <c r="AA1287" s="80"/>
      <c r="AB1287" s="80"/>
      <c r="AC1287" s="80"/>
      <c r="AD1287" s="81"/>
      <c r="AE1287" s="80"/>
      <c r="AF1287" s="80"/>
      <c r="AG1287" s="81"/>
      <c r="AH1287" s="79"/>
      <c r="AI1287" s="78" t="str">
        <f aca="false">IF(E1287="","",(V1287&lt;&gt;"")+(AA1287&lt;&gt;"")+(AF1287&lt;&gt;""))</f>
        <v/>
      </c>
      <c r="AJ1287" s="82" t="str">
        <f aca="false">IF(AF1287&lt;&gt;"",AF1287,IF(AA1287&lt;&gt;"",AA1287,IF(V1287&lt;&gt;"",V1287,"")))</f>
        <v/>
      </c>
      <c r="AK1287" s="83" t="str">
        <f aca="false">IF(E1287="","",IF(P1287="","À SOUDER",IF(S1287="","VT EN ATTENTE",IF(S1287="R","VT REJETÉ – À REPRENDRE",IF(AJ1287="","À RADIOGRAPHIER",IF(AJ1287="A","ACCEPTÉ",IF(AJ1287="NX","NX – RT À REFAIRE",IF(IF(AI1287=1,X1287,IF(AI1287=2,AC1287,""))="A","RÉPARÉ – À RADIOGRAPHIER",IF(IF(AI1287=1,X1287,IF(AI1287=2,AC1287,""))="R","VT REJETÉ – À REPRENDRE",IF(AJ1287="CO","COUPE – À RESOUDER","À RÉPARER"))))))))))</f>
        <v/>
      </c>
      <c r="AL1287" s="82" t="str">
        <f aca="false">IF(AND(ISNUMBER(P1287),OR(AK1287="À RADIOGRAPHIER",AK1287="RÉPARÉ – À RADIOGRAPHIER",AK1287="NX – RT À REFAIRE",AK1287="À RÉPARER",AK1287="COUPE – À RESOUDER",AK1287="VT REJETÉ – À REPRENDRE")),MAX(0,'PROGRAMME RT'!$C$4-P1287),"")</f>
        <v/>
      </c>
      <c r="AM1287" s="78" t="n">
        <f aca="false">IF(AND(OR(AK1287="À RADIOGRAPHIER",AK1287="RÉPARÉ – À RADIOGRAPHIER",AK1287="NX – RT À REFAIRE"),OR('PROGRAMME RT'!$D$5="TOUTES",B1287='PROGRAMME RT'!$D$5)),1,0)</f>
        <v>0</v>
      </c>
      <c r="AN1287" s="78" t="str">
        <f aca="false">IF(AM1287=1,SUM(AM$7:AM1287),"")</f>
        <v/>
      </c>
      <c r="AO1287" s="78" t="n">
        <f aca="false">IF(AND(OR(AK1287="À RÉPARER",AK1287="COUPE – À RESOUDER",AK1287="VT REJETÉ – À REPRENDRE"),OR(RÉPARATIONS!$D$5="TOUTES",B1287=RÉPARATIONS!$D$5)),1,0)</f>
        <v>0</v>
      </c>
      <c r="AP1287" s="78" t="str">
        <f aca="false">IF(AO1287=1,SUM(AO$7:AO1287),"")</f>
        <v/>
      </c>
    </row>
    <row r="1288" customFormat="false" ht="15" hidden="false" customHeight="false" outlineLevel="0" collapsed="false">
      <c r="A1288" s="78" t="str">
        <f aca="false">IF(E1288="","",ROW()-6)</f>
        <v/>
      </c>
      <c r="B1288" s="79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0"/>
      <c r="P1288" s="81"/>
      <c r="Q1288" s="81"/>
      <c r="R1288" s="80"/>
      <c r="S1288" s="80"/>
      <c r="T1288" s="81"/>
      <c r="U1288" s="80"/>
      <c r="V1288" s="80"/>
      <c r="W1288" s="80"/>
      <c r="X1288" s="80"/>
      <c r="Y1288" s="81"/>
      <c r="Z1288" s="80"/>
      <c r="AA1288" s="80"/>
      <c r="AB1288" s="80"/>
      <c r="AC1288" s="80"/>
      <c r="AD1288" s="81"/>
      <c r="AE1288" s="80"/>
      <c r="AF1288" s="80"/>
      <c r="AG1288" s="81"/>
      <c r="AH1288" s="79"/>
      <c r="AI1288" s="78" t="str">
        <f aca="false">IF(E1288="","",(V1288&lt;&gt;"")+(AA1288&lt;&gt;"")+(AF1288&lt;&gt;""))</f>
        <v/>
      </c>
      <c r="AJ1288" s="82" t="str">
        <f aca="false">IF(AF1288&lt;&gt;"",AF1288,IF(AA1288&lt;&gt;"",AA1288,IF(V1288&lt;&gt;"",V1288,"")))</f>
        <v/>
      </c>
      <c r="AK1288" s="83" t="str">
        <f aca="false">IF(E1288="","",IF(P1288="","À SOUDER",IF(S1288="","VT EN ATTENTE",IF(S1288="R","VT REJETÉ – À REPRENDRE",IF(AJ1288="","À RADIOGRAPHIER",IF(AJ1288="A","ACCEPTÉ",IF(AJ1288="NX","NX – RT À REFAIRE",IF(IF(AI1288=1,X1288,IF(AI1288=2,AC1288,""))="A","RÉPARÉ – À RADIOGRAPHIER",IF(IF(AI1288=1,X1288,IF(AI1288=2,AC1288,""))="R","VT REJETÉ – À REPRENDRE",IF(AJ1288="CO","COUPE – À RESOUDER","À RÉPARER"))))))))))</f>
        <v/>
      </c>
      <c r="AL1288" s="82" t="str">
        <f aca="false">IF(AND(ISNUMBER(P1288),OR(AK1288="À RADIOGRAPHIER",AK1288="RÉPARÉ – À RADIOGRAPHIER",AK1288="NX – RT À REFAIRE",AK1288="À RÉPARER",AK1288="COUPE – À RESOUDER",AK1288="VT REJETÉ – À REPRENDRE")),MAX(0,'PROGRAMME RT'!$C$4-P1288),"")</f>
        <v/>
      </c>
      <c r="AM1288" s="78" t="n">
        <f aca="false">IF(AND(OR(AK1288="À RADIOGRAPHIER",AK1288="RÉPARÉ – À RADIOGRAPHIER",AK1288="NX – RT À REFAIRE"),OR('PROGRAMME RT'!$D$5="TOUTES",B1288='PROGRAMME RT'!$D$5)),1,0)</f>
        <v>0</v>
      </c>
      <c r="AN1288" s="78" t="str">
        <f aca="false">IF(AM1288=1,SUM(AM$7:AM1288),"")</f>
        <v/>
      </c>
      <c r="AO1288" s="78" t="n">
        <f aca="false">IF(AND(OR(AK1288="À RÉPARER",AK1288="COUPE – À RESOUDER",AK1288="VT REJETÉ – À REPRENDRE"),OR(RÉPARATIONS!$D$5="TOUTES",B1288=RÉPARATIONS!$D$5)),1,0)</f>
        <v>0</v>
      </c>
      <c r="AP1288" s="78" t="str">
        <f aca="false">IF(AO1288=1,SUM(AO$7:AO1288),"")</f>
        <v/>
      </c>
    </row>
    <row r="1289" customFormat="false" ht="15" hidden="false" customHeight="false" outlineLevel="0" collapsed="false">
      <c r="A1289" s="78" t="str">
        <f aca="false">IF(E1289="","",ROW()-6)</f>
        <v/>
      </c>
      <c r="B1289" s="79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0"/>
      <c r="P1289" s="81"/>
      <c r="Q1289" s="81"/>
      <c r="R1289" s="80"/>
      <c r="S1289" s="80"/>
      <c r="T1289" s="81"/>
      <c r="U1289" s="80"/>
      <c r="V1289" s="80"/>
      <c r="W1289" s="80"/>
      <c r="X1289" s="80"/>
      <c r="Y1289" s="81"/>
      <c r="Z1289" s="80"/>
      <c r="AA1289" s="80"/>
      <c r="AB1289" s="80"/>
      <c r="AC1289" s="80"/>
      <c r="AD1289" s="81"/>
      <c r="AE1289" s="80"/>
      <c r="AF1289" s="80"/>
      <c r="AG1289" s="81"/>
      <c r="AH1289" s="79"/>
      <c r="AI1289" s="78" t="str">
        <f aca="false">IF(E1289="","",(V1289&lt;&gt;"")+(AA1289&lt;&gt;"")+(AF1289&lt;&gt;""))</f>
        <v/>
      </c>
      <c r="AJ1289" s="82" t="str">
        <f aca="false">IF(AF1289&lt;&gt;"",AF1289,IF(AA1289&lt;&gt;"",AA1289,IF(V1289&lt;&gt;"",V1289,"")))</f>
        <v/>
      </c>
      <c r="AK1289" s="83" t="str">
        <f aca="false">IF(E1289="","",IF(P1289="","À SOUDER",IF(S1289="","VT EN ATTENTE",IF(S1289="R","VT REJETÉ – À REPRENDRE",IF(AJ1289="","À RADIOGRAPHIER",IF(AJ1289="A","ACCEPTÉ",IF(AJ1289="NX","NX – RT À REFAIRE",IF(IF(AI1289=1,X1289,IF(AI1289=2,AC1289,""))="A","RÉPARÉ – À RADIOGRAPHIER",IF(IF(AI1289=1,X1289,IF(AI1289=2,AC1289,""))="R","VT REJETÉ – À REPRENDRE",IF(AJ1289="CO","COUPE – À RESOUDER","À RÉPARER"))))))))))</f>
        <v/>
      </c>
      <c r="AL1289" s="82" t="str">
        <f aca="false">IF(AND(ISNUMBER(P1289),OR(AK1289="À RADIOGRAPHIER",AK1289="RÉPARÉ – À RADIOGRAPHIER",AK1289="NX – RT À REFAIRE",AK1289="À RÉPARER",AK1289="COUPE – À RESOUDER",AK1289="VT REJETÉ – À REPRENDRE")),MAX(0,'PROGRAMME RT'!$C$4-P1289),"")</f>
        <v/>
      </c>
      <c r="AM1289" s="78" t="n">
        <f aca="false">IF(AND(OR(AK1289="À RADIOGRAPHIER",AK1289="RÉPARÉ – À RADIOGRAPHIER",AK1289="NX – RT À REFAIRE"),OR('PROGRAMME RT'!$D$5="TOUTES",B1289='PROGRAMME RT'!$D$5)),1,0)</f>
        <v>0</v>
      </c>
      <c r="AN1289" s="78" t="str">
        <f aca="false">IF(AM1289=1,SUM(AM$7:AM1289),"")</f>
        <v/>
      </c>
      <c r="AO1289" s="78" t="n">
        <f aca="false">IF(AND(OR(AK1289="À RÉPARER",AK1289="COUPE – À RESOUDER",AK1289="VT REJETÉ – À REPRENDRE"),OR(RÉPARATIONS!$D$5="TOUTES",B1289=RÉPARATIONS!$D$5)),1,0)</f>
        <v>0</v>
      </c>
      <c r="AP1289" s="78" t="str">
        <f aca="false">IF(AO1289=1,SUM(AO$7:AO1289),"")</f>
        <v/>
      </c>
    </row>
    <row r="1290" customFormat="false" ht="15" hidden="false" customHeight="false" outlineLevel="0" collapsed="false">
      <c r="A1290" s="78" t="str">
        <f aca="false">IF(E1290="","",ROW()-6)</f>
        <v/>
      </c>
      <c r="B1290" s="79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0"/>
      <c r="P1290" s="81"/>
      <c r="Q1290" s="81"/>
      <c r="R1290" s="80"/>
      <c r="S1290" s="80"/>
      <c r="T1290" s="81"/>
      <c r="U1290" s="80"/>
      <c r="V1290" s="80"/>
      <c r="W1290" s="80"/>
      <c r="X1290" s="80"/>
      <c r="Y1290" s="81"/>
      <c r="Z1290" s="80"/>
      <c r="AA1290" s="80"/>
      <c r="AB1290" s="80"/>
      <c r="AC1290" s="80"/>
      <c r="AD1290" s="81"/>
      <c r="AE1290" s="80"/>
      <c r="AF1290" s="80"/>
      <c r="AG1290" s="81"/>
      <c r="AH1290" s="79"/>
      <c r="AI1290" s="78" t="str">
        <f aca="false">IF(E1290="","",(V1290&lt;&gt;"")+(AA1290&lt;&gt;"")+(AF1290&lt;&gt;""))</f>
        <v/>
      </c>
      <c r="AJ1290" s="82" t="str">
        <f aca="false">IF(AF1290&lt;&gt;"",AF1290,IF(AA1290&lt;&gt;"",AA1290,IF(V1290&lt;&gt;"",V1290,"")))</f>
        <v/>
      </c>
      <c r="AK1290" s="83" t="str">
        <f aca="false">IF(E1290="","",IF(P1290="","À SOUDER",IF(S1290="","VT EN ATTENTE",IF(S1290="R","VT REJETÉ – À REPRENDRE",IF(AJ1290="","À RADIOGRAPHIER",IF(AJ1290="A","ACCEPTÉ",IF(AJ1290="NX","NX – RT À REFAIRE",IF(IF(AI1290=1,X1290,IF(AI1290=2,AC1290,""))="A","RÉPARÉ – À RADIOGRAPHIER",IF(IF(AI1290=1,X1290,IF(AI1290=2,AC1290,""))="R","VT REJETÉ – À REPRENDRE",IF(AJ1290="CO","COUPE – À RESOUDER","À RÉPARER"))))))))))</f>
        <v/>
      </c>
      <c r="AL1290" s="82" t="str">
        <f aca="false">IF(AND(ISNUMBER(P1290),OR(AK1290="À RADIOGRAPHIER",AK1290="RÉPARÉ – À RADIOGRAPHIER",AK1290="NX – RT À REFAIRE",AK1290="À RÉPARER",AK1290="COUPE – À RESOUDER",AK1290="VT REJETÉ – À REPRENDRE")),MAX(0,'PROGRAMME RT'!$C$4-P1290),"")</f>
        <v/>
      </c>
      <c r="AM1290" s="78" t="n">
        <f aca="false">IF(AND(OR(AK1290="À RADIOGRAPHIER",AK1290="RÉPARÉ – À RADIOGRAPHIER",AK1290="NX – RT À REFAIRE"),OR('PROGRAMME RT'!$D$5="TOUTES",B1290='PROGRAMME RT'!$D$5)),1,0)</f>
        <v>0</v>
      </c>
      <c r="AN1290" s="78" t="str">
        <f aca="false">IF(AM1290=1,SUM(AM$7:AM1290),"")</f>
        <v/>
      </c>
      <c r="AO1290" s="78" t="n">
        <f aca="false">IF(AND(OR(AK1290="À RÉPARER",AK1290="COUPE – À RESOUDER",AK1290="VT REJETÉ – À REPRENDRE"),OR(RÉPARATIONS!$D$5="TOUTES",B1290=RÉPARATIONS!$D$5)),1,0)</f>
        <v>0</v>
      </c>
      <c r="AP1290" s="78" t="str">
        <f aca="false">IF(AO1290=1,SUM(AO$7:AO1290),"")</f>
        <v/>
      </c>
    </row>
    <row r="1291" customFormat="false" ht="15" hidden="false" customHeight="false" outlineLevel="0" collapsed="false">
      <c r="A1291" s="78" t="str">
        <f aca="false">IF(E1291="","",ROW()-6)</f>
        <v/>
      </c>
      <c r="B1291" s="79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0"/>
      <c r="P1291" s="81"/>
      <c r="Q1291" s="81"/>
      <c r="R1291" s="80"/>
      <c r="S1291" s="80"/>
      <c r="T1291" s="81"/>
      <c r="U1291" s="80"/>
      <c r="V1291" s="80"/>
      <c r="W1291" s="80"/>
      <c r="X1291" s="80"/>
      <c r="Y1291" s="81"/>
      <c r="Z1291" s="80"/>
      <c r="AA1291" s="80"/>
      <c r="AB1291" s="80"/>
      <c r="AC1291" s="80"/>
      <c r="AD1291" s="81"/>
      <c r="AE1291" s="80"/>
      <c r="AF1291" s="80"/>
      <c r="AG1291" s="81"/>
      <c r="AH1291" s="79"/>
      <c r="AI1291" s="78" t="str">
        <f aca="false">IF(E1291="","",(V1291&lt;&gt;"")+(AA1291&lt;&gt;"")+(AF1291&lt;&gt;""))</f>
        <v/>
      </c>
      <c r="AJ1291" s="82" t="str">
        <f aca="false">IF(AF1291&lt;&gt;"",AF1291,IF(AA1291&lt;&gt;"",AA1291,IF(V1291&lt;&gt;"",V1291,"")))</f>
        <v/>
      </c>
      <c r="AK1291" s="83" t="str">
        <f aca="false">IF(E1291="","",IF(P1291="","À SOUDER",IF(S1291="","VT EN ATTENTE",IF(S1291="R","VT REJETÉ – À REPRENDRE",IF(AJ1291="","À RADIOGRAPHIER",IF(AJ1291="A","ACCEPTÉ",IF(AJ1291="NX","NX – RT À REFAIRE",IF(IF(AI1291=1,X1291,IF(AI1291=2,AC1291,""))="A","RÉPARÉ – À RADIOGRAPHIER",IF(IF(AI1291=1,X1291,IF(AI1291=2,AC1291,""))="R","VT REJETÉ – À REPRENDRE",IF(AJ1291="CO","COUPE – À RESOUDER","À RÉPARER"))))))))))</f>
        <v/>
      </c>
      <c r="AL1291" s="82" t="str">
        <f aca="false">IF(AND(ISNUMBER(P1291),OR(AK1291="À RADIOGRAPHIER",AK1291="RÉPARÉ – À RADIOGRAPHIER",AK1291="NX – RT À REFAIRE",AK1291="À RÉPARER",AK1291="COUPE – À RESOUDER",AK1291="VT REJETÉ – À REPRENDRE")),MAX(0,'PROGRAMME RT'!$C$4-P1291),"")</f>
        <v/>
      </c>
      <c r="AM1291" s="78" t="n">
        <f aca="false">IF(AND(OR(AK1291="À RADIOGRAPHIER",AK1291="RÉPARÉ – À RADIOGRAPHIER",AK1291="NX – RT À REFAIRE"),OR('PROGRAMME RT'!$D$5="TOUTES",B1291='PROGRAMME RT'!$D$5)),1,0)</f>
        <v>0</v>
      </c>
      <c r="AN1291" s="78" t="str">
        <f aca="false">IF(AM1291=1,SUM(AM$7:AM1291),"")</f>
        <v/>
      </c>
      <c r="AO1291" s="78" t="n">
        <f aca="false">IF(AND(OR(AK1291="À RÉPARER",AK1291="COUPE – À RESOUDER",AK1291="VT REJETÉ – À REPRENDRE"),OR(RÉPARATIONS!$D$5="TOUTES",B1291=RÉPARATIONS!$D$5)),1,0)</f>
        <v>0</v>
      </c>
      <c r="AP1291" s="78" t="str">
        <f aca="false">IF(AO1291=1,SUM(AO$7:AO1291),"")</f>
        <v/>
      </c>
    </row>
    <row r="1292" customFormat="false" ht="15" hidden="false" customHeight="false" outlineLevel="0" collapsed="false">
      <c r="A1292" s="78" t="str">
        <f aca="false">IF(E1292="","",ROW()-6)</f>
        <v/>
      </c>
      <c r="B1292" s="79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0"/>
      <c r="P1292" s="81"/>
      <c r="Q1292" s="81"/>
      <c r="R1292" s="80"/>
      <c r="S1292" s="80"/>
      <c r="T1292" s="81"/>
      <c r="U1292" s="80"/>
      <c r="V1292" s="80"/>
      <c r="W1292" s="80"/>
      <c r="X1292" s="80"/>
      <c r="Y1292" s="81"/>
      <c r="Z1292" s="80"/>
      <c r="AA1292" s="80"/>
      <c r="AB1292" s="80"/>
      <c r="AC1292" s="80"/>
      <c r="AD1292" s="81"/>
      <c r="AE1292" s="80"/>
      <c r="AF1292" s="80"/>
      <c r="AG1292" s="81"/>
      <c r="AH1292" s="79"/>
      <c r="AI1292" s="78" t="str">
        <f aca="false">IF(E1292="","",(V1292&lt;&gt;"")+(AA1292&lt;&gt;"")+(AF1292&lt;&gt;""))</f>
        <v/>
      </c>
      <c r="AJ1292" s="82" t="str">
        <f aca="false">IF(AF1292&lt;&gt;"",AF1292,IF(AA1292&lt;&gt;"",AA1292,IF(V1292&lt;&gt;"",V1292,"")))</f>
        <v/>
      </c>
      <c r="AK1292" s="83" t="str">
        <f aca="false">IF(E1292="","",IF(P1292="","À SOUDER",IF(S1292="","VT EN ATTENTE",IF(S1292="R","VT REJETÉ – À REPRENDRE",IF(AJ1292="","À RADIOGRAPHIER",IF(AJ1292="A","ACCEPTÉ",IF(AJ1292="NX","NX – RT À REFAIRE",IF(IF(AI1292=1,X1292,IF(AI1292=2,AC1292,""))="A","RÉPARÉ – À RADIOGRAPHIER",IF(IF(AI1292=1,X1292,IF(AI1292=2,AC1292,""))="R","VT REJETÉ – À REPRENDRE",IF(AJ1292="CO","COUPE – À RESOUDER","À RÉPARER"))))))))))</f>
        <v/>
      </c>
      <c r="AL1292" s="82" t="str">
        <f aca="false">IF(AND(ISNUMBER(P1292),OR(AK1292="À RADIOGRAPHIER",AK1292="RÉPARÉ – À RADIOGRAPHIER",AK1292="NX – RT À REFAIRE",AK1292="À RÉPARER",AK1292="COUPE – À RESOUDER",AK1292="VT REJETÉ – À REPRENDRE")),MAX(0,'PROGRAMME RT'!$C$4-P1292),"")</f>
        <v/>
      </c>
      <c r="AM1292" s="78" t="n">
        <f aca="false">IF(AND(OR(AK1292="À RADIOGRAPHIER",AK1292="RÉPARÉ – À RADIOGRAPHIER",AK1292="NX – RT À REFAIRE"),OR('PROGRAMME RT'!$D$5="TOUTES",B1292='PROGRAMME RT'!$D$5)),1,0)</f>
        <v>0</v>
      </c>
      <c r="AN1292" s="78" t="str">
        <f aca="false">IF(AM1292=1,SUM(AM$7:AM1292),"")</f>
        <v/>
      </c>
      <c r="AO1292" s="78" t="n">
        <f aca="false">IF(AND(OR(AK1292="À RÉPARER",AK1292="COUPE – À RESOUDER",AK1292="VT REJETÉ – À REPRENDRE"),OR(RÉPARATIONS!$D$5="TOUTES",B1292=RÉPARATIONS!$D$5)),1,0)</f>
        <v>0</v>
      </c>
      <c r="AP1292" s="78" t="str">
        <f aca="false">IF(AO1292=1,SUM(AO$7:AO1292),"")</f>
        <v/>
      </c>
    </row>
    <row r="1293" customFormat="false" ht="15" hidden="false" customHeight="false" outlineLevel="0" collapsed="false">
      <c r="A1293" s="78" t="str">
        <f aca="false">IF(E1293="","",ROW()-6)</f>
        <v/>
      </c>
      <c r="B1293" s="79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0"/>
      <c r="P1293" s="81"/>
      <c r="Q1293" s="81"/>
      <c r="R1293" s="80"/>
      <c r="S1293" s="80"/>
      <c r="T1293" s="81"/>
      <c r="U1293" s="80"/>
      <c r="V1293" s="80"/>
      <c r="W1293" s="80"/>
      <c r="X1293" s="80"/>
      <c r="Y1293" s="81"/>
      <c r="Z1293" s="80"/>
      <c r="AA1293" s="80"/>
      <c r="AB1293" s="80"/>
      <c r="AC1293" s="80"/>
      <c r="AD1293" s="81"/>
      <c r="AE1293" s="80"/>
      <c r="AF1293" s="80"/>
      <c r="AG1293" s="81"/>
      <c r="AH1293" s="79"/>
      <c r="AI1293" s="78" t="str">
        <f aca="false">IF(E1293="","",(V1293&lt;&gt;"")+(AA1293&lt;&gt;"")+(AF1293&lt;&gt;""))</f>
        <v/>
      </c>
      <c r="AJ1293" s="82" t="str">
        <f aca="false">IF(AF1293&lt;&gt;"",AF1293,IF(AA1293&lt;&gt;"",AA1293,IF(V1293&lt;&gt;"",V1293,"")))</f>
        <v/>
      </c>
      <c r="AK1293" s="83" t="str">
        <f aca="false">IF(E1293="","",IF(P1293="","À SOUDER",IF(S1293="","VT EN ATTENTE",IF(S1293="R","VT REJETÉ – À REPRENDRE",IF(AJ1293="","À RADIOGRAPHIER",IF(AJ1293="A","ACCEPTÉ",IF(AJ1293="NX","NX – RT À REFAIRE",IF(IF(AI1293=1,X1293,IF(AI1293=2,AC1293,""))="A","RÉPARÉ – À RADIOGRAPHIER",IF(IF(AI1293=1,X1293,IF(AI1293=2,AC1293,""))="R","VT REJETÉ – À REPRENDRE",IF(AJ1293="CO","COUPE – À RESOUDER","À RÉPARER"))))))))))</f>
        <v/>
      </c>
      <c r="AL1293" s="82" t="str">
        <f aca="false">IF(AND(ISNUMBER(P1293),OR(AK1293="À RADIOGRAPHIER",AK1293="RÉPARÉ – À RADIOGRAPHIER",AK1293="NX – RT À REFAIRE",AK1293="À RÉPARER",AK1293="COUPE – À RESOUDER",AK1293="VT REJETÉ – À REPRENDRE")),MAX(0,'PROGRAMME RT'!$C$4-P1293),"")</f>
        <v/>
      </c>
      <c r="AM1293" s="78" t="n">
        <f aca="false">IF(AND(OR(AK1293="À RADIOGRAPHIER",AK1293="RÉPARÉ – À RADIOGRAPHIER",AK1293="NX – RT À REFAIRE"),OR('PROGRAMME RT'!$D$5="TOUTES",B1293='PROGRAMME RT'!$D$5)),1,0)</f>
        <v>0</v>
      </c>
      <c r="AN1293" s="78" t="str">
        <f aca="false">IF(AM1293=1,SUM(AM$7:AM1293),"")</f>
        <v/>
      </c>
      <c r="AO1293" s="78" t="n">
        <f aca="false">IF(AND(OR(AK1293="À RÉPARER",AK1293="COUPE – À RESOUDER",AK1293="VT REJETÉ – À REPRENDRE"),OR(RÉPARATIONS!$D$5="TOUTES",B1293=RÉPARATIONS!$D$5)),1,0)</f>
        <v>0</v>
      </c>
      <c r="AP1293" s="78" t="str">
        <f aca="false">IF(AO1293=1,SUM(AO$7:AO1293),"")</f>
        <v/>
      </c>
    </row>
    <row r="1294" customFormat="false" ht="15" hidden="false" customHeight="false" outlineLevel="0" collapsed="false">
      <c r="A1294" s="78" t="str">
        <f aca="false">IF(E1294="","",ROW()-6)</f>
        <v/>
      </c>
      <c r="B1294" s="79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0"/>
      <c r="P1294" s="81"/>
      <c r="Q1294" s="81"/>
      <c r="R1294" s="80"/>
      <c r="S1294" s="80"/>
      <c r="T1294" s="81"/>
      <c r="U1294" s="80"/>
      <c r="V1294" s="80"/>
      <c r="W1294" s="80"/>
      <c r="X1294" s="80"/>
      <c r="Y1294" s="81"/>
      <c r="Z1294" s="80"/>
      <c r="AA1294" s="80"/>
      <c r="AB1294" s="80"/>
      <c r="AC1294" s="80"/>
      <c r="AD1294" s="81"/>
      <c r="AE1294" s="80"/>
      <c r="AF1294" s="80"/>
      <c r="AG1294" s="81"/>
      <c r="AH1294" s="79"/>
      <c r="AI1294" s="78" t="str">
        <f aca="false">IF(E1294="","",(V1294&lt;&gt;"")+(AA1294&lt;&gt;"")+(AF1294&lt;&gt;""))</f>
        <v/>
      </c>
      <c r="AJ1294" s="82" t="str">
        <f aca="false">IF(AF1294&lt;&gt;"",AF1294,IF(AA1294&lt;&gt;"",AA1294,IF(V1294&lt;&gt;"",V1294,"")))</f>
        <v/>
      </c>
      <c r="AK1294" s="83" t="str">
        <f aca="false">IF(E1294="","",IF(P1294="","À SOUDER",IF(S1294="","VT EN ATTENTE",IF(S1294="R","VT REJETÉ – À REPRENDRE",IF(AJ1294="","À RADIOGRAPHIER",IF(AJ1294="A","ACCEPTÉ",IF(AJ1294="NX","NX – RT À REFAIRE",IF(IF(AI1294=1,X1294,IF(AI1294=2,AC1294,""))="A","RÉPARÉ – À RADIOGRAPHIER",IF(IF(AI1294=1,X1294,IF(AI1294=2,AC1294,""))="R","VT REJETÉ – À REPRENDRE",IF(AJ1294="CO","COUPE – À RESOUDER","À RÉPARER"))))))))))</f>
        <v/>
      </c>
      <c r="AL1294" s="82" t="str">
        <f aca="false">IF(AND(ISNUMBER(P1294),OR(AK1294="À RADIOGRAPHIER",AK1294="RÉPARÉ – À RADIOGRAPHIER",AK1294="NX – RT À REFAIRE",AK1294="À RÉPARER",AK1294="COUPE – À RESOUDER",AK1294="VT REJETÉ – À REPRENDRE")),MAX(0,'PROGRAMME RT'!$C$4-P1294),"")</f>
        <v/>
      </c>
      <c r="AM1294" s="78" t="n">
        <f aca="false">IF(AND(OR(AK1294="À RADIOGRAPHIER",AK1294="RÉPARÉ – À RADIOGRAPHIER",AK1294="NX – RT À REFAIRE"),OR('PROGRAMME RT'!$D$5="TOUTES",B1294='PROGRAMME RT'!$D$5)),1,0)</f>
        <v>0</v>
      </c>
      <c r="AN1294" s="78" t="str">
        <f aca="false">IF(AM1294=1,SUM(AM$7:AM1294),"")</f>
        <v/>
      </c>
      <c r="AO1294" s="78" t="n">
        <f aca="false">IF(AND(OR(AK1294="À RÉPARER",AK1294="COUPE – À RESOUDER",AK1294="VT REJETÉ – À REPRENDRE"),OR(RÉPARATIONS!$D$5="TOUTES",B1294=RÉPARATIONS!$D$5)),1,0)</f>
        <v>0</v>
      </c>
      <c r="AP1294" s="78" t="str">
        <f aca="false">IF(AO1294=1,SUM(AO$7:AO1294),"")</f>
        <v/>
      </c>
    </row>
    <row r="1295" customFormat="false" ht="15" hidden="false" customHeight="false" outlineLevel="0" collapsed="false">
      <c r="A1295" s="78" t="str">
        <f aca="false">IF(E1295="","",ROW()-6)</f>
        <v/>
      </c>
      <c r="B1295" s="79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0"/>
      <c r="P1295" s="81"/>
      <c r="Q1295" s="81"/>
      <c r="R1295" s="80"/>
      <c r="S1295" s="80"/>
      <c r="T1295" s="81"/>
      <c r="U1295" s="80"/>
      <c r="V1295" s="80"/>
      <c r="W1295" s="80"/>
      <c r="X1295" s="80"/>
      <c r="Y1295" s="81"/>
      <c r="Z1295" s="80"/>
      <c r="AA1295" s="80"/>
      <c r="AB1295" s="80"/>
      <c r="AC1295" s="80"/>
      <c r="AD1295" s="81"/>
      <c r="AE1295" s="80"/>
      <c r="AF1295" s="80"/>
      <c r="AG1295" s="81"/>
      <c r="AH1295" s="79"/>
      <c r="AI1295" s="78" t="str">
        <f aca="false">IF(E1295="","",(V1295&lt;&gt;"")+(AA1295&lt;&gt;"")+(AF1295&lt;&gt;""))</f>
        <v/>
      </c>
      <c r="AJ1295" s="82" t="str">
        <f aca="false">IF(AF1295&lt;&gt;"",AF1295,IF(AA1295&lt;&gt;"",AA1295,IF(V1295&lt;&gt;"",V1295,"")))</f>
        <v/>
      </c>
      <c r="AK1295" s="83" t="str">
        <f aca="false">IF(E1295="","",IF(P1295="","À SOUDER",IF(S1295="","VT EN ATTENTE",IF(S1295="R","VT REJETÉ – À REPRENDRE",IF(AJ1295="","À RADIOGRAPHIER",IF(AJ1295="A","ACCEPTÉ",IF(AJ1295="NX","NX – RT À REFAIRE",IF(IF(AI1295=1,X1295,IF(AI1295=2,AC1295,""))="A","RÉPARÉ – À RADIOGRAPHIER",IF(IF(AI1295=1,X1295,IF(AI1295=2,AC1295,""))="R","VT REJETÉ – À REPRENDRE",IF(AJ1295="CO","COUPE – À RESOUDER","À RÉPARER"))))))))))</f>
        <v/>
      </c>
      <c r="AL1295" s="82" t="str">
        <f aca="false">IF(AND(ISNUMBER(P1295),OR(AK1295="À RADIOGRAPHIER",AK1295="RÉPARÉ – À RADIOGRAPHIER",AK1295="NX – RT À REFAIRE",AK1295="À RÉPARER",AK1295="COUPE – À RESOUDER",AK1295="VT REJETÉ – À REPRENDRE")),MAX(0,'PROGRAMME RT'!$C$4-P1295),"")</f>
        <v/>
      </c>
      <c r="AM1295" s="78" t="n">
        <f aca="false">IF(AND(OR(AK1295="À RADIOGRAPHIER",AK1295="RÉPARÉ – À RADIOGRAPHIER",AK1295="NX – RT À REFAIRE"),OR('PROGRAMME RT'!$D$5="TOUTES",B1295='PROGRAMME RT'!$D$5)),1,0)</f>
        <v>0</v>
      </c>
      <c r="AN1295" s="78" t="str">
        <f aca="false">IF(AM1295=1,SUM(AM$7:AM1295),"")</f>
        <v/>
      </c>
      <c r="AO1295" s="78" t="n">
        <f aca="false">IF(AND(OR(AK1295="À RÉPARER",AK1295="COUPE – À RESOUDER",AK1295="VT REJETÉ – À REPRENDRE"),OR(RÉPARATIONS!$D$5="TOUTES",B1295=RÉPARATIONS!$D$5)),1,0)</f>
        <v>0</v>
      </c>
      <c r="AP1295" s="78" t="str">
        <f aca="false">IF(AO1295=1,SUM(AO$7:AO1295),"")</f>
        <v/>
      </c>
    </row>
    <row r="1296" customFormat="false" ht="15" hidden="false" customHeight="false" outlineLevel="0" collapsed="false">
      <c r="A1296" s="78" t="str">
        <f aca="false">IF(E1296="","",ROW()-6)</f>
        <v/>
      </c>
      <c r="B1296" s="79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0"/>
      <c r="P1296" s="81"/>
      <c r="Q1296" s="81"/>
      <c r="R1296" s="80"/>
      <c r="S1296" s="80"/>
      <c r="T1296" s="81"/>
      <c r="U1296" s="80"/>
      <c r="V1296" s="80"/>
      <c r="W1296" s="80"/>
      <c r="X1296" s="80"/>
      <c r="Y1296" s="81"/>
      <c r="Z1296" s="80"/>
      <c r="AA1296" s="80"/>
      <c r="AB1296" s="80"/>
      <c r="AC1296" s="80"/>
      <c r="AD1296" s="81"/>
      <c r="AE1296" s="80"/>
      <c r="AF1296" s="80"/>
      <c r="AG1296" s="81"/>
      <c r="AH1296" s="79"/>
      <c r="AI1296" s="78" t="str">
        <f aca="false">IF(E1296="","",(V1296&lt;&gt;"")+(AA1296&lt;&gt;"")+(AF1296&lt;&gt;""))</f>
        <v/>
      </c>
      <c r="AJ1296" s="82" t="str">
        <f aca="false">IF(AF1296&lt;&gt;"",AF1296,IF(AA1296&lt;&gt;"",AA1296,IF(V1296&lt;&gt;"",V1296,"")))</f>
        <v/>
      </c>
      <c r="AK1296" s="83" t="str">
        <f aca="false">IF(E1296="","",IF(P1296="","À SOUDER",IF(S1296="","VT EN ATTENTE",IF(S1296="R","VT REJETÉ – À REPRENDRE",IF(AJ1296="","À RADIOGRAPHIER",IF(AJ1296="A","ACCEPTÉ",IF(AJ1296="NX","NX – RT À REFAIRE",IF(IF(AI1296=1,X1296,IF(AI1296=2,AC1296,""))="A","RÉPARÉ – À RADIOGRAPHIER",IF(IF(AI1296=1,X1296,IF(AI1296=2,AC1296,""))="R","VT REJETÉ – À REPRENDRE",IF(AJ1296="CO","COUPE – À RESOUDER","À RÉPARER"))))))))))</f>
        <v/>
      </c>
      <c r="AL1296" s="82" t="str">
        <f aca="false">IF(AND(ISNUMBER(P1296),OR(AK1296="À RADIOGRAPHIER",AK1296="RÉPARÉ – À RADIOGRAPHIER",AK1296="NX – RT À REFAIRE",AK1296="À RÉPARER",AK1296="COUPE – À RESOUDER",AK1296="VT REJETÉ – À REPRENDRE")),MAX(0,'PROGRAMME RT'!$C$4-P1296),"")</f>
        <v/>
      </c>
      <c r="AM1296" s="78" t="n">
        <f aca="false">IF(AND(OR(AK1296="À RADIOGRAPHIER",AK1296="RÉPARÉ – À RADIOGRAPHIER",AK1296="NX – RT À REFAIRE"),OR('PROGRAMME RT'!$D$5="TOUTES",B1296='PROGRAMME RT'!$D$5)),1,0)</f>
        <v>0</v>
      </c>
      <c r="AN1296" s="78" t="str">
        <f aca="false">IF(AM1296=1,SUM(AM$7:AM1296),"")</f>
        <v/>
      </c>
      <c r="AO1296" s="78" t="n">
        <f aca="false">IF(AND(OR(AK1296="À RÉPARER",AK1296="COUPE – À RESOUDER",AK1296="VT REJETÉ – À REPRENDRE"),OR(RÉPARATIONS!$D$5="TOUTES",B1296=RÉPARATIONS!$D$5)),1,0)</f>
        <v>0</v>
      </c>
      <c r="AP1296" s="78" t="str">
        <f aca="false">IF(AO1296=1,SUM(AO$7:AO1296),"")</f>
        <v/>
      </c>
    </row>
    <row r="1297" customFormat="false" ht="15" hidden="false" customHeight="false" outlineLevel="0" collapsed="false">
      <c r="A1297" s="78" t="str">
        <f aca="false">IF(E1297="","",ROW()-6)</f>
        <v/>
      </c>
      <c r="B1297" s="79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0"/>
      <c r="P1297" s="81"/>
      <c r="Q1297" s="81"/>
      <c r="R1297" s="80"/>
      <c r="S1297" s="80"/>
      <c r="T1297" s="81"/>
      <c r="U1297" s="80"/>
      <c r="V1297" s="80"/>
      <c r="W1297" s="80"/>
      <c r="X1297" s="80"/>
      <c r="Y1297" s="81"/>
      <c r="Z1297" s="80"/>
      <c r="AA1297" s="80"/>
      <c r="AB1297" s="80"/>
      <c r="AC1297" s="80"/>
      <c r="AD1297" s="81"/>
      <c r="AE1297" s="80"/>
      <c r="AF1297" s="80"/>
      <c r="AG1297" s="81"/>
      <c r="AH1297" s="79"/>
      <c r="AI1297" s="78" t="str">
        <f aca="false">IF(E1297="","",(V1297&lt;&gt;"")+(AA1297&lt;&gt;"")+(AF1297&lt;&gt;""))</f>
        <v/>
      </c>
      <c r="AJ1297" s="82" t="str">
        <f aca="false">IF(AF1297&lt;&gt;"",AF1297,IF(AA1297&lt;&gt;"",AA1297,IF(V1297&lt;&gt;"",V1297,"")))</f>
        <v/>
      </c>
      <c r="AK1297" s="83" t="str">
        <f aca="false">IF(E1297="","",IF(P1297="","À SOUDER",IF(S1297="","VT EN ATTENTE",IF(S1297="R","VT REJETÉ – À REPRENDRE",IF(AJ1297="","À RADIOGRAPHIER",IF(AJ1297="A","ACCEPTÉ",IF(AJ1297="NX","NX – RT À REFAIRE",IF(IF(AI1297=1,X1297,IF(AI1297=2,AC1297,""))="A","RÉPARÉ – À RADIOGRAPHIER",IF(IF(AI1297=1,X1297,IF(AI1297=2,AC1297,""))="R","VT REJETÉ – À REPRENDRE",IF(AJ1297="CO","COUPE – À RESOUDER","À RÉPARER"))))))))))</f>
        <v/>
      </c>
      <c r="AL1297" s="82" t="str">
        <f aca="false">IF(AND(ISNUMBER(P1297),OR(AK1297="À RADIOGRAPHIER",AK1297="RÉPARÉ – À RADIOGRAPHIER",AK1297="NX – RT À REFAIRE",AK1297="À RÉPARER",AK1297="COUPE – À RESOUDER",AK1297="VT REJETÉ – À REPRENDRE")),MAX(0,'PROGRAMME RT'!$C$4-P1297),"")</f>
        <v/>
      </c>
      <c r="AM1297" s="78" t="n">
        <f aca="false">IF(AND(OR(AK1297="À RADIOGRAPHIER",AK1297="RÉPARÉ – À RADIOGRAPHIER",AK1297="NX – RT À REFAIRE"),OR('PROGRAMME RT'!$D$5="TOUTES",B1297='PROGRAMME RT'!$D$5)),1,0)</f>
        <v>0</v>
      </c>
      <c r="AN1297" s="78" t="str">
        <f aca="false">IF(AM1297=1,SUM(AM$7:AM1297),"")</f>
        <v/>
      </c>
      <c r="AO1297" s="78" t="n">
        <f aca="false">IF(AND(OR(AK1297="À RÉPARER",AK1297="COUPE – À RESOUDER",AK1297="VT REJETÉ – À REPRENDRE"),OR(RÉPARATIONS!$D$5="TOUTES",B1297=RÉPARATIONS!$D$5)),1,0)</f>
        <v>0</v>
      </c>
      <c r="AP1297" s="78" t="str">
        <f aca="false">IF(AO1297=1,SUM(AO$7:AO1297),"")</f>
        <v/>
      </c>
    </row>
    <row r="1298" customFormat="false" ht="15" hidden="false" customHeight="false" outlineLevel="0" collapsed="false">
      <c r="A1298" s="78" t="str">
        <f aca="false">IF(E1298="","",ROW()-6)</f>
        <v/>
      </c>
      <c r="B1298" s="79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0"/>
      <c r="P1298" s="81"/>
      <c r="Q1298" s="81"/>
      <c r="R1298" s="80"/>
      <c r="S1298" s="80"/>
      <c r="T1298" s="81"/>
      <c r="U1298" s="80"/>
      <c r="V1298" s="80"/>
      <c r="W1298" s="80"/>
      <c r="X1298" s="80"/>
      <c r="Y1298" s="81"/>
      <c r="Z1298" s="80"/>
      <c r="AA1298" s="80"/>
      <c r="AB1298" s="80"/>
      <c r="AC1298" s="80"/>
      <c r="AD1298" s="81"/>
      <c r="AE1298" s="80"/>
      <c r="AF1298" s="80"/>
      <c r="AG1298" s="81"/>
      <c r="AH1298" s="79"/>
      <c r="AI1298" s="78" t="str">
        <f aca="false">IF(E1298="","",(V1298&lt;&gt;"")+(AA1298&lt;&gt;"")+(AF1298&lt;&gt;""))</f>
        <v/>
      </c>
      <c r="AJ1298" s="82" t="str">
        <f aca="false">IF(AF1298&lt;&gt;"",AF1298,IF(AA1298&lt;&gt;"",AA1298,IF(V1298&lt;&gt;"",V1298,"")))</f>
        <v/>
      </c>
      <c r="AK1298" s="83" t="str">
        <f aca="false">IF(E1298="","",IF(P1298="","À SOUDER",IF(S1298="","VT EN ATTENTE",IF(S1298="R","VT REJETÉ – À REPRENDRE",IF(AJ1298="","À RADIOGRAPHIER",IF(AJ1298="A","ACCEPTÉ",IF(AJ1298="NX","NX – RT À REFAIRE",IF(IF(AI1298=1,X1298,IF(AI1298=2,AC1298,""))="A","RÉPARÉ – À RADIOGRAPHIER",IF(IF(AI1298=1,X1298,IF(AI1298=2,AC1298,""))="R","VT REJETÉ – À REPRENDRE",IF(AJ1298="CO","COUPE – À RESOUDER","À RÉPARER"))))))))))</f>
        <v/>
      </c>
      <c r="AL1298" s="82" t="str">
        <f aca="false">IF(AND(ISNUMBER(P1298),OR(AK1298="À RADIOGRAPHIER",AK1298="RÉPARÉ – À RADIOGRAPHIER",AK1298="NX – RT À REFAIRE",AK1298="À RÉPARER",AK1298="COUPE – À RESOUDER",AK1298="VT REJETÉ – À REPRENDRE")),MAX(0,'PROGRAMME RT'!$C$4-P1298),"")</f>
        <v/>
      </c>
      <c r="AM1298" s="78" t="n">
        <f aca="false">IF(AND(OR(AK1298="À RADIOGRAPHIER",AK1298="RÉPARÉ – À RADIOGRAPHIER",AK1298="NX – RT À REFAIRE"),OR('PROGRAMME RT'!$D$5="TOUTES",B1298='PROGRAMME RT'!$D$5)),1,0)</f>
        <v>0</v>
      </c>
      <c r="AN1298" s="78" t="str">
        <f aca="false">IF(AM1298=1,SUM(AM$7:AM1298),"")</f>
        <v/>
      </c>
      <c r="AO1298" s="78" t="n">
        <f aca="false">IF(AND(OR(AK1298="À RÉPARER",AK1298="COUPE – À RESOUDER",AK1298="VT REJETÉ – À REPRENDRE"),OR(RÉPARATIONS!$D$5="TOUTES",B1298=RÉPARATIONS!$D$5)),1,0)</f>
        <v>0</v>
      </c>
      <c r="AP1298" s="78" t="str">
        <f aca="false">IF(AO1298=1,SUM(AO$7:AO1298),"")</f>
        <v/>
      </c>
    </row>
    <row r="1299" customFormat="false" ht="15" hidden="false" customHeight="false" outlineLevel="0" collapsed="false">
      <c r="A1299" s="78" t="str">
        <f aca="false">IF(E1299="","",ROW()-6)</f>
        <v/>
      </c>
      <c r="B1299" s="79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0"/>
      <c r="P1299" s="81"/>
      <c r="Q1299" s="81"/>
      <c r="R1299" s="80"/>
      <c r="S1299" s="80"/>
      <c r="T1299" s="81"/>
      <c r="U1299" s="80"/>
      <c r="V1299" s="80"/>
      <c r="W1299" s="80"/>
      <c r="X1299" s="80"/>
      <c r="Y1299" s="81"/>
      <c r="Z1299" s="80"/>
      <c r="AA1299" s="80"/>
      <c r="AB1299" s="80"/>
      <c r="AC1299" s="80"/>
      <c r="AD1299" s="81"/>
      <c r="AE1299" s="80"/>
      <c r="AF1299" s="80"/>
      <c r="AG1299" s="81"/>
      <c r="AH1299" s="79"/>
      <c r="AI1299" s="78" t="str">
        <f aca="false">IF(E1299="","",(V1299&lt;&gt;"")+(AA1299&lt;&gt;"")+(AF1299&lt;&gt;""))</f>
        <v/>
      </c>
      <c r="AJ1299" s="82" t="str">
        <f aca="false">IF(AF1299&lt;&gt;"",AF1299,IF(AA1299&lt;&gt;"",AA1299,IF(V1299&lt;&gt;"",V1299,"")))</f>
        <v/>
      </c>
      <c r="AK1299" s="83" t="str">
        <f aca="false">IF(E1299="","",IF(P1299="","À SOUDER",IF(S1299="","VT EN ATTENTE",IF(S1299="R","VT REJETÉ – À REPRENDRE",IF(AJ1299="","À RADIOGRAPHIER",IF(AJ1299="A","ACCEPTÉ",IF(AJ1299="NX","NX – RT À REFAIRE",IF(IF(AI1299=1,X1299,IF(AI1299=2,AC1299,""))="A","RÉPARÉ – À RADIOGRAPHIER",IF(IF(AI1299=1,X1299,IF(AI1299=2,AC1299,""))="R","VT REJETÉ – À REPRENDRE",IF(AJ1299="CO","COUPE – À RESOUDER","À RÉPARER"))))))))))</f>
        <v/>
      </c>
      <c r="AL1299" s="82" t="str">
        <f aca="false">IF(AND(ISNUMBER(P1299),OR(AK1299="À RADIOGRAPHIER",AK1299="RÉPARÉ – À RADIOGRAPHIER",AK1299="NX – RT À REFAIRE",AK1299="À RÉPARER",AK1299="COUPE – À RESOUDER",AK1299="VT REJETÉ – À REPRENDRE")),MAX(0,'PROGRAMME RT'!$C$4-P1299),"")</f>
        <v/>
      </c>
      <c r="AM1299" s="78" t="n">
        <f aca="false">IF(AND(OR(AK1299="À RADIOGRAPHIER",AK1299="RÉPARÉ – À RADIOGRAPHIER",AK1299="NX – RT À REFAIRE"),OR('PROGRAMME RT'!$D$5="TOUTES",B1299='PROGRAMME RT'!$D$5)),1,0)</f>
        <v>0</v>
      </c>
      <c r="AN1299" s="78" t="str">
        <f aca="false">IF(AM1299=1,SUM(AM$7:AM1299),"")</f>
        <v/>
      </c>
      <c r="AO1299" s="78" t="n">
        <f aca="false">IF(AND(OR(AK1299="À RÉPARER",AK1299="COUPE – À RESOUDER",AK1299="VT REJETÉ – À REPRENDRE"),OR(RÉPARATIONS!$D$5="TOUTES",B1299=RÉPARATIONS!$D$5)),1,0)</f>
        <v>0</v>
      </c>
      <c r="AP1299" s="78" t="str">
        <f aca="false">IF(AO1299=1,SUM(AO$7:AO1299),"")</f>
        <v/>
      </c>
    </row>
    <row r="1300" customFormat="false" ht="15" hidden="false" customHeight="false" outlineLevel="0" collapsed="false">
      <c r="A1300" s="78" t="str">
        <f aca="false">IF(E1300="","",ROW()-6)</f>
        <v/>
      </c>
      <c r="B1300" s="79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0"/>
      <c r="P1300" s="81"/>
      <c r="Q1300" s="81"/>
      <c r="R1300" s="80"/>
      <c r="S1300" s="80"/>
      <c r="T1300" s="81"/>
      <c r="U1300" s="80"/>
      <c r="V1300" s="80"/>
      <c r="W1300" s="80"/>
      <c r="X1300" s="80"/>
      <c r="Y1300" s="81"/>
      <c r="Z1300" s="80"/>
      <c r="AA1300" s="80"/>
      <c r="AB1300" s="80"/>
      <c r="AC1300" s="80"/>
      <c r="AD1300" s="81"/>
      <c r="AE1300" s="80"/>
      <c r="AF1300" s="80"/>
      <c r="AG1300" s="81"/>
      <c r="AH1300" s="79"/>
      <c r="AI1300" s="78" t="str">
        <f aca="false">IF(E1300="","",(V1300&lt;&gt;"")+(AA1300&lt;&gt;"")+(AF1300&lt;&gt;""))</f>
        <v/>
      </c>
      <c r="AJ1300" s="82" t="str">
        <f aca="false">IF(AF1300&lt;&gt;"",AF1300,IF(AA1300&lt;&gt;"",AA1300,IF(V1300&lt;&gt;"",V1300,"")))</f>
        <v/>
      </c>
      <c r="AK1300" s="83" t="str">
        <f aca="false">IF(E1300="","",IF(P1300="","À SOUDER",IF(S1300="","VT EN ATTENTE",IF(S1300="R","VT REJETÉ – À REPRENDRE",IF(AJ1300="","À RADIOGRAPHIER",IF(AJ1300="A","ACCEPTÉ",IF(AJ1300="NX","NX – RT À REFAIRE",IF(IF(AI1300=1,X1300,IF(AI1300=2,AC1300,""))="A","RÉPARÉ – À RADIOGRAPHIER",IF(IF(AI1300=1,X1300,IF(AI1300=2,AC1300,""))="R","VT REJETÉ – À REPRENDRE",IF(AJ1300="CO","COUPE – À RESOUDER","À RÉPARER"))))))))))</f>
        <v/>
      </c>
      <c r="AL1300" s="82" t="str">
        <f aca="false">IF(AND(ISNUMBER(P1300),OR(AK1300="À RADIOGRAPHIER",AK1300="RÉPARÉ – À RADIOGRAPHIER",AK1300="NX – RT À REFAIRE",AK1300="À RÉPARER",AK1300="COUPE – À RESOUDER",AK1300="VT REJETÉ – À REPRENDRE")),MAX(0,'PROGRAMME RT'!$C$4-P1300),"")</f>
        <v/>
      </c>
      <c r="AM1300" s="78" t="n">
        <f aca="false">IF(AND(OR(AK1300="À RADIOGRAPHIER",AK1300="RÉPARÉ – À RADIOGRAPHIER",AK1300="NX – RT À REFAIRE"),OR('PROGRAMME RT'!$D$5="TOUTES",B1300='PROGRAMME RT'!$D$5)),1,0)</f>
        <v>0</v>
      </c>
      <c r="AN1300" s="78" t="str">
        <f aca="false">IF(AM1300=1,SUM(AM$7:AM1300),"")</f>
        <v/>
      </c>
      <c r="AO1300" s="78" t="n">
        <f aca="false">IF(AND(OR(AK1300="À RÉPARER",AK1300="COUPE – À RESOUDER",AK1300="VT REJETÉ – À REPRENDRE"),OR(RÉPARATIONS!$D$5="TOUTES",B1300=RÉPARATIONS!$D$5)),1,0)</f>
        <v>0</v>
      </c>
      <c r="AP1300" s="78" t="str">
        <f aca="false">IF(AO1300=1,SUM(AO$7:AO1300),"")</f>
        <v/>
      </c>
    </row>
    <row r="1301" customFormat="false" ht="15" hidden="false" customHeight="false" outlineLevel="0" collapsed="false">
      <c r="A1301" s="78" t="str">
        <f aca="false">IF(E1301="","",ROW()-6)</f>
        <v/>
      </c>
      <c r="B1301" s="79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0"/>
      <c r="P1301" s="81"/>
      <c r="Q1301" s="81"/>
      <c r="R1301" s="80"/>
      <c r="S1301" s="80"/>
      <c r="T1301" s="81"/>
      <c r="U1301" s="80"/>
      <c r="V1301" s="80"/>
      <c r="W1301" s="80"/>
      <c r="X1301" s="80"/>
      <c r="Y1301" s="81"/>
      <c r="Z1301" s="80"/>
      <c r="AA1301" s="80"/>
      <c r="AB1301" s="80"/>
      <c r="AC1301" s="80"/>
      <c r="AD1301" s="81"/>
      <c r="AE1301" s="80"/>
      <c r="AF1301" s="80"/>
      <c r="AG1301" s="81"/>
      <c r="AH1301" s="79"/>
      <c r="AI1301" s="78" t="str">
        <f aca="false">IF(E1301="","",(V1301&lt;&gt;"")+(AA1301&lt;&gt;"")+(AF1301&lt;&gt;""))</f>
        <v/>
      </c>
      <c r="AJ1301" s="82" t="str">
        <f aca="false">IF(AF1301&lt;&gt;"",AF1301,IF(AA1301&lt;&gt;"",AA1301,IF(V1301&lt;&gt;"",V1301,"")))</f>
        <v/>
      </c>
      <c r="AK1301" s="83" t="str">
        <f aca="false">IF(E1301="","",IF(P1301="","À SOUDER",IF(S1301="","VT EN ATTENTE",IF(S1301="R","VT REJETÉ – À REPRENDRE",IF(AJ1301="","À RADIOGRAPHIER",IF(AJ1301="A","ACCEPTÉ",IF(AJ1301="NX","NX – RT À REFAIRE",IF(IF(AI1301=1,X1301,IF(AI1301=2,AC1301,""))="A","RÉPARÉ – À RADIOGRAPHIER",IF(IF(AI1301=1,X1301,IF(AI1301=2,AC1301,""))="R","VT REJETÉ – À REPRENDRE",IF(AJ1301="CO","COUPE – À RESOUDER","À RÉPARER"))))))))))</f>
        <v/>
      </c>
      <c r="AL1301" s="82" t="str">
        <f aca="false">IF(AND(ISNUMBER(P1301),OR(AK1301="À RADIOGRAPHIER",AK1301="RÉPARÉ – À RADIOGRAPHIER",AK1301="NX – RT À REFAIRE",AK1301="À RÉPARER",AK1301="COUPE – À RESOUDER",AK1301="VT REJETÉ – À REPRENDRE")),MAX(0,'PROGRAMME RT'!$C$4-P1301),"")</f>
        <v/>
      </c>
      <c r="AM1301" s="78" t="n">
        <f aca="false">IF(AND(OR(AK1301="À RADIOGRAPHIER",AK1301="RÉPARÉ – À RADIOGRAPHIER",AK1301="NX – RT À REFAIRE"),OR('PROGRAMME RT'!$D$5="TOUTES",B1301='PROGRAMME RT'!$D$5)),1,0)</f>
        <v>0</v>
      </c>
      <c r="AN1301" s="78" t="str">
        <f aca="false">IF(AM1301=1,SUM(AM$7:AM1301),"")</f>
        <v/>
      </c>
      <c r="AO1301" s="78" t="n">
        <f aca="false">IF(AND(OR(AK1301="À RÉPARER",AK1301="COUPE – À RESOUDER",AK1301="VT REJETÉ – À REPRENDRE"),OR(RÉPARATIONS!$D$5="TOUTES",B1301=RÉPARATIONS!$D$5)),1,0)</f>
        <v>0</v>
      </c>
      <c r="AP1301" s="78" t="str">
        <f aca="false">IF(AO1301=1,SUM(AO$7:AO1301),"")</f>
        <v/>
      </c>
    </row>
    <row r="1302" customFormat="false" ht="15" hidden="false" customHeight="false" outlineLevel="0" collapsed="false">
      <c r="A1302" s="78" t="str">
        <f aca="false">IF(E1302="","",ROW()-6)</f>
        <v/>
      </c>
      <c r="B1302" s="79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0"/>
      <c r="P1302" s="81"/>
      <c r="Q1302" s="81"/>
      <c r="R1302" s="80"/>
      <c r="S1302" s="80"/>
      <c r="T1302" s="81"/>
      <c r="U1302" s="80"/>
      <c r="V1302" s="80"/>
      <c r="W1302" s="80"/>
      <c r="X1302" s="80"/>
      <c r="Y1302" s="81"/>
      <c r="Z1302" s="80"/>
      <c r="AA1302" s="80"/>
      <c r="AB1302" s="80"/>
      <c r="AC1302" s="80"/>
      <c r="AD1302" s="81"/>
      <c r="AE1302" s="80"/>
      <c r="AF1302" s="80"/>
      <c r="AG1302" s="81"/>
      <c r="AH1302" s="79"/>
      <c r="AI1302" s="78" t="str">
        <f aca="false">IF(E1302="","",(V1302&lt;&gt;"")+(AA1302&lt;&gt;"")+(AF1302&lt;&gt;""))</f>
        <v/>
      </c>
      <c r="AJ1302" s="82" t="str">
        <f aca="false">IF(AF1302&lt;&gt;"",AF1302,IF(AA1302&lt;&gt;"",AA1302,IF(V1302&lt;&gt;"",V1302,"")))</f>
        <v/>
      </c>
      <c r="AK1302" s="83" t="str">
        <f aca="false">IF(E1302="","",IF(P1302="","À SOUDER",IF(S1302="","VT EN ATTENTE",IF(S1302="R","VT REJETÉ – À REPRENDRE",IF(AJ1302="","À RADIOGRAPHIER",IF(AJ1302="A","ACCEPTÉ",IF(AJ1302="NX","NX – RT À REFAIRE",IF(IF(AI1302=1,X1302,IF(AI1302=2,AC1302,""))="A","RÉPARÉ – À RADIOGRAPHIER",IF(IF(AI1302=1,X1302,IF(AI1302=2,AC1302,""))="R","VT REJETÉ – À REPRENDRE",IF(AJ1302="CO","COUPE – À RESOUDER","À RÉPARER"))))))))))</f>
        <v/>
      </c>
      <c r="AL1302" s="82" t="str">
        <f aca="false">IF(AND(ISNUMBER(P1302),OR(AK1302="À RADIOGRAPHIER",AK1302="RÉPARÉ – À RADIOGRAPHIER",AK1302="NX – RT À REFAIRE",AK1302="À RÉPARER",AK1302="COUPE – À RESOUDER",AK1302="VT REJETÉ – À REPRENDRE")),MAX(0,'PROGRAMME RT'!$C$4-P1302),"")</f>
        <v/>
      </c>
      <c r="AM1302" s="78" t="n">
        <f aca="false">IF(AND(OR(AK1302="À RADIOGRAPHIER",AK1302="RÉPARÉ – À RADIOGRAPHIER",AK1302="NX – RT À REFAIRE"),OR('PROGRAMME RT'!$D$5="TOUTES",B1302='PROGRAMME RT'!$D$5)),1,0)</f>
        <v>0</v>
      </c>
      <c r="AN1302" s="78" t="str">
        <f aca="false">IF(AM1302=1,SUM(AM$7:AM1302),"")</f>
        <v/>
      </c>
      <c r="AO1302" s="78" t="n">
        <f aca="false">IF(AND(OR(AK1302="À RÉPARER",AK1302="COUPE – À RESOUDER",AK1302="VT REJETÉ – À REPRENDRE"),OR(RÉPARATIONS!$D$5="TOUTES",B1302=RÉPARATIONS!$D$5)),1,0)</f>
        <v>0</v>
      </c>
      <c r="AP1302" s="78" t="str">
        <f aca="false">IF(AO1302=1,SUM(AO$7:AO1302),"")</f>
        <v/>
      </c>
    </row>
    <row r="1303" customFormat="false" ht="15" hidden="false" customHeight="false" outlineLevel="0" collapsed="false">
      <c r="A1303" s="78" t="str">
        <f aca="false">IF(E1303="","",ROW()-6)</f>
        <v/>
      </c>
      <c r="B1303" s="79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0"/>
      <c r="P1303" s="81"/>
      <c r="Q1303" s="81"/>
      <c r="R1303" s="80"/>
      <c r="S1303" s="80"/>
      <c r="T1303" s="81"/>
      <c r="U1303" s="80"/>
      <c r="V1303" s="80"/>
      <c r="W1303" s="80"/>
      <c r="X1303" s="80"/>
      <c r="Y1303" s="81"/>
      <c r="Z1303" s="80"/>
      <c r="AA1303" s="80"/>
      <c r="AB1303" s="80"/>
      <c r="AC1303" s="80"/>
      <c r="AD1303" s="81"/>
      <c r="AE1303" s="80"/>
      <c r="AF1303" s="80"/>
      <c r="AG1303" s="81"/>
      <c r="AH1303" s="79"/>
      <c r="AI1303" s="78" t="str">
        <f aca="false">IF(E1303="","",(V1303&lt;&gt;"")+(AA1303&lt;&gt;"")+(AF1303&lt;&gt;""))</f>
        <v/>
      </c>
      <c r="AJ1303" s="82" t="str">
        <f aca="false">IF(AF1303&lt;&gt;"",AF1303,IF(AA1303&lt;&gt;"",AA1303,IF(V1303&lt;&gt;"",V1303,"")))</f>
        <v/>
      </c>
      <c r="AK1303" s="83" t="str">
        <f aca="false">IF(E1303="","",IF(P1303="","À SOUDER",IF(S1303="","VT EN ATTENTE",IF(S1303="R","VT REJETÉ – À REPRENDRE",IF(AJ1303="","À RADIOGRAPHIER",IF(AJ1303="A","ACCEPTÉ",IF(AJ1303="NX","NX – RT À REFAIRE",IF(IF(AI1303=1,X1303,IF(AI1303=2,AC1303,""))="A","RÉPARÉ – À RADIOGRAPHIER",IF(IF(AI1303=1,X1303,IF(AI1303=2,AC1303,""))="R","VT REJETÉ – À REPRENDRE",IF(AJ1303="CO","COUPE – À RESOUDER","À RÉPARER"))))))))))</f>
        <v/>
      </c>
      <c r="AL1303" s="82" t="str">
        <f aca="false">IF(AND(ISNUMBER(P1303),OR(AK1303="À RADIOGRAPHIER",AK1303="RÉPARÉ – À RADIOGRAPHIER",AK1303="NX – RT À REFAIRE",AK1303="À RÉPARER",AK1303="COUPE – À RESOUDER",AK1303="VT REJETÉ – À REPRENDRE")),MAX(0,'PROGRAMME RT'!$C$4-P1303),"")</f>
        <v/>
      </c>
      <c r="AM1303" s="78" t="n">
        <f aca="false">IF(AND(OR(AK1303="À RADIOGRAPHIER",AK1303="RÉPARÉ – À RADIOGRAPHIER",AK1303="NX – RT À REFAIRE"),OR('PROGRAMME RT'!$D$5="TOUTES",B1303='PROGRAMME RT'!$D$5)),1,0)</f>
        <v>0</v>
      </c>
      <c r="AN1303" s="78" t="str">
        <f aca="false">IF(AM1303=1,SUM(AM$7:AM1303),"")</f>
        <v/>
      </c>
      <c r="AO1303" s="78" t="n">
        <f aca="false">IF(AND(OR(AK1303="À RÉPARER",AK1303="COUPE – À RESOUDER",AK1303="VT REJETÉ – À REPRENDRE"),OR(RÉPARATIONS!$D$5="TOUTES",B1303=RÉPARATIONS!$D$5)),1,0)</f>
        <v>0</v>
      </c>
      <c r="AP1303" s="78" t="str">
        <f aca="false">IF(AO1303=1,SUM(AO$7:AO1303),"")</f>
        <v/>
      </c>
    </row>
    <row r="1304" customFormat="false" ht="15" hidden="false" customHeight="false" outlineLevel="0" collapsed="false">
      <c r="A1304" s="78" t="str">
        <f aca="false">IF(E1304="","",ROW()-6)</f>
        <v/>
      </c>
      <c r="B1304" s="79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0"/>
      <c r="P1304" s="81"/>
      <c r="Q1304" s="81"/>
      <c r="R1304" s="80"/>
      <c r="S1304" s="80"/>
      <c r="T1304" s="81"/>
      <c r="U1304" s="80"/>
      <c r="V1304" s="80"/>
      <c r="W1304" s="80"/>
      <c r="X1304" s="80"/>
      <c r="Y1304" s="81"/>
      <c r="Z1304" s="80"/>
      <c r="AA1304" s="80"/>
      <c r="AB1304" s="80"/>
      <c r="AC1304" s="80"/>
      <c r="AD1304" s="81"/>
      <c r="AE1304" s="80"/>
      <c r="AF1304" s="80"/>
      <c r="AG1304" s="81"/>
      <c r="AH1304" s="79"/>
      <c r="AI1304" s="78" t="str">
        <f aca="false">IF(E1304="","",(V1304&lt;&gt;"")+(AA1304&lt;&gt;"")+(AF1304&lt;&gt;""))</f>
        <v/>
      </c>
      <c r="AJ1304" s="82" t="str">
        <f aca="false">IF(AF1304&lt;&gt;"",AF1304,IF(AA1304&lt;&gt;"",AA1304,IF(V1304&lt;&gt;"",V1304,"")))</f>
        <v/>
      </c>
      <c r="AK1304" s="83" t="str">
        <f aca="false">IF(E1304="","",IF(P1304="","À SOUDER",IF(S1304="","VT EN ATTENTE",IF(S1304="R","VT REJETÉ – À REPRENDRE",IF(AJ1304="","À RADIOGRAPHIER",IF(AJ1304="A","ACCEPTÉ",IF(AJ1304="NX","NX – RT À REFAIRE",IF(IF(AI1304=1,X1304,IF(AI1304=2,AC1304,""))="A","RÉPARÉ – À RADIOGRAPHIER",IF(IF(AI1304=1,X1304,IF(AI1304=2,AC1304,""))="R","VT REJETÉ – À REPRENDRE",IF(AJ1304="CO","COUPE – À RESOUDER","À RÉPARER"))))))))))</f>
        <v/>
      </c>
      <c r="AL1304" s="82" t="str">
        <f aca="false">IF(AND(ISNUMBER(P1304),OR(AK1304="À RADIOGRAPHIER",AK1304="RÉPARÉ – À RADIOGRAPHIER",AK1304="NX – RT À REFAIRE",AK1304="À RÉPARER",AK1304="COUPE – À RESOUDER",AK1304="VT REJETÉ – À REPRENDRE")),MAX(0,'PROGRAMME RT'!$C$4-P1304),"")</f>
        <v/>
      </c>
      <c r="AM1304" s="78" t="n">
        <f aca="false">IF(AND(OR(AK1304="À RADIOGRAPHIER",AK1304="RÉPARÉ – À RADIOGRAPHIER",AK1304="NX – RT À REFAIRE"),OR('PROGRAMME RT'!$D$5="TOUTES",B1304='PROGRAMME RT'!$D$5)),1,0)</f>
        <v>0</v>
      </c>
      <c r="AN1304" s="78" t="str">
        <f aca="false">IF(AM1304=1,SUM(AM$7:AM1304),"")</f>
        <v/>
      </c>
      <c r="AO1304" s="78" t="n">
        <f aca="false">IF(AND(OR(AK1304="À RÉPARER",AK1304="COUPE – À RESOUDER",AK1304="VT REJETÉ – À REPRENDRE"),OR(RÉPARATIONS!$D$5="TOUTES",B1304=RÉPARATIONS!$D$5)),1,0)</f>
        <v>0</v>
      </c>
      <c r="AP1304" s="78" t="str">
        <f aca="false">IF(AO1304=1,SUM(AO$7:AO1304),"")</f>
        <v/>
      </c>
    </row>
    <row r="1305" customFormat="false" ht="15" hidden="false" customHeight="false" outlineLevel="0" collapsed="false">
      <c r="A1305" s="78" t="str">
        <f aca="false">IF(E1305="","",ROW()-6)</f>
        <v/>
      </c>
      <c r="B1305" s="79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0"/>
      <c r="P1305" s="81"/>
      <c r="Q1305" s="81"/>
      <c r="R1305" s="80"/>
      <c r="S1305" s="80"/>
      <c r="T1305" s="81"/>
      <c r="U1305" s="80"/>
      <c r="V1305" s="80"/>
      <c r="W1305" s="80"/>
      <c r="X1305" s="80"/>
      <c r="Y1305" s="81"/>
      <c r="Z1305" s="80"/>
      <c r="AA1305" s="80"/>
      <c r="AB1305" s="80"/>
      <c r="AC1305" s="80"/>
      <c r="AD1305" s="81"/>
      <c r="AE1305" s="80"/>
      <c r="AF1305" s="80"/>
      <c r="AG1305" s="81"/>
      <c r="AH1305" s="79"/>
      <c r="AI1305" s="78" t="str">
        <f aca="false">IF(E1305="","",(V1305&lt;&gt;"")+(AA1305&lt;&gt;"")+(AF1305&lt;&gt;""))</f>
        <v/>
      </c>
      <c r="AJ1305" s="82" t="str">
        <f aca="false">IF(AF1305&lt;&gt;"",AF1305,IF(AA1305&lt;&gt;"",AA1305,IF(V1305&lt;&gt;"",V1305,"")))</f>
        <v/>
      </c>
      <c r="AK1305" s="83" t="str">
        <f aca="false">IF(E1305="","",IF(P1305="","À SOUDER",IF(S1305="","VT EN ATTENTE",IF(S1305="R","VT REJETÉ – À REPRENDRE",IF(AJ1305="","À RADIOGRAPHIER",IF(AJ1305="A","ACCEPTÉ",IF(AJ1305="NX","NX – RT À REFAIRE",IF(IF(AI1305=1,X1305,IF(AI1305=2,AC1305,""))="A","RÉPARÉ – À RADIOGRAPHIER",IF(IF(AI1305=1,X1305,IF(AI1305=2,AC1305,""))="R","VT REJETÉ – À REPRENDRE",IF(AJ1305="CO","COUPE – À RESOUDER","À RÉPARER"))))))))))</f>
        <v/>
      </c>
      <c r="AL1305" s="82" t="str">
        <f aca="false">IF(AND(ISNUMBER(P1305),OR(AK1305="À RADIOGRAPHIER",AK1305="RÉPARÉ – À RADIOGRAPHIER",AK1305="NX – RT À REFAIRE",AK1305="À RÉPARER",AK1305="COUPE – À RESOUDER",AK1305="VT REJETÉ – À REPRENDRE")),MAX(0,'PROGRAMME RT'!$C$4-P1305),"")</f>
        <v/>
      </c>
      <c r="AM1305" s="78" t="n">
        <f aca="false">IF(AND(OR(AK1305="À RADIOGRAPHIER",AK1305="RÉPARÉ – À RADIOGRAPHIER",AK1305="NX – RT À REFAIRE"),OR('PROGRAMME RT'!$D$5="TOUTES",B1305='PROGRAMME RT'!$D$5)),1,0)</f>
        <v>0</v>
      </c>
      <c r="AN1305" s="78" t="str">
        <f aca="false">IF(AM1305=1,SUM(AM$7:AM1305),"")</f>
        <v/>
      </c>
      <c r="AO1305" s="78" t="n">
        <f aca="false">IF(AND(OR(AK1305="À RÉPARER",AK1305="COUPE – À RESOUDER",AK1305="VT REJETÉ – À REPRENDRE"),OR(RÉPARATIONS!$D$5="TOUTES",B1305=RÉPARATIONS!$D$5)),1,0)</f>
        <v>0</v>
      </c>
      <c r="AP1305" s="78" t="str">
        <f aca="false">IF(AO1305=1,SUM(AO$7:AO1305),"")</f>
        <v/>
      </c>
    </row>
    <row r="1306" customFormat="false" ht="15" hidden="false" customHeight="false" outlineLevel="0" collapsed="false">
      <c r="A1306" s="78" t="str">
        <f aca="false">IF(E1306="","",ROW()-6)</f>
        <v/>
      </c>
      <c r="B1306" s="79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0"/>
      <c r="P1306" s="81"/>
      <c r="Q1306" s="81"/>
      <c r="R1306" s="80"/>
      <c r="S1306" s="80"/>
      <c r="T1306" s="81"/>
      <c r="U1306" s="80"/>
      <c r="V1306" s="80"/>
      <c r="W1306" s="80"/>
      <c r="X1306" s="80"/>
      <c r="Y1306" s="81"/>
      <c r="Z1306" s="80"/>
      <c r="AA1306" s="80"/>
      <c r="AB1306" s="80"/>
      <c r="AC1306" s="80"/>
      <c r="AD1306" s="81"/>
      <c r="AE1306" s="80"/>
      <c r="AF1306" s="80"/>
      <c r="AG1306" s="81"/>
      <c r="AH1306" s="79"/>
      <c r="AI1306" s="78" t="str">
        <f aca="false">IF(E1306="","",(V1306&lt;&gt;"")+(AA1306&lt;&gt;"")+(AF1306&lt;&gt;""))</f>
        <v/>
      </c>
      <c r="AJ1306" s="82" t="str">
        <f aca="false">IF(AF1306&lt;&gt;"",AF1306,IF(AA1306&lt;&gt;"",AA1306,IF(V1306&lt;&gt;"",V1306,"")))</f>
        <v/>
      </c>
      <c r="AK1306" s="83" t="str">
        <f aca="false">IF(E1306="","",IF(P1306="","À SOUDER",IF(S1306="","VT EN ATTENTE",IF(S1306="R","VT REJETÉ – À REPRENDRE",IF(AJ1306="","À RADIOGRAPHIER",IF(AJ1306="A","ACCEPTÉ",IF(AJ1306="NX","NX – RT À REFAIRE",IF(IF(AI1306=1,X1306,IF(AI1306=2,AC1306,""))="A","RÉPARÉ – À RADIOGRAPHIER",IF(IF(AI1306=1,X1306,IF(AI1306=2,AC1306,""))="R","VT REJETÉ – À REPRENDRE",IF(AJ1306="CO","COUPE – À RESOUDER","À RÉPARER"))))))))))</f>
        <v/>
      </c>
      <c r="AL1306" s="82" t="str">
        <f aca="false">IF(AND(ISNUMBER(P1306),OR(AK1306="À RADIOGRAPHIER",AK1306="RÉPARÉ – À RADIOGRAPHIER",AK1306="NX – RT À REFAIRE",AK1306="À RÉPARER",AK1306="COUPE – À RESOUDER",AK1306="VT REJETÉ – À REPRENDRE")),MAX(0,'PROGRAMME RT'!$C$4-P1306),"")</f>
        <v/>
      </c>
      <c r="AM1306" s="78" t="n">
        <f aca="false">IF(AND(OR(AK1306="À RADIOGRAPHIER",AK1306="RÉPARÉ – À RADIOGRAPHIER",AK1306="NX – RT À REFAIRE"),OR('PROGRAMME RT'!$D$5="TOUTES",B1306='PROGRAMME RT'!$D$5)),1,0)</f>
        <v>0</v>
      </c>
      <c r="AN1306" s="78" t="str">
        <f aca="false">IF(AM1306=1,SUM(AM$7:AM1306),"")</f>
        <v/>
      </c>
      <c r="AO1306" s="78" t="n">
        <f aca="false">IF(AND(OR(AK1306="À RÉPARER",AK1306="COUPE – À RESOUDER",AK1306="VT REJETÉ – À REPRENDRE"),OR(RÉPARATIONS!$D$5="TOUTES",B1306=RÉPARATIONS!$D$5)),1,0)</f>
        <v>0</v>
      </c>
      <c r="AP1306" s="78" t="str">
        <f aca="false">IF(AO1306=1,SUM(AO$7:AO1306),"")</f>
        <v/>
      </c>
    </row>
    <row r="1307" customFormat="false" ht="15" hidden="false" customHeight="false" outlineLevel="0" collapsed="false">
      <c r="A1307" s="78" t="str">
        <f aca="false">IF(E1307="","",ROW()-6)</f>
        <v/>
      </c>
      <c r="B1307" s="79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0"/>
      <c r="P1307" s="81"/>
      <c r="Q1307" s="81"/>
      <c r="R1307" s="80"/>
      <c r="S1307" s="80"/>
      <c r="T1307" s="81"/>
      <c r="U1307" s="80"/>
      <c r="V1307" s="80"/>
      <c r="W1307" s="80"/>
      <c r="X1307" s="80"/>
      <c r="Y1307" s="81"/>
      <c r="Z1307" s="80"/>
      <c r="AA1307" s="80"/>
      <c r="AB1307" s="80"/>
      <c r="AC1307" s="80"/>
      <c r="AD1307" s="81"/>
      <c r="AE1307" s="80"/>
      <c r="AF1307" s="80"/>
      <c r="AG1307" s="81"/>
      <c r="AH1307" s="79"/>
      <c r="AI1307" s="78" t="str">
        <f aca="false">IF(E1307="","",(V1307&lt;&gt;"")+(AA1307&lt;&gt;"")+(AF1307&lt;&gt;""))</f>
        <v/>
      </c>
      <c r="AJ1307" s="82" t="str">
        <f aca="false">IF(AF1307&lt;&gt;"",AF1307,IF(AA1307&lt;&gt;"",AA1307,IF(V1307&lt;&gt;"",V1307,"")))</f>
        <v/>
      </c>
      <c r="AK1307" s="83" t="str">
        <f aca="false">IF(E1307="","",IF(P1307="","À SOUDER",IF(S1307="","VT EN ATTENTE",IF(S1307="R","VT REJETÉ – À REPRENDRE",IF(AJ1307="","À RADIOGRAPHIER",IF(AJ1307="A","ACCEPTÉ",IF(AJ1307="NX","NX – RT À REFAIRE",IF(IF(AI1307=1,X1307,IF(AI1307=2,AC1307,""))="A","RÉPARÉ – À RADIOGRAPHIER",IF(IF(AI1307=1,X1307,IF(AI1307=2,AC1307,""))="R","VT REJETÉ – À REPRENDRE",IF(AJ1307="CO","COUPE – À RESOUDER","À RÉPARER"))))))))))</f>
        <v/>
      </c>
      <c r="AL1307" s="82" t="str">
        <f aca="false">IF(AND(ISNUMBER(P1307),OR(AK1307="À RADIOGRAPHIER",AK1307="RÉPARÉ – À RADIOGRAPHIER",AK1307="NX – RT À REFAIRE",AK1307="À RÉPARER",AK1307="COUPE – À RESOUDER",AK1307="VT REJETÉ – À REPRENDRE")),MAX(0,'PROGRAMME RT'!$C$4-P1307),"")</f>
        <v/>
      </c>
      <c r="AM1307" s="78" t="n">
        <f aca="false">IF(AND(OR(AK1307="À RADIOGRAPHIER",AK1307="RÉPARÉ – À RADIOGRAPHIER",AK1307="NX – RT À REFAIRE"),OR('PROGRAMME RT'!$D$5="TOUTES",B1307='PROGRAMME RT'!$D$5)),1,0)</f>
        <v>0</v>
      </c>
      <c r="AN1307" s="78" t="str">
        <f aca="false">IF(AM1307=1,SUM(AM$7:AM1307),"")</f>
        <v/>
      </c>
      <c r="AO1307" s="78" t="n">
        <f aca="false">IF(AND(OR(AK1307="À RÉPARER",AK1307="COUPE – À RESOUDER",AK1307="VT REJETÉ – À REPRENDRE"),OR(RÉPARATIONS!$D$5="TOUTES",B1307=RÉPARATIONS!$D$5)),1,0)</f>
        <v>0</v>
      </c>
      <c r="AP1307" s="78" t="str">
        <f aca="false">IF(AO1307=1,SUM(AO$7:AO1307),"")</f>
        <v/>
      </c>
    </row>
    <row r="1308" customFormat="false" ht="15" hidden="false" customHeight="false" outlineLevel="0" collapsed="false">
      <c r="A1308" s="78" t="str">
        <f aca="false">IF(E1308="","",ROW()-6)</f>
        <v/>
      </c>
      <c r="B1308" s="79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0"/>
      <c r="P1308" s="81"/>
      <c r="Q1308" s="81"/>
      <c r="R1308" s="80"/>
      <c r="S1308" s="80"/>
      <c r="T1308" s="81"/>
      <c r="U1308" s="80"/>
      <c r="V1308" s="80"/>
      <c r="W1308" s="80"/>
      <c r="X1308" s="80"/>
      <c r="Y1308" s="81"/>
      <c r="Z1308" s="80"/>
      <c r="AA1308" s="80"/>
      <c r="AB1308" s="80"/>
      <c r="AC1308" s="80"/>
      <c r="AD1308" s="81"/>
      <c r="AE1308" s="80"/>
      <c r="AF1308" s="80"/>
      <c r="AG1308" s="81"/>
      <c r="AH1308" s="79"/>
      <c r="AI1308" s="78" t="str">
        <f aca="false">IF(E1308="","",(V1308&lt;&gt;"")+(AA1308&lt;&gt;"")+(AF1308&lt;&gt;""))</f>
        <v/>
      </c>
      <c r="AJ1308" s="82" t="str">
        <f aca="false">IF(AF1308&lt;&gt;"",AF1308,IF(AA1308&lt;&gt;"",AA1308,IF(V1308&lt;&gt;"",V1308,"")))</f>
        <v/>
      </c>
      <c r="AK1308" s="83" t="str">
        <f aca="false">IF(E1308="","",IF(P1308="","À SOUDER",IF(S1308="","VT EN ATTENTE",IF(S1308="R","VT REJETÉ – À REPRENDRE",IF(AJ1308="","À RADIOGRAPHIER",IF(AJ1308="A","ACCEPTÉ",IF(AJ1308="NX","NX – RT À REFAIRE",IF(IF(AI1308=1,X1308,IF(AI1308=2,AC1308,""))="A","RÉPARÉ – À RADIOGRAPHIER",IF(IF(AI1308=1,X1308,IF(AI1308=2,AC1308,""))="R","VT REJETÉ – À REPRENDRE",IF(AJ1308="CO","COUPE – À RESOUDER","À RÉPARER"))))))))))</f>
        <v/>
      </c>
      <c r="AL1308" s="82" t="str">
        <f aca="false">IF(AND(ISNUMBER(P1308),OR(AK1308="À RADIOGRAPHIER",AK1308="RÉPARÉ – À RADIOGRAPHIER",AK1308="NX – RT À REFAIRE",AK1308="À RÉPARER",AK1308="COUPE – À RESOUDER",AK1308="VT REJETÉ – À REPRENDRE")),MAX(0,'PROGRAMME RT'!$C$4-P1308),"")</f>
        <v/>
      </c>
      <c r="AM1308" s="78" t="n">
        <f aca="false">IF(AND(OR(AK1308="À RADIOGRAPHIER",AK1308="RÉPARÉ – À RADIOGRAPHIER",AK1308="NX – RT À REFAIRE"),OR('PROGRAMME RT'!$D$5="TOUTES",B1308='PROGRAMME RT'!$D$5)),1,0)</f>
        <v>0</v>
      </c>
      <c r="AN1308" s="78" t="str">
        <f aca="false">IF(AM1308=1,SUM(AM$7:AM1308),"")</f>
        <v/>
      </c>
      <c r="AO1308" s="78" t="n">
        <f aca="false">IF(AND(OR(AK1308="À RÉPARER",AK1308="COUPE – À RESOUDER",AK1308="VT REJETÉ – À REPRENDRE"),OR(RÉPARATIONS!$D$5="TOUTES",B1308=RÉPARATIONS!$D$5)),1,0)</f>
        <v>0</v>
      </c>
      <c r="AP1308" s="78" t="str">
        <f aca="false">IF(AO1308=1,SUM(AO$7:AO1308),"")</f>
        <v/>
      </c>
    </row>
    <row r="1309" customFormat="false" ht="15" hidden="false" customHeight="false" outlineLevel="0" collapsed="false">
      <c r="A1309" s="78" t="str">
        <f aca="false">IF(E1309="","",ROW()-6)</f>
        <v/>
      </c>
      <c r="B1309" s="79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0"/>
      <c r="P1309" s="81"/>
      <c r="Q1309" s="81"/>
      <c r="R1309" s="80"/>
      <c r="S1309" s="80"/>
      <c r="T1309" s="81"/>
      <c r="U1309" s="80"/>
      <c r="V1309" s="80"/>
      <c r="W1309" s="80"/>
      <c r="X1309" s="80"/>
      <c r="Y1309" s="81"/>
      <c r="Z1309" s="80"/>
      <c r="AA1309" s="80"/>
      <c r="AB1309" s="80"/>
      <c r="AC1309" s="80"/>
      <c r="AD1309" s="81"/>
      <c r="AE1309" s="80"/>
      <c r="AF1309" s="80"/>
      <c r="AG1309" s="81"/>
      <c r="AH1309" s="79"/>
      <c r="AI1309" s="78" t="str">
        <f aca="false">IF(E1309="","",(V1309&lt;&gt;"")+(AA1309&lt;&gt;"")+(AF1309&lt;&gt;""))</f>
        <v/>
      </c>
      <c r="AJ1309" s="82" t="str">
        <f aca="false">IF(AF1309&lt;&gt;"",AF1309,IF(AA1309&lt;&gt;"",AA1309,IF(V1309&lt;&gt;"",V1309,"")))</f>
        <v/>
      </c>
      <c r="AK1309" s="83" t="str">
        <f aca="false">IF(E1309="","",IF(P1309="","À SOUDER",IF(S1309="","VT EN ATTENTE",IF(S1309="R","VT REJETÉ – À REPRENDRE",IF(AJ1309="","À RADIOGRAPHIER",IF(AJ1309="A","ACCEPTÉ",IF(AJ1309="NX","NX – RT À REFAIRE",IF(IF(AI1309=1,X1309,IF(AI1309=2,AC1309,""))="A","RÉPARÉ – À RADIOGRAPHIER",IF(IF(AI1309=1,X1309,IF(AI1309=2,AC1309,""))="R","VT REJETÉ – À REPRENDRE",IF(AJ1309="CO","COUPE – À RESOUDER","À RÉPARER"))))))))))</f>
        <v/>
      </c>
      <c r="AL1309" s="82" t="str">
        <f aca="false">IF(AND(ISNUMBER(P1309),OR(AK1309="À RADIOGRAPHIER",AK1309="RÉPARÉ – À RADIOGRAPHIER",AK1309="NX – RT À REFAIRE",AK1309="À RÉPARER",AK1309="COUPE – À RESOUDER",AK1309="VT REJETÉ – À REPRENDRE")),MAX(0,'PROGRAMME RT'!$C$4-P1309),"")</f>
        <v/>
      </c>
      <c r="AM1309" s="78" t="n">
        <f aca="false">IF(AND(OR(AK1309="À RADIOGRAPHIER",AK1309="RÉPARÉ – À RADIOGRAPHIER",AK1309="NX – RT À REFAIRE"),OR('PROGRAMME RT'!$D$5="TOUTES",B1309='PROGRAMME RT'!$D$5)),1,0)</f>
        <v>0</v>
      </c>
      <c r="AN1309" s="78" t="str">
        <f aca="false">IF(AM1309=1,SUM(AM$7:AM1309),"")</f>
        <v/>
      </c>
      <c r="AO1309" s="78" t="n">
        <f aca="false">IF(AND(OR(AK1309="À RÉPARER",AK1309="COUPE – À RESOUDER",AK1309="VT REJETÉ – À REPRENDRE"),OR(RÉPARATIONS!$D$5="TOUTES",B1309=RÉPARATIONS!$D$5)),1,0)</f>
        <v>0</v>
      </c>
      <c r="AP1309" s="78" t="str">
        <f aca="false">IF(AO1309=1,SUM(AO$7:AO1309),"")</f>
        <v/>
      </c>
    </row>
    <row r="1310" customFormat="false" ht="15" hidden="false" customHeight="false" outlineLevel="0" collapsed="false">
      <c r="A1310" s="78" t="str">
        <f aca="false">IF(E1310="","",ROW()-6)</f>
        <v/>
      </c>
      <c r="B1310" s="79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0"/>
      <c r="P1310" s="81"/>
      <c r="Q1310" s="81"/>
      <c r="R1310" s="80"/>
      <c r="S1310" s="80"/>
      <c r="T1310" s="81"/>
      <c r="U1310" s="80"/>
      <c r="V1310" s="80"/>
      <c r="W1310" s="80"/>
      <c r="X1310" s="80"/>
      <c r="Y1310" s="81"/>
      <c r="Z1310" s="80"/>
      <c r="AA1310" s="80"/>
      <c r="AB1310" s="80"/>
      <c r="AC1310" s="80"/>
      <c r="AD1310" s="81"/>
      <c r="AE1310" s="80"/>
      <c r="AF1310" s="80"/>
      <c r="AG1310" s="81"/>
      <c r="AH1310" s="79"/>
      <c r="AI1310" s="78" t="str">
        <f aca="false">IF(E1310="","",(V1310&lt;&gt;"")+(AA1310&lt;&gt;"")+(AF1310&lt;&gt;""))</f>
        <v/>
      </c>
      <c r="AJ1310" s="82" t="str">
        <f aca="false">IF(AF1310&lt;&gt;"",AF1310,IF(AA1310&lt;&gt;"",AA1310,IF(V1310&lt;&gt;"",V1310,"")))</f>
        <v/>
      </c>
      <c r="AK1310" s="83" t="str">
        <f aca="false">IF(E1310="","",IF(P1310="","À SOUDER",IF(S1310="","VT EN ATTENTE",IF(S1310="R","VT REJETÉ – À REPRENDRE",IF(AJ1310="","À RADIOGRAPHIER",IF(AJ1310="A","ACCEPTÉ",IF(AJ1310="NX","NX – RT À REFAIRE",IF(IF(AI1310=1,X1310,IF(AI1310=2,AC1310,""))="A","RÉPARÉ – À RADIOGRAPHIER",IF(IF(AI1310=1,X1310,IF(AI1310=2,AC1310,""))="R","VT REJETÉ – À REPRENDRE",IF(AJ1310="CO","COUPE – À RESOUDER","À RÉPARER"))))))))))</f>
        <v/>
      </c>
      <c r="AL1310" s="82" t="str">
        <f aca="false">IF(AND(ISNUMBER(P1310),OR(AK1310="À RADIOGRAPHIER",AK1310="RÉPARÉ – À RADIOGRAPHIER",AK1310="NX – RT À REFAIRE",AK1310="À RÉPARER",AK1310="COUPE – À RESOUDER",AK1310="VT REJETÉ – À REPRENDRE")),MAX(0,'PROGRAMME RT'!$C$4-P1310),"")</f>
        <v/>
      </c>
      <c r="AM1310" s="78" t="n">
        <f aca="false">IF(AND(OR(AK1310="À RADIOGRAPHIER",AK1310="RÉPARÉ – À RADIOGRAPHIER",AK1310="NX – RT À REFAIRE"),OR('PROGRAMME RT'!$D$5="TOUTES",B1310='PROGRAMME RT'!$D$5)),1,0)</f>
        <v>0</v>
      </c>
      <c r="AN1310" s="78" t="str">
        <f aca="false">IF(AM1310=1,SUM(AM$7:AM1310),"")</f>
        <v/>
      </c>
      <c r="AO1310" s="78" t="n">
        <f aca="false">IF(AND(OR(AK1310="À RÉPARER",AK1310="COUPE – À RESOUDER",AK1310="VT REJETÉ – À REPRENDRE"),OR(RÉPARATIONS!$D$5="TOUTES",B1310=RÉPARATIONS!$D$5)),1,0)</f>
        <v>0</v>
      </c>
      <c r="AP1310" s="78" t="str">
        <f aca="false">IF(AO1310=1,SUM(AO$7:AO1310),"")</f>
        <v/>
      </c>
    </row>
    <row r="1311" customFormat="false" ht="15" hidden="false" customHeight="false" outlineLevel="0" collapsed="false">
      <c r="A1311" s="78" t="str">
        <f aca="false">IF(E1311="","",ROW()-6)</f>
        <v/>
      </c>
      <c r="B1311" s="79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0"/>
      <c r="P1311" s="81"/>
      <c r="Q1311" s="81"/>
      <c r="R1311" s="80"/>
      <c r="S1311" s="80"/>
      <c r="T1311" s="81"/>
      <c r="U1311" s="80"/>
      <c r="V1311" s="80"/>
      <c r="W1311" s="80"/>
      <c r="X1311" s="80"/>
      <c r="Y1311" s="81"/>
      <c r="Z1311" s="80"/>
      <c r="AA1311" s="80"/>
      <c r="AB1311" s="80"/>
      <c r="AC1311" s="80"/>
      <c r="AD1311" s="81"/>
      <c r="AE1311" s="80"/>
      <c r="AF1311" s="80"/>
      <c r="AG1311" s="81"/>
      <c r="AH1311" s="79"/>
      <c r="AI1311" s="78" t="str">
        <f aca="false">IF(E1311="","",(V1311&lt;&gt;"")+(AA1311&lt;&gt;"")+(AF1311&lt;&gt;""))</f>
        <v/>
      </c>
      <c r="AJ1311" s="82" t="str">
        <f aca="false">IF(AF1311&lt;&gt;"",AF1311,IF(AA1311&lt;&gt;"",AA1311,IF(V1311&lt;&gt;"",V1311,"")))</f>
        <v/>
      </c>
      <c r="AK1311" s="83" t="str">
        <f aca="false">IF(E1311="","",IF(P1311="","À SOUDER",IF(S1311="","VT EN ATTENTE",IF(S1311="R","VT REJETÉ – À REPRENDRE",IF(AJ1311="","À RADIOGRAPHIER",IF(AJ1311="A","ACCEPTÉ",IF(AJ1311="NX","NX – RT À REFAIRE",IF(IF(AI1311=1,X1311,IF(AI1311=2,AC1311,""))="A","RÉPARÉ – À RADIOGRAPHIER",IF(IF(AI1311=1,X1311,IF(AI1311=2,AC1311,""))="R","VT REJETÉ – À REPRENDRE",IF(AJ1311="CO","COUPE – À RESOUDER","À RÉPARER"))))))))))</f>
        <v/>
      </c>
      <c r="AL1311" s="82" t="str">
        <f aca="false">IF(AND(ISNUMBER(P1311),OR(AK1311="À RADIOGRAPHIER",AK1311="RÉPARÉ – À RADIOGRAPHIER",AK1311="NX – RT À REFAIRE",AK1311="À RÉPARER",AK1311="COUPE – À RESOUDER",AK1311="VT REJETÉ – À REPRENDRE")),MAX(0,'PROGRAMME RT'!$C$4-P1311),"")</f>
        <v/>
      </c>
      <c r="AM1311" s="78" t="n">
        <f aca="false">IF(AND(OR(AK1311="À RADIOGRAPHIER",AK1311="RÉPARÉ – À RADIOGRAPHIER",AK1311="NX – RT À REFAIRE"),OR('PROGRAMME RT'!$D$5="TOUTES",B1311='PROGRAMME RT'!$D$5)),1,0)</f>
        <v>0</v>
      </c>
      <c r="AN1311" s="78" t="str">
        <f aca="false">IF(AM1311=1,SUM(AM$7:AM1311),"")</f>
        <v/>
      </c>
      <c r="AO1311" s="78" t="n">
        <f aca="false">IF(AND(OR(AK1311="À RÉPARER",AK1311="COUPE – À RESOUDER",AK1311="VT REJETÉ – À REPRENDRE"),OR(RÉPARATIONS!$D$5="TOUTES",B1311=RÉPARATIONS!$D$5)),1,0)</f>
        <v>0</v>
      </c>
      <c r="AP1311" s="78" t="str">
        <f aca="false">IF(AO1311=1,SUM(AO$7:AO1311),"")</f>
        <v/>
      </c>
    </row>
    <row r="1312" customFormat="false" ht="15" hidden="false" customHeight="false" outlineLevel="0" collapsed="false">
      <c r="A1312" s="78" t="str">
        <f aca="false">IF(E1312="","",ROW()-6)</f>
        <v/>
      </c>
      <c r="B1312" s="79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0"/>
      <c r="P1312" s="81"/>
      <c r="Q1312" s="81"/>
      <c r="R1312" s="80"/>
      <c r="S1312" s="80"/>
      <c r="T1312" s="81"/>
      <c r="U1312" s="80"/>
      <c r="V1312" s="80"/>
      <c r="W1312" s="80"/>
      <c r="X1312" s="80"/>
      <c r="Y1312" s="81"/>
      <c r="Z1312" s="80"/>
      <c r="AA1312" s="80"/>
      <c r="AB1312" s="80"/>
      <c r="AC1312" s="80"/>
      <c r="AD1312" s="81"/>
      <c r="AE1312" s="80"/>
      <c r="AF1312" s="80"/>
      <c r="AG1312" s="81"/>
      <c r="AH1312" s="79"/>
      <c r="AI1312" s="78" t="str">
        <f aca="false">IF(E1312="","",(V1312&lt;&gt;"")+(AA1312&lt;&gt;"")+(AF1312&lt;&gt;""))</f>
        <v/>
      </c>
      <c r="AJ1312" s="82" t="str">
        <f aca="false">IF(AF1312&lt;&gt;"",AF1312,IF(AA1312&lt;&gt;"",AA1312,IF(V1312&lt;&gt;"",V1312,"")))</f>
        <v/>
      </c>
      <c r="AK1312" s="83" t="str">
        <f aca="false">IF(E1312="","",IF(P1312="","À SOUDER",IF(S1312="","VT EN ATTENTE",IF(S1312="R","VT REJETÉ – À REPRENDRE",IF(AJ1312="","À RADIOGRAPHIER",IF(AJ1312="A","ACCEPTÉ",IF(AJ1312="NX","NX – RT À REFAIRE",IF(IF(AI1312=1,X1312,IF(AI1312=2,AC1312,""))="A","RÉPARÉ – À RADIOGRAPHIER",IF(IF(AI1312=1,X1312,IF(AI1312=2,AC1312,""))="R","VT REJETÉ – À REPRENDRE",IF(AJ1312="CO","COUPE – À RESOUDER","À RÉPARER"))))))))))</f>
        <v/>
      </c>
      <c r="AL1312" s="82" t="str">
        <f aca="false">IF(AND(ISNUMBER(P1312),OR(AK1312="À RADIOGRAPHIER",AK1312="RÉPARÉ – À RADIOGRAPHIER",AK1312="NX – RT À REFAIRE",AK1312="À RÉPARER",AK1312="COUPE – À RESOUDER",AK1312="VT REJETÉ – À REPRENDRE")),MAX(0,'PROGRAMME RT'!$C$4-P1312),"")</f>
        <v/>
      </c>
      <c r="AM1312" s="78" t="n">
        <f aca="false">IF(AND(OR(AK1312="À RADIOGRAPHIER",AK1312="RÉPARÉ – À RADIOGRAPHIER",AK1312="NX – RT À REFAIRE"),OR('PROGRAMME RT'!$D$5="TOUTES",B1312='PROGRAMME RT'!$D$5)),1,0)</f>
        <v>0</v>
      </c>
      <c r="AN1312" s="78" t="str">
        <f aca="false">IF(AM1312=1,SUM(AM$7:AM1312),"")</f>
        <v/>
      </c>
      <c r="AO1312" s="78" t="n">
        <f aca="false">IF(AND(OR(AK1312="À RÉPARER",AK1312="COUPE – À RESOUDER",AK1312="VT REJETÉ – À REPRENDRE"),OR(RÉPARATIONS!$D$5="TOUTES",B1312=RÉPARATIONS!$D$5)),1,0)</f>
        <v>0</v>
      </c>
      <c r="AP1312" s="78" t="str">
        <f aca="false">IF(AO1312=1,SUM(AO$7:AO1312),"")</f>
        <v/>
      </c>
    </row>
    <row r="1313" customFormat="false" ht="15" hidden="false" customHeight="false" outlineLevel="0" collapsed="false">
      <c r="A1313" s="78" t="str">
        <f aca="false">IF(E1313="","",ROW()-6)</f>
        <v/>
      </c>
      <c r="B1313" s="79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0"/>
      <c r="P1313" s="81"/>
      <c r="Q1313" s="81"/>
      <c r="R1313" s="80"/>
      <c r="S1313" s="80"/>
      <c r="T1313" s="81"/>
      <c r="U1313" s="80"/>
      <c r="V1313" s="80"/>
      <c r="W1313" s="80"/>
      <c r="X1313" s="80"/>
      <c r="Y1313" s="81"/>
      <c r="Z1313" s="80"/>
      <c r="AA1313" s="80"/>
      <c r="AB1313" s="80"/>
      <c r="AC1313" s="80"/>
      <c r="AD1313" s="81"/>
      <c r="AE1313" s="80"/>
      <c r="AF1313" s="80"/>
      <c r="AG1313" s="81"/>
      <c r="AH1313" s="79"/>
      <c r="AI1313" s="78" t="str">
        <f aca="false">IF(E1313="","",(V1313&lt;&gt;"")+(AA1313&lt;&gt;"")+(AF1313&lt;&gt;""))</f>
        <v/>
      </c>
      <c r="AJ1313" s="82" t="str">
        <f aca="false">IF(AF1313&lt;&gt;"",AF1313,IF(AA1313&lt;&gt;"",AA1313,IF(V1313&lt;&gt;"",V1313,"")))</f>
        <v/>
      </c>
      <c r="AK1313" s="83" t="str">
        <f aca="false">IF(E1313="","",IF(P1313="","À SOUDER",IF(S1313="","VT EN ATTENTE",IF(S1313="R","VT REJETÉ – À REPRENDRE",IF(AJ1313="","À RADIOGRAPHIER",IF(AJ1313="A","ACCEPTÉ",IF(AJ1313="NX","NX – RT À REFAIRE",IF(IF(AI1313=1,X1313,IF(AI1313=2,AC1313,""))="A","RÉPARÉ – À RADIOGRAPHIER",IF(IF(AI1313=1,X1313,IF(AI1313=2,AC1313,""))="R","VT REJETÉ – À REPRENDRE",IF(AJ1313="CO","COUPE – À RESOUDER","À RÉPARER"))))))))))</f>
        <v/>
      </c>
      <c r="AL1313" s="82" t="str">
        <f aca="false">IF(AND(ISNUMBER(P1313),OR(AK1313="À RADIOGRAPHIER",AK1313="RÉPARÉ – À RADIOGRAPHIER",AK1313="NX – RT À REFAIRE",AK1313="À RÉPARER",AK1313="COUPE – À RESOUDER",AK1313="VT REJETÉ – À REPRENDRE")),MAX(0,'PROGRAMME RT'!$C$4-P1313),"")</f>
        <v/>
      </c>
      <c r="AM1313" s="78" t="n">
        <f aca="false">IF(AND(OR(AK1313="À RADIOGRAPHIER",AK1313="RÉPARÉ – À RADIOGRAPHIER",AK1313="NX – RT À REFAIRE"),OR('PROGRAMME RT'!$D$5="TOUTES",B1313='PROGRAMME RT'!$D$5)),1,0)</f>
        <v>0</v>
      </c>
      <c r="AN1313" s="78" t="str">
        <f aca="false">IF(AM1313=1,SUM(AM$7:AM1313),"")</f>
        <v/>
      </c>
      <c r="AO1313" s="78" t="n">
        <f aca="false">IF(AND(OR(AK1313="À RÉPARER",AK1313="COUPE – À RESOUDER",AK1313="VT REJETÉ – À REPRENDRE"),OR(RÉPARATIONS!$D$5="TOUTES",B1313=RÉPARATIONS!$D$5)),1,0)</f>
        <v>0</v>
      </c>
      <c r="AP1313" s="78" t="str">
        <f aca="false">IF(AO1313=1,SUM(AO$7:AO1313),"")</f>
        <v/>
      </c>
    </row>
    <row r="1314" customFormat="false" ht="15" hidden="false" customHeight="false" outlineLevel="0" collapsed="false">
      <c r="A1314" s="78" t="str">
        <f aca="false">IF(E1314="","",ROW()-6)</f>
        <v/>
      </c>
      <c r="B1314" s="79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0"/>
      <c r="P1314" s="81"/>
      <c r="Q1314" s="81"/>
      <c r="R1314" s="80"/>
      <c r="S1314" s="80"/>
      <c r="T1314" s="81"/>
      <c r="U1314" s="80"/>
      <c r="V1314" s="80"/>
      <c r="W1314" s="80"/>
      <c r="X1314" s="80"/>
      <c r="Y1314" s="81"/>
      <c r="Z1314" s="80"/>
      <c r="AA1314" s="80"/>
      <c r="AB1314" s="80"/>
      <c r="AC1314" s="80"/>
      <c r="AD1314" s="81"/>
      <c r="AE1314" s="80"/>
      <c r="AF1314" s="80"/>
      <c r="AG1314" s="81"/>
      <c r="AH1314" s="79"/>
      <c r="AI1314" s="78" t="str">
        <f aca="false">IF(E1314="","",(V1314&lt;&gt;"")+(AA1314&lt;&gt;"")+(AF1314&lt;&gt;""))</f>
        <v/>
      </c>
      <c r="AJ1314" s="82" t="str">
        <f aca="false">IF(AF1314&lt;&gt;"",AF1314,IF(AA1314&lt;&gt;"",AA1314,IF(V1314&lt;&gt;"",V1314,"")))</f>
        <v/>
      </c>
      <c r="AK1314" s="83" t="str">
        <f aca="false">IF(E1314="","",IF(P1314="","À SOUDER",IF(S1314="","VT EN ATTENTE",IF(S1314="R","VT REJETÉ – À REPRENDRE",IF(AJ1314="","À RADIOGRAPHIER",IF(AJ1314="A","ACCEPTÉ",IF(AJ1314="NX","NX – RT À REFAIRE",IF(IF(AI1314=1,X1314,IF(AI1314=2,AC1314,""))="A","RÉPARÉ – À RADIOGRAPHIER",IF(IF(AI1314=1,X1314,IF(AI1314=2,AC1314,""))="R","VT REJETÉ – À REPRENDRE",IF(AJ1314="CO","COUPE – À RESOUDER","À RÉPARER"))))))))))</f>
        <v/>
      </c>
      <c r="AL1314" s="82" t="str">
        <f aca="false">IF(AND(ISNUMBER(P1314),OR(AK1314="À RADIOGRAPHIER",AK1314="RÉPARÉ – À RADIOGRAPHIER",AK1314="NX – RT À REFAIRE",AK1314="À RÉPARER",AK1314="COUPE – À RESOUDER",AK1314="VT REJETÉ – À REPRENDRE")),MAX(0,'PROGRAMME RT'!$C$4-P1314),"")</f>
        <v/>
      </c>
      <c r="AM1314" s="78" t="n">
        <f aca="false">IF(AND(OR(AK1314="À RADIOGRAPHIER",AK1314="RÉPARÉ – À RADIOGRAPHIER",AK1314="NX – RT À REFAIRE"),OR('PROGRAMME RT'!$D$5="TOUTES",B1314='PROGRAMME RT'!$D$5)),1,0)</f>
        <v>0</v>
      </c>
      <c r="AN1314" s="78" t="str">
        <f aca="false">IF(AM1314=1,SUM(AM$7:AM1314),"")</f>
        <v/>
      </c>
      <c r="AO1314" s="78" t="n">
        <f aca="false">IF(AND(OR(AK1314="À RÉPARER",AK1314="COUPE – À RESOUDER",AK1314="VT REJETÉ – À REPRENDRE"),OR(RÉPARATIONS!$D$5="TOUTES",B1314=RÉPARATIONS!$D$5)),1,0)</f>
        <v>0</v>
      </c>
      <c r="AP1314" s="78" t="str">
        <f aca="false">IF(AO1314=1,SUM(AO$7:AO1314),"")</f>
        <v/>
      </c>
    </row>
    <row r="1315" customFormat="false" ht="15" hidden="false" customHeight="false" outlineLevel="0" collapsed="false">
      <c r="A1315" s="78" t="str">
        <f aca="false">IF(E1315="","",ROW()-6)</f>
        <v/>
      </c>
      <c r="B1315" s="79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0"/>
      <c r="P1315" s="81"/>
      <c r="Q1315" s="81"/>
      <c r="R1315" s="80"/>
      <c r="S1315" s="80"/>
      <c r="T1315" s="81"/>
      <c r="U1315" s="80"/>
      <c r="V1315" s="80"/>
      <c r="W1315" s="80"/>
      <c r="X1315" s="80"/>
      <c r="Y1315" s="81"/>
      <c r="Z1315" s="80"/>
      <c r="AA1315" s="80"/>
      <c r="AB1315" s="80"/>
      <c r="AC1315" s="80"/>
      <c r="AD1315" s="81"/>
      <c r="AE1315" s="80"/>
      <c r="AF1315" s="80"/>
      <c r="AG1315" s="81"/>
      <c r="AH1315" s="79"/>
      <c r="AI1315" s="78" t="str">
        <f aca="false">IF(E1315="","",(V1315&lt;&gt;"")+(AA1315&lt;&gt;"")+(AF1315&lt;&gt;""))</f>
        <v/>
      </c>
      <c r="AJ1315" s="82" t="str">
        <f aca="false">IF(AF1315&lt;&gt;"",AF1315,IF(AA1315&lt;&gt;"",AA1315,IF(V1315&lt;&gt;"",V1315,"")))</f>
        <v/>
      </c>
      <c r="AK1315" s="83" t="str">
        <f aca="false">IF(E1315="","",IF(P1315="","À SOUDER",IF(S1315="","VT EN ATTENTE",IF(S1315="R","VT REJETÉ – À REPRENDRE",IF(AJ1315="","À RADIOGRAPHIER",IF(AJ1315="A","ACCEPTÉ",IF(AJ1315="NX","NX – RT À REFAIRE",IF(IF(AI1315=1,X1315,IF(AI1315=2,AC1315,""))="A","RÉPARÉ – À RADIOGRAPHIER",IF(IF(AI1315=1,X1315,IF(AI1315=2,AC1315,""))="R","VT REJETÉ – À REPRENDRE",IF(AJ1315="CO","COUPE – À RESOUDER","À RÉPARER"))))))))))</f>
        <v/>
      </c>
      <c r="AL1315" s="82" t="str">
        <f aca="false">IF(AND(ISNUMBER(P1315),OR(AK1315="À RADIOGRAPHIER",AK1315="RÉPARÉ – À RADIOGRAPHIER",AK1315="NX – RT À REFAIRE",AK1315="À RÉPARER",AK1315="COUPE – À RESOUDER",AK1315="VT REJETÉ – À REPRENDRE")),MAX(0,'PROGRAMME RT'!$C$4-P1315),"")</f>
        <v/>
      </c>
      <c r="AM1315" s="78" t="n">
        <f aca="false">IF(AND(OR(AK1315="À RADIOGRAPHIER",AK1315="RÉPARÉ – À RADIOGRAPHIER",AK1315="NX – RT À REFAIRE"),OR('PROGRAMME RT'!$D$5="TOUTES",B1315='PROGRAMME RT'!$D$5)),1,0)</f>
        <v>0</v>
      </c>
      <c r="AN1315" s="78" t="str">
        <f aca="false">IF(AM1315=1,SUM(AM$7:AM1315),"")</f>
        <v/>
      </c>
      <c r="AO1315" s="78" t="n">
        <f aca="false">IF(AND(OR(AK1315="À RÉPARER",AK1315="COUPE – À RESOUDER",AK1315="VT REJETÉ – À REPRENDRE"),OR(RÉPARATIONS!$D$5="TOUTES",B1315=RÉPARATIONS!$D$5)),1,0)</f>
        <v>0</v>
      </c>
      <c r="AP1315" s="78" t="str">
        <f aca="false">IF(AO1315=1,SUM(AO$7:AO1315),"")</f>
        <v/>
      </c>
    </row>
    <row r="1316" customFormat="false" ht="15" hidden="false" customHeight="false" outlineLevel="0" collapsed="false">
      <c r="A1316" s="78" t="str">
        <f aca="false">IF(E1316="","",ROW()-6)</f>
        <v/>
      </c>
      <c r="B1316" s="79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0"/>
      <c r="P1316" s="81"/>
      <c r="Q1316" s="81"/>
      <c r="R1316" s="80"/>
      <c r="S1316" s="80"/>
      <c r="T1316" s="81"/>
      <c r="U1316" s="80"/>
      <c r="V1316" s="80"/>
      <c r="W1316" s="80"/>
      <c r="X1316" s="80"/>
      <c r="Y1316" s="81"/>
      <c r="Z1316" s="80"/>
      <c r="AA1316" s="80"/>
      <c r="AB1316" s="80"/>
      <c r="AC1316" s="80"/>
      <c r="AD1316" s="81"/>
      <c r="AE1316" s="80"/>
      <c r="AF1316" s="80"/>
      <c r="AG1316" s="81"/>
      <c r="AH1316" s="79"/>
      <c r="AI1316" s="78" t="str">
        <f aca="false">IF(E1316="","",(V1316&lt;&gt;"")+(AA1316&lt;&gt;"")+(AF1316&lt;&gt;""))</f>
        <v/>
      </c>
      <c r="AJ1316" s="82" t="str">
        <f aca="false">IF(AF1316&lt;&gt;"",AF1316,IF(AA1316&lt;&gt;"",AA1316,IF(V1316&lt;&gt;"",V1316,"")))</f>
        <v/>
      </c>
      <c r="AK1316" s="83" t="str">
        <f aca="false">IF(E1316="","",IF(P1316="","À SOUDER",IF(S1316="","VT EN ATTENTE",IF(S1316="R","VT REJETÉ – À REPRENDRE",IF(AJ1316="","À RADIOGRAPHIER",IF(AJ1316="A","ACCEPTÉ",IF(AJ1316="NX","NX – RT À REFAIRE",IF(IF(AI1316=1,X1316,IF(AI1316=2,AC1316,""))="A","RÉPARÉ – À RADIOGRAPHIER",IF(IF(AI1316=1,X1316,IF(AI1316=2,AC1316,""))="R","VT REJETÉ – À REPRENDRE",IF(AJ1316="CO","COUPE – À RESOUDER","À RÉPARER"))))))))))</f>
        <v/>
      </c>
      <c r="AL1316" s="82" t="str">
        <f aca="false">IF(AND(ISNUMBER(P1316),OR(AK1316="À RADIOGRAPHIER",AK1316="RÉPARÉ – À RADIOGRAPHIER",AK1316="NX – RT À REFAIRE",AK1316="À RÉPARER",AK1316="COUPE – À RESOUDER",AK1316="VT REJETÉ – À REPRENDRE")),MAX(0,'PROGRAMME RT'!$C$4-P1316),"")</f>
        <v/>
      </c>
      <c r="AM1316" s="78" t="n">
        <f aca="false">IF(AND(OR(AK1316="À RADIOGRAPHIER",AK1316="RÉPARÉ – À RADIOGRAPHIER",AK1316="NX – RT À REFAIRE"),OR('PROGRAMME RT'!$D$5="TOUTES",B1316='PROGRAMME RT'!$D$5)),1,0)</f>
        <v>0</v>
      </c>
      <c r="AN1316" s="78" t="str">
        <f aca="false">IF(AM1316=1,SUM(AM$7:AM1316),"")</f>
        <v/>
      </c>
      <c r="AO1316" s="78" t="n">
        <f aca="false">IF(AND(OR(AK1316="À RÉPARER",AK1316="COUPE – À RESOUDER",AK1316="VT REJETÉ – À REPRENDRE"),OR(RÉPARATIONS!$D$5="TOUTES",B1316=RÉPARATIONS!$D$5)),1,0)</f>
        <v>0</v>
      </c>
      <c r="AP1316" s="78" t="str">
        <f aca="false">IF(AO1316=1,SUM(AO$7:AO1316),"")</f>
        <v/>
      </c>
    </row>
    <row r="1317" customFormat="false" ht="15" hidden="false" customHeight="false" outlineLevel="0" collapsed="false">
      <c r="A1317" s="78" t="str">
        <f aca="false">IF(E1317="","",ROW()-6)</f>
        <v/>
      </c>
      <c r="B1317" s="79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0"/>
      <c r="P1317" s="81"/>
      <c r="Q1317" s="81"/>
      <c r="R1317" s="80"/>
      <c r="S1317" s="80"/>
      <c r="T1317" s="81"/>
      <c r="U1317" s="80"/>
      <c r="V1317" s="80"/>
      <c r="W1317" s="80"/>
      <c r="X1317" s="80"/>
      <c r="Y1317" s="81"/>
      <c r="Z1317" s="80"/>
      <c r="AA1317" s="80"/>
      <c r="AB1317" s="80"/>
      <c r="AC1317" s="80"/>
      <c r="AD1317" s="81"/>
      <c r="AE1317" s="80"/>
      <c r="AF1317" s="80"/>
      <c r="AG1317" s="81"/>
      <c r="AH1317" s="79"/>
      <c r="AI1317" s="78" t="str">
        <f aca="false">IF(E1317="","",(V1317&lt;&gt;"")+(AA1317&lt;&gt;"")+(AF1317&lt;&gt;""))</f>
        <v/>
      </c>
      <c r="AJ1317" s="82" t="str">
        <f aca="false">IF(AF1317&lt;&gt;"",AF1317,IF(AA1317&lt;&gt;"",AA1317,IF(V1317&lt;&gt;"",V1317,"")))</f>
        <v/>
      </c>
      <c r="AK1317" s="83" t="str">
        <f aca="false">IF(E1317="","",IF(P1317="","À SOUDER",IF(S1317="","VT EN ATTENTE",IF(S1317="R","VT REJETÉ – À REPRENDRE",IF(AJ1317="","À RADIOGRAPHIER",IF(AJ1317="A","ACCEPTÉ",IF(AJ1317="NX","NX – RT À REFAIRE",IF(IF(AI1317=1,X1317,IF(AI1317=2,AC1317,""))="A","RÉPARÉ – À RADIOGRAPHIER",IF(IF(AI1317=1,X1317,IF(AI1317=2,AC1317,""))="R","VT REJETÉ – À REPRENDRE",IF(AJ1317="CO","COUPE – À RESOUDER","À RÉPARER"))))))))))</f>
        <v/>
      </c>
      <c r="AL1317" s="82" t="str">
        <f aca="false">IF(AND(ISNUMBER(P1317),OR(AK1317="À RADIOGRAPHIER",AK1317="RÉPARÉ – À RADIOGRAPHIER",AK1317="NX – RT À REFAIRE",AK1317="À RÉPARER",AK1317="COUPE – À RESOUDER",AK1317="VT REJETÉ – À REPRENDRE")),MAX(0,'PROGRAMME RT'!$C$4-P1317),"")</f>
        <v/>
      </c>
      <c r="AM1317" s="78" t="n">
        <f aca="false">IF(AND(OR(AK1317="À RADIOGRAPHIER",AK1317="RÉPARÉ – À RADIOGRAPHIER",AK1317="NX – RT À REFAIRE"),OR('PROGRAMME RT'!$D$5="TOUTES",B1317='PROGRAMME RT'!$D$5)),1,0)</f>
        <v>0</v>
      </c>
      <c r="AN1317" s="78" t="str">
        <f aca="false">IF(AM1317=1,SUM(AM$7:AM1317),"")</f>
        <v/>
      </c>
      <c r="AO1317" s="78" t="n">
        <f aca="false">IF(AND(OR(AK1317="À RÉPARER",AK1317="COUPE – À RESOUDER",AK1317="VT REJETÉ – À REPRENDRE"),OR(RÉPARATIONS!$D$5="TOUTES",B1317=RÉPARATIONS!$D$5)),1,0)</f>
        <v>0</v>
      </c>
      <c r="AP1317" s="78" t="str">
        <f aca="false">IF(AO1317=1,SUM(AO$7:AO1317),"")</f>
        <v/>
      </c>
    </row>
    <row r="1318" customFormat="false" ht="15" hidden="false" customHeight="false" outlineLevel="0" collapsed="false">
      <c r="A1318" s="78" t="str">
        <f aca="false">IF(E1318="","",ROW()-6)</f>
        <v/>
      </c>
      <c r="B1318" s="79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0"/>
      <c r="P1318" s="81"/>
      <c r="Q1318" s="81"/>
      <c r="R1318" s="80"/>
      <c r="S1318" s="80"/>
      <c r="T1318" s="81"/>
      <c r="U1318" s="80"/>
      <c r="V1318" s="80"/>
      <c r="W1318" s="80"/>
      <c r="X1318" s="80"/>
      <c r="Y1318" s="81"/>
      <c r="Z1318" s="80"/>
      <c r="AA1318" s="80"/>
      <c r="AB1318" s="80"/>
      <c r="AC1318" s="80"/>
      <c r="AD1318" s="81"/>
      <c r="AE1318" s="80"/>
      <c r="AF1318" s="80"/>
      <c r="AG1318" s="81"/>
      <c r="AH1318" s="79"/>
      <c r="AI1318" s="78" t="str">
        <f aca="false">IF(E1318="","",(V1318&lt;&gt;"")+(AA1318&lt;&gt;"")+(AF1318&lt;&gt;""))</f>
        <v/>
      </c>
      <c r="AJ1318" s="82" t="str">
        <f aca="false">IF(AF1318&lt;&gt;"",AF1318,IF(AA1318&lt;&gt;"",AA1318,IF(V1318&lt;&gt;"",V1318,"")))</f>
        <v/>
      </c>
      <c r="AK1318" s="83" t="str">
        <f aca="false">IF(E1318="","",IF(P1318="","À SOUDER",IF(S1318="","VT EN ATTENTE",IF(S1318="R","VT REJETÉ – À REPRENDRE",IF(AJ1318="","À RADIOGRAPHIER",IF(AJ1318="A","ACCEPTÉ",IF(AJ1318="NX","NX – RT À REFAIRE",IF(IF(AI1318=1,X1318,IF(AI1318=2,AC1318,""))="A","RÉPARÉ – À RADIOGRAPHIER",IF(IF(AI1318=1,X1318,IF(AI1318=2,AC1318,""))="R","VT REJETÉ – À REPRENDRE",IF(AJ1318="CO","COUPE – À RESOUDER","À RÉPARER"))))))))))</f>
        <v/>
      </c>
      <c r="AL1318" s="82" t="str">
        <f aca="false">IF(AND(ISNUMBER(P1318),OR(AK1318="À RADIOGRAPHIER",AK1318="RÉPARÉ – À RADIOGRAPHIER",AK1318="NX – RT À REFAIRE",AK1318="À RÉPARER",AK1318="COUPE – À RESOUDER",AK1318="VT REJETÉ – À REPRENDRE")),MAX(0,'PROGRAMME RT'!$C$4-P1318),"")</f>
        <v/>
      </c>
      <c r="AM1318" s="78" t="n">
        <f aca="false">IF(AND(OR(AK1318="À RADIOGRAPHIER",AK1318="RÉPARÉ – À RADIOGRAPHIER",AK1318="NX – RT À REFAIRE"),OR('PROGRAMME RT'!$D$5="TOUTES",B1318='PROGRAMME RT'!$D$5)),1,0)</f>
        <v>0</v>
      </c>
      <c r="AN1318" s="78" t="str">
        <f aca="false">IF(AM1318=1,SUM(AM$7:AM1318),"")</f>
        <v/>
      </c>
      <c r="AO1318" s="78" t="n">
        <f aca="false">IF(AND(OR(AK1318="À RÉPARER",AK1318="COUPE – À RESOUDER",AK1318="VT REJETÉ – À REPRENDRE"),OR(RÉPARATIONS!$D$5="TOUTES",B1318=RÉPARATIONS!$D$5)),1,0)</f>
        <v>0</v>
      </c>
      <c r="AP1318" s="78" t="str">
        <f aca="false">IF(AO1318=1,SUM(AO$7:AO1318),"")</f>
        <v/>
      </c>
    </row>
    <row r="1319" customFormat="false" ht="15" hidden="false" customHeight="false" outlineLevel="0" collapsed="false">
      <c r="A1319" s="78" t="str">
        <f aca="false">IF(E1319="","",ROW()-6)</f>
        <v/>
      </c>
      <c r="B1319" s="79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0"/>
      <c r="P1319" s="81"/>
      <c r="Q1319" s="81"/>
      <c r="R1319" s="80"/>
      <c r="S1319" s="80"/>
      <c r="T1319" s="81"/>
      <c r="U1319" s="80"/>
      <c r="V1319" s="80"/>
      <c r="W1319" s="80"/>
      <c r="X1319" s="80"/>
      <c r="Y1319" s="81"/>
      <c r="Z1319" s="80"/>
      <c r="AA1319" s="80"/>
      <c r="AB1319" s="80"/>
      <c r="AC1319" s="80"/>
      <c r="AD1319" s="81"/>
      <c r="AE1319" s="80"/>
      <c r="AF1319" s="80"/>
      <c r="AG1319" s="81"/>
      <c r="AH1319" s="79"/>
      <c r="AI1319" s="78" t="str">
        <f aca="false">IF(E1319="","",(V1319&lt;&gt;"")+(AA1319&lt;&gt;"")+(AF1319&lt;&gt;""))</f>
        <v/>
      </c>
      <c r="AJ1319" s="82" t="str">
        <f aca="false">IF(AF1319&lt;&gt;"",AF1319,IF(AA1319&lt;&gt;"",AA1319,IF(V1319&lt;&gt;"",V1319,"")))</f>
        <v/>
      </c>
      <c r="AK1319" s="83" t="str">
        <f aca="false">IF(E1319="","",IF(P1319="","À SOUDER",IF(S1319="","VT EN ATTENTE",IF(S1319="R","VT REJETÉ – À REPRENDRE",IF(AJ1319="","À RADIOGRAPHIER",IF(AJ1319="A","ACCEPTÉ",IF(AJ1319="NX","NX – RT À REFAIRE",IF(IF(AI1319=1,X1319,IF(AI1319=2,AC1319,""))="A","RÉPARÉ – À RADIOGRAPHIER",IF(IF(AI1319=1,X1319,IF(AI1319=2,AC1319,""))="R","VT REJETÉ – À REPRENDRE",IF(AJ1319="CO","COUPE – À RESOUDER","À RÉPARER"))))))))))</f>
        <v/>
      </c>
      <c r="AL1319" s="82" t="str">
        <f aca="false">IF(AND(ISNUMBER(P1319),OR(AK1319="À RADIOGRAPHIER",AK1319="RÉPARÉ – À RADIOGRAPHIER",AK1319="NX – RT À REFAIRE",AK1319="À RÉPARER",AK1319="COUPE – À RESOUDER",AK1319="VT REJETÉ – À REPRENDRE")),MAX(0,'PROGRAMME RT'!$C$4-P1319),"")</f>
        <v/>
      </c>
      <c r="AM1319" s="78" t="n">
        <f aca="false">IF(AND(OR(AK1319="À RADIOGRAPHIER",AK1319="RÉPARÉ – À RADIOGRAPHIER",AK1319="NX – RT À REFAIRE"),OR('PROGRAMME RT'!$D$5="TOUTES",B1319='PROGRAMME RT'!$D$5)),1,0)</f>
        <v>0</v>
      </c>
      <c r="AN1319" s="78" t="str">
        <f aca="false">IF(AM1319=1,SUM(AM$7:AM1319),"")</f>
        <v/>
      </c>
      <c r="AO1319" s="78" t="n">
        <f aca="false">IF(AND(OR(AK1319="À RÉPARER",AK1319="COUPE – À RESOUDER",AK1319="VT REJETÉ – À REPRENDRE"),OR(RÉPARATIONS!$D$5="TOUTES",B1319=RÉPARATIONS!$D$5)),1,0)</f>
        <v>0</v>
      </c>
      <c r="AP1319" s="78" t="str">
        <f aca="false">IF(AO1319=1,SUM(AO$7:AO1319),"")</f>
        <v/>
      </c>
    </row>
    <row r="1320" customFormat="false" ht="15" hidden="false" customHeight="false" outlineLevel="0" collapsed="false">
      <c r="A1320" s="78" t="str">
        <f aca="false">IF(E1320="","",ROW()-6)</f>
        <v/>
      </c>
      <c r="B1320" s="79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0"/>
      <c r="P1320" s="81"/>
      <c r="Q1320" s="81"/>
      <c r="R1320" s="80"/>
      <c r="S1320" s="80"/>
      <c r="T1320" s="81"/>
      <c r="U1320" s="80"/>
      <c r="V1320" s="80"/>
      <c r="W1320" s="80"/>
      <c r="X1320" s="80"/>
      <c r="Y1320" s="81"/>
      <c r="Z1320" s="80"/>
      <c r="AA1320" s="80"/>
      <c r="AB1320" s="80"/>
      <c r="AC1320" s="80"/>
      <c r="AD1320" s="81"/>
      <c r="AE1320" s="80"/>
      <c r="AF1320" s="80"/>
      <c r="AG1320" s="81"/>
      <c r="AH1320" s="79"/>
      <c r="AI1320" s="78" t="str">
        <f aca="false">IF(E1320="","",(V1320&lt;&gt;"")+(AA1320&lt;&gt;"")+(AF1320&lt;&gt;""))</f>
        <v/>
      </c>
      <c r="AJ1320" s="82" t="str">
        <f aca="false">IF(AF1320&lt;&gt;"",AF1320,IF(AA1320&lt;&gt;"",AA1320,IF(V1320&lt;&gt;"",V1320,"")))</f>
        <v/>
      </c>
      <c r="AK1320" s="83" t="str">
        <f aca="false">IF(E1320="","",IF(P1320="","À SOUDER",IF(S1320="","VT EN ATTENTE",IF(S1320="R","VT REJETÉ – À REPRENDRE",IF(AJ1320="","À RADIOGRAPHIER",IF(AJ1320="A","ACCEPTÉ",IF(AJ1320="NX","NX – RT À REFAIRE",IF(IF(AI1320=1,X1320,IF(AI1320=2,AC1320,""))="A","RÉPARÉ – À RADIOGRAPHIER",IF(IF(AI1320=1,X1320,IF(AI1320=2,AC1320,""))="R","VT REJETÉ – À REPRENDRE",IF(AJ1320="CO","COUPE – À RESOUDER","À RÉPARER"))))))))))</f>
        <v/>
      </c>
      <c r="AL1320" s="82" t="str">
        <f aca="false">IF(AND(ISNUMBER(P1320),OR(AK1320="À RADIOGRAPHIER",AK1320="RÉPARÉ – À RADIOGRAPHIER",AK1320="NX – RT À REFAIRE",AK1320="À RÉPARER",AK1320="COUPE – À RESOUDER",AK1320="VT REJETÉ – À REPRENDRE")),MAX(0,'PROGRAMME RT'!$C$4-P1320),"")</f>
        <v/>
      </c>
      <c r="AM1320" s="78" t="n">
        <f aca="false">IF(AND(OR(AK1320="À RADIOGRAPHIER",AK1320="RÉPARÉ – À RADIOGRAPHIER",AK1320="NX – RT À REFAIRE"),OR('PROGRAMME RT'!$D$5="TOUTES",B1320='PROGRAMME RT'!$D$5)),1,0)</f>
        <v>0</v>
      </c>
      <c r="AN1320" s="78" t="str">
        <f aca="false">IF(AM1320=1,SUM(AM$7:AM1320),"")</f>
        <v/>
      </c>
      <c r="AO1320" s="78" t="n">
        <f aca="false">IF(AND(OR(AK1320="À RÉPARER",AK1320="COUPE – À RESOUDER",AK1320="VT REJETÉ – À REPRENDRE"),OR(RÉPARATIONS!$D$5="TOUTES",B1320=RÉPARATIONS!$D$5)),1,0)</f>
        <v>0</v>
      </c>
      <c r="AP1320" s="78" t="str">
        <f aca="false">IF(AO1320=1,SUM(AO$7:AO1320),"")</f>
        <v/>
      </c>
    </row>
    <row r="1321" customFormat="false" ht="15" hidden="false" customHeight="false" outlineLevel="0" collapsed="false">
      <c r="A1321" s="78" t="str">
        <f aca="false">IF(E1321="","",ROW()-6)</f>
        <v/>
      </c>
      <c r="B1321" s="79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0"/>
      <c r="P1321" s="81"/>
      <c r="Q1321" s="81"/>
      <c r="R1321" s="80"/>
      <c r="S1321" s="80"/>
      <c r="T1321" s="81"/>
      <c r="U1321" s="80"/>
      <c r="V1321" s="80"/>
      <c r="W1321" s="80"/>
      <c r="X1321" s="80"/>
      <c r="Y1321" s="81"/>
      <c r="Z1321" s="80"/>
      <c r="AA1321" s="80"/>
      <c r="AB1321" s="80"/>
      <c r="AC1321" s="80"/>
      <c r="AD1321" s="81"/>
      <c r="AE1321" s="80"/>
      <c r="AF1321" s="80"/>
      <c r="AG1321" s="81"/>
      <c r="AH1321" s="79"/>
      <c r="AI1321" s="78" t="str">
        <f aca="false">IF(E1321="","",(V1321&lt;&gt;"")+(AA1321&lt;&gt;"")+(AF1321&lt;&gt;""))</f>
        <v/>
      </c>
      <c r="AJ1321" s="82" t="str">
        <f aca="false">IF(AF1321&lt;&gt;"",AF1321,IF(AA1321&lt;&gt;"",AA1321,IF(V1321&lt;&gt;"",V1321,"")))</f>
        <v/>
      </c>
      <c r="AK1321" s="83" t="str">
        <f aca="false">IF(E1321="","",IF(P1321="","À SOUDER",IF(S1321="","VT EN ATTENTE",IF(S1321="R","VT REJETÉ – À REPRENDRE",IF(AJ1321="","À RADIOGRAPHIER",IF(AJ1321="A","ACCEPTÉ",IF(AJ1321="NX","NX – RT À REFAIRE",IF(IF(AI1321=1,X1321,IF(AI1321=2,AC1321,""))="A","RÉPARÉ – À RADIOGRAPHIER",IF(IF(AI1321=1,X1321,IF(AI1321=2,AC1321,""))="R","VT REJETÉ – À REPRENDRE",IF(AJ1321="CO","COUPE – À RESOUDER","À RÉPARER"))))))))))</f>
        <v/>
      </c>
      <c r="AL1321" s="82" t="str">
        <f aca="false">IF(AND(ISNUMBER(P1321),OR(AK1321="À RADIOGRAPHIER",AK1321="RÉPARÉ – À RADIOGRAPHIER",AK1321="NX – RT À REFAIRE",AK1321="À RÉPARER",AK1321="COUPE – À RESOUDER",AK1321="VT REJETÉ – À REPRENDRE")),MAX(0,'PROGRAMME RT'!$C$4-P1321),"")</f>
        <v/>
      </c>
      <c r="AM1321" s="78" t="n">
        <f aca="false">IF(AND(OR(AK1321="À RADIOGRAPHIER",AK1321="RÉPARÉ – À RADIOGRAPHIER",AK1321="NX – RT À REFAIRE"),OR('PROGRAMME RT'!$D$5="TOUTES",B1321='PROGRAMME RT'!$D$5)),1,0)</f>
        <v>0</v>
      </c>
      <c r="AN1321" s="78" t="str">
        <f aca="false">IF(AM1321=1,SUM(AM$7:AM1321),"")</f>
        <v/>
      </c>
      <c r="AO1321" s="78" t="n">
        <f aca="false">IF(AND(OR(AK1321="À RÉPARER",AK1321="COUPE – À RESOUDER",AK1321="VT REJETÉ – À REPRENDRE"),OR(RÉPARATIONS!$D$5="TOUTES",B1321=RÉPARATIONS!$D$5)),1,0)</f>
        <v>0</v>
      </c>
      <c r="AP1321" s="78" t="str">
        <f aca="false">IF(AO1321=1,SUM(AO$7:AO1321),"")</f>
        <v/>
      </c>
    </row>
    <row r="1322" customFormat="false" ht="15" hidden="false" customHeight="false" outlineLevel="0" collapsed="false">
      <c r="A1322" s="78" t="str">
        <f aca="false">IF(E1322="","",ROW()-6)</f>
        <v/>
      </c>
      <c r="B1322" s="79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0"/>
      <c r="P1322" s="81"/>
      <c r="Q1322" s="81"/>
      <c r="R1322" s="80"/>
      <c r="S1322" s="80"/>
      <c r="T1322" s="81"/>
      <c r="U1322" s="80"/>
      <c r="V1322" s="80"/>
      <c r="W1322" s="80"/>
      <c r="X1322" s="80"/>
      <c r="Y1322" s="81"/>
      <c r="Z1322" s="80"/>
      <c r="AA1322" s="80"/>
      <c r="AB1322" s="80"/>
      <c r="AC1322" s="80"/>
      <c r="AD1322" s="81"/>
      <c r="AE1322" s="80"/>
      <c r="AF1322" s="80"/>
      <c r="AG1322" s="81"/>
      <c r="AH1322" s="79"/>
      <c r="AI1322" s="78" t="str">
        <f aca="false">IF(E1322="","",(V1322&lt;&gt;"")+(AA1322&lt;&gt;"")+(AF1322&lt;&gt;""))</f>
        <v/>
      </c>
      <c r="AJ1322" s="82" t="str">
        <f aca="false">IF(AF1322&lt;&gt;"",AF1322,IF(AA1322&lt;&gt;"",AA1322,IF(V1322&lt;&gt;"",V1322,"")))</f>
        <v/>
      </c>
      <c r="AK1322" s="83" t="str">
        <f aca="false">IF(E1322="","",IF(P1322="","À SOUDER",IF(S1322="","VT EN ATTENTE",IF(S1322="R","VT REJETÉ – À REPRENDRE",IF(AJ1322="","À RADIOGRAPHIER",IF(AJ1322="A","ACCEPTÉ",IF(AJ1322="NX","NX – RT À REFAIRE",IF(IF(AI1322=1,X1322,IF(AI1322=2,AC1322,""))="A","RÉPARÉ – À RADIOGRAPHIER",IF(IF(AI1322=1,X1322,IF(AI1322=2,AC1322,""))="R","VT REJETÉ – À REPRENDRE",IF(AJ1322="CO","COUPE – À RESOUDER","À RÉPARER"))))))))))</f>
        <v/>
      </c>
      <c r="AL1322" s="82" t="str">
        <f aca="false">IF(AND(ISNUMBER(P1322),OR(AK1322="À RADIOGRAPHIER",AK1322="RÉPARÉ – À RADIOGRAPHIER",AK1322="NX – RT À REFAIRE",AK1322="À RÉPARER",AK1322="COUPE – À RESOUDER",AK1322="VT REJETÉ – À REPRENDRE")),MAX(0,'PROGRAMME RT'!$C$4-P1322),"")</f>
        <v/>
      </c>
      <c r="AM1322" s="78" t="n">
        <f aca="false">IF(AND(OR(AK1322="À RADIOGRAPHIER",AK1322="RÉPARÉ – À RADIOGRAPHIER",AK1322="NX – RT À REFAIRE"),OR('PROGRAMME RT'!$D$5="TOUTES",B1322='PROGRAMME RT'!$D$5)),1,0)</f>
        <v>0</v>
      </c>
      <c r="AN1322" s="78" t="str">
        <f aca="false">IF(AM1322=1,SUM(AM$7:AM1322),"")</f>
        <v/>
      </c>
      <c r="AO1322" s="78" t="n">
        <f aca="false">IF(AND(OR(AK1322="À RÉPARER",AK1322="COUPE – À RESOUDER",AK1322="VT REJETÉ – À REPRENDRE"),OR(RÉPARATIONS!$D$5="TOUTES",B1322=RÉPARATIONS!$D$5)),1,0)</f>
        <v>0</v>
      </c>
      <c r="AP1322" s="78" t="str">
        <f aca="false">IF(AO1322=1,SUM(AO$7:AO1322),"")</f>
        <v/>
      </c>
    </row>
    <row r="1323" customFormat="false" ht="15" hidden="false" customHeight="false" outlineLevel="0" collapsed="false">
      <c r="A1323" s="78" t="str">
        <f aca="false">IF(E1323="","",ROW()-6)</f>
        <v/>
      </c>
      <c r="B1323" s="79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0"/>
      <c r="P1323" s="81"/>
      <c r="Q1323" s="81"/>
      <c r="R1323" s="80"/>
      <c r="S1323" s="80"/>
      <c r="T1323" s="81"/>
      <c r="U1323" s="80"/>
      <c r="V1323" s="80"/>
      <c r="W1323" s="80"/>
      <c r="X1323" s="80"/>
      <c r="Y1323" s="81"/>
      <c r="Z1323" s="80"/>
      <c r="AA1323" s="80"/>
      <c r="AB1323" s="80"/>
      <c r="AC1323" s="80"/>
      <c r="AD1323" s="81"/>
      <c r="AE1323" s="80"/>
      <c r="AF1323" s="80"/>
      <c r="AG1323" s="81"/>
      <c r="AH1323" s="79"/>
      <c r="AI1323" s="78" t="str">
        <f aca="false">IF(E1323="","",(V1323&lt;&gt;"")+(AA1323&lt;&gt;"")+(AF1323&lt;&gt;""))</f>
        <v/>
      </c>
      <c r="AJ1323" s="82" t="str">
        <f aca="false">IF(AF1323&lt;&gt;"",AF1323,IF(AA1323&lt;&gt;"",AA1323,IF(V1323&lt;&gt;"",V1323,"")))</f>
        <v/>
      </c>
      <c r="AK1323" s="83" t="str">
        <f aca="false">IF(E1323="","",IF(P1323="","À SOUDER",IF(S1323="","VT EN ATTENTE",IF(S1323="R","VT REJETÉ – À REPRENDRE",IF(AJ1323="","À RADIOGRAPHIER",IF(AJ1323="A","ACCEPTÉ",IF(AJ1323="NX","NX – RT À REFAIRE",IF(IF(AI1323=1,X1323,IF(AI1323=2,AC1323,""))="A","RÉPARÉ – À RADIOGRAPHIER",IF(IF(AI1323=1,X1323,IF(AI1323=2,AC1323,""))="R","VT REJETÉ – À REPRENDRE",IF(AJ1323="CO","COUPE – À RESOUDER","À RÉPARER"))))))))))</f>
        <v/>
      </c>
      <c r="AL1323" s="82" t="str">
        <f aca="false">IF(AND(ISNUMBER(P1323),OR(AK1323="À RADIOGRAPHIER",AK1323="RÉPARÉ – À RADIOGRAPHIER",AK1323="NX – RT À REFAIRE",AK1323="À RÉPARER",AK1323="COUPE – À RESOUDER",AK1323="VT REJETÉ – À REPRENDRE")),MAX(0,'PROGRAMME RT'!$C$4-P1323),"")</f>
        <v/>
      </c>
      <c r="AM1323" s="78" t="n">
        <f aca="false">IF(AND(OR(AK1323="À RADIOGRAPHIER",AK1323="RÉPARÉ – À RADIOGRAPHIER",AK1323="NX – RT À REFAIRE"),OR('PROGRAMME RT'!$D$5="TOUTES",B1323='PROGRAMME RT'!$D$5)),1,0)</f>
        <v>0</v>
      </c>
      <c r="AN1323" s="78" t="str">
        <f aca="false">IF(AM1323=1,SUM(AM$7:AM1323),"")</f>
        <v/>
      </c>
      <c r="AO1323" s="78" t="n">
        <f aca="false">IF(AND(OR(AK1323="À RÉPARER",AK1323="COUPE – À RESOUDER",AK1323="VT REJETÉ – À REPRENDRE"),OR(RÉPARATIONS!$D$5="TOUTES",B1323=RÉPARATIONS!$D$5)),1,0)</f>
        <v>0</v>
      </c>
      <c r="AP1323" s="78" t="str">
        <f aca="false">IF(AO1323=1,SUM(AO$7:AO1323),"")</f>
        <v/>
      </c>
    </row>
    <row r="1324" customFormat="false" ht="15" hidden="false" customHeight="false" outlineLevel="0" collapsed="false">
      <c r="A1324" s="78" t="str">
        <f aca="false">IF(E1324="","",ROW()-6)</f>
        <v/>
      </c>
      <c r="B1324" s="79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0"/>
      <c r="P1324" s="81"/>
      <c r="Q1324" s="81"/>
      <c r="R1324" s="80"/>
      <c r="S1324" s="80"/>
      <c r="T1324" s="81"/>
      <c r="U1324" s="80"/>
      <c r="V1324" s="80"/>
      <c r="W1324" s="80"/>
      <c r="X1324" s="80"/>
      <c r="Y1324" s="81"/>
      <c r="Z1324" s="80"/>
      <c r="AA1324" s="80"/>
      <c r="AB1324" s="80"/>
      <c r="AC1324" s="80"/>
      <c r="AD1324" s="81"/>
      <c r="AE1324" s="80"/>
      <c r="AF1324" s="80"/>
      <c r="AG1324" s="81"/>
      <c r="AH1324" s="79"/>
      <c r="AI1324" s="78" t="str">
        <f aca="false">IF(E1324="","",(V1324&lt;&gt;"")+(AA1324&lt;&gt;"")+(AF1324&lt;&gt;""))</f>
        <v/>
      </c>
      <c r="AJ1324" s="82" t="str">
        <f aca="false">IF(AF1324&lt;&gt;"",AF1324,IF(AA1324&lt;&gt;"",AA1324,IF(V1324&lt;&gt;"",V1324,"")))</f>
        <v/>
      </c>
      <c r="AK1324" s="83" t="str">
        <f aca="false">IF(E1324="","",IF(P1324="","À SOUDER",IF(S1324="","VT EN ATTENTE",IF(S1324="R","VT REJETÉ – À REPRENDRE",IF(AJ1324="","À RADIOGRAPHIER",IF(AJ1324="A","ACCEPTÉ",IF(AJ1324="NX","NX – RT À REFAIRE",IF(IF(AI1324=1,X1324,IF(AI1324=2,AC1324,""))="A","RÉPARÉ – À RADIOGRAPHIER",IF(IF(AI1324=1,X1324,IF(AI1324=2,AC1324,""))="R","VT REJETÉ – À REPRENDRE",IF(AJ1324="CO","COUPE – À RESOUDER","À RÉPARER"))))))))))</f>
        <v/>
      </c>
      <c r="AL1324" s="82" t="str">
        <f aca="false">IF(AND(ISNUMBER(P1324),OR(AK1324="À RADIOGRAPHIER",AK1324="RÉPARÉ – À RADIOGRAPHIER",AK1324="NX – RT À REFAIRE",AK1324="À RÉPARER",AK1324="COUPE – À RESOUDER",AK1324="VT REJETÉ – À REPRENDRE")),MAX(0,'PROGRAMME RT'!$C$4-P1324),"")</f>
        <v/>
      </c>
      <c r="AM1324" s="78" t="n">
        <f aca="false">IF(AND(OR(AK1324="À RADIOGRAPHIER",AK1324="RÉPARÉ – À RADIOGRAPHIER",AK1324="NX – RT À REFAIRE"),OR('PROGRAMME RT'!$D$5="TOUTES",B1324='PROGRAMME RT'!$D$5)),1,0)</f>
        <v>0</v>
      </c>
      <c r="AN1324" s="78" t="str">
        <f aca="false">IF(AM1324=1,SUM(AM$7:AM1324),"")</f>
        <v/>
      </c>
      <c r="AO1324" s="78" t="n">
        <f aca="false">IF(AND(OR(AK1324="À RÉPARER",AK1324="COUPE – À RESOUDER",AK1324="VT REJETÉ – À REPRENDRE"),OR(RÉPARATIONS!$D$5="TOUTES",B1324=RÉPARATIONS!$D$5)),1,0)</f>
        <v>0</v>
      </c>
      <c r="AP1324" s="78" t="str">
        <f aca="false">IF(AO1324=1,SUM(AO$7:AO1324),"")</f>
        <v/>
      </c>
    </row>
    <row r="1325" customFormat="false" ht="15" hidden="false" customHeight="false" outlineLevel="0" collapsed="false">
      <c r="A1325" s="78" t="str">
        <f aca="false">IF(E1325="","",ROW()-6)</f>
        <v/>
      </c>
      <c r="B1325" s="79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0"/>
      <c r="P1325" s="81"/>
      <c r="Q1325" s="81"/>
      <c r="R1325" s="80"/>
      <c r="S1325" s="80"/>
      <c r="T1325" s="81"/>
      <c r="U1325" s="80"/>
      <c r="V1325" s="80"/>
      <c r="W1325" s="80"/>
      <c r="X1325" s="80"/>
      <c r="Y1325" s="81"/>
      <c r="Z1325" s="80"/>
      <c r="AA1325" s="80"/>
      <c r="AB1325" s="80"/>
      <c r="AC1325" s="80"/>
      <c r="AD1325" s="81"/>
      <c r="AE1325" s="80"/>
      <c r="AF1325" s="80"/>
      <c r="AG1325" s="81"/>
      <c r="AH1325" s="79"/>
      <c r="AI1325" s="78" t="str">
        <f aca="false">IF(E1325="","",(V1325&lt;&gt;"")+(AA1325&lt;&gt;"")+(AF1325&lt;&gt;""))</f>
        <v/>
      </c>
      <c r="AJ1325" s="82" t="str">
        <f aca="false">IF(AF1325&lt;&gt;"",AF1325,IF(AA1325&lt;&gt;"",AA1325,IF(V1325&lt;&gt;"",V1325,"")))</f>
        <v/>
      </c>
      <c r="AK1325" s="83" t="str">
        <f aca="false">IF(E1325="","",IF(P1325="","À SOUDER",IF(S1325="","VT EN ATTENTE",IF(S1325="R","VT REJETÉ – À REPRENDRE",IF(AJ1325="","À RADIOGRAPHIER",IF(AJ1325="A","ACCEPTÉ",IF(AJ1325="NX","NX – RT À REFAIRE",IF(IF(AI1325=1,X1325,IF(AI1325=2,AC1325,""))="A","RÉPARÉ – À RADIOGRAPHIER",IF(IF(AI1325=1,X1325,IF(AI1325=2,AC1325,""))="R","VT REJETÉ – À REPRENDRE",IF(AJ1325="CO","COUPE – À RESOUDER","À RÉPARER"))))))))))</f>
        <v/>
      </c>
      <c r="AL1325" s="82" t="str">
        <f aca="false">IF(AND(ISNUMBER(P1325),OR(AK1325="À RADIOGRAPHIER",AK1325="RÉPARÉ – À RADIOGRAPHIER",AK1325="NX – RT À REFAIRE",AK1325="À RÉPARER",AK1325="COUPE – À RESOUDER",AK1325="VT REJETÉ – À REPRENDRE")),MAX(0,'PROGRAMME RT'!$C$4-P1325),"")</f>
        <v/>
      </c>
      <c r="AM1325" s="78" t="n">
        <f aca="false">IF(AND(OR(AK1325="À RADIOGRAPHIER",AK1325="RÉPARÉ – À RADIOGRAPHIER",AK1325="NX – RT À REFAIRE"),OR('PROGRAMME RT'!$D$5="TOUTES",B1325='PROGRAMME RT'!$D$5)),1,0)</f>
        <v>0</v>
      </c>
      <c r="AN1325" s="78" t="str">
        <f aca="false">IF(AM1325=1,SUM(AM$7:AM1325),"")</f>
        <v/>
      </c>
      <c r="AO1325" s="78" t="n">
        <f aca="false">IF(AND(OR(AK1325="À RÉPARER",AK1325="COUPE – À RESOUDER",AK1325="VT REJETÉ – À REPRENDRE"),OR(RÉPARATIONS!$D$5="TOUTES",B1325=RÉPARATIONS!$D$5)),1,0)</f>
        <v>0</v>
      </c>
      <c r="AP1325" s="78" t="str">
        <f aca="false">IF(AO1325=1,SUM(AO$7:AO1325),"")</f>
        <v/>
      </c>
    </row>
    <row r="1326" customFormat="false" ht="15" hidden="false" customHeight="false" outlineLevel="0" collapsed="false">
      <c r="A1326" s="78" t="str">
        <f aca="false">IF(E1326="","",ROW()-6)</f>
        <v/>
      </c>
      <c r="B1326" s="79"/>
      <c r="C1326" s="80"/>
      <c r="D1326" s="80"/>
      <c r="E1326" s="80"/>
      <c r="F1326" s="80"/>
      <c r="G1326" s="80"/>
      <c r="H1326" s="80"/>
      <c r="I1326" s="80"/>
      <c r="J1326" s="80"/>
      <c r="K1326" s="80"/>
      <c r="L1326" s="80"/>
      <c r="M1326" s="80"/>
      <c r="N1326" s="80"/>
      <c r="O1326" s="80"/>
      <c r="P1326" s="81"/>
      <c r="Q1326" s="81"/>
      <c r="R1326" s="80"/>
      <c r="S1326" s="80"/>
      <c r="T1326" s="81"/>
      <c r="U1326" s="80"/>
      <c r="V1326" s="80"/>
      <c r="W1326" s="80"/>
      <c r="X1326" s="80"/>
      <c r="Y1326" s="81"/>
      <c r="Z1326" s="80"/>
      <c r="AA1326" s="80"/>
      <c r="AB1326" s="80"/>
      <c r="AC1326" s="80"/>
      <c r="AD1326" s="81"/>
      <c r="AE1326" s="80"/>
      <c r="AF1326" s="80"/>
      <c r="AG1326" s="81"/>
      <c r="AH1326" s="79"/>
      <c r="AI1326" s="78" t="str">
        <f aca="false">IF(E1326="","",(V1326&lt;&gt;"")+(AA1326&lt;&gt;"")+(AF1326&lt;&gt;""))</f>
        <v/>
      </c>
      <c r="AJ1326" s="82" t="str">
        <f aca="false">IF(AF1326&lt;&gt;"",AF1326,IF(AA1326&lt;&gt;"",AA1326,IF(V1326&lt;&gt;"",V1326,"")))</f>
        <v/>
      </c>
      <c r="AK1326" s="83" t="str">
        <f aca="false">IF(E1326="","",IF(P1326="","À SOUDER",IF(S1326="","VT EN ATTENTE",IF(S1326="R","VT REJETÉ – À REPRENDRE",IF(AJ1326="","À RADIOGRAPHIER",IF(AJ1326="A","ACCEPTÉ",IF(AJ1326="NX","NX – RT À REFAIRE",IF(IF(AI1326=1,X1326,IF(AI1326=2,AC1326,""))="A","RÉPARÉ – À RADIOGRAPHIER",IF(IF(AI1326=1,X1326,IF(AI1326=2,AC1326,""))="R","VT REJETÉ – À REPRENDRE",IF(AJ1326="CO","COUPE – À RESOUDER","À RÉPARER"))))))))))</f>
        <v/>
      </c>
      <c r="AL1326" s="82" t="str">
        <f aca="false">IF(AND(ISNUMBER(P1326),OR(AK1326="À RADIOGRAPHIER",AK1326="RÉPARÉ – À RADIOGRAPHIER",AK1326="NX – RT À REFAIRE",AK1326="À RÉPARER",AK1326="COUPE – À RESOUDER",AK1326="VT REJETÉ – À REPRENDRE")),MAX(0,'PROGRAMME RT'!$C$4-P1326),"")</f>
        <v/>
      </c>
      <c r="AM1326" s="78" t="n">
        <f aca="false">IF(AND(OR(AK1326="À RADIOGRAPHIER",AK1326="RÉPARÉ – À RADIOGRAPHIER",AK1326="NX – RT À REFAIRE"),OR('PROGRAMME RT'!$D$5="TOUTES",B1326='PROGRAMME RT'!$D$5)),1,0)</f>
        <v>0</v>
      </c>
      <c r="AN1326" s="78" t="str">
        <f aca="false">IF(AM1326=1,SUM(AM$7:AM1326),"")</f>
        <v/>
      </c>
      <c r="AO1326" s="78" t="n">
        <f aca="false">IF(AND(OR(AK1326="À RÉPARER",AK1326="COUPE – À RESOUDER",AK1326="VT REJETÉ – À REPRENDRE"),OR(RÉPARATIONS!$D$5="TOUTES",B1326=RÉPARATIONS!$D$5)),1,0)</f>
        <v>0</v>
      </c>
      <c r="AP1326" s="78" t="str">
        <f aca="false">IF(AO1326=1,SUM(AO$7:AO1326),"")</f>
        <v/>
      </c>
    </row>
    <row r="1327" customFormat="false" ht="15" hidden="false" customHeight="false" outlineLevel="0" collapsed="false">
      <c r="A1327" s="78" t="str">
        <f aca="false">IF(E1327="","",ROW()-6)</f>
        <v/>
      </c>
      <c r="B1327" s="79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0"/>
      <c r="P1327" s="81"/>
      <c r="Q1327" s="81"/>
      <c r="R1327" s="80"/>
      <c r="S1327" s="80"/>
      <c r="T1327" s="81"/>
      <c r="U1327" s="80"/>
      <c r="V1327" s="80"/>
      <c r="W1327" s="80"/>
      <c r="X1327" s="80"/>
      <c r="Y1327" s="81"/>
      <c r="Z1327" s="80"/>
      <c r="AA1327" s="80"/>
      <c r="AB1327" s="80"/>
      <c r="AC1327" s="80"/>
      <c r="AD1327" s="81"/>
      <c r="AE1327" s="80"/>
      <c r="AF1327" s="80"/>
      <c r="AG1327" s="81"/>
      <c r="AH1327" s="79"/>
      <c r="AI1327" s="78" t="str">
        <f aca="false">IF(E1327="","",(V1327&lt;&gt;"")+(AA1327&lt;&gt;"")+(AF1327&lt;&gt;""))</f>
        <v/>
      </c>
      <c r="AJ1327" s="82" t="str">
        <f aca="false">IF(AF1327&lt;&gt;"",AF1327,IF(AA1327&lt;&gt;"",AA1327,IF(V1327&lt;&gt;"",V1327,"")))</f>
        <v/>
      </c>
      <c r="AK1327" s="83" t="str">
        <f aca="false">IF(E1327="","",IF(P1327="","À SOUDER",IF(S1327="","VT EN ATTENTE",IF(S1327="R","VT REJETÉ – À REPRENDRE",IF(AJ1327="","À RADIOGRAPHIER",IF(AJ1327="A","ACCEPTÉ",IF(AJ1327="NX","NX – RT À REFAIRE",IF(IF(AI1327=1,X1327,IF(AI1327=2,AC1327,""))="A","RÉPARÉ – À RADIOGRAPHIER",IF(IF(AI1327=1,X1327,IF(AI1327=2,AC1327,""))="R","VT REJETÉ – À REPRENDRE",IF(AJ1327="CO","COUPE – À RESOUDER","À RÉPARER"))))))))))</f>
        <v/>
      </c>
      <c r="AL1327" s="82" t="str">
        <f aca="false">IF(AND(ISNUMBER(P1327),OR(AK1327="À RADIOGRAPHIER",AK1327="RÉPARÉ – À RADIOGRAPHIER",AK1327="NX – RT À REFAIRE",AK1327="À RÉPARER",AK1327="COUPE – À RESOUDER",AK1327="VT REJETÉ – À REPRENDRE")),MAX(0,'PROGRAMME RT'!$C$4-P1327),"")</f>
        <v/>
      </c>
      <c r="AM1327" s="78" t="n">
        <f aca="false">IF(AND(OR(AK1327="À RADIOGRAPHIER",AK1327="RÉPARÉ – À RADIOGRAPHIER",AK1327="NX – RT À REFAIRE"),OR('PROGRAMME RT'!$D$5="TOUTES",B1327='PROGRAMME RT'!$D$5)),1,0)</f>
        <v>0</v>
      </c>
      <c r="AN1327" s="78" t="str">
        <f aca="false">IF(AM1327=1,SUM(AM$7:AM1327),"")</f>
        <v/>
      </c>
      <c r="AO1327" s="78" t="n">
        <f aca="false">IF(AND(OR(AK1327="À RÉPARER",AK1327="COUPE – À RESOUDER",AK1327="VT REJETÉ – À REPRENDRE"),OR(RÉPARATIONS!$D$5="TOUTES",B1327=RÉPARATIONS!$D$5)),1,0)</f>
        <v>0</v>
      </c>
      <c r="AP1327" s="78" t="str">
        <f aca="false">IF(AO1327=1,SUM(AO$7:AO1327),"")</f>
        <v/>
      </c>
    </row>
    <row r="1328" customFormat="false" ht="15" hidden="false" customHeight="false" outlineLevel="0" collapsed="false">
      <c r="A1328" s="78" t="str">
        <f aca="false">IF(E1328="","",ROW()-6)</f>
        <v/>
      </c>
      <c r="B1328" s="79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0"/>
      <c r="P1328" s="81"/>
      <c r="Q1328" s="81"/>
      <c r="R1328" s="80"/>
      <c r="S1328" s="80"/>
      <c r="T1328" s="81"/>
      <c r="U1328" s="80"/>
      <c r="V1328" s="80"/>
      <c r="W1328" s="80"/>
      <c r="X1328" s="80"/>
      <c r="Y1328" s="81"/>
      <c r="Z1328" s="80"/>
      <c r="AA1328" s="80"/>
      <c r="AB1328" s="80"/>
      <c r="AC1328" s="80"/>
      <c r="AD1328" s="81"/>
      <c r="AE1328" s="80"/>
      <c r="AF1328" s="80"/>
      <c r="AG1328" s="81"/>
      <c r="AH1328" s="79"/>
      <c r="AI1328" s="78" t="str">
        <f aca="false">IF(E1328="","",(V1328&lt;&gt;"")+(AA1328&lt;&gt;"")+(AF1328&lt;&gt;""))</f>
        <v/>
      </c>
      <c r="AJ1328" s="82" t="str">
        <f aca="false">IF(AF1328&lt;&gt;"",AF1328,IF(AA1328&lt;&gt;"",AA1328,IF(V1328&lt;&gt;"",V1328,"")))</f>
        <v/>
      </c>
      <c r="AK1328" s="83" t="str">
        <f aca="false">IF(E1328="","",IF(P1328="","À SOUDER",IF(S1328="","VT EN ATTENTE",IF(S1328="R","VT REJETÉ – À REPRENDRE",IF(AJ1328="","À RADIOGRAPHIER",IF(AJ1328="A","ACCEPTÉ",IF(AJ1328="NX","NX – RT À REFAIRE",IF(IF(AI1328=1,X1328,IF(AI1328=2,AC1328,""))="A","RÉPARÉ – À RADIOGRAPHIER",IF(IF(AI1328=1,X1328,IF(AI1328=2,AC1328,""))="R","VT REJETÉ – À REPRENDRE",IF(AJ1328="CO","COUPE – À RESOUDER","À RÉPARER"))))))))))</f>
        <v/>
      </c>
      <c r="AL1328" s="82" t="str">
        <f aca="false">IF(AND(ISNUMBER(P1328),OR(AK1328="À RADIOGRAPHIER",AK1328="RÉPARÉ – À RADIOGRAPHIER",AK1328="NX – RT À REFAIRE",AK1328="À RÉPARER",AK1328="COUPE – À RESOUDER",AK1328="VT REJETÉ – À REPRENDRE")),MAX(0,'PROGRAMME RT'!$C$4-P1328),"")</f>
        <v/>
      </c>
      <c r="AM1328" s="78" t="n">
        <f aca="false">IF(AND(OR(AK1328="À RADIOGRAPHIER",AK1328="RÉPARÉ – À RADIOGRAPHIER",AK1328="NX – RT À REFAIRE"),OR('PROGRAMME RT'!$D$5="TOUTES",B1328='PROGRAMME RT'!$D$5)),1,0)</f>
        <v>0</v>
      </c>
      <c r="AN1328" s="78" t="str">
        <f aca="false">IF(AM1328=1,SUM(AM$7:AM1328),"")</f>
        <v/>
      </c>
      <c r="AO1328" s="78" t="n">
        <f aca="false">IF(AND(OR(AK1328="À RÉPARER",AK1328="COUPE – À RESOUDER",AK1328="VT REJETÉ – À REPRENDRE"),OR(RÉPARATIONS!$D$5="TOUTES",B1328=RÉPARATIONS!$D$5)),1,0)</f>
        <v>0</v>
      </c>
      <c r="AP1328" s="78" t="str">
        <f aca="false">IF(AO1328=1,SUM(AO$7:AO1328),"")</f>
        <v/>
      </c>
    </row>
    <row r="1329" customFormat="false" ht="15" hidden="false" customHeight="false" outlineLevel="0" collapsed="false">
      <c r="A1329" s="78" t="str">
        <f aca="false">IF(E1329="","",ROW()-6)</f>
        <v/>
      </c>
      <c r="B1329" s="79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0"/>
      <c r="P1329" s="81"/>
      <c r="Q1329" s="81"/>
      <c r="R1329" s="80"/>
      <c r="S1329" s="80"/>
      <c r="T1329" s="81"/>
      <c r="U1329" s="80"/>
      <c r="V1329" s="80"/>
      <c r="W1329" s="80"/>
      <c r="X1329" s="80"/>
      <c r="Y1329" s="81"/>
      <c r="Z1329" s="80"/>
      <c r="AA1329" s="80"/>
      <c r="AB1329" s="80"/>
      <c r="AC1329" s="80"/>
      <c r="AD1329" s="81"/>
      <c r="AE1329" s="80"/>
      <c r="AF1329" s="80"/>
      <c r="AG1329" s="81"/>
      <c r="AH1329" s="79"/>
      <c r="AI1329" s="78" t="str">
        <f aca="false">IF(E1329="","",(V1329&lt;&gt;"")+(AA1329&lt;&gt;"")+(AF1329&lt;&gt;""))</f>
        <v/>
      </c>
      <c r="AJ1329" s="82" t="str">
        <f aca="false">IF(AF1329&lt;&gt;"",AF1329,IF(AA1329&lt;&gt;"",AA1329,IF(V1329&lt;&gt;"",V1329,"")))</f>
        <v/>
      </c>
      <c r="AK1329" s="83" t="str">
        <f aca="false">IF(E1329="","",IF(P1329="","À SOUDER",IF(S1329="","VT EN ATTENTE",IF(S1329="R","VT REJETÉ – À REPRENDRE",IF(AJ1329="","À RADIOGRAPHIER",IF(AJ1329="A","ACCEPTÉ",IF(AJ1329="NX","NX – RT À REFAIRE",IF(IF(AI1329=1,X1329,IF(AI1329=2,AC1329,""))="A","RÉPARÉ – À RADIOGRAPHIER",IF(IF(AI1329=1,X1329,IF(AI1329=2,AC1329,""))="R","VT REJETÉ – À REPRENDRE",IF(AJ1329="CO","COUPE – À RESOUDER","À RÉPARER"))))))))))</f>
        <v/>
      </c>
      <c r="AL1329" s="82" t="str">
        <f aca="false">IF(AND(ISNUMBER(P1329),OR(AK1329="À RADIOGRAPHIER",AK1329="RÉPARÉ – À RADIOGRAPHIER",AK1329="NX – RT À REFAIRE",AK1329="À RÉPARER",AK1329="COUPE – À RESOUDER",AK1329="VT REJETÉ – À REPRENDRE")),MAX(0,'PROGRAMME RT'!$C$4-P1329),"")</f>
        <v/>
      </c>
      <c r="AM1329" s="78" t="n">
        <f aca="false">IF(AND(OR(AK1329="À RADIOGRAPHIER",AK1329="RÉPARÉ – À RADIOGRAPHIER",AK1329="NX – RT À REFAIRE"),OR('PROGRAMME RT'!$D$5="TOUTES",B1329='PROGRAMME RT'!$D$5)),1,0)</f>
        <v>0</v>
      </c>
      <c r="AN1329" s="78" t="str">
        <f aca="false">IF(AM1329=1,SUM(AM$7:AM1329),"")</f>
        <v/>
      </c>
      <c r="AO1329" s="78" t="n">
        <f aca="false">IF(AND(OR(AK1329="À RÉPARER",AK1329="COUPE – À RESOUDER",AK1329="VT REJETÉ – À REPRENDRE"),OR(RÉPARATIONS!$D$5="TOUTES",B1329=RÉPARATIONS!$D$5)),1,0)</f>
        <v>0</v>
      </c>
      <c r="AP1329" s="78" t="str">
        <f aca="false">IF(AO1329=1,SUM(AO$7:AO1329),"")</f>
        <v/>
      </c>
    </row>
    <row r="1330" customFormat="false" ht="15" hidden="false" customHeight="false" outlineLevel="0" collapsed="false">
      <c r="A1330" s="78" t="str">
        <f aca="false">IF(E1330="","",ROW()-6)</f>
        <v/>
      </c>
      <c r="B1330" s="79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0"/>
      <c r="P1330" s="81"/>
      <c r="Q1330" s="81"/>
      <c r="R1330" s="80"/>
      <c r="S1330" s="80"/>
      <c r="T1330" s="81"/>
      <c r="U1330" s="80"/>
      <c r="V1330" s="80"/>
      <c r="W1330" s="80"/>
      <c r="X1330" s="80"/>
      <c r="Y1330" s="81"/>
      <c r="Z1330" s="80"/>
      <c r="AA1330" s="80"/>
      <c r="AB1330" s="80"/>
      <c r="AC1330" s="80"/>
      <c r="AD1330" s="81"/>
      <c r="AE1330" s="80"/>
      <c r="AF1330" s="80"/>
      <c r="AG1330" s="81"/>
      <c r="AH1330" s="79"/>
      <c r="AI1330" s="78" t="str">
        <f aca="false">IF(E1330="","",(V1330&lt;&gt;"")+(AA1330&lt;&gt;"")+(AF1330&lt;&gt;""))</f>
        <v/>
      </c>
      <c r="AJ1330" s="82" t="str">
        <f aca="false">IF(AF1330&lt;&gt;"",AF1330,IF(AA1330&lt;&gt;"",AA1330,IF(V1330&lt;&gt;"",V1330,"")))</f>
        <v/>
      </c>
      <c r="AK1330" s="83" t="str">
        <f aca="false">IF(E1330="","",IF(P1330="","À SOUDER",IF(S1330="","VT EN ATTENTE",IF(S1330="R","VT REJETÉ – À REPRENDRE",IF(AJ1330="","À RADIOGRAPHIER",IF(AJ1330="A","ACCEPTÉ",IF(AJ1330="NX","NX – RT À REFAIRE",IF(IF(AI1330=1,X1330,IF(AI1330=2,AC1330,""))="A","RÉPARÉ – À RADIOGRAPHIER",IF(IF(AI1330=1,X1330,IF(AI1330=2,AC1330,""))="R","VT REJETÉ – À REPRENDRE",IF(AJ1330="CO","COUPE – À RESOUDER","À RÉPARER"))))))))))</f>
        <v/>
      </c>
      <c r="AL1330" s="82" t="str">
        <f aca="false">IF(AND(ISNUMBER(P1330),OR(AK1330="À RADIOGRAPHIER",AK1330="RÉPARÉ – À RADIOGRAPHIER",AK1330="NX – RT À REFAIRE",AK1330="À RÉPARER",AK1330="COUPE – À RESOUDER",AK1330="VT REJETÉ – À REPRENDRE")),MAX(0,'PROGRAMME RT'!$C$4-P1330),"")</f>
        <v/>
      </c>
      <c r="AM1330" s="78" t="n">
        <f aca="false">IF(AND(OR(AK1330="À RADIOGRAPHIER",AK1330="RÉPARÉ – À RADIOGRAPHIER",AK1330="NX – RT À REFAIRE"),OR('PROGRAMME RT'!$D$5="TOUTES",B1330='PROGRAMME RT'!$D$5)),1,0)</f>
        <v>0</v>
      </c>
      <c r="AN1330" s="78" t="str">
        <f aca="false">IF(AM1330=1,SUM(AM$7:AM1330),"")</f>
        <v/>
      </c>
      <c r="AO1330" s="78" t="n">
        <f aca="false">IF(AND(OR(AK1330="À RÉPARER",AK1330="COUPE – À RESOUDER",AK1330="VT REJETÉ – À REPRENDRE"),OR(RÉPARATIONS!$D$5="TOUTES",B1330=RÉPARATIONS!$D$5)),1,0)</f>
        <v>0</v>
      </c>
      <c r="AP1330" s="78" t="str">
        <f aca="false">IF(AO1330=1,SUM(AO$7:AO1330),"")</f>
        <v/>
      </c>
    </row>
    <row r="1331" customFormat="false" ht="15" hidden="false" customHeight="false" outlineLevel="0" collapsed="false">
      <c r="A1331" s="78" t="str">
        <f aca="false">IF(E1331="","",ROW()-6)</f>
        <v/>
      </c>
      <c r="B1331" s="79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0"/>
      <c r="P1331" s="81"/>
      <c r="Q1331" s="81"/>
      <c r="R1331" s="80"/>
      <c r="S1331" s="80"/>
      <c r="T1331" s="81"/>
      <c r="U1331" s="80"/>
      <c r="V1331" s="80"/>
      <c r="W1331" s="80"/>
      <c r="X1331" s="80"/>
      <c r="Y1331" s="81"/>
      <c r="Z1331" s="80"/>
      <c r="AA1331" s="80"/>
      <c r="AB1331" s="80"/>
      <c r="AC1331" s="80"/>
      <c r="AD1331" s="81"/>
      <c r="AE1331" s="80"/>
      <c r="AF1331" s="80"/>
      <c r="AG1331" s="81"/>
      <c r="AH1331" s="79"/>
      <c r="AI1331" s="78" t="str">
        <f aca="false">IF(E1331="","",(V1331&lt;&gt;"")+(AA1331&lt;&gt;"")+(AF1331&lt;&gt;""))</f>
        <v/>
      </c>
      <c r="AJ1331" s="82" t="str">
        <f aca="false">IF(AF1331&lt;&gt;"",AF1331,IF(AA1331&lt;&gt;"",AA1331,IF(V1331&lt;&gt;"",V1331,"")))</f>
        <v/>
      </c>
      <c r="AK1331" s="83" t="str">
        <f aca="false">IF(E1331="","",IF(P1331="","À SOUDER",IF(S1331="","VT EN ATTENTE",IF(S1331="R","VT REJETÉ – À REPRENDRE",IF(AJ1331="","À RADIOGRAPHIER",IF(AJ1331="A","ACCEPTÉ",IF(AJ1331="NX","NX – RT À REFAIRE",IF(IF(AI1331=1,X1331,IF(AI1331=2,AC1331,""))="A","RÉPARÉ – À RADIOGRAPHIER",IF(IF(AI1331=1,X1331,IF(AI1331=2,AC1331,""))="R","VT REJETÉ – À REPRENDRE",IF(AJ1331="CO","COUPE – À RESOUDER","À RÉPARER"))))))))))</f>
        <v/>
      </c>
      <c r="AL1331" s="82" t="str">
        <f aca="false">IF(AND(ISNUMBER(P1331),OR(AK1331="À RADIOGRAPHIER",AK1331="RÉPARÉ – À RADIOGRAPHIER",AK1331="NX – RT À REFAIRE",AK1331="À RÉPARER",AK1331="COUPE – À RESOUDER",AK1331="VT REJETÉ – À REPRENDRE")),MAX(0,'PROGRAMME RT'!$C$4-P1331),"")</f>
        <v/>
      </c>
      <c r="AM1331" s="78" t="n">
        <f aca="false">IF(AND(OR(AK1331="À RADIOGRAPHIER",AK1331="RÉPARÉ – À RADIOGRAPHIER",AK1331="NX – RT À REFAIRE"),OR('PROGRAMME RT'!$D$5="TOUTES",B1331='PROGRAMME RT'!$D$5)),1,0)</f>
        <v>0</v>
      </c>
      <c r="AN1331" s="78" t="str">
        <f aca="false">IF(AM1331=1,SUM(AM$7:AM1331),"")</f>
        <v/>
      </c>
      <c r="AO1331" s="78" t="n">
        <f aca="false">IF(AND(OR(AK1331="À RÉPARER",AK1331="COUPE – À RESOUDER",AK1331="VT REJETÉ – À REPRENDRE"),OR(RÉPARATIONS!$D$5="TOUTES",B1331=RÉPARATIONS!$D$5)),1,0)</f>
        <v>0</v>
      </c>
      <c r="AP1331" s="78" t="str">
        <f aca="false">IF(AO1331=1,SUM(AO$7:AO1331),"")</f>
        <v/>
      </c>
    </row>
    <row r="1332" customFormat="false" ht="15" hidden="false" customHeight="false" outlineLevel="0" collapsed="false">
      <c r="A1332" s="78" t="str">
        <f aca="false">IF(E1332="","",ROW()-6)</f>
        <v/>
      </c>
      <c r="B1332" s="79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0"/>
      <c r="P1332" s="81"/>
      <c r="Q1332" s="81"/>
      <c r="R1332" s="80"/>
      <c r="S1332" s="80"/>
      <c r="T1332" s="81"/>
      <c r="U1332" s="80"/>
      <c r="V1332" s="80"/>
      <c r="W1332" s="80"/>
      <c r="X1332" s="80"/>
      <c r="Y1332" s="81"/>
      <c r="Z1332" s="80"/>
      <c r="AA1332" s="80"/>
      <c r="AB1332" s="80"/>
      <c r="AC1332" s="80"/>
      <c r="AD1332" s="81"/>
      <c r="AE1332" s="80"/>
      <c r="AF1332" s="80"/>
      <c r="AG1332" s="81"/>
      <c r="AH1332" s="79"/>
      <c r="AI1332" s="78" t="str">
        <f aca="false">IF(E1332="","",(V1332&lt;&gt;"")+(AA1332&lt;&gt;"")+(AF1332&lt;&gt;""))</f>
        <v/>
      </c>
      <c r="AJ1332" s="82" t="str">
        <f aca="false">IF(AF1332&lt;&gt;"",AF1332,IF(AA1332&lt;&gt;"",AA1332,IF(V1332&lt;&gt;"",V1332,"")))</f>
        <v/>
      </c>
      <c r="AK1332" s="83" t="str">
        <f aca="false">IF(E1332="","",IF(P1332="","À SOUDER",IF(S1332="","VT EN ATTENTE",IF(S1332="R","VT REJETÉ – À REPRENDRE",IF(AJ1332="","À RADIOGRAPHIER",IF(AJ1332="A","ACCEPTÉ",IF(AJ1332="NX","NX – RT À REFAIRE",IF(IF(AI1332=1,X1332,IF(AI1332=2,AC1332,""))="A","RÉPARÉ – À RADIOGRAPHIER",IF(IF(AI1332=1,X1332,IF(AI1332=2,AC1332,""))="R","VT REJETÉ – À REPRENDRE",IF(AJ1332="CO","COUPE – À RESOUDER","À RÉPARER"))))))))))</f>
        <v/>
      </c>
      <c r="AL1332" s="82" t="str">
        <f aca="false">IF(AND(ISNUMBER(P1332),OR(AK1332="À RADIOGRAPHIER",AK1332="RÉPARÉ – À RADIOGRAPHIER",AK1332="NX – RT À REFAIRE",AK1332="À RÉPARER",AK1332="COUPE – À RESOUDER",AK1332="VT REJETÉ – À REPRENDRE")),MAX(0,'PROGRAMME RT'!$C$4-P1332),"")</f>
        <v/>
      </c>
      <c r="AM1332" s="78" t="n">
        <f aca="false">IF(AND(OR(AK1332="À RADIOGRAPHIER",AK1332="RÉPARÉ – À RADIOGRAPHIER",AK1332="NX – RT À REFAIRE"),OR('PROGRAMME RT'!$D$5="TOUTES",B1332='PROGRAMME RT'!$D$5)),1,0)</f>
        <v>0</v>
      </c>
      <c r="AN1332" s="78" t="str">
        <f aca="false">IF(AM1332=1,SUM(AM$7:AM1332),"")</f>
        <v/>
      </c>
      <c r="AO1332" s="78" t="n">
        <f aca="false">IF(AND(OR(AK1332="À RÉPARER",AK1332="COUPE – À RESOUDER",AK1332="VT REJETÉ – À REPRENDRE"),OR(RÉPARATIONS!$D$5="TOUTES",B1332=RÉPARATIONS!$D$5)),1,0)</f>
        <v>0</v>
      </c>
      <c r="AP1332" s="78" t="str">
        <f aca="false">IF(AO1332=1,SUM(AO$7:AO1332),"")</f>
        <v/>
      </c>
    </row>
    <row r="1333" customFormat="false" ht="15" hidden="false" customHeight="false" outlineLevel="0" collapsed="false">
      <c r="A1333" s="78" t="str">
        <f aca="false">IF(E1333="","",ROW()-6)</f>
        <v/>
      </c>
      <c r="B1333" s="79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0"/>
      <c r="P1333" s="81"/>
      <c r="Q1333" s="81"/>
      <c r="R1333" s="80"/>
      <c r="S1333" s="80"/>
      <c r="T1333" s="81"/>
      <c r="U1333" s="80"/>
      <c r="V1333" s="80"/>
      <c r="W1333" s="80"/>
      <c r="X1333" s="80"/>
      <c r="Y1333" s="81"/>
      <c r="Z1333" s="80"/>
      <c r="AA1333" s="80"/>
      <c r="AB1333" s="80"/>
      <c r="AC1333" s="80"/>
      <c r="AD1333" s="81"/>
      <c r="AE1333" s="80"/>
      <c r="AF1333" s="80"/>
      <c r="AG1333" s="81"/>
      <c r="AH1333" s="79"/>
      <c r="AI1333" s="78" t="str">
        <f aca="false">IF(E1333="","",(V1333&lt;&gt;"")+(AA1333&lt;&gt;"")+(AF1333&lt;&gt;""))</f>
        <v/>
      </c>
      <c r="AJ1333" s="82" t="str">
        <f aca="false">IF(AF1333&lt;&gt;"",AF1333,IF(AA1333&lt;&gt;"",AA1333,IF(V1333&lt;&gt;"",V1333,"")))</f>
        <v/>
      </c>
      <c r="AK1333" s="83" t="str">
        <f aca="false">IF(E1333="","",IF(P1333="","À SOUDER",IF(S1333="","VT EN ATTENTE",IF(S1333="R","VT REJETÉ – À REPRENDRE",IF(AJ1333="","À RADIOGRAPHIER",IF(AJ1333="A","ACCEPTÉ",IF(AJ1333="NX","NX – RT À REFAIRE",IF(IF(AI1333=1,X1333,IF(AI1333=2,AC1333,""))="A","RÉPARÉ – À RADIOGRAPHIER",IF(IF(AI1333=1,X1333,IF(AI1333=2,AC1333,""))="R","VT REJETÉ – À REPRENDRE",IF(AJ1333="CO","COUPE – À RESOUDER","À RÉPARER"))))))))))</f>
        <v/>
      </c>
      <c r="AL1333" s="82" t="str">
        <f aca="false">IF(AND(ISNUMBER(P1333),OR(AK1333="À RADIOGRAPHIER",AK1333="RÉPARÉ – À RADIOGRAPHIER",AK1333="NX – RT À REFAIRE",AK1333="À RÉPARER",AK1333="COUPE – À RESOUDER",AK1333="VT REJETÉ – À REPRENDRE")),MAX(0,'PROGRAMME RT'!$C$4-P1333),"")</f>
        <v/>
      </c>
      <c r="AM1333" s="78" t="n">
        <f aca="false">IF(AND(OR(AK1333="À RADIOGRAPHIER",AK1333="RÉPARÉ – À RADIOGRAPHIER",AK1333="NX – RT À REFAIRE"),OR('PROGRAMME RT'!$D$5="TOUTES",B1333='PROGRAMME RT'!$D$5)),1,0)</f>
        <v>0</v>
      </c>
      <c r="AN1333" s="78" t="str">
        <f aca="false">IF(AM1333=1,SUM(AM$7:AM1333),"")</f>
        <v/>
      </c>
      <c r="AO1333" s="78" t="n">
        <f aca="false">IF(AND(OR(AK1333="À RÉPARER",AK1333="COUPE – À RESOUDER",AK1333="VT REJETÉ – À REPRENDRE"),OR(RÉPARATIONS!$D$5="TOUTES",B1333=RÉPARATIONS!$D$5)),1,0)</f>
        <v>0</v>
      </c>
      <c r="AP1333" s="78" t="str">
        <f aca="false">IF(AO1333=1,SUM(AO$7:AO1333),"")</f>
        <v/>
      </c>
    </row>
    <row r="1334" customFormat="false" ht="15" hidden="false" customHeight="false" outlineLevel="0" collapsed="false">
      <c r="A1334" s="78" t="str">
        <f aca="false">IF(E1334="","",ROW()-6)</f>
        <v/>
      </c>
      <c r="B1334" s="79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0"/>
      <c r="P1334" s="81"/>
      <c r="Q1334" s="81"/>
      <c r="R1334" s="80"/>
      <c r="S1334" s="80"/>
      <c r="T1334" s="81"/>
      <c r="U1334" s="80"/>
      <c r="V1334" s="80"/>
      <c r="W1334" s="80"/>
      <c r="X1334" s="80"/>
      <c r="Y1334" s="81"/>
      <c r="Z1334" s="80"/>
      <c r="AA1334" s="80"/>
      <c r="AB1334" s="80"/>
      <c r="AC1334" s="80"/>
      <c r="AD1334" s="81"/>
      <c r="AE1334" s="80"/>
      <c r="AF1334" s="80"/>
      <c r="AG1334" s="81"/>
      <c r="AH1334" s="79"/>
      <c r="AI1334" s="78" t="str">
        <f aca="false">IF(E1334="","",(V1334&lt;&gt;"")+(AA1334&lt;&gt;"")+(AF1334&lt;&gt;""))</f>
        <v/>
      </c>
      <c r="AJ1334" s="82" t="str">
        <f aca="false">IF(AF1334&lt;&gt;"",AF1334,IF(AA1334&lt;&gt;"",AA1334,IF(V1334&lt;&gt;"",V1334,"")))</f>
        <v/>
      </c>
      <c r="AK1334" s="83" t="str">
        <f aca="false">IF(E1334="","",IF(P1334="","À SOUDER",IF(S1334="","VT EN ATTENTE",IF(S1334="R","VT REJETÉ – À REPRENDRE",IF(AJ1334="","À RADIOGRAPHIER",IF(AJ1334="A","ACCEPTÉ",IF(AJ1334="NX","NX – RT À REFAIRE",IF(IF(AI1334=1,X1334,IF(AI1334=2,AC1334,""))="A","RÉPARÉ – À RADIOGRAPHIER",IF(IF(AI1334=1,X1334,IF(AI1334=2,AC1334,""))="R","VT REJETÉ – À REPRENDRE",IF(AJ1334="CO","COUPE – À RESOUDER","À RÉPARER"))))))))))</f>
        <v/>
      </c>
      <c r="AL1334" s="82" t="str">
        <f aca="false">IF(AND(ISNUMBER(P1334),OR(AK1334="À RADIOGRAPHIER",AK1334="RÉPARÉ – À RADIOGRAPHIER",AK1334="NX – RT À REFAIRE",AK1334="À RÉPARER",AK1334="COUPE – À RESOUDER",AK1334="VT REJETÉ – À REPRENDRE")),MAX(0,'PROGRAMME RT'!$C$4-P1334),"")</f>
        <v/>
      </c>
      <c r="AM1334" s="78" t="n">
        <f aca="false">IF(AND(OR(AK1334="À RADIOGRAPHIER",AK1334="RÉPARÉ – À RADIOGRAPHIER",AK1334="NX – RT À REFAIRE"),OR('PROGRAMME RT'!$D$5="TOUTES",B1334='PROGRAMME RT'!$D$5)),1,0)</f>
        <v>0</v>
      </c>
      <c r="AN1334" s="78" t="str">
        <f aca="false">IF(AM1334=1,SUM(AM$7:AM1334),"")</f>
        <v/>
      </c>
      <c r="AO1334" s="78" t="n">
        <f aca="false">IF(AND(OR(AK1334="À RÉPARER",AK1334="COUPE – À RESOUDER",AK1334="VT REJETÉ – À REPRENDRE"),OR(RÉPARATIONS!$D$5="TOUTES",B1334=RÉPARATIONS!$D$5)),1,0)</f>
        <v>0</v>
      </c>
      <c r="AP1334" s="78" t="str">
        <f aca="false">IF(AO1334=1,SUM(AO$7:AO1334),"")</f>
        <v/>
      </c>
    </row>
    <row r="1335" customFormat="false" ht="15" hidden="false" customHeight="false" outlineLevel="0" collapsed="false">
      <c r="A1335" s="78" t="str">
        <f aca="false">IF(E1335="","",ROW()-6)</f>
        <v/>
      </c>
      <c r="B1335" s="79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0"/>
      <c r="P1335" s="81"/>
      <c r="Q1335" s="81"/>
      <c r="R1335" s="80"/>
      <c r="S1335" s="80"/>
      <c r="T1335" s="81"/>
      <c r="U1335" s="80"/>
      <c r="V1335" s="80"/>
      <c r="W1335" s="80"/>
      <c r="X1335" s="80"/>
      <c r="Y1335" s="81"/>
      <c r="Z1335" s="80"/>
      <c r="AA1335" s="80"/>
      <c r="AB1335" s="80"/>
      <c r="AC1335" s="80"/>
      <c r="AD1335" s="81"/>
      <c r="AE1335" s="80"/>
      <c r="AF1335" s="80"/>
      <c r="AG1335" s="81"/>
      <c r="AH1335" s="79"/>
      <c r="AI1335" s="78" t="str">
        <f aca="false">IF(E1335="","",(V1335&lt;&gt;"")+(AA1335&lt;&gt;"")+(AF1335&lt;&gt;""))</f>
        <v/>
      </c>
      <c r="AJ1335" s="82" t="str">
        <f aca="false">IF(AF1335&lt;&gt;"",AF1335,IF(AA1335&lt;&gt;"",AA1335,IF(V1335&lt;&gt;"",V1335,"")))</f>
        <v/>
      </c>
      <c r="AK1335" s="83" t="str">
        <f aca="false">IF(E1335="","",IF(P1335="","À SOUDER",IF(S1335="","VT EN ATTENTE",IF(S1335="R","VT REJETÉ – À REPRENDRE",IF(AJ1335="","À RADIOGRAPHIER",IF(AJ1335="A","ACCEPTÉ",IF(AJ1335="NX","NX – RT À REFAIRE",IF(IF(AI1335=1,X1335,IF(AI1335=2,AC1335,""))="A","RÉPARÉ – À RADIOGRAPHIER",IF(IF(AI1335=1,X1335,IF(AI1335=2,AC1335,""))="R","VT REJETÉ – À REPRENDRE",IF(AJ1335="CO","COUPE – À RESOUDER","À RÉPARER"))))))))))</f>
        <v/>
      </c>
      <c r="AL1335" s="82" t="str">
        <f aca="false">IF(AND(ISNUMBER(P1335),OR(AK1335="À RADIOGRAPHIER",AK1335="RÉPARÉ – À RADIOGRAPHIER",AK1335="NX – RT À REFAIRE",AK1335="À RÉPARER",AK1335="COUPE – À RESOUDER",AK1335="VT REJETÉ – À REPRENDRE")),MAX(0,'PROGRAMME RT'!$C$4-P1335),"")</f>
        <v/>
      </c>
      <c r="AM1335" s="78" t="n">
        <f aca="false">IF(AND(OR(AK1335="À RADIOGRAPHIER",AK1335="RÉPARÉ – À RADIOGRAPHIER",AK1335="NX – RT À REFAIRE"),OR('PROGRAMME RT'!$D$5="TOUTES",B1335='PROGRAMME RT'!$D$5)),1,0)</f>
        <v>0</v>
      </c>
      <c r="AN1335" s="78" t="str">
        <f aca="false">IF(AM1335=1,SUM(AM$7:AM1335),"")</f>
        <v/>
      </c>
      <c r="AO1335" s="78" t="n">
        <f aca="false">IF(AND(OR(AK1335="À RÉPARER",AK1335="COUPE – À RESOUDER",AK1335="VT REJETÉ – À REPRENDRE"),OR(RÉPARATIONS!$D$5="TOUTES",B1335=RÉPARATIONS!$D$5)),1,0)</f>
        <v>0</v>
      </c>
      <c r="AP1335" s="78" t="str">
        <f aca="false">IF(AO1335=1,SUM(AO$7:AO1335),"")</f>
        <v/>
      </c>
    </row>
    <row r="1336" customFormat="false" ht="15" hidden="false" customHeight="false" outlineLevel="0" collapsed="false">
      <c r="A1336" s="78" t="str">
        <f aca="false">IF(E1336="","",ROW()-6)</f>
        <v/>
      </c>
      <c r="B1336" s="79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0"/>
      <c r="P1336" s="81"/>
      <c r="Q1336" s="81"/>
      <c r="R1336" s="80"/>
      <c r="S1336" s="80"/>
      <c r="T1336" s="81"/>
      <c r="U1336" s="80"/>
      <c r="V1336" s="80"/>
      <c r="W1336" s="80"/>
      <c r="X1336" s="80"/>
      <c r="Y1336" s="81"/>
      <c r="Z1336" s="80"/>
      <c r="AA1336" s="80"/>
      <c r="AB1336" s="80"/>
      <c r="AC1336" s="80"/>
      <c r="AD1336" s="81"/>
      <c r="AE1336" s="80"/>
      <c r="AF1336" s="80"/>
      <c r="AG1336" s="81"/>
      <c r="AH1336" s="79"/>
      <c r="AI1336" s="78" t="str">
        <f aca="false">IF(E1336="","",(V1336&lt;&gt;"")+(AA1336&lt;&gt;"")+(AF1336&lt;&gt;""))</f>
        <v/>
      </c>
      <c r="AJ1336" s="82" t="str">
        <f aca="false">IF(AF1336&lt;&gt;"",AF1336,IF(AA1336&lt;&gt;"",AA1336,IF(V1336&lt;&gt;"",V1336,"")))</f>
        <v/>
      </c>
      <c r="AK1336" s="83" t="str">
        <f aca="false">IF(E1336="","",IF(P1336="","À SOUDER",IF(S1336="","VT EN ATTENTE",IF(S1336="R","VT REJETÉ – À REPRENDRE",IF(AJ1336="","À RADIOGRAPHIER",IF(AJ1336="A","ACCEPTÉ",IF(AJ1336="NX","NX – RT À REFAIRE",IF(IF(AI1336=1,X1336,IF(AI1336=2,AC1336,""))="A","RÉPARÉ – À RADIOGRAPHIER",IF(IF(AI1336=1,X1336,IF(AI1336=2,AC1336,""))="R","VT REJETÉ – À REPRENDRE",IF(AJ1336="CO","COUPE – À RESOUDER","À RÉPARER"))))))))))</f>
        <v/>
      </c>
      <c r="AL1336" s="82" t="str">
        <f aca="false">IF(AND(ISNUMBER(P1336),OR(AK1336="À RADIOGRAPHIER",AK1336="RÉPARÉ – À RADIOGRAPHIER",AK1336="NX – RT À REFAIRE",AK1336="À RÉPARER",AK1336="COUPE – À RESOUDER",AK1336="VT REJETÉ – À REPRENDRE")),MAX(0,'PROGRAMME RT'!$C$4-P1336),"")</f>
        <v/>
      </c>
      <c r="AM1336" s="78" t="n">
        <f aca="false">IF(AND(OR(AK1336="À RADIOGRAPHIER",AK1336="RÉPARÉ – À RADIOGRAPHIER",AK1336="NX – RT À REFAIRE"),OR('PROGRAMME RT'!$D$5="TOUTES",B1336='PROGRAMME RT'!$D$5)),1,0)</f>
        <v>0</v>
      </c>
      <c r="AN1336" s="78" t="str">
        <f aca="false">IF(AM1336=1,SUM(AM$7:AM1336),"")</f>
        <v/>
      </c>
      <c r="AO1336" s="78" t="n">
        <f aca="false">IF(AND(OR(AK1336="À RÉPARER",AK1336="COUPE – À RESOUDER",AK1336="VT REJETÉ – À REPRENDRE"),OR(RÉPARATIONS!$D$5="TOUTES",B1336=RÉPARATIONS!$D$5)),1,0)</f>
        <v>0</v>
      </c>
      <c r="AP1336" s="78" t="str">
        <f aca="false">IF(AO1336=1,SUM(AO$7:AO1336),"")</f>
        <v/>
      </c>
    </row>
    <row r="1337" customFormat="false" ht="15" hidden="false" customHeight="false" outlineLevel="0" collapsed="false">
      <c r="A1337" s="78" t="str">
        <f aca="false">IF(E1337="","",ROW()-6)</f>
        <v/>
      </c>
      <c r="B1337" s="79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0"/>
      <c r="P1337" s="81"/>
      <c r="Q1337" s="81"/>
      <c r="R1337" s="80"/>
      <c r="S1337" s="80"/>
      <c r="T1337" s="81"/>
      <c r="U1337" s="80"/>
      <c r="V1337" s="80"/>
      <c r="W1337" s="80"/>
      <c r="X1337" s="80"/>
      <c r="Y1337" s="81"/>
      <c r="Z1337" s="80"/>
      <c r="AA1337" s="80"/>
      <c r="AB1337" s="80"/>
      <c r="AC1337" s="80"/>
      <c r="AD1337" s="81"/>
      <c r="AE1337" s="80"/>
      <c r="AF1337" s="80"/>
      <c r="AG1337" s="81"/>
      <c r="AH1337" s="79"/>
      <c r="AI1337" s="78" t="str">
        <f aca="false">IF(E1337="","",(V1337&lt;&gt;"")+(AA1337&lt;&gt;"")+(AF1337&lt;&gt;""))</f>
        <v/>
      </c>
      <c r="AJ1337" s="82" t="str">
        <f aca="false">IF(AF1337&lt;&gt;"",AF1337,IF(AA1337&lt;&gt;"",AA1337,IF(V1337&lt;&gt;"",V1337,"")))</f>
        <v/>
      </c>
      <c r="AK1337" s="83" t="str">
        <f aca="false">IF(E1337="","",IF(P1337="","À SOUDER",IF(S1337="","VT EN ATTENTE",IF(S1337="R","VT REJETÉ – À REPRENDRE",IF(AJ1337="","À RADIOGRAPHIER",IF(AJ1337="A","ACCEPTÉ",IF(AJ1337="NX","NX – RT À REFAIRE",IF(IF(AI1337=1,X1337,IF(AI1337=2,AC1337,""))="A","RÉPARÉ – À RADIOGRAPHIER",IF(IF(AI1337=1,X1337,IF(AI1337=2,AC1337,""))="R","VT REJETÉ – À REPRENDRE",IF(AJ1337="CO","COUPE – À RESOUDER","À RÉPARER"))))))))))</f>
        <v/>
      </c>
      <c r="AL1337" s="82" t="str">
        <f aca="false">IF(AND(ISNUMBER(P1337),OR(AK1337="À RADIOGRAPHIER",AK1337="RÉPARÉ – À RADIOGRAPHIER",AK1337="NX – RT À REFAIRE",AK1337="À RÉPARER",AK1337="COUPE – À RESOUDER",AK1337="VT REJETÉ – À REPRENDRE")),MAX(0,'PROGRAMME RT'!$C$4-P1337),"")</f>
        <v/>
      </c>
      <c r="AM1337" s="78" t="n">
        <f aca="false">IF(AND(OR(AK1337="À RADIOGRAPHIER",AK1337="RÉPARÉ – À RADIOGRAPHIER",AK1337="NX – RT À REFAIRE"),OR('PROGRAMME RT'!$D$5="TOUTES",B1337='PROGRAMME RT'!$D$5)),1,0)</f>
        <v>0</v>
      </c>
      <c r="AN1337" s="78" t="str">
        <f aca="false">IF(AM1337=1,SUM(AM$7:AM1337),"")</f>
        <v/>
      </c>
      <c r="AO1337" s="78" t="n">
        <f aca="false">IF(AND(OR(AK1337="À RÉPARER",AK1337="COUPE – À RESOUDER",AK1337="VT REJETÉ – À REPRENDRE"),OR(RÉPARATIONS!$D$5="TOUTES",B1337=RÉPARATIONS!$D$5)),1,0)</f>
        <v>0</v>
      </c>
      <c r="AP1337" s="78" t="str">
        <f aca="false">IF(AO1337=1,SUM(AO$7:AO1337),"")</f>
        <v/>
      </c>
    </row>
    <row r="1338" customFormat="false" ht="15" hidden="false" customHeight="false" outlineLevel="0" collapsed="false">
      <c r="A1338" s="78" t="str">
        <f aca="false">IF(E1338="","",ROW()-6)</f>
        <v/>
      </c>
      <c r="B1338" s="79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0"/>
      <c r="P1338" s="81"/>
      <c r="Q1338" s="81"/>
      <c r="R1338" s="80"/>
      <c r="S1338" s="80"/>
      <c r="T1338" s="81"/>
      <c r="U1338" s="80"/>
      <c r="V1338" s="80"/>
      <c r="W1338" s="80"/>
      <c r="X1338" s="80"/>
      <c r="Y1338" s="81"/>
      <c r="Z1338" s="80"/>
      <c r="AA1338" s="80"/>
      <c r="AB1338" s="80"/>
      <c r="AC1338" s="80"/>
      <c r="AD1338" s="81"/>
      <c r="AE1338" s="80"/>
      <c r="AF1338" s="80"/>
      <c r="AG1338" s="81"/>
      <c r="AH1338" s="79"/>
      <c r="AI1338" s="78" t="str">
        <f aca="false">IF(E1338="","",(V1338&lt;&gt;"")+(AA1338&lt;&gt;"")+(AF1338&lt;&gt;""))</f>
        <v/>
      </c>
      <c r="AJ1338" s="82" t="str">
        <f aca="false">IF(AF1338&lt;&gt;"",AF1338,IF(AA1338&lt;&gt;"",AA1338,IF(V1338&lt;&gt;"",V1338,"")))</f>
        <v/>
      </c>
      <c r="AK1338" s="83" t="str">
        <f aca="false">IF(E1338="","",IF(P1338="","À SOUDER",IF(S1338="","VT EN ATTENTE",IF(S1338="R","VT REJETÉ – À REPRENDRE",IF(AJ1338="","À RADIOGRAPHIER",IF(AJ1338="A","ACCEPTÉ",IF(AJ1338="NX","NX – RT À REFAIRE",IF(IF(AI1338=1,X1338,IF(AI1338=2,AC1338,""))="A","RÉPARÉ – À RADIOGRAPHIER",IF(IF(AI1338=1,X1338,IF(AI1338=2,AC1338,""))="R","VT REJETÉ – À REPRENDRE",IF(AJ1338="CO","COUPE – À RESOUDER","À RÉPARER"))))))))))</f>
        <v/>
      </c>
      <c r="AL1338" s="82" t="str">
        <f aca="false">IF(AND(ISNUMBER(P1338),OR(AK1338="À RADIOGRAPHIER",AK1338="RÉPARÉ – À RADIOGRAPHIER",AK1338="NX – RT À REFAIRE",AK1338="À RÉPARER",AK1338="COUPE – À RESOUDER",AK1338="VT REJETÉ – À REPRENDRE")),MAX(0,'PROGRAMME RT'!$C$4-P1338),"")</f>
        <v/>
      </c>
      <c r="AM1338" s="78" t="n">
        <f aca="false">IF(AND(OR(AK1338="À RADIOGRAPHIER",AK1338="RÉPARÉ – À RADIOGRAPHIER",AK1338="NX – RT À REFAIRE"),OR('PROGRAMME RT'!$D$5="TOUTES",B1338='PROGRAMME RT'!$D$5)),1,0)</f>
        <v>0</v>
      </c>
      <c r="AN1338" s="78" t="str">
        <f aca="false">IF(AM1338=1,SUM(AM$7:AM1338),"")</f>
        <v/>
      </c>
      <c r="AO1338" s="78" t="n">
        <f aca="false">IF(AND(OR(AK1338="À RÉPARER",AK1338="COUPE – À RESOUDER",AK1338="VT REJETÉ – À REPRENDRE"),OR(RÉPARATIONS!$D$5="TOUTES",B1338=RÉPARATIONS!$D$5)),1,0)</f>
        <v>0</v>
      </c>
      <c r="AP1338" s="78" t="str">
        <f aca="false">IF(AO1338=1,SUM(AO$7:AO1338),"")</f>
        <v/>
      </c>
    </row>
    <row r="1339" customFormat="false" ht="15" hidden="false" customHeight="false" outlineLevel="0" collapsed="false">
      <c r="A1339" s="78" t="str">
        <f aca="false">IF(E1339="","",ROW()-6)</f>
        <v/>
      </c>
      <c r="B1339" s="79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0"/>
      <c r="P1339" s="81"/>
      <c r="Q1339" s="81"/>
      <c r="R1339" s="80"/>
      <c r="S1339" s="80"/>
      <c r="T1339" s="81"/>
      <c r="U1339" s="80"/>
      <c r="V1339" s="80"/>
      <c r="W1339" s="80"/>
      <c r="X1339" s="80"/>
      <c r="Y1339" s="81"/>
      <c r="Z1339" s="80"/>
      <c r="AA1339" s="80"/>
      <c r="AB1339" s="80"/>
      <c r="AC1339" s="80"/>
      <c r="AD1339" s="81"/>
      <c r="AE1339" s="80"/>
      <c r="AF1339" s="80"/>
      <c r="AG1339" s="81"/>
      <c r="AH1339" s="79"/>
      <c r="AI1339" s="78" t="str">
        <f aca="false">IF(E1339="","",(V1339&lt;&gt;"")+(AA1339&lt;&gt;"")+(AF1339&lt;&gt;""))</f>
        <v/>
      </c>
      <c r="AJ1339" s="82" t="str">
        <f aca="false">IF(AF1339&lt;&gt;"",AF1339,IF(AA1339&lt;&gt;"",AA1339,IF(V1339&lt;&gt;"",V1339,"")))</f>
        <v/>
      </c>
      <c r="AK1339" s="83" t="str">
        <f aca="false">IF(E1339="","",IF(P1339="","À SOUDER",IF(S1339="","VT EN ATTENTE",IF(S1339="R","VT REJETÉ – À REPRENDRE",IF(AJ1339="","À RADIOGRAPHIER",IF(AJ1339="A","ACCEPTÉ",IF(AJ1339="NX","NX – RT À REFAIRE",IF(IF(AI1339=1,X1339,IF(AI1339=2,AC1339,""))="A","RÉPARÉ – À RADIOGRAPHIER",IF(IF(AI1339=1,X1339,IF(AI1339=2,AC1339,""))="R","VT REJETÉ – À REPRENDRE",IF(AJ1339="CO","COUPE – À RESOUDER","À RÉPARER"))))))))))</f>
        <v/>
      </c>
      <c r="AL1339" s="82" t="str">
        <f aca="false">IF(AND(ISNUMBER(P1339),OR(AK1339="À RADIOGRAPHIER",AK1339="RÉPARÉ – À RADIOGRAPHIER",AK1339="NX – RT À REFAIRE",AK1339="À RÉPARER",AK1339="COUPE – À RESOUDER",AK1339="VT REJETÉ – À REPRENDRE")),MAX(0,'PROGRAMME RT'!$C$4-P1339),"")</f>
        <v/>
      </c>
      <c r="AM1339" s="78" t="n">
        <f aca="false">IF(AND(OR(AK1339="À RADIOGRAPHIER",AK1339="RÉPARÉ – À RADIOGRAPHIER",AK1339="NX – RT À REFAIRE"),OR('PROGRAMME RT'!$D$5="TOUTES",B1339='PROGRAMME RT'!$D$5)),1,0)</f>
        <v>0</v>
      </c>
      <c r="AN1339" s="78" t="str">
        <f aca="false">IF(AM1339=1,SUM(AM$7:AM1339),"")</f>
        <v/>
      </c>
      <c r="AO1339" s="78" t="n">
        <f aca="false">IF(AND(OR(AK1339="À RÉPARER",AK1339="COUPE – À RESOUDER",AK1339="VT REJETÉ – À REPRENDRE"),OR(RÉPARATIONS!$D$5="TOUTES",B1339=RÉPARATIONS!$D$5)),1,0)</f>
        <v>0</v>
      </c>
      <c r="AP1339" s="78" t="str">
        <f aca="false">IF(AO1339=1,SUM(AO$7:AO1339),"")</f>
        <v/>
      </c>
    </row>
    <row r="1340" customFormat="false" ht="15" hidden="false" customHeight="false" outlineLevel="0" collapsed="false">
      <c r="A1340" s="78" t="str">
        <f aca="false">IF(E1340="","",ROW()-6)</f>
        <v/>
      </c>
      <c r="B1340" s="79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0"/>
      <c r="P1340" s="81"/>
      <c r="Q1340" s="81"/>
      <c r="R1340" s="80"/>
      <c r="S1340" s="80"/>
      <c r="T1340" s="81"/>
      <c r="U1340" s="80"/>
      <c r="V1340" s="80"/>
      <c r="W1340" s="80"/>
      <c r="X1340" s="80"/>
      <c r="Y1340" s="81"/>
      <c r="Z1340" s="80"/>
      <c r="AA1340" s="80"/>
      <c r="AB1340" s="80"/>
      <c r="AC1340" s="80"/>
      <c r="AD1340" s="81"/>
      <c r="AE1340" s="80"/>
      <c r="AF1340" s="80"/>
      <c r="AG1340" s="81"/>
      <c r="AH1340" s="79"/>
      <c r="AI1340" s="78" t="str">
        <f aca="false">IF(E1340="","",(V1340&lt;&gt;"")+(AA1340&lt;&gt;"")+(AF1340&lt;&gt;""))</f>
        <v/>
      </c>
      <c r="AJ1340" s="82" t="str">
        <f aca="false">IF(AF1340&lt;&gt;"",AF1340,IF(AA1340&lt;&gt;"",AA1340,IF(V1340&lt;&gt;"",V1340,"")))</f>
        <v/>
      </c>
      <c r="AK1340" s="83" t="str">
        <f aca="false">IF(E1340="","",IF(P1340="","À SOUDER",IF(S1340="","VT EN ATTENTE",IF(S1340="R","VT REJETÉ – À REPRENDRE",IF(AJ1340="","À RADIOGRAPHIER",IF(AJ1340="A","ACCEPTÉ",IF(AJ1340="NX","NX – RT À REFAIRE",IF(IF(AI1340=1,X1340,IF(AI1340=2,AC1340,""))="A","RÉPARÉ – À RADIOGRAPHIER",IF(IF(AI1340=1,X1340,IF(AI1340=2,AC1340,""))="R","VT REJETÉ – À REPRENDRE",IF(AJ1340="CO","COUPE – À RESOUDER","À RÉPARER"))))))))))</f>
        <v/>
      </c>
      <c r="AL1340" s="82" t="str">
        <f aca="false">IF(AND(ISNUMBER(P1340),OR(AK1340="À RADIOGRAPHIER",AK1340="RÉPARÉ – À RADIOGRAPHIER",AK1340="NX – RT À REFAIRE",AK1340="À RÉPARER",AK1340="COUPE – À RESOUDER",AK1340="VT REJETÉ – À REPRENDRE")),MAX(0,'PROGRAMME RT'!$C$4-P1340),"")</f>
        <v/>
      </c>
      <c r="AM1340" s="78" t="n">
        <f aca="false">IF(AND(OR(AK1340="À RADIOGRAPHIER",AK1340="RÉPARÉ – À RADIOGRAPHIER",AK1340="NX – RT À REFAIRE"),OR('PROGRAMME RT'!$D$5="TOUTES",B1340='PROGRAMME RT'!$D$5)),1,0)</f>
        <v>0</v>
      </c>
      <c r="AN1340" s="78" t="str">
        <f aca="false">IF(AM1340=1,SUM(AM$7:AM1340),"")</f>
        <v/>
      </c>
      <c r="AO1340" s="78" t="n">
        <f aca="false">IF(AND(OR(AK1340="À RÉPARER",AK1340="COUPE – À RESOUDER",AK1340="VT REJETÉ – À REPRENDRE"),OR(RÉPARATIONS!$D$5="TOUTES",B1340=RÉPARATIONS!$D$5)),1,0)</f>
        <v>0</v>
      </c>
      <c r="AP1340" s="78" t="str">
        <f aca="false">IF(AO1340=1,SUM(AO$7:AO1340),"")</f>
        <v/>
      </c>
    </row>
    <row r="1341" customFormat="false" ht="15" hidden="false" customHeight="false" outlineLevel="0" collapsed="false">
      <c r="A1341" s="78" t="str">
        <f aca="false">IF(E1341="","",ROW()-6)</f>
        <v/>
      </c>
      <c r="B1341" s="79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0"/>
      <c r="P1341" s="81"/>
      <c r="Q1341" s="81"/>
      <c r="R1341" s="80"/>
      <c r="S1341" s="80"/>
      <c r="T1341" s="81"/>
      <c r="U1341" s="80"/>
      <c r="V1341" s="80"/>
      <c r="W1341" s="80"/>
      <c r="X1341" s="80"/>
      <c r="Y1341" s="81"/>
      <c r="Z1341" s="80"/>
      <c r="AA1341" s="80"/>
      <c r="AB1341" s="80"/>
      <c r="AC1341" s="80"/>
      <c r="AD1341" s="81"/>
      <c r="AE1341" s="80"/>
      <c r="AF1341" s="80"/>
      <c r="AG1341" s="81"/>
      <c r="AH1341" s="79"/>
      <c r="AI1341" s="78" t="str">
        <f aca="false">IF(E1341="","",(V1341&lt;&gt;"")+(AA1341&lt;&gt;"")+(AF1341&lt;&gt;""))</f>
        <v/>
      </c>
      <c r="AJ1341" s="82" t="str">
        <f aca="false">IF(AF1341&lt;&gt;"",AF1341,IF(AA1341&lt;&gt;"",AA1341,IF(V1341&lt;&gt;"",V1341,"")))</f>
        <v/>
      </c>
      <c r="AK1341" s="83" t="str">
        <f aca="false">IF(E1341="","",IF(P1341="","À SOUDER",IF(S1341="","VT EN ATTENTE",IF(S1341="R","VT REJETÉ – À REPRENDRE",IF(AJ1341="","À RADIOGRAPHIER",IF(AJ1341="A","ACCEPTÉ",IF(AJ1341="NX","NX – RT À REFAIRE",IF(IF(AI1341=1,X1341,IF(AI1341=2,AC1341,""))="A","RÉPARÉ – À RADIOGRAPHIER",IF(IF(AI1341=1,X1341,IF(AI1341=2,AC1341,""))="R","VT REJETÉ – À REPRENDRE",IF(AJ1341="CO","COUPE – À RESOUDER","À RÉPARER"))))))))))</f>
        <v/>
      </c>
      <c r="AL1341" s="82" t="str">
        <f aca="false">IF(AND(ISNUMBER(P1341),OR(AK1341="À RADIOGRAPHIER",AK1341="RÉPARÉ – À RADIOGRAPHIER",AK1341="NX – RT À REFAIRE",AK1341="À RÉPARER",AK1341="COUPE – À RESOUDER",AK1341="VT REJETÉ – À REPRENDRE")),MAX(0,'PROGRAMME RT'!$C$4-P1341),"")</f>
        <v/>
      </c>
      <c r="AM1341" s="78" t="n">
        <f aca="false">IF(AND(OR(AK1341="À RADIOGRAPHIER",AK1341="RÉPARÉ – À RADIOGRAPHIER",AK1341="NX – RT À REFAIRE"),OR('PROGRAMME RT'!$D$5="TOUTES",B1341='PROGRAMME RT'!$D$5)),1,0)</f>
        <v>0</v>
      </c>
      <c r="AN1341" s="78" t="str">
        <f aca="false">IF(AM1341=1,SUM(AM$7:AM1341),"")</f>
        <v/>
      </c>
      <c r="AO1341" s="78" t="n">
        <f aca="false">IF(AND(OR(AK1341="À RÉPARER",AK1341="COUPE – À RESOUDER",AK1341="VT REJETÉ – À REPRENDRE"),OR(RÉPARATIONS!$D$5="TOUTES",B1341=RÉPARATIONS!$D$5)),1,0)</f>
        <v>0</v>
      </c>
      <c r="AP1341" s="78" t="str">
        <f aca="false">IF(AO1341=1,SUM(AO$7:AO1341),"")</f>
        <v/>
      </c>
    </row>
    <row r="1342" customFormat="false" ht="15" hidden="false" customHeight="false" outlineLevel="0" collapsed="false">
      <c r="A1342" s="78" t="str">
        <f aca="false">IF(E1342="","",ROW()-6)</f>
        <v/>
      </c>
      <c r="B1342" s="79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0"/>
      <c r="P1342" s="81"/>
      <c r="Q1342" s="81"/>
      <c r="R1342" s="80"/>
      <c r="S1342" s="80"/>
      <c r="T1342" s="81"/>
      <c r="U1342" s="80"/>
      <c r="V1342" s="80"/>
      <c r="W1342" s="80"/>
      <c r="X1342" s="80"/>
      <c r="Y1342" s="81"/>
      <c r="Z1342" s="80"/>
      <c r="AA1342" s="80"/>
      <c r="AB1342" s="80"/>
      <c r="AC1342" s="80"/>
      <c r="AD1342" s="81"/>
      <c r="AE1342" s="80"/>
      <c r="AF1342" s="80"/>
      <c r="AG1342" s="81"/>
      <c r="AH1342" s="79"/>
      <c r="AI1342" s="78" t="str">
        <f aca="false">IF(E1342="","",(V1342&lt;&gt;"")+(AA1342&lt;&gt;"")+(AF1342&lt;&gt;""))</f>
        <v/>
      </c>
      <c r="AJ1342" s="82" t="str">
        <f aca="false">IF(AF1342&lt;&gt;"",AF1342,IF(AA1342&lt;&gt;"",AA1342,IF(V1342&lt;&gt;"",V1342,"")))</f>
        <v/>
      </c>
      <c r="AK1342" s="83" t="str">
        <f aca="false">IF(E1342="","",IF(P1342="","À SOUDER",IF(S1342="","VT EN ATTENTE",IF(S1342="R","VT REJETÉ – À REPRENDRE",IF(AJ1342="","À RADIOGRAPHIER",IF(AJ1342="A","ACCEPTÉ",IF(AJ1342="NX","NX – RT À REFAIRE",IF(IF(AI1342=1,X1342,IF(AI1342=2,AC1342,""))="A","RÉPARÉ – À RADIOGRAPHIER",IF(IF(AI1342=1,X1342,IF(AI1342=2,AC1342,""))="R","VT REJETÉ – À REPRENDRE",IF(AJ1342="CO","COUPE – À RESOUDER","À RÉPARER"))))))))))</f>
        <v/>
      </c>
      <c r="AL1342" s="82" t="str">
        <f aca="false">IF(AND(ISNUMBER(P1342),OR(AK1342="À RADIOGRAPHIER",AK1342="RÉPARÉ – À RADIOGRAPHIER",AK1342="NX – RT À REFAIRE",AK1342="À RÉPARER",AK1342="COUPE – À RESOUDER",AK1342="VT REJETÉ – À REPRENDRE")),MAX(0,'PROGRAMME RT'!$C$4-P1342),"")</f>
        <v/>
      </c>
      <c r="AM1342" s="78" t="n">
        <f aca="false">IF(AND(OR(AK1342="À RADIOGRAPHIER",AK1342="RÉPARÉ – À RADIOGRAPHIER",AK1342="NX – RT À REFAIRE"),OR('PROGRAMME RT'!$D$5="TOUTES",B1342='PROGRAMME RT'!$D$5)),1,0)</f>
        <v>0</v>
      </c>
      <c r="AN1342" s="78" t="str">
        <f aca="false">IF(AM1342=1,SUM(AM$7:AM1342),"")</f>
        <v/>
      </c>
      <c r="AO1342" s="78" t="n">
        <f aca="false">IF(AND(OR(AK1342="À RÉPARER",AK1342="COUPE – À RESOUDER",AK1342="VT REJETÉ – À REPRENDRE"),OR(RÉPARATIONS!$D$5="TOUTES",B1342=RÉPARATIONS!$D$5)),1,0)</f>
        <v>0</v>
      </c>
      <c r="AP1342" s="78" t="str">
        <f aca="false">IF(AO1342=1,SUM(AO$7:AO1342),"")</f>
        <v/>
      </c>
    </row>
    <row r="1343" customFormat="false" ht="15" hidden="false" customHeight="false" outlineLevel="0" collapsed="false">
      <c r="A1343" s="78" t="str">
        <f aca="false">IF(E1343="","",ROW()-6)</f>
        <v/>
      </c>
      <c r="B1343" s="79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0"/>
      <c r="P1343" s="81"/>
      <c r="Q1343" s="81"/>
      <c r="R1343" s="80"/>
      <c r="S1343" s="80"/>
      <c r="T1343" s="81"/>
      <c r="U1343" s="80"/>
      <c r="V1343" s="80"/>
      <c r="W1343" s="80"/>
      <c r="X1343" s="80"/>
      <c r="Y1343" s="81"/>
      <c r="Z1343" s="80"/>
      <c r="AA1343" s="80"/>
      <c r="AB1343" s="80"/>
      <c r="AC1343" s="80"/>
      <c r="AD1343" s="81"/>
      <c r="AE1343" s="80"/>
      <c r="AF1343" s="80"/>
      <c r="AG1343" s="81"/>
      <c r="AH1343" s="79"/>
      <c r="AI1343" s="78" t="str">
        <f aca="false">IF(E1343="","",(V1343&lt;&gt;"")+(AA1343&lt;&gt;"")+(AF1343&lt;&gt;""))</f>
        <v/>
      </c>
      <c r="AJ1343" s="82" t="str">
        <f aca="false">IF(AF1343&lt;&gt;"",AF1343,IF(AA1343&lt;&gt;"",AA1343,IF(V1343&lt;&gt;"",V1343,"")))</f>
        <v/>
      </c>
      <c r="AK1343" s="83" t="str">
        <f aca="false">IF(E1343="","",IF(P1343="","À SOUDER",IF(S1343="","VT EN ATTENTE",IF(S1343="R","VT REJETÉ – À REPRENDRE",IF(AJ1343="","À RADIOGRAPHIER",IF(AJ1343="A","ACCEPTÉ",IF(AJ1343="NX","NX – RT À REFAIRE",IF(IF(AI1343=1,X1343,IF(AI1343=2,AC1343,""))="A","RÉPARÉ – À RADIOGRAPHIER",IF(IF(AI1343=1,X1343,IF(AI1343=2,AC1343,""))="R","VT REJETÉ – À REPRENDRE",IF(AJ1343="CO","COUPE – À RESOUDER","À RÉPARER"))))))))))</f>
        <v/>
      </c>
      <c r="AL1343" s="82" t="str">
        <f aca="false">IF(AND(ISNUMBER(P1343),OR(AK1343="À RADIOGRAPHIER",AK1343="RÉPARÉ – À RADIOGRAPHIER",AK1343="NX – RT À REFAIRE",AK1343="À RÉPARER",AK1343="COUPE – À RESOUDER",AK1343="VT REJETÉ – À REPRENDRE")),MAX(0,'PROGRAMME RT'!$C$4-P1343),"")</f>
        <v/>
      </c>
      <c r="AM1343" s="78" t="n">
        <f aca="false">IF(AND(OR(AK1343="À RADIOGRAPHIER",AK1343="RÉPARÉ – À RADIOGRAPHIER",AK1343="NX – RT À REFAIRE"),OR('PROGRAMME RT'!$D$5="TOUTES",B1343='PROGRAMME RT'!$D$5)),1,0)</f>
        <v>0</v>
      </c>
      <c r="AN1343" s="78" t="str">
        <f aca="false">IF(AM1343=1,SUM(AM$7:AM1343),"")</f>
        <v/>
      </c>
      <c r="AO1343" s="78" t="n">
        <f aca="false">IF(AND(OR(AK1343="À RÉPARER",AK1343="COUPE – À RESOUDER",AK1343="VT REJETÉ – À REPRENDRE"),OR(RÉPARATIONS!$D$5="TOUTES",B1343=RÉPARATIONS!$D$5)),1,0)</f>
        <v>0</v>
      </c>
      <c r="AP1343" s="78" t="str">
        <f aca="false">IF(AO1343=1,SUM(AO$7:AO1343),"")</f>
        <v/>
      </c>
    </row>
    <row r="1344" customFormat="false" ht="15" hidden="false" customHeight="false" outlineLevel="0" collapsed="false">
      <c r="A1344" s="78" t="str">
        <f aca="false">IF(E1344="","",ROW()-6)</f>
        <v/>
      </c>
      <c r="B1344" s="79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0"/>
      <c r="P1344" s="81"/>
      <c r="Q1344" s="81"/>
      <c r="R1344" s="80"/>
      <c r="S1344" s="80"/>
      <c r="T1344" s="81"/>
      <c r="U1344" s="80"/>
      <c r="V1344" s="80"/>
      <c r="W1344" s="80"/>
      <c r="X1344" s="80"/>
      <c r="Y1344" s="81"/>
      <c r="Z1344" s="80"/>
      <c r="AA1344" s="80"/>
      <c r="AB1344" s="80"/>
      <c r="AC1344" s="80"/>
      <c r="AD1344" s="81"/>
      <c r="AE1344" s="80"/>
      <c r="AF1344" s="80"/>
      <c r="AG1344" s="81"/>
      <c r="AH1344" s="79"/>
      <c r="AI1344" s="78" t="str">
        <f aca="false">IF(E1344="","",(V1344&lt;&gt;"")+(AA1344&lt;&gt;"")+(AF1344&lt;&gt;""))</f>
        <v/>
      </c>
      <c r="AJ1344" s="82" t="str">
        <f aca="false">IF(AF1344&lt;&gt;"",AF1344,IF(AA1344&lt;&gt;"",AA1344,IF(V1344&lt;&gt;"",V1344,"")))</f>
        <v/>
      </c>
      <c r="AK1344" s="83" t="str">
        <f aca="false">IF(E1344="","",IF(P1344="","À SOUDER",IF(S1344="","VT EN ATTENTE",IF(S1344="R","VT REJETÉ – À REPRENDRE",IF(AJ1344="","À RADIOGRAPHIER",IF(AJ1344="A","ACCEPTÉ",IF(AJ1344="NX","NX – RT À REFAIRE",IF(IF(AI1344=1,X1344,IF(AI1344=2,AC1344,""))="A","RÉPARÉ – À RADIOGRAPHIER",IF(IF(AI1344=1,X1344,IF(AI1344=2,AC1344,""))="R","VT REJETÉ – À REPRENDRE",IF(AJ1344="CO","COUPE – À RESOUDER","À RÉPARER"))))))))))</f>
        <v/>
      </c>
      <c r="AL1344" s="82" t="str">
        <f aca="false">IF(AND(ISNUMBER(P1344),OR(AK1344="À RADIOGRAPHIER",AK1344="RÉPARÉ – À RADIOGRAPHIER",AK1344="NX – RT À REFAIRE",AK1344="À RÉPARER",AK1344="COUPE – À RESOUDER",AK1344="VT REJETÉ – À REPRENDRE")),MAX(0,'PROGRAMME RT'!$C$4-P1344),"")</f>
        <v/>
      </c>
      <c r="AM1344" s="78" t="n">
        <f aca="false">IF(AND(OR(AK1344="À RADIOGRAPHIER",AK1344="RÉPARÉ – À RADIOGRAPHIER",AK1344="NX – RT À REFAIRE"),OR('PROGRAMME RT'!$D$5="TOUTES",B1344='PROGRAMME RT'!$D$5)),1,0)</f>
        <v>0</v>
      </c>
      <c r="AN1344" s="78" t="str">
        <f aca="false">IF(AM1344=1,SUM(AM$7:AM1344),"")</f>
        <v/>
      </c>
      <c r="AO1344" s="78" t="n">
        <f aca="false">IF(AND(OR(AK1344="À RÉPARER",AK1344="COUPE – À RESOUDER",AK1344="VT REJETÉ – À REPRENDRE"),OR(RÉPARATIONS!$D$5="TOUTES",B1344=RÉPARATIONS!$D$5)),1,0)</f>
        <v>0</v>
      </c>
      <c r="AP1344" s="78" t="str">
        <f aca="false">IF(AO1344=1,SUM(AO$7:AO1344),"")</f>
        <v/>
      </c>
    </row>
    <row r="1345" customFormat="false" ht="15" hidden="false" customHeight="false" outlineLevel="0" collapsed="false">
      <c r="A1345" s="78" t="str">
        <f aca="false">IF(E1345="","",ROW()-6)</f>
        <v/>
      </c>
      <c r="B1345" s="79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0"/>
      <c r="P1345" s="81"/>
      <c r="Q1345" s="81"/>
      <c r="R1345" s="80"/>
      <c r="S1345" s="80"/>
      <c r="T1345" s="81"/>
      <c r="U1345" s="80"/>
      <c r="V1345" s="80"/>
      <c r="W1345" s="80"/>
      <c r="X1345" s="80"/>
      <c r="Y1345" s="81"/>
      <c r="Z1345" s="80"/>
      <c r="AA1345" s="80"/>
      <c r="AB1345" s="80"/>
      <c r="AC1345" s="80"/>
      <c r="AD1345" s="81"/>
      <c r="AE1345" s="80"/>
      <c r="AF1345" s="80"/>
      <c r="AG1345" s="81"/>
      <c r="AH1345" s="79"/>
      <c r="AI1345" s="78" t="str">
        <f aca="false">IF(E1345="","",(V1345&lt;&gt;"")+(AA1345&lt;&gt;"")+(AF1345&lt;&gt;""))</f>
        <v/>
      </c>
      <c r="AJ1345" s="82" t="str">
        <f aca="false">IF(AF1345&lt;&gt;"",AF1345,IF(AA1345&lt;&gt;"",AA1345,IF(V1345&lt;&gt;"",V1345,"")))</f>
        <v/>
      </c>
      <c r="AK1345" s="83" t="str">
        <f aca="false">IF(E1345="","",IF(P1345="","À SOUDER",IF(S1345="","VT EN ATTENTE",IF(S1345="R","VT REJETÉ – À REPRENDRE",IF(AJ1345="","À RADIOGRAPHIER",IF(AJ1345="A","ACCEPTÉ",IF(AJ1345="NX","NX – RT À REFAIRE",IF(IF(AI1345=1,X1345,IF(AI1345=2,AC1345,""))="A","RÉPARÉ – À RADIOGRAPHIER",IF(IF(AI1345=1,X1345,IF(AI1345=2,AC1345,""))="R","VT REJETÉ – À REPRENDRE",IF(AJ1345="CO","COUPE – À RESOUDER","À RÉPARER"))))))))))</f>
        <v/>
      </c>
      <c r="AL1345" s="82" t="str">
        <f aca="false">IF(AND(ISNUMBER(P1345),OR(AK1345="À RADIOGRAPHIER",AK1345="RÉPARÉ – À RADIOGRAPHIER",AK1345="NX – RT À REFAIRE",AK1345="À RÉPARER",AK1345="COUPE – À RESOUDER",AK1345="VT REJETÉ – À REPRENDRE")),MAX(0,'PROGRAMME RT'!$C$4-P1345),"")</f>
        <v/>
      </c>
      <c r="AM1345" s="78" t="n">
        <f aca="false">IF(AND(OR(AK1345="À RADIOGRAPHIER",AK1345="RÉPARÉ – À RADIOGRAPHIER",AK1345="NX – RT À REFAIRE"),OR('PROGRAMME RT'!$D$5="TOUTES",B1345='PROGRAMME RT'!$D$5)),1,0)</f>
        <v>0</v>
      </c>
      <c r="AN1345" s="78" t="str">
        <f aca="false">IF(AM1345=1,SUM(AM$7:AM1345),"")</f>
        <v/>
      </c>
      <c r="AO1345" s="78" t="n">
        <f aca="false">IF(AND(OR(AK1345="À RÉPARER",AK1345="COUPE – À RESOUDER",AK1345="VT REJETÉ – À REPRENDRE"),OR(RÉPARATIONS!$D$5="TOUTES",B1345=RÉPARATIONS!$D$5)),1,0)</f>
        <v>0</v>
      </c>
      <c r="AP1345" s="78" t="str">
        <f aca="false">IF(AO1345=1,SUM(AO$7:AO1345),"")</f>
        <v/>
      </c>
    </row>
    <row r="1346" customFormat="false" ht="15" hidden="false" customHeight="false" outlineLevel="0" collapsed="false">
      <c r="A1346" s="78" t="str">
        <f aca="false">IF(E1346="","",ROW()-6)</f>
        <v/>
      </c>
      <c r="B1346" s="79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0"/>
      <c r="P1346" s="81"/>
      <c r="Q1346" s="81"/>
      <c r="R1346" s="80"/>
      <c r="S1346" s="80"/>
      <c r="T1346" s="81"/>
      <c r="U1346" s="80"/>
      <c r="V1346" s="80"/>
      <c r="W1346" s="80"/>
      <c r="X1346" s="80"/>
      <c r="Y1346" s="81"/>
      <c r="Z1346" s="80"/>
      <c r="AA1346" s="80"/>
      <c r="AB1346" s="80"/>
      <c r="AC1346" s="80"/>
      <c r="AD1346" s="81"/>
      <c r="AE1346" s="80"/>
      <c r="AF1346" s="80"/>
      <c r="AG1346" s="81"/>
      <c r="AH1346" s="79"/>
      <c r="AI1346" s="78" t="str">
        <f aca="false">IF(E1346="","",(V1346&lt;&gt;"")+(AA1346&lt;&gt;"")+(AF1346&lt;&gt;""))</f>
        <v/>
      </c>
      <c r="AJ1346" s="82" t="str">
        <f aca="false">IF(AF1346&lt;&gt;"",AF1346,IF(AA1346&lt;&gt;"",AA1346,IF(V1346&lt;&gt;"",V1346,"")))</f>
        <v/>
      </c>
      <c r="AK1346" s="83" t="str">
        <f aca="false">IF(E1346="","",IF(P1346="","À SOUDER",IF(S1346="","VT EN ATTENTE",IF(S1346="R","VT REJETÉ – À REPRENDRE",IF(AJ1346="","À RADIOGRAPHIER",IF(AJ1346="A","ACCEPTÉ",IF(AJ1346="NX","NX – RT À REFAIRE",IF(IF(AI1346=1,X1346,IF(AI1346=2,AC1346,""))="A","RÉPARÉ – À RADIOGRAPHIER",IF(IF(AI1346=1,X1346,IF(AI1346=2,AC1346,""))="R","VT REJETÉ – À REPRENDRE",IF(AJ1346="CO","COUPE – À RESOUDER","À RÉPARER"))))))))))</f>
        <v/>
      </c>
      <c r="AL1346" s="82" t="str">
        <f aca="false">IF(AND(ISNUMBER(P1346),OR(AK1346="À RADIOGRAPHIER",AK1346="RÉPARÉ – À RADIOGRAPHIER",AK1346="NX – RT À REFAIRE",AK1346="À RÉPARER",AK1346="COUPE – À RESOUDER",AK1346="VT REJETÉ – À REPRENDRE")),MAX(0,'PROGRAMME RT'!$C$4-P1346),"")</f>
        <v/>
      </c>
      <c r="AM1346" s="78" t="n">
        <f aca="false">IF(AND(OR(AK1346="À RADIOGRAPHIER",AK1346="RÉPARÉ – À RADIOGRAPHIER",AK1346="NX – RT À REFAIRE"),OR('PROGRAMME RT'!$D$5="TOUTES",B1346='PROGRAMME RT'!$D$5)),1,0)</f>
        <v>0</v>
      </c>
      <c r="AN1346" s="78" t="str">
        <f aca="false">IF(AM1346=1,SUM(AM$7:AM1346),"")</f>
        <v/>
      </c>
      <c r="AO1346" s="78" t="n">
        <f aca="false">IF(AND(OR(AK1346="À RÉPARER",AK1346="COUPE – À RESOUDER",AK1346="VT REJETÉ – À REPRENDRE"),OR(RÉPARATIONS!$D$5="TOUTES",B1346=RÉPARATIONS!$D$5)),1,0)</f>
        <v>0</v>
      </c>
      <c r="AP1346" s="78" t="str">
        <f aca="false">IF(AO1346=1,SUM(AO$7:AO1346),"")</f>
        <v/>
      </c>
    </row>
    <row r="1347" customFormat="false" ht="15" hidden="false" customHeight="false" outlineLevel="0" collapsed="false">
      <c r="A1347" s="78" t="str">
        <f aca="false">IF(E1347="","",ROW()-6)</f>
        <v/>
      </c>
      <c r="B1347" s="79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0"/>
      <c r="P1347" s="81"/>
      <c r="Q1347" s="81"/>
      <c r="R1347" s="80"/>
      <c r="S1347" s="80"/>
      <c r="T1347" s="81"/>
      <c r="U1347" s="80"/>
      <c r="V1347" s="80"/>
      <c r="W1347" s="80"/>
      <c r="X1347" s="80"/>
      <c r="Y1347" s="81"/>
      <c r="Z1347" s="80"/>
      <c r="AA1347" s="80"/>
      <c r="AB1347" s="80"/>
      <c r="AC1347" s="80"/>
      <c r="AD1347" s="81"/>
      <c r="AE1347" s="80"/>
      <c r="AF1347" s="80"/>
      <c r="AG1347" s="81"/>
      <c r="AH1347" s="79"/>
      <c r="AI1347" s="78" t="str">
        <f aca="false">IF(E1347="","",(V1347&lt;&gt;"")+(AA1347&lt;&gt;"")+(AF1347&lt;&gt;""))</f>
        <v/>
      </c>
      <c r="AJ1347" s="82" t="str">
        <f aca="false">IF(AF1347&lt;&gt;"",AF1347,IF(AA1347&lt;&gt;"",AA1347,IF(V1347&lt;&gt;"",V1347,"")))</f>
        <v/>
      </c>
      <c r="AK1347" s="83" t="str">
        <f aca="false">IF(E1347="","",IF(P1347="","À SOUDER",IF(S1347="","VT EN ATTENTE",IF(S1347="R","VT REJETÉ – À REPRENDRE",IF(AJ1347="","À RADIOGRAPHIER",IF(AJ1347="A","ACCEPTÉ",IF(AJ1347="NX","NX – RT À REFAIRE",IF(IF(AI1347=1,X1347,IF(AI1347=2,AC1347,""))="A","RÉPARÉ – À RADIOGRAPHIER",IF(IF(AI1347=1,X1347,IF(AI1347=2,AC1347,""))="R","VT REJETÉ – À REPRENDRE",IF(AJ1347="CO","COUPE – À RESOUDER","À RÉPARER"))))))))))</f>
        <v/>
      </c>
      <c r="AL1347" s="82" t="str">
        <f aca="false">IF(AND(ISNUMBER(P1347),OR(AK1347="À RADIOGRAPHIER",AK1347="RÉPARÉ – À RADIOGRAPHIER",AK1347="NX – RT À REFAIRE",AK1347="À RÉPARER",AK1347="COUPE – À RESOUDER",AK1347="VT REJETÉ – À REPRENDRE")),MAX(0,'PROGRAMME RT'!$C$4-P1347),"")</f>
        <v/>
      </c>
      <c r="AM1347" s="78" t="n">
        <f aca="false">IF(AND(OR(AK1347="À RADIOGRAPHIER",AK1347="RÉPARÉ – À RADIOGRAPHIER",AK1347="NX – RT À REFAIRE"),OR('PROGRAMME RT'!$D$5="TOUTES",B1347='PROGRAMME RT'!$D$5)),1,0)</f>
        <v>0</v>
      </c>
      <c r="AN1347" s="78" t="str">
        <f aca="false">IF(AM1347=1,SUM(AM$7:AM1347),"")</f>
        <v/>
      </c>
      <c r="AO1347" s="78" t="n">
        <f aca="false">IF(AND(OR(AK1347="À RÉPARER",AK1347="COUPE – À RESOUDER",AK1347="VT REJETÉ – À REPRENDRE"),OR(RÉPARATIONS!$D$5="TOUTES",B1347=RÉPARATIONS!$D$5)),1,0)</f>
        <v>0</v>
      </c>
      <c r="AP1347" s="78" t="str">
        <f aca="false">IF(AO1347=1,SUM(AO$7:AO1347),"")</f>
        <v/>
      </c>
    </row>
    <row r="1348" customFormat="false" ht="15" hidden="false" customHeight="false" outlineLevel="0" collapsed="false">
      <c r="A1348" s="78" t="str">
        <f aca="false">IF(E1348="","",ROW()-6)</f>
        <v/>
      </c>
      <c r="B1348" s="79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0"/>
      <c r="P1348" s="81"/>
      <c r="Q1348" s="81"/>
      <c r="R1348" s="80"/>
      <c r="S1348" s="80"/>
      <c r="T1348" s="81"/>
      <c r="U1348" s="80"/>
      <c r="V1348" s="80"/>
      <c r="W1348" s="80"/>
      <c r="X1348" s="80"/>
      <c r="Y1348" s="81"/>
      <c r="Z1348" s="80"/>
      <c r="AA1348" s="80"/>
      <c r="AB1348" s="80"/>
      <c r="AC1348" s="80"/>
      <c r="AD1348" s="81"/>
      <c r="AE1348" s="80"/>
      <c r="AF1348" s="80"/>
      <c r="AG1348" s="81"/>
      <c r="AH1348" s="79"/>
      <c r="AI1348" s="78" t="str">
        <f aca="false">IF(E1348="","",(V1348&lt;&gt;"")+(AA1348&lt;&gt;"")+(AF1348&lt;&gt;""))</f>
        <v/>
      </c>
      <c r="AJ1348" s="82" t="str">
        <f aca="false">IF(AF1348&lt;&gt;"",AF1348,IF(AA1348&lt;&gt;"",AA1348,IF(V1348&lt;&gt;"",V1348,"")))</f>
        <v/>
      </c>
      <c r="AK1348" s="83" t="str">
        <f aca="false">IF(E1348="","",IF(P1348="","À SOUDER",IF(S1348="","VT EN ATTENTE",IF(S1348="R","VT REJETÉ – À REPRENDRE",IF(AJ1348="","À RADIOGRAPHIER",IF(AJ1348="A","ACCEPTÉ",IF(AJ1348="NX","NX – RT À REFAIRE",IF(IF(AI1348=1,X1348,IF(AI1348=2,AC1348,""))="A","RÉPARÉ – À RADIOGRAPHIER",IF(IF(AI1348=1,X1348,IF(AI1348=2,AC1348,""))="R","VT REJETÉ – À REPRENDRE",IF(AJ1348="CO","COUPE – À RESOUDER","À RÉPARER"))))))))))</f>
        <v/>
      </c>
      <c r="AL1348" s="82" t="str">
        <f aca="false">IF(AND(ISNUMBER(P1348),OR(AK1348="À RADIOGRAPHIER",AK1348="RÉPARÉ – À RADIOGRAPHIER",AK1348="NX – RT À REFAIRE",AK1348="À RÉPARER",AK1348="COUPE – À RESOUDER",AK1348="VT REJETÉ – À REPRENDRE")),MAX(0,'PROGRAMME RT'!$C$4-P1348),"")</f>
        <v/>
      </c>
      <c r="AM1348" s="78" t="n">
        <f aca="false">IF(AND(OR(AK1348="À RADIOGRAPHIER",AK1348="RÉPARÉ – À RADIOGRAPHIER",AK1348="NX – RT À REFAIRE"),OR('PROGRAMME RT'!$D$5="TOUTES",B1348='PROGRAMME RT'!$D$5)),1,0)</f>
        <v>0</v>
      </c>
      <c r="AN1348" s="78" t="str">
        <f aca="false">IF(AM1348=1,SUM(AM$7:AM1348),"")</f>
        <v/>
      </c>
      <c r="AO1348" s="78" t="n">
        <f aca="false">IF(AND(OR(AK1348="À RÉPARER",AK1348="COUPE – À RESOUDER",AK1348="VT REJETÉ – À REPRENDRE"),OR(RÉPARATIONS!$D$5="TOUTES",B1348=RÉPARATIONS!$D$5)),1,0)</f>
        <v>0</v>
      </c>
      <c r="AP1348" s="78" t="str">
        <f aca="false">IF(AO1348=1,SUM(AO$7:AO1348),"")</f>
        <v/>
      </c>
    </row>
    <row r="1349" customFormat="false" ht="15" hidden="false" customHeight="false" outlineLevel="0" collapsed="false">
      <c r="A1349" s="78" t="str">
        <f aca="false">IF(E1349="","",ROW()-6)</f>
        <v/>
      </c>
      <c r="B1349" s="79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0"/>
      <c r="P1349" s="81"/>
      <c r="Q1349" s="81"/>
      <c r="R1349" s="80"/>
      <c r="S1349" s="80"/>
      <c r="T1349" s="81"/>
      <c r="U1349" s="80"/>
      <c r="V1349" s="80"/>
      <c r="W1349" s="80"/>
      <c r="X1349" s="80"/>
      <c r="Y1349" s="81"/>
      <c r="Z1349" s="80"/>
      <c r="AA1349" s="80"/>
      <c r="AB1349" s="80"/>
      <c r="AC1349" s="80"/>
      <c r="AD1349" s="81"/>
      <c r="AE1349" s="80"/>
      <c r="AF1349" s="80"/>
      <c r="AG1349" s="81"/>
      <c r="AH1349" s="79"/>
      <c r="AI1349" s="78" t="str">
        <f aca="false">IF(E1349="","",(V1349&lt;&gt;"")+(AA1349&lt;&gt;"")+(AF1349&lt;&gt;""))</f>
        <v/>
      </c>
      <c r="AJ1349" s="82" t="str">
        <f aca="false">IF(AF1349&lt;&gt;"",AF1349,IF(AA1349&lt;&gt;"",AA1349,IF(V1349&lt;&gt;"",V1349,"")))</f>
        <v/>
      </c>
      <c r="AK1349" s="83" t="str">
        <f aca="false">IF(E1349="","",IF(P1349="","À SOUDER",IF(S1349="","VT EN ATTENTE",IF(S1349="R","VT REJETÉ – À REPRENDRE",IF(AJ1349="","À RADIOGRAPHIER",IF(AJ1349="A","ACCEPTÉ",IF(AJ1349="NX","NX – RT À REFAIRE",IF(IF(AI1349=1,X1349,IF(AI1349=2,AC1349,""))="A","RÉPARÉ – À RADIOGRAPHIER",IF(IF(AI1349=1,X1349,IF(AI1349=2,AC1349,""))="R","VT REJETÉ – À REPRENDRE",IF(AJ1349="CO","COUPE – À RESOUDER","À RÉPARER"))))))))))</f>
        <v/>
      </c>
      <c r="AL1349" s="82" t="str">
        <f aca="false">IF(AND(ISNUMBER(P1349),OR(AK1349="À RADIOGRAPHIER",AK1349="RÉPARÉ – À RADIOGRAPHIER",AK1349="NX – RT À REFAIRE",AK1349="À RÉPARER",AK1349="COUPE – À RESOUDER",AK1349="VT REJETÉ – À REPRENDRE")),MAX(0,'PROGRAMME RT'!$C$4-P1349),"")</f>
        <v/>
      </c>
      <c r="AM1349" s="78" t="n">
        <f aca="false">IF(AND(OR(AK1349="À RADIOGRAPHIER",AK1349="RÉPARÉ – À RADIOGRAPHIER",AK1349="NX – RT À REFAIRE"),OR('PROGRAMME RT'!$D$5="TOUTES",B1349='PROGRAMME RT'!$D$5)),1,0)</f>
        <v>0</v>
      </c>
      <c r="AN1349" s="78" t="str">
        <f aca="false">IF(AM1349=1,SUM(AM$7:AM1349),"")</f>
        <v/>
      </c>
      <c r="AO1349" s="78" t="n">
        <f aca="false">IF(AND(OR(AK1349="À RÉPARER",AK1349="COUPE – À RESOUDER",AK1349="VT REJETÉ – À REPRENDRE"),OR(RÉPARATIONS!$D$5="TOUTES",B1349=RÉPARATIONS!$D$5)),1,0)</f>
        <v>0</v>
      </c>
      <c r="AP1349" s="78" t="str">
        <f aca="false">IF(AO1349=1,SUM(AO$7:AO1349),"")</f>
        <v/>
      </c>
    </row>
    <row r="1350" customFormat="false" ht="15" hidden="false" customHeight="false" outlineLevel="0" collapsed="false">
      <c r="A1350" s="78" t="str">
        <f aca="false">IF(E1350="","",ROW()-6)</f>
        <v/>
      </c>
      <c r="B1350" s="79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0"/>
      <c r="P1350" s="81"/>
      <c r="Q1350" s="81"/>
      <c r="R1350" s="80"/>
      <c r="S1350" s="80"/>
      <c r="T1350" s="81"/>
      <c r="U1350" s="80"/>
      <c r="V1350" s="80"/>
      <c r="W1350" s="80"/>
      <c r="X1350" s="80"/>
      <c r="Y1350" s="81"/>
      <c r="Z1350" s="80"/>
      <c r="AA1350" s="80"/>
      <c r="AB1350" s="80"/>
      <c r="AC1350" s="80"/>
      <c r="AD1350" s="81"/>
      <c r="AE1350" s="80"/>
      <c r="AF1350" s="80"/>
      <c r="AG1350" s="81"/>
      <c r="AH1350" s="79"/>
      <c r="AI1350" s="78" t="str">
        <f aca="false">IF(E1350="","",(V1350&lt;&gt;"")+(AA1350&lt;&gt;"")+(AF1350&lt;&gt;""))</f>
        <v/>
      </c>
      <c r="AJ1350" s="82" t="str">
        <f aca="false">IF(AF1350&lt;&gt;"",AF1350,IF(AA1350&lt;&gt;"",AA1350,IF(V1350&lt;&gt;"",V1350,"")))</f>
        <v/>
      </c>
      <c r="AK1350" s="83" t="str">
        <f aca="false">IF(E1350="","",IF(P1350="","À SOUDER",IF(S1350="","VT EN ATTENTE",IF(S1350="R","VT REJETÉ – À REPRENDRE",IF(AJ1350="","À RADIOGRAPHIER",IF(AJ1350="A","ACCEPTÉ",IF(AJ1350="NX","NX – RT À REFAIRE",IF(IF(AI1350=1,X1350,IF(AI1350=2,AC1350,""))="A","RÉPARÉ – À RADIOGRAPHIER",IF(IF(AI1350=1,X1350,IF(AI1350=2,AC1350,""))="R","VT REJETÉ – À REPRENDRE",IF(AJ1350="CO","COUPE – À RESOUDER","À RÉPARER"))))))))))</f>
        <v/>
      </c>
      <c r="AL1350" s="82" t="str">
        <f aca="false">IF(AND(ISNUMBER(P1350),OR(AK1350="À RADIOGRAPHIER",AK1350="RÉPARÉ – À RADIOGRAPHIER",AK1350="NX – RT À REFAIRE",AK1350="À RÉPARER",AK1350="COUPE – À RESOUDER",AK1350="VT REJETÉ – À REPRENDRE")),MAX(0,'PROGRAMME RT'!$C$4-P1350),"")</f>
        <v/>
      </c>
      <c r="AM1350" s="78" t="n">
        <f aca="false">IF(AND(OR(AK1350="À RADIOGRAPHIER",AK1350="RÉPARÉ – À RADIOGRAPHIER",AK1350="NX – RT À REFAIRE"),OR('PROGRAMME RT'!$D$5="TOUTES",B1350='PROGRAMME RT'!$D$5)),1,0)</f>
        <v>0</v>
      </c>
      <c r="AN1350" s="78" t="str">
        <f aca="false">IF(AM1350=1,SUM(AM$7:AM1350),"")</f>
        <v/>
      </c>
      <c r="AO1350" s="78" t="n">
        <f aca="false">IF(AND(OR(AK1350="À RÉPARER",AK1350="COUPE – À RESOUDER",AK1350="VT REJETÉ – À REPRENDRE"),OR(RÉPARATIONS!$D$5="TOUTES",B1350=RÉPARATIONS!$D$5)),1,0)</f>
        <v>0</v>
      </c>
      <c r="AP1350" s="78" t="str">
        <f aca="false">IF(AO1350=1,SUM(AO$7:AO1350),"")</f>
        <v/>
      </c>
    </row>
    <row r="1351" customFormat="false" ht="15" hidden="false" customHeight="false" outlineLevel="0" collapsed="false">
      <c r="A1351" s="78" t="str">
        <f aca="false">IF(E1351="","",ROW()-6)</f>
        <v/>
      </c>
      <c r="B1351" s="79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0"/>
      <c r="P1351" s="81"/>
      <c r="Q1351" s="81"/>
      <c r="R1351" s="80"/>
      <c r="S1351" s="80"/>
      <c r="T1351" s="81"/>
      <c r="U1351" s="80"/>
      <c r="V1351" s="80"/>
      <c r="W1351" s="80"/>
      <c r="X1351" s="80"/>
      <c r="Y1351" s="81"/>
      <c r="Z1351" s="80"/>
      <c r="AA1351" s="80"/>
      <c r="AB1351" s="80"/>
      <c r="AC1351" s="80"/>
      <c r="AD1351" s="81"/>
      <c r="AE1351" s="80"/>
      <c r="AF1351" s="80"/>
      <c r="AG1351" s="81"/>
      <c r="AH1351" s="79"/>
      <c r="AI1351" s="78" t="str">
        <f aca="false">IF(E1351="","",(V1351&lt;&gt;"")+(AA1351&lt;&gt;"")+(AF1351&lt;&gt;""))</f>
        <v/>
      </c>
      <c r="AJ1351" s="82" t="str">
        <f aca="false">IF(AF1351&lt;&gt;"",AF1351,IF(AA1351&lt;&gt;"",AA1351,IF(V1351&lt;&gt;"",V1351,"")))</f>
        <v/>
      </c>
      <c r="AK1351" s="83" t="str">
        <f aca="false">IF(E1351="","",IF(P1351="","À SOUDER",IF(S1351="","VT EN ATTENTE",IF(S1351="R","VT REJETÉ – À REPRENDRE",IF(AJ1351="","À RADIOGRAPHIER",IF(AJ1351="A","ACCEPTÉ",IF(AJ1351="NX","NX – RT À REFAIRE",IF(IF(AI1351=1,X1351,IF(AI1351=2,AC1351,""))="A","RÉPARÉ – À RADIOGRAPHIER",IF(IF(AI1351=1,X1351,IF(AI1351=2,AC1351,""))="R","VT REJETÉ – À REPRENDRE",IF(AJ1351="CO","COUPE – À RESOUDER","À RÉPARER"))))))))))</f>
        <v/>
      </c>
      <c r="AL1351" s="82" t="str">
        <f aca="false">IF(AND(ISNUMBER(P1351),OR(AK1351="À RADIOGRAPHIER",AK1351="RÉPARÉ – À RADIOGRAPHIER",AK1351="NX – RT À REFAIRE",AK1351="À RÉPARER",AK1351="COUPE – À RESOUDER",AK1351="VT REJETÉ – À REPRENDRE")),MAX(0,'PROGRAMME RT'!$C$4-P1351),"")</f>
        <v/>
      </c>
      <c r="AM1351" s="78" t="n">
        <f aca="false">IF(AND(OR(AK1351="À RADIOGRAPHIER",AK1351="RÉPARÉ – À RADIOGRAPHIER",AK1351="NX – RT À REFAIRE"),OR('PROGRAMME RT'!$D$5="TOUTES",B1351='PROGRAMME RT'!$D$5)),1,0)</f>
        <v>0</v>
      </c>
      <c r="AN1351" s="78" t="str">
        <f aca="false">IF(AM1351=1,SUM(AM$7:AM1351),"")</f>
        <v/>
      </c>
      <c r="AO1351" s="78" t="n">
        <f aca="false">IF(AND(OR(AK1351="À RÉPARER",AK1351="COUPE – À RESOUDER",AK1351="VT REJETÉ – À REPRENDRE"),OR(RÉPARATIONS!$D$5="TOUTES",B1351=RÉPARATIONS!$D$5)),1,0)</f>
        <v>0</v>
      </c>
      <c r="AP1351" s="78" t="str">
        <f aca="false">IF(AO1351=1,SUM(AO$7:AO1351),"")</f>
        <v/>
      </c>
    </row>
    <row r="1352" customFormat="false" ht="15" hidden="false" customHeight="false" outlineLevel="0" collapsed="false">
      <c r="A1352" s="78" t="str">
        <f aca="false">IF(E1352="","",ROW()-6)</f>
        <v/>
      </c>
      <c r="B1352" s="79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0"/>
      <c r="P1352" s="81"/>
      <c r="Q1352" s="81"/>
      <c r="R1352" s="80"/>
      <c r="S1352" s="80"/>
      <c r="T1352" s="81"/>
      <c r="U1352" s="80"/>
      <c r="V1352" s="80"/>
      <c r="W1352" s="80"/>
      <c r="X1352" s="80"/>
      <c r="Y1352" s="81"/>
      <c r="Z1352" s="80"/>
      <c r="AA1352" s="80"/>
      <c r="AB1352" s="80"/>
      <c r="AC1352" s="80"/>
      <c r="AD1352" s="81"/>
      <c r="AE1352" s="80"/>
      <c r="AF1352" s="80"/>
      <c r="AG1352" s="81"/>
      <c r="AH1352" s="79"/>
      <c r="AI1352" s="78" t="str">
        <f aca="false">IF(E1352="","",(V1352&lt;&gt;"")+(AA1352&lt;&gt;"")+(AF1352&lt;&gt;""))</f>
        <v/>
      </c>
      <c r="AJ1352" s="82" t="str">
        <f aca="false">IF(AF1352&lt;&gt;"",AF1352,IF(AA1352&lt;&gt;"",AA1352,IF(V1352&lt;&gt;"",V1352,"")))</f>
        <v/>
      </c>
      <c r="AK1352" s="83" t="str">
        <f aca="false">IF(E1352="","",IF(P1352="","À SOUDER",IF(S1352="","VT EN ATTENTE",IF(S1352="R","VT REJETÉ – À REPRENDRE",IF(AJ1352="","À RADIOGRAPHIER",IF(AJ1352="A","ACCEPTÉ",IF(AJ1352="NX","NX – RT À REFAIRE",IF(IF(AI1352=1,X1352,IF(AI1352=2,AC1352,""))="A","RÉPARÉ – À RADIOGRAPHIER",IF(IF(AI1352=1,X1352,IF(AI1352=2,AC1352,""))="R","VT REJETÉ – À REPRENDRE",IF(AJ1352="CO","COUPE – À RESOUDER","À RÉPARER"))))))))))</f>
        <v/>
      </c>
      <c r="AL1352" s="82" t="str">
        <f aca="false">IF(AND(ISNUMBER(P1352),OR(AK1352="À RADIOGRAPHIER",AK1352="RÉPARÉ – À RADIOGRAPHIER",AK1352="NX – RT À REFAIRE",AK1352="À RÉPARER",AK1352="COUPE – À RESOUDER",AK1352="VT REJETÉ – À REPRENDRE")),MAX(0,'PROGRAMME RT'!$C$4-P1352),"")</f>
        <v/>
      </c>
      <c r="AM1352" s="78" t="n">
        <f aca="false">IF(AND(OR(AK1352="À RADIOGRAPHIER",AK1352="RÉPARÉ – À RADIOGRAPHIER",AK1352="NX – RT À REFAIRE"),OR('PROGRAMME RT'!$D$5="TOUTES",B1352='PROGRAMME RT'!$D$5)),1,0)</f>
        <v>0</v>
      </c>
      <c r="AN1352" s="78" t="str">
        <f aca="false">IF(AM1352=1,SUM(AM$7:AM1352),"")</f>
        <v/>
      </c>
      <c r="AO1352" s="78" t="n">
        <f aca="false">IF(AND(OR(AK1352="À RÉPARER",AK1352="COUPE – À RESOUDER",AK1352="VT REJETÉ – À REPRENDRE"),OR(RÉPARATIONS!$D$5="TOUTES",B1352=RÉPARATIONS!$D$5)),1,0)</f>
        <v>0</v>
      </c>
      <c r="AP1352" s="78" t="str">
        <f aca="false">IF(AO1352=1,SUM(AO$7:AO1352),"")</f>
        <v/>
      </c>
    </row>
    <row r="1353" customFormat="false" ht="15" hidden="false" customHeight="false" outlineLevel="0" collapsed="false">
      <c r="A1353" s="78" t="str">
        <f aca="false">IF(E1353="","",ROW()-6)</f>
        <v/>
      </c>
      <c r="B1353" s="79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0"/>
      <c r="P1353" s="81"/>
      <c r="Q1353" s="81"/>
      <c r="R1353" s="80"/>
      <c r="S1353" s="80"/>
      <c r="T1353" s="81"/>
      <c r="U1353" s="80"/>
      <c r="V1353" s="80"/>
      <c r="W1353" s="80"/>
      <c r="X1353" s="80"/>
      <c r="Y1353" s="81"/>
      <c r="Z1353" s="80"/>
      <c r="AA1353" s="80"/>
      <c r="AB1353" s="80"/>
      <c r="AC1353" s="80"/>
      <c r="AD1353" s="81"/>
      <c r="AE1353" s="80"/>
      <c r="AF1353" s="80"/>
      <c r="AG1353" s="81"/>
      <c r="AH1353" s="79"/>
      <c r="AI1353" s="78" t="str">
        <f aca="false">IF(E1353="","",(V1353&lt;&gt;"")+(AA1353&lt;&gt;"")+(AF1353&lt;&gt;""))</f>
        <v/>
      </c>
      <c r="AJ1353" s="82" t="str">
        <f aca="false">IF(AF1353&lt;&gt;"",AF1353,IF(AA1353&lt;&gt;"",AA1353,IF(V1353&lt;&gt;"",V1353,"")))</f>
        <v/>
      </c>
      <c r="AK1353" s="83" t="str">
        <f aca="false">IF(E1353="","",IF(P1353="","À SOUDER",IF(S1353="","VT EN ATTENTE",IF(S1353="R","VT REJETÉ – À REPRENDRE",IF(AJ1353="","À RADIOGRAPHIER",IF(AJ1353="A","ACCEPTÉ",IF(AJ1353="NX","NX – RT À REFAIRE",IF(IF(AI1353=1,X1353,IF(AI1353=2,AC1353,""))="A","RÉPARÉ – À RADIOGRAPHIER",IF(IF(AI1353=1,X1353,IF(AI1353=2,AC1353,""))="R","VT REJETÉ – À REPRENDRE",IF(AJ1353="CO","COUPE – À RESOUDER","À RÉPARER"))))))))))</f>
        <v/>
      </c>
      <c r="AL1353" s="82" t="str">
        <f aca="false">IF(AND(ISNUMBER(P1353),OR(AK1353="À RADIOGRAPHIER",AK1353="RÉPARÉ – À RADIOGRAPHIER",AK1353="NX – RT À REFAIRE",AK1353="À RÉPARER",AK1353="COUPE – À RESOUDER",AK1353="VT REJETÉ – À REPRENDRE")),MAX(0,'PROGRAMME RT'!$C$4-P1353),"")</f>
        <v/>
      </c>
      <c r="AM1353" s="78" t="n">
        <f aca="false">IF(AND(OR(AK1353="À RADIOGRAPHIER",AK1353="RÉPARÉ – À RADIOGRAPHIER",AK1353="NX – RT À REFAIRE"),OR('PROGRAMME RT'!$D$5="TOUTES",B1353='PROGRAMME RT'!$D$5)),1,0)</f>
        <v>0</v>
      </c>
      <c r="AN1353" s="78" t="str">
        <f aca="false">IF(AM1353=1,SUM(AM$7:AM1353),"")</f>
        <v/>
      </c>
      <c r="AO1353" s="78" t="n">
        <f aca="false">IF(AND(OR(AK1353="À RÉPARER",AK1353="COUPE – À RESOUDER",AK1353="VT REJETÉ – À REPRENDRE"),OR(RÉPARATIONS!$D$5="TOUTES",B1353=RÉPARATIONS!$D$5)),1,0)</f>
        <v>0</v>
      </c>
      <c r="AP1353" s="78" t="str">
        <f aca="false">IF(AO1353=1,SUM(AO$7:AO1353),"")</f>
        <v/>
      </c>
    </row>
    <row r="1354" customFormat="false" ht="15" hidden="false" customHeight="false" outlineLevel="0" collapsed="false">
      <c r="A1354" s="78" t="str">
        <f aca="false">IF(E1354="","",ROW()-6)</f>
        <v/>
      </c>
      <c r="B1354" s="79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0"/>
      <c r="P1354" s="81"/>
      <c r="Q1354" s="81"/>
      <c r="R1354" s="80"/>
      <c r="S1354" s="80"/>
      <c r="T1354" s="81"/>
      <c r="U1354" s="80"/>
      <c r="V1354" s="80"/>
      <c r="W1354" s="80"/>
      <c r="X1354" s="80"/>
      <c r="Y1354" s="81"/>
      <c r="Z1354" s="80"/>
      <c r="AA1354" s="80"/>
      <c r="AB1354" s="80"/>
      <c r="AC1354" s="80"/>
      <c r="AD1354" s="81"/>
      <c r="AE1354" s="80"/>
      <c r="AF1354" s="80"/>
      <c r="AG1354" s="81"/>
      <c r="AH1354" s="79"/>
      <c r="AI1354" s="78" t="str">
        <f aca="false">IF(E1354="","",(V1354&lt;&gt;"")+(AA1354&lt;&gt;"")+(AF1354&lt;&gt;""))</f>
        <v/>
      </c>
      <c r="AJ1354" s="82" t="str">
        <f aca="false">IF(AF1354&lt;&gt;"",AF1354,IF(AA1354&lt;&gt;"",AA1354,IF(V1354&lt;&gt;"",V1354,"")))</f>
        <v/>
      </c>
      <c r="AK1354" s="83" t="str">
        <f aca="false">IF(E1354="","",IF(P1354="","À SOUDER",IF(S1354="","VT EN ATTENTE",IF(S1354="R","VT REJETÉ – À REPRENDRE",IF(AJ1354="","À RADIOGRAPHIER",IF(AJ1354="A","ACCEPTÉ",IF(AJ1354="NX","NX – RT À REFAIRE",IF(IF(AI1354=1,X1354,IF(AI1354=2,AC1354,""))="A","RÉPARÉ – À RADIOGRAPHIER",IF(IF(AI1354=1,X1354,IF(AI1354=2,AC1354,""))="R","VT REJETÉ – À REPRENDRE",IF(AJ1354="CO","COUPE – À RESOUDER","À RÉPARER"))))))))))</f>
        <v/>
      </c>
      <c r="AL1354" s="82" t="str">
        <f aca="false">IF(AND(ISNUMBER(P1354),OR(AK1354="À RADIOGRAPHIER",AK1354="RÉPARÉ – À RADIOGRAPHIER",AK1354="NX – RT À REFAIRE",AK1354="À RÉPARER",AK1354="COUPE – À RESOUDER",AK1354="VT REJETÉ – À REPRENDRE")),MAX(0,'PROGRAMME RT'!$C$4-P1354),"")</f>
        <v/>
      </c>
      <c r="AM1354" s="78" t="n">
        <f aca="false">IF(AND(OR(AK1354="À RADIOGRAPHIER",AK1354="RÉPARÉ – À RADIOGRAPHIER",AK1354="NX – RT À REFAIRE"),OR('PROGRAMME RT'!$D$5="TOUTES",B1354='PROGRAMME RT'!$D$5)),1,0)</f>
        <v>0</v>
      </c>
      <c r="AN1354" s="78" t="str">
        <f aca="false">IF(AM1354=1,SUM(AM$7:AM1354),"")</f>
        <v/>
      </c>
      <c r="AO1354" s="78" t="n">
        <f aca="false">IF(AND(OR(AK1354="À RÉPARER",AK1354="COUPE – À RESOUDER",AK1354="VT REJETÉ – À REPRENDRE"),OR(RÉPARATIONS!$D$5="TOUTES",B1354=RÉPARATIONS!$D$5)),1,0)</f>
        <v>0</v>
      </c>
      <c r="AP1354" s="78" t="str">
        <f aca="false">IF(AO1354=1,SUM(AO$7:AO1354),"")</f>
        <v/>
      </c>
    </row>
    <row r="1355" customFormat="false" ht="15" hidden="false" customHeight="false" outlineLevel="0" collapsed="false">
      <c r="A1355" s="78" t="str">
        <f aca="false">IF(E1355="","",ROW()-6)</f>
        <v/>
      </c>
      <c r="B1355" s="79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0"/>
      <c r="P1355" s="81"/>
      <c r="Q1355" s="81"/>
      <c r="R1355" s="80"/>
      <c r="S1355" s="80"/>
      <c r="T1355" s="81"/>
      <c r="U1355" s="80"/>
      <c r="V1355" s="80"/>
      <c r="W1355" s="80"/>
      <c r="X1355" s="80"/>
      <c r="Y1355" s="81"/>
      <c r="Z1355" s="80"/>
      <c r="AA1355" s="80"/>
      <c r="AB1355" s="80"/>
      <c r="AC1355" s="80"/>
      <c r="AD1355" s="81"/>
      <c r="AE1355" s="80"/>
      <c r="AF1355" s="80"/>
      <c r="AG1355" s="81"/>
      <c r="AH1355" s="79"/>
      <c r="AI1355" s="78" t="str">
        <f aca="false">IF(E1355="","",(V1355&lt;&gt;"")+(AA1355&lt;&gt;"")+(AF1355&lt;&gt;""))</f>
        <v/>
      </c>
      <c r="AJ1355" s="82" t="str">
        <f aca="false">IF(AF1355&lt;&gt;"",AF1355,IF(AA1355&lt;&gt;"",AA1355,IF(V1355&lt;&gt;"",V1355,"")))</f>
        <v/>
      </c>
      <c r="AK1355" s="83" t="str">
        <f aca="false">IF(E1355="","",IF(P1355="","À SOUDER",IF(S1355="","VT EN ATTENTE",IF(S1355="R","VT REJETÉ – À REPRENDRE",IF(AJ1355="","À RADIOGRAPHIER",IF(AJ1355="A","ACCEPTÉ",IF(AJ1355="NX","NX – RT À REFAIRE",IF(IF(AI1355=1,X1355,IF(AI1355=2,AC1355,""))="A","RÉPARÉ – À RADIOGRAPHIER",IF(IF(AI1355=1,X1355,IF(AI1355=2,AC1355,""))="R","VT REJETÉ – À REPRENDRE",IF(AJ1355="CO","COUPE – À RESOUDER","À RÉPARER"))))))))))</f>
        <v/>
      </c>
      <c r="AL1355" s="82" t="str">
        <f aca="false">IF(AND(ISNUMBER(P1355),OR(AK1355="À RADIOGRAPHIER",AK1355="RÉPARÉ – À RADIOGRAPHIER",AK1355="NX – RT À REFAIRE",AK1355="À RÉPARER",AK1355="COUPE – À RESOUDER",AK1355="VT REJETÉ – À REPRENDRE")),MAX(0,'PROGRAMME RT'!$C$4-P1355),"")</f>
        <v/>
      </c>
      <c r="AM1355" s="78" t="n">
        <f aca="false">IF(AND(OR(AK1355="À RADIOGRAPHIER",AK1355="RÉPARÉ – À RADIOGRAPHIER",AK1355="NX – RT À REFAIRE"),OR('PROGRAMME RT'!$D$5="TOUTES",B1355='PROGRAMME RT'!$D$5)),1,0)</f>
        <v>0</v>
      </c>
      <c r="AN1355" s="78" t="str">
        <f aca="false">IF(AM1355=1,SUM(AM$7:AM1355),"")</f>
        <v/>
      </c>
      <c r="AO1355" s="78" t="n">
        <f aca="false">IF(AND(OR(AK1355="À RÉPARER",AK1355="COUPE – À RESOUDER",AK1355="VT REJETÉ – À REPRENDRE"),OR(RÉPARATIONS!$D$5="TOUTES",B1355=RÉPARATIONS!$D$5)),1,0)</f>
        <v>0</v>
      </c>
      <c r="AP1355" s="78" t="str">
        <f aca="false">IF(AO1355=1,SUM(AO$7:AO1355),"")</f>
        <v/>
      </c>
    </row>
    <row r="1356" customFormat="false" ht="15" hidden="false" customHeight="false" outlineLevel="0" collapsed="false">
      <c r="A1356" s="78" t="str">
        <f aca="false">IF(E1356="","",ROW()-6)</f>
        <v/>
      </c>
      <c r="B1356" s="79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0"/>
      <c r="P1356" s="81"/>
      <c r="Q1356" s="81"/>
      <c r="R1356" s="80"/>
      <c r="S1356" s="80"/>
      <c r="T1356" s="81"/>
      <c r="U1356" s="80"/>
      <c r="V1356" s="80"/>
      <c r="W1356" s="80"/>
      <c r="X1356" s="80"/>
      <c r="Y1356" s="81"/>
      <c r="Z1356" s="80"/>
      <c r="AA1356" s="80"/>
      <c r="AB1356" s="80"/>
      <c r="AC1356" s="80"/>
      <c r="AD1356" s="81"/>
      <c r="AE1356" s="80"/>
      <c r="AF1356" s="80"/>
      <c r="AG1356" s="81"/>
      <c r="AH1356" s="79"/>
      <c r="AI1356" s="78" t="str">
        <f aca="false">IF(E1356="","",(V1356&lt;&gt;"")+(AA1356&lt;&gt;"")+(AF1356&lt;&gt;""))</f>
        <v/>
      </c>
      <c r="AJ1356" s="82" t="str">
        <f aca="false">IF(AF1356&lt;&gt;"",AF1356,IF(AA1356&lt;&gt;"",AA1356,IF(V1356&lt;&gt;"",V1356,"")))</f>
        <v/>
      </c>
      <c r="AK1356" s="83" t="str">
        <f aca="false">IF(E1356="","",IF(P1356="","À SOUDER",IF(S1356="","VT EN ATTENTE",IF(S1356="R","VT REJETÉ – À REPRENDRE",IF(AJ1356="","À RADIOGRAPHIER",IF(AJ1356="A","ACCEPTÉ",IF(AJ1356="NX","NX – RT À REFAIRE",IF(IF(AI1356=1,X1356,IF(AI1356=2,AC1356,""))="A","RÉPARÉ – À RADIOGRAPHIER",IF(IF(AI1356=1,X1356,IF(AI1356=2,AC1356,""))="R","VT REJETÉ – À REPRENDRE",IF(AJ1356="CO","COUPE – À RESOUDER","À RÉPARER"))))))))))</f>
        <v/>
      </c>
      <c r="AL1356" s="82" t="str">
        <f aca="false">IF(AND(ISNUMBER(P1356),OR(AK1356="À RADIOGRAPHIER",AK1356="RÉPARÉ – À RADIOGRAPHIER",AK1356="NX – RT À REFAIRE",AK1356="À RÉPARER",AK1356="COUPE – À RESOUDER",AK1356="VT REJETÉ – À REPRENDRE")),MAX(0,'PROGRAMME RT'!$C$4-P1356),"")</f>
        <v/>
      </c>
      <c r="AM1356" s="78" t="n">
        <f aca="false">IF(AND(OR(AK1356="À RADIOGRAPHIER",AK1356="RÉPARÉ – À RADIOGRAPHIER",AK1356="NX – RT À REFAIRE"),OR('PROGRAMME RT'!$D$5="TOUTES",B1356='PROGRAMME RT'!$D$5)),1,0)</f>
        <v>0</v>
      </c>
      <c r="AN1356" s="78" t="str">
        <f aca="false">IF(AM1356=1,SUM(AM$7:AM1356),"")</f>
        <v/>
      </c>
      <c r="AO1356" s="78" t="n">
        <f aca="false">IF(AND(OR(AK1356="À RÉPARER",AK1356="COUPE – À RESOUDER",AK1356="VT REJETÉ – À REPRENDRE"),OR(RÉPARATIONS!$D$5="TOUTES",B1356=RÉPARATIONS!$D$5)),1,0)</f>
        <v>0</v>
      </c>
      <c r="AP1356" s="78" t="str">
        <f aca="false">IF(AO1356=1,SUM(AO$7:AO1356),"")</f>
        <v/>
      </c>
    </row>
    <row r="1357" customFormat="false" ht="15" hidden="false" customHeight="false" outlineLevel="0" collapsed="false">
      <c r="A1357" s="78" t="str">
        <f aca="false">IF(E1357="","",ROW()-6)</f>
        <v/>
      </c>
      <c r="B1357" s="79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0"/>
      <c r="P1357" s="81"/>
      <c r="Q1357" s="81"/>
      <c r="R1357" s="80"/>
      <c r="S1357" s="80"/>
      <c r="T1357" s="81"/>
      <c r="U1357" s="80"/>
      <c r="V1357" s="80"/>
      <c r="W1357" s="80"/>
      <c r="X1357" s="80"/>
      <c r="Y1357" s="81"/>
      <c r="Z1357" s="80"/>
      <c r="AA1357" s="80"/>
      <c r="AB1357" s="80"/>
      <c r="AC1357" s="80"/>
      <c r="AD1357" s="81"/>
      <c r="AE1357" s="80"/>
      <c r="AF1357" s="80"/>
      <c r="AG1357" s="81"/>
      <c r="AH1357" s="79"/>
      <c r="AI1357" s="78" t="str">
        <f aca="false">IF(E1357="","",(V1357&lt;&gt;"")+(AA1357&lt;&gt;"")+(AF1357&lt;&gt;""))</f>
        <v/>
      </c>
      <c r="AJ1357" s="82" t="str">
        <f aca="false">IF(AF1357&lt;&gt;"",AF1357,IF(AA1357&lt;&gt;"",AA1357,IF(V1357&lt;&gt;"",V1357,"")))</f>
        <v/>
      </c>
      <c r="AK1357" s="83" t="str">
        <f aca="false">IF(E1357="","",IF(P1357="","À SOUDER",IF(S1357="","VT EN ATTENTE",IF(S1357="R","VT REJETÉ – À REPRENDRE",IF(AJ1357="","À RADIOGRAPHIER",IF(AJ1357="A","ACCEPTÉ",IF(AJ1357="NX","NX – RT À REFAIRE",IF(IF(AI1357=1,X1357,IF(AI1357=2,AC1357,""))="A","RÉPARÉ – À RADIOGRAPHIER",IF(IF(AI1357=1,X1357,IF(AI1357=2,AC1357,""))="R","VT REJETÉ – À REPRENDRE",IF(AJ1357="CO","COUPE – À RESOUDER","À RÉPARER"))))))))))</f>
        <v/>
      </c>
      <c r="AL1357" s="82" t="str">
        <f aca="false">IF(AND(ISNUMBER(P1357),OR(AK1357="À RADIOGRAPHIER",AK1357="RÉPARÉ – À RADIOGRAPHIER",AK1357="NX – RT À REFAIRE",AK1357="À RÉPARER",AK1357="COUPE – À RESOUDER",AK1357="VT REJETÉ – À REPRENDRE")),MAX(0,'PROGRAMME RT'!$C$4-P1357),"")</f>
        <v/>
      </c>
      <c r="AM1357" s="78" t="n">
        <f aca="false">IF(AND(OR(AK1357="À RADIOGRAPHIER",AK1357="RÉPARÉ – À RADIOGRAPHIER",AK1357="NX – RT À REFAIRE"),OR('PROGRAMME RT'!$D$5="TOUTES",B1357='PROGRAMME RT'!$D$5)),1,0)</f>
        <v>0</v>
      </c>
      <c r="AN1357" s="78" t="str">
        <f aca="false">IF(AM1357=1,SUM(AM$7:AM1357),"")</f>
        <v/>
      </c>
      <c r="AO1357" s="78" t="n">
        <f aca="false">IF(AND(OR(AK1357="À RÉPARER",AK1357="COUPE – À RESOUDER",AK1357="VT REJETÉ – À REPRENDRE"),OR(RÉPARATIONS!$D$5="TOUTES",B1357=RÉPARATIONS!$D$5)),1,0)</f>
        <v>0</v>
      </c>
      <c r="AP1357" s="78" t="str">
        <f aca="false">IF(AO1357=1,SUM(AO$7:AO1357),"")</f>
        <v/>
      </c>
    </row>
    <row r="1358" customFormat="false" ht="15" hidden="false" customHeight="false" outlineLevel="0" collapsed="false">
      <c r="A1358" s="78" t="str">
        <f aca="false">IF(E1358="","",ROW()-6)</f>
        <v/>
      </c>
      <c r="B1358" s="79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0"/>
      <c r="P1358" s="81"/>
      <c r="Q1358" s="81"/>
      <c r="R1358" s="80"/>
      <c r="S1358" s="80"/>
      <c r="T1358" s="81"/>
      <c r="U1358" s="80"/>
      <c r="V1358" s="80"/>
      <c r="W1358" s="80"/>
      <c r="X1358" s="80"/>
      <c r="Y1358" s="81"/>
      <c r="Z1358" s="80"/>
      <c r="AA1358" s="80"/>
      <c r="AB1358" s="80"/>
      <c r="AC1358" s="80"/>
      <c r="AD1358" s="81"/>
      <c r="AE1358" s="80"/>
      <c r="AF1358" s="80"/>
      <c r="AG1358" s="81"/>
      <c r="AH1358" s="79"/>
      <c r="AI1358" s="78" t="str">
        <f aca="false">IF(E1358="","",(V1358&lt;&gt;"")+(AA1358&lt;&gt;"")+(AF1358&lt;&gt;""))</f>
        <v/>
      </c>
      <c r="AJ1358" s="82" t="str">
        <f aca="false">IF(AF1358&lt;&gt;"",AF1358,IF(AA1358&lt;&gt;"",AA1358,IF(V1358&lt;&gt;"",V1358,"")))</f>
        <v/>
      </c>
      <c r="AK1358" s="83" t="str">
        <f aca="false">IF(E1358="","",IF(P1358="","À SOUDER",IF(S1358="","VT EN ATTENTE",IF(S1358="R","VT REJETÉ – À REPRENDRE",IF(AJ1358="","À RADIOGRAPHIER",IF(AJ1358="A","ACCEPTÉ",IF(AJ1358="NX","NX – RT À REFAIRE",IF(IF(AI1358=1,X1358,IF(AI1358=2,AC1358,""))="A","RÉPARÉ – À RADIOGRAPHIER",IF(IF(AI1358=1,X1358,IF(AI1358=2,AC1358,""))="R","VT REJETÉ – À REPRENDRE",IF(AJ1358="CO","COUPE – À RESOUDER","À RÉPARER"))))))))))</f>
        <v/>
      </c>
      <c r="AL1358" s="82" t="str">
        <f aca="false">IF(AND(ISNUMBER(P1358),OR(AK1358="À RADIOGRAPHIER",AK1358="RÉPARÉ – À RADIOGRAPHIER",AK1358="NX – RT À REFAIRE",AK1358="À RÉPARER",AK1358="COUPE – À RESOUDER",AK1358="VT REJETÉ – À REPRENDRE")),MAX(0,'PROGRAMME RT'!$C$4-P1358),"")</f>
        <v/>
      </c>
      <c r="AM1358" s="78" t="n">
        <f aca="false">IF(AND(OR(AK1358="À RADIOGRAPHIER",AK1358="RÉPARÉ – À RADIOGRAPHIER",AK1358="NX – RT À REFAIRE"),OR('PROGRAMME RT'!$D$5="TOUTES",B1358='PROGRAMME RT'!$D$5)),1,0)</f>
        <v>0</v>
      </c>
      <c r="AN1358" s="78" t="str">
        <f aca="false">IF(AM1358=1,SUM(AM$7:AM1358),"")</f>
        <v/>
      </c>
      <c r="AO1358" s="78" t="n">
        <f aca="false">IF(AND(OR(AK1358="À RÉPARER",AK1358="COUPE – À RESOUDER",AK1358="VT REJETÉ – À REPRENDRE"),OR(RÉPARATIONS!$D$5="TOUTES",B1358=RÉPARATIONS!$D$5)),1,0)</f>
        <v>0</v>
      </c>
      <c r="AP1358" s="78" t="str">
        <f aca="false">IF(AO1358=1,SUM(AO$7:AO1358),"")</f>
        <v/>
      </c>
    </row>
    <row r="1359" customFormat="false" ht="15" hidden="false" customHeight="false" outlineLevel="0" collapsed="false">
      <c r="A1359" s="78" t="str">
        <f aca="false">IF(E1359="","",ROW()-6)</f>
        <v/>
      </c>
      <c r="B1359" s="79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0"/>
      <c r="P1359" s="81"/>
      <c r="Q1359" s="81"/>
      <c r="R1359" s="80"/>
      <c r="S1359" s="80"/>
      <c r="T1359" s="81"/>
      <c r="U1359" s="80"/>
      <c r="V1359" s="80"/>
      <c r="W1359" s="80"/>
      <c r="X1359" s="80"/>
      <c r="Y1359" s="81"/>
      <c r="Z1359" s="80"/>
      <c r="AA1359" s="80"/>
      <c r="AB1359" s="80"/>
      <c r="AC1359" s="80"/>
      <c r="AD1359" s="81"/>
      <c r="AE1359" s="80"/>
      <c r="AF1359" s="80"/>
      <c r="AG1359" s="81"/>
      <c r="AH1359" s="79"/>
      <c r="AI1359" s="78" t="str">
        <f aca="false">IF(E1359="","",(V1359&lt;&gt;"")+(AA1359&lt;&gt;"")+(AF1359&lt;&gt;""))</f>
        <v/>
      </c>
      <c r="AJ1359" s="82" t="str">
        <f aca="false">IF(AF1359&lt;&gt;"",AF1359,IF(AA1359&lt;&gt;"",AA1359,IF(V1359&lt;&gt;"",V1359,"")))</f>
        <v/>
      </c>
      <c r="AK1359" s="83" t="str">
        <f aca="false">IF(E1359="","",IF(P1359="","À SOUDER",IF(S1359="","VT EN ATTENTE",IF(S1359="R","VT REJETÉ – À REPRENDRE",IF(AJ1359="","À RADIOGRAPHIER",IF(AJ1359="A","ACCEPTÉ",IF(AJ1359="NX","NX – RT À REFAIRE",IF(IF(AI1359=1,X1359,IF(AI1359=2,AC1359,""))="A","RÉPARÉ – À RADIOGRAPHIER",IF(IF(AI1359=1,X1359,IF(AI1359=2,AC1359,""))="R","VT REJETÉ – À REPRENDRE",IF(AJ1359="CO","COUPE – À RESOUDER","À RÉPARER"))))))))))</f>
        <v/>
      </c>
      <c r="AL1359" s="82" t="str">
        <f aca="false">IF(AND(ISNUMBER(P1359),OR(AK1359="À RADIOGRAPHIER",AK1359="RÉPARÉ – À RADIOGRAPHIER",AK1359="NX – RT À REFAIRE",AK1359="À RÉPARER",AK1359="COUPE – À RESOUDER",AK1359="VT REJETÉ – À REPRENDRE")),MAX(0,'PROGRAMME RT'!$C$4-P1359),"")</f>
        <v/>
      </c>
      <c r="AM1359" s="78" t="n">
        <f aca="false">IF(AND(OR(AK1359="À RADIOGRAPHIER",AK1359="RÉPARÉ – À RADIOGRAPHIER",AK1359="NX – RT À REFAIRE"),OR('PROGRAMME RT'!$D$5="TOUTES",B1359='PROGRAMME RT'!$D$5)),1,0)</f>
        <v>0</v>
      </c>
      <c r="AN1359" s="78" t="str">
        <f aca="false">IF(AM1359=1,SUM(AM$7:AM1359),"")</f>
        <v/>
      </c>
      <c r="AO1359" s="78" t="n">
        <f aca="false">IF(AND(OR(AK1359="À RÉPARER",AK1359="COUPE – À RESOUDER",AK1359="VT REJETÉ – À REPRENDRE"),OR(RÉPARATIONS!$D$5="TOUTES",B1359=RÉPARATIONS!$D$5)),1,0)</f>
        <v>0</v>
      </c>
      <c r="AP1359" s="78" t="str">
        <f aca="false">IF(AO1359=1,SUM(AO$7:AO1359),"")</f>
        <v/>
      </c>
    </row>
    <row r="1360" customFormat="false" ht="15" hidden="false" customHeight="false" outlineLevel="0" collapsed="false">
      <c r="A1360" s="78" t="str">
        <f aca="false">IF(E1360="","",ROW()-6)</f>
        <v/>
      </c>
      <c r="B1360" s="79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0"/>
      <c r="P1360" s="81"/>
      <c r="Q1360" s="81"/>
      <c r="R1360" s="80"/>
      <c r="S1360" s="80"/>
      <c r="T1360" s="81"/>
      <c r="U1360" s="80"/>
      <c r="V1360" s="80"/>
      <c r="W1360" s="80"/>
      <c r="X1360" s="80"/>
      <c r="Y1360" s="81"/>
      <c r="Z1360" s="80"/>
      <c r="AA1360" s="80"/>
      <c r="AB1360" s="80"/>
      <c r="AC1360" s="80"/>
      <c r="AD1360" s="81"/>
      <c r="AE1360" s="80"/>
      <c r="AF1360" s="80"/>
      <c r="AG1360" s="81"/>
      <c r="AH1360" s="79"/>
      <c r="AI1360" s="78" t="str">
        <f aca="false">IF(E1360="","",(V1360&lt;&gt;"")+(AA1360&lt;&gt;"")+(AF1360&lt;&gt;""))</f>
        <v/>
      </c>
      <c r="AJ1360" s="82" t="str">
        <f aca="false">IF(AF1360&lt;&gt;"",AF1360,IF(AA1360&lt;&gt;"",AA1360,IF(V1360&lt;&gt;"",V1360,"")))</f>
        <v/>
      </c>
      <c r="AK1360" s="83" t="str">
        <f aca="false">IF(E1360="","",IF(P1360="","À SOUDER",IF(S1360="","VT EN ATTENTE",IF(S1360="R","VT REJETÉ – À REPRENDRE",IF(AJ1360="","À RADIOGRAPHIER",IF(AJ1360="A","ACCEPTÉ",IF(AJ1360="NX","NX – RT À REFAIRE",IF(IF(AI1360=1,X1360,IF(AI1360=2,AC1360,""))="A","RÉPARÉ – À RADIOGRAPHIER",IF(IF(AI1360=1,X1360,IF(AI1360=2,AC1360,""))="R","VT REJETÉ – À REPRENDRE",IF(AJ1360="CO","COUPE – À RESOUDER","À RÉPARER"))))))))))</f>
        <v/>
      </c>
      <c r="AL1360" s="82" t="str">
        <f aca="false">IF(AND(ISNUMBER(P1360),OR(AK1360="À RADIOGRAPHIER",AK1360="RÉPARÉ – À RADIOGRAPHIER",AK1360="NX – RT À REFAIRE",AK1360="À RÉPARER",AK1360="COUPE – À RESOUDER",AK1360="VT REJETÉ – À REPRENDRE")),MAX(0,'PROGRAMME RT'!$C$4-P1360),"")</f>
        <v/>
      </c>
      <c r="AM1360" s="78" t="n">
        <f aca="false">IF(AND(OR(AK1360="À RADIOGRAPHIER",AK1360="RÉPARÉ – À RADIOGRAPHIER",AK1360="NX – RT À REFAIRE"),OR('PROGRAMME RT'!$D$5="TOUTES",B1360='PROGRAMME RT'!$D$5)),1,0)</f>
        <v>0</v>
      </c>
      <c r="AN1360" s="78" t="str">
        <f aca="false">IF(AM1360=1,SUM(AM$7:AM1360),"")</f>
        <v/>
      </c>
      <c r="AO1360" s="78" t="n">
        <f aca="false">IF(AND(OR(AK1360="À RÉPARER",AK1360="COUPE – À RESOUDER",AK1360="VT REJETÉ – À REPRENDRE"),OR(RÉPARATIONS!$D$5="TOUTES",B1360=RÉPARATIONS!$D$5)),1,0)</f>
        <v>0</v>
      </c>
      <c r="AP1360" s="78" t="str">
        <f aca="false">IF(AO1360=1,SUM(AO$7:AO1360),"")</f>
        <v/>
      </c>
    </row>
    <row r="1361" customFormat="false" ht="15" hidden="false" customHeight="false" outlineLevel="0" collapsed="false">
      <c r="A1361" s="78" t="str">
        <f aca="false">IF(E1361="","",ROW()-6)</f>
        <v/>
      </c>
      <c r="B1361" s="79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0"/>
      <c r="P1361" s="81"/>
      <c r="Q1361" s="81"/>
      <c r="R1361" s="80"/>
      <c r="S1361" s="80"/>
      <c r="T1361" s="81"/>
      <c r="U1361" s="80"/>
      <c r="V1361" s="80"/>
      <c r="W1361" s="80"/>
      <c r="X1361" s="80"/>
      <c r="Y1361" s="81"/>
      <c r="Z1361" s="80"/>
      <c r="AA1361" s="80"/>
      <c r="AB1361" s="80"/>
      <c r="AC1361" s="80"/>
      <c r="AD1361" s="81"/>
      <c r="AE1361" s="80"/>
      <c r="AF1361" s="80"/>
      <c r="AG1361" s="81"/>
      <c r="AH1361" s="79"/>
      <c r="AI1361" s="78" t="str">
        <f aca="false">IF(E1361="","",(V1361&lt;&gt;"")+(AA1361&lt;&gt;"")+(AF1361&lt;&gt;""))</f>
        <v/>
      </c>
      <c r="AJ1361" s="82" t="str">
        <f aca="false">IF(AF1361&lt;&gt;"",AF1361,IF(AA1361&lt;&gt;"",AA1361,IF(V1361&lt;&gt;"",V1361,"")))</f>
        <v/>
      </c>
      <c r="AK1361" s="83" t="str">
        <f aca="false">IF(E1361="","",IF(P1361="","À SOUDER",IF(S1361="","VT EN ATTENTE",IF(S1361="R","VT REJETÉ – À REPRENDRE",IF(AJ1361="","À RADIOGRAPHIER",IF(AJ1361="A","ACCEPTÉ",IF(AJ1361="NX","NX – RT À REFAIRE",IF(IF(AI1361=1,X1361,IF(AI1361=2,AC1361,""))="A","RÉPARÉ – À RADIOGRAPHIER",IF(IF(AI1361=1,X1361,IF(AI1361=2,AC1361,""))="R","VT REJETÉ – À REPRENDRE",IF(AJ1361="CO","COUPE – À RESOUDER","À RÉPARER"))))))))))</f>
        <v/>
      </c>
      <c r="AL1361" s="82" t="str">
        <f aca="false">IF(AND(ISNUMBER(P1361),OR(AK1361="À RADIOGRAPHIER",AK1361="RÉPARÉ – À RADIOGRAPHIER",AK1361="NX – RT À REFAIRE",AK1361="À RÉPARER",AK1361="COUPE – À RESOUDER",AK1361="VT REJETÉ – À REPRENDRE")),MAX(0,'PROGRAMME RT'!$C$4-P1361),"")</f>
        <v/>
      </c>
      <c r="AM1361" s="78" t="n">
        <f aca="false">IF(AND(OR(AK1361="À RADIOGRAPHIER",AK1361="RÉPARÉ – À RADIOGRAPHIER",AK1361="NX – RT À REFAIRE"),OR('PROGRAMME RT'!$D$5="TOUTES",B1361='PROGRAMME RT'!$D$5)),1,0)</f>
        <v>0</v>
      </c>
      <c r="AN1361" s="78" t="str">
        <f aca="false">IF(AM1361=1,SUM(AM$7:AM1361),"")</f>
        <v/>
      </c>
      <c r="AO1361" s="78" t="n">
        <f aca="false">IF(AND(OR(AK1361="À RÉPARER",AK1361="COUPE – À RESOUDER",AK1361="VT REJETÉ – À REPRENDRE"),OR(RÉPARATIONS!$D$5="TOUTES",B1361=RÉPARATIONS!$D$5)),1,0)</f>
        <v>0</v>
      </c>
      <c r="AP1361" s="78" t="str">
        <f aca="false">IF(AO1361=1,SUM(AO$7:AO1361),"")</f>
        <v/>
      </c>
    </row>
    <row r="1362" customFormat="false" ht="15" hidden="false" customHeight="false" outlineLevel="0" collapsed="false">
      <c r="A1362" s="78" t="str">
        <f aca="false">IF(E1362="","",ROW()-6)</f>
        <v/>
      </c>
      <c r="B1362" s="79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0"/>
      <c r="P1362" s="81"/>
      <c r="Q1362" s="81"/>
      <c r="R1362" s="80"/>
      <c r="S1362" s="80"/>
      <c r="T1362" s="81"/>
      <c r="U1362" s="80"/>
      <c r="V1362" s="80"/>
      <c r="W1362" s="80"/>
      <c r="X1362" s="80"/>
      <c r="Y1362" s="81"/>
      <c r="Z1362" s="80"/>
      <c r="AA1362" s="80"/>
      <c r="AB1362" s="80"/>
      <c r="AC1362" s="80"/>
      <c r="AD1362" s="81"/>
      <c r="AE1362" s="80"/>
      <c r="AF1362" s="80"/>
      <c r="AG1362" s="81"/>
      <c r="AH1362" s="79"/>
      <c r="AI1362" s="78" t="str">
        <f aca="false">IF(E1362="","",(V1362&lt;&gt;"")+(AA1362&lt;&gt;"")+(AF1362&lt;&gt;""))</f>
        <v/>
      </c>
      <c r="AJ1362" s="82" t="str">
        <f aca="false">IF(AF1362&lt;&gt;"",AF1362,IF(AA1362&lt;&gt;"",AA1362,IF(V1362&lt;&gt;"",V1362,"")))</f>
        <v/>
      </c>
      <c r="AK1362" s="83" t="str">
        <f aca="false">IF(E1362="","",IF(P1362="","À SOUDER",IF(S1362="","VT EN ATTENTE",IF(S1362="R","VT REJETÉ – À REPRENDRE",IF(AJ1362="","À RADIOGRAPHIER",IF(AJ1362="A","ACCEPTÉ",IF(AJ1362="NX","NX – RT À REFAIRE",IF(IF(AI1362=1,X1362,IF(AI1362=2,AC1362,""))="A","RÉPARÉ – À RADIOGRAPHIER",IF(IF(AI1362=1,X1362,IF(AI1362=2,AC1362,""))="R","VT REJETÉ – À REPRENDRE",IF(AJ1362="CO","COUPE – À RESOUDER","À RÉPARER"))))))))))</f>
        <v/>
      </c>
      <c r="AL1362" s="82" t="str">
        <f aca="false">IF(AND(ISNUMBER(P1362),OR(AK1362="À RADIOGRAPHIER",AK1362="RÉPARÉ – À RADIOGRAPHIER",AK1362="NX – RT À REFAIRE",AK1362="À RÉPARER",AK1362="COUPE – À RESOUDER",AK1362="VT REJETÉ – À REPRENDRE")),MAX(0,'PROGRAMME RT'!$C$4-P1362),"")</f>
        <v/>
      </c>
      <c r="AM1362" s="78" t="n">
        <f aca="false">IF(AND(OR(AK1362="À RADIOGRAPHIER",AK1362="RÉPARÉ – À RADIOGRAPHIER",AK1362="NX – RT À REFAIRE"),OR('PROGRAMME RT'!$D$5="TOUTES",B1362='PROGRAMME RT'!$D$5)),1,0)</f>
        <v>0</v>
      </c>
      <c r="AN1362" s="78" t="str">
        <f aca="false">IF(AM1362=1,SUM(AM$7:AM1362),"")</f>
        <v/>
      </c>
      <c r="AO1362" s="78" t="n">
        <f aca="false">IF(AND(OR(AK1362="À RÉPARER",AK1362="COUPE – À RESOUDER",AK1362="VT REJETÉ – À REPRENDRE"),OR(RÉPARATIONS!$D$5="TOUTES",B1362=RÉPARATIONS!$D$5)),1,0)</f>
        <v>0</v>
      </c>
      <c r="AP1362" s="78" t="str">
        <f aca="false">IF(AO1362=1,SUM(AO$7:AO1362),"")</f>
        <v/>
      </c>
    </row>
    <row r="1363" customFormat="false" ht="15" hidden="false" customHeight="false" outlineLevel="0" collapsed="false">
      <c r="A1363" s="78" t="str">
        <f aca="false">IF(E1363="","",ROW()-6)</f>
        <v/>
      </c>
      <c r="B1363" s="79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0"/>
      <c r="P1363" s="81"/>
      <c r="Q1363" s="81"/>
      <c r="R1363" s="80"/>
      <c r="S1363" s="80"/>
      <c r="T1363" s="81"/>
      <c r="U1363" s="80"/>
      <c r="V1363" s="80"/>
      <c r="W1363" s="80"/>
      <c r="X1363" s="80"/>
      <c r="Y1363" s="81"/>
      <c r="Z1363" s="80"/>
      <c r="AA1363" s="80"/>
      <c r="AB1363" s="80"/>
      <c r="AC1363" s="80"/>
      <c r="AD1363" s="81"/>
      <c r="AE1363" s="80"/>
      <c r="AF1363" s="80"/>
      <c r="AG1363" s="81"/>
      <c r="AH1363" s="79"/>
      <c r="AI1363" s="78" t="str">
        <f aca="false">IF(E1363="","",(V1363&lt;&gt;"")+(AA1363&lt;&gt;"")+(AF1363&lt;&gt;""))</f>
        <v/>
      </c>
      <c r="AJ1363" s="82" t="str">
        <f aca="false">IF(AF1363&lt;&gt;"",AF1363,IF(AA1363&lt;&gt;"",AA1363,IF(V1363&lt;&gt;"",V1363,"")))</f>
        <v/>
      </c>
      <c r="AK1363" s="83" t="str">
        <f aca="false">IF(E1363="","",IF(P1363="","À SOUDER",IF(S1363="","VT EN ATTENTE",IF(S1363="R","VT REJETÉ – À REPRENDRE",IF(AJ1363="","À RADIOGRAPHIER",IF(AJ1363="A","ACCEPTÉ",IF(AJ1363="NX","NX – RT À REFAIRE",IF(IF(AI1363=1,X1363,IF(AI1363=2,AC1363,""))="A","RÉPARÉ – À RADIOGRAPHIER",IF(IF(AI1363=1,X1363,IF(AI1363=2,AC1363,""))="R","VT REJETÉ – À REPRENDRE",IF(AJ1363="CO","COUPE – À RESOUDER","À RÉPARER"))))))))))</f>
        <v/>
      </c>
      <c r="AL1363" s="82" t="str">
        <f aca="false">IF(AND(ISNUMBER(P1363),OR(AK1363="À RADIOGRAPHIER",AK1363="RÉPARÉ – À RADIOGRAPHIER",AK1363="NX – RT À REFAIRE",AK1363="À RÉPARER",AK1363="COUPE – À RESOUDER",AK1363="VT REJETÉ – À REPRENDRE")),MAX(0,'PROGRAMME RT'!$C$4-P1363),"")</f>
        <v/>
      </c>
      <c r="AM1363" s="78" t="n">
        <f aca="false">IF(AND(OR(AK1363="À RADIOGRAPHIER",AK1363="RÉPARÉ – À RADIOGRAPHIER",AK1363="NX – RT À REFAIRE"),OR('PROGRAMME RT'!$D$5="TOUTES",B1363='PROGRAMME RT'!$D$5)),1,0)</f>
        <v>0</v>
      </c>
      <c r="AN1363" s="78" t="str">
        <f aca="false">IF(AM1363=1,SUM(AM$7:AM1363),"")</f>
        <v/>
      </c>
      <c r="AO1363" s="78" t="n">
        <f aca="false">IF(AND(OR(AK1363="À RÉPARER",AK1363="COUPE – À RESOUDER",AK1363="VT REJETÉ – À REPRENDRE"),OR(RÉPARATIONS!$D$5="TOUTES",B1363=RÉPARATIONS!$D$5)),1,0)</f>
        <v>0</v>
      </c>
      <c r="AP1363" s="78" t="str">
        <f aca="false">IF(AO1363=1,SUM(AO$7:AO1363),"")</f>
        <v/>
      </c>
    </row>
    <row r="1364" customFormat="false" ht="15" hidden="false" customHeight="false" outlineLevel="0" collapsed="false">
      <c r="A1364" s="78" t="str">
        <f aca="false">IF(E1364="","",ROW()-6)</f>
        <v/>
      </c>
      <c r="B1364" s="79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0"/>
      <c r="P1364" s="81"/>
      <c r="Q1364" s="81"/>
      <c r="R1364" s="80"/>
      <c r="S1364" s="80"/>
      <c r="T1364" s="81"/>
      <c r="U1364" s="80"/>
      <c r="V1364" s="80"/>
      <c r="W1364" s="80"/>
      <c r="X1364" s="80"/>
      <c r="Y1364" s="81"/>
      <c r="Z1364" s="80"/>
      <c r="AA1364" s="80"/>
      <c r="AB1364" s="80"/>
      <c r="AC1364" s="80"/>
      <c r="AD1364" s="81"/>
      <c r="AE1364" s="80"/>
      <c r="AF1364" s="80"/>
      <c r="AG1364" s="81"/>
      <c r="AH1364" s="79"/>
      <c r="AI1364" s="78" t="str">
        <f aca="false">IF(E1364="","",(V1364&lt;&gt;"")+(AA1364&lt;&gt;"")+(AF1364&lt;&gt;""))</f>
        <v/>
      </c>
      <c r="AJ1364" s="82" t="str">
        <f aca="false">IF(AF1364&lt;&gt;"",AF1364,IF(AA1364&lt;&gt;"",AA1364,IF(V1364&lt;&gt;"",V1364,"")))</f>
        <v/>
      </c>
      <c r="AK1364" s="83" t="str">
        <f aca="false">IF(E1364="","",IF(P1364="","À SOUDER",IF(S1364="","VT EN ATTENTE",IF(S1364="R","VT REJETÉ – À REPRENDRE",IF(AJ1364="","À RADIOGRAPHIER",IF(AJ1364="A","ACCEPTÉ",IF(AJ1364="NX","NX – RT À REFAIRE",IF(IF(AI1364=1,X1364,IF(AI1364=2,AC1364,""))="A","RÉPARÉ – À RADIOGRAPHIER",IF(IF(AI1364=1,X1364,IF(AI1364=2,AC1364,""))="R","VT REJETÉ – À REPRENDRE",IF(AJ1364="CO","COUPE – À RESOUDER","À RÉPARER"))))))))))</f>
        <v/>
      </c>
      <c r="AL1364" s="82" t="str">
        <f aca="false">IF(AND(ISNUMBER(P1364),OR(AK1364="À RADIOGRAPHIER",AK1364="RÉPARÉ – À RADIOGRAPHIER",AK1364="NX – RT À REFAIRE",AK1364="À RÉPARER",AK1364="COUPE – À RESOUDER",AK1364="VT REJETÉ – À REPRENDRE")),MAX(0,'PROGRAMME RT'!$C$4-P1364),"")</f>
        <v/>
      </c>
      <c r="AM1364" s="78" t="n">
        <f aca="false">IF(AND(OR(AK1364="À RADIOGRAPHIER",AK1364="RÉPARÉ – À RADIOGRAPHIER",AK1364="NX – RT À REFAIRE"),OR('PROGRAMME RT'!$D$5="TOUTES",B1364='PROGRAMME RT'!$D$5)),1,0)</f>
        <v>0</v>
      </c>
      <c r="AN1364" s="78" t="str">
        <f aca="false">IF(AM1364=1,SUM(AM$7:AM1364),"")</f>
        <v/>
      </c>
      <c r="AO1364" s="78" t="n">
        <f aca="false">IF(AND(OR(AK1364="À RÉPARER",AK1364="COUPE – À RESOUDER",AK1364="VT REJETÉ – À REPRENDRE"),OR(RÉPARATIONS!$D$5="TOUTES",B1364=RÉPARATIONS!$D$5)),1,0)</f>
        <v>0</v>
      </c>
      <c r="AP1364" s="78" t="str">
        <f aca="false">IF(AO1364=1,SUM(AO$7:AO1364),"")</f>
        <v/>
      </c>
    </row>
    <row r="1365" customFormat="false" ht="15" hidden="false" customHeight="false" outlineLevel="0" collapsed="false">
      <c r="A1365" s="78" t="str">
        <f aca="false">IF(E1365="","",ROW()-6)</f>
        <v/>
      </c>
      <c r="B1365" s="79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0"/>
      <c r="P1365" s="81"/>
      <c r="Q1365" s="81"/>
      <c r="R1365" s="80"/>
      <c r="S1365" s="80"/>
      <c r="T1365" s="81"/>
      <c r="U1365" s="80"/>
      <c r="V1365" s="80"/>
      <c r="W1365" s="80"/>
      <c r="X1365" s="80"/>
      <c r="Y1365" s="81"/>
      <c r="Z1365" s="80"/>
      <c r="AA1365" s="80"/>
      <c r="AB1365" s="80"/>
      <c r="AC1365" s="80"/>
      <c r="AD1365" s="81"/>
      <c r="AE1365" s="80"/>
      <c r="AF1365" s="80"/>
      <c r="AG1365" s="81"/>
      <c r="AH1365" s="79"/>
      <c r="AI1365" s="78" t="str">
        <f aca="false">IF(E1365="","",(V1365&lt;&gt;"")+(AA1365&lt;&gt;"")+(AF1365&lt;&gt;""))</f>
        <v/>
      </c>
      <c r="AJ1365" s="82" t="str">
        <f aca="false">IF(AF1365&lt;&gt;"",AF1365,IF(AA1365&lt;&gt;"",AA1365,IF(V1365&lt;&gt;"",V1365,"")))</f>
        <v/>
      </c>
      <c r="AK1365" s="83" t="str">
        <f aca="false">IF(E1365="","",IF(P1365="","À SOUDER",IF(S1365="","VT EN ATTENTE",IF(S1365="R","VT REJETÉ – À REPRENDRE",IF(AJ1365="","À RADIOGRAPHIER",IF(AJ1365="A","ACCEPTÉ",IF(AJ1365="NX","NX – RT À REFAIRE",IF(IF(AI1365=1,X1365,IF(AI1365=2,AC1365,""))="A","RÉPARÉ – À RADIOGRAPHIER",IF(IF(AI1365=1,X1365,IF(AI1365=2,AC1365,""))="R","VT REJETÉ – À REPRENDRE",IF(AJ1365="CO","COUPE – À RESOUDER","À RÉPARER"))))))))))</f>
        <v/>
      </c>
      <c r="AL1365" s="82" t="str">
        <f aca="false">IF(AND(ISNUMBER(P1365),OR(AK1365="À RADIOGRAPHIER",AK1365="RÉPARÉ – À RADIOGRAPHIER",AK1365="NX – RT À REFAIRE",AK1365="À RÉPARER",AK1365="COUPE – À RESOUDER",AK1365="VT REJETÉ – À REPRENDRE")),MAX(0,'PROGRAMME RT'!$C$4-P1365),"")</f>
        <v/>
      </c>
      <c r="AM1365" s="78" t="n">
        <f aca="false">IF(AND(OR(AK1365="À RADIOGRAPHIER",AK1365="RÉPARÉ – À RADIOGRAPHIER",AK1365="NX – RT À REFAIRE"),OR('PROGRAMME RT'!$D$5="TOUTES",B1365='PROGRAMME RT'!$D$5)),1,0)</f>
        <v>0</v>
      </c>
      <c r="AN1365" s="78" t="str">
        <f aca="false">IF(AM1365=1,SUM(AM$7:AM1365),"")</f>
        <v/>
      </c>
      <c r="AO1365" s="78" t="n">
        <f aca="false">IF(AND(OR(AK1365="À RÉPARER",AK1365="COUPE – À RESOUDER",AK1365="VT REJETÉ – À REPRENDRE"),OR(RÉPARATIONS!$D$5="TOUTES",B1365=RÉPARATIONS!$D$5)),1,0)</f>
        <v>0</v>
      </c>
      <c r="AP1365" s="78" t="str">
        <f aca="false">IF(AO1365=1,SUM(AO$7:AO1365),"")</f>
        <v/>
      </c>
    </row>
    <row r="1366" customFormat="false" ht="15" hidden="false" customHeight="false" outlineLevel="0" collapsed="false">
      <c r="A1366" s="78" t="str">
        <f aca="false">IF(E1366="","",ROW()-6)</f>
        <v/>
      </c>
      <c r="B1366" s="79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0"/>
      <c r="P1366" s="81"/>
      <c r="Q1366" s="81"/>
      <c r="R1366" s="80"/>
      <c r="S1366" s="80"/>
      <c r="T1366" s="81"/>
      <c r="U1366" s="80"/>
      <c r="V1366" s="80"/>
      <c r="W1366" s="80"/>
      <c r="X1366" s="80"/>
      <c r="Y1366" s="81"/>
      <c r="Z1366" s="80"/>
      <c r="AA1366" s="80"/>
      <c r="AB1366" s="80"/>
      <c r="AC1366" s="80"/>
      <c r="AD1366" s="81"/>
      <c r="AE1366" s="80"/>
      <c r="AF1366" s="80"/>
      <c r="AG1366" s="81"/>
      <c r="AH1366" s="79"/>
      <c r="AI1366" s="78" t="str">
        <f aca="false">IF(E1366="","",(V1366&lt;&gt;"")+(AA1366&lt;&gt;"")+(AF1366&lt;&gt;""))</f>
        <v/>
      </c>
      <c r="AJ1366" s="82" t="str">
        <f aca="false">IF(AF1366&lt;&gt;"",AF1366,IF(AA1366&lt;&gt;"",AA1366,IF(V1366&lt;&gt;"",V1366,"")))</f>
        <v/>
      </c>
      <c r="AK1366" s="83" t="str">
        <f aca="false">IF(E1366="","",IF(P1366="","À SOUDER",IF(S1366="","VT EN ATTENTE",IF(S1366="R","VT REJETÉ – À REPRENDRE",IF(AJ1366="","À RADIOGRAPHIER",IF(AJ1366="A","ACCEPTÉ",IF(AJ1366="NX","NX – RT À REFAIRE",IF(IF(AI1366=1,X1366,IF(AI1366=2,AC1366,""))="A","RÉPARÉ – À RADIOGRAPHIER",IF(IF(AI1366=1,X1366,IF(AI1366=2,AC1366,""))="R","VT REJETÉ – À REPRENDRE",IF(AJ1366="CO","COUPE – À RESOUDER","À RÉPARER"))))))))))</f>
        <v/>
      </c>
      <c r="AL1366" s="82" t="str">
        <f aca="false">IF(AND(ISNUMBER(P1366),OR(AK1366="À RADIOGRAPHIER",AK1366="RÉPARÉ – À RADIOGRAPHIER",AK1366="NX – RT À REFAIRE",AK1366="À RÉPARER",AK1366="COUPE – À RESOUDER",AK1366="VT REJETÉ – À REPRENDRE")),MAX(0,'PROGRAMME RT'!$C$4-P1366),"")</f>
        <v/>
      </c>
      <c r="AM1366" s="78" t="n">
        <f aca="false">IF(AND(OR(AK1366="À RADIOGRAPHIER",AK1366="RÉPARÉ – À RADIOGRAPHIER",AK1366="NX – RT À REFAIRE"),OR('PROGRAMME RT'!$D$5="TOUTES",B1366='PROGRAMME RT'!$D$5)),1,0)</f>
        <v>0</v>
      </c>
      <c r="AN1366" s="78" t="str">
        <f aca="false">IF(AM1366=1,SUM(AM$7:AM1366),"")</f>
        <v/>
      </c>
      <c r="AO1366" s="78" t="n">
        <f aca="false">IF(AND(OR(AK1366="À RÉPARER",AK1366="COUPE – À RESOUDER",AK1366="VT REJETÉ – À REPRENDRE"),OR(RÉPARATIONS!$D$5="TOUTES",B1366=RÉPARATIONS!$D$5)),1,0)</f>
        <v>0</v>
      </c>
      <c r="AP1366" s="78" t="str">
        <f aca="false">IF(AO1366=1,SUM(AO$7:AO1366),"")</f>
        <v/>
      </c>
    </row>
    <row r="1367" customFormat="false" ht="15" hidden="false" customHeight="false" outlineLevel="0" collapsed="false">
      <c r="A1367" s="78" t="str">
        <f aca="false">IF(E1367="","",ROW()-6)</f>
        <v/>
      </c>
      <c r="B1367" s="79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0"/>
      <c r="P1367" s="81"/>
      <c r="Q1367" s="81"/>
      <c r="R1367" s="80"/>
      <c r="S1367" s="80"/>
      <c r="T1367" s="81"/>
      <c r="U1367" s="80"/>
      <c r="V1367" s="80"/>
      <c r="W1367" s="80"/>
      <c r="X1367" s="80"/>
      <c r="Y1367" s="81"/>
      <c r="Z1367" s="80"/>
      <c r="AA1367" s="80"/>
      <c r="AB1367" s="80"/>
      <c r="AC1367" s="80"/>
      <c r="AD1367" s="81"/>
      <c r="AE1367" s="80"/>
      <c r="AF1367" s="80"/>
      <c r="AG1367" s="81"/>
      <c r="AH1367" s="79"/>
      <c r="AI1367" s="78" t="str">
        <f aca="false">IF(E1367="","",(V1367&lt;&gt;"")+(AA1367&lt;&gt;"")+(AF1367&lt;&gt;""))</f>
        <v/>
      </c>
      <c r="AJ1367" s="82" t="str">
        <f aca="false">IF(AF1367&lt;&gt;"",AF1367,IF(AA1367&lt;&gt;"",AA1367,IF(V1367&lt;&gt;"",V1367,"")))</f>
        <v/>
      </c>
      <c r="AK1367" s="83" t="str">
        <f aca="false">IF(E1367="","",IF(P1367="","À SOUDER",IF(S1367="","VT EN ATTENTE",IF(S1367="R","VT REJETÉ – À REPRENDRE",IF(AJ1367="","À RADIOGRAPHIER",IF(AJ1367="A","ACCEPTÉ",IF(AJ1367="NX","NX – RT À REFAIRE",IF(IF(AI1367=1,X1367,IF(AI1367=2,AC1367,""))="A","RÉPARÉ – À RADIOGRAPHIER",IF(IF(AI1367=1,X1367,IF(AI1367=2,AC1367,""))="R","VT REJETÉ – À REPRENDRE",IF(AJ1367="CO","COUPE – À RESOUDER","À RÉPARER"))))))))))</f>
        <v/>
      </c>
      <c r="AL1367" s="82" t="str">
        <f aca="false">IF(AND(ISNUMBER(P1367),OR(AK1367="À RADIOGRAPHIER",AK1367="RÉPARÉ – À RADIOGRAPHIER",AK1367="NX – RT À REFAIRE",AK1367="À RÉPARER",AK1367="COUPE – À RESOUDER",AK1367="VT REJETÉ – À REPRENDRE")),MAX(0,'PROGRAMME RT'!$C$4-P1367),"")</f>
        <v/>
      </c>
      <c r="AM1367" s="78" t="n">
        <f aca="false">IF(AND(OR(AK1367="À RADIOGRAPHIER",AK1367="RÉPARÉ – À RADIOGRAPHIER",AK1367="NX – RT À REFAIRE"),OR('PROGRAMME RT'!$D$5="TOUTES",B1367='PROGRAMME RT'!$D$5)),1,0)</f>
        <v>0</v>
      </c>
      <c r="AN1367" s="78" t="str">
        <f aca="false">IF(AM1367=1,SUM(AM$7:AM1367),"")</f>
        <v/>
      </c>
      <c r="AO1367" s="78" t="n">
        <f aca="false">IF(AND(OR(AK1367="À RÉPARER",AK1367="COUPE – À RESOUDER",AK1367="VT REJETÉ – À REPRENDRE"),OR(RÉPARATIONS!$D$5="TOUTES",B1367=RÉPARATIONS!$D$5)),1,0)</f>
        <v>0</v>
      </c>
      <c r="AP1367" s="78" t="str">
        <f aca="false">IF(AO1367=1,SUM(AO$7:AO1367),"")</f>
        <v/>
      </c>
    </row>
    <row r="1368" customFormat="false" ht="15" hidden="false" customHeight="false" outlineLevel="0" collapsed="false">
      <c r="A1368" s="78" t="str">
        <f aca="false">IF(E1368="","",ROW()-6)</f>
        <v/>
      </c>
      <c r="B1368" s="79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0"/>
      <c r="P1368" s="81"/>
      <c r="Q1368" s="81"/>
      <c r="R1368" s="80"/>
      <c r="S1368" s="80"/>
      <c r="T1368" s="81"/>
      <c r="U1368" s="80"/>
      <c r="V1368" s="80"/>
      <c r="W1368" s="80"/>
      <c r="X1368" s="80"/>
      <c r="Y1368" s="81"/>
      <c r="Z1368" s="80"/>
      <c r="AA1368" s="80"/>
      <c r="AB1368" s="80"/>
      <c r="AC1368" s="80"/>
      <c r="AD1368" s="81"/>
      <c r="AE1368" s="80"/>
      <c r="AF1368" s="80"/>
      <c r="AG1368" s="81"/>
      <c r="AH1368" s="79"/>
      <c r="AI1368" s="78" t="str">
        <f aca="false">IF(E1368="","",(V1368&lt;&gt;"")+(AA1368&lt;&gt;"")+(AF1368&lt;&gt;""))</f>
        <v/>
      </c>
      <c r="AJ1368" s="82" t="str">
        <f aca="false">IF(AF1368&lt;&gt;"",AF1368,IF(AA1368&lt;&gt;"",AA1368,IF(V1368&lt;&gt;"",V1368,"")))</f>
        <v/>
      </c>
      <c r="AK1368" s="83" t="str">
        <f aca="false">IF(E1368="","",IF(P1368="","À SOUDER",IF(S1368="","VT EN ATTENTE",IF(S1368="R","VT REJETÉ – À REPRENDRE",IF(AJ1368="","À RADIOGRAPHIER",IF(AJ1368="A","ACCEPTÉ",IF(AJ1368="NX","NX – RT À REFAIRE",IF(IF(AI1368=1,X1368,IF(AI1368=2,AC1368,""))="A","RÉPARÉ – À RADIOGRAPHIER",IF(IF(AI1368=1,X1368,IF(AI1368=2,AC1368,""))="R","VT REJETÉ – À REPRENDRE",IF(AJ1368="CO","COUPE – À RESOUDER","À RÉPARER"))))))))))</f>
        <v/>
      </c>
      <c r="AL1368" s="82" t="str">
        <f aca="false">IF(AND(ISNUMBER(P1368),OR(AK1368="À RADIOGRAPHIER",AK1368="RÉPARÉ – À RADIOGRAPHIER",AK1368="NX – RT À REFAIRE",AK1368="À RÉPARER",AK1368="COUPE – À RESOUDER",AK1368="VT REJETÉ – À REPRENDRE")),MAX(0,'PROGRAMME RT'!$C$4-P1368),"")</f>
        <v/>
      </c>
      <c r="AM1368" s="78" t="n">
        <f aca="false">IF(AND(OR(AK1368="À RADIOGRAPHIER",AK1368="RÉPARÉ – À RADIOGRAPHIER",AK1368="NX – RT À REFAIRE"),OR('PROGRAMME RT'!$D$5="TOUTES",B1368='PROGRAMME RT'!$D$5)),1,0)</f>
        <v>0</v>
      </c>
      <c r="AN1368" s="78" t="str">
        <f aca="false">IF(AM1368=1,SUM(AM$7:AM1368),"")</f>
        <v/>
      </c>
      <c r="AO1368" s="78" t="n">
        <f aca="false">IF(AND(OR(AK1368="À RÉPARER",AK1368="COUPE – À RESOUDER",AK1368="VT REJETÉ – À REPRENDRE"),OR(RÉPARATIONS!$D$5="TOUTES",B1368=RÉPARATIONS!$D$5)),1,0)</f>
        <v>0</v>
      </c>
      <c r="AP1368" s="78" t="str">
        <f aca="false">IF(AO1368=1,SUM(AO$7:AO1368),"")</f>
        <v/>
      </c>
    </row>
    <row r="1369" customFormat="false" ht="15" hidden="false" customHeight="false" outlineLevel="0" collapsed="false">
      <c r="A1369" s="78" t="str">
        <f aca="false">IF(E1369="","",ROW()-6)</f>
        <v/>
      </c>
      <c r="B1369" s="79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0"/>
      <c r="P1369" s="81"/>
      <c r="Q1369" s="81"/>
      <c r="R1369" s="80"/>
      <c r="S1369" s="80"/>
      <c r="T1369" s="81"/>
      <c r="U1369" s="80"/>
      <c r="V1369" s="80"/>
      <c r="W1369" s="80"/>
      <c r="X1369" s="80"/>
      <c r="Y1369" s="81"/>
      <c r="Z1369" s="80"/>
      <c r="AA1369" s="80"/>
      <c r="AB1369" s="80"/>
      <c r="AC1369" s="80"/>
      <c r="AD1369" s="81"/>
      <c r="AE1369" s="80"/>
      <c r="AF1369" s="80"/>
      <c r="AG1369" s="81"/>
      <c r="AH1369" s="79"/>
      <c r="AI1369" s="78" t="str">
        <f aca="false">IF(E1369="","",(V1369&lt;&gt;"")+(AA1369&lt;&gt;"")+(AF1369&lt;&gt;""))</f>
        <v/>
      </c>
      <c r="AJ1369" s="82" t="str">
        <f aca="false">IF(AF1369&lt;&gt;"",AF1369,IF(AA1369&lt;&gt;"",AA1369,IF(V1369&lt;&gt;"",V1369,"")))</f>
        <v/>
      </c>
      <c r="AK1369" s="83" t="str">
        <f aca="false">IF(E1369="","",IF(P1369="","À SOUDER",IF(S1369="","VT EN ATTENTE",IF(S1369="R","VT REJETÉ – À REPRENDRE",IF(AJ1369="","À RADIOGRAPHIER",IF(AJ1369="A","ACCEPTÉ",IF(AJ1369="NX","NX – RT À REFAIRE",IF(IF(AI1369=1,X1369,IF(AI1369=2,AC1369,""))="A","RÉPARÉ – À RADIOGRAPHIER",IF(IF(AI1369=1,X1369,IF(AI1369=2,AC1369,""))="R","VT REJETÉ – À REPRENDRE",IF(AJ1369="CO","COUPE – À RESOUDER","À RÉPARER"))))))))))</f>
        <v/>
      </c>
      <c r="AL1369" s="82" t="str">
        <f aca="false">IF(AND(ISNUMBER(P1369),OR(AK1369="À RADIOGRAPHIER",AK1369="RÉPARÉ – À RADIOGRAPHIER",AK1369="NX – RT À REFAIRE",AK1369="À RÉPARER",AK1369="COUPE – À RESOUDER",AK1369="VT REJETÉ – À REPRENDRE")),MAX(0,'PROGRAMME RT'!$C$4-P1369),"")</f>
        <v/>
      </c>
      <c r="AM1369" s="78" t="n">
        <f aca="false">IF(AND(OR(AK1369="À RADIOGRAPHIER",AK1369="RÉPARÉ – À RADIOGRAPHIER",AK1369="NX – RT À REFAIRE"),OR('PROGRAMME RT'!$D$5="TOUTES",B1369='PROGRAMME RT'!$D$5)),1,0)</f>
        <v>0</v>
      </c>
      <c r="AN1369" s="78" t="str">
        <f aca="false">IF(AM1369=1,SUM(AM$7:AM1369),"")</f>
        <v/>
      </c>
      <c r="AO1369" s="78" t="n">
        <f aca="false">IF(AND(OR(AK1369="À RÉPARER",AK1369="COUPE – À RESOUDER",AK1369="VT REJETÉ – À REPRENDRE"),OR(RÉPARATIONS!$D$5="TOUTES",B1369=RÉPARATIONS!$D$5)),1,0)</f>
        <v>0</v>
      </c>
      <c r="AP1369" s="78" t="str">
        <f aca="false">IF(AO1369=1,SUM(AO$7:AO1369),"")</f>
        <v/>
      </c>
    </row>
    <row r="1370" customFormat="false" ht="15" hidden="false" customHeight="false" outlineLevel="0" collapsed="false">
      <c r="A1370" s="78" t="str">
        <f aca="false">IF(E1370="","",ROW()-6)</f>
        <v/>
      </c>
      <c r="B1370" s="79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0"/>
      <c r="P1370" s="81"/>
      <c r="Q1370" s="81"/>
      <c r="R1370" s="80"/>
      <c r="S1370" s="80"/>
      <c r="T1370" s="81"/>
      <c r="U1370" s="80"/>
      <c r="V1370" s="80"/>
      <c r="W1370" s="80"/>
      <c r="X1370" s="80"/>
      <c r="Y1370" s="81"/>
      <c r="Z1370" s="80"/>
      <c r="AA1370" s="80"/>
      <c r="AB1370" s="80"/>
      <c r="AC1370" s="80"/>
      <c r="AD1370" s="81"/>
      <c r="AE1370" s="80"/>
      <c r="AF1370" s="80"/>
      <c r="AG1370" s="81"/>
      <c r="AH1370" s="79"/>
      <c r="AI1370" s="78" t="str">
        <f aca="false">IF(E1370="","",(V1370&lt;&gt;"")+(AA1370&lt;&gt;"")+(AF1370&lt;&gt;""))</f>
        <v/>
      </c>
      <c r="AJ1370" s="82" t="str">
        <f aca="false">IF(AF1370&lt;&gt;"",AF1370,IF(AA1370&lt;&gt;"",AA1370,IF(V1370&lt;&gt;"",V1370,"")))</f>
        <v/>
      </c>
      <c r="AK1370" s="83" t="str">
        <f aca="false">IF(E1370="","",IF(P1370="","À SOUDER",IF(S1370="","VT EN ATTENTE",IF(S1370="R","VT REJETÉ – À REPRENDRE",IF(AJ1370="","À RADIOGRAPHIER",IF(AJ1370="A","ACCEPTÉ",IF(AJ1370="NX","NX – RT À REFAIRE",IF(IF(AI1370=1,X1370,IF(AI1370=2,AC1370,""))="A","RÉPARÉ – À RADIOGRAPHIER",IF(IF(AI1370=1,X1370,IF(AI1370=2,AC1370,""))="R","VT REJETÉ – À REPRENDRE",IF(AJ1370="CO","COUPE – À RESOUDER","À RÉPARER"))))))))))</f>
        <v/>
      </c>
      <c r="AL1370" s="82" t="str">
        <f aca="false">IF(AND(ISNUMBER(P1370),OR(AK1370="À RADIOGRAPHIER",AK1370="RÉPARÉ – À RADIOGRAPHIER",AK1370="NX – RT À REFAIRE",AK1370="À RÉPARER",AK1370="COUPE – À RESOUDER",AK1370="VT REJETÉ – À REPRENDRE")),MAX(0,'PROGRAMME RT'!$C$4-P1370),"")</f>
        <v/>
      </c>
      <c r="AM1370" s="78" t="n">
        <f aca="false">IF(AND(OR(AK1370="À RADIOGRAPHIER",AK1370="RÉPARÉ – À RADIOGRAPHIER",AK1370="NX – RT À REFAIRE"),OR('PROGRAMME RT'!$D$5="TOUTES",B1370='PROGRAMME RT'!$D$5)),1,0)</f>
        <v>0</v>
      </c>
      <c r="AN1370" s="78" t="str">
        <f aca="false">IF(AM1370=1,SUM(AM$7:AM1370),"")</f>
        <v/>
      </c>
      <c r="AO1370" s="78" t="n">
        <f aca="false">IF(AND(OR(AK1370="À RÉPARER",AK1370="COUPE – À RESOUDER",AK1370="VT REJETÉ – À REPRENDRE"),OR(RÉPARATIONS!$D$5="TOUTES",B1370=RÉPARATIONS!$D$5)),1,0)</f>
        <v>0</v>
      </c>
      <c r="AP1370" s="78" t="str">
        <f aca="false">IF(AO1370=1,SUM(AO$7:AO1370),"")</f>
        <v/>
      </c>
    </row>
    <row r="1371" customFormat="false" ht="15" hidden="false" customHeight="false" outlineLevel="0" collapsed="false">
      <c r="A1371" s="78" t="str">
        <f aca="false">IF(E1371="","",ROW()-6)</f>
        <v/>
      </c>
      <c r="B1371" s="79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0"/>
      <c r="P1371" s="81"/>
      <c r="Q1371" s="81"/>
      <c r="R1371" s="80"/>
      <c r="S1371" s="80"/>
      <c r="T1371" s="81"/>
      <c r="U1371" s="80"/>
      <c r="V1371" s="80"/>
      <c r="W1371" s="80"/>
      <c r="X1371" s="80"/>
      <c r="Y1371" s="81"/>
      <c r="Z1371" s="80"/>
      <c r="AA1371" s="80"/>
      <c r="AB1371" s="80"/>
      <c r="AC1371" s="80"/>
      <c r="AD1371" s="81"/>
      <c r="AE1371" s="80"/>
      <c r="AF1371" s="80"/>
      <c r="AG1371" s="81"/>
      <c r="AH1371" s="79"/>
      <c r="AI1371" s="78" t="str">
        <f aca="false">IF(E1371="","",(V1371&lt;&gt;"")+(AA1371&lt;&gt;"")+(AF1371&lt;&gt;""))</f>
        <v/>
      </c>
      <c r="AJ1371" s="82" t="str">
        <f aca="false">IF(AF1371&lt;&gt;"",AF1371,IF(AA1371&lt;&gt;"",AA1371,IF(V1371&lt;&gt;"",V1371,"")))</f>
        <v/>
      </c>
      <c r="AK1371" s="83" t="str">
        <f aca="false">IF(E1371="","",IF(P1371="","À SOUDER",IF(S1371="","VT EN ATTENTE",IF(S1371="R","VT REJETÉ – À REPRENDRE",IF(AJ1371="","À RADIOGRAPHIER",IF(AJ1371="A","ACCEPTÉ",IF(AJ1371="NX","NX – RT À REFAIRE",IF(IF(AI1371=1,X1371,IF(AI1371=2,AC1371,""))="A","RÉPARÉ – À RADIOGRAPHIER",IF(IF(AI1371=1,X1371,IF(AI1371=2,AC1371,""))="R","VT REJETÉ – À REPRENDRE",IF(AJ1371="CO","COUPE – À RESOUDER","À RÉPARER"))))))))))</f>
        <v/>
      </c>
      <c r="AL1371" s="82" t="str">
        <f aca="false">IF(AND(ISNUMBER(P1371),OR(AK1371="À RADIOGRAPHIER",AK1371="RÉPARÉ – À RADIOGRAPHIER",AK1371="NX – RT À REFAIRE",AK1371="À RÉPARER",AK1371="COUPE – À RESOUDER",AK1371="VT REJETÉ – À REPRENDRE")),MAX(0,'PROGRAMME RT'!$C$4-P1371),"")</f>
        <v/>
      </c>
      <c r="AM1371" s="78" t="n">
        <f aca="false">IF(AND(OR(AK1371="À RADIOGRAPHIER",AK1371="RÉPARÉ – À RADIOGRAPHIER",AK1371="NX – RT À REFAIRE"),OR('PROGRAMME RT'!$D$5="TOUTES",B1371='PROGRAMME RT'!$D$5)),1,0)</f>
        <v>0</v>
      </c>
      <c r="AN1371" s="78" t="str">
        <f aca="false">IF(AM1371=1,SUM(AM$7:AM1371),"")</f>
        <v/>
      </c>
      <c r="AO1371" s="78" t="n">
        <f aca="false">IF(AND(OR(AK1371="À RÉPARER",AK1371="COUPE – À RESOUDER",AK1371="VT REJETÉ – À REPRENDRE"),OR(RÉPARATIONS!$D$5="TOUTES",B1371=RÉPARATIONS!$D$5)),1,0)</f>
        <v>0</v>
      </c>
      <c r="AP1371" s="78" t="str">
        <f aca="false">IF(AO1371=1,SUM(AO$7:AO1371),"")</f>
        <v/>
      </c>
    </row>
    <row r="1372" customFormat="false" ht="15" hidden="false" customHeight="false" outlineLevel="0" collapsed="false">
      <c r="A1372" s="78" t="str">
        <f aca="false">IF(E1372="","",ROW()-6)</f>
        <v/>
      </c>
      <c r="B1372" s="79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0"/>
      <c r="P1372" s="81"/>
      <c r="Q1372" s="81"/>
      <c r="R1372" s="80"/>
      <c r="S1372" s="80"/>
      <c r="T1372" s="81"/>
      <c r="U1372" s="80"/>
      <c r="V1372" s="80"/>
      <c r="W1372" s="80"/>
      <c r="X1372" s="80"/>
      <c r="Y1372" s="81"/>
      <c r="Z1372" s="80"/>
      <c r="AA1372" s="80"/>
      <c r="AB1372" s="80"/>
      <c r="AC1372" s="80"/>
      <c r="AD1372" s="81"/>
      <c r="AE1372" s="80"/>
      <c r="AF1372" s="80"/>
      <c r="AG1372" s="81"/>
      <c r="AH1372" s="79"/>
      <c r="AI1372" s="78" t="str">
        <f aca="false">IF(E1372="","",(V1372&lt;&gt;"")+(AA1372&lt;&gt;"")+(AF1372&lt;&gt;""))</f>
        <v/>
      </c>
      <c r="AJ1372" s="82" t="str">
        <f aca="false">IF(AF1372&lt;&gt;"",AF1372,IF(AA1372&lt;&gt;"",AA1372,IF(V1372&lt;&gt;"",V1372,"")))</f>
        <v/>
      </c>
      <c r="AK1372" s="83" t="str">
        <f aca="false">IF(E1372="","",IF(P1372="","À SOUDER",IF(S1372="","VT EN ATTENTE",IF(S1372="R","VT REJETÉ – À REPRENDRE",IF(AJ1372="","À RADIOGRAPHIER",IF(AJ1372="A","ACCEPTÉ",IF(AJ1372="NX","NX – RT À REFAIRE",IF(IF(AI1372=1,X1372,IF(AI1372=2,AC1372,""))="A","RÉPARÉ – À RADIOGRAPHIER",IF(IF(AI1372=1,X1372,IF(AI1372=2,AC1372,""))="R","VT REJETÉ – À REPRENDRE",IF(AJ1372="CO","COUPE – À RESOUDER","À RÉPARER"))))))))))</f>
        <v/>
      </c>
      <c r="AL1372" s="82" t="str">
        <f aca="false">IF(AND(ISNUMBER(P1372),OR(AK1372="À RADIOGRAPHIER",AK1372="RÉPARÉ – À RADIOGRAPHIER",AK1372="NX – RT À REFAIRE",AK1372="À RÉPARER",AK1372="COUPE – À RESOUDER",AK1372="VT REJETÉ – À REPRENDRE")),MAX(0,'PROGRAMME RT'!$C$4-P1372),"")</f>
        <v/>
      </c>
      <c r="AM1372" s="78" t="n">
        <f aca="false">IF(AND(OR(AK1372="À RADIOGRAPHIER",AK1372="RÉPARÉ – À RADIOGRAPHIER",AK1372="NX – RT À REFAIRE"),OR('PROGRAMME RT'!$D$5="TOUTES",B1372='PROGRAMME RT'!$D$5)),1,0)</f>
        <v>0</v>
      </c>
      <c r="AN1372" s="78" t="str">
        <f aca="false">IF(AM1372=1,SUM(AM$7:AM1372),"")</f>
        <v/>
      </c>
      <c r="AO1372" s="78" t="n">
        <f aca="false">IF(AND(OR(AK1372="À RÉPARER",AK1372="COUPE – À RESOUDER",AK1372="VT REJETÉ – À REPRENDRE"),OR(RÉPARATIONS!$D$5="TOUTES",B1372=RÉPARATIONS!$D$5)),1,0)</f>
        <v>0</v>
      </c>
      <c r="AP1372" s="78" t="str">
        <f aca="false">IF(AO1372=1,SUM(AO$7:AO1372),"")</f>
        <v/>
      </c>
    </row>
    <row r="1373" customFormat="false" ht="15" hidden="false" customHeight="false" outlineLevel="0" collapsed="false">
      <c r="A1373" s="78" t="str">
        <f aca="false">IF(E1373="","",ROW()-6)</f>
        <v/>
      </c>
      <c r="B1373" s="79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0"/>
      <c r="P1373" s="81"/>
      <c r="Q1373" s="81"/>
      <c r="R1373" s="80"/>
      <c r="S1373" s="80"/>
      <c r="T1373" s="81"/>
      <c r="U1373" s="80"/>
      <c r="V1373" s="80"/>
      <c r="W1373" s="80"/>
      <c r="X1373" s="80"/>
      <c r="Y1373" s="81"/>
      <c r="Z1373" s="80"/>
      <c r="AA1373" s="80"/>
      <c r="AB1373" s="80"/>
      <c r="AC1373" s="80"/>
      <c r="AD1373" s="81"/>
      <c r="AE1373" s="80"/>
      <c r="AF1373" s="80"/>
      <c r="AG1373" s="81"/>
      <c r="AH1373" s="79"/>
      <c r="AI1373" s="78" t="str">
        <f aca="false">IF(E1373="","",(V1373&lt;&gt;"")+(AA1373&lt;&gt;"")+(AF1373&lt;&gt;""))</f>
        <v/>
      </c>
      <c r="AJ1373" s="82" t="str">
        <f aca="false">IF(AF1373&lt;&gt;"",AF1373,IF(AA1373&lt;&gt;"",AA1373,IF(V1373&lt;&gt;"",V1373,"")))</f>
        <v/>
      </c>
      <c r="AK1373" s="83" t="str">
        <f aca="false">IF(E1373="","",IF(P1373="","À SOUDER",IF(S1373="","VT EN ATTENTE",IF(S1373="R","VT REJETÉ – À REPRENDRE",IF(AJ1373="","À RADIOGRAPHIER",IF(AJ1373="A","ACCEPTÉ",IF(AJ1373="NX","NX – RT À REFAIRE",IF(IF(AI1373=1,X1373,IF(AI1373=2,AC1373,""))="A","RÉPARÉ – À RADIOGRAPHIER",IF(IF(AI1373=1,X1373,IF(AI1373=2,AC1373,""))="R","VT REJETÉ – À REPRENDRE",IF(AJ1373="CO","COUPE – À RESOUDER","À RÉPARER"))))))))))</f>
        <v/>
      </c>
      <c r="AL1373" s="82" t="str">
        <f aca="false">IF(AND(ISNUMBER(P1373),OR(AK1373="À RADIOGRAPHIER",AK1373="RÉPARÉ – À RADIOGRAPHIER",AK1373="NX – RT À REFAIRE",AK1373="À RÉPARER",AK1373="COUPE – À RESOUDER",AK1373="VT REJETÉ – À REPRENDRE")),MAX(0,'PROGRAMME RT'!$C$4-P1373),"")</f>
        <v/>
      </c>
      <c r="AM1373" s="78" t="n">
        <f aca="false">IF(AND(OR(AK1373="À RADIOGRAPHIER",AK1373="RÉPARÉ – À RADIOGRAPHIER",AK1373="NX – RT À REFAIRE"),OR('PROGRAMME RT'!$D$5="TOUTES",B1373='PROGRAMME RT'!$D$5)),1,0)</f>
        <v>0</v>
      </c>
      <c r="AN1373" s="78" t="str">
        <f aca="false">IF(AM1373=1,SUM(AM$7:AM1373),"")</f>
        <v/>
      </c>
      <c r="AO1373" s="78" t="n">
        <f aca="false">IF(AND(OR(AK1373="À RÉPARER",AK1373="COUPE – À RESOUDER",AK1373="VT REJETÉ – À REPRENDRE"),OR(RÉPARATIONS!$D$5="TOUTES",B1373=RÉPARATIONS!$D$5)),1,0)</f>
        <v>0</v>
      </c>
      <c r="AP1373" s="78" t="str">
        <f aca="false">IF(AO1373=1,SUM(AO$7:AO1373),"")</f>
        <v/>
      </c>
    </row>
    <row r="1374" customFormat="false" ht="15" hidden="false" customHeight="false" outlineLevel="0" collapsed="false">
      <c r="A1374" s="78" t="str">
        <f aca="false">IF(E1374="","",ROW()-6)</f>
        <v/>
      </c>
      <c r="B1374" s="79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0"/>
      <c r="P1374" s="81"/>
      <c r="Q1374" s="81"/>
      <c r="R1374" s="80"/>
      <c r="S1374" s="80"/>
      <c r="T1374" s="81"/>
      <c r="U1374" s="80"/>
      <c r="V1374" s="80"/>
      <c r="W1374" s="80"/>
      <c r="X1374" s="80"/>
      <c r="Y1374" s="81"/>
      <c r="Z1374" s="80"/>
      <c r="AA1374" s="80"/>
      <c r="AB1374" s="80"/>
      <c r="AC1374" s="80"/>
      <c r="AD1374" s="81"/>
      <c r="AE1374" s="80"/>
      <c r="AF1374" s="80"/>
      <c r="AG1374" s="81"/>
      <c r="AH1374" s="79"/>
      <c r="AI1374" s="78" t="str">
        <f aca="false">IF(E1374="","",(V1374&lt;&gt;"")+(AA1374&lt;&gt;"")+(AF1374&lt;&gt;""))</f>
        <v/>
      </c>
      <c r="AJ1374" s="82" t="str">
        <f aca="false">IF(AF1374&lt;&gt;"",AF1374,IF(AA1374&lt;&gt;"",AA1374,IF(V1374&lt;&gt;"",V1374,"")))</f>
        <v/>
      </c>
      <c r="AK1374" s="83" t="str">
        <f aca="false">IF(E1374="","",IF(P1374="","À SOUDER",IF(S1374="","VT EN ATTENTE",IF(S1374="R","VT REJETÉ – À REPRENDRE",IF(AJ1374="","À RADIOGRAPHIER",IF(AJ1374="A","ACCEPTÉ",IF(AJ1374="NX","NX – RT À REFAIRE",IF(IF(AI1374=1,X1374,IF(AI1374=2,AC1374,""))="A","RÉPARÉ – À RADIOGRAPHIER",IF(IF(AI1374=1,X1374,IF(AI1374=2,AC1374,""))="R","VT REJETÉ – À REPRENDRE",IF(AJ1374="CO","COUPE – À RESOUDER","À RÉPARER"))))))))))</f>
        <v/>
      </c>
      <c r="AL1374" s="82" t="str">
        <f aca="false">IF(AND(ISNUMBER(P1374),OR(AK1374="À RADIOGRAPHIER",AK1374="RÉPARÉ – À RADIOGRAPHIER",AK1374="NX – RT À REFAIRE",AK1374="À RÉPARER",AK1374="COUPE – À RESOUDER",AK1374="VT REJETÉ – À REPRENDRE")),MAX(0,'PROGRAMME RT'!$C$4-P1374),"")</f>
        <v/>
      </c>
      <c r="AM1374" s="78" t="n">
        <f aca="false">IF(AND(OR(AK1374="À RADIOGRAPHIER",AK1374="RÉPARÉ – À RADIOGRAPHIER",AK1374="NX – RT À REFAIRE"),OR('PROGRAMME RT'!$D$5="TOUTES",B1374='PROGRAMME RT'!$D$5)),1,0)</f>
        <v>0</v>
      </c>
      <c r="AN1374" s="78" t="str">
        <f aca="false">IF(AM1374=1,SUM(AM$7:AM1374),"")</f>
        <v/>
      </c>
      <c r="AO1374" s="78" t="n">
        <f aca="false">IF(AND(OR(AK1374="À RÉPARER",AK1374="COUPE – À RESOUDER",AK1374="VT REJETÉ – À REPRENDRE"),OR(RÉPARATIONS!$D$5="TOUTES",B1374=RÉPARATIONS!$D$5)),1,0)</f>
        <v>0</v>
      </c>
      <c r="AP1374" s="78" t="str">
        <f aca="false">IF(AO1374=1,SUM(AO$7:AO1374),"")</f>
        <v/>
      </c>
    </row>
    <row r="1375" customFormat="false" ht="15" hidden="false" customHeight="false" outlineLevel="0" collapsed="false">
      <c r="A1375" s="78" t="str">
        <f aca="false">IF(E1375="","",ROW()-6)</f>
        <v/>
      </c>
      <c r="B1375" s="79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0"/>
      <c r="P1375" s="81"/>
      <c r="Q1375" s="81"/>
      <c r="R1375" s="80"/>
      <c r="S1375" s="80"/>
      <c r="T1375" s="81"/>
      <c r="U1375" s="80"/>
      <c r="V1375" s="80"/>
      <c r="W1375" s="80"/>
      <c r="X1375" s="80"/>
      <c r="Y1375" s="81"/>
      <c r="Z1375" s="80"/>
      <c r="AA1375" s="80"/>
      <c r="AB1375" s="80"/>
      <c r="AC1375" s="80"/>
      <c r="AD1375" s="81"/>
      <c r="AE1375" s="80"/>
      <c r="AF1375" s="80"/>
      <c r="AG1375" s="81"/>
      <c r="AH1375" s="79"/>
      <c r="AI1375" s="78" t="str">
        <f aca="false">IF(E1375="","",(V1375&lt;&gt;"")+(AA1375&lt;&gt;"")+(AF1375&lt;&gt;""))</f>
        <v/>
      </c>
      <c r="AJ1375" s="82" t="str">
        <f aca="false">IF(AF1375&lt;&gt;"",AF1375,IF(AA1375&lt;&gt;"",AA1375,IF(V1375&lt;&gt;"",V1375,"")))</f>
        <v/>
      </c>
      <c r="AK1375" s="83" t="str">
        <f aca="false">IF(E1375="","",IF(P1375="","À SOUDER",IF(S1375="","VT EN ATTENTE",IF(S1375="R","VT REJETÉ – À REPRENDRE",IF(AJ1375="","À RADIOGRAPHIER",IF(AJ1375="A","ACCEPTÉ",IF(AJ1375="NX","NX – RT À REFAIRE",IF(IF(AI1375=1,X1375,IF(AI1375=2,AC1375,""))="A","RÉPARÉ – À RADIOGRAPHIER",IF(IF(AI1375=1,X1375,IF(AI1375=2,AC1375,""))="R","VT REJETÉ – À REPRENDRE",IF(AJ1375="CO","COUPE – À RESOUDER","À RÉPARER"))))))))))</f>
        <v/>
      </c>
      <c r="AL1375" s="82" t="str">
        <f aca="false">IF(AND(ISNUMBER(P1375),OR(AK1375="À RADIOGRAPHIER",AK1375="RÉPARÉ – À RADIOGRAPHIER",AK1375="NX – RT À REFAIRE",AK1375="À RÉPARER",AK1375="COUPE – À RESOUDER",AK1375="VT REJETÉ – À REPRENDRE")),MAX(0,'PROGRAMME RT'!$C$4-P1375),"")</f>
        <v/>
      </c>
      <c r="AM1375" s="78" t="n">
        <f aca="false">IF(AND(OR(AK1375="À RADIOGRAPHIER",AK1375="RÉPARÉ – À RADIOGRAPHIER",AK1375="NX – RT À REFAIRE"),OR('PROGRAMME RT'!$D$5="TOUTES",B1375='PROGRAMME RT'!$D$5)),1,0)</f>
        <v>0</v>
      </c>
      <c r="AN1375" s="78" t="str">
        <f aca="false">IF(AM1375=1,SUM(AM$7:AM1375),"")</f>
        <v/>
      </c>
      <c r="AO1375" s="78" t="n">
        <f aca="false">IF(AND(OR(AK1375="À RÉPARER",AK1375="COUPE – À RESOUDER",AK1375="VT REJETÉ – À REPRENDRE"),OR(RÉPARATIONS!$D$5="TOUTES",B1375=RÉPARATIONS!$D$5)),1,0)</f>
        <v>0</v>
      </c>
      <c r="AP1375" s="78" t="str">
        <f aca="false">IF(AO1375=1,SUM(AO$7:AO1375),"")</f>
        <v/>
      </c>
    </row>
    <row r="1376" customFormat="false" ht="15" hidden="false" customHeight="false" outlineLevel="0" collapsed="false">
      <c r="A1376" s="78" t="str">
        <f aca="false">IF(E1376="","",ROW()-6)</f>
        <v/>
      </c>
      <c r="B1376" s="79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0"/>
      <c r="P1376" s="81"/>
      <c r="Q1376" s="81"/>
      <c r="R1376" s="80"/>
      <c r="S1376" s="80"/>
      <c r="T1376" s="81"/>
      <c r="U1376" s="80"/>
      <c r="V1376" s="80"/>
      <c r="W1376" s="80"/>
      <c r="X1376" s="80"/>
      <c r="Y1376" s="81"/>
      <c r="Z1376" s="80"/>
      <c r="AA1376" s="80"/>
      <c r="AB1376" s="80"/>
      <c r="AC1376" s="80"/>
      <c r="AD1376" s="81"/>
      <c r="AE1376" s="80"/>
      <c r="AF1376" s="80"/>
      <c r="AG1376" s="81"/>
      <c r="AH1376" s="79"/>
      <c r="AI1376" s="78" t="str">
        <f aca="false">IF(E1376="","",(V1376&lt;&gt;"")+(AA1376&lt;&gt;"")+(AF1376&lt;&gt;""))</f>
        <v/>
      </c>
      <c r="AJ1376" s="82" t="str">
        <f aca="false">IF(AF1376&lt;&gt;"",AF1376,IF(AA1376&lt;&gt;"",AA1376,IF(V1376&lt;&gt;"",V1376,"")))</f>
        <v/>
      </c>
      <c r="AK1376" s="83" t="str">
        <f aca="false">IF(E1376="","",IF(P1376="","À SOUDER",IF(S1376="","VT EN ATTENTE",IF(S1376="R","VT REJETÉ – À REPRENDRE",IF(AJ1376="","À RADIOGRAPHIER",IF(AJ1376="A","ACCEPTÉ",IF(AJ1376="NX","NX – RT À REFAIRE",IF(IF(AI1376=1,X1376,IF(AI1376=2,AC1376,""))="A","RÉPARÉ – À RADIOGRAPHIER",IF(IF(AI1376=1,X1376,IF(AI1376=2,AC1376,""))="R","VT REJETÉ – À REPRENDRE",IF(AJ1376="CO","COUPE – À RESOUDER","À RÉPARER"))))))))))</f>
        <v/>
      </c>
      <c r="AL1376" s="82" t="str">
        <f aca="false">IF(AND(ISNUMBER(P1376),OR(AK1376="À RADIOGRAPHIER",AK1376="RÉPARÉ – À RADIOGRAPHIER",AK1376="NX – RT À REFAIRE",AK1376="À RÉPARER",AK1376="COUPE – À RESOUDER",AK1376="VT REJETÉ – À REPRENDRE")),MAX(0,'PROGRAMME RT'!$C$4-P1376),"")</f>
        <v/>
      </c>
      <c r="AM1376" s="78" t="n">
        <f aca="false">IF(AND(OR(AK1376="À RADIOGRAPHIER",AK1376="RÉPARÉ – À RADIOGRAPHIER",AK1376="NX – RT À REFAIRE"),OR('PROGRAMME RT'!$D$5="TOUTES",B1376='PROGRAMME RT'!$D$5)),1,0)</f>
        <v>0</v>
      </c>
      <c r="AN1376" s="78" t="str">
        <f aca="false">IF(AM1376=1,SUM(AM$7:AM1376),"")</f>
        <v/>
      </c>
      <c r="AO1376" s="78" t="n">
        <f aca="false">IF(AND(OR(AK1376="À RÉPARER",AK1376="COUPE – À RESOUDER",AK1376="VT REJETÉ – À REPRENDRE"),OR(RÉPARATIONS!$D$5="TOUTES",B1376=RÉPARATIONS!$D$5)),1,0)</f>
        <v>0</v>
      </c>
      <c r="AP1376" s="78" t="str">
        <f aca="false">IF(AO1376=1,SUM(AO$7:AO1376),"")</f>
        <v/>
      </c>
    </row>
    <row r="1377" customFormat="false" ht="15" hidden="false" customHeight="false" outlineLevel="0" collapsed="false">
      <c r="A1377" s="78" t="str">
        <f aca="false">IF(E1377="","",ROW()-6)</f>
        <v/>
      </c>
      <c r="B1377" s="79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0"/>
      <c r="P1377" s="81"/>
      <c r="Q1377" s="81"/>
      <c r="R1377" s="80"/>
      <c r="S1377" s="80"/>
      <c r="T1377" s="81"/>
      <c r="U1377" s="80"/>
      <c r="V1377" s="80"/>
      <c r="W1377" s="80"/>
      <c r="X1377" s="80"/>
      <c r="Y1377" s="81"/>
      <c r="Z1377" s="80"/>
      <c r="AA1377" s="80"/>
      <c r="AB1377" s="80"/>
      <c r="AC1377" s="80"/>
      <c r="AD1377" s="81"/>
      <c r="AE1377" s="80"/>
      <c r="AF1377" s="80"/>
      <c r="AG1377" s="81"/>
      <c r="AH1377" s="79"/>
      <c r="AI1377" s="78" t="str">
        <f aca="false">IF(E1377="","",(V1377&lt;&gt;"")+(AA1377&lt;&gt;"")+(AF1377&lt;&gt;""))</f>
        <v/>
      </c>
      <c r="AJ1377" s="82" t="str">
        <f aca="false">IF(AF1377&lt;&gt;"",AF1377,IF(AA1377&lt;&gt;"",AA1377,IF(V1377&lt;&gt;"",V1377,"")))</f>
        <v/>
      </c>
      <c r="AK1377" s="83" t="str">
        <f aca="false">IF(E1377="","",IF(P1377="","À SOUDER",IF(S1377="","VT EN ATTENTE",IF(S1377="R","VT REJETÉ – À REPRENDRE",IF(AJ1377="","À RADIOGRAPHIER",IF(AJ1377="A","ACCEPTÉ",IF(AJ1377="NX","NX – RT À REFAIRE",IF(IF(AI1377=1,X1377,IF(AI1377=2,AC1377,""))="A","RÉPARÉ – À RADIOGRAPHIER",IF(IF(AI1377=1,X1377,IF(AI1377=2,AC1377,""))="R","VT REJETÉ – À REPRENDRE",IF(AJ1377="CO","COUPE – À RESOUDER","À RÉPARER"))))))))))</f>
        <v/>
      </c>
      <c r="AL1377" s="82" t="str">
        <f aca="false">IF(AND(ISNUMBER(P1377),OR(AK1377="À RADIOGRAPHIER",AK1377="RÉPARÉ – À RADIOGRAPHIER",AK1377="NX – RT À REFAIRE",AK1377="À RÉPARER",AK1377="COUPE – À RESOUDER",AK1377="VT REJETÉ – À REPRENDRE")),MAX(0,'PROGRAMME RT'!$C$4-P1377),"")</f>
        <v/>
      </c>
      <c r="AM1377" s="78" t="n">
        <f aca="false">IF(AND(OR(AK1377="À RADIOGRAPHIER",AK1377="RÉPARÉ – À RADIOGRAPHIER",AK1377="NX – RT À REFAIRE"),OR('PROGRAMME RT'!$D$5="TOUTES",B1377='PROGRAMME RT'!$D$5)),1,0)</f>
        <v>0</v>
      </c>
      <c r="AN1377" s="78" t="str">
        <f aca="false">IF(AM1377=1,SUM(AM$7:AM1377),"")</f>
        <v/>
      </c>
      <c r="AO1377" s="78" t="n">
        <f aca="false">IF(AND(OR(AK1377="À RÉPARER",AK1377="COUPE – À RESOUDER",AK1377="VT REJETÉ – À REPRENDRE"),OR(RÉPARATIONS!$D$5="TOUTES",B1377=RÉPARATIONS!$D$5)),1,0)</f>
        <v>0</v>
      </c>
      <c r="AP1377" s="78" t="str">
        <f aca="false">IF(AO1377=1,SUM(AO$7:AO1377),"")</f>
        <v/>
      </c>
    </row>
    <row r="1378" customFormat="false" ht="15" hidden="false" customHeight="false" outlineLevel="0" collapsed="false">
      <c r="A1378" s="78" t="str">
        <f aca="false">IF(E1378="","",ROW()-6)</f>
        <v/>
      </c>
      <c r="B1378" s="79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0"/>
      <c r="P1378" s="81"/>
      <c r="Q1378" s="81"/>
      <c r="R1378" s="80"/>
      <c r="S1378" s="80"/>
      <c r="T1378" s="81"/>
      <c r="U1378" s="80"/>
      <c r="V1378" s="80"/>
      <c r="W1378" s="80"/>
      <c r="X1378" s="80"/>
      <c r="Y1378" s="81"/>
      <c r="Z1378" s="80"/>
      <c r="AA1378" s="80"/>
      <c r="AB1378" s="80"/>
      <c r="AC1378" s="80"/>
      <c r="AD1378" s="81"/>
      <c r="AE1378" s="80"/>
      <c r="AF1378" s="80"/>
      <c r="AG1378" s="81"/>
      <c r="AH1378" s="79"/>
      <c r="AI1378" s="78" t="str">
        <f aca="false">IF(E1378="","",(V1378&lt;&gt;"")+(AA1378&lt;&gt;"")+(AF1378&lt;&gt;""))</f>
        <v/>
      </c>
      <c r="AJ1378" s="82" t="str">
        <f aca="false">IF(AF1378&lt;&gt;"",AF1378,IF(AA1378&lt;&gt;"",AA1378,IF(V1378&lt;&gt;"",V1378,"")))</f>
        <v/>
      </c>
      <c r="AK1378" s="83" t="str">
        <f aca="false">IF(E1378="","",IF(P1378="","À SOUDER",IF(S1378="","VT EN ATTENTE",IF(S1378="R","VT REJETÉ – À REPRENDRE",IF(AJ1378="","À RADIOGRAPHIER",IF(AJ1378="A","ACCEPTÉ",IF(AJ1378="NX","NX – RT À REFAIRE",IF(IF(AI1378=1,X1378,IF(AI1378=2,AC1378,""))="A","RÉPARÉ – À RADIOGRAPHIER",IF(IF(AI1378=1,X1378,IF(AI1378=2,AC1378,""))="R","VT REJETÉ – À REPRENDRE",IF(AJ1378="CO","COUPE – À RESOUDER","À RÉPARER"))))))))))</f>
        <v/>
      </c>
      <c r="AL1378" s="82" t="str">
        <f aca="false">IF(AND(ISNUMBER(P1378),OR(AK1378="À RADIOGRAPHIER",AK1378="RÉPARÉ – À RADIOGRAPHIER",AK1378="NX – RT À REFAIRE",AK1378="À RÉPARER",AK1378="COUPE – À RESOUDER",AK1378="VT REJETÉ – À REPRENDRE")),MAX(0,'PROGRAMME RT'!$C$4-P1378),"")</f>
        <v/>
      </c>
      <c r="AM1378" s="78" t="n">
        <f aca="false">IF(AND(OR(AK1378="À RADIOGRAPHIER",AK1378="RÉPARÉ – À RADIOGRAPHIER",AK1378="NX – RT À REFAIRE"),OR('PROGRAMME RT'!$D$5="TOUTES",B1378='PROGRAMME RT'!$D$5)),1,0)</f>
        <v>0</v>
      </c>
      <c r="AN1378" s="78" t="str">
        <f aca="false">IF(AM1378=1,SUM(AM$7:AM1378),"")</f>
        <v/>
      </c>
      <c r="AO1378" s="78" t="n">
        <f aca="false">IF(AND(OR(AK1378="À RÉPARER",AK1378="COUPE – À RESOUDER",AK1378="VT REJETÉ – À REPRENDRE"),OR(RÉPARATIONS!$D$5="TOUTES",B1378=RÉPARATIONS!$D$5)),1,0)</f>
        <v>0</v>
      </c>
      <c r="AP1378" s="78" t="str">
        <f aca="false">IF(AO1378=1,SUM(AO$7:AO1378),"")</f>
        <v/>
      </c>
    </row>
    <row r="1379" customFormat="false" ht="15" hidden="false" customHeight="false" outlineLevel="0" collapsed="false">
      <c r="A1379" s="78" t="str">
        <f aca="false">IF(E1379="","",ROW()-6)</f>
        <v/>
      </c>
      <c r="B1379" s="79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0"/>
      <c r="P1379" s="81"/>
      <c r="Q1379" s="81"/>
      <c r="R1379" s="80"/>
      <c r="S1379" s="80"/>
      <c r="T1379" s="81"/>
      <c r="U1379" s="80"/>
      <c r="V1379" s="80"/>
      <c r="W1379" s="80"/>
      <c r="X1379" s="80"/>
      <c r="Y1379" s="81"/>
      <c r="Z1379" s="80"/>
      <c r="AA1379" s="80"/>
      <c r="AB1379" s="80"/>
      <c r="AC1379" s="80"/>
      <c r="AD1379" s="81"/>
      <c r="AE1379" s="80"/>
      <c r="AF1379" s="80"/>
      <c r="AG1379" s="81"/>
      <c r="AH1379" s="79"/>
      <c r="AI1379" s="78" t="str">
        <f aca="false">IF(E1379="","",(V1379&lt;&gt;"")+(AA1379&lt;&gt;"")+(AF1379&lt;&gt;""))</f>
        <v/>
      </c>
      <c r="AJ1379" s="82" t="str">
        <f aca="false">IF(AF1379&lt;&gt;"",AF1379,IF(AA1379&lt;&gt;"",AA1379,IF(V1379&lt;&gt;"",V1379,"")))</f>
        <v/>
      </c>
      <c r="AK1379" s="83" t="str">
        <f aca="false">IF(E1379="","",IF(P1379="","À SOUDER",IF(S1379="","VT EN ATTENTE",IF(S1379="R","VT REJETÉ – À REPRENDRE",IF(AJ1379="","À RADIOGRAPHIER",IF(AJ1379="A","ACCEPTÉ",IF(AJ1379="NX","NX – RT À REFAIRE",IF(IF(AI1379=1,X1379,IF(AI1379=2,AC1379,""))="A","RÉPARÉ – À RADIOGRAPHIER",IF(IF(AI1379=1,X1379,IF(AI1379=2,AC1379,""))="R","VT REJETÉ – À REPRENDRE",IF(AJ1379="CO","COUPE – À RESOUDER","À RÉPARER"))))))))))</f>
        <v/>
      </c>
      <c r="AL1379" s="82" t="str">
        <f aca="false">IF(AND(ISNUMBER(P1379),OR(AK1379="À RADIOGRAPHIER",AK1379="RÉPARÉ – À RADIOGRAPHIER",AK1379="NX – RT À REFAIRE",AK1379="À RÉPARER",AK1379="COUPE – À RESOUDER",AK1379="VT REJETÉ – À REPRENDRE")),MAX(0,'PROGRAMME RT'!$C$4-P1379),"")</f>
        <v/>
      </c>
      <c r="AM1379" s="78" t="n">
        <f aca="false">IF(AND(OR(AK1379="À RADIOGRAPHIER",AK1379="RÉPARÉ – À RADIOGRAPHIER",AK1379="NX – RT À REFAIRE"),OR('PROGRAMME RT'!$D$5="TOUTES",B1379='PROGRAMME RT'!$D$5)),1,0)</f>
        <v>0</v>
      </c>
      <c r="AN1379" s="78" t="str">
        <f aca="false">IF(AM1379=1,SUM(AM$7:AM1379),"")</f>
        <v/>
      </c>
      <c r="AO1379" s="78" t="n">
        <f aca="false">IF(AND(OR(AK1379="À RÉPARER",AK1379="COUPE – À RESOUDER",AK1379="VT REJETÉ – À REPRENDRE"),OR(RÉPARATIONS!$D$5="TOUTES",B1379=RÉPARATIONS!$D$5)),1,0)</f>
        <v>0</v>
      </c>
      <c r="AP1379" s="78" t="str">
        <f aca="false">IF(AO1379=1,SUM(AO$7:AO1379),"")</f>
        <v/>
      </c>
    </row>
    <row r="1380" customFormat="false" ht="15" hidden="false" customHeight="false" outlineLevel="0" collapsed="false">
      <c r="A1380" s="78" t="str">
        <f aca="false">IF(E1380="","",ROW()-6)</f>
        <v/>
      </c>
      <c r="B1380" s="79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0"/>
      <c r="P1380" s="81"/>
      <c r="Q1380" s="81"/>
      <c r="R1380" s="80"/>
      <c r="S1380" s="80"/>
      <c r="T1380" s="81"/>
      <c r="U1380" s="80"/>
      <c r="V1380" s="80"/>
      <c r="W1380" s="80"/>
      <c r="X1380" s="80"/>
      <c r="Y1380" s="81"/>
      <c r="Z1380" s="80"/>
      <c r="AA1380" s="80"/>
      <c r="AB1380" s="80"/>
      <c r="AC1380" s="80"/>
      <c r="AD1380" s="81"/>
      <c r="AE1380" s="80"/>
      <c r="AF1380" s="80"/>
      <c r="AG1380" s="81"/>
      <c r="AH1380" s="79"/>
      <c r="AI1380" s="78" t="str">
        <f aca="false">IF(E1380="","",(V1380&lt;&gt;"")+(AA1380&lt;&gt;"")+(AF1380&lt;&gt;""))</f>
        <v/>
      </c>
      <c r="AJ1380" s="82" t="str">
        <f aca="false">IF(AF1380&lt;&gt;"",AF1380,IF(AA1380&lt;&gt;"",AA1380,IF(V1380&lt;&gt;"",V1380,"")))</f>
        <v/>
      </c>
      <c r="AK1380" s="83" t="str">
        <f aca="false">IF(E1380="","",IF(P1380="","À SOUDER",IF(S1380="","VT EN ATTENTE",IF(S1380="R","VT REJETÉ – À REPRENDRE",IF(AJ1380="","À RADIOGRAPHIER",IF(AJ1380="A","ACCEPTÉ",IF(AJ1380="NX","NX – RT À REFAIRE",IF(IF(AI1380=1,X1380,IF(AI1380=2,AC1380,""))="A","RÉPARÉ – À RADIOGRAPHIER",IF(IF(AI1380=1,X1380,IF(AI1380=2,AC1380,""))="R","VT REJETÉ – À REPRENDRE",IF(AJ1380="CO","COUPE – À RESOUDER","À RÉPARER"))))))))))</f>
        <v/>
      </c>
      <c r="AL1380" s="82" t="str">
        <f aca="false">IF(AND(ISNUMBER(P1380),OR(AK1380="À RADIOGRAPHIER",AK1380="RÉPARÉ – À RADIOGRAPHIER",AK1380="NX – RT À REFAIRE",AK1380="À RÉPARER",AK1380="COUPE – À RESOUDER",AK1380="VT REJETÉ – À REPRENDRE")),MAX(0,'PROGRAMME RT'!$C$4-P1380),"")</f>
        <v/>
      </c>
      <c r="AM1380" s="78" t="n">
        <f aca="false">IF(AND(OR(AK1380="À RADIOGRAPHIER",AK1380="RÉPARÉ – À RADIOGRAPHIER",AK1380="NX – RT À REFAIRE"),OR('PROGRAMME RT'!$D$5="TOUTES",B1380='PROGRAMME RT'!$D$5)),1,0)</f>
        <v>0</v>
      </c>
      <c r="AN1380" s="78" t="str">
        <f aca="false">IF(AM1380=1,SUM(AM$7:AM1380),"")</f>
        <v/>
      </c>
      <c r="AO1380" s="78" t="n">
        <f aca="false">IF(AND(OR(AK1380="À RÉPARER",AK1380="COUPE – À RESOUDER",AK1380="VT REJETÉ – À REPRENDRE"),OR(RÉPARATIONS!$D$5="TOUTES",B1380=RÉPARATIONS!$D$5)),1,0)</f>
        <v>0</v>
      </c>
      <c r="AP1380" s="78" t="str">
        <f aca="false">IF(AO1380=1,SUM(AO$7:AO1380),"")</f>
        <v/>
      </c>
    </row>
    <row r="1381" customFormat="false" ht="15" hidden="false" customHeight="false" outlineLevel="0" collapsed="false">
      <c r="A1381" s="78" t="str">
        <f aca="false">IF(E1381="","",ROW()-6)</f>
        <v/>
      </c>
      <c r="B1381" s="79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0"/>
      <c r="P1381" s="81"/>
      <c r="Q1381" s="81"/>
      <c r="R1381" s="80"/>
      <c r="S1381" s="80"/>
      <c r="T1381" s="81"/>
      <c r="U1381" s="80"/>
      <c r="V1381" s="80"/>
      <c r="W1381" s="80"/>
      <c r="X1381" s="80"/>
      <c r="Y1381" s="81"/>
      <c r="Z1381" s="80"/>
      <c r="AA1381" s="80"/>
      <c r="AB1381" s="80"/>
      <c r="AC1381" s="80"/>
      <c r="AD1381" s="81"/>
      <c r="AE1381" s="80"/>
      <c r="AF1381" s="80"/>
      <c r="AG1381" s="81"/>
      <c r="AH1381" s="79"/>
      <c r="AI1381" s="78" t="str">
        <f aca="false">IF(E1381="","",(V1381&lt;&gt;"")+(AA1381&lt;&gt;"")+(AF1381&lt;&gt;""))</f>
        <v/>
      </c>
      <c r="AJ1381" s="82" t="str">
        <f aca="false">IF(AF1381&lt;&gt;"",AF1381,IF(AA1381&lt;&gt;"",AA1381,IF(V1381&lt;&gt;"",V1381,"")))</f>
        <v/>
      </c>
      <c r="AK1381" s="83" t="str">
        <f aca="false">IF(E1381="","",IF(P1381="","À SOUDER",IF(S1381="","VT EN ATTENTE",IF(S1381="R","VT REJETÉ – À REPRENDRE",IF(AJ1381="","À RADIOGRAPHIER",IF(AJ1381="A","ACCEPTÉ",IF(AJ1381="NX","NX – RT À REFAIRE",IF(IF(AI1381=1,X1381,IF(AI1381=2,AC1381,""))="A","RÉPARÉ – À RADIOGRAPHIER",IF(IF(AI1381=1,X1381,IF(AI1381=2,AC1381,""))="R","VT REJETÉ – À REPRENDRE",IF(AJ1381="CO","COUPE – À RESOUDER","À RÉPARER"))))))))))</f>
        <v/>
      </c>
      <c r="AL1381" s="82" t="str">
        <f aca="false">IF(AND(ISNUMBER(P1381),OR(AK1381="À RADIOGRAPHIER",AK1381="RÉPARÉ – À RADIOGRAPHIER",AK1381="NX – RT À REFAIRE",AK1381="À RÉPARER",AK1381="COUPE – À RESOUDER",AK1381="VT REJETÉ – À REPRENDRE")),MAX(0,'PROGRAMME RT'!$C$4-P1381),"")</f>
        <v/>
      </c>
      <c r="AM1381" s="78" t="n">
        <f aca="false">IF(AND(OR(AK1381="À RADIOGRAPHIER",AK1381="RÉPARÉ – À RADIOGRAPHIER",AK1381="NX – RT À REFAIRE"),OR('PROGRAMME RT'!$D$5="TOUTES",B1381='PROGRAMME RT'!$D$5)),1,0)</f>
        <v>0</v>
      </c>
      <c r="AN1381" s="78" t="str">
        <f aca="false">IF(AM1381=1,SUM(AM$7:AM1381),"")</f>
        <v/>
      </c>
      <c r="AO1381" s="78" t="n">
        <f aca="false">IF(AND(OR(AK1381="À RÉPARER",AK1381="COUPE – À RESOUDER",AK1381="VT REJETÉ – À REPRENDRE"),OR(RÉPARATIONS!$D$5="TOUTES",B1381=RÉPARATIONS!$D$5)),1,0)</f>
        <v>0</v>
      </c>
      <c r="AP1381" s="78" t="str">
        <f aca="false">IF(AO1381=1,SUM(AO$7:AO1381),"")</f>
        <v/>
      </c>
    </row>
    <row r="1382" customFormat="false" ht="15" hidden="false" customHeight="false" outlineLevel="0" collapsed="false">
      <c r="A1382" s="78" t="str">
        <f aca="false">IF(E1382="","",ROW()-6)</f>
        <v/>
      </c>
      <c r="B1382" s="79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0"/>
      <c r="P1382" s="81"/>
      <c r="Q1382" s="81"/>
      <c r="R1382" s="80"/>
      <c r="S1382" s="80"/>
      <c r="T1382" s="81"/>
      <c r="U1382" s="80"/>
      <c r="V1382" s="80"/>
      <c r="W1382" s="80"/>
      <c r="X1382" s="80"/>
      <c r="Y1382" s="81"/>
      <c r="Z1382" s="80"/>
      <c r="AA1382" s="80"/>
      <c r="AB1382" s="80"/>
      <c r="AC1382" s="80"/>
      <c r="AD1382" s="81"/>
      <c r="AE1382" s="80"/>
      <c r="AF1382" s="80"/>
      <c r="AG1382" s="81"/>
      <c r="AH1382" s="79"/>
      <c r="AI1382" s="78" t="str">
        <f aca="false">IF(E1382="","",(V1382&lt;&gt;"")+(AA1382&lt;&gt;"")+(AF1382&lt;&gt;""))</f>
        <v/>
      </c>
      <c r="AJ1382" s="82" t="str">
        <f aca="false">IF(AF1382&lt;&gt;"",AF1382,IF(AA1382&lt;&gt;"",AA1382,IF(V1382&lt;&gt;"",V1382,"")))</f>
        <v/>
      </c>
      <c r="AK1382" s="83" t="str">
        <f aca="false">IF(E1382="","",IF(P1382="","À SOUDER",IF(S1382="","VT EN ATTENTE",IF(S1382="R","VT REJETÉ – À REPRENDRE",IF(AJ1382="","À RADIOGRAPHIER",IF(AJ1382="A","ACCEPTÉ",IF(AJ1382="NX","NX – RT À REFAIRE",IF(IF(AI1382=1,X1382,IF(AI1382=2,AC1382,""))="A","RÉPARÉ – À RADIOGRAPHIER",IF(IF(AI1382=1,X1382,IF(AI1382=2,AC1382,""))="R","VT REJETÉ – À REPRENDRE",IF(AJ1382="CO","COUPE – À RESOUDER","À RÉPARER"))))))))))</f>
        <v/>
      </c>
      <c r="AL1382" s="82" t="str">
        <f aca="false">IF(AND(ISNUMBER(P1382),OR(AK1382="À RADIOGRAPHIER",AK1382="RÉPARÉ – À RADIOGRAPHIER",AK1382="NX – RT À REFAIRE",AK1382="À RÉPARER",AK1382="COUPE – À RESOUDER",AK1382="VT REJETÉ – À REPRENDRE")),MAX(0,'PROGRAMME RT'!$C$4-P1382),"")</f>
        <v/>
      </c>
      <c r="AM1382" s="78" t="n">
        <f aca="false">IF(AND(OR(AK1382="À RADIOGRAPHIER",AK1382="RÉPARÉ – À RADIOGRAPHIER",AK1382="NX – RT À REFAIRE"),OR('PROGRAMME RT'!$D$5="TOUTES",B1382='PROGRAMME RT'!$D$5)),1,0)</f>
        <v>0</v>
      </c>
      <c r="AN1382" s="78" t="str">
        <f aca="false">IF(AM1382=1,SUM(AM$7:AM1382),"")</f>
        <v/>
      </c>
      <c r="AO1382" s="78" t="n">
        <f aca="false">IF(AND(OR(AK1382="À RÉPARER",AK1382="COUPE – À RESOUDER",AK1382="VT REJETÉ – À REPRENDRE"),OR(RÉPARATIONS!$D$5="TOUTES",B1382=RÉPARATIONS!$D$5)),1,0)</f>
        <v>0</v>
      </c>
      <c r="AP1382" s="78" t="str">
        <f aca="false">IF(AO1382=1,SUM(AO$7:AO1382),"")</f>
        <v/>
      </c>
    </row>
    <row r="1383" customFormat="false" ht="15" hidden="false" customHeight="false" outlineLevel="0" collapsed="false">
      <c r="A1383" s="78" t="str">
        <f aca="false">IF(E1383="","",ROW()-6)</f>
        <v/>
      </c>
      <c r="B1383" s="79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0"/>
      <c r="P1383" s="81"/>
      <c r="Q1383" s="81"/>
      <c r="R1383" s="80"/>
      <c r="S1383" s="80"/>
      <c r="T1383" s="81"/>
      <c r="U1383" s="80"/>
      <c r="V1383" s="80"/>
      <c r="W1383" s="80"/>
      <c r="X1383" s="80"/>
      <c r="Y1383" s="81"/>
      <c r="Z1383" s="80"/>
      <c r="AA1383" s="80"/>
      <c r="AB1383" s="80"/>
      <c r="AC1383" s="80"/>
      <c r="AD1383" s="81"/>
      <c r="AE1383" s="80"/>
      <c r="AF1383" s="80"/>
      <c r="AG1383" s="81"/>
      <c r="AH1383" s="79"/>
      <c r="AI1383" s="78" t="str">
        <f aca="false">IF(E1383="","",(V1383&lt;&gt;"")+(AA1383&lt;&gt;"")+(AF1383&lt;&gt;""))</f>
        <v/>
      </c>
      <c r="AJ1383" s="82" t="str">
        <f aca="false">IF(AF1383&lt;&gt;"",AF1383,IF(AA1383&lt;&gt;"",AA1383,IF(V1383&lt;&gt;"",V1383,"")))</f>
        <v/>
      </c>
      <c r="AK1383" s="83" t="str">
        <f aca="false">IF(E1383="","",IF(P1383="","À SOUDER",IF(S1383="","VT EN ATTENTE",IF(S1383="R","VT REJETÉ – À REPRENDRE",IF(AJ1383="","À RADIOGRAPHIER",IF(AJ1383="A","ACCEPTÉ",IF(AJ1383="NX","NX – RT À REFAIRE",IF(IF(AI1383=1,X1383,IF(AI1383=2,AC1383,""))="A","RÉPARÉ – À RADIOGRAPHIER",IF(IF(AI1383=1,X1383,IF(AI1383=2,AC1383,""))="R","VT REJETÉ – À REPRENDRE",IF(AJ1383="CO","COUPE – À RESOUDER","À RÉPARER"))))))))))</f>
        <v/>
      </c>
      <c r="AL1383" s="82" t="str">
        <f aca="false">IF(AND(ISNUMBER(P1383),OR(AK1383="À RADIOGRAPHIER",AK1383="RÉPARÉ – À RADIOGRAPHIER",AK1383="NX – RT À REFAIRE",AK1383="À RÉPARER",AK1383="COUPE – À RESOUDER",AK1383="VT REJETÉ – À REPRENDRE")),MAX(0,'PROGRAMME RT'!$C$4-P1383),"")</f>
        <v/>
      </c>
      <c r="AM1383" s="78" t="n">
        <f aca="false">IF(AND(OR(AK1383="À RADIOGRAPHIER",AK1383="RÉPARÉ – À RADIOGRAPHIER",AK1383="NX – RT À REFAIRE"),OR('PROGRAMME RT'!$D$5="TOUTES",B1383='PROGRAMME RT'!$D$5)),1,0)</f>
        <v>0</v>
      </c>
      <c r="AN1383" s="78" t="str">
        <f aca="false">IF(AM1383=1,SUM(AM$7:AM1383),"")</f>
        <v/>
      </c>
      <c r="AO1383" s="78" t="n">
        <f aca="false">IF(AND(OR(AK1383="À RÉPARER",AK1383="COUPE – À RESOUDER",AK1383="VT REJETÉ – À REPRENDRE"),OR(RÉPARATIONS!$D$5="TOUTES",B1383=RÉPARATIONS!$D$5)),1,0)</f>
        <v>0</v>
      </c>
      <c r="AP1383" s="78" t="str">
        <f aca="false">IF(AO1383=1,SUM(AO$7:AO1383),"")</f>
        <v/>
      </c>
    </row>
    <row r="1384" customFormat="false" ht="15" hidden="false" customHeight="false" outlineLevel="0" collapsed="false">
      <c r="A1384" s="78" t="str">
        <f aca="false">IF(E1384="","",ROW()-6)</f>
        <v/>
      </c>
      <c r="B1384" s="79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0"/>
      <c r="P1384" s="81"/>
      <c r="Q1384" s="81"/>
      <c r="R1384" s="80"/>
      <c r="S1384" s="80"/>
      <c r="T1384" s="81"/>
      <c r="U1384" s="80"/>
      <c r="V1384" s="80"/>
      <c r="W1384" s="80"/>
      <c r="X1384" s="80"/>
      <c r="Y1384" s="81"/>
      <c r="Z1384" s="80"/>
      <c r="AA1384" s="80"/>
      <c r="AB1384" s="80"/>
      <c r="AC1384" s="80"/>
      <c r="AD1384" s="81"/>
      <c r="AE1384" s="80"/>
      <c r="AF1384" s="80"/>
      <c r="AG1384" s="81"/>
      <c r="AH1384" s="79"/>
      <c r="AI1384" s="78" t="str">
        <f aca="false">IF(E1384="","",(V1384&lt;&gt;"")+(AA1384&lt;&gt;"")+(AF1384&lt;&gt;""))</f>
        <v/>
      </c>
      <c r="AJ1384" s="82" t="str">
        <f aca="false">IF(AF1384&lt;&gt;"",AF1384,IF(AA1384&lt;&gt;"",AA1384,IF(V1384&lt;&gt;"",V1384,"")))</f>
        <v/>
      </c>
      <c r="AK1384" s="83" t="str">
        <f aca="false">IF(E1384="","",IF(P1384="","À SOUDER",IF(S1384="","VT EN ATTENTE",IF(S1384="R","VT REJETÉ – À REPRENDRE",IF(AJ1384="","À RADIOGRAPHIER",IF(AJ1384="A","ACCEPTÉ",IF(AJ1384="NX","NX – RT À REFAIRE",IF(IF(AI1384=1,X1384,IF(AI1384=2,AC1384,""))="A","RÉPARÉ – À RADIOGRAPHIER",IF(IF(AI1384=1,X1384,IF(AI1384=2,AC1384,""))="R","VT REJETÉ – À REPRENDRE",IF(AJ1384="CO","COUPE – À RESOUDER","À RÉPARER"))))))))))</f>
        <v/>
      </c>
      <c r="AL1384" s="82" t="str">
        <f aca="false">IF(AND(ISNUMBER(P1384),OR(AK1384="À RADIOGRAPHIER",AK1384="RÉPARÉ – À RADIOGRAPHIER",AK1384="NX – RT À REFAIRE",AK1384="À RÉPARER",AK1384="COUPE – À RESOUDER",AK1384="VT REJETÉ – À REPRENDRE")),MAX(0,'PROGRAMME RT'!$C$4-P1384),"")</f>
        <v/>
      </c>
      <c r="AM1384" s="78" t="n">
        <f aca="false">IF(AND(OR(AK1384="À RADIOGRAPHIER",AK1384="RÉPARÉ – À RADIOGRAPHIER",AK1384="NX – RT À REFAIRE"),OR('PROGRAMME RT'!$D$5="TOUTES",B1384='PROGRAMME RT'!$D$5)),1,0)</f>
        <v>0</v>
      </c>
      <c r="AN1384" s="78" t="str">
        <f aca="false">IF(AM1384=1,SUM(AM$7:AM1384),"")</f>
        <v/>
      </c>
      <c r="AO1384" s="78" t="n">
        <f aca="false">IF(AND(OR(AK1384="À RÉPARER",AK1384="COUPE – À RESOUDER",AK1384="VT REJETÉ – À REPRENDRE"),OR(RÉPARATIONS!$D$5="TOUTES",B1384=RÉPARATIONS!$D$5)),1,0)</f>
        <v>0</v>
      </c>
      <c r="AP1384" s="78" t="str">
        <f aca="false">IF(AO1384=1,SUM(AO$7:AO1384),"")</f>
        <v/>
      </c>
    </row>
    <row r="1385" customFormat="false" ht="15" hidden="false" customHeight="false" outlineLevel="0" collapsed="false">
      <c r="A1385" s="78" t="str">
        <f aca="false">IF(E1385="","",ROW()-6)</f>
        <v/>
      </c>
      <c r="B1385" s="79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0"/>
      <c r="P1385" s="81"/>
      <c r="Q1385" s="81"/>
      <c r="R1385" s="80"/>
      <c r="S1385" s="80"/>
      <c r="T1385" s="81"/>
      <c r="U1385" s="80"/>
      <c r="V1385" s="80"/>
      <c r="W1385" s="80"/>
      <c r="X1385" s="80"/>
      <c r="Y1385" s="81"/>
      <c r="Z1385" s="80"/>
      <c r="AA1385" s="80"/>
      <c r="AB1385" s="80"/>
      <c r="AC1385" s="80"/>
      <c r="AD1385" s="81"/>
      <c r="AE1385" s="80"/>
      <c r="AF1385" s="80"/>
      <c r="AG1385" s="81"/>
      <c r="AH1385" s="79"/>
      <c r="AI1385" s="78" t="str">
        <f aca="false">IF(E1385="","",(V1385&lt;&gt;"")+(AA1385&lt;&gt;"")+(AF1385&lt;&gt;""))</f>
        <v/>
      </c>
      <c r="AJ1385" s="82" t="str">
        <f aca="false">IF(AF1385&lt;&gt;"",AF1385,IF(AA1385&lt;&gt;"",AA1385,IF(V1385&lt;&gt;"",V1385,"")))</f>
        <v/>
      </c>
      <c r="AK1385" s="83" t="str">
        <f aca="false">IF(E1385="","",IF(P1385="","À SOUDER",IF(S1385="","VT EN ATTENTE",IF(S1385="R","VT REJETÉ – À REPRENDRE",IF(AJ1385="","À RADIOGRAPHIER",IF(AJ1385="A","ACCEPTÉ",IF(AJ1385="NX","NX – RT À REFAIRE",IF(IF(AI1385=1,X1385,IF(AI1385=2,AC1385,""))="A","RÉPARÉ – À RADIOGRAPHIER",IF(IF(AI1385=1,X1385,IF(AI1385=2,AC1385,""))="R","VT REJETÉ – À REPRENDRE",IF(AJ1385="CO","COUPE – À RESOUDER","À RÉPARER"))))))))))</f>
        <v/>
      </c>
      <c r="AL1385" s="82" t="str">
        <f aca="false">IF(AND(ISNUMBER(P1385),OR(AK1385="À RADIOGRAPHIER",AK1385="RÉPARÉ – À RADIOGRAPHIER",AK1385="NX – RT À REFAIRE",AK1385="À RÉPARER",AK1385="COUPE – À RESOUDER",AK1385="VT REJETÉ – À REPRENDRE")),MAX(0,'PROGRAMME RT'!$C$4-P1385),"")</f>
        <v/>
      </c>
      <c r="AM1385" s="78" t="n">
        <f aca="false">IF(AND(OR(AK1385="À RADIOGRAPHIER",AK1385="RÉPARÉ – À RADIOGRAPHIER",AK1385="NX – RT À REFAIRE"),OR('PROGRAMME RT'!$D$5="TOUTES",B1385='PROGRAMME RT'!$D$5)),1,0)</f>
        <v>0</v>
      </c>
      <c r="AN1385" s="78" t="str">
        <f aca="false">IF(AM1385=1,SUM(AM$7:AM1385),"")</f>
        <v/>
      </c>
      <c r="AO1385" s="78" t="n">
        <f aca="false">IF(AND(OR(AK1385="À RÉPARER",AK1385="COUPE – À RESOUDER",AK1385="VT REJETÉ – À REPRENDRE"),OR(RÉPARATIONS!$D$5="TOUTES",B1385=RÉPARATIONS!$D$5)),1,0)</f>
        <v>0</v>
      </c>
      <c r="AP1385" s="78" t="str">
        <f aca="false">IF(AO1385=1,SUM(AO$7:AO1385),"")</f>
        <v/>
      </c>
    </row>
    <row r="1386" customFormat="false" ht="15" hidden="false" customHeight="false" outlineLevel="0" collapsed="false">
      <c r="A1386" s="78" t="str">
        <f aca="false">IF(E1386="","",ROW()-6)</f>
        <v/>
      </c>
      <c r="B1386" s="79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0"/>
      <c r="P1386" s="81"/>
      <c r="Q1386" s="81"/>
      <c r="R1386" s="80"/>
      <c r="S1386" s="80"/>
      <c r="T1386" s="81"/>
      <c r="U1386" s="80"/>
      <c r="V1386" s="80"/>
      <c r="W1386" s="80"/>
      <c r="X1386" s="80"/>
      <c r="Y1386" s="81"/>
      <c r="Z1386" s="80"/>
      <c r="AA1386" s="80"/>
      <c r="AB1386" s="80"/>
      <c r="AC1386" s="80"/>
      <c r="AD1386" s="81"/>
      <c r="AE1386" s="80"/>
      <c r="AF1386" s="80"/>
      <c r="AG1386" s="81"/>
      <c r="AH1386" s="79"/>
      <c r="AI1386" s="78" t="str">
        <f aca="false">IF(E1386="","",(V1386&lt;&gt;"")+(AA1386&lt;&gt;"")+(AF1386&lt;&gt;""))</f>
        <v/>
      </c>
      <c r="AJ1386" s="82" t="str">
        <f aca="false">IF(AF1386&lt;&gt;"",AF1386,IF(AA1386&lt;&gt;"",AA1386,IF(V1386&lt;&gt;"",V1386,"")))</f>
        <v/>
      </c>
      <c r="AK1386" s="83" t="str">
        <f aca="false">IF(E1386="","",IF(P1386="","À SOUDER",IF(S1386="","VT EN ATTENTE",IF(S1386="R","VT REJETÉ – À REPRENDRE",IF(AJ1386="","À RADIOGRAPHIER",IF(AJ1386="A","ACCEPTÉ",IF(AJ1386="NX","NX – RT À REFAIRE",IF(IF(AI1386=1,X1386,IF(AI1386=2,AC1386,""))="A","RÉPARÉ – À RADIOGRAPHIER",IF(IF(AI1386=1,X1386,IF(AI1386=2,AC1386,""))="R","VT REJETÉ – À REPRENDRE",IF(AJ1386="CO","COUPE – À RESOUDER","À RÉPARER"))))))))))</f>
        <v/>
      </c>
      <c r="AL1386" s="82" t="str">
        <f aca="false">IF(AND(ISNUMBER(P1386),OR(AK1386="À RADIOGRAPHIER",AK1386="RÉPARÉ – À RADIOGRAPHIER",AK1386="NX – RT À REFAIRE",AK1386="À RÉPARER",AK1386="COUPE – À RESOUDER",AK1386="VT REJETÉ – À REPRENDRE")),MAX(0,'PROGRAMME RT'!$C$4-P1386),"")</f>
        <v/>
      </c>
      <c r="AM1386" s="78" t="n">
        <f aca="false">IF(AND(OR(AK1386="À RADIOGRAPHIER",AK1386="RÉPARÉ – À RADIOGRAPHIER",AK1386="NX – RT À REFAIRE"),OR('PROGRAMME RT'!$D$5="TOUTES",B1386='PROGRAMME RT'!$D$5)),1,0)</f>
        <v>0</v>
      </c>
      <c r="AN1386" s="78" t="str">
        <f aca="false">IF(AM1386=1,SUM(AM$7:AM1386),"")</f>
        <v/>
      </c>
      <c r="AO1386" s="78" t="n">
        <f aca="false">IF(AND(OR(AK1386="À RÉPARER",AK1386="COUPE – À RESOUDER",AK1386="VT REJETÉ – À REPRENDRE"),OR(RÉPARATIONS!$D$5="TOUTES",B1386=RÉPARATIONS!$D$5)),1,0)</f>
        <v>0</v>
      </c>
      <c r="AP1386" s="78" t="str">
        <f aca="false">IF(AO1386=1,SUM(AO$7:AO1386),"")</f>
        <v/>
      </c>
    </row>
    <row r="1387" customFormat="false" ht="15" hidden="false" customHeight="false" outlineLevel="0" collapsed="false">
      <c r="A1387" s="78" t="str">
        <f aca="false">IF(E1387="","",ROW()-6)</f>
        <v/>
      </c>
      <c r="B1387" s="79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0"/>
      <c r="P1387" s="81"/>
      <c r="Q1387" s="81"/>
      <c r="R1387" s="80"/>
      <c r="S1387" s="80"/>
      <c r="T1387" s="81"/>
      <c r="U1387" s="80"/>
      <c r="V1387" s="80"/>
      <c r="W1387" s="80"/>
      <c r="X1387" s="80"/>
      <c r="Y1387" s="81"/>
      <c r="Z1387" s="80"/>
      <c r="AA1387" s="80"/>
      <c r="AB1387" s="80"/>
      <c r="AC1387" s="80"/>
      <c r="AD1387" s="81"/>
      <c r="AE1387" s="80"/>
      <c r="AF1387" s="80"/>
      <c r="AG1387" s="81"/>
      <c r="AH1387" s="79"/>
      <c r="AI1387" s="78" t="str">
        <f aca="false">IF(E1387="","",(V1387&lt;&gt;"")+(AA1387&lt;&gt;"")+(AF1387&lt;&gt;""))</f>
        <v/>
      </c>
      <c r="AJ1387" s="82" t="str">
        <f aca="false">IF(AF1387&lt;&gt;"",AF1387,IF(AA1387&lt;&gt;"",AA1387,IF(V1387&lt;&gt;"",V1387,"")))</f>
        <v/>
      </c>
      <c r="AK1387" s="83" t="str">
        <f aca="false">IF(E1387="","",IF(P1387="","À SOUDER",IF(S1387="","VT EN ATTENTE",IF(S1387="R","VT REJETÉ – À REPRENDRE",IF(AJ1387="","À RADIOGRAPHIER",IF(AJ1387="A","ACCEPTÉ",IF(AJ1387="NX","NX – RT À REFAIRE",IF(IF(AI1387=1,X1387,IF(AI1387=2,AC1387,""))="A","RÉPARÉ – À RADIOGRAPHIER",IF(IF(AI1387=1,X1387,IF(AI1387=2,AC1387,""))="R","VT REJETÉ – À REPRENDRE",IF(AJ1387="CO","COUPE – À RESOUDER","À RÉPARER"))))))))))</f>
        <v/>
      </c>
      <c r="AL1387" s="82" t="str">
        <f aca="false">IF(AND(ISNUMBER(P1387),OR(AK1387="À RADIOGRAPHIER",AK1387="RÉPARÉ – À RADIOGRAPHIER",AK1387="NX – RT À REFAIRE",AK1387="À RÉPARER",AK1387="COUPE – À RESOUDER",AK1387="VT REJETÉ – À REPRENDRE")),MAX(0,'PROGRAMME RT'!$C$4-P1387),"")</f>
        <v/>
      </c>
      <c r="AM1387" s="78" t="n">
        <f aca="false">IF(AND(OR(AK1387="À RADIOGRAPHIER",AK1387="RÉPARÉ – À RADIOGRAPHIER",AK1387="NX – RT À REFAIRE"),OR('PROGRAMME RT'!$D$5="TOUTES",B1387='PROGRAMME RT'!$D$5)),1,0)</f>
        <v>0</v>
      </c>
      <c r="AN1387" s="78" t="str">
        <f aca="false">IF(AM1387=1,SUM(AM$7:AM1387),"")</f>
        <v/>
      </c>
      <c r="AO1387" s="78" t="n">
        <f aca="false">IF(AND(OR(AK1387="À RÉPARER",AK1387="COUPE – À RESOUDER",AK1387="VT REJETÉ – À REPRENDRE"),OR(RÉPARATIONS!$D$5="TOUTES",B1387=RÉPARATIONS!$D$5)),1,0)</f>
        <v>0</v>
      </c>
      <c r="AP1387" s="78" t="str">
        <f aca="false">IF(AO1387=1,SUM(AO$7:AO1387),"")</f>
        <v/>
      </c>
    </row>
    <row r="1388" customFormat="false" ht="15" hidden="false" customHeight="false" outlineLevel="0" collapsed="false">
      <c r="A1388" s="78" t="str">
        <f aca="false">IF(E1388="","",ROW()-6)</f>
        <v/>
      </c>
      <c r="B1388" s="79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0"/>
      <c r="P1388" s="81"/>
      <c r="Q1388" s="81"/>
      <c r="R1388" s="80"/>
      <c r="S1388" s="80"/>
      <c r="T1388" s="81"/>
      <c r="U1388" s="80"/>
      <c r="V1388" s="80"/>
      <c r="W1388" s="80"/>
      <c r="X1388" s="80"/>
      <c r="Y1388" s="81"/>
      <c r="Z1388" s="80"/>
      <c r="AA1388" s="80"/>
      <c r="AB1388" s="80"/>
      <c r="AC1388" s="80"/>
      <c r="AD1388" s="81"/>
      <c r="AE1388" s="80"/>
      <c r="AF1388" s="80"/>
      <c r="AG1388" s="81"/>
      <c r="AH1388" s="79"/>
      <c r="AI1388" s="78" t="str">
        <f aca="false">IF(E1388="","",(V1388&lt;&gt;"")+(AA1388&lt;&gt;"")+(AF1388&lt;&gt;""))</f>
        <v/>
      </c>
      <c r="AJ1388" s="82" t="str">
        <f aca="false">IF(AF1388&lt;&gt;"",AF1388,IF(AA1388&lt;&gt;"",AA1388,IF(V1388&lt;&gt;"",V1388,"")))</f>
        <v/>
      </c>
      <c r="AK1388" s="83" t="str">
        <f aca="false">IF(E1388="","",IF(P1388="","À SOUDER",IF(S1388="","VT EN ATTENTE",IF(S1388="R","VT REJETÉ – À REPRENDRE",IF(AJ1388="","À RADIOGRAPHIER",IF(AJ1388="A","ACCEPTÉ",IF(AJ1388="NX","NX – RT À REFAIRE",IF(IF(AI1388=1,X1388,IF(AI1388=2,AC1388,""))="A","RÉPARÉ – À RADIOGRAPHIER",IF(IF(AI1388=1,X1388,IF(AI1388=2,AC1388,""))="R","VT REJETÉ – À REPRENDRE",IF(AJ1388="CO","COUPE – À RESOUDER","À RÉPARER"))))))))))</f>
        <v/>
      </c>
      <c r="AL1388" s="82" t="str">
        <f aca="false">IF(AND(ISNUMBER(P1388),OR(AK1388="À RADIOGRAPHIER",AK1388="RÉPARÉ – À RADIOGRAPHIER",AK1388="NX – RT À REFAIRE",AK1388="À RÉPARER",AK1388="COUPE – À RESOUDER",AK1388="VT REJETÉ – À REPRENDRE")),MAX(0,'PROGRAMME RT'!$C$4-P1388),"")</f>
        <v/>
      </c>
      <c r="AM1388" s="78" t="n">
        <f aca="false">IF(AND(OR(AK1388="À RADIOGRAPHIER",AK1388="RÉPARÉ – À RADIOGRAPHIER",AK1388="NX – RT À REFAIRE"),OR('PROGRAMME RT'!$D$5="TOUTES",B1388='PROGRAMME RT'!$D$5)),1,0)</f>
        <v>0</v>
      </c>
      <c r="AN1388" s="78" t="str">
        <f aca="false">IF(AM1388=1,SUM(AM$7:AM1388),"")</f>
        <v/>
      </c>
      <c r="AO1388" s="78" t="n">
        <f aca="false">IF(AND(OR(AK1388="À RÉPARER",AK1388="COUPE – À RESOUDER",AK1388="VT REJETÉ – À REPRENDRE"),OR(RÉPARATIONS!$D$5="TOUTES",B1388=RÉPARATIONS!$D$5)),1,0)</f>
        <v>0</v>
      </c>
      <c r="AP1388" s="78" t="str">
        <f aca="false">IF(AO1388=1,SUM(AO$7:AO1388),"")</f>
        <v/>
      </c>
    </row>
    <row r="1389" customFormat="false" ht="15" hidden="false" customHeight="false" outlineLevel="0" collapsed="false">
      <c r="A1389" s="78" t="str">
        <f aca="false">IF(E1389="","",ROW()-6)</f>
        <v/>
      </c>
      <c r="B1389" s="79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0"/>
      <c r="P1389" s="81"/>
      <c r="Q1389" s="81"/>
      <c r="R1389" s="80"/>
      <c r="S1389" s="80"/>
      <c r="T1389" s="81"/>
      <c r="U1389" s="80"/>
      <c r="V1389" s="80"/>
      <c r="W1389" s="80"/>
      <c r="X1389" s="80"/>
      <c r="Y1389" s="81"/>
      <c r="Z1389" s="80"/>
      <c r="AA1389" s="80"/>
      <c r="AB1389" s="80"/>
      <c r="AC1389" s="80"/>
      <c r="AD1389" s="81"/>
      <c r="AE1389" s="80"/>
      <c r="AF1389" s="80"/>
      <c r="AG1389" s="81"/>
      <c r="AH1389" s="79"/>
      <c r="AI1389" s="78" t="str">
        <f aca="false">IF(E1389="","",(V1389&lt;&gt;"")+(AA1389&lt;&gt;"")+(AF1389&lt;&gt;""))</f>
        <v/>
      </c>
      <c r="AJ1389" s="82" t="str">
        <f aca="false">IF(AF1389&lt;&gt;"",AF1389,IF(AA1389&lt;&gt;"",AA1389,IF(V1389&lt;&gt;"",V1389,"")))</f>
        <v/>
      </c>
      <c r="AK1389" s="83" t="str">
        <f aca="false">IF(E1389="","",IF(P1389="","À SOUDER",IF(S1389="","VT EN ATTENTE",IF(S1389="R","VT REJETÉ – À REPRENDRE",IF(AJ1389="","À RADIOGRAPHIER",IF(AJ1389="A","ACCEPTÉ",IF(AJ1389="NX","NX – RT À REFAIRE",IF(IF(AI1389=1,X1389,IF(AI1389=2,AC1389,""))="A","RÉPARÉ – À RADIOGRAPHIER",IF(IF(AI1389=1,X1389,IF(AI1389=2,AC1389,""))="R","VT REJETÉ – À REPRENDRE",IF(AJ1389="CO","COUPE – À RESOUDER","À RÉPARER"))))))))))</f>
        <v/>
      </c>
      <c r="AL1389" s="82" t="str">
        <f aca="false">IF(AND(ISNUMBER(P1389),OR(AK1389="À RADIOGRAPHIER",AK1389="RÉPARÉ – À RADIOGRAPHIER",AK1389="NX – RT À REFAIRE",AK1389="À RÉPARER",AK1389="COUPE – À RESOUDER",AK1389="VT REJETÉ – À REPRENDRE")),MAX(0,'PROGRAMME RT'!$C$4-P1389),"")</f>
        <v/>
      </c>
      <c r="AM1389" s="78" t="n">
        <f aca="false">IF(AND(OR(AK1389="À RADIOGRAPHIER",AK1389="RÉPARÉ – À RADIOGRAPHIER",AK1389="NX – RT À REFAIRE"),OR('PROGRAMME RT'!$D$5="TOUTES",B1389='PROGRAMME RT'!$D$5)),1,0)</f>
        <v>0</v>
      </c>
      <c r="AN1389" s="78" t="str">
        <f aca="false">IF(AM1389=1,SUM(AM$7:AM1389),"")</f>
        <v/>
      </c>
      <c r="AO1389" s="78" t="n">
        <f aca="false">IF(AND(OR(AK1389="À RÉPARER",AK1389="COUPE – À RESOUDER",AK1389="VT REJETÉ – À REPRENDRE"),OR(RÉPARATIONS!$D$5="TOUTES",B1389=RÉPARATIONS!$D$5)),1,0)</f>
        <v>0</v>
      </c>
      <c r="AP1389" s="78" t="str">
        <f aca="false">IF(AO1389=1,SUM(AO$7:AO1389),"")</f>
        <v/>
      </c>
    </row>
    <row r="1390" customFormat="false" ht="15" hidden="false" customHeight="false" outlineLevel="0" collapsed="false">
      <c r="A1390" s="78" t="str">
        <f aca="false">IF(E1390="","",ROW()-6)</f>
        <v/>
      </c>
      <c r="B1390" s="79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0"/>
      <c r="P1390" s="81"/>
      <c r="Q1390" s="81"/>
      <c r="R1390" s="80"/>
      <c r="S1390" s="80"/>
      <c r="T1390" s="81"/>
      <c r="U1390" s="80"/>
      <c r="V1390" s="80"/>
      <c r="W1390" s="80"/>
      <c r="X1390" s="80"/>
      <c r="Y1390" s="81"/>
      <c r="Z1390" s="80"/>
      <c r="AA1390" s="80"/>
      <c r="AB1390" s="80"/>
      <c r="AC1390" s="80"/>
      <c r="AD1390" s="81"/>
      <c r="AE1390" s="80"/>
      <c r="AF1390" s="80"/>
      <c r="AG1390" s="81"/>
      <c r="AH1390" s="79"/>
      <c r="AI1390" s="78" t="str">
        <f aca="false">IF(E1390="","",(V1390&lt;&gt;"")+(AA1390&lt;&gt;"")+(AF1390&lt;&gt;""))</f>
        <v/>
      </c>
      <c r="AJ1390" s="82" t="str">
        <f aca="false">IF(AF1390&lt;&gt;"",AF1390,IF(AA1390&lt;&gt;"",AA1390,IF(V1390&lt;&gt;"",V1390,"")))</f>
        <v/>
      </c>
      <c r="AK1390" s="83" t="str">
        <f aca="false">IF(E1390="","",IF(P1390="","À SOUDER",IF(S1390="","VT EN ATTENTE",IF(S1390="R","VT REJETÉ – À REPRENDRE",IF(AJ1390="","À RADIOGRAPHIER",IF(AJ1390="A","ACCEPTÉ",IF(AJ1390="NX","NX – RT À REFAIRE",IF(IF(AI1390=1,X1390,IF(AI1390=2,AC1390,""))="A","RÉPARÉ – À RADIOGRAPHIER",IF(IF(AI1390=1,X1390,IF(AI1390=2,AC1390,""))="R","VT REJETÉ – À REPRENDRE",IF(AJ1390="CO","COUPE – À RESOUDER","À RÉPARER"))))))))))</f>
        <v/>
      </c>
      <c r="AL1390" s="82" t="str">
        <f aca="false">IF(AND(ISNUMBER(P1390),OR(AK1390="À RADIOGRAPHIER",AK1390="RÉPARÉ – À RADIOGRAPHIER",AK1390="NX – RT À REFAIRE",AK1390="À RÉPARER",AK1390="COUPE – À RESOUDER",AK1390="VT REJETÉ – À REPRENDRE")),MAX(0,'PROGRAMME RT'!$C$4-P1390),"")</f>
        <v/>
      </c>
      <c r="AM1390" s="78" t="n">
        <f aca="false">IF(AND(OR(AK1390="À RADIOGRAPHIER",AK1390="RÉPARÉ – À RADIOGRAPHIER",AK1390="NX – RT À REFAIRE"),OR('PROGRAMME RT'!$D$5="TOUTES",B1390='PROGRAMME RT'!$D$5)),1,0)</f>
        <v>0</v>
      </c>
      <c r="AN1390" s="78" t="str">
        <f aca="false">IF(AM1390=1,SUM(AM$7:AM1390),"")</f>
        <v/>
      </c>
      <c r="AO1390" s="78" t="n">
        <f aca="false">IF(AND(OR(AK1390="À RÉPARER",AK1390="COUPE – À RESOUDER",AK1390="VT REJETÉ – À REPRENDRE"),OR(RÉPARATIONS!$D$5="TOUTES",B1390=RÉPARATIONS!$D$5)),1,0)</f>
        <v>0</v>
      </c>
      <c r="AP1390" s="78" t="str">
        <f aca="false">IF(AO1390=1,SUM(AO$7:AO1390),"")</f>
        <v/>
      </c>
    </row>
    <row r="1391" customFormat="false" ht="15" hidden="false" customHeight="false" outlineLevel="0" collapsed="false">
      <c r="A1391" s="78" t="str">
        <f aca="false">IF(E1391="","",ROW()-6)</f>
        <v/>
      </c>
      <c r="B1391" s="79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0"/>
      <c r="P1391" s="81"/>
      <c r="Q1391" s="81"/>
      <c r="R1391" s="80"/>
      <c r="S1391" s="80"/>
      <c r="T1391" s="81"/>
      <c r="U1391" s="80"/>
      <c r="V1391" s="80"/>
      <c r="W1391" s="80"/>
      <c r="X1391" s="80"/>
      <c r="Y1391" s="81"/>
      <c r="Z1391" s="80"/>
      <c r="AA1391" s="80"/>
      <c r="AB1391" s="80"/>
      <c r="AC1391" s="80"/>
      <c r="AD1391" s="81"/>
      <c r="AE1391" s="80"/>
      <c r="AF1391" s="80"/>
      <c r="AG1391" s="81"/>
      <c r="AH1391" s="79"/>
      <c r="AI1391" s="78" t="str">
        <f aca="false">IF(E1391="","",(V1391&lt;&gt;"")+(AA1391&lt;&gt;"")+(AF1391&lt;&gt;""))</f>
        <v/>
      </c>
      <c r="AJ1391" s="82" t="str">
        <f aca="false">IF(AF1391&lt;&gt;"",AF1391,IF(AA1391&lt;&gt;"",AA1391,IF(V1391&lt;&gt;"",V1391,"")))</f>
        <v/>
      </c>
      <c r="AK1391" s="83" t="str">
        <f aca="false">IF(E1391="","",IF(P1391="","À SOUDER",IF(S1391="","VT EN ATTENTE",IF(S1391="R","VT REJETÉ – À REPRENDRE",IF(AJ1391="","À RADIOGRAPHIER",IF(AJ1391="A","ACCEPTÉ",IF(AJ1391="NX","NX – RT À REFAIRE",IF(IF(AI1391=1,X1391,IF(AI1391=2,AC1391,""))="A","RÉPARÉ – À RADIOGRAPHIER",IF(IF(AI1391=1,X1391,IF(AI1391=2,AC1391,""))="R","VT REJETÉ – À REPRENDRE",IF(AJ1391="CO","COUPE – À RESOUDER","À RÉPARER"))))))))))</f>
        <v/>
      </c>
      <c r="AL1391" s="82" t="str">
        <f aca="false">IF(AND(ISNUMBER(P1391),OR(AK1391="À RADIOGRAPHIER",AK1391="RÉPARÉ – À RADIOGRAPHIER",AK1391="NX – RT À REFAIRE",AK1391="À RÉPARER",AK1391="COUPE – À RESOUDER",AK1391="VT REJETÉ – À REPRENDRE")),MAX(0,'PROGRAMME RT'!$C$4-P1391),"")</f>
        <v/>
      </c>
      <c r="AM1391" s="78" t="n">
        <f aca="false">IF(AND(OR(AK1391="À RADIOGRAPHIER",AK1391="RÉPARÉ – À RADIOGRAPHIER",AK1391="NX – RT À REFAIRE"),OR('PROGRAMME RT'!$D$5="TOUTES",B1391='PROGRAMME RT'!$D$5)),1,0)</f>
        <v>0</v>
      </c>
      <c r="AN1391" s="78" t="str">
        <f aca="false">IF(AM1391=1,SUM(AM$7:AM1391),"")</f>
        <v/>
      </c>
      <c r="AO1391" s="78" t="n">
        <f aca="false">IF(AND(OR(AK1391="À RÉPARER",AK1391="COUPE – À RESOUDER",AK1391="VT REJETÉ – À REPRENDRE"),OR(RÉPARATIONS!$D$5="TOUTES",B1391=RÉPARATIONS!$D$5)),1,0)</f>
        <v>0</v>
      </c>
      <c r="AP1391" s="78" t="str">
        <f aca="false">IF(AO1391=1,SUM(AO$7:AO1391),"")</f>
        <v/>
      </c>
    </row>
    <row r="1392" customFormat="false" ht="15" hidden="false" customHeight="false" outlineLevel="0" collapsed="false">
      <c r="A1392" s="78" t="str">
        <f aca="false">IF(E1392="","",ROW()-6)</f>
        <v/>
      </c>
      <c r="B1392" s="79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0"/>
      <c r="P1392" s="81"/>
      <c r="Q1392" s="81"/>
      <c r="R1392" s="80"/>
      <c r="S1392" s="80"/>
      <c r="T1392" s="81"/>
      <c r="U1392" s="80"/>
      <c r="V1392" s="80"/>
      <c r="W1392" s="80"/>
      <c r="X1392" s="80"/>
      <c r="Y1392" s="81"/>
      <c r="Z1392" s="80"/>
      <c r="AA1392" s="80"/>
      <c r="AB1392" s="80"/>
      <c r="AC1392" s="80"/>
      <c r="AD1392" s="81"/>
      <c r="AE1392" s="80"/>
      <c r="AF1392" s="80"/>
      <c r="AG1392" s="81"/>
      <c r="AH1392" s="79"/>
      <c r="AI1392" s="78" t="str">
        <f aca="false">IF(E1392="","",(V1392&lt;&gt;"")+(AA1392&lt;&gt;"")+(AF1392&lt;&gt;""))</f>
        <v/>
      </c>
      <c r="AJ1392" s="82" t="str">
        <f aca="false">IF(AF1392&lt;&gt;"",AF1392,IF(AA1392&lt;&gt;"",AA1392,IF(V1392&lt;&gt;"",V1392,"")))</f>
        <v/>
      </c>
      <c r="AK1392" s="83" t="str">
        <f aca="false">IF(E1392="","",IF(P1392="","À SOUDER",IF(S1392="","VT EN ATTENTE",IF(S1392="R","VT REJETÉ – À REPRENDRE",IF(AJ1392="","À RADIOGRAPHIER",IF(AJ1392="A","ACCEPTÉ",IF(AJ1392="NX","NX – RT À REFAIRE",IF(IF(AI1392=1,X1392,IF(AI1392=2,AC1392,""))="A","RÉPARÉ – À RADIOGRAPHIER",IF(IF(AI1392=1,X1392,IF(AI1392=2,AC1392,""))="R","VT REJETÉ – À REPRENDRE",IF(AJ1392="CO","COUPE – À RESOUDER","À RÉPARER"))))))))))</f>
        <v/>
      </c>
      <c r="AL1392" s="82" t="str">
        <f aca="false">IF(AND(ISNUMBER(P1392),OR(AK1392="À RADIOGRAPHIER",AK1392="RÉPARÉ – À RADIOGRAPHIER",AK1392="NX – RT À REFAIRE",AK1392="À RÉPARER",AK1392="COUPE – À RESOUDER",AK1392="VT REJETÉ – À REPRENDRE")),MAX(0,'PROGRAMME RT'!$C$4-P1392),"")</f>
        <v/>
      </c>
      <c r="AM1392" s="78" t="n">
        <f aca="false">IF(AND(OR(AK1392="À RADIOGRAPHIER",AK1392="RÉPARÉ – À RADIOGRAPHIER",AK1392="NX – RT À REFAIRE"),OR('PROGRAMME RT'!$D$5="TOUTES",B1392='PROGRAMME RT'!$D$5)),1,0)</f>
        <v>0</v>
      </c>
      <c r="AN1392" s="78" t="str">
        <f aca="false">IF(AM1392=1,SUM(AM$7:AM1392),"")</f>
        <v/>
      </c>
      <c r="AO1392" s="78" t="n">
        <f aca="false">IF(AND(OR(AK1392="À RÉPARER",AK1392="COUPE – À RESOUDER",AK1392="VT REJETÉ – À REPRENDRE"),OR(RÉPARATIONS!$D$5="TOUTES",B1392=RÉPARATIONS!$D$5)),1,0)</f>
        <v>0</v>
      </c>
      <c r="AP1392" s="78" t="str">
        <f aca="false">IF(AO1392=1,SUM(AO$7:AO1392),"")</f>
        <v/>
      </c>
    </row>
    <row r="1393" customFormat="false" ht="15" hidden="false" customHeight="false" outlineLevel="0" collapsed="false">
      <c r="A1393" s="78" t="str">
        <f aca="false">IF(E1393="","",ROW()-6)</f>
        <v/>
      </c>
      <c r="B1393" s="79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0"/>
      <c r="P1393" s="81"/>
      <c r="Q1393" s="81"/>
      <c r="R1393" s="80"/>
      <c r="S1393" s="80"/>
      <c r="T1393" s="81"/>
      <c r="U1393" s="80"/>
      <c r="V1393" s="80"/>
      <c r="W1393" s="80"/>
      <c r="X1393" s="80"/>
      <c r="Y1393" s="81"/>
      <c r="Z1393" s="80"/>
      <c r="AA1393" s="80"/>
      <c r="AB1393" s="80"/>
      <c r="AC1393" s="80"/>
      <c r="AD1393" s="81"/>
      <c r="AE1393" s="80"/>
      <c r="AF1393" s="80"/>
      <c r="AG1393" s="81"/>
      <c r="AH1393" s="79"/>
      <c r="AI1393" s="78" t="str">
        <f aca="false">IF(E1393="","",(V1393&lt;&gt;"")+(AA1393&lt;&gt;"")+(AF1393&lt;&gt;""))</f>
        <v/>
      </c>
      <c r="AJ1393" s="82" t="str">
        <f aca="false">IF(AF1393&lt;&gt;"",AF1393,IF(AA1393&lt;&gt;"",AA1393,IF(V1393&lt;&gt;"",V1393,"")))</f>
        <v/>
      </c>
      <c r="AK1393" s="83" t="str">
        <f aca="false">IF(E1393="","",IF(P1393="","À SOUDER",IF(S1393="","VT EN ATTENTE",IF(S1393="R","VT REJETÉ – À REPRENDRE",IF(AJ1393="","À RADIOGRAPHIER",IF(AJ1393="A","ACCEPTÉ",IF(AJ1393="NX","NX – RT À REFAIRE",IF(IF(AI1393=1,X1393,IF(AI1393=2,AC1393,""))="A","RÉPARÉ – À RADIOGRAPHIER",IF(IF(AI1393=1,X1393,IF(AI1393=2,AC1393,""))="R","VT REJETÉ – À REPRENDRE",IF(AJ1393="CO","COUPE – À RESOUDER","À RÉPARER"))))))))))</f>
        <v/>
      </c>
      <c r="AL1393" s="82" t="str">
        <f aca="false">IF(AND(ISNUMBER(P1393),OR(AK1393="À RADIOGRAPHIER",AK1393="RÉPARÉ – À RADIOGRAPHIER",AK1393="NX – RT À REFAIRE",AK1393="À RÉPARER",AK1393="COUPE – À RESOUDER",AK1393="VT REJETÉ – À REPRENDRE")),MAX(0,'PROGRAMME RT'!$C$4-P1393),"")</f>
        <v/>
      </c>
      <c r="AM1393" s="78" t="n">
        <f aca="false">IF(AND(OR(AK1393="À RADIOGRAPHIER",AK1393="RÉPARÉ – À RADIOGRAPHIER",AK1393="NX – RT À REFAIRE"),OR('PROGRAMME RT'!$D$5="TOUTES",B1393='PROGRAMME RT'!$D$5)),1,0)</f>
        <v>0</v>
      </c>
      <c r="AN1393" s="78" t="str">
        <f aca="false">IF(AM1393=1,SUM(AM$7:AM1393),"")</f>
        <v/>
      </c>
      <c r="AO1393" s="78" t="n">
        <f aca="false">IF(AND(OR(AK1393="À RÉPARER",AK1393="COUPE – À RESOUDER",AK1393="VT REJETÉ – À REPRENDRE"),OR(RÉPARATIONS!$D$5="TOUTES",B1393=RÉPARATIONS!$D$5)),1,0)</f>
        <v>0</v>
      </c>
      <c r="AP1393" s="78" t="str">
        <f aca="false">IF(AO1393=1,SUM(AO$7:AO1393),"")</f>
        <v/>
      </c>
    </row>
    <row r="1394" customFormat="false" ht="15" hidden="false" customHeight="false" outlineLevel="0" collapsed="false">
      <c r="A1394" s="78" t="str">
        <f aca="false">IF(E1394="","",ROW()-6)</f>
        <v/>
      </c>
      <c r="B1394" s="79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0"/>
      <c r="P1394" s="81"/>
      <c r="Q1394" s="81"/>
      <c r="R1394" s="80"/>
      <c r="S1394" s="80"/>
      <c r="T1394" s="81"/>
      <c r="U1394" s="80"/>
      <c r="V1394" s="80"/>
      <c r="W1394" s="80"/>
      <c r="X1394" s="80"/>
      <c r="Y1394" s="81"/>
      <c r="Z1394" s="80"/>
      <c r="AA1394" s="80"/>
      <c r="AB1394" s="80"/>
      <c r="AC1394" s="80"/>
      <c r="AD1394" s="81"/>
      <c r="AE1394" s="80"/>
      <c r="AF1394" s="80"/>
      <c r="AG1394" s="81"/>
      <c r="AH1394" s="79"/>
      <c r="AI1394" s="78" t="str">
        <f aca="false">IF(E1394="","",(V1394&lt;&gt;"")+(AA1394&lt;&gt;"")+(AF1394&lt;&gt;""))</f>
        <v/>
      </c>
      <c r="AJ1394" s="82" t="str">
        <f aca="false">IF(AF1394&lt;&gt;"",AF1394,IF(AA1394&lt;&gt;"",AA1394,IF(V1394&lt;&gt;"",V1394,"")))</f>
        <v/>
      </c>
      <c r="AK1394" s="83" t="str">
        <f aca="false">IF(E1394="","",IF(P1394="","À SOUDER",IF(S1394="","VT EN ATTENTE",IF(S1394="R","VT REJETÉ – À REPRENDRE",IF(AJ1394="","À RADIOGRAPHIER",IF(AJ1394="A","ACCEPTÉ",IF(AJ1394="NX","NX – RT À REFAIRE",IF(IF(AI1394=1,X1394,IF(AI1394=2,AC1394,""))="A","RÉPARÉ – À RADIOGRAPHIER",IF(IF(AI1394=1,X1394,IF(AI1394=2,AC1394,""))="R","VT REJETÉ – À REPRENDRE",IF(AJ1394="CO","COUPE – À RESOUDER","À RÉPARER"))))))))))</f>
        <v/>
      </c>
      <c r="AL1394" s="82" t="str">
        <f aca="false">IF(AND(ISNUMBER(P1394),OR(AK1394="À RADIOGRAPHIER",AK1394="RÉPARÉ – À RADIOGRAPHIER",AK1394="NX – RT À REFAIRE",AK1394="À RÉPARER",AK1394="COUPE – À RESOUDER",AK1394="VT REJETÉ – À REPRENDRE")),MAX(0,'PROGRAMME RT'!$C$4-P1394),"")</f>
        <v/>
      </c>
      <c r="AM1394" s="78" t="n">
        <f aca="false">IF(AND(OR(AK1394="À RADIOGRAPHIER",AK1394="RÉPARÉ – À RADIOGRAPHIER",AK1394="NX – RT À REFAIRE"),OR('PROGRAMME RT'!$D$5="TOUTES",B1394='PROGRAMME RT'!$D$5)),1,0)</f>
        <v>0</v>
      </c>
      <c r="AN1394" s="78" t="str">
        <f aca="false">IF(AM1394=1,SUM(AM$7:AM1394),"")</f>
        <v/>
      </c>
      <c r="AO1394" s="78" t="n">
        <f aca="false">IF(AND(OR(AK1394="À RÉPARER",AK1394="COUPE – À RESOUDER",AK1394="VT REJETÉ – À REPRENDRE"),OR(RÉPARATIONS!$D$5="TOUTES",B1394=RÉPARATIONS!$D$5)),1,0)</f>
        <v>0</v>
      </c>
      <c r="AP1394" s="78" t="str">
        <f aca="false">IF(AO1394=1,SUM(AO$7:AO1394),"")</f>
        <v/>
      </c>
    </row>
    <row r="1395" customFormat="false" ht="15" hidden="false" customHeight="false" outlineLevel="0" collapsed="false">
      <c r="A1395" s="78" t="str">
        <f aca="false">IF(E1395="","",ROW()-6)</f>
        <v/>
      </c>
      <c r="B1395" s="79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0"/>
      <c r="P1395" s="81"/>
      <c r="Q1395" s="81"/>
      <c r="R1395" s="80"/>
      <c r="S1395" s="80"/>
      <c r="T1395" s="81"/>
      <c r="U1395" s="80"/>
      <c r="V1395" s="80"/>
      <c r="W1395" s="80"/>
      <c r="X1395" s="80"/>
      <c r="Y1395" s="81"/>
      <c r="Z1395" s="80"/>
      <c r="AA1395" s="80"/>
      <c r="AB1395" s="80"/>
      <c r="AC1395" s="80"/>
      <c r="AD1395" s="81"/>
      <c r="AE1395" s="80"/>
      <c r="AF1395" s="80"/>
      <c r="AG1395" s="81"/>
      <c r="AH1395" s="79"/>
      <c r="AI1395" s="78" t="str">
        <f aca="false">IF(E1395="","",(V1395&lt;&gt;"")+(AA1395&lt;&gt;"")+(AF1395&lt;&gt;""))</f>
        <v/>
      </c>
      <c r="AJ1395" s="82" t="str">
        <f aca="false">IF(AF1395&lt;&gt;"",AF1395,IF(AA1395&lt;&gt;"",AA1395,IF(V1395&lt;&gt;"",V1395,"")))</f>
        <v/>
      </c>
      <c r="AK1395" s="83" t="str">
        <f aca="false">IF(E1395="","",IF(P1395="","À SOUDER",IF(S1395="","VT EN ATTENTE",IF(S1395="R","VT REJETÉ – À REPRENDRE",IF(AJ1395="","À RADIOGRAPHIER",IF(AJ1395="A","ACCEPTÉ",IF(AJ1395="NX","NX – RT À REFAIRE",IF(IF(AI1395=1,X1395,IF(AI1395=2,AC1395,""))="A","RÉPARÉ – À RADIOGRAPHIER",IF(IF(AI1395=1,X1395,IF(AI1395=2,AC1395,""))="R","VT REJETÉ – À REPRENDRE",IF(AJ1395="CO","COUPE – À RESOUDER","À RÉPARER"))))))))))</f>
        <v/>
      </c>
      <c r="AL1395" s="82" t="str">
        <f aca="false">IF(AND(ISNUMBER(P1395),OR(AK1395="À RADIOGRAPHIER",AK1395="RÉPARÉ – À RADIOGRAPHIER",AK1395="NX – RT À REFAIRE",AK1395="À RÉPARER",AK1395="COUPE – À RESOUDER",AK1395="VT REJETÉ – À REPRENDRE")),MAX(0,'PROGRAMME RT'!$C$4-P1395),"")</f>
        <v/>
      </c>
      <c r="AM1395" s="78" t="n">
        <f aca="false">IF(AND(OR(AK1395="À RADIOGRAPHIER",AK1395="RÉPARÉ – À RADIOGRAPHIER",AK1395="NX – RT À REFAIRE"),OR('PROGRAMME RT'!$D$5="TOUTES",B1395='PROGRAMME RT'!$D$5)),1,0)</f>
        <v>0</v>
      </c>
      <c r="AN1395" s="78" t="str">
        <f aca="false">IF(AM1395=1,SUM(AM$7:AM1395),"")</f>
        <v/>
      </c>
      <c r="AO1395" s="78" t="n">
        <f aca="false">IF(AND(OR(AK1395="À RÉPARER",AK1395="COUPE – À RESOUDER",AK1395="VT REJETÉ – À REPRENDRE"),OR(RÉPARATIONS!$D$5="TOUTES",B1395=RÉPARATIONS!$D$5)),1,0)</f>
        <v>0</v>
      </c>
      <c r="AP1395" s="78" t="str">
        <f aca="false">IF(AO1395=1,SUM(AO$7:AO1395),"")</f>
        <v/>
      </c>
    </row>
    <row r="1396" customFormat="false" ht="15" hidden="false" customHeight="false" outlineLevel="0" collapsed="false">
      <c r="A1396" s="78" t="str">
        <f aca="false">IF(E1396="","",ROW()-6)</f>
        <v/>
      </c>
      <c r="B1396" s="79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0"/>
      <c r="P1396" s="81"/>
      <c r="Q1396" s="81"/>
      <c r="R1396" s="80"/>
      <c r="S1396" s="80"/>
      <c r="T1396" s="81"/>
      <c r="U1396" s="80"/>
      <c r="V1396" s="80"/>
      <c r="W1396" s="80"/>
      <c r="X1396" s="80"/>
      <c r="Y1396" s="81"/>
      <c r="Z1396" s="80"/>
      <c r="AA1396" s="80"/>
      <c r="AB1396" s="80"/>
      <c r="AC1396" s="80"/>
      <c r="AD1396" s="81"/>
      <c r="AE1396" s="80"/>
      <c r="AF1396" s="80"/>
      <c r="AG1396" s="81"/>
      <c r="AH1396" s="79"/>
      <c r="AI1396" s="78" t="str">
        <f aca="false">IF(E1396="","",(V1396&lt;&gt;"")+(AA1396&lt;&gt;"")+(AF1396&lt;&gt;""))</f>
        <v/>
      </c>
      <c r="AJ1396" s="82" t="str">
        <f aca="false">IF(AF1396&lt;&gt;"",AF1396,IF(AA1396&lt;&gt;"",AA1396,IF(V1396&lt;&gt;"",V1396,"")))</f>
        <v/>
      </c>
      <c r="AK1396" s="83" t="str">
        <f aca="false">IF(E1396="","",IF(P1396="","À SOUDER",IF(S1396="","VT EN ATTENTE",IF(S1396="R","VT REJETÉ – À REPRENDRE",IF(AJ1396="","À RADIOGRAPHIER",IF(AJ1396="A","ACCEPTÉ",IF(AJ1396="NX","NX – RT À REFAIRE",IF(IF(AI1396=1,X1396,IF(AI1396=2,AC1396,""))="A","RÉPARÉ – À RADIOGRAPHIER",IF(IF(AI1396=1,X1396,IF(AI1396=2,AC1396,""))="R","VT REJETÉ – À REPRENDRE",IF(AJ1396="CO","COUPE – À RESOUDER","À RÉPARER"))))))))))</f>
        <v/>
      </c>
      <c r="AL1396" s="82" t="str">
        <f aca="false">IF(AND(ISNUMBER(P1396),OR(AK1396="À RADIOGRAPHIER",AK1396="RÉPARÉ – À RADIOGRAPHIER",AK1396="NX – RT À REFAIRE",AK1396="À RÉPARER",AK1396="COUPE – À RESOUDER",AK1396="VT REJETÉ – À REPRENDRE")),MAX(0,'PROGRAMME RT'!$C$4-P1396),"")</f>
        <v/>
      </c>
      <c r="AM1396" s="78" t="n">
        <f aca="false">IF(AND(OR(AK1396="À RADIOGRAPHIER",AK1396="RÉPARÉ – À RADIOGRAPHIER",AK1396="NX – RT À REFAIRE"),OR('PROGRAMME RT'!$D$5="TOUTES",B1396='PROGRAMME RT'!$D$5)),1,0)</f>
        <v>0</v>
      </c>
      <c r="AN1396" s="78" t="str">
        <f aca="false">IF(AM1396=1,SUM(AM$7:AM1396),"")</f>
        <v/>
      </c>
      <c r="AO1396" s="78" t="n">
        <f aca="false">IF(AND(OR(AK1396="À RÉPARER",AK1396="COUPE – À RESOUDER",AK1396="VT REJETÉ – À REPRENDRE"),OR(RÉPARATIONS!$D$5="TOUTES",B1396=RÉPARATIONS!$D$5)),1,0)</f>
        <v>0</v>
      </c>
      <c r="AP1396" s="78" t="str">
        <f aca="false">IF(AO1396=1,SUM(AO$7:AO1396),"")</f>
        <v/>
      </c>
    </row>
    <row r="1397" customFormat="false" ht="15" hidden="false" customHeight="false" outlineLevel="0" collapsed="false">
      <c r="A1397" s="78" t="str">
        <f aca="false">IF(E1397="","",ROW()-6)</f>
        <v/>
      </c>
      <c r="B1397" s="79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0"/>
      <c r="P1397" s="81"/>
      <c r="Q1397" s="81"/>
      <c r="R1397" s="80"/>
      <c r="S1397" s="80"/>
      <c r="T1397" s="81"/>
      <c r="U1397" s="80"/>
      <c r="V1397" s="80"/>
      <c r="W1397" s="80"/>
      <c r="X1397" s="80"/>
      <c r="Y1397" s="81"/>
      <c r="Z1397" s="80"/>
      <c r="AA1397" s="80"/>
      <c r="AB1397" s="80"/>
      <c r="AC1397" s="80"/>
      <c r="AD1397" s="81"/>
      <c r="AE1397" s="80"/>
      <c r="AF1397" s="80"/>
      <c r="AG1397" s="81"/>
      <c r="AH1397" s="79"/>
      <c r="AI1397" s="78" t="str">
        <f aca="false">IF(E1397="","",(V1397&lt;&gt;"")+(AA1397&lt;&gt;"")+(AF1397&lt;&gt;""))</f>
        <v/>
      </c>
      <c r="AJ1397" s="82" t="str">
        <f aca="false">IF(AF1397&lt;&gt;"",AF1397,IF(AA1397&lt;&gt;"",AA1397,IF(V1397&lt;&gt;"",V1397,"")))</f>
        <v/>
      </c>
      <c r="AK1397" s="83" t="str">
        <f aca="false">IF(E1397="","",IF(P1397="","À SOUDER",IF(S1397="","VT EN ATTENTE",IF(S1397="R","VT REJETÉ – À REPRENDRE",IF(AJ1397="","À RADIOGRAPHIER",IF(AJ1397="A","ACCEPTÉ",IF(AJ1397="NX","NX – RT À REFAIRE",IF(IF(AI1397=1,X1397,IF(AI1397=2,AC1397,""))="A","RÉPARÉ – À RADIOGRAPHIER",IF(IF(AI1397=1,X1397,IF(AI1397=2,AC1397,""))="R","VT REJETÉ – À REPRENDRE",IF(AJ1397="CO","COUPE – À RESOUDER","À RÉPARER"))))))))))</f>
        <v/>
      </c>
      <c r="AL1397" s="82" t="str">
        <f aca="false">IF(AND(ISNUMBER(P1397),OR(AK1397="À RADIOGRAPHIER",AK1397="RÉPARÉ – À RADIOGRAPHIER",AK1397="NX – RT À REFAIRE",AK1397="À RÉPARER",AK1397="COUPE – À RESOUDER",AK1397="VT REJETÉ – À REPRENDRE")),MAX(0,'PROGRAMME RT'!$C$4-P1397),"")</f>
        <v/>
      </c>
      <c r="AM1397" s="78" t="n">
        <f aca="false">IF(AND(OR(AK1397="À RADIOGRAPHIER",AK1397="RÉPARÉ – À RADIOGRAPHIER",AK1397="NX – RT À REFAIRE"),OR('PROGRAMME RT'!$D$5="TOUTES",B1397='PROGRAMME RT'!$D$5)),1,0)</f>
        <v>0</v>
      </c>
      <c r="AN1397" s="78" t="str">
        <f aca="false">IF(AM1397=1,SUM(AM$7:AM1397),"")</f>
        <v/>
      </c>
      <c r="AO1397" s="78" t="n">
        <f aca="false">IF(AND(OR(AK1397="À RÉPARER",AK1397="COUPE – À RESOUDER",AK1397="VT REJETÉ – À REPRENDRE"),OR(RÉPARATIONS!$D$5="TOUTES",B1397=RÉPARATIONS!$D$5)),1,0)</f>
        <v>0</v>
      </c>
      <c r="AP1397" s="78" t="str">
        <f aca="false">IF(AO1397=1,SUM(AO$7:AO1397),"")</f>
        <v/>
      </c>
    </row>
    <row r="1398" customFormat="false" ht="15" hidden="false" customHeight="false" outlineLevel="0" collapsed="false">
      <c r="A1398" s="78" t="str">
        <f aca="false">IF(E1398="","",ROW()-6)</f>
        <v/>
      </c>
      <c r="B1398" s="79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0"/>
      <c r="P1398" s="81"/>
      <c r="Q1398" s="81"/>
      <c r="R1398" s="80"/>
      <c r="S1398" s="80"/>
      <c r="T1398" s="81"/>
      <c r="U1398" s="80"/>
      <c r="V1398" s="80"/>
      <c r="W1398" s="80"/>
      <c r="X1398" s="80"/>
      <c r="Y1398" s="81"/>
      <c r="Z1398" s="80"/>
      <c r="AA1398" s="80"/>
      <c r="AB1398" s="80"/>
      <c r="AC1398" s="80"/>
      <c r="AD1398" s="81"/>
      <c r="AE1398" s="80"/>
      <c r="AF1398" s="80"/>
      <c r="AG1398" s="81"/>
      <c r="AH1398" s="79"/>
      <c r="AI1398" s="78" t="str">
        <f aca="false">IF(E1398="","",(V1398&lt;&gt;"")+(AA1398&lt;&gt;"")+(AF1398&lt;&gt;""))</f>
        <v/>
      </c>
      <c r="AJ1398" s="82" t="str">
        <f aca="false">IF(AF1398&lt;&gt;"",AF1398,IF(AA1398&lt;&gt;"",AA1398,IF(V1398&lt;&gt;"",V1398,"")))</f>
        <v/>
      </c>
      <c r="AK1398" s="83" t="str">
        <f aca="false">IF(E1398="","",IF(P1398="","À SOUDER",IF(S1398="","VT EN ATTENTE",IF(S1398="R","VT REJETÉ – À REPRENDRE",IF(AJ1398="","À RADIOGRAPHIER",IF(AJ1398="A","ACCEPTÉ",IF(AJ1398="NX","NX – RT À REFAIRE",IF(IF(AI1398=1,X1398,IF(AI1398=2,AC1398,""))="A","RÉPARÉ – À RADIOGRAPHIER",IF(IF(AI1398=1,X1398,IF(AI1398=2,AC1398,""))="R","VT REJETÉ – À REPRENDRE",IF(AJ1398="CO","COUPE – À RESOUDER","À RÉPARER"))))))))))</f>
        <v/>
      </c>
      <c r="AL1398" s="82" t="str">
        <f aca="false">IF(AND(ISNUMBER(P1398),OR(AK1398="À RADIOGRAPHIER",AK1398="RÉPARÉ – À RADIOGRAPHIER",AK1398="NX – RT À REFAIRE",AK1398="À RÉPARER",AK1398="COUPE – À RESOUDER",AK1398="VT REJETÉ – À REPRENDRE")),MAX(0,'PROGRAMME RT'!$C$4-P1398),"")</f>
        <v/>
      </c>
      <c r="AM1398" s="78" t="n">
        <f aca="false">IF(AND(OR(AK1398="À RADIOGRAPHIER",AK1398="RÉPARÉ – À RADIOGRAPHIER",AK1398="NX – RT À REFAIRE"),OR('PROGRAMME RT'!$D$5="TOUTES",B1398='PROGRAMME RT'!$D$5)),1,0)</f>
        <v>0</v>
      </c>
      <c r="AN1398" s="78" t="str">
        <f aca="false">IF(AM1398=1,SUM(AM$7:AM1398),"")</f>
        <v/>
      </c>
      <c r="AO1398" s="78" t="n">
        <f aca="false">IF(AND(OR(AK1398="À RÉPARER",AK1398="COUPE – À RESOUDER",AK1398="VT REJETÉ – À REPRENDRE"),OR(RÉPARATIONS!$D$5="TOUTES",B1398=RÉPARATIONS!$D$5)),1,0)</f>
        <v>0</v>
      </c>
      <c r="AP1398" s="78" t="str">
        <f aca="false">IF(AO1398=1,SUM(AO$7:AO1398),"")</f>
        <v/>
      </c>
    </row>
    <row r="1399" customFormat="false" ht="15" hidden="false" customHeight="false" outlineLevel="0" collapsed="false">
      <c r="A1399" s="78" t="str">
        <f aca="false">IF(E1399="","",ROW()-6)</f>
        <v/>
      </c>
      <c r="B1399" s="79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0"/>
      <c r="P1399" s="81"/>
      <c r="Q1399" s="81"/>
      <c r="R1399" s="80"/>
      <c r="S1399" s="80"/>
      <c r="T1399" s="81"/>
      <c r="U1399" s="80"/>
      <c r="V1399" s="80"/>
      <c r="W1399" s="80"/>
      <c r="X1399" s="80"/>
      <c r="Y1399" s="81"/>
      <c r="Z1399" s="80"/>
      <c r="AA1399" s="80"/>
      <c r="AB1399" s="80"/>
      <c r="AC1399" s="80"/>
      <c r="AD1399" s="81"/>
      <c r="AE1399" s="80"/>
      <c r="AF1399" s="80"/>
      <c r="AG1399" s="81"/>
      <c r="AH1399" s="79"/>
      <c r="AI1399" s="78" t="str">
        <f aca="false">IF(E1399="","",(V1399&lt;&gt;"")+(AA1399&lt;&gt;"")+(AF1399&lt;&gt;""))</f>
        <v/>
      </c>
      <c r="AJ1399" s="82" t="str">
        <f aca="false">IF(AF1399&lt;&gt;"",AF1399,IF(AA1399&lt;&gt;"",AA1399,IF(V1399&lt;&gt;"",V1399,"")))</f>
        <v/>
      </c>
      <c r="AK1399" s="83" t="str">
        <f aca="false">IF(E1399="","",IF(P1399="","À SOUDER",IF(S1399="","VT EN ATTENTE",IF(S1399="R","VT REJETÉ – À REPRENDRE",IF(AJ1399="","À RADIOGRAPHIER",IF(AJ1399="A","ACCEPTÉ",IF(AJ1399="NX","NX – RT À REFAIRE",IF(IF(AI1399=1,X1399,IF(AI1399=2,AC1399,""))="A","RÉPARÉ – À RADIOGRAPHIER",IF(IF(AI1399=1,X1399,IF(AI1399=2,AC1399,""))="R","VT REJETÉ – À REPRENDRE",IF(AJ1399="CO","COUPE – À RESOUDER","À RÉPARER"))))))))))</f>
        <v/>
      </c>
      <c r="AL1399" s="82" t="str">
        <f aca="false">IF(AND(ISNUMBER(P1399),OR(AK1399="À RADIOGRAPHIER",AK1399="RÉPARÉ – À RADIOGRAPHIER",AK1399="NX – RT À REFAIRE",AK1399="À RÉPARER",AK1399="COUPE – À RESOUDER",AK1399="VT REJETÉ – À REPRENDRE")),MAX(0,'PROGRAMME RT'!$C$4-P1399),"")</f>
        <v/>
      </c>
      <c r="AM1399" s="78" t="n">
        <f aca="false">IF(AND(OR(AK1399="À RADIOGRAPHIER",AK1399="RÉPARÉ – À RADIOGRAPHIER",AK1399="NX – RT À REFAIRE"),OR('PROGRAMME RT'!$D$5="TOUTES",B1399='PROGRAMME RT'!$D$5)),1,0)</f>
        <v>0</v>
      </c>
      <c r="AN1399" s="78" t="str">
        <f aca="false">IF(AM1399=1,SUM(AM$7:AM1399),"")</f>
        <v/>
      </c>
      <c r="AO1399" s="78" t="n">
        <f aca="false">IF(AND(OR(AK1399="À RÉPARER",AK1399="COUPE – À RESOUDER",AK1399="VT REJETÉ – À REPRENDRE"),OR(RÉPARATIONS!$D$5="TOUTES",B1399=RÉPARATIONS!$D$5)),1,0)</f>
        <v>0</v>
      </c>
      <c r="AP1399" s="78" t="str">
        <f aca="false">IF(AO1399=1,SUM(AO$7:AO1399),"")</f>
        <v/>
      </c>
    </row>
    <row r="1400" customFormat="false" ht="15" hidden="false" customHeight="false" outlineLevel="0" collapsed="false">
      <c r="A1400" s="78" t="str">
        <f aca="false">IF(E1400="","",ROW()-6)</f>
        <v/>
      </c>
      <c r="B1400" s="79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0"/>
      <c r="P1400" s="81"/>
      <c r="Q1400" s="81"/>
      <c r="R1400" s="80"/>
      <c r="S1400" s="80"/>
      <c r="T1400" s="81"/>
      <c r="U1400" s="80"/>
      <c r="V1400" s="80"/>
      <c r="W1400" s="80"/>
      <c r="X1400" s="80"/>
      <c r="Y1400" s="81"/>
      <c r="Z1400" s="80"/>
      <c r="AA1400" s="80"/>
      <c r="AB1400" s="80"/>
      <c r="AC1400" s="80"/>
      <c r="AD1400" s="81"/>
      <c r="AE1400" s="80"/>
      <c r="AF1400" s="80"/>
      <c r="AG1400" s="81"/>
      <c r="AH1400" s="79"/>
      <c r="AI1400" s="78" t="str">
        <f aca="false">IF(E1400="","",(V1400&lt;&gt;"")+(AA1400&lt;&gt;"")+(AF1400&lt;&gt;""))</f>
        <v/>
      </c>
      <c r="AJ1400" s="82" t="str">
        <f aca="false">IF(AF1400&lt;&gt;"",AF1400,IF(AA1400&lt;&gt;"",AA1400,IF(V1400&lt;&gt;"",V1400,"")))</f>
        <v/>
      </c>
      <c r="AK1400" s="83" t="str">
        <f aca="false">IF(E1400="","",IF(P1400="","À SOUDER",IF(S1400="","VT EN ATTENTE",IF(S1400="R","VT REJETÉ – À REPRENDRE",IF(AJ1400="","À RADIOGRAPHIER",IF(AJ1400="A","ACCEPTÉ",IF(AJ1400="NX","NX – RT À REFAIRE",IF(IF(AI1400=1,X1400,IF(AI1400=2,AC1400,""))="A","RÉPARÉ – À RADIOGRAPHIER",IF(IF(AI1400=1,X1400,IF(AI1400=2,AC1400,""))="R","VT REJETÉ – À REPRENDRE",IF(AJ1400="CO","COUPE – À RESOUDER","À RÉPARER"))))))))))</f>
        <v/>
      </c>
      <c r="AL1400" s="82" t="str">
        <f aca="false">IF(AND(ISNUMBER(P1400),OR(AK1400="À RADIOGRAPHIER",AK1400="RÉPARÉ – À RADIOGRAPHIER",AK1400="NX – RT À REFAIRE",AK1400="À RÉPARER",AK1400="COUPE – À RESOUDER",AK1400="VT REJETÉ – À REPRENDRE")),MAX(0,'PROGRAMME RT'!$C$4-P1400),"")</f>
        <v/>
      </c>
      <c r="AM1400" s="78" t="n">
        <f aca="false">IF(AND(OR(AK1400="À RADIOGRAPHIER",AK1400="RÉPARÉ – À RADIOGRAPHIER",AK1400="NX – RT À REFAIRE"),OR('PROGRAMME RT'!$D$5="TOUTES",B1400='PROGRAMME RT'!$D$5)),1,0)</f>
        <v>0</v>
      </c>
      <c r="AN1400" s="78" t="str">
        <f aca="false">IF(AM1400=1,SUM(AM$7:AM1400),"")</f>
        <v/>
      </c>
      <c r="AO1400" s="78" t="n">
        <f aca="false">IF(AND(OR(AK1400="À RÉPARER",AK1400="COUPE – À RESOUDER",AK1400="VT REJETÉ – À REPRENDRE"),OR(RÉPARATIONS!$D$5="TOUTES",B1400=RÉPARATIONS!$D$5)),1,0)</f>
        <v>0</v>
      </c>
      <c r="AP1400" s="78" t="str">
        <f aca="false">IF(AO1400=1,SUM(AO$7:AO1400),"")</f>
        <v/>
      </c>
    </row>
    <row r="1401" customFormat="false" ht="15" hidden="false" customHeight="false" outlineLevel="0" collapsed="false">
      <c r="A1401" s="78" t="str">
        <f aca="false">IF(E1401="","",ROW()-6)</f>
        <v/>
      </c>
      <c r="B1401" s="79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0"/>
      <c r="P1401" s="81"/>
      <c r="Q1401" s="81"/>
      <c r="R1401" s="80"/>
      <c r="S1401" s="80"/>
      <c r="T1401" s="81"/>
      <c r="U1401" s="80"/>
      <c r="V1401" s="80"/>
      <c r="W1401" s="80"/>
      <c r="X1401" s="80"/>
      <c r="Y1401" s="81"/>
      <c r="Z1401" s="80"/>
      <c r="AA1401" s="80"/>
      <c r="AB1401" s="80"/>
      <c r="AC1401" s="80"/>
      <c r="AD1401" s="81"/>
      <c r="AE1401" s="80"/>
      <c r="AF1401" s="80"/>
      <c r="AG1401" s="81"/>
      <c r="AH1401" s="79"/>
      <c r="AI1401" s="78" t="str">
        <f aca="false">IF(E1401="","",(V1401&lt;&gt;"")+(AA1401&lt;&gt;"")+(AF1401&lt;&gt;""))</f>
        <v/>
      </c>
      <c r="AJ1401" s="82" t="str">
        <f aca="false">IF(AF1401&lt;&gt;"",AF1401,IF(AA1401&lt;&gt;"",AA1401,IF(V1401&lt;&gt;"",V1401,"")))</f>
        <v/>
      </c>
      <c r="AK1401" s="83" t="str">
        <f aca="false">IF(E1401="","",IF(P1401="","À SOUDER",IF(S1401="","VT EN ATTENTE",IF(S1401="R","VT REJETÉ – À REPRENDRE",IF(AJ1401="","À RADIOGRAPHIER",IF(AJ1401="A","ACCEPTÉ",IF(AJ1401="NX","NX – RT À REFAIRE",IF(IF(AI1401=1,X1401,IF(AI1401=2,AC1401,""))="A","RÉPARÉ – À RADIOGRAPHIER",IF(IF(AI1401=1,X1401,IF(AI1401=2,AC1401,""))="R","VT REJETÉ – À REPRENDRE",IF(AJ1401="CO","COUPE – À RESOUDER","À RÉPARER"))))))))))</f>
        <v/>
      </c>
      <c r="AL1401" s="82" t="str">
        <f aca="false">IF(AND(ISNUMBER(P1401),OR(AK1401="À RADIOGRAPHIER",AK1401="RÉPARÉ – À RADIOGRAPHIER",AK1401="NX – RT À REFAIRE",AK1401="À RÉPARER",AK1401="COUPE – À RESOUDER",AK1401="VT REJETÉ – À REPRENDRE")),MAX(0,'PROGRAMME RT'!$C$4-P1401),"")</f>
        <v/>
      </c>
      <c r="AM1401" s="78" t="n">
        <f aca="false">IF(AND(OR(AK1401="À RADIOGRAPHIER",AK1401="RÉPARÉ – À RADIOGRAPHIER",AK1401="NX – RT À REFAIRE"),OR('PROGRAMME RT'!$D$5="TOUTES",B1401='PROGRAMME RT'!$D$5)),1,0)</f>
        <v>0</v>
      </c>
      <c r="AN1401" s="78" t="str">
        <f aca="false">IF(AM1401=1,SUM(AM$7:AM1401),"")</f>
        <v/>
      </c>
      <c r="AO1401" s="78" t="n">
        <f aca="false">IF(AND(OR(AK1401="À RÉPARER",AK1401="COUPE – À RESOUDER",AK1401="VT REJETÉ – À REPRENDRE"),OR(RÉPARATIONS!$D$5="TOUTES",B1401=RÉPARATIONS!$D$5)),1,0)</f>
        <v>0</v>
      </c>
      <c r="AP1401" s="78" t="str">
        <f aca="false">IF(AO1401=1,SUM(AO$7:AO1401),"")</f>
        <v/>
      </c>
    </row>
    <row r="1402" customFormat="false" ht="15" hidden="false" customHeight="false" outlineLevel="0" collapsed="false">
      <c r="A1402" s="78" t="str">
        <f aca="false">IF(E1402="","",ROW()-6)</f>
        <v/>
      </c>
      <c r="B1402" s="79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0"/>
      <c r="P1402" s="81"/>
      <c r="Q1402" s="81"/>
      <c r="R1402" s="80"/>
      <c r="S1402" s="80"/>
      <c r="T1402" s="81"/>
      <c r="U1402" s="80"/>
      <c r="V1402" s="80"/>
      <c r="W1402" s="80"/>
      <c r="X1402" s="80"/>
      <c r="Y1402" s="81"/>
      <c r="Z1402" s="80"/>
      <c r="AA1402" s="80"/>
      <c r="AB1402" s="80"/>
      <c r="AC1402" s="80"/>
      <c r="AD1402" s="81"/>
      <c r="AE1402" s="80"/>
      <c r="AF1402" s="80"/>
      <c r="AG1402" s="81"/>
      <c r="AH1402" s="79"/>
      <c r="AI1402" s="78" t="str">
        <f aca="false">IF(E1402="","",(V1402&lt;&gt;"")+(AA1402&lt;&gt;"")+(AF1402&lt;&gt;""))</f>
        <v/>
      </c>
      <c r="AJ1402" s="82" t="str">
        <f aca="false">IF(AF1402&lt;&gt;"",AF1402,IF(AA1402&lt;&gt;"",AA1402,IF(V1402&lt;&gt;"",V1402,"")))</f>
        <v/>
      </c>
      <c r="AK1402" s="83" t="str">
        <f aca="false">IF(E1402="","",IF(P1402="","À SOUDER",IF(S1402="","VT EN ATTENTE",IF(S1402="R","VT REJETÉ – À REPRENDRE",IF(AJ1402="","À RADIOGRAPHIER",IF(AJ1402="A","ACCEPTÉ",IF(AJ1402="NX","NX – RT À REFAIRE",IF(IF(AI1402=1,X1402,IF(AI1402=2,AC1402,""))="A","RÉPARÉ – À RADIOGRAPHIER",IF(IF(AI1402=1,X1402,IF(AI1402=2,AC1402,""))="R","VT REJETÉ – À REPRENDRE",IF(AJ1402="CO","COUPE – À RESOUDER","À RÉPARER"))))))))))</f>
        <v/>
      </c>
      <c r="AL1402" s="82" t="str">
        <f aca="false">IF(AND(ISNUMBER(P1402),OR(AK1402="À RADIOGRAPHIER",AK1402="RÉPARÉ – À RADIOGRAPHIER",AK1402="NX – RT À REFAIRE",AK1402="À RÉPARER",AK1402="COUPE – À RESOUDER",AK1402="VT REJETÉ – À REPRENDRE")),MAX(0,'PROGRAMME RT'!$C$4-P1402),"")</f>
        <v/>
      </c>
      <c r="AM1402" s="78" t="n">
        <f aca="false">IF(AND(OR(AK1402="À RADIOGRAPHIER",AK1402="RÉPARÉ – À RADIOGRAPHIER",AK1402="NX – RT À REFAIRE"),OR('PROGRAMME RT'!$D$5="TOUTES",B1402='PROGRAMME RT'!$D$5)),1,0)</f>
        <v>0</v>
      </c>
      <c r="AN1402" s="78" t="str">
        <f aca="false">IF(AM1402=1,SUM(AM$7:AM1402),"")</f>
        <v/>
      </c>
      <c r="AO1402" s="78" t="n">
        <f aca="false">IF(AND(OR(AK1402="À RÉPARER",AK1402="COUPE – À RESOUDER",AK1402="VT REJETÉ – À REPRENDRE"),OR(RÉPARATIONS!$D$5="TOUTES",B1402=RÉPARATIONS!$D$5)),1,0)</f>
        <v>0</v>
      </c>
      <c r="AP1402" s="78" t="str">
        <f aca="false">IF(AO1402=1,SUM(AO$7:AO1402),"")</f>
        <v/>
      </c>
    </row>
    <row r="1403" customFormat="false" ht="15" hidden="false" customHeight="false" outlineLevel="0" collapsed="false">
      <c r="A1403" s="78" t="str">
        <f aca="false">IF(E1403="","",ROW()-6)</f>
        <v/>
      </c>
      <c r="B1403" s="79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0"/>
      <c r="P1403" s="81"/>
      <c r="Q1403" s="81"/>
      <c r="R1403" s="80"/>
      <c r="S1403" s="80"/>
      <c r="T1403" s="81"/>
      <c r="U1403" s="80"/>
      <c r="V1403" s="80"/>
      <c r="W1403" s="80"/>
      <c r="X1403" s="80"/>
      <c r="Y1403" s="81"/>
      <c r="Z1403" s="80"/>
      <c r="AA1403" s="80"/>
      <c r="AB1403" s="80"/>
      <c r="AC1403" s="80"/>
      <c r="AD1403" s="81"/>
      <c r="AE1403" s="80"/>
      <c r="AF1403" s="80"/>
      <c r="AG1403" s="81"/>
      <c r="AH1403" s="79"/>
      <c r="AI1403" s="78" t="str">
        <f aca="false">IF(E1403="","",(V1403&lt;&gt;"")+(AA1403&lt;&gt;"")+(AF1403&lt;&gt;""))</f>
        <v/>
      </c>
      <c r="AJ1403" s="82" t="str">
        <f aca="false">IF(AF1403&lt;&gt;"",AF1403,IF(AA1403&lt;&gt;"",AA1403,IF(V1403&lt;&gt;"",V1403,"")))</f>
        <v/>
      </c>
      <c r="AK1403" s="83" t="str">
        <f aca="false">IF(E1403="","",IF(P1403="","À SOUDER",IF(S1403="","VT EN ATTENTE",IF(S1403="R","VT REJETÉ – À REPRENDRE",IF(AJ1403="","À RADIOGRAPHIER",IF(AJ1403="A","ACCEPTÉ",IF(AJ1403="NX","NX – RT À REFAIRE",IF(IF(AI1403=1,X1403,IF(AI1403=2,AC1403,""))="A","RÉPARÉ – À RADIOGRAPHIER",IF(IF(AI1403=1,X1403,IF(AI1403=2,AC1403,""))="R","VT REJETÉ – À REPRENDRE",IF(AJ1403="CO","COUPE – À RESOUDER","À RÉPARER"))))))))))</f>
        <v/>
      </c>
      <c r="AL1403" s="82" t="str">
        <f aca="false">IF(AND(ISNUMBER(P1403),OR(AK1403="À RADIOGRAPHIER",AK1403="RÉPARÉ – À RADIOGRAPHIER",AK1403="NX – RT À REFAIRE",AK1403="À RÉPARER",AK1403="COUPE – À RESOUDER",AK1403="VT REJETÉ – À REPRENDRE")),MAX(0,'PROGRAMME RT'!$C$4-P1403),"")</f>
        <v/>
      </c>
      <c r="AM1403" s="78" t="n">
        <f aca="false">IF(AND(OR(AK1403="À RADIOGRAPHIER",AK1403="RÉPARÉ – À RADIOGRAPHIER",AK1403="NX – RT À REFAIRE"),OR('PROGRAMME RT'!$D$5="TOUTES",B1403='PROGRAMME RT'!$D$5)),1,0)</f>
        <v>0</v>
      </c>
      <c r="AN1403" s="78" t="str">
        <f aca="false">IF(AM1403=1,SUM(AM$7:AM1403),"")</f>
        <v/>
      </c>
      <c r="AO1403" s="78" t="n">
        <f aca="false">IF(AND(OR(AK1403="À RÉPARER",AK1403="COUPE – À RESOUDER",AK1403="VT REJETÉ – À REPRENDRE"),OR(RÉPARATIONS!$D$5="TOUTES",B1403=RÉPARATIONS!$D$5)),1,0)</f>
        <v>0</v>
      </c>
      <c r="AP1403" s="78" t="str">
        <f aca="false">IF(AO1403=1,SUM(AO$7:AO1403),"")</f>
        <v/>
      </c>
    </row>
    <row r="1404" customFormat="false" ht="15" hidden="false" customHeight="false" outlineLevel="0" collapsed="false">
      <c r="A1404" s="78" t="str">
        <f aca="false">IF(E1404="","",ROW()-6)</f>
        <v/>
      </c>
      <c r="B1404" s="79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0"/>
      <c r="P1404" s="81"/>
      <c r="Q1404" s="81"/>
      <c r="R1404" s="80"/>
      <c r="S1404" s="80"/>
      <c r="T1404" s="81"/>
      <c r="U1404" s="80"/>
      <c r="V1404" s="80"/>
      <c r="W1404" s="80"/>
      <c r="X1404" s="80"/>
      <c r="Y1404" s="81"/>
      <c r="Z1404" s="80"/>
      <c r="AA1404" s="80"/>
      <c r="AB1404" s="80"/>
      <c r="AC1404" s="80"/>
      <c r="AD1404" s="81"/>
      <c r="AE1404" s="80"/>
      <c r="AF1404" s="80"/>
      <c r="AG1404" s="81"/>
      <c r="AH1404" s="79"/>
      <c r="AI1404" s="78" t="str">
        <f aca="false">IF(E1404="","",(V1404&lt;&gt;"")+(AA1404&lt;&gt;"")+(AF1404&lt;&gt;""))</f>
        <v/>
      </c>
      <c r="AJ1404" s="82" t="str">
        <f aca="false">IF(AF1404&lt;&gt;"",AF1404,IF(AA1404&lt;&gt;"",AA1404,IF(V1404&lt;&gt;"",V1404,"")))</f>
        <v/>
      </c>
      <c r="AK1404" s="83" t="str">
        <f aca="false">IF(E1404="","",IF(P1404="","À SOUDER",IF(S1404="","VT EN ATTENTE",IF(S1404="R","VT REJETÉ – À REPRENDRE",IF(AJ1404="","À RADIOGRAPHIER",IF(AJ1404="A","ACCEPTÉ",IF(AJ1404="NX","NX – RT À REFAIRE",IF(IF(AI1404=1,X1404,IF(AI1404=2,AC1404,""))="A","RÉPARÉ – À RADIOGRAPHIER",IF(IF(AI1404=1,X1404,IF(AI1404=2,AC1404,""))="R","VT REJETÉ – À REPRENDRE",IF(AJ1404="CO","COUPE – À RESOUDER","À RÉPARER"))))))))))</f>
        <v/>
      </c>
      <c r="AL1404" s="82" t="str">
        <f aca="false">IF(AND(ISNUMBER(P1404),OR(AK1404="À RADIOGRAPHIER",AK1404="RÉPARÉ – À RADIOGRAPHIER",AK1404="NX – RT À REFAIRE",AK1404="À RÉPARER",AK1404="COUPE – À RESOUDER",AK1404="VT REJETÉ – À REPRENDRE")),MAX(0,'PROGRAMME RT'!$C$4-P1404),"")</f>
        <v/>
      </c>
      <c r="AM1404" s="78" t="n">
        <f aca="false">IF(AND(OR(AK1404="À RADIOGRAPHIER",AK1404="RÉPARÉ – À RADIOGRAPHIER",AK1404="NX – RT À REFAIRE"),OR('PROGRAMME RT'!$D$5="TOUTES",B1404='PROGRAMME RT'!$D$5)),1,0)</f>
        <v>0</v>
      </c>
      <c r="AN1404" s="78" t="str">
        <f aca="false">IF(AM1404=1,SUM(AM$7:AM1404),"")</f>
        <v/>
      </c>
      <c r="AO1404" s="78" t="n">
        <f aca="false">IF(AND(OR(AK1404="À RÉPARER",AK1404="COUPE – À RESOUDER",AK1404="VT REJETÉ – À REPRENDRE"),OR(RÉPARATIONS!$D$5="TOUTES",B1404=RÉPARATIONS!$D$5)),1,0)</f>
        <v>0</v>
      </c>
      <c r="AP1404" s="78" t="str">
        <f aca="false">IF(AO1404=1,SUM(AO$7:AO1404),"")</f>
        <v/>
      </c>
    </row>
    <row r="1405" customFormat="false" ht="15" hidden="false" customHeight="false" outlineLevel="0" collapsed="false">
      <c r="A1405" s="78" t="str">
        <f aca="false">IF(E1405="","",ROW()-6)</f>
        <v/>
      </c>
      <c r="B1405" s="79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0"/>
      <c r="P1405" s="81"/>
      <c r="Q1405" s="81"/>
      <c r="R1405" s="80"/>
      <c r="S1405" s="80"/>
      <c r="T1405" s="81"/>
      <c r="U1405" s="80"/>
      <c r="V1405" s="80"/>
      <c r="W1405" s="80"/>
      <c r="X1405" s="80"/>
      <c r="Y1405" s="81"/>
      <c r="Z1405" s="80"/>
      <c r="AA1405" s="80"/>
      <c r="AB1405" s="80"/>
      <c r="AC1405" s="80"/>
      <c r="AD1405" s="81"/>
      <c r="AE1405" s="80"/>
      <c r="AF1405" s="80"/>
      <c r="AG1405" s="81"/>
      <c r="AH1405" s="79"/>
      <c r="AI1405" s="78" t="str">
        <f aca="false">IF(E1405="","",(V1405&lt;&gt;"")+(AA1405&lt;&gt;"")+(AF1405&lt;&gt;""))</f>
        <v/>
      </c>
      <c r="AJ1405" s="82" t="str">
        <f aca="false">IF(AF1405&lt;&gt;"",AF1405,IF(AA1405&lt;&gt;"",AA1405,IF(V1405&lt;&gt;"",V1405,"")))</f>
        <v/>
      </c>
      <c r="AK1405" s="83" t="str">
        <f aca="false">IF(E1405="","",IF(P1405="","À SOUDER",IF(S1405="","VT EN ATTENTE",IF(S1405="R","VT REJETÉ – À REPRENDRE",IF(AJ1405="","À RADIOGRAPHIER",IF(AJ1405="A","ACCEPTÉ",IF(AJ1405="NX","NX – RT À REFAIRE",IF(IF(AI1405=1,X1405,IF(AI1405=2,AC1405,""))="A","RÉPARÉ – À RADIOGRAPHIER",IF(IF(AI1405=1,X1405,IF(AI1405=2,AC1405,""))="R","VT REJETÉ – À REPRENDRE",IF(AJ1405="CO","COUPE – À RESOUDER","À RÉPARER"))))))))))</f>
        <v/>
      </c>
      <c r="AL1405" s="82" t="str">
        <f aca="false">IF(AND(ISNUMBER(P1405),OR(AK1405="À RADIOGRAPHIER",AK1405="RÉPARÉ – À RADIOGRAPHIER",AK1405="NX – RT À REFAIRE",AK1405="À RÉPARER",AK1405="COUPE – À RESOUDER",AK1405="VT REJETÉ – À REPRENDRE")),MAX(0,'PROGRAMME RT'!$C$4-P1405),"")</f>
        <v/>
      </c>
      <c r="AM1405" s="78" t="n">
        <f aca="false">IF(AND(OR(AK1405="À RADIOGRAPHIER",AK1405="RÉPARÉ – À RADIOGRAPHIER",AK1405="NX – RT À REFAIRE"),OR('PROGRAMME RT'!$D$5="TOUTES",B1405='PROGRAMME RT'!$D$5)),1,0)</f>
        <v>0</v>
      </c>
      <c r="AN1405" s="78" t="str">
        <f aca="false">IF(AM1405=1,SUM(AM$7:AM1405),"")</f>
        <v/>
      </c>
      <c r="AO1405" s="78" t="n">
        <f aca="false">IF(AND(OR(AK1405="À RÉPARER",AK1405="COUPE – À RESOUDER",AK1405="VT REJETÉ – À REPRENDRE"),OR(RÉPARATIONS!$D$5="TOUTES",B1405=RÉPARATIONS!$D$5)),1,0)</f>
        <v>0</v>
      </c>
      <c r="AP1405" s="78" t="str">
        <f aca="false">IF(AO1405=1,SUM(AO$7:AO1405),"")</f>
        <v/>
      </c>
    </row>
    <row r="1406" customFormat="false" ht="15" hidden="false" customHeight="false" outlineLevel="0" collapsed="false">
      <c r="A1406" s="78" t="str">
        <f aca="false">IF(E1406="","",ROW()-6)</f>
        <v/>
      </c>
      <c r="B1406" s="79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0"/>
      <c r="P1406" s="81"/>
      <c r="Q1406" s="81"/>
      <c r="R1406" s="80"/>
      <c r="S1406" s="80"/>
      <c r="T1406" s="81"/>
      <c r="U1406" s="80"/>
      <c r="V1406" s="80"/>
      <c r="W1406" s="80"/>
      <c r="X1406" s="80"/>
      <c r="Y1406" s="81"/>
      <c r="Z1406" s="80"/>
      <c r="AA1406" s="80"/>
      <c r="AB1406" s="80"/>
      <c r="AC1406" s="80"/>
      <c r="AD1406" s="81"/>
      <c r="AE1406" s="80"/>
      <c r="AF1406" s="80"/>
      <c r="AG1406" s="81"/>
      <c r="AH1406" s="79"/>
      <c r="AI1406" s="78" t="str">
        <f aca="false">IF(E1406="","",(V1406&lt;&gt;"")+(AA1406&lt;&gt;"")+(AF1406&lt;&gt;""))</f>
        <v/>
      </c>
      <c r="AJ1406" s="82" t="str">
        <f aca="false">IF(AF1406&lt;&gt;"",AF1406,IF(AA1406&lt;&gt;"",AA1406,IF(V1406&lt;&gt;"",V1406,"")))</f>
        <v/>
      </c>
      <c r="AK1406" s="83" t="str">
        <f aca="false">IF(E1406="","",IF(P1406="","À SOUDER",IF(S1406="","VT EN ATTENTE",IF(S1406="R","VT REJETÉ – À REPRENDRE",IF(AJ1406="","À RADIOGRAPHIER",IF(AJ1406="A","ACCEPTÉ",IF(AJ1406="NX","NX – RT À REFAIRE",IF(IF(AI1406=1,X1406,IF(AI1406=2,AC1406,""))="A","RÉPARÉ – À RADIOGRAPHIER",IF(IF(AI1406=1,X1406,IF(AI1406=2,AC1406,""))="R","VT REJETÉ – À REPRENDRE",IF(AJ1406="CO","COUPE – À RESOUDER","À RÉPARER"))))))))))</f>
        <v/>
      </c>
      <c r="AL1406" s="82" t="str">
        <f aca="false">IF(AND(ISNUMBER(P1406),OR(AK1406="À RADIOGRAPHIER",AK1406="RÉPARÉ – À RADIOGRAPHIER",AK1406="NX – RT À REFAIRE",AK1406="À RÉPARER",AK1406="COUPE – À RESOUDER",AK1406="VT REJETÉ – À REPRENDRE")),MAX(0,'PROGRAMME RT'!$C$4-P1406),"")</f>
        <v/>
      </c>
      <c r="AM1406" s="78" t="n">
        <f aca="false">IF(AND(OR(AK1406="À RADIOGRAPHIER",AK1406="RÉPARÉ – À RADIOGRAPHIER",AK1406="NX – RT À REFAIRE"),OR('PROGRAMME RT'!$D$5="TOUTES",B1406='PROGRAMME RT'!$D$5)),1,0)</f>
        <v>0</v>
      </c>
      <c r="AN1406" s="78" t="str">
        <f aca="false">IF(AM1406=1,SUM(AM$7:AM1406),"")</f>
        <v/>
      </c>
      <c r="AO1406" s="78" t="n">
        <f aca="false">IF(AND(OR(AK1406="À RÉPARER",AK1406="COUPE – À RESOUDER",AK1406="VT REJETÉ – À REPRENDRE"),OR(RÉPARATIONS!$D$5="TOUTES",B1406=RÉPARATIONS!$D$5)),1,0)</f>
        <v>0</v>
      </c>
      <c r="AP1406" s="78" t="str">
        <f aca="false">IF(AO1406=1,SUM(AO$7:AO1406),"")</f>
        <v/>
      </c>
    </row>
    <row r="1407" customFormat="false" ht="15" hidden="false" customHeight="false" outlineLevel="0" collapsed="false">
      <c r="A1407" s="78" t="str">
        <f aca="false">IF(E1407="","",ROW()-6)</f>
        <v/>
      </c>
      <c r="B1407" s="79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0"/>
      <c r="P1407" s="81"/>
      <c r="Q1407" s="81"/>
      <c r="R1407" s="80"/>
      <c r="S1407" s="80"/>
      <c r="T1407" s="81"/>
      <c r="U1407" s="80"/>
      <c r="V1407" s="80"/>
      <c r="W1407" s="80"/>
      <c r="X1407" s="80"/>
      <c r="Y1407" s="81"/>
      <c r="Z1407" s="80"/>
      <c r="AA1407" s="80"/>
      <c r="AB1407" s="80"/>
      <c r="AC1407" s="80"/>
      <c r="AD1407" s="81"/>
      <c r="AE1407" s="80"/>
      <c r="AF1407" s="80"/>
      <c r="AG1407" s="81"/>
      <c r="AH1407" s="79"/>
      <c r="AI1407" s="78" t="str">
        <f aca="false">IF(E1407="","",(V1407&lt;&gt;"")+(AA1407&lt;&gt;"")+(AF1407&lt;&gt;""))</f>
        <v/>
      </c>
      <c r="AJ1407" s="82" t="str">
        <f aca="false">IF(AF1407&lt;&gt;"",AF1407,IF(AA1407&lt;&gt;"",AA1407,IF(V1407&lt;&gt;"",V1407,"")))</f>
        <v/>
      </c>
      <c r="AK1407" s="83" t="str">
        <f aca="false">IF(E1407="","",IF(P1407="","À SOUDER",IF(S1407="","VT EN ATTENTE",IF(S1407="R","VT REJETÉ – À REPRENDRE",IF(AJ1407="","À RADIOGRAPHIER",IF(AJ1407="A","ACCEPTÉ",IF(AJ1407="NX","NX – RT À REFAIRE",IF(IF(AI1407=1,X1407,IF(AI1407=2,AC1407,""))="A","RÉPARÉ – À RADIOGRAPHIER",IF(IF(AI1407=1,X1407,IF(AI1407=2,AC1407,""))="R","VT REJETÉ – À REPRENDRE",IF(AJ1407="CO","COUPE – À RESOUDER","À RÉPARER"))))))))))</f>
        <v/>
      </c>
      <c r="AL1407" s="82" t="str">
        <f aca="false">IF(AND(ISNUMBER(P1407),OR(AK1407="À RADIOGRAPHIER",AK1407="RÉPARÉ – À RADIOGRAPHIER",AK1407="NX – RT À REFAIRE",AK1407="À RÉPARER",AK1407="COUPE – À RESOUDER",AK1407="VT REJETÉ – À REPRENDRE")),MAX(0,'PROGRAMME RT'!$C$4-P1407),"")</f>
        <v/>
      </c>
      <c r="AM1407" s="78" t="n">
        <f aca="false">IF(AND(OR(AK1407="À RADIOGRAPHIER",AK1407="RÉPARÉ – À RADIOGRAPHIER",AK1407="NX – RT À REFAIRE"),OR('PROGRAMME RT'!$D$5="TOUTES",B1407='PROGRAMME RT'!$D$5)),1,0)</f>
        <v>0</v>
      </c>
      <c r="AN1407" s="78" t="str">
        <f aca="false">IF(AM1407=1,SUM(AM$7:AM1407),"")</f>
        <v/>
      </c>
      <c r="AO1407" s="78" t="n">
        <f aca="false">IF(AND(OR(AK1407="À RÉPARER",AK1407="COUPE – À RESOUDER",AK1407="VT REJETÉ – À REPRENDRE"),OR(RÉPARATIONS!$D$5="TOUTES",B1407=RÉPARATIONS!$D$5)),1,0)</f>
        <v>0</v>
      </c>
      <c r="AP1407" s="78" t="str">
        <f aca="false">IF(AO1407=1,SUM(AO$7:AO1407),"")</f>
        <v/>
      </c>
    </row>
    <row r="1408" customFormat="false" ht="15" hidden="false" customHeight="false" outlineLevel="0" collapsed="false">
      <c r="A1408" s="78" t="str">
        <f aca="false">IF(E1408="","",ROW()-6)</f>
        <v/>
      </c>
      <c r="B1408" s="79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0"/>
      <c r="P1408" s="81"/>
      <c r="Q1408" s="81"/>
      <c r="R1408" s="80"/>
      <c r="S1408" s="80"/>
      <c r="T1408" s="81"/>
      <c r="U1408" s="80"/>
      <c r="V1408" s="80"/>
      <c r="W1408" s="80"/>
      <c r="X1408" s="80"/>
      <c r="Y1408" s="81"/>
      <c r="Z1408" s="80"/>
      <c r="AA1408" s="80"/>
      <c r="AB1408" s="80"/>
      <c r="AC1408" s="80"/>
      <c r="AD1408" s="81"/>
      <c r="AE1408" s="80"/>
      <c r="AF1408" s="80"/>
      <c r="AG1408" s="81"/>
      <c r="AH1408" s="79"/>
      <c r="AI1408" s="78" t="str">
        <f aca="false">IF(E1408="","",(V1408&lt;&gt;"")+(AA1408&lt;&gt;"")+(AF1408&lt;&gt;""))</f>
        <v/>
      </c>
      <c r="AJ1408" s="82" t="str">
        <f aca="false">IF(AF1408&lt;&gt;"",AF1408,IF(AA1408&lt;&gt;"",AA1408,IF(V1408&lt;&gt;"",V1408,"")))</f>
        <v/>
      </c>
      <c r="AK1408" s="83" t="str">
        <f aca="false">IF(E1408="","",IF(P1408="","À SOUDER",IF(S1408="","VT EN ATTENTE",IF(S1408="R","VT REJETÉ – À REPRENDRE",IF(AJ1408="","À RADIOGRAPHIER",IF(AJ1408="A","ACCEPTÉ",IF(AJ1408="NX","NX – RT À REFAIRE",IF(IF(AI1408=1,X1408,IF(AI1408=2,AC1408,""))="A","RÉPARÉ – À RADIOGRAPHIER",IF(IF(AI1408=1,X1408,IF(AI1408=2,AC1408,""))="R","VT REJETÉ – À REPRENDRE",IF(AJ1408="CO","COUPE – À RESOUDER","À RÉPARER"))))))))))</f>
        <v/>
      </c>
      <c r="AL1408" s="82" t="str">
        <f aca="false">IF(AND(ISNUMBER(P1408),OR(AK1408="À RADIOGRAPHIER",AK1408="RÉPARÉ – À RADIOGRAPHIER",AK1408="NX – RT À REFAIRE",AK1408="À RÉPARER",AK1408="COUPE – À RESOUDER",AK1408="VT REJETÉ – À REPRENDRE")),MAX(0,'PROGRAMME RT'!$C$4-P1408),"")</f>
        <v/>
      </c>
      <c r="AM1408" s="78" t="n">
        <f aca="false">IF(AND(OR(AK1408="À RADIOGRAPHIER",AK1408="RÉPARÉ – À RADIOGRAPHIER",AK1408="NX – RT À REFAIRE"),OR('PROGRAMME RT'!$D$5="TOUTES",B1408='PROGRAMME RT'!$D$5)),1,0)</f>
        <v>0</v>
      </c>
      <c r="AN1408" s="78" t="str">
        <f aca="false">IF(AM1408=1,SUM(AM$7:AM1408),"")</f>
        <v/>
      </c>
      <c r="AO1408" s="78" t="n">
        <f aca="false">IF(AND(OR(AK1408="À RÉPARER",AK1408="COUPE – À RESOUDER",AK1408="VT REJETÉ – À REPRENDRE"),OR(RÉPARATIONS!$D$5="TOUTES",B1408=RÉPARATIONS!$D$5)),1,0)</f>
        <v>0</v>
      </c>
      <c r="AP1408" s="78" t="str">
        <f aca="false">IF(AO1408=1,SUM(AO$7:AO1408),"")</f>
        <v/>
      </c>
    </row>
    <row r="1409" customFormat="false" ht="15" hidden="false" customHeight="false" outlineLevel="0" collapsed="false">
      <c r="A1409" s="78" t="str">
        <f aca="false">IF(E1409="","",ROW()-6)</f>
        <v/>
      </c>
      <c r="B1409" s="79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0"/>
      <c r="P1409" s="81"/>
      <c r="Q1409" s="81"/>
      <c r="R1409" s="80"/>
      <c r="S1409" s="80"/>
      <c r="T1409" s="81"/>
      <c r="U1409" s="80"/>
      <c r="V1409" s="80"/>
      <c r="W1409" s="80"/>
      <c r="X1409" s="80"/>
      <c r="Y1409" s="81"/>
      <c r="Z1409" s="80"/>
      <c r="AA1409" s="80"/>
      <c r="AB1409" s="80"/>
      <c r="AC1409" s="80"/>
      <c r="AD1409" s="81"/>
      <c r="AE1409" s="80"/>
      <c r="AF1409" s="80"/>
      <c r="AG1409" s="81"/>
      <c r="AH1409" s="79"/>
      <c r="AI1409" s="78" t="str">
        <f aca="false">IF(E1409="","",(V1409&lt;&gt;"")+(AA1409&lt;&gt;"")+(AF1409&lt;&gt;""))</f>
        <v/>
      </c>
      <c r="AJ1409" s="82" t="str">
        <f aca="false">IF(AF1409&lt;&gt;"",AF1409,IF(AA1409&lt;&gt;"",AA1409,IF(V1409&lt;&gt;"",V1409,"")))</f>
        <v/>
      </c>
      <c r="AK1409" s="83" t="str">
        <f aca="false">IF(E1409="","",IF(P1409="","À SOUDER",IF(S1409="","VT EN ATTENTE",IF(S1409="R","VT REJETÉ – À REPRENDRE",IF(AJ1409="","À RADIOGRAPHIER",IF(AJ1409="A","ACCEPTÉ",IF(AJ1409="NX","NX – RT À REFAIRE",IF(IF(AI1409=1,X1409,IF(AI1409=2,AC1409,""))="A","RÉPARÉ – À RADIOGRAPHIER",IF(IF(AI1409=1,X1409,IF(AI1409=2,AC1409,""))="R","VT REJETÉ – À REPRENDRE",IF(AJ1409="CO","COUPE – À RESOUDER","À RÉPARER"))))))))))</f>
        <v/>
      </c>
      <c r="AL1409" s="82" t="str">
        <f aca="false">IF(AND(ISNUMBER(P1409),OR(AK1409="À RADIOGRAPHIER",AK1409="RÉPARÉ – À RADIOGRAPHIER",AK1409="NX – RT À REFAIRE",AK1409="À RÉPARER",AK1409="COUPE – À RESOUDER",AK1409="VT REJETÉ – À REPRENDRE")),MAX(0,'PROGRAMME RT'!$C$4-P1409),"")</f>
        <v/>
      </c>
      <c r="AM1409" s="78" t="n">
        <f aca="false">IF(AND(OR(AK1409="À RADIOGRAPHIER",AK1409="RÉPARÉ – À RADIOGRAPHIER",AK1409="NX – RT À REFAIRE"),OR('PROGRAMME RT'!$D$5="TOUTES",B1409='PROGRAMME RT'!$D$5)),1,0)</f>
        <v>0</v>
      </c>
      <c r="AN1409" s="78" t="str">
        <f aca="false">IF(AM1409=1,SUM(AM$7:AM1409),"")</f>
        <v/>
      </c>
      <c r="AO1409" s="78" t="n">
        <f aca="false">IF(AND(OR(AK1409="À RÉPARER",AK1409="COUPE – À RESOUDER",AK1409="VT REJETÉ – À REPRENDRE"),OR(RÉPARATIONS!$D$5="TOUTES",B1409=RÉPARATIONS!$D$5)),1,0)</f>
        <v>0</v>
      </c>
      <c r="AP1409" s="78" t="str">
        <f aca="false">IF(AO1409=1,SUM(AO$7:AO1409),"")</f>
        <v/>
      </c>
    </row>
    <row r="1410" customFormat="false" ht="15" hidden="false" customHeight="false" outlineLevel="0" collapsed="false">
      <c r="A1410" s="78" t="str">
        <f aca="false">IF(E1410="","",ROW()-6)</f>
        <v/>
      </c>
      <c r="B1410" s="79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0"/>
      <c r="P1410" s="81"/>
      <c r="Q1410" s="81"/>
      <c r="R1410" s="80"/>
      <c r="S1410" s="80"/>
      <c r="T1410" s="81"/>
      <c r="U1410" s="80"/>
      <c r="V1410" s="80"/>
      <c r="W1410" s="80"/>
      <c r="X1410" s="80"/>
      <c r="Y1410" s="81"/>
      <c r="Z1410" s="80"/>
      <c r="AA1410" s="80"/>
      <c r="AB1410" s="80"/>
      <c r="AC1410" s="80"/>
      <c r="AD1410" s="81"/>
      <c r="AE1410" s="80"/>
      <c r="AF1410" s="80"/>
      <c r="AG1410" s="81"/>
      <c r="AH1410" s="79"/>
      <c r="AI1410" s="78" t="str">
        <f aca="false">IF(E1410="","",(V1410&lt;&gt;"")+(AA1410&lt;&gt;"")+(AF1410&lt;&gt;""))</f>
        <v/>
      </c>
      <c r="AJ1410" s="82" t="str">
        <f aca="false">IF(AF1410&lt;&gt;"",AF1410,IF(AA1410&lt;&gt;"",AA1410,IF(V1410&lt;&gt;"",V1410,"")))</f>
        <v/>
      </c>
      <c r="AK1410" s="83" t="str">
        <f aca="false">IF(E1410="","",IF(P1410="","À SOUDER",IF(S1410="","VT EN ATTENTE",IF(S1410="R","VT REJETÉ – À REPRENDRE",IF(AJ1410="","À RADIOGRAPHIER",IF(AJ1410="A","ACCEPTÉ",IF(AJ1410="NX","NX – RT À REFAIRE",IF(IF(AI1410=1,X1410,IF(AI1410=2,AC1410,""))="A","RÉPARÉ – À RADIOGRAPHIER",IF(IF(AI1410=1,X1410,IF(AI1410=2,AC1410,""))="R","VT REJETÉ – À REPRENDRE",IF(AJ1410="CO","COUPE – À RESOUDER","À RÉPARER"))))))))))</f>
        <v/>
      </c>
      <c r="AL1410" s="82" t="str">
        <f aca="false">IF(AND(ISNUMBER(P1410),OR(AK1410="À RADIOGRAPHIER",AK1410="RÉPARÉ – À RADIOGRAPHIER",AK1410="NX – RT À REFAIRE",AK1410="À RÉPARER",AK1410="COUPE – À RESOUDER",AK1410="VT REJETÉ – À REPRENDRE")),MAX(0,'PROGRAMME RT'!$C$4-P1410),"")</f>
        <v/>
      </c>
      <c r="AM1410" s="78" t="n">
        <f aca="false">IF(AND(OR(AK1410="À RADIOGRAPHIER",AK1410="RÉPARÉ – À RADIOGRAPHIER",AK1410="NX – RT À REFAIRE"),OR('PROGRAMME RT'!$D$5="TOUTES",B1410='PROGRAMME RT'!$D$5)),1,0)</f>
        <v>0</v>
      </c>
      <c r="AN1410" s="78" t="str">
        <f aca="false">IF(AM1410=1,SUM(AM$7:AM1410),"")</f>
        <v/>
      </c>
      <c r="AO1410" s="78" t="n">
        <f aca="false">IF(AND(OR(AK1410="À RÉPARER",AK1410="COUPE – À RESOUDER",AK1410="VT REJETÉ – À REPRENDRE"),OR(RÉPARATIONS!$D$5="TOUTES",B1410=RÉPARATIONS!$D$5)),1,0)</f>
        <v>0</v>
      </c>
      <c r="AP1410" s="78" t="str">
        <f aca="false">IF(AO1410=1,SUM(AO$7:AO1410),"")</f>
        <v/>
      </c>
    </row>
    <row r="1411" customFormat="false" ht="15" hidden="false" customHeight="false" outlineLevel="0" collapsed="false">
      <c r="A1411" s="78" t="str">
        <f aca="false">IF(E1411="","",ROW()-6)</f>
        <v/>
      </c>
      <c r="B1411" s="79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0"/>
      <c r="P1411" s="81"/>
      <c r="Q1411" s="81"/>
      <c r="R1411" s="80"/>
      <c r="S1411" s="80"/>
      <c r="T1411" s="81"/>
      <c r="U1411" s="80"/>
      <c r="V1411" s="80"/>
      <c r="W1411" s="80"/>
      <c r="X1411" s="80"/>
      <c r="Y1411" s="81"/>
      <c r="Z1411" s="80"/>
      <c r="AA1411" s="80"/>
      <c r="AB1411" s="80"/>
      <c r="AC1411" s="80"/>
      <c r="AD1411" s="81"/>
      <c r="AE1411" s="80"/>
      <c r="AF1411" s="80"/>
      <c r="AG1411" s="81"/>
      <c r="AH1411" s="79"/>
      <c r="AI1411" s="78" t="str">
        <f aca="false">IF(E1411="","",(V1411&lt;&gt;"")+(AA1411&lt;&gt;"")+(AF1411&lt;&gt;""))</f>
        <v/>
      </c>
      <c r="AJ1411" s="82" t="str">
        <f aca="false">IF(AF1411&lt;&gt;"",AF1411,IF(AA1411&lt;&gt;"",AA1411,IF(V1411&lt;&gt;"",V1411,"")))</f>
        <v/>
      </c>
      <c r="AK1411" s="83" t="str">
        <f aca="false">IF(E1411="","",IF(P1411="","À SOUDER",IF(S1411="","VT EN ATTENTE",IF(S1411="R","VT REJETÉ – À REPRENDRE",IF(AJ1411="","À RADIOGRAPHIER",IF(AJ1411="A","ACCEPTÉ",IF(AJ1411="NX","NX – RT À REFAIRE",IF(IF(AI1411=1,X1411,IF(AI1411=2,AC1411,""))="A","RÉPARÉ – À RADIOGRAPHIER",IF(IF(AI1411=1,X1411,IF(AI1411=2,AC1411,""))="R","VT REJETÉ – À REPRENDRE",IF(AJ1411="CO","COUPE – À RESOUDER","À RÉPARER"))))))))))</f>
        <v/>
      </c>
      <c r="AL1411" s="82" t="str">
        <f aca="false">IF(AND(ISNUMBER(P1411),OR(AK1411="À RADIOGRAPHIER",AK1411="RÉPARÉ – À RADIOGRAPHIER",AK1411="NX – RT À REFAIRE",AK1411="À RÉPARER",AK1411="COUPE – À RESOUDER",AK1411="VT REJETÉ – À REPRENDRE")),MAX(0,'PROGRAMME RT'!$C$4-P1411),"")</f>
        <v/>
      </c>
      <c r="AM1411" s="78" t="n">
        <f aca="false">IF(AND(OR(AK1411="À RADIOGRAPHIER",AK1411="RÉPARÉ – À RADIOGRAPHIER",AK1411="NX – RT À REFAIRE"),OR('PROGRAMME RT'!$D$5="TOUTES",B1411='PROGRAMME RT'!$D$5)),1,0)</f>
        <v>0</v>
      </c>
      <c r="AN1411" s="78" t="str">
        <f aca="false">IF(AM1411=1,SUM(AM$7:AM1411),"")</f>
        <v/>
      </c>
      <c r="AO1411" s="78" t="n">
        <f aca="false">IF(AND(OR(AK1411="À RÉPARER",AK1411="COUPE – À RESOUDER",AK1411="VT REJETÉ – À REPRENDRE"),OR(RÉPARATIONS!$D$5="TOUTES",B1411=RÉPARATIONS!$D$5)),1,0)</f>
        <v>0</v>
      </c>
      <c r="AP1411" s="78" t="str">
        <f aca="false">IF(AO1411=1,SUM(AO$7:AO1411),"")</f>
        <v/>
      </c>
    </row>
    <row r="1412" customFormat="false" ht="15" hidden="false" customHeight="false" outlineLevel="0" collapsed="false">
      <c r="A1412" s="78" t="str">
        <f aca="false">IF(E1412="","",ROW()-6)</f>
        <v/>
      </c>
      <c r="B1412" s="79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0"/>
      <c r="P1412" s="81"/>
      <c r="Q1412" s="81"/>
      <c r="R1412" s="80"/>
      <c r="S1412" s="80"/>
      <c r="T1412" s="81"/>
      <c r="U1412" s="80"/>
      <c r="V1412" s="80"/>
      <c r="W1412" s="80"/>
      <c r="X1412" s="80"/>
      <c r="Y1412" s="81"/>
      <c r="Z1412" s="80"/>
      <c r="AA1412" s="80"/>
      <c r="AB1412" s="80"/>
      <c r="AC1412" s="80"/>
      <c r="AD1412" s="81"/>
      <c r="AE1412" s="80"/>
      <c r="AF1412" s="80"/>
      <c r="AG1412" s="81"/>
      <c r="AH1412" s="79"/>
      <c r="AI1412" s="78" t="str">
        <f aca="false">IF(E1412="","",(V1412&lt;&gt;"")+(AA1412&lt;&gt;"")+(AF1412&lt;&gt;""))</f>
        <v/>
      </c>
      <c r="AJ1412" s="82" t="str">
        <f aca="false">IF(AF1412&lt;&gt;"",AF1412,IF(AA1412&lt;&gt;"",AA1412,IF(V1412&lt;&gt;"",V1412,"")))</f>
        <v/>
      </c>
      <c r="AK1412" s="83" t="str">
        <f aca="false">IF(E1412="","",IF(P1412="","À SOUDER",IF(S1412="","VT EN ATTENTE",IF(S1412="R","VT REJETÉ – À REPRENDRE",IF(AJ1412="","À RADIOGRAPHIER",IF(AJ1412="A","ACCEPTÉ",IF(AJ1412="NX","NX – RT À REFAIRE",IF(IF(AI1412=1,X1412,IF(AI1412=2,AC1412,""))="A","RÉPARÉ – À RADIOGRAPHIER",IF(IF(AI1412=1,X1412,IF(AI1412=2,AC1412,""))="R","VT REJETÉ – À REPRENDRE",IF(AJ1412="CO","COUPE – À RESOUDER","À RÉPARER"))))))))))</f>
        <v/>
      </c>
      <c r="AL1412" s="82" t="str">
        <f aca="false">IF(AND(ISNUMBER(P1412),OR(AK1412="À RADIOGRAPHIER",AK1412="RÉPARÉ – À RADIOGRAPHIER",AK1412="NX – RT À REFAIRE",AK1412="À RÉPARER",AK1412="COUPE – À RESOUDER",AK1412="VT REJETÉ – À REPRENDRE")),MAX(0,'PROGRAMME RT'!$C$4-P1412),"")</f>
        <v/>
      </c>
      <c r="AM1412" s="78" t="n">
        <f aca="false">IF(AND(OR(AK1412="À RADIOGRAPHIER",AK1412="RÉPARÉ – À RADIOGRAPHIER",AK1412="NX – RT À REFAIRE"),OR('PROGRAMME RT'!$D$5="TOUTES",B1412='PROGRAMME RT'!$D$5)),1,0)</f>
        <v>0</v>
      </c>
      <c r="AN1412" s="78" t="str">
        <f aca="false">IF(AM1412=1,SUM(AM$7:AM1412),"")</f>
        <v/>
      </c>
      <c r="AO1412" s="78" t="n">
        <f aca="false">IF(AND(OR(AK1412="À RÉPARER",AK1412="COUPE – À RESOUDER",AK1412="VT REJETÉ – À REPRENDRE"),OR(RÉPARATIONS!$D$5="TOUTES",B1412=RÉPARATIONS!$D$5)),1,0)</f>
        <v>0</v>
      </c>
      <c r="AP1412" s="78" t="str">
        <f aca="false">IF(AO1412=1,SUM(AO$7:AO1412),"")</f>
        <v/>
      </c>
    </row>
    <row r="1413" customFormat="false" ht="15" hidden="false" customHeight="false" outlineLevel="0" collapsed="false">
      <c r="A1413" s="78" t="str">
        <f aca="false">IF(E1413="","",ROW()-6)</f>
        <v/>
      </c>
      <c r="B1413" s="79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0"/>
      <c r="P1413" s="81"/>
      <c r="Q1413" s="81"/>
      <c r="R1413" s="80"/>
      <c r="S1413" s="80"/>
      <c r="T1413" s="81"/>
      <c r="U1413" s="80"/>
      <c r="V1413" s="80"/>
      <c r="W1413" s="80"/>
      <c r="X1413" s="80"/>
      <c r="Y1413" s="81"/>
      <c r="Z1413" s="80"/>
      <c r="AA1413" s="80"/>
      <c r="AB1413" s="80"/>
      <c r="AC1413" s="80"/>
      <c r="AD1413" s="81"/>
      <c r="AE1413" s="80"/>
      <c r="AF1413" s="80"/>
      <c r="AG1413" s="81"/>
      <c r="AH1413" s="79"/>
      <c r="AI1413" s="78" t="str">
        <f aca="false">IF(E1413="","",(V1413&lt;&gt;"")+(AA1413&lt;&gt;"")+(AF1413&lt;&gt;""))</f>
        <v/>
      </c>
      <c r="AJ1413" s="82" t="str">
        <f aca="false">IF(AF1413&lt;&gt;"",AF1413,IF(AA1413&lt;&gt;"",AA1413,IF(V1413&lt;&gt;"",V1413,"")))</f>
        <v/>
      </c>
      <c r="AK1413" s="83" t="str">
        <f aca="false">IF(E1413="","",IF(P1413="","À SOUDER",IF(S1413="","VT EN ATTENTE",IF(S1413="R","VT REJETÉ – À REPRENDRE",IF(AJ1413="","À RADIOGRAPHIER",IF(AJ1413="A","ACCEPTÉ",IF(AJ1413="NX","NX – RT À REFAIRE",IF(IF(AI1413=1,X1413,IF(AI1413=2,AC1413,""))="A","RÉPARÉ – À RADIOGRAPHIER",IF(IF(AI1413=1,X1413,IF(AI1413=2,AC1413,""))="R","VT REJETÉ – À REPRENDRE",IF(AJ1413="CO","COUPE – À RESOUDER","À RÉPARER"))))))))))</f>
        <v/>
      </c>
      <c r="AL1413" s="82" t="str">
        <f aca="false">IF(AND(ISNUMBER(P1413),OR(AK1413="À RADIOGRAPHIER",AK1413="RÉPARÉ – À RADIOGRAPHIER",AK1413="NX – RT À REFAIRE",AK1413="À RÉPARER",AK1413="COUPE – À RESOUDER",AK1413="VT REJETÉ – À REPRENDRE")),MAX(0,'PROGRAMME RT'!$C$4-P1413),"")</f>
        <v/>
      </c>
      <c r="AM1413" s="78" t="n">
        <f aca="false">IF(AND(OR(AK1413="À RADIOGRAPHIER",AK1413="RÉPARÉ – À RADIOGRAPHIER",AK1413="NX – RT À REFAIRE"),OR('PROGRAMME RT'!$D$5="TOUTES",B1413='PROGRAMME RT'!$D$5)),1,0)</f>
        <v>0</v>
      </c>
      <c r="AN1413" s="78" t="str">
        <f aca="false">IF(AM1413=1,SUM(AM$7:AM1413),"")</f>
        <v/>
      </c>
      <c r="AO1413" s="78" t="n">
        <f aca="false">IF(AND(OR(AK1413="À RÉPARER",AK1413="COUPE – À RESOUDER",AK1413="VT REJETÉ – À REPRENDRE"),OR(RÉPARATIONS!$D$5="TOUTES",B1413=RÉPARATIONS!$D$5)),1,0)</f>
        <v>0</v>
      </c>
      <c r="AP1413" s="78" t="str">
        <f aca="false">IF(AO1413=1,SUM(AO$7:AO1413),"")</f>
        <v/>
      </c>
    </row>
    <row r="1414" customFormat="false" ht="15" hidden="false" customHeight="false" outlineLevel="0" collapsed="false">
      <c r="A1414" s="78" t="str">
        <f aca="false">IF(E1414="","",ROW()-6)</f>
        <v/>
      </c>
      <c r="B1414" s="79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0"/>
      <c r="P1414" s="81"/>
      <c r="Q1414" s="81"/>
      <c r="R1414" s="80"/>
      <c r="S1414" s="80"/>
      <c r="T1414" s="81"/>
      <c r="U1414" s="80"/>
      <c r="V1414" s="80"/>
      <c r="W1414" s="80"/>
      <c r="X1414" s="80"/>
      <c r="Y1414" s="81"/>
      <c r="Z1414" s="80"/>
      <c r="AA1414" s="80"/>
      <c r="AB1414" s="80"/>
      <c r="AC1414" s="80"/>
      <c r="AD1414" s="81"/>
      <c r="AE1414" s="80"/>
      <c r="AF1414" s="80"/>
      <c r="AG1414" s="81"/>
      <c r="AH1414" s="79"/>
      <c r="AI1414" s="78" t="str">
        <f aca="false">IF(E1414="","",(V1414&lt;&gt;"")+(AA1414&lt;&gt;"")+(AF1414&lt;&gt;""))</f>
        <v/>
      </c>
      <c r="AJ1414" s="82" t="str">
        <f aca="false">IF(AF1414&lt;&gt;"",AF1414,IF(AA1414&lt;&gt;"",AA1414,IF(V1414&lt;&gt;"",V1414,"")))</f>
        <v/>
      </c>
      <c r="AK1414" s="83" t="str">
        <f aca="false">IF(E1414="","",IF(P1414="","À SOUDER",IF(S1414="","VT EN ATTENTE",IF(S1414="R","VT REJETÉ – À REPRENDRE",IF(AJ1414="","À RADIOGRAPHIER",IF(AJ1414="A","ACCEPTÉ",IF(AJ1414="NX","NX – RT À REFAIRE",IF(IF(AI1414=1,X1414,IF(AI1414=2,AC1414,""))="A","RÉPARÉ – À RADIOGRAPHIER",IF(IF(AI1414=1,X1414,IF(AI1414=2,AC1414,""))="R","VT REJETÉ – À REPRENDRE",IF(AJ1414="CO","COUPE – À RESOUDER","À RÉPARER"))))))))))</f>
        <v/>
      </c>
      <c r="AL1414" s="82" t="str">
        <f aca="false">IF(AND(ISNUMBER(P1414),OR(AK1414="À RADIOGRAPHIER",AK1414="RÉPARÉ – À RADIOGRAPHIER",AK1414="NX – RT À REFAIRE",AK1414="À RÉPARER",AK1414="COUPE – À RESOUDER",AK1414="VT REJETÉ – À REPRENDRE")),MAX(0,'PROGRAMME RT'!$C$4-P1414),"")</f>
        <v/>
      </c>
      <c r="AM1414" s="78" t="n">
        <f aca="false">IF(AND(OR(AK1414="À RADIOGRAPHIER",AK1414="RÉPARÉ – À RADIOGRAPHIER",AK1414="NX – RT À REFAIRE"),OR('PROGRAMME RT'!$D$5="TOUTES",B1414='PROGRAMME RT'!$D$5)),1,0)</f>
        <v>0</v>
      </c>
      <c r="AN1414" s="78" t="str">
        <f aca="false">IF(AM1414=1,SUM(AM$7:AM1414),"")</f>
        <v/>
      </c>
      <c r="AO1414" s="78" t="n">
        <f aca="false">IF(AND(OR(AK1414="À RÉPARER",AK1414="COUPE – À RESOUDER",AK1414="VT REJETÉ – À REPRENDRE"),OR(RÉPARATIONS!$D$5="TOUTES",B1414=RÉPARATIONS!$D$5)),1,0)</f>
        <v>0</v>
      </c>
      <c r="AP1414" s="78" t="str">
        <f aca="false">IF(AO1414=1,SUM(AO$7:AO1414),"")</f>
        <v/>
      </c>
    </row>
    <row r="1415" customFormat="false" ht="15" hidden="false" customHeight="false" outlineLevel="0" collapsed="false">
      <c r="A1415" s="78" t="str">
        <f aca="false">IF(E1415="","",ROW()-6)</f>
        <v/>
      </c>
      <c r="B1415" s="79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0"/>
      <c r="P1415" s="81"/>
      <c r="Q1415" s="81"/>
      <c r="R1415" s="80"/>
      <c r="S1415" s="80"/>
      <c r="T1415" s="81"/>
      <c r="U1415" s="80"/>
      <c r="V1415" s="80"/>
      <c r="W1415" s="80"/>
      <c r="X1415" s="80"/>
      <c r="Y1415" s="81"/>
      <c r="Z1415" s="80"/>
      <c r="AA1415" s="80"/>
      <c r="AB1415" s="80"/>
      <c r="AC1415" s="80"/>
      <c r="AD1415" s="81"/>
      <c r="AE1415" s="80"/>
      <c r="AF1415" s="80"/>
      <c r="AG1415" s="81"/>
      <c r="AH1415" s="79"/>
      <c r="AI1415" s="78" t="str">
        <f aca="false">IF(E1415="","",(V1415&lt;&gt;"")+(AA1415&lt;&gt;"")+(AF1415&lt;&gt;""))</f>
        <v/>
      </c>
      <c r="AJ1415" s="82" t="str">
        <f aca="false">IF(AF1415&lt;&gt;"",AF1415,IF(AA1415&lt;&gt;"",AA1415,IF(V1415&lt;&gt;"",V1415,"")))</f>
        <v/>
      </c>
      <c r="AK1415" s="83" t="str">
        <f aca="false">IF(E1415="","",IF(P1415="","À SOUDER",IF(S1415="","VT EN ATTENTE",IF(S1415="R","VT REJETÉ – À REPRENDRE",IF(AJ1415="","À RADIOGRAPHIER",IF(AJ1415="A","ACCEPTÉ",IF(AJ1415="NX","NX – RT À REFAIRE",IF(IF(AI1415=1,X1415,IF(AI1415=2,AC1415,""))="A","RÉPARÉ – À RADIOGRAPHIER",IF(IF(AI1415=1,X1415,IF(AI1415=2,AC1415,""))="R","VT REJETÉ – À REPRENDRE",IF(AJ1415="CO","COUPE – À RESOUDER","À RÉPARER"))))))))))</f>
        <v/>
      </c>
      <c r="AL1415" s="82" t="str">
        <f aca="false">IF(AND(ISNUMBER(P1415),OR(AK1415="À RADIOGRAPHIER",AK1415="RÉPARÉ – À RADIOGRAPHIER",AK1415="NX – RT À REFAIRE",AK1415="À RÉPARER",AK1415="COUPE – À RESOUDER",AK1415="VT REJETÉ – À REPRENDRE")),MAX(0,'PROGRAMME RT'!$C$4-P1415),"")</f>
        <v/>
      </c>
      <c r="AM1415" s="78" t="n">
        <f aca="false">IF(AND(OR(AK1415="À RADIOGRAPHIER",AK1415="RÉPARÉ – À RADIOGRAPHIER",AK1415="NX – RT À REFAIRE"),OR('PROGRAMME RT'!$D$5="TOUTES",B1415='PROGRAMME RT'!$D$5)),1,0)</f>
        <v>0</v>
      </c>
      <c r="AN1415" s="78" t="str">
        <f aca="false">IF(AM1415=1,SUM(AM$7:AM1415),"")</f>
        <v/>
      </c>
      <c r="AO1415" s="78" t="n">
        <f aca="false">IF(AND(OR(AK1415="À RÉPARER",AK1415="COUPE – À RESOUDER",AK1415="VT REJETÉ – À REPRENDRE"),OR(RÉPARATIONS!$D$5="TOUTES",B1415=RÉPARATIONS!$D$5)),1,0)</f>
        <v>0</v>
      </c>
      <c r="AP1415" s="78" t="str">
        <f aca="false">IF(AO1415=1,SUM(AO$7:AO1415),"")</f>
        <v/>
      </c>
    </row>
    <row r="1416" customFormat="false" ht="15" hidden="false" customHeight="false" outlineLevel="0" collapsed="false">
      <c r="A1416" s="78" t="str">
        <f aca="false">IF(E1416="","",ROW()-6)</f>
        <v/>
      </c>
      <c r="B1416" s="79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0"/>
      <c r="P1416" s="81"/>
      <c r="Q1416" s="81"/>
      <c r="R1416" s="80"/>
      <c r="S1416" s="80"/>
      <c r="T1416" s="81"/>
      <c r="U1416" s="80"/>
      <c r="V1416" s="80"/>
      <c r="W1416" s="80"/>
      <c r="X1416" s="80"/>
      <c r="Y1416" s="81"/>
      <c r="Z1416" s="80"/>
      <c r="AA1416" s="80"/>
      <c r="AB1416" s="80"/>
      <c r="AC1416" s="80"/>
      <c r="AD1416" s="81"/>
      <c r="AE1416" s="80"/>
      <c r="AF1416" s="80"/>
      <c r="AG1416" s="81"/>
      <c r="AH1416" s="79"/>
      <c r="AI1416" s="78" t="str">
        <f aca="false">IF(E1416="","",(V1416&lt;&gt;"")+(AA1416&lt;&gt;"")+(AF1416&lt;&gt;""))</f>
        <v/>
      </c>
      <c r="AJ1416" s="82" t="str">
        <f aca="false">IF(AF1416&lt;&gt;"",AF1416,IF(AA1416&lt;&gt;"",AA1416,IF(V1416&lt;&gt;"",V1416,"")))</f>
        <v/>
      </c>
      <c r="AK1416" s="83" t="str">
        <f aca="false">IF(E1416="","",IF(P1416="","À SOUDER",IF(S1416="","VT EN ATTENTE",IF(S1416="R","VT REJETÉ – À REPRENDRE",IF(AJ1416="","À RADIOGRAPHIER",IF(AJ1416="A","ACCEPTÉ",IF(AJ1416="NX","NX – RT À REFAIRE",IF(IF(AI1416=1,X1416,IF(AI1416=2,AC1416,""))="A","RÉPARÉ – À RADIOGRAPHIER",IF(IF(AI1416=1,X1416,IF(AI1416=2,AC1416,""))="R","VT REJETÉ – À REPRENDRE",IF(AJ1416="CO","COUPE – À RESOUDER","À RÉPARER"))))))))))</f>
        <v/>
      </c>
      <c r="AL1416" s="82" t="str">
        <f aca="false">IF(AND(ISNUMBER(P1416),OR(AK1416="À RADIOGRAPHIER",AK1416="RÉPARÉ – À RADIOGRAPHIER",AK1416="NX – RT À REFAIRE",AK1416="À RÉPARER",AK1416="COUPE – À RESOUDER",AK1416="VT REJETÉ – À REPRENDRE")),MAX(0,'PROGRAMME RT'!$C$4-P1416),"")</f>
        <v/>
      </c>
      <c r="AM1416" s="78" t="n">
        <f aca="false">IF(AND(OR(AK1416="À RADIOGRAPHIER",AK1416="RÉPARÉ – À RADIOGRAPHIER",AK1416="NX – RT À REFAIRE"),OR('PROGRAMME RT'!$D$5="TOUTES",B1416='PROGRAMME RT'!$D$5)),1,0)</f>
        <v>0</v>
      </c>
      <c r="AN1416" s="78" t="str">
        <f aca="false">IF(AM1416=1,SUM(AM$7:AM1416),"")</f>
        <v/>
      </c>
      <c r="AO1416" s="78" t="n">
        <f aca="false">IF(AND(OR(AK1416="À RÉPARER",AK1416="COUPE – À RESOUDER",AK1416="VT REJETÉ – À REPRENDRE"),OR(RÉPARATIONS!$D$5="TOUTES",B1416=RÉPARATIONS!$D$5)),1,0)</f>
        <v>0</v>
      </c>
      <c r="AP1416" s="78" t="str">
        <f aca="false">IF(AO1416=1,SUM(AO$7:AO1416),"")</f>
        <v/>
      </c>
    </row>
    <row r="1417" customFormat="false" ht="15" hidden="false" customHeight="false" outlineLevel="0" collapsed="false">
      <c r="A1417" s="78" t="str">
        <f aca="false">IF(E1417="","",ROW()-6)</f>
        <v/>
      </c>
      <c r="B1417" s="79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0"/>
      <c r="P1417" s="81"/>
      <c r="Q1417" s="81"/>
      <c r="R1417" s="80"/>
      <c r="S1417" s="80"/>
      <c r="T1417" s="81"/>
      <c r="U1417" s="80"/>
      <c r="V1417" s="80"/>
      <c r="W1417" s="80"/>
      <c r="X1417" s="80"/>
      <c r="Y1417" s="81"/>
      <c r="Z1417" s="80"/>
      <c r="AA1417" s="80"/>
      <c r="AB1417" s="80"/>
      <c r="AC1417" s="80"/>
      <c r="AD1417" s="81"/>
      <c r="AE1417" s="80"/>
      <c r="AF1417" s="80"/>
      <c r="AG1417" s="81"/>
      <c r="AH1417" s="79"/>
      <c r="AI1417" s="78" t="str">
        <f aca="false">IF(E1417="","",(V1417&lt;&gt;"")+(AA1417&lt;&gt;"")+(AF1417&lt;&gt;""))</f>
        <v/>
      </c>
      <c r="AJ1417" s="82" t="str">
        <f aca="false">IF(AF1417&lt;&gt;"",AF1417,IF(AA1417&lt;&gt;"",AA1417,IF(V1417&lt;&gt;"",V1417,"")))</f>
        <v/>
      </c>
      <c r="AK1417" s="83" t="str">
        <f aca="false">IF(E1417="","",IF(P1417="","À SOUDER",IF(S1417="","VT EN ATTENTE",IF(S1417="R","VT REJETÉ – À REPRENDRE",IF(AJ1417="","À RADIOGRAPHIER",IF(AJ1417="A","ACCEPTÉ",IF(AJ1417="NX","NX – RT À REFAIRE",IF(IF(AI1417=1,X1417,IF(AI1417=2,AC1417,""))="A","RÉPARÉ – À RADIOGRAPHIER",IF(IF(AI1417=1,X1417,IF(AI1417=2,AC1417,""))="R","VT REJETÉ – À REPRENDRE",IF(AJ1417="CO","COUPE – À RESOUDER","À RÉPARER"))))))))))</f>
        <v/>
      </c>
      <c r="AL1417" s="82" t="str">
        <f aca="false">IF(AND(ISNUMBER(P1417),OR(AK1417="À RADIOGRAPHIER",AK1417="RÉPARÉ – À RADIOGRAPHIER",AK1417="NX – RT À REFAIRE",AK1417="À RÉPARER",AK1417="COUPE – À RESOUDER",AK1417="VT REJETÉ – À REPRENDRE")),MAX(0,'PROGRAMME RT'!$C$4-P1417),"")</f>
        <v/>
      </c>
      <c r="AM1417" s="78" t="n">
        <f aca="false">IF(AND(OR(AK1417="À RADIOGRAPHIER",AK1417="RÉPARÉ – À RADIOGRAPHIER",AK1417="NX – RT À REFAIRE"),OR('PROGRAMME RT'!$D$5="TOUTES",B1417='PROGRAMME RT'!$D$5)),1,0)</f>
        <v>0</v>
      </c>
      <c r="AN1417" s="78" t="str">
        <f aca="false">IF(AM1417=1,SUM(AM$7:AM1417),"")</f>
        <v/>
      </c>
      <c r="AO1417" s="78" t="n">
        <f aca="false">IF(AND(OR(AK1417="À RÉPARER",AK1417="COUPE – À RESOUDER",AK1417="VT REJETÉ – À REPRENDRE"),OR(RÉPARATIONS!$D$5="TOUTES",B1417=RÉPARATIONS!$D$5)),1,0)</f>
        <v>0</v>
      </c>
      <c r="AP1417" s="78" t="str">
        <f aca="false">IF(AO1417=1,SUM(AO$7:AO1417),"")</f>
        <v/>
      </c>
    </row>
    <row r="1418" customFormat="false" ht="15" hidden="false" customHeight="false" outlineLevel="0" collapsed="false">
      <c r="A1418" s="78" t="str">
        <f aca="false">IF(E1418="","",ROW()-6)</f>
        <v/>
      </c>
      <c r="B1418" s="79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0"/>
      <c r="P1418" s="81"/>
      <c r="Q1418" s="81"/>
      <c r="R1418" s="80"/>
      <c r="S1418" s="80"/>
      <c r="T1418" s="81"/>
      <c r="U1418" s="80"/>
      <c r="V1418" s="80"/>
      <c r="W1418" s="80"/>
      <c r="X1418" s="80"/>
      <c r="Y1418" s="81"/>
      <c r="Z1418" s="80"/>
      <c r="AA1418" s="80"/>
      <c r="AB1418" s="80"/>
      <c r="AC1418" s="80"/>
      <c r="AD1418" s="81"/>
      <c r="AE1418" s="80"/>
      <c r="AF1418" s="80"/>
      <c r="AG1418" s="81"/>
      <c r="AH1418" s="79"/>
      <c r="AI1418" s="78" t="str">
        <f aca="false">IF(E1418="","",(V1418&lt;&gt;"")+(AA1418&lt;&gt;"")+(AF1418&lt;&gt;""))</f>
        <v/>
      </c>
      <c r="AJ1418" s="82" t="str">
        <f aca="false">IF(AF1418&lt;&gt;"",AF1418,IF(AA1418&lt;&gt;"",AA1418,IF(V1418&lt;&gt;"",V1418,"")))</f>
        <v/>
      </c>
      <c r="AK1418" s="83" t="str">
        <f aca="false">IF(E1418="","",IF(P1418="","À SOUDER",IF(S1418="","VT EN ATTENTE",IF(S1418="R","VT REJETÉ – À REPRENDRE",IF(AJ1418="","À RADIOGRAPHIER",IF(AJ1418="A","ACCEPTÉ",IF(AJ1418="NX","NX – RT À REFAIRE",IF(IF(AI1418=1,X1418,IF(AI1418=2,AC1418,""))="A","RÉPARÉ – À RADIOGRAPHIER",IF(IF(AI1418=1,X1418,IF(AI1418=2,AC1418,""))="R","VT REJETÉ – À REPRENDRE",IF(AJ1418="CO","COUPE – À RESOUDER","À RÉPARER"))))))))))</f>
        <v/>
      </c>
      <c r="AL1418" s="82" t="str">
        <f aca="false">IF(AND(ISNUMBER(P1418),OR(AK1418="À RADIOGRAPHIER",AK1418="RÉPARÉ – À RADIOGRAPHIER",AK1418="NX – RT À REFAIRE",AK1418="À RÉPARER",AK1418="COUPE – À RESOUDER",AK1418="VT REJETÉ – À REPRENDRE")),MAX(0,'PROGRAMME RT'!$C$4-P1418),"")</f>
        <v/>
      </c>
      <c r="AM1418" s="78" t="n">
        <f aca="false">IF(AND(OR(AK1418="À RADIOGRAPHIER",AK1418="RÉPARÉ – À RADIOGRAPHIER",AK1418="NX – RT À REFAIRE"),OR('PROGRAMME RT'!$D$5="TOUTES",B1418='PROGRAMME RT'!$D$5)),1,0)</f>
        <v>0</v>
      </c>
      <c r="AN1418" s="78" t="str">
        <f aca="false">IF(AM1418=1,SUM(AM$7:AM1418),"")</f>
        <v/>
      </c>
      <c r="AO1418" s="78" t="n">
        <f aca="false">IF(AND(OR(AK1418="À RÉPARER",AK1418="COUPE – À RESOUDER",AK1418="VT REJETÉ – À REPRENDRE"),OR(RÉPARATIONS!$D$5="TOUTES",B1418=RÉPARATIONS!$D$5)),1,0)</f>
        <v>0</v>
      </c>
      <c r="AP1418" s="78" t="str">
        <f aca="false">IF(AO1418=1,SUM(AO$7:AO1418),"")</f>
        <v/>
      </c>
    </row>
    <row r="1419" customFormat="false" ht="15" hidden="false" customHeight="false" outlineLevel="0" collapsed="false">
      <c r="A1419" s="78" t="str">
        <f aca="false">IF(E1419="","",ROW()-6)</f>
        <v/>
      </c>
      <c r="B1419" s="79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0"/>
      <c r="P1419" s="81"/>
      <c r="Q1419" s="81"/>
      <c r="R1419" s="80"/>
      <c r="S1419" s="80"/>
      <c r="T1419" s="81"/>
      <c r="U1419" s="80"/>
      <c r="V1419" s="80"/>
      <c r="W1419" s="80"/>
      <c r="X1419" s="80"/>
      <c r="Y1419" s="81"/>
      <c r="Z1419" s="80"/>
      <c r="AA1419" s="80"/>
      <c r="AB1419" s="80"/>
      <c r="AC1419" s="80"/>
      <c r="AD1419" s="81"/>
      <c r="AE1419" s="80"/>
      <c r="AF1419" s="80"/>
      <c r="AG1419" s="81"/>
      <c r="AH1419" s="79"/>
      <c r="AI1419" s="78" t="str">
        <f aca="false">IF(E1419="","",(V1419&lt;&gt;"")+(AA1419&lt;&gt;"")+(AF1419&lt;&gt;""))</f>
        <v/>
      </c>
      <c r="AJ1419" s="82" t="str">
        <f aca="false">IF(AF1419&lt;&gt;"",AF1419,IF(AA1419&lt;&gt;"",AA1419,IF(V1419&lt;&gt;"",V1419,"")))</f>
        <v/>
      </c>
      <c r="AK1419" s="83" t="str">
        <f aca="false">IF(E1419="","",IF(P1419="","À SOUDER",IF(S1419="","VT EN ATTENTE",IF(S1419="R","VT REJETÉ – À REPRENDRE",IF(AJ1419="","À RADIOGRAPHIER",IF(AJ1419="A","ACCEPTÉ",IF(AJ1419="NX","NX – RT À REFAIRE",IF(IF(AI1419=1,X1419,IF(AI1419=2,AC1419,""))="A","RÉPARÉ – À RADIOGRAPHIER",IF(IF(AI1419=1,X1419,IF(AI1419=2,AC1419,""))="R","VT REJETÉ – À REPRENDRE",IF(AJ1419="CO","COUPE – À RESOUDER","À RÉPARER"))))))))))</f>
        <v/>
      </c>
      <c r="AL1419" s="82" t="str">
        <f aca="false">IF(AND(ISNUMBER(P1419),OR(AK1419="À RADIOGRAPHIER",AK1419="RÉPARÉ – À RADIOGRAPHIER",AK1419="NX – RT À REFAIRE",AK1419="À RÉPARER",AK1419="COUPE – À RESOUDER",AK1419="VT REJETÉ – À REPRENDRE")),MAX(0,'PROGRAMME RT'!$C$4-P1419),"")</f>
        <v/>
      </c>
      <c r="AM1419" s="78" t="n">
        <f aca="false">IF(AND(OR(AK1419="À RADIOGRAPHIER",AK1419="RÉPARÉ – À RADIOGRAPHIER",AK1419="NX – RT À REFAIRE"),OR('PROGRAMME RT'!$D$5="TOUTES",B1419='PROGRAMME RT'!$D$5)),1,0)</f>
        <v>0</v>
      </c>
      <c r="AN1419" s="78" t="str">
        <f aca="false">IF(AM1419=1,SUM(AM$7:AM1419),"")</f>
        <v/>
      </c>
      <c r="AO1419" s="78" t="n">
        <f aca="false">IF(AND(OR(AK1419="À RÉPARER",AK1419="COUPE – À RESOUDER",AK1419="VT REJETÉ – À REPRENDRE"),OR(RÉPARATIONS!$D$5="TOUTES",B1419=RÉPARATIONS!$D$5)),1,0)</f>
        <v>0</v>
      </c>
      <c r="AP1419" s="78" t="str">
        <f aca="false">IF(AO1419=1,SUM(AO$7:AO1419),"")</f>
        <v/>
      </c>
    </row>
    <row r="1420" customFormat="false" ht="15" hidden="false" customHeight="false" outlineLevel="0" collapsed="false">
      <c r="A1420" s="78" t="str">
        <f aca="false">IF(E1420="","",ROW()-6)</f>
        <v/>
      </c>
      <c r="B1420" s="79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0"/>
      <c r="P1420" s="81"/>
      <c r="Q1420" s="81"/>
      <c r="R1420" s="80"/>
      <c r="S1420" s="80"/>
      <c r="T1420" s="81"/>
      <c r="U1420" s="80"/>
      <c r="V1420" s="80"/>
      <c r="W1420" s="80"/>
      <c r="X1420" s="80"/>
      <c r="Y1420" s="81"/>
      <c r="Z1420" s="80"/>
      <c r="AA1420" s="80"/>
      <c r="AB1420" s="80"/>
      <c r="AC1420" s="80"/>
      <c r="AD1420" s="81"/>
      <c r="AE1420" s="80"/>
      <c r="AF1420" s="80"/>
      <c r="AG1420" s="81"/>
      <c r="AH1420" s="79"/>
      <c r="AI1420" s="78" t="str">
        <f aca="false">IF(E1420="","",(V1420&lt;&gt;"")+(AA1420&lt;&gt;"")+(AF1420&lt;&gt;""))</f>
        <v/>
      </c>
      <c r="AJ1420" s="82" t="str">
        <f aca="false">IF(AF1420&lt;&gt;"",AF1420,IF(AA1420&lt;&gt;"",AA1420,IF(V1420&lt;&gt;"",V1420,"")))</f>
        <v/>
      </c>
      <c r="AK1420" s="83" t="str">
        <f aca="false">IF(E1420="","",IF(P1420="","À SOUDER",IF(S1420="","VT EN ATTENTE",IF(S1420="R","VT REJETÉ – À REPRENDRE",IF(AJ1420="","À RADIOGRAPHIER",IF(AJ1420="A","ACCEPTÉ",IF(AJ1420="NX","NX – RT À REFAIRE",IF(IF(AI1420=1,X1420,IF(AI1420=2,AC1420,""))="A","RÉPARÉ – À RADIOGRAPHIER",IF(IF(AI1420=1,X1420,IF(AI1420=2,AC1420,""))="R","VT REJETÉ – À REPRENDRE",IF(AJ1420="CO","COUPE – À RESOUDER","À RÉPARER"))))))))))</f>
        <v/>
      </c>
      <c r="AL1420" s="82" t="str">
        <f aca="false">IF(AND(ISNUMBER(P1420),OR(AK1420="À RADIOGRAPHIER",AK1420="RÉPARÉ – À RADIOGRAPHIER",AK1420="NX – RT À REFAIRE",AK1420="À RÉPARER",AK1420="COUPE – À RESOUDER",AK1420="VT REJETÉ – À REPRENDRE")),MAX(0,'PROGRAMME RT'!$C$4-P1420),"")</f>
        <v/>
      </c>
      <c r="AM1420" s="78" t="n">
        <f aca="false">IF(AND(OR(AK1420="À RADIOGRAPHIER",AK1420="RÉPARÉ – À RADIOGRAPHIER",AK1420="NX – RT À REFAIRE"),OR('PROGRAMME RT'!$D$5="TOUTES",B1420='PROGRAMME RT'!$D$5)),1,0)</f>
        <v>0</v>
      </c>
      <c r="AN1420" s="78" t="str">
        <f aca="false">IF(AM1420=1,SUM(AM$7:AM1420),"")</f>
        <v/>
      </c>
      <c r="AO1420" s="78" t="n">
        <f aca="false">IF(AND(OR(AK1420="À RÉPARER",AK1420="COUPE – À RESOUDER",AK1420="VT REJETÉ – À REPRENDRE"),OR(RÉPARATIONS!$D$5="TOUTES",B1420=RÉPARATIONS!$D$5)),1,0)</f>
        <v>0</v>
      </c>
      <c r="AP1420" s="78" t="str">
        <f aca="false">IF(AO1420=1,SUM(AO$7:AO1420),"")</f>
        <v/>
      </c>
    </row>
    <row r="1421" customFormat="false" ht="15" hidden="false" customHeight="false" outlineLevel="0" collapsed="false">
      <c r="A1421" s="78" t="str">
        <f aca="false">IF(E1421="","",ROW()-6)</f>
        <v/>
      </c>
      <c r="B1421" s="79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0"/>
      <c r="P1421" s="81"/>
      <c r="Q1421" s="81"/>
      <c r="R1421" s="80"/>
      <c r="S1421" s="80"/>
      <c r="T1421" s="81"/>
      <c r="U1421" s="80"/>
      <c r="V1421" s="80"/>
      <c r="W1421" s="80"/>
      <c r="X1421" s="80"/>
      <c r="Y1421" s="81"/>
      <c r="Z1421" s="80"/>
      <c r="AA1421" s="80"/>
      <c r="AB1421" s="80"/>
      <c r="AC1421" s="80"/>
      <c r="AD1421" s="81"/>
      <c r="AE1421" s="80"/>
      <c r="AF1421" s="80"/>
      <c r="AG1421" s="81"/>
      <c r="AH1421" s="79"/>
      <c r="AI1421" s="78" t="str">
        <f aca="false">IF(E1421="","",(V1421&lt;&gt;"")+(AA1421&lt;&gt;"")+(AF1421&lt;&gt;""))</f>
        <v/>
      </c>
      <c r="AJ1421" s="82" t="str">
        <f aca="false">IF(AF1421&lt;&gt;"",AF1421,IF(AA1421&lt;&gt;"",AA1421,IF(V1421&lt;&gt;"",V1421,"")))</f>
        <v/>
      </c>
      <c r="AK1421" s="83" t="str">
        <f aca="false">IF(E1421="","",IF(P1421="","À SOUDER",IF(S1421="","VT EN ATTENTE",IF(S1421="R","VT REJETÉ – À REPRENDRE",IF(AJ1421="","À RADIOGRAPHIER",IF(AJ1421="A","ACCEPTÉ",IF(AJ1421="NX","NX – RT À REFAIRE",IF(IF(AI1421=1,X1421,IF(AI1421=2,AC1421,""))="A","RÉPARÉ – À RADIOGRAPHIER",IF(IF(AI1421=1,X1421,IF(AI1421=2,AC1421,""))="R","VT REJETÉ – À REPRENDRE",IF(AJ1421="CO","COUPE – À RESOUDER","À RÉPARER"))))))))))</f>
        <v/>
      </c>
      <c r="AL1421" s="82" t="str">
        <f aca="false">IF(AND(ISNUMBER(P1421),OR(AK1421="À RADIOGRAPHIER",AK1421="RÉPARÉ – À RADIOGRAPHIER",AK1421="NX – RT À REFAIRE",AK1421="À RÉPARER",AK1421="COUPE – À RESOUDER",AK1421="VT REJETÉ – À REPRENDRE")),MAX(0,'PROGRAMME RT'!$C$4-P1421),"")</f>
        <v/>
      </c>
      <c r="AM1421" s="78" t="n">
        <f aca="false">IF(AND(OR(AK1421="À RADIOGRAPHIER",AK1421="RÉPARÉ – À RADIOGRAPHIER",AK1421="NX – RT À REFAIRE"),OR('PROGRAMME RT'!$D$5="TOUTES",B1421='PROGRAMME RT'!$D$5)),1,0)</f>
        <v>0</v>
      </c>
      <c r="AN1421" s="78" t="str">
        <f aca="false">IF(AM1421=1,SUM(AM$7:AM1421),"")</f>
        <v/>
      </c>
      <c r="AO1421" s="78" t="n">
        <f aca="false">IF(AND(OR(AK1421="À RÉPARER",AK1421="COUPE – À RESOUDER",AK1421="VT REJETÉ – À REPRENDRE"),OR(RÉPARATIONS!$D$5="TOUTES",B1421=RÉPARATIONS!$D$5)),1,0)</f>
        <v>0</v>
      </c>
      <c r="AP1421" s="78" t="str">
        <f aca="false">IF(AO1421=1,SUM(AO$7:AO1421),"")</f>
        <v/>
      </c>
    </row>
    <row r="1422" customFormat="false" ht="15" hidden="false" customHeight="false" outlineLevel="0" collapsed="false">
      <c r="A1422" s="78" t="str">
        <f aca="false">IF(E1422="","",ROW()-6)</f>
        <v/>
      </c>
      <c r="B1422" s="79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0"/>
      <c r="P1422" s="81"/>
      <c r="Q1422" s="81"/>
      <c r="R1422" s="80"/>
      <c r="S1422" s="80"/>
      <c r="T1422" s="81"/>
      <c r="U1422" s="80"/>
      <c r="V1422" s="80"/>
      <c r="W1422" s="80"/>
      <c r="X1422" s="80"/>
      <c r="Y1422" s="81"/>
      <c r="Z1422" s="80"/>
      <c r="AA1422" s="80"/>
      <c r="AB1422" s="80"/>
      <c r="AC1422" s="80"/>
      <c r="AD1422" s="81"/>
      <c r="AE1422" s="80"/>
      <c r="AF1422" s="80"/>
      <c r="AG1422" s="81"/>
      <c r="AH1422" s="79"/>
      <c r="AI1422" s="78" t="str">
        <f aca="false">IF(E1422="","",(V1422&lt;&gt;"")+(AA1422&lt;&gt;"")+(AF1422&lt;&gt;""))</f>
        <v/>
      </c>
      <c r="AJ1422" s="82" t="str">
        <f aca="false">IF(AF1422&lt;&gt;"",AF1422,IF(AA1422&lt;&gt;"",AA1422,IF(V1422&lt;&gt;"",V1422,"")))</f>
        <v/>
      </c>
      <c r="AK1422" s="83" t="str">
        <f aca="false">IF(E1422="","",IF(P1422="","À SOUDER",IF(S1422="","VT EN ATTENTE",IF(S1422="R","VT REJETÉ – À REPRENDRE",IF(AJ1422="","À RADIOGRAPHIER",IF(AJ1422="A","ACCEPTÉ",IF(AJ1422="NX","NX – RT À REFAIRE",IF(IF(AI1422=1,X1422,IF(AI1422=2,AC1422,""))="A","RÉPARÉ – À RADIOGRAPHIER",IF(IF(AI1422=1,X1422,IF(AI1422=2,AC1422,""))="R","VT REJETÉ – À REPRENDRE",IF(AJ1422="CO","COUPE – À RESOUDER","À RÉPARER"))))))))))</f>
        <v/>
      </c>
      <c r="AL1422" s="82" t="str">
        <f aca="false">IF(AND(ISNUMBER(P1422),OR(AK1422="À RADIOGRAPHIER",AK1422="RÉPARÉ – À RADIOGRAPHIER",AK1422="NX – RT À REFAIRE",AK1422="À RÉPARER",AK1422="COUPE – À RESOUDER",AK1422="VT REJETÉ – À REPRENDRE")),MAX(0,'PROGRAMME RT'!$C$4-P1422),"")</f>
        <v/>
      </c>
      <c r="AM1422" s="78" t="n">
        <f aca="false">IF(AND(OR(AK1422="À RADIOGRAPHIER",AK1422="RÉPARÉ – À RADIOGRAPHIER",AK1422="NX – RT À REFAIRE"),OR('PROGRAMME RT'!$D$5="TOUTES",B1422='PROGRAMME RT'!$D$5)),1,0)</f>
        <v>0</v>
      </c>
      <c r="AN1422" s="78" t="str">
        <f aca="false">IF(AM1422=1,SUM(AM$7:AM1422),"")</f>
        <v/>
      </c>
      <c r="AO1422" s="78" t="n">
        <f aca="false">IF(AND(OR(AK1422="À RÉPARER",AK1422="COUPE – À RESOUDER",AK1422="VT REJETÉ – À REPRENDRE"),OR(RÉPARATIONS!$D$5="TOUTES",B1422=RÉPARATIONS!$D$5)),1,0)</f>
        <v>0</v>
      </c>
      <c r="AP1422" s="78" t="str">
        <f aca="false">IF(AO1422=1,SUM(AO$7:AO1422),"")</f>
        <v/>
      </c>
    </row>
    <row r="1423" customFormat="false" ht="15" hidden="false" customHeight="false" outlineLevel="0" collapsed="false">
      <c r="A1423" s="78" t="str">
        <f aca="false">IF(E1423="","",ROW()-6)</f>
        <v/>
      </c>
      <c r="B1423" s="79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0"/>
      <c r="P1423" s="81"/>
      <c r="Q1423" s="81"/>
      <c r="R1423" s="80"/>
      <c r="S1423" s="80"/>
      <c r="T1423" s="81"/>
      <c r="U1423" s="80"/>
      <c r="V1423" s="80"/>
      <c r="W1423" s="80"/>
      <c r="X1423" s="80"/>
      <c r="Y1423" s="81"/>
      <c r="Z1423" s="80"/>
      <c r="AA1423" s="80"/>
      <c r="AB1423" s="80"/>
      <c r="AC1423" s="80"/>
      <c r="AD1423" s="81"/>
      <c r="AE1423" s="80"/>
      <c r="AF1423" s="80"/>
      <c r="AG1423" s="81"/>
      <c r="AH1423" s="79"/>
      <c r="AI1423" s="78" t="str">
        <f aca="false">IF(E1423="","",(V1423&lt;&gt;"")+(AA1423&lt;&gt;"")+(AF1423&lt;&gt;""))</f>
        <v/>
      </c>
      <c r="AJ1423" s="82" t="str">
        <f aca="false">IF(AF1423&lt;&gt;"",AF1423,IF(AA1423&lt;&gt;"",AA1423,IF(V1423&lt;&gt;"",V1423,"")))</f>
        <v/>
      </c>
      <c r="AK1423" s="83" t="str">
        <f aca="false">IF(E1423="","",IF(P1423="","À SOUDER",IF(S1423="","VT EN ATTENTE",IF(S1423="R","VT REJETÉ – À REPRENDRE",IF(AJ1423="","À RADIOGRAPHIER",IF(AJ1423="A","ACCEPTÉ",IF(AJ1423="NX","NX – RT À REFAIRE",IF(IF(AI1423=1,X1423,IF(AI1423=2,AC1423,""))="A","RÉPARÉ – À RADIOGRAPHIER",IF(IF(AI1423=1,X1423,IF(AI1423=2,AC1423,""))="R","VT REJETÉ – À REPRENDRE",IF(AJ1423="CO","COUPE – À RESOUDER","À RÉPARER"))))))))))</f>
        <v/>
      </c>
      <c r="AL1423" s="82" t="str">
        <f aca="false">IF(AND(ISNUMBER(P1423),OR(AK1423="À RADIOGRAPHIER",AK1423="RÉPARÉ – À RADIOGRAPHIER",AK1423="NX – RT À REFAIRE",AK1423="À RÉPARER",AK1423="COUPE – À RESOUDER",AK1423="VT REJETÉ – À REPRENDRE")),MAX(0,'PROGRAMME RT'!$C$4-P1423),"")</f>
        <v/>
      </c>
      <c r="AM1423" s="78" t="n">
        <f aca="false">IF(AND(OR(AK1423="À RADIOGRAPHIER",AK1423="RÉPARÉ – À RADIOGRAPHIER",AK1423="NX – RT À REFAIRE"),OR('PROGRAMME RT'!$D$5="TOUTES",B1423='PROGRAMME RT'!$D$5)),1,0)</f>
        <v>0</v>
      </c>
      <c r="AN1423" s="78" t="str">
        <f aca="false">IF(AM1423=1,SUM(AM$7:AM1423),"")</f>
        <v/>
      </c>
      <c r="AO1423" s="78" t="n">
        <f aca="false">IF(AND(OR(AK1423="À RÉPARER",AK1423="COUPE – À RESOUDER",AK1423="VT REJETÉ – À REPRENDRE"),OR(RÉPARATIONS!$D$5="TOUTES",B1423=RÉPARATIONS!$D$5)),1,0)</f>
        <v>0</v>
      </c>
      <c r="AP1423" s="78" t="str">
        <f aca="false">IF(AO1423=1,SUM(AO$7:AO1423),"")</f>
        <v/>
      </c>
    </row>
    <row r="1424" customFormat="false" ht="15" hidden="false" customHeight="false" outlineLevel="0" collapsed="false">
      <c r="A1424" s="78" t="str">
        <f aca="false">IF(E1424="","",ROW()-6)</f>
        <v/>
      </c>
      <c r="B1424" s="79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0"/>
      <c r="P1424" s="81"/>
      <c r="Q1424" s="81"/>
      <c r="R1424" s="80"/>
      <c r="S1424" s="80"/>
      <c r="T1424" s="81"/>
      <c r="U1424" s="80"/>
      <c r="V1424" s="80"/>
      <c r="W1424" s="80"/>
      <c r="X1424" s="80"/>
      <c r="Y1424" s="81"/>
      <c r="Z1424" s="80"/>
      <c r="AA1424" s="80"/>
      <c r="AB1424" s="80"/>
      <c r="AC1424" s="80"/>
      <c r="AD1424" s="81"/>
      <c r="AE1424" s="80"/>
      <c r="AF1424" s="80"/>
      <c r="AG1424" s="81"/>
      <c r="AH1424" s="79"/>
      <c r="AI1424" s="78" t="str">
        <f aca="false">IF(E1424="","",(V1424&lt;&gt;"")+(AA1424&lt;&gt;"")+(AF1424&lt;&gt;""))</f>
        <v/>
      </c>
      <c r="AJ1424" s="82" t="str">
        <f aca="false">IF(AF1424&lt;&gt;"",AF1424,IF(AA1424&lt;&gt;"",AA1424,IF(V1424&lt;&gt;"",V1424,"")))</f>
        <v/>
      </c>
      <c r="AK1424" s="83" t="str">
        <f aca="false">IF(E1424="","",IF(P1424="","À SOUDER",IF(S1424="","VT EN ATTENTE",IF(S1424="R","VT REJETÉ – À REPRENDRE",IF(AJ1424="","À RADIOGRAPHIER",IF(AJ1424="A","ACCEPTÉ",IF(AJ1424="NX","NX – RT À REFAIRE",IF(IF(AI1424=1,X1424,IF(AI1424=2,AC1424,""))="A","RÉPARÉ – À RADIOGRAPHIER",IF(IF(AI1424=1,X1424,IF(AI1424=2,AC1424,""))="R","VT REJETÉ – À REPRENDRE",IF(AJ1424="CO","COUPE – À RESOUDER","À RÉPARER"))))))))))</f>
        <v/>
      </c>
      <c r="AL1424" s="82" t="str">
        <f aca="false">IF(AND(ISNUMBER(P1424),OR(AK1424="À RADIOGRAPHIER",AK1424="RÉPARÉ – À RADIOGRAPHIER",AK1424="NX – RT À REFAIRE",AK1424="À RÉPARER",AK1424="COUPE – À RESOUDER",AK1424="VT REJETÉ – À REPRENDRE")),MAX(0,'PROGRAMME RT'!$C$4-P1424),"")</f>
        <v/>
      </c>
      <c r="AM1424" s="78" t="n">
        <f aca="false">IF(AND(OR(AK1424="À RADIOGRAPHIER",AK1424="RÉPARÉ – À RADIOGRAPHIER",AK1424="NX – RT À REFAIRE"),OR('PROGRAMME RT'!$D$5="TOUTES",B1424='PROGRAMME RT'!$D$5)),1,0)</f>
        <v>0</v>
      </c>
      <c r="AN1424" s="78" t="str">
        <f aca="false">IF(AM1424=1,SUM(AM$7:AM1424),"")</f>
        <v/>
      </c>
      <c r="AO1424" s="78" t="n">
        <f aca="false">IF(AND(OR(AK1424="À RÉPARER",AK1424="COUPE – À RESOUDER",AK1424="VT REJETÉ – À REPRENDRE"),OR(RÉPARATIONS!$D$5="TOUTES",B1424=RÉPARATIONS!$D$5)),1,0)</f>
        <v>0</v>
      </c>
      <c r="AP1424" s="78" t="str">
        <f aca="false">IF(AO1424=1,SUM(AO$7:AO1424),"")</f>
        <v/>
      </c>
    </row>
    <row r="1425" customFormat="false" ht="15" hidden="false" customHeight="false" outlineLevel="0" collapsed="false">
      <c r="A1425" s="78" t="str">
        <f aca="false">IF(E1425="","",ROW()-6)</f>
        <v/>
      </c>
      <c r="B1425" s="79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0"/>
      <c r="P1425" s="81"/>
      <c r="Q1425" s="81"/>
      <c r="R1425" s="80"/>
      <c r="S1425" s="80"/>
      <c r="T1425" s="81"/>
      <c r="U1425" s="80"/>
      <c r="V1425" s="80"/>
      <c r="W1425" s="80"/>
      <c r="X1425" s="80"/>
      <c r="Y1425" s="81"/>
      <c r="Z1425" s="80"/>
      <c r="AA1425" s="80"/>
      <c r="AB1425" s="80"/>
      <c r="AC1425" s="80"/>
      <c r="AD1425" s="81"/>
      <c r="AE1425" s="80"/>
      <c r="AF1425" s="80"/>
      <c r="AG1425" s="81"/>
      <c r="AH1425" s="79"/>
      <c r="AI1425" s="78" t="str">
        <f aca="false">IF(E1425="","",(V1425&lt;&gt;"")+(AA1425&lt;&gt;"")+(AF1425&lt;&gt;""))</f>
        <v/>
      </c>
      <c r="AJ1425" s="82" t="str">
        <f aca="false">IF(AF1425&lt;&gt;"",AF1425,IF(AA1425&lt;&gt;"",AA1425,IF(V1425&lt;&gt;"",V1425,"")))</f>
        <v/>
      </c>
      <c r="AK1425" s="83" t="str">
        <f aca="false">IF(E1425="","",IF(P1425="","À SOUDER",IF(S1425="","VT EN ATTENTE",IF(S1425="R","VT REJETÉ – À REPRENDRE",IF(AJ1425="","À RADIOGRAPHIER",IF(AJ1425="A","ACCEPTÉ",IF(AJ1425="NX","NX – RT À REFAIRE",IF(IF(AI1425=1,X1425,IF(AI1425=2,AC1425,""))="A","RÉPARÉ – À RADIOGRAPHIER",IF(IF(AI1425=1,X1425,IF(AI1425=2,AC1425,""))="R","VT REJETÉ – À REPRENDRE",IF(AJ1425="CO","COUPE – À RESOUDER","À RÉPARER"))))))))))</f>
        <v/>
      </c>
      <c r="AL1425" s="82" t="str">
        <f aca="false">IF(AND(ISNUMBER(P1425),OR(AK1425="À RADIOGRAPHIER",AK1425="RÉPARÉ – À RADIOGRAPHIER",AK1425="NX – RT À REFAIRE",AK1425="À RÉPARER",AK1425="COUPE – À RESOUDER",AK1425="VT REJETÉ – À REPRENDRE")),MAX(0,'PROGRAMME RT'!$C$4-P1425),"")</f>
        <v/>
      </c>
      <c r="AM1425" s="78" t="n">
        <f aca="false">IF(AND(OR(AK1425="À RADIOGRAPHIER",AK1425="RÉPARÉ – À RADIOGRAPHIER",AK1425="NX – RT À REFAIRE"),OR('PROGRAMME RT'!$D$5="TOUTES",B1425='PROGRAMME RT'!$D$5)),1,0)</f>
        <v>0</v>
      </c>
      <c r="AN1425" s="78" t="str">
        <f aca="false">IF(AM1425=1,SUM(AM$7:AM1425),"")</f>
        <v/>
      </c>
      <c r="AO1425" s="78" t="n">
        <f aca="false">IF(AND(OR(AK1425="À RÉPARER",AK1425="COUPE – À RESOUDER",AK1425="VT REJETÉ – À REPRENDRE"),OR(RÉPARATIONS!$D$5="TOUTES",B1425=RÉPARATIONS!$D$5)),1,0)</f>
        <v>0</v>
      </c>
      <c r="AP1425" s="78" t="str">
        <f aca="false">IF(AO1425=1,SUM(AO$7:AO1425),"")</f>
        <v/>
      </c>
    </row>
    <row r="1426" customFormat="false" ht="15" hidden="false" customHeight="false" outlineLevel="0" collapsed="false">
      <c r="A1426" s="78" t="str">
        <f aca="false">IF(E1426="","",ROW()-6)</f>
        <v/>
      </c>
      <c r="B1426" s="79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0"/>
      <c r="P1426" s="81"/>
      <c r="Q1426" s="81"/>
      <c r="R1426" s="80"/>
      <c r="S1426" s="80"/>
      <c r="T1426" s="81"/>
      <c r="U1426" s="80"/>
      <c r="V1426" s="80"/>
      <c r="W1426" s="80"/>
      <c r="X1426" s="80"/>
      <c r="Y1426" s="81"/>
      <c r="Z1426" s="80"/>
      <c r="AA1426" s="80"/>
      <c r="AB1426" s="80"/>
      <c r="AC1426" s="80"/>
      <c r="AD1426" s="81"/>
      <c r="AE1426" s="80"/>
      <c r="AF1426" s="80"/>
      <c r="AG1426" s="81"/>
      <c r="AH1426" s="79"/>
      <c r="AI1426" s="78" t="str">
        <f aca="false">IF(E1426="","",(V1426&lt;&gt;"")+(AA1426&lt;&gt;"")+(AF1426&lt;&gt;""))</f>
        <v/>
      </c>
      <c r="AJ1426" s="82" t="str">
        <f aca="false">IF(AF1426&lt;&gt;"",AF1426,IF(AA1426&lt;&gt;"",AA1426,IF(V1426&lt;&gt;"",V1426,"")))</f>
        <v/>
      </c>
      <c r="AK1426" s="83" t="str">
        <f aca="false">IF(E1426="","",IF(P1426="","À SOUDER",IF(S1426="","VT EN ATTENTE",IF(S1426="R","VT REJETÉ – À REPRENDRE",IF(AJ1426="","À RADIOGRAPHIER",IF(AJ1426="A","ACCEPTÉ",IF(AJ1426="NX","NX – RT À REFAIRE",IF(IF(AI1426=1,X1426,IF(AI1426=2,AC1426,""))="A","RÉPARÉ – À RADIOGRAPHIER",IF(IF(AI1426=1,X1426,IF(AI1426=2,AC1426,""))="R","VT REJETÉ – À REPRENDRE",IF(AJ1426="CO","COUPE – À RESOUDER","À RÉPARER"))))))))))</f>
        <v/>
      </c>
      <c r="AL1426" s="82" t="str">
        <f aca="false">IF(AND(ISNUMBER(P1426),OR(AK1426="À RADIOGRAPHIER",AK1426="RÉPARÉ – À RADIOGRAPHIER",AK1426="NX – RT À REFAIRE",AK1426="À RÉPARER",AK1426="COUPE – À RESOUDER",AK1426="VT REJETÉ – À REPRENDRE")),MAX(0,'PROGRAMME RT'!$C$4-P1426),"")</f>
        <v/>
      </c>
      <c r="AM1426" s="78" t="n">
        <f aca="false">IF(AND(OR(AK1426="À RADIOGRAPHIER",AK1426="RÉPARÉ – À RADIOGRAPHIER",AK1426="NX – RT À REFAIRE"),OR('PROGRAMME RT'!$D$5="TOUTES",B1426='PROGRAMME RT'!$D$5)),1,0)</f>
        <v>0</v>
      </c>
      <c r="AN1426" s="78" t="str">
        <f aca="false">IF(AM1426=1,SUM(AM$7:AM1426),"")</f>
        <v/>
      </c>
      <c r="AO1426" s="78" t="n">
        <f aca="false">IF(AND(OR(AK1426="À RÉPARER",AK1426="COUPE – À RESOUDER",AK1426="VT REJETÉ – À REPRENDRE"),OR(RÉPARATIONS!$D$5="TOUTES",B1426=RÉPARATIONS!$D$5)),1,0)</f>
        <v>0</v>
      </c>
      <c r="AP1426" s="78" t="str">
        <f aca="false">IF(AO1426=1,SUM(AO$7:AO1426),"")</f>
        <v/>
      </c>
    </row>
    <row r="1427" customFormat="false" ht="15" hidden="false" customHeight="false" outlineLevel="0" collapsed="false">
      <c r="A1427" s="78" t="str">
        <f aca="false">IF(E1427="","",ROW()-6)</f>
        <v/>
      </c>
      <c r="B1427" s="79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0"/>
      <c r="P1427" s="81"/>
      <c r="Q1427" s="81"/>
      <c r="R1427" s="80"/>
      <c r="S1427" s="80"/>
      <c r="T1427" s="81"/>
      <c r="U1427" s="80"/>
      <c r="V1427" s="80"/>
      <c r="W1427" s="80"/>
      <c r="X1427" s="80"/>
      <c r="Y1427" s="81"/>
      <c r="Z1427" s="80"/>
      <c r="AA1427" s="80"/>
      <c r="AB1427" s="80"/>
      <c r="AC1427" s="80"/>
      <c r="AD1427" s="81"/>
      <c r="AE1427" s="80"/>
      <c r="AF1427" s="80"/>
      <c r="AG1427" s="81"/>
      <c r="AH1427" s="79"/>
      <c r="AI1427" s="78" t="str">
        <f aca="false">IF(E1427="","",(V1427&lt;&gt;"")+(AA1427&lt;&gt;"")+(AF1427&lt;&gt;""))</f>
        <v/>
      </c>
      <c r="AJ1427" s="82" t="str">
        <f aca="false">IF(AF1427&lt;&gt;"",AF1427,IF(AA1427&lt;&gt;"",AA1427,IF(V1427&lt;&gt;"",V1427,"")))</f>
        <v/>
      </c>
      <c r="AK1427" s="83" t="str">
        <f aca="false">IF(E1427="","",IF(P1427="","À SOUDER",IF(S1427="","VT EN ATTENTE",IF(S1427="R","VT REJETÉ – À REPRENDRE",IF(AJ1427="","À RADIOGRAPHIER",IF(AJ1427="A","ACCEPTÉ",IF(AJ1427="NX","NX – RT À REFAIRE",IF(IF(AI1427=1,X1427,IF(AI1427=2,AC1427,""))="A","RÉPARÉ – À RADIOGRAPHIER",IF(IF(AI1427=1,X1427,IF(AI1427=2,AC1427,""))="R","VT REJETÉ – À REPRENDRE",IF(AJ1427="CO","COUPE – À RESOUDER","À RÉPARER"))))))))))</f>
        <v/>
      </c>
      <c r="AL1427" s="82" t="str">
        <f aca="false">IF(AND(ISNUMBER(P1427),OR(AK1427="À RADIOGRAPHIER",AK1427="RÉPARÉ – À RADIOGRAPHIER",AK1427="NX – RT À REFAIRE",AK1427="À RÉPARER",AK1427="COUPE – À RESOUDER",AK1427="VT REJETÉ – À REPRENDRE")),MAX(0,'PROGRAMME RT'!$C$4-P1427),"")</f>
        <v/>
      </c>
      <c r="AM1427" s="78" t="n">
        <f aca="false">IF(AND(OR(AK1427="À RADIOGRAPHIER",AK1427="RÉPARÉ – À RADIOGRAPHIER",AK1427="NX – RT À REFAIRE"),OR('PROGRAMME RT'!$D$5="TOUTES",B1427='PROGRAMME RT'!$D$5)),1,0)</f>
        <v>0</v>
      </c>
      <c r="AN1427" s="78" t="str">
        <f aca="false">IF(AM1427=1,SUM(AM$7:AM1427),"")</f>
        <v/>
      </c>
      <c r="AO1427" s="78" t="n">
        <f aca="false">IF(AND(OR(AK1427="À RÉPARER",AK1427="COUPE – À RESOUDER",AK1427="VT REJETÉ – À REPRENDRE"),OR(RÉPARATIONS!$D$5="TOUTES",B1427=RÉPARATIONS!$D$5)),1,0)</f>
        <v>0</v>
      </c>
      <c r="AP1427" s="78" t="str">
        <f aca="false">IF(AO1427=1,SUM(AO$7:AO1427),"")</f>
        <v/>
      </c>
    </row>
    <row r="1428" customFormat="false" ht="15" hidden="false" customHeight="false" outlineLevel="0" collapsed="false">
      <c r="A1428" s="78" t="str">
        <f aca="false">IF(E1428="","",ROW()-6)</f>
        <v/>
      </c>
      <c r="B1428" s="79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0"/>
      <c r="P1428" s="81"/>
      <c r="Q1428" s="81"/>
      <c r="R1428" s="80"/>
      <c r="S1428" s="80"/>
      <c r="T1428" s="81"/>
      <c r="U1428" s="80"/>
      <c r="V1428" s="80"/>
      <c r="W1428" s="80"/>
      <c r="X1428" s="80"/>
      <c r="Y1428" s="81"/>
      <c r="Z1428" s="80"/>
      <c r="AA1428" s="80"/>
      <c r="AB1428" s="80"/>
      <c r="AC1428" s="80"/>
      <c r="AD1428" s="81"/>
      <c r="AE1428" s="80"/>
      <c r="AF1428" s="80"/>
      <c r="AG1428" s="81"/>
      <c r="AH1428" s="79"/>
      <c r="AI1428" s="78" t="str">
        <f aca="false">IF(E1428="","",(V1428&lt;&gt;"")+(AA1428&lt;&gt;"")+(AF1428&lt;&gt;""))</f>
        <v/>
      </c>
      <c r="AJ1428" s="82" t="str">
        <f aca="false">IF(AF1428&lt;&gt;"",AF1428,IF(AA1428&lt;&gt;"",AA1428,IF(V1428&lt;&gt;"",V1428,"")))</f>
        <v/>
      </c>
      <c r="AK1428" s="83" t="str">
        <f aca="false">IF(E1428="","",IF(P1428="","À SOUDER",IF(S1428="","VT EN ATTENTE",IF(S1428="R","VT REJETÉ – À REPRENDRE",IF(AJ1428="","À RADIOGRAPHIER",IF(AJ1428="A","ACCEPTÉ",IF(AJ1428="NX","NX – RT À REFAIRE",IF(IF(AI1428=1,X1428,IF(AI1428=2,AC1428,""))="A","RÉPARÉ – À RADIOGRAPHIER",IF(IF(AI1428=1,X1428,IF(AI1428=2,AC1428,""))="R","VT REJETÉ – À REPRENDRE",IF(AJ1428="CO","COUPE – À RESOUDER","À RÉPARER"))))))))))</f>
        <v/>
      </c>
      <c r="AL1428" s="82" t="str">
        <f aca="false">IF(AND(ISNUMBER(P1428),OR(AK1428="À RADIOGRAPHIER",AK1428="RÉPARÉ – À RADIOGRAPHIER",AK1428="NX – RT À REFAIRE",AK1428="À RÉPARER",AK1428="COUPE – À RESOUDER",AK1428="VT REJETÉ – À REPRENDRE")),MAX(0,'PROGRAMME RT'!$C$4-P1428),"")</f>
        <v/>
      </c>
      <c r="AM1428" s="78" t="n">
        <f aca="false">IF(AND(OR(AK1428="À RADIOGRAPHIER",AK1428="RÉPARÉ – À RADIOGRAPHIER",AK1428="NX – RT À REFAIRE"),OR('PROGRAMME RT'!$D$5="TOUTES",B1428='PROGRAMME RT'!$D$5)),1,0)</f>
        <v>0</v>
      </c>
      <c r="AN1428" s="78" t="str">
        <f aca="false">IF(AM1428=1,SUM(AM$7:AM1428),"")</f>
        <v/>
      </c>
      <c r="AO1428" s="78" t="n">
        <f aca="false">IF(AND(OR(AK1428="À RÉPARER",AK1428="COUPE – À RESOUDER",AK1428="VT REJETÉ – À REPRENDRE"),OR(RÉPARATIONS!$D$5="TOUTES",B1428=RÉPARATIONS!$D$5)),1,0)</f>
        <v>0</v>
      </c>
      <c r="AP1428" s="78" t="str">
        <f aca="false">IF(AO1428=1,SUM(AO$7:AO1428),"")</f>
        <v/>
      </c>
    </row>
    <row r="1429" customFormat="false" ht="15" hidden="false" customHeight="false" outlineLevel="0" collapsed="false">
      <c r="A1429" s="78" t="str">
        <f aca="false">IF(E1429="","",ROW()-6)</f>
        <v/>
      </c>
      <c r="B1429" s="79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0"/>
      <c r="P1429" s="81"/>
      <c r="Q1429" s="81"/>
      <c r="R1429" s="80"/>
      <c r="S1429" s="80"/>
      <c r="T1429" s="81"/>
      <c r="U1429" s="80"/>
      <c r="V1429" s="80"/>
      <c r="W1429" s="80"/>
      <c r="X1429" s="80"/>
      <c r="Y1429" s="81"/>
      <c r="Z1429" s="80"/>
      <c r="AA1429" s="80"/>
      <c r="AB1429" s="80"/>
      <c r="AC1429" s="80"/>
      <c r="AD1429" s="81"/>
      <c r="AE1429" s="80"/>
      <c r="AF1429" s="80"/>
      <c r="AG1429" s="81"/>
      <c r="AH1429" s="79"/>
      <c r="AI1429" s="78" t="str">
        <f aca="false">IF(E1429="","",(V1429&lt;&gt;"")+(AA1429&lt;&gt;"")+(AF1429&lt;&gt;""))</f>
        <v/>
      </c>
      <c r="AJ1429" s="82" t="str">
        <f aca="false">IF(AF1429&lt;&gt;"",AF1429,IF(AA1429&lt;&gt;"",AA1429,IF(V1429&lt;&gt;"",V1429,"")))</f>
        <v/>
      </c>
      <c r="AK1429" s="83" t="str">
        <f aca="false">IF(E1429="","",IF(P1429="","À SOUDER",IF(S1429="","VT EN ATTENTE",IF(S1429="R","VT REJETÉ – À REPRENDRE",IF(AJ1429="","À RADIOGRAPHIER",IF(AJ1429="A","ACCEPTÉ",IF(AJ1429="NX","NX – RT À REFAIRE",IF(IF(AI1429=1,X1429,IF(AI1429=2,AC1429,""))="A","RÉPARÉ – À RADIOGRAPHIER",IF(IF(AI1429=1,X1429,IF(AI1429=2,AC1429,""))="R","VT REJETÉ – À REPRENDRE",IF(AJ1429="CO","COUPE – À RESOUDER","À RÉPARER"))))))))))</f>
        <v/>
      </c>
      <c r="AL1429" s="82" t="str">
        <f aca="false">IF(AND(ISNUMBER(P1429),OR(AK1429="À RADIOGRAPHIER",AK1429="RÉPARÉ – À RADIOGRAPHIER",AK1429="NX – RT À REFAIRE",AK1429="À RÉPARER",AK1429="COUPE – À RESOUDER",AK1429="VT REJETÉ – À REPRENDRE")),MAX(0,'PROGRAMME RT'!$C$4-P1429),"")</f>
        <v/>
      </c>
      <c r="AM1429" s="78" t="n">
        <f aca="false">IF(AND(OR(AK1429="À RADIOGRAPHIER",AK1429="RÉPARÉ – À RADIOGRAPHIER",AK1429="NX – RT À REFAIRE"),OR('PROGRAMME RT'!$D$5="TOUTES",B1429='PROGRAMME RT'!$D$5)),1,0)</f>
        <v>0</v>
      </c>
      <c r="AN1429" s="78" t="str">
        <f aca="false">IF(AM1429=1,SUM(AM$7:AM1429),"")</f>
        <v/>
      </c>
      <c r="AO1429" s="78" t="n">
        <f aca="false">IF(AND(OR(AK1429="À RÉPARER",AK1429="COUPE – À RESOUDER",AK1429="VT REJETÉ – À REPRENDRE"),OR(RÉPARATIONS!$D$5="TOUTES",B1429=RÉPARATIONS!$D$5)),1,0)</f>
        <v>0</v>
      </c>
      <c r="AP1429" s="78" t="str">
        <f aca="false">IF(AO1429=1,SUM(AO$7:AO1429),"")</f>
        <v/>
      </c>
    </row>
    <row r="1430" customFormat="false" ht="15" hidden="false" customHeight="false" outlineLevel="0" collapsed="false">
      <c r="A1430" s="78" t="str">
        <f aca="false">IF(E1430="","",ROW()-6)</f>
        <v/>
      </c>
      <c r="B1430" s="79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0"/>
      <c r="P1430" s="81"/>
      <c r="Q1430" s="81"/>
      <c r="R1430" s="80"/>
      <c r="S1430" s="80"/>
      <c r="T1430" s="81"/>
      <c r="U1430" s="80"/>
      <c r="V1430" s="80"/>
      <c r="W1430" s="80"/>
      <c r="X1430" s="80"/>
      <c r="Y1430" s="81"/>
      <c r="Z1430" s="80"/>
      <c r="AA1430" s="80"/>
      <c r="AB1430" s="80"/>
      <c r="AC1430" s="80"/>
      <c r="AD1430" s="81"/>
      <c r="AE1430" s="80"/>
      <c r="AF1430" s="80"/>
      <c r="AG1430" s="81"/>
      <c r="AH1430" s="79"/>
      <c r="AI1430" s="78" t="str">
        <f aca="false">IF(E1430="","",(V1430&lt;&gt;"")+(AA1430&lt;&gt;"")+(AF1430&lt;&gt;""))</f>
        <v/>
      </c>
      <c r="AJ1430" s="82" t="str">
        <f aca="false">IF(AF1430&lt;&gt;"",AF1430,IF(AA1430&lt;&gt;"",AA1430,IF(V1430&lt;&gt;"",V1430,"")))</f>
        <v/>
      </c>
      <c r="AK1430" s="83" t="str">
        <f aca="false">IF(E1430="","",IF(P1430="","À SOUDER",IF(S1430="","VT EN ATTENTE",IF(S1430="R","VT REJETÉ – À REPRENDRE",IF(AJ1430="","À RADIOGRAPHIER",IF(AJ1430="A","ACCEPTÉ",IF(AJ1430="NX","NX – RT À REFAIRE",IF(IF(AI1430=1,X1430,IF(AI1430=2,AC1430,""))="A","RÉPARÉ – À RADIOGRAPHIER",IF(IF(AI1430=1,X1430,IF(AI1430=2,AC1430,""))="R","VT REJETÉ – À REPRENDRE",IF(AJ1430="CO","COUPE – À RESOUDER","À RÉPARER"))))))))))</f>
        <v/>
      </c>
      <c r="AL1430" s="82" t="str">
        <f aca="false">IF(AND(ISNUMBER(P1430),OR(AK1430="À RADIOGRAPHIER",AK1430="RÉPARÉ – À RADIOGRAPHIER",AK1430="NX – RT À REFAIRE",AK1430="À RÉPARER",AK1430="COUPE – À RESOUDER",AK1430="VT REJETÉ – À REPRENDRE")),MAX(0,'PROGRAMME RT'!$C$4-P1430),"")</f>
        <v/>
      </c>
      <c r="AM1430" s="78" t="n">
        <f aca="false">IF(AND(OR(AK1430="À RADIOGRAPHIER",AK1430="RÉPARÉ – À RADIOGRAPHIER",AK1430="NX – RT À REFAIRE"),OR('PROGRAMME RT'!$D$5="TOUTES",B1430='PROGRAMME RT'!$D$5)),1,0)</f>
        <v>0</v>
      </c>
      <c r="AN1430" s="78" t="str">
        <f aca="false">IF(AM1430=1,SUM(AM$7:AM1430),"")</f>
        <v/>
      </c>
      <c r="AO1430" s="78" t="n">
        <f aca="false">IF(AND(OR(AK1430="À RÉPARER",AK1430="COUPE – À RESOUDER",AK1430="VT REJETÉ – À REPRENDRE"),OR(RÉPARATIONS!$D$5="TOUTES",B1430=RÉPARATIONS!$D$5)),1,0)</f>
        <v>0</v>
      </c>
      <c r="AP1430" s="78" t="str">
        <f aca="false">IF(AO1430=1,SUM(AO$7:AO1430),"")</f>
        <v/>
      </c>
    </row>
    <row r="1431" customFormat="false" ht="15" hidden="false" customHeight="false" outlineLevel="0" collapsed="false">
      <c r="A1431" s="78" t="str">
        <f aca="false">IF(E1431="","",ROW()-6)</f>
        <v/>
      </c>
      <c r="B1431" s="79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0"/>
      <c r="P1431" s="81"/>
      <c r="Q1431" s="81"/>
      <c r="R1431" s="80"/>
      <c r="S1431" s="80"/>
      <c r="T1431" s="81"/>
      <c r="U1431" s="80"/>
      <c r="V1431" s="80"/>
      <c r="W1431" s="80"/>
      <c r="X1431" s="80"/>
      <c r="Y1431" s="81"/>
      <c r="Z1431" s="80"/>
      <c r="AA1431" s="80"/>
      <c r="AB1431" s="80"/>
      <c r="AC1431" s="80"/>
      <c r="AD1431" s="81"/>
      <c r="AE1431" s="80"/>
      <c r="AF1431" s="80"/>
      <c r="AG1431" s="81"/>
      <c r="AH1431" s="79"/>
      <c r="AI1431" s="78" t="str">
        <f aca="false">IF(E1431="","",(V1431&lt;&gt;"")+(AA1431&lt;&gt;"")+(AF1431&lt;&gt;""))</f>
        <v/>
      </c>
      <c r="AJ1431" s="82" t="str">
        <f aca="false">IF(AF1431&lt;&gt;"",AF1431,IF(AA1431&lt;&gt;"",AA1431,IF(V1431&lt;&gt;"",V1431,"")))</f>
        <v/>
      </c>
      <c r="AK1431" s="83" t="str">
        <f aca="false">IF(E1431="","",IF(P1431="","À SOUDER",IF(S1431="","VT EN ATTENTE",IF(S1431="R","VT REJETÉ – À REPRENDRE",IF(AJ1431="","À RADIOGRAPHIER",IF(AJ1431="A","ACCEPTÉ",IF(AJ1431="NX","NX – RT À REFAIRE",IF(IF(AI1431=1,X1431,IF(AI1431=2,AC1431,""))="A","RÉPARÉ – À RADIOGRAPHIER",IF(IF(AI1431=1,X1431,IF(AI1431=2,AC1431,""))="R","VT REJETÉ – À REPRENDRE",IF(AJ1431="CO","COUPE – À RESOUDER","À RÉPARER"))))))))))</f>
        <v/>
      </c>
      <c r="AL1431" s="82" t="str">
        <f aca="false">IF(AND(ISNUMBER(P1431),OR(AK1431="À RADIOGRAPHIER",AK1431="RÉPARÉ – À RADIOGRAPHIER",AK1431="NX – RT À REFAIRE",AK1431="À RÉPARER",AK1431="COUPE – À RESOUDER",AK1431="VT REJETÉ – À REPRENDRE")),MAX(0,'PROGRAMME RT'!$C$4-P1431),"")</f>
        <v/>
      </c>
      <c r="AM1431" s="78" t="n">
        <f aca="false">IF(AND(OR(AK1431="À RADIOGRAPHIER",AK1431="RÉPARÉ – À RADIOGRAPHIER",AK1431="NX – RT À REFAIRE"),OR('PROGRAMME RT'!$D$5="TOUTES",B1431='PROGRAMME RT'!$D$5)),1,0)</f>
        <v>0</v>
      </c>
      <c r="AN1431" s="78" t="str">
        <f aca="false">IF(AM1431=1,SUM(AM$7:AM1431),"")</f>
        <v/>
      </c>
      <c r="AO1431" s="78" t="n">
        <f aca="false">IF(AND(OR(AK1431="À RÉPARER",AK1431="COUPE – À RESOUDER",AK1431="VT REJETÉ – À REPRENDRE"),OR(RÉPARATIONS!$D$5="TOUTES",B1431=RÉPARATIONS!$D$5)),1,0)</f>
        <v>0</v>
      </c>
      <c r="AP1431" s="78" t="str">
        <f aca="false">IF(AO1431=1,SUM(AO$7:AO1431),"")</f>
        <v/>
      </c>
    </row>
    <row r="1432" customFormat="false" ht="15" hidden="false" customHeight="false" outlineLevel="0" collapsed="false">
      <c r="A1432" s="78" t="str">
        <f aca="false">IF(E1432="","",ROW()-6)</f>
        <v/>
      </c>
      <c r="B1432" s="79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0"/>
      <c r="P1432" s="81"/>
      <c r="Q1432" s="81"/>
      <c r="R1432" s="80"/>
      <c r="S1432" s="80"/>
      <c r="T1432" s="81"/>
      <c r="U1432" s="80"/>
      <c r="V1432" s="80"/>
      <c r="W1432" s="80"/>
      <c r="X1432" s="80"/>
      <c r="Y1432" s="81"/>
      <c r="Z1432" s="80"/>
      <c r="AA1432" s="80"/>
      <c r="AB1432" s="80"/>
      <c r="AC1432" s="80"/>
      <c r="AD1432" s="81"/>
      <c r="AE1432" s="80"/>
      <c r="AF1432" s="80"/>
      <c r="AG1432" s="81"/>
      <c r="AH1432" s="79"/>
      <c r="AI1432" s="78" t="str">
        <f aca="false">IF(E1432="","",(V1432&lt;&gt;"")+(AA1432&lt;&gt;"")+(AF1432&lt;&gt;""))</f>
        <v/>
      </c>
      <c r="AJ1432" s="82" t="str">
        <f aca="false">IF(AF1432&lt;&gt;"",AF1432,IF(AA1432&lt;&gt;"",AA1432,IF(V1432&lt;&gt;"",V1432,"")))</f>
        <v/>
      </c>
      <c r="AK1432" s="83" t="str">
        <f aca="false">IF(E1432="","",IF(P1432="","À SOUDER",IF(S1432="","VT EN ATTENTE",IF(S1432="R","VT REJETÉ – À REPRENDRE",IF(AJ1432="","À RADIOGRAPHIER",IF(AJ1432="A","ACCEPTÉ",IF(AJ1432="NX","NX – RT À REFAIRE",IF(IF(AI1432=1,X1432,IF(AI1432=2,AC1432,""))="A","RÉPARÉ – À RADIOGRAPHIER",IF(IF(AI1432=1,X1432,IF(AI1432=2,AC1432,""))="R","VT REJETÉ – À REPRENDRE",IF(AJ1432="CO","COUPE – À RESOUDER","À RÉPARER"))))))))))</f>
        <v/>
      </c>
      <c r="AL1432" s="82" t="str">
        <f aca="false">IF(AND(ISNUMBER(P1432),OR(AK1432="À RADIOGRAPHIER",AK1432="RÉPARÉ – À RADIOGRAPHIER",AK1432="NX – RT À REFAIRE",AK1432="À RÉPARER",AK1432="COUPE – À RESOUDER",AK1432="VT REJETÉ – À REPRENDRE")),MAX(0,'PROGRAMME RT'!$C$4-P1432),"")</f>
        <v/>
      </c>
      <c r="AM1432" s="78" t="n">
        <f aca="false">IF(AND(OR(AK1432="À RADIOGRAPHIER",AK1432="RÉPARÉ – À RADIOGRAPHIER",AK1432="NX – RT À REFAIRE"),OR('PROGRAMME RT'!$D$5="TOUTES",B1432='PROGRAMME RT'!$D$5)),1,0)</f>
        <v>0</v>
      </c>
      <c r="AN1432" s="78" t="str">
        <f aca="false">IF(AM1432=1,SUM(AM$7:AM1432),"")</f>
        <v/>
      </c>
      <c r="AO1432" s="78" t="n">
        <f aca="false">IF(AND(OR(AK1432="À RÉPARER",AK1432="COUPE – À RESOUDER",AK1432="VT REJETÉ – À REPRENDRE"),OR(RÉPARATIONS!$D$5="TOUTES",B1432=RÉPARATIONS!$D$5)),1,0)</f>
        <v>0</v>
      </c>
      <c r="AP1432" s="78" t="str">
        <f aca="false">IF(AO1432=1,SUM(AO$7:AO1432),"")</f>
        <v/>
      </c>
    </row>
    <row r="1433" customFormat="false" ht="15" hidden="false" customHeight="false" outlineLevel="0" collapsed="false">
      <c r="A1433" s="78" t="str">
        <f aca="false">IF(E1433="","",ROW()-6)</f>
        <v/>
      </c>
      <c r="B1433" s="79"/>
      <c r="C1433" s="80"/>
      <c r="D1433" s="80"/>
      <c r="E1433" s="80"/>
      <c r="F1433" s="80"/>
      <c r="G1433" s="80"/>
      <c r="H1433" s="80"/>
      <c r="I1433" s="80"/>
      <c r="J1433" s="80"/>
      <c r="K1433" s="80"/>
      <c r="L1433" s="80"/>
      <c r="M1433" s="80"/>
      <c r="N1433" s="80"/>
      <c r="O1433" s="80"/>
      <c r="P1433" s="81"/>
      <c r="Q1433" s="81"/>
      <c r="R1433" s="80"/>
      <c r="S1433" s="80"/>
      <c r="T1433" s="81"/>
      <c r="U1433" s="80"/>
      <c r="V1433" s="80"/>
      <c r="W1433" s="80"/>
      <c r="X1433" s="80"/>
      <c r="Y1433" s="81"/>
      <c r="Z1433" s="80"/>
      <c r="AA1433" s="80"/>
      <c r="AB1433" s="80"/>
      <c r="AC1433" s="80"/>
      <c r="AD1433" s="81"/>
      <c r="AE1433" s="80"/>
      <c r="AF1433" s="80"/>
      <c r="AG1433" s="81"/>
      <c r="AH1433" s="79"/>
      <c r="AI1433" s="78" t="str">
        <f aca="false">IF(E1433="","",(V1433&lt;&gt;"")+(AA1433&lt;&gt;"")+(AF1433&lt;&gt;""))</f>
        <v/>
      </c>
      <c r="AJ1433" s="82" t="str">
        <f aca="false">IF(AF1433&lt;&gt;"",AF1433,IF(AA1433&lt;&gt;"",AA1433,IF(V1433&lt;&gt;"",V1433,"")))</f>
        <v/>
      </c>
      <c r="AK1433" s="83" t="str">
        <f aca="false">IF(E1433="","",IF(P1433="","À SOUDER",IF(S1433="","VT EN ATTENTE",IF(S1433="R","VT REJETÉ – À REPRENDRE",IF(AJ1433="","À RADIOGRAPHIER",IF(AJ1433="A","ACCEPTÉ",IF(AJ1433="NX","NX – RT À REFAIRE",IF(IF(AI1433=1,X1433,IF(AI1433=2,AC1433,""))="A","RÉPARÉ – À RADIOGRAPHIER",IF(IF(AI1433=1,X1433,IF(AI1433=2,AC1433,""))="R","VT REJETÉ – À REPRENDRE",IF(AJ1433="CO","COUPE – À RESOUDER","À RÉPARER"))))))))))</f>
        <v/>
      </c>
      <c r="AL1433" s="82" t="str">
        <f aca="false">IF(AND(ISNUMBER(P1433),OR(AK1433="À RADIOGRAPHIER",AK1433="RÉPARÉ – À RADIOGRAPHIER",AK1433="NX – RT À REFAIRE",AK1433="À RÉPARER",AK1433="COUPE – À RESOUDER",AK1433="VT REJETÉ – À REPRENDRE")),MAX(0,'PROGRAMME RT'!$C$4-P1433),"")</f>
        <v/>
      </c>
      <c r="AM1433" s="78" t="n">
        <f aca="false">IF(AND(OR(AK1433="À RADIOGRAPHIER",AK1433="RÉPARÉ – À RADIOGRAPHIER",AK1433="NX – RT À REFAIRE"),OR('PROGRAMME RT'!$D$5="TOUTES",B1433='PROGRAMME RT'!$D$5)),1,0)</f>
        <v>0</v>
      </c>
      <c r="AN1433" s="78" t="str">
        <f aca="false">IF(AM1433=1,SUM(AM$7:AM1433),"")</f>
        <v/>
      </c>
      <c r="AO1433" s="78" t="n">
        <f aca="false">IF(AND(OR(AK1433="À RÉPARER",AK1433="COUPE – À RESOUDER",AK1433="VT REJETÉ – À REPRENDRE"),OR(RÉPARATIONS!$D$5="TOUTES",B1433=RÉPARATIONS!$D$5)),1,0)</f>
        <v>0</v>
      </c>
      <c r="AP1433" s="78" t="str">
        <f aca="false">IF(AO1433=1,SUM(AO$7:AO1433),"")</f>
        <v/>
      </c>
    </row>
    <row r="1434" customFormat="false" ht="15" hidden="false" customHeight="false" outlineLevel="0" collapsed="false">
      <c r="A1434" s="78" t="str">
        <f aca="false">IF(E1434="","",ROW()-6)</f>
        <v/>
      </c>
      <c r="B1434" s="79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0"/>
      <c r="P1434" s="81"/>
      <c r="Q1434" s="81"/>
      <c r="R1434" s="80"/>
      <c r="S1434" s="80"/>
      <c r="T1434" s="81"/>
      <c r="U1434" s="80"/>
      <c r="V1434" s="80"/>
      <c r="W1434" s="80"/>
      <c r="X1434" s="80"/>
      <c r="Y1434" s="81"/>
      <c r="Z1434" s="80"/>
      <c r="AA1434" s="80"/>
      <c r="AB1434" s="80"/>
      <c r="AC1434" s="80"/>
      <c r="AD1434" s="81"/>
      <c r="AE1434" s="80"/>
      <c r="AF1434" s="80"/>
      <c r="AG1434" s="81"/>
      <c r="AH1434" s="79"/>
      <c r="AI1434" s="78" t="str">
        <f aca="false">IF(E1434="","",(V1434&lt;&gt;"")+(AA1434&lt;&gt;"")+(AF1434&lt;&gt;""))</f>
        <v/>
      </c>
      <c r="AJ1434" s="82" t="str">
        <f aca="false">IF(AF1434&lt;&gt;"",AF1434,IF(AA1434&lt;&gt;"",AA1434,IF(V1434&lt;&gt;"",V1434,"")))</f>
        <v/>
      </c>
      <c r="AK1434" s="83" t="str">
        <f aca="false">IF(E1434="","",IF(P1434="","À SOUDER",IF(S1434="","VT EN ATTENTE",IF(S1434="R","VT REJETÉ – À REPRENDRE",IF(AJ1434="","À RADIOGRAPHIER",IF(AJ1434="A","ACCEPTÉ",IF(AJ1434="NX","NX – RT À REFAIRE",IF(IF(AI1434=1,X1434,IF(AI1434=2,AC1434,""))="A","RÉPARÉ – À RADIOGRAPHIER",IF(IF(AI1434=1,X1434,IF(AI1434=2,AC1434,""))="R","VT REJETÉ – À REPRENDRE",IF(AJ1434="CO","COUPE – À RESOUDER","À RÉPARER"))))))))))</f>
        <v/>
      </c>
      <c r="AL1434" s="82" t="str">
        <f aca="false">IF(AND(ISNUMBER(P1434),OR(AK1434="À RADIOGRAPHIER",AK1434="RÉPARÉ – À RADIOGRAPHIER",AK1434="NX – RT À REFAIRE",AK1434="À RÉPARER",AK1434="COUPE – À RESOUDER",AK1434="VT REJETÉ – À REPRENDRE")),MAX(0,'PROGRAMME RT'!$C$4-P1434),"")</f>
        <v/>
      </c>
      <c r="AM1434" s="78" t="n">
        <f aca="false">IF(AND(OR(AK1434="À RADIOGRAPHIER",AK1434="RÉPARÉ – À RADIOGRAPHIER",AK1434="NX – RT À REFAIRE"),OR('PROGRAMME RT'!$D$5="TOUTES",B1434='PROGRAMME RT'!$D$5)),1,0)</f>
        <v>0</v>
      </c>
      <c r="AN1434" s="78" t="str">
        <f aca="false">IF(AM1434=1,SUM(AM$7:AM1434),"")</f>
        <v/>
      </c>
      <c r="AO1434" s="78" t="n">
        <f aca="false">IF(AND(OR(AK1434="À RÉPARER",AK1434="COUPE – À RESOUDER",AK1434="VT REJETÉ – À REPRENDRE"),OR(RÉPARATIONS!$D$5="TOUTES",B1434=RÉPARATIONS!$D$5)),1,0)</f>
        <v>0</v>
      </c>
      <c r="AP1434" s="78" t="str">
        <f aca="false">IF(AO1434=1,SUM(AO$7:AO1434),"")</f>
        <v/>
      </c>
    </row>
    <row r="1435" customFormat="false" ht="15" hidden="false" customHeight="false" outlineLevel="0" collapsed="false">
      <c r="A1435" s="78" t="str">
        <f aca="false">IF(E1435="","",ROW()-6)</f>
        <v/>
      </c>
      <c r="B1435" s="79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0"/>
      <c r="P1435" s="81"/>
      <c r="Q1435" s="81"/>
      <c r="R1435" s="80"/>
      <c r="S1435" s="80"/>
      <c r="T1435" s="81"/>
      <c r="U1435" s="80"/>
      <c r="V1435" s="80"/>
      <c r="W1435" s="80"/>
      <c r="X1435" s="80"/>
      <c r="Y1435" s="81"/>
      <c r="Z1435" s="80"/>
      <c r="AA1435" s="80"/>
      <c r="AB1435" s="80"/>
      <c r="AC1435" s="80"/>
      <c r="AD1435" s="81"/>
      <c r="AE1435" s="80"/>
      <c r="AF1435" s="80"/>
      <c r="AG1435" s="81"/>
      <c r="AH1435" s="79"/>
      <c r="AI1435" s="78" t="str">
        <f aca="false">IF(E1435="","",(V1435&lt;&gt;"")+(AA1435&lt;&gt;"")+(AF1435&lt;&gt;""))</f>
        <v/>
      </c>
      <c r="AJ1435" s="82" t="str">
        <f aca="false">IF(AF1435&lt;&gt;"",AF1435,IF(AA1435&lt;&gt;"",AA1435,IF(V1435&lt;&gt;"",V1435,"")))</f>
        <v/>
      </c>
      <c r="AK1435" s="83" t="str">
        <f aca="false">IF(E1435="","",IF(P1435="","À SOUDER",IF(S1435="","VT EN ATTENTE",IF(S1435="R","VT REJETÉ – À REPRENDRE",IF(AJ1435="","À RADIOGRAPHIER",IF(AJ1435="A","ACCEPTÉ",IF(AJ1435="NX","NX – RT À REFAIRE",IF(IF(AI1435=1,X1435,IF(AI1435=2,AC1435,""))="A","RÉPARÉ – À RADIOGRAPHIER",IF(IF(AI1435=1,X1435,IF(AI1435=2,AC1435,""))="R","VT REJETÉ – À REPRENDRE",IF(AJ1435="CO","COUPE – À RESOUDER","À RÉPARER"))))))))))</f>
        <v/>
      </c>
      <c r="AL1435" s="82" t="str">
        <f aca="false">IF(AND(ISNUMBER(P1435),OR(AK1435="À RADIOGRAPHIER",AK1435="RÉPARÉ – À RADIOGRAPHIER",AK1435="NX – RT À REFAIRE",AK1435="À RÉPARER",AK1435="COUPE – À RESOUDER",AK1435="VT REJETÉ – À REPRENDRE")),MAX(0,'PROGRAMME RT'!$C$4-P1435),"")</f>
        <v/>
      </c>
      <c r="AM1435" s="78" t="n">
        <f aca="false">IF(AND(OR(AK1435="À RADIOGRAPHIER",AK1435="RÉPARÉ – À RADIOGRAPHIER",AK1435="NX – RT À REFAIRE"),OR('PROGRAMME RT'!$D$5="TOUTES",B1435='PROGRAMME RT'!$D$5)),1,0)</f>
        <v>0</v>
      </c>
      <c r="AN1435" s="78" t="str">
        <f aca="false">IF(AM1435=1,SUM(AM$7:AM1435),"")</f>
        <v/>
      </c>
      <c r="AO1435" s="78" t="n">
        <f aca="false">IF(AND(OR(AK1435="À RÉPARER",AK1435="COUPE – À RESOUDER",AK1435="VT REJETÉ – À REPRENDRE"),OR(RÉPARATIONS!$D$5="TOUTES",B1435=RÉPARATIONS!$D$5)),1,0)</f>
        <v>0</v>
      </c>
      <c r="AP1435" s="78" t="str">
        <f aca="false">IF(AO1435=1,SUM(AO$7:AO1435),"")</f>
        <v/>
      </c>
    </row>
    <row r="1436" customFormat="false" ht="15" hidden="false" customHeight="false" outlineLevel="0" collapsed="false">
      <c r="A1436" s="78" t="str">
        <f aca="false">IF(E1436="","",ROW()-6)</f>
        <v/>
      </c>
      <c r="B1436" s="79"/>
      <c r="C1436" s="80"/>
      <c r="D1436" s="80"/>
      <c r="E1436" s="80"/>
      <c r="F1436" s="80"/>
      <c r="G1436" s="80"/>
      <c r="H1436" s="80"/>
      <c r="I1436" s="80"/>
      <c r="J1436" s="80"/>
      <c r="K1436" s="80"/>
      <c r="L1436" s="80"/>
      <c r="M1436" s="80"/>
      <c r="N1436" s="80"/>
      <c r="O1436" s="80"/>
      <c r="P1436" s="81"/>
      <c r="Q1436" s="81"/>
      <c r="R1436" s="80"/>
      <c r="S1436" s="80"/>
      <c r="T1436" s="81"/>
      <c r="U1436" s="80"/>
      <c r="V1436" s="80"/>
      <c r="W1436" s="80"/>
      <c r="X1436" s="80"/>
      <c r="Y1436" s="81"/>
      <c r="Z1436" s="80"/>
      <c r="AA1436" s="80"/>
      <c r="AB1436" s="80"/>
      <c r="AC1436" s="80"/>
      <c r="AD1436" s="81"/>
      <c r="AE1436" s="80"/>
      <c r="AF1436" s="80"/>
      <c r="AG1436" s="81"/>
      <c r="AH1436" s="79"/>
      <c r="AI1436" s="78" t="str">
        <f aca="false">IF(E1436="","",(V1436&lt;&gt;"")+(AA1436&lt;&gt;"")+(AF1436&lt;&gt;""))</f>
        <v/>
      </c>
      <c r="AJ1436" s="82" t="str">
        <f aca="false">IF(AF1436&lt;&gt;"",AF1436,IF(AA1436&lt;&gt;"",AA1436,IF(V1436&lt;&gt;"",V1436,"")))</f>
        <v/>
      </c>
      <c r="AK1436" s="83" t="str">
        <f aca="false">IF(E1436="","",IF(P1436="","À SOUDER",IF(S1436="","VT EN ATTENTE",IF(S1436="R","VT REJETÉ – À REPRENDRE",IF(AJ1436="","À RADIOGRAPHIER",IF(AJ1436="A","ACCEPTÉ",IF(AJ1436="NX","NX – RT À REFAIRE",IF(IF(AI1436=1,X1436,IF(AI1436=2,AC1436,""))="A","RÉPARÉ – À RADIOGRAPHIER",IF(IF(AI1436=1,X1436,IF(AI1436=2,AC1436,""))="R","VT REJETÉ – À REPRENDRE",IF(AJ1436="CO","COUPE – À RESOUDER","À RÉPARER"))))))))))</f>
        <v/>
      </c>
      <c r="AL1436" s="82" t="str">
        <f aca="false">IF(AND(ISNUMBER(P1436),OR(AK1436="À RADIOGRAPHIER",AK1436="RÉPARÉ – À RADIOGRAPHIER",AK1436="NX – RT À REFAIRE",AK1436="À RÉPARER",AK1436="COUPE – À RESOUDER",AK1436="VT REJETÉ – À REPRENDRE")),MAX(0,'PROGRAMME RT'!$C$4-P1436),"")</f>
        <v/>
      </c>
      <c r="AM1436" s="78" t="n">
        <f aca="false">IF(AND(OR(AK1436="À RADIOGRAPHIER",AK1436="RÉPARÉ – À RADIOGRAPHIER",AK1436="NX – RT À REFAIRE"),OR('PROGRAMME RT'!$D$5="TOUTES",B1436='PROGRAMME RT'!$D$5)),1,0)</f>
        <v>0</v>
      </c>
      <c r="AN1436" s="78" t="str">
        <f aca="false">IF(AM1436=1,SUM(AM$7:AM1436),"")</f>
        <v/>
      </c>
      <c r="AO1436" s="78" t="n">
        <f aca="false">IF(AND(OR(AK1436="À RÉPARER",AK1436="COUPE – À RESOUDER",AK1436="VT REJETÉ – À REPRENDRE"),OR(RÉPARATIONS!$D$5="TOUTES",B1436=RÉPARATIONS!$D$5)),1,0)</f>
        <v>0</v>
      </c>
      <c r="AP1436" s="78" t="str">
        <f aca="false">IF(AO1436=1,SUM(AO$7:AO1436),"")</f>
        <v/>
      </c>
    </row>
    <row r="1437" customFormat="false" ht="15" hidden="false" customHeight="false" outlineLevel="0" collapsed="false">
      <c r="A1437" s="78" t="str">
        <f aca="false">IF(E1437="","",ROW()-6)</f>
        <v/>
      </c>
      <c r="B1437" s="79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0"/>
      <c r="P1437" s="81"/>
      <c r="Q1437" s="81"/>
      <c r="R1437" s="80"/>
      <c r="S1437" s="80"/>
      <c r="T1437" s="81"/>
      <c r="U1437" s="80"/>
      <c r="V1437" s="80"/>
      <c r="W1437" s="80"/>
      <c r="X1437" s="80"/>
      <c r="Y1437" s="81"/>
      <c r="Z1437" s="80"/>
      <c r="AA1437" s="80"/>
      <c r="AB1437" s="80"/>
      <c r="AC1437" s="80"/>
      <c r="AD1437" s="81"/>
      <c r="AE1437" s="80"/>
      <c r="AF1437" s="80"/>
      <c r="AG1437" s="81"/>
      <c r="AH1437" s="79"/>
      <c r="AI1437" s="78" t="str">
        <f aca="false">IF(E1437="","",(V1437&lt;&gt;"")+(AA1437&lt;&gt;"")+(AF1437&lt;&gt;""))</f>
        <v/>
      </c>
      <c r="AJ1437" s="82" t="str">
        <f aca="false">IF(AF1437&lt;&gt;"",AF1437,IF(AA1437&lt;&gt;"",AA1437,IF(V1437&lt;&gt;"",V1437,"")))</f>
        <v/>
      </c>
      <c r="AK1437" s="83" t="str">
        <f aca="false">IF(E1437="","",IF(P1437="","À SOUDER",IF(S1437="","VT EN ATTENTE",IF(S1437="R","VT REJETÉ – À REPRENDRE",IF(AJ1437="","À RADIOGRAPHIER",IF(AJ1437="A","ACCEPTÉ",IF(AJ1437="NX","NX – RT À REFAIRE",IF(IF(AI1437=1,X1437,IF(AI1437=2,AC1437,""))="A","RÉPARÉ – À RADIOGRAPHIER",IF(IF(AI1437=1,X1437,IF(AI1437=2,AC1437,""))="R","VT REJETÉ – À REPRENDRE",IF(AJ1437="CO","COUPE – À RESOUDER","À RÉPARER"))))))))))</f>
        <v/>
      </c>
      <c r="AL1437" s="82" t="str">
        <f aca="false">IF(AND(ISNUMBER(P1437),OR(AK1437="À RADIOGRAPHIER",AK1437="RÉPARÉ – À RADIOGRAPHIER",AK1437="NX – RT À REFAIRE",AK1437="À RÉPARER",AK1437="COUPE – À RESOUDER",AK1437="VT REJETÉ – À REPRENDRE")),MAX(0,'PROGRAMME RT'!$C$4-P1437),"")</f>
        <v/>
      </c>
      <c r="AM1437" s="78" t="n">
        <f aca="false">IF(AND(OR(AK1437="À RADIOGRAPHIER",AK1437="RÉPARÉ – À RADIOGRAPHIER",AK1437="NX – RT À REFAIRE"),OR('PROGRAMME RT'!$D$5="TOUTES",B1437='PROGRAMME RT'!$D$5)),1,0)</f>
        <v>0</v>
      </c>
      <c r="AN1437" s="78" t="str">
        <f aca="false">IF(AM1437=1,SUM(AM$7:AM1437),"")</f>
        <v/>
      </c>
      <c r="AO1437" s="78" t="n">
        <f aca="false">IF(AND(OR(AK1437="À RÉPARER",AK1437="COUPE – À RESOUDER",AK1437="VT REJETÉ – À REPRENDRE"),OR(RÉPARATIONS!$D$5="TOUTES",B1437=RÉPARATIONS!$D$5)),1,0)</f>
        <v>0</v>
      </c>
      <c r="AP1437" s="78" t="str">
        <f aca="false">IF(AO1437=1,SUM(AO$7:AO1437),"")</f>
        <v/>
      </c>
    </row>
    <row r="1438" customFormat="false" ht="15" hidden="false" customHeight="false" outlineLevel="0" collapsed="false">
      <c r="A1438" s="78" t="str">
        <f aca="false">IF(E1438="","",ROW()-6)</f>
        <v/>
      </c>
      <c r="B1438" s="79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0"/>
      <c r="P1438" s="81"/>
      <c r="Q1438" s="81"/>
      <c r="R1438" s="80"/>
      <c r="S1438" s="80"/>
      <c r="T1438" s="81"/>
      <c r="U1438" s="80"/>
      <c r="V1438" s="80"/>
      <c r="W1438" s="80"/>
      <c r="X1438" s="80"/>
      <c r="Y1438" s="81"/>
      <c r="Z1438" s="80"/>
      <c r="AA1438" s="80"/>
      <c r="AB1438" s="80"/>
      <c r="AC1438" s="80"/>
      <c r="AD1438" s="81"/>
      <c r="AE1438" s="80"/>
      <c r="AF1438" s="80"/>
      <c r="AG1438" s="81"/>
      <c r="AH1438" s="79"/>
      <c r="AI1438" s="78" t="str">
        <f aca="false">IF(E1438="","",(V1438&lt;&gt;"")+(AA1438&lt;&gt;"")+(AF1438&lt;&gt;""))</f>
        <v/>
      </c>
      <c r="AJ1438" s="82" t="str">
        <f aca="false">IF(AF1438&lt;&gt;"",AF1438,IF(AA1438&lt;&gt;"",AA1438,IF(V1438&lt;&gt;"",V1438,"")))</f>
        <v/>
      </c>
      <c r="AK1438" s="83" t="str">
        <f aca="false">IF(E1438="","",IF(P1438="","À SOUDER",IF(S1438="","VT EN ATTENTE",IF(S1438="R","VT REJETÉ – À REPRENDRE",IF(AJ1438="","À RADIOGRAPHIER",IF(AJ1438="A","ACCEPTÉ",IF(AJ1438="NX","NX – RT À REFAIRE",IF(IF(AI1438=1,X1438,IF(AI1438=2,AC1438,""))="A","RÉPARÉ – À RADIOGRAPHIER",IF(IF(AI1438=1,X1438,IF(AI1438=2,AC1438,""))="R","VT REJETÉ – À REPRENDRE",IF(AJ1438="CO","COUPE – À RESOUDER","À RÉPARER"))))))))))</f>
        <v/>
      </c>
      <c r="AL1438" s="82" t="str">
        <f aca="false">IF(AND(ISNUMBER(P1438),OR(AK1438="À RADIOGRAPHIER",AK1438="RÉPARÉ – À RADIOGRAPHIER",AK1438="NX – RT À REFAIRE",AK1438="À RÉPARER",AK1438="COUPE – À RESOUDER",AK1438="VT REJETÉ – À REPRENDRE")),MAX(0,'PROGRAMME RT'!$C$4-P1438),"")</f>
        <v/>
      </c>
      <c r="AM1438" s="78" t="n">
        <f aca="false">IF(AND(OR(AK1438="À RADIOGRAPHIER",AK1438="RÉPARÉ – À RADIOGRAPHIER",AK1438="NX – RT À REFAIRE"),OR('PROGRAMME RT'!$D$5="TOUTES",B1438='PROGRAMME RT'!$D$5)),1,0)</f>
        <v>0</v>
      </c>
      <c r="AN1438" s="78" t="str">
        <f aca="false">IF(AM1438=1,SUM(AM$7:AM1438),"")</f>
        <v/>
      </c>
      <c r="AO1438" s="78" t="n">
        <f aca="false">IF(AND(OR(AK1438="À RÉPARER",AK1438="COUPE – À RESOUDER",AK1438="VT REJETÉ – À REPRENDRE"),OR(RÉPARATIONS!$D$5="TOUTES",B1438=RÉPARATIONS!$D$5)),1,0)</f>
        <v>0</v>
      </c>
      <c r="AP1438" s="78" t="str">
        <f aca="false">IF(AO1438=1,SUM(AO$7:AO1438),"")</f>
        <v/>
      </c>
    </row>
    <row r="1439" customFormat="false" ht="15" hidden="false" customHeight="false" outlineLevel="0" collapsed="false">
      <c r="A1439" s="78" t="str">
        <f aca="false">IF(E1439="","",ROW()-6)</f>
        <v/>
      </c>
      <c r="B1439" s="79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0"/>
      <c r="P1439" s="81"/>
      <c r="Q1439" s="81"/>
      <c r="R1439" s="80"/>
      <c r="S1439" s="80"/>
      <c r="T1439" s="81"/>
      <c r="U1439" s="80"/>
      <c r="V1439" s="80"/>
      <c r="W1439" s="80"/>
      <c r="X1439" s="80"/>
      <c r="Y1439" s="81"/>
      <c r="Z1439" s="80"/>
      <c r="AA1439" s="80"/>
      <c r="AB1439" s="80"/>
      <c r="AC1439" s="80"/>
      <c r="AD1439" s="81"/>
      <c r="AE1439" s="80"/>
      <c r="AF1439" s="80"/>
      <c r="AG1439" s="81"/>
      <c r="AH1439" s="79"/>
      <c r="AI1439" s="78" t="str">
        <f aca="false">IF(E1439="","",(V1439&lt;&gt;"")+(AA1439&lt;&gt;"")+(AF1439&lt;&gt;""))</f>
        <v/>
      </c>
      <c r="AJ1439" s="82" t="str">
        <f aca="false">IF(AF1439&lt;&gt;"",AF1439,IF(AA1439&lt;&gt;"",AA1439,IF(V1439&lt;&gt;"",V1439,"")))</f>
        <v/>
      </c>
      <c r="AK1439" s="83" t="str">
        <f aca="false">IF(E1439="","",IF(P1439="","À SOUDER",IF(S1439="","VT EN ATTENTE",IF(S1439="R","VT REJETÉ – À REPRENDRE",IF(AJ1439="","À RADIOGRAPHIER",IF(AJ1439="A","ACCEPTÉ",IF(AJ1439="NX","NX – RT À REFAIRE",IF(IF(AI1439=1,X1439,IF(AI1439=2,AC1439,""))="A","RÉPARÉ – À RADIOGRAPHIER",IF(IF(AI1439=1,X1439,IF(AI1439=2,AC1439,""))="R","VT REJETÉ – À REPRENDRE",IF(AJ1439="CO","COUPE – À RESOUDER","À RÉPARER"))))))))))</f>
        <v/>
      </c>
      <c r="AL1439" s="82" t="str">
        <f aca="false">IF(AND(ISNUMBER(P1439),OR(AK1439="À RADIOGRAPHIER",AK1439="RÉPARÉ – À RADIOGRAPHIER",AK1439="NX – RT À REFAIRE",AK1439="À RÉPARER",AK1439="COUPE – À RESOUDER",AK1439="VT REJETÉ – À REPRENDRE")),MAX(0,'PROGRAMME RT'!$C$4-P1439),"")</f>
        <v/>
      </c>
      <c r="AM1439" s="78" t="n">
        <f aca="false">IF(AND(OR(AK1439="À RADIOGRAPHIER",AK1439="RÉPARÉ – À RADIOGRAPHIER",AK1439="NX – RT À REFAIRE"),OR('PROGRAMME RT'!$D$5="TOUTES",B1439='PROGRAMME RT'!$D$5)),1,0)</f>
        <v>0</v>
      </c>
      <c r="AN1439" s="78" t="str">
        <f aca="false">IF(AM1439=1,SUM(AM$7:AM1439),"")</f>
        <v/>
      </c>
      <c r="AO1439" s="78" t="n">
        <f aca="false">IF(AND(OR(AK1439="À RÉPARER",AK1439="COUPE – À RESOUDER",AK1439="VT REJETÉ – À REPRENDRE"),OR(RÉPARATIONS!$D$5="TOUTES",B1439=RÉPARATIONS!$D$5)),1,0)</f>
        <v>0</v>
      </c>
      <c r="AP1439" s="78" t="str">
        <f aca="false">IF(AO1439=1,SUM(AO$7:AO1439),"")</f>
        <v/>
      </c>
    </row>
    <row r="1440" customFormat="false" ht="15" hidden="false" customHeight="false" outlineLevel="0" collapsed="false">
      <c r="A1440" s="78" t="str">
        <f aca="false">IF(E1440="","",ROW()-6)</f>
        <v/>
      </c>
      <c r="B1440" s="79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0"/>
      <c r="P1440" s="81"/>
      <c r="Q1440" s="81"/>
      <c r="R1440" s="80"/>
      <c r="S1440" s="80"/>
      <c r="T1440" s="81"/>
      <c r="U1440" s="80"/>
      <c r="V1440" s="80"/>
      <c r="W1440" s="80"/>
      <c r="X1440" s="80"/>
      <c r="Y1440" s="81"/>
      <c r="Z1440" s="80"/>
      <c r="AA1440" s="80"/>
      <c r="AB1440" s="80"/>
      <c r="AC1440" s="80"/>
      <c r="AD1440" s="81"/>
      <c r="AE1440" s="80"/>
      <c r="AF1440" s="80"/>
      <c r="AG1440" s="81"/>
      <c r="AH1440" s="79"/>
      <c r="AI1440" s="78" t="str">
        <f aca="false">IF(E1440="","",(V1440&lt;&gt;"")+(AA1440&lt;&gt;"")+(AF1440&lt;&gt;""))</f>
        <v/>
      </c>
      <c r="AJ1440" s="82" t="str">
        <f aca="false">IF(AF1440&lt;&gt;"",AF1440,IF(AA1440&lt;&gt;"",AA1440,IF(V1440&lt;&gt;"",V1440,"")))</f>
        <v/>
      </c>
      <c r="AK1440" s="83" t="str">
        <f aca="false">IF(E1440="","",IF(P1440="","À SOUDER",IF(S1440="","VT EN ATTENTE",IF(S1440="R","VT REJETÉ – À REPRENDRE",IF(AJ1440="","À RADIOGRAPHIER",IF(AJ1440="A","ACCEPTÉ",IF(AJ1440="NX","NX – RT À REFAIRE",IF(IF(AI1440=1,X1440,IF(AI1440=2,AC1440,""))="A","RÉPARÉ – À RADIOGRAPHIER",IF(IF(AI1440=1,X1440,IF(AI1440=2,AC1440,""))="R","VT REJETÉ – À REPRENDRE",IF(AJ1440="CO","COUPE – À RESOUDER","À RÉPARER"))))))))))</f>
        <v/>
      </c>
      <c r="AL1440" s="82" t="str">
        <f aca="false">IF(AND(ISNUMBER(P1440),OR(AK1440="À RADIOGRAPHIER",AK1440="RÉPARÉ – À RADIOGRAPHIER",AK1440="NX – RT À REFAIRE",AK1440="À RÉPARER",AK1440="COUPE – À RESOUDER",AK1440="VT REJETÉ – À REPRENDRE")),MAX(0,'PROGRAMME RT'!$C$4-P1440),"")</f>
        <v/>
      </c>
      <c r="AM1440" s="78" t="n">
        <f aca="false">IF(AND(OR(AK1440="À RADIOGRAPHIER",AK1440="RÉPARÉ – À RADIOGRAPHIER",AK1440="NX – RT À REFAIRE"),OR('PROGRAMME RT'!$D$5="TOUTES",B1440='PROGRAMME RT'!$D$5)),1,0)</f>
        <v>0</v>
      </c>
      <c r="AN1440" s="78" t="str">
        <f aca="false">IF(AM1440=1,SUM(AM$7:AM1440),"")</f>
        <v/>
      </c>
      <c r="AO1440" s="78" t="n">
        <f aca="false">IF(AND(OR(AK1440="À RÉPARER",AK1440="COUPE – À RESOUDER",AK1440="VT REJETÉ – À REPRENDRE"),OR(RÉPARATIONS!$D$5="TOUTES",B1440=RÉPARATIONS!$D$5)),1,0)</f>
        <v>0</v>
      </c>
      <c r="AP1440" s="78" t="str">
        <f aca="false">IF(AO1440=1,SUM(AO$7:AO1440),"")</f>
        <v/>
      </c>
    </row>
    <row r="1441" customFormat="false" ht="15" hidden="false" customHeight="false" outlineLevel="0" collapsed="false">
      <c r="A1441" s="78" t="str">
        <f aca="false">IF(E1441="","",ROW()-6)</f>
        <v/>
      </c>
      <c r="B1441" s="79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0"/>
      <c r="P1441" s="81"/>
      <c r="Q1441" s="81"/>
      <c r="R1441" s="80"/>
      <c r="S1441" s="80"/>
      <c r="T1441" s="81"/>
      <c r="U1441" s="80"/>
      <c r="V1441" s="80"/>
      <c r="W1441" s="80"/>
      <c r="X1441" s="80"/>
      <c r="Y1441" s="81"/>
      <c r="Z1441" s="80"/>
      <c r="AA1441" s="80"/>
      <c r="AB1441" s="80"/>
      <c r="AC1441" s="80"/>
      <c r="AD1441" s="81"/>
      <c r="AE1441" s="80"/>
      <c r="AF1441" s="80"/>
      <c r="AG1441" s="81"/>
      <c r="AH1441" s="79"/>
      <c r="AI1441" s="78" t="str">
        <f aca="false">IF(E1441="","",(V1441&lt;&gt;"")+(AA1441&lt;&gt;"")+(AF1441&lt;&gt;""))</f>
        <v/>
      </c>
      <c r="AJ1441" s="82" t="str">
        <f aca="false">IF(AF1441&lt;&gt;"",AF1441,IF(AA1441&lt;&gt;"",AA1441,IF(V1441&lt;&gt;"",V1441,"")))</f>
        <v/>
      </c>
      <c r="AK1441" s="83" t="str">
        <f aca="false">IF(E1441="","",IF(P1441="","À SOUDER",IF(S1441="","VT EN ATTENTE",IF(S1441="R","VT REJETÉ – À REPRENDRE",IF(AJ1441="","À RADIOGRAPHIER",IF(AJ1441="A","ACCEPTÉ",IF(AJ1441="NX","NX – RT À REFAIRE",IF(IF(AI1441=1,X1441,IF(AI1441=2,AC1441,""))="A","RÉPARÉ – À RADIOGRAPHIER",IF(IF(AI1441=1,X1441,IF(AI1441=2,AC1441,""))="R","VT REJETÉ – À REPRENDRE",IF(AJ1441="CO","COUPE – À RESOUDER","À RÉPARER"))))))))))</f>
        <v/>
      </c>
      <c r="AL1441" s="82" t="str">
        <f aca="false">IF(AND(ISNUMBER(P1441),OR(AK1441="À RADIOGRAPHIER",AK1441="RÉPARÉ – À RADIOGRAPHIER",AK1441="NX – RT À REFAIRE",AK1441="À RÉPARER",AK1441="COUPE – À RESOUDER",AK1441="VT REJETÉ – À REPRENDRE")),MAX(0,'PROGRAMME RT'!$C$4-P1441),"")</f>
        <v/>
      </c>
      <c r="AM1441" s="78" t="n">
        <f aca="false">IF(AND(OR(AK1441="À RADIOGRAPHIER",AK1441="RÉPARÉ – À RADIOGRAPHIER",AK1441="NX – RT À REFAIRE"),OR('PROGRAMME RT'!$D$5="TOUTES",B1441='PROGRAMME RT'!$D$5)),1,0)</f>
        <v>0</v>
      </c>
      <c r="AN1441" s="78" t="str">
        <f aca="false">IF(AM1441=1,SUM(AM$7:AM1441),"")</f>
        <v/>
      </c>
      <c r="AO1441" s="78" t="n">
        <f aca="false">IF(AND(OR(AK1441="À RÉPARER",AK1441="COUPE – À RESOUDER",AK1441="VT REJETÉ – À REPRENDRE"),OR(RÉPARATIONS!$D$5="TOUTES",B1441=RÉPARATIONS!$D$5)),1,0)</f>
        <v>0</v>
      </c>
      <c r="AP1441" s="78" t="str">
        <f aca="false">IF(AO1441=1,SUM(AO$7:AO1441),"")</f>
        <v/>
      </c>
    </row>
    <row r="1442" customFormat="false" ht="15" hidden="false" customHeight="false" outlineLevel="0" collapsed="false">
      <c r="A1442" s="78" t="str">
        <f aca="false">IF(E1442="","",ROW()-6)</f>
        <v/>
      </c>
      <c r="B1442" s="79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0"/>
      <c r="P1442" s="81"/>
      <c r="Q1442" s="81"/>
      <c r="R1442" s="80"/>
      <c r="S1442" s="80"/>
      <c r="T1442" s="81"/>
      <c r="U1442" s="80"/>
      <c r="V1442" s="80"/>
      <c r="W1442" s="80"/>
      <c r="X1442" s="80"/>
      <c r="Y1442" s="81"/>
      <c r="Z1442" s="80"/>
      <c r="AA1442" s="80"/>
      <c r="AB1442" s="80"/>
      <c r="AC1442" s="80"/>
      <c r="AD1442" s="81"/>
      <c r="AE1442" s="80"/>
      <c r="AF1442" s="80"/>
      <c r="AG1442" s="81"/>
      <c r="AH1442" s="79"/>
      <c r="AI1442" s="78" t="str">
        <f aca="false">IF(E1442="","",(V1442&lt;&gt;"")+(AA1442&lt;&gt;"")+(AF1442&lt;&gt;""))</f>
        <v/>
      </c>
      <c r="AJ1442" s="82" t="str">
        <f aca="false">IF(AF1442&lt;&gt;"",AF1442,IF(AA1442&lt;&gt;"",AA1442,IF(V1442&lt;&gt;"",V1442,"")))</f>
        <v/>
      </c>
      <c r="AK1442" s="83" t="str">
        <f aca="false">IF(E1442="","",IF(P1442="","À SOUDER",IF(S1442="","VT EN ATTENTE",IF(S1442="R","VT REJETÉ – À REPRENDRE",IF(AJ1442="","À RADIOGRAPHIER",IF(AJ1442="A","ACCEPTÉ",IF(AJ1442="NX","NX – RT À REFAIRE",IF(IF(AI1442=1,X1442,IF(AI1442=2,AC1442,""))="A","RÉPARÉ – À RADIOGRAPHIER",IF(IF(AI1442=1,X1442,IF(AI1442=2,AC1442,""))="R","VT REJETÉ – À REPRENDRE",IF(AJ1442="CO","COUPE – À RESOUDER","À RÉPARER"))))))))))</f>
        <v/>
      </c>
      <c r="AL1442" s="82" t="str">
        <f aca="false">IF(AND(ISNUMBER(P1442),OR(AK1442="À RADIOGRAPHIER",AK1442="RÉPARÉ – À RADIOGRAPHIER",AK1442="NX – RT À REFAIRE",AK1442="À RÉPARER",AK1442="COUPE – À RESOUDER",AK1442="VT REJETÉ – À REPRENDRE")),MAX(0,'PROGRAMME RT'!$C$4-P1442),"")</f>
        <v/>
      </c>
      <c r="AM1442" s="78" t="n">
        <f aca="false">IF(AND(OR(AK1442="À RADIOGRAPHIER",AK1442="RÉPARÉ – À RADIOGRAPHIER",AK1442="NX – RT À REFAIRE"),OR('PROGRAMME RT'!$D$5="TOUTES",B1442='PROGRAMME RT'!$D$5)),1,0)</f>
        <v>0</v>
      </c>
      <c r="AN1442" s="78" t="str">
        <f aca="false">IF(AM1442=1,SUM(AM$7:AM1442),"")</f>
        <v/>
      </c>
      <c r="AO1442" s="78" t="n">
        <f aca="false">IF(AND(OR(AK1442="À RÉPARER",AK1442="COUPE – À RESOUDER",AK1442="VT REJETÉ – À REPRENDRE"),OR(RÉPARATIONS!$D$5="TOUTES",B1442=RÉPARATIONS!$D$5)),1,0)</f>
        <v>0</v>
      </c>
      <c r="AP1442" s="78" t="str">
        <f aca="false">IF(AO1442=1,SUM(AO$7:AO1442),"")</f>
        <v/>
      </c>
    </row>
    <row r="1443" customFormat="false" ht="15" hidden="false" customHeight="false" outlineLevel="0" collapsed="false">
      <c r="A1443" s="78" t="str">
        <f aca="false">IF(E1443="","",ROW()-6)</f>
        <v/>
      </c>
      <c r="B1443" s="79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0"/>
      <c r="P1443" s="81"/>
      <c r="Q1443" s="81"/>
      <c r="R1443" s="80"/>
      <c r="S1443" s="80"/>
      <c r="T1443" s="81"/>
      <c r="U1443" s="80"/>
      <c r="V1443" s="80"/>
      <c r="W1443" s="80"/>
      <c r="X1443" s="80"/>
      <c r="Y1443" s="81"/>
      <c r="Z1443" s="80"/>
      <c r="AA1443" s="80"/>
      <c r="AB1443" s="80"/>
      <c r="AC1443" s="80"/>
      <c r="AD1443" s="81"/>
      <c r="AE1443" s="80"/>
      <c r="AF1443" s="80"/>
      <c r="AG1443" s="81"/>
      <c r="AH1443" s="79"/>
      <c r="AI1443" s="78" t="str">
        <f aca="false">IF(E1443="","",(V1443&lt;&gt;"")+(AA1443&lt;&gt;"")+(AF1443&lt;&gt;""))</f>
        <v/>
      </c>
      <c r="AJ1443" s="82" t="str">
        <f aca="false">IF(AF1443&lt;&gt;"",AF1443,IF(AA1443&lt;&gt;"",AA1443,IF(V1443&lt;&gt;"",V1443,"")))</f>
        <v/>
      </c>
      <c r="AK1443" s="83" t="str">
        <f aca="false">IF(E1443="","",IF(P1443="","À SOUDER",IF(S1443="","VT EN ATTENTE",IF(S1443="R","VT REJETÉ – À REPRENDRE",IF(AJ1443="","À RADIOGRAPHIER",IF(AJ1443="A","ACCEPTÉ",IF(AJ1443="NX","NX – RT À REFAIRE",IF(IF(AI1443=1,X1443,IF(AI1443=2,AC1443,""))="A","RÉPARÉ – À RADIOGRAPHIER",IF(IF(AI1443=1,X1443,IF(AI1443=2,AC1443,""))="R","VT REJETÉ – À REPRENDRE",IF(AJ1443="CO","COUPE – À RESOUDER","À RÉPARER"))))))))))</f>
        <v/>
      </c>
      <c r="AL1443" s="82" t="str">
        <f aca="false">IF(AND(ISNUMBER(P1443),OR(AK1443="À RADIOGRAPHIER",AK1443="RÉPARÉ – À RADIOGRAPHIER",AK1443="NX – RT À REFAIRE",AK1443="À RÉPARER",AK1443="COUPE – À RESOUDER",AK1443="VT REJETÉ – À REPRENDRE")),MAX(0,'PROGRAMME RT'!$C$4-P1443),"")</f>
        <v/>
      </c>
      <c r="AM1443" s="78" t="n">
        <f aca="false">IF(AND(OR(AK1443="À RADIOGRAPHIER",AK1443="RÉPARÉ – À RADIOGRAPHIER",AK1443="NX – RT À REFAIRE"),OR('PROGRAMME RT'!$D$5="TOUTES",B1443='PROGRAMME RT'!$D$5)),1,0)</f>
        <v>0</v>
      </c>
      <c r="AN1443" s="78" t="str">
        <f aca="false">IF(AM1443=1,SUM(AM$7:AM1443),"")</f>
        <v/>
      </c>
      <c r="AO1443" s="78" t="n">
        <f aca="false">IF(AND(OR(AK1443="À RÉPARER",AK1443="COUPE – À RESOUDER",AK1443="VT REJETÉ – À REPRENDRE"),OR(RÉPARATIONS!$D$5="TOUTES",B1443=RÉPARATIONS!$D$5)),1,0)</f>
        <v>0</v>
      </c>
      <c r="AP1443" s="78" t="str">
        <f aca="false">IF(AO1443=1,SUM(AO$7:AO1443),"")</f>
        <v/>
      </c>
    </row>
    <row r="1444" customFormat="false" ht="15" hidden="false" customHeight="false" outlineLevel="0" collapsed="false">
      <c r="A1444" s="78" t="str">
        <f aca="false">IF(E1444="","",ROW()-6)</f>
        <v/>
      </c>
      <c r="B1444" s="79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0"/>
      <c r="P1444" s="81"/>
      <c r="Q1444" s="81"/>
      <c r="R1444" s="80"/>
      <c r="S1444" s="80"/>
      <c r="T1444" s="81"/>
      <c r="U1444" s="80"/>
      <c r="V1444" s="80"/>
      <c r="W1444" s="80"/>
      <c r="X1444" s="80"/>
      <c r="Y1444" s="81"/>
      <c r="Z1444" s="80"/>
      <c r="AA1444" s="80"/>
      <c r="AB1444" s="80"/>
      <c r="AC1444" s="80"/>
      <c r="AD1444" s="81"/>
      <c r="AE1444" s="80"/>
      <c r="AF1444" s="80"/>
      <c r="AG1444" s="81"/>
      <c r="AH1444" s="79"/>
      <c r="AI1444" s="78" t="str">
        <f aca="false">IF(E1444="","",(V1444&lt;&gt;"")+(AA1444&lt;&gt;"")+(AF1444&lt;&gt;""))</f>
        <v/>
      </c>
      <c r="AJ1444" s="82" t="str">
        <f aca="false">IF(AF1444&lt;&gt;"",AF1444,IF(AA1444&lt;&gt;"",AA1444,IF(V1444&lt;&gt;"",V1444,"")))</f>
        <v/>
      </c>
      <c r="AK1444" s="83" t="str">
        <f aca="false">IF(E1444="","",IF(P1444="","À SOUDER",IF(S1444="","VT EN ATTENTE",IF(S1444="R","VT REJETÉ – À REPRENDRE",IF(AJ1444="","À RADIOGRAPHIER",IF(AJ1444="A","ACCEPTÉ",IF(AJ1444="NX","NX – RT À REFAIRE",IF(IF(AI1444=1,X1444,IF(AI1444=2,AC1444,""))="A","RÉPARÉ – À RADIOGRAPHIER",IF(IF(AI1444=1,X1444,IF(AI1444=2,AC1444,""))="R","VT REJETÉ – À REPRENDRE",IF(AJ1444="CO","COUPE – À RESOUDER","À RÉPARER"))))))))))</f>
        <v/>
      </c>
      <c r="AL1444" s="82" t="str">
        <f aca="false">IF(AND(ISNUMBER(P1444),OR(AK1444="À RADIOGRAPHIER",AK1444="RÉPARÉ – À RADIOGRAPHIER",AK1444="NX – RT À REFAIRE",AK1444="À RÉPARER",AK1444="COUPE – À RESOUDER",AK1444="VT REJETÉ – À REPRENDRE")),MAX(0,'PROGRAMME RT'!$C$4-P1444),"")</f>
        <v/>
      </c>
      <c r="AM1444" s="78" t="n">
        <f aca="false">IF(AND(OR(AK1444="À RADIOGRAPHIER",AK1444="RÉPARÉ – À RADIOGRAPHIER",AK1444="NX – RT À REFAIRE"),OR('PROGRAMME RT'!$D$5="TOUTES",B1444='PROGRAMME RT'!$D$5)),1,0)</f>
        <v>0</v>
      </c>
      <c r="AN1444" s="78" t="str">
        <f aca="false">IF(AM1444=1,SUM(AM$7:AM1444),"")</f>
        <v/>
      </c>
      <c r="AO1444" s="78" t="n">
        <f aca="false">IF(AND(OR(AK1444="À RÉPARER",AK1444="COUPE – À RESOUDER",AK1444="VT REJETÉ – À REPRENDRE"),OR(RÉPARATIONS!$D$5="TOUTES",B1444=RÉPARATIONS!$D$5)),1,0)</f>
        <v>0</v>
      </c>
      <c r="AP1444" s="78" t="str">
        <f aca="false">IF(AO1444=1,SUM(AO$7:AO1444),"")</f>
        <v/>
      </c>
    </row>
    <row r="1445" customFormat="false" ht="15" hidden="false" customHeight="false" outlineLevel="0" collapsed="false">
      <c r="A1445" s="78" t="str">
        <f aca="false">IF(E1445="","",ROW()-6)</f>
        <v/>
      </c>
      <c r="B1445" s="79"/>
      <c r="C1445" s="80"/>
      <c r="D1445" s="80"/>
      <c r="E1445" s="80"/>
      <c r="F1445" s="80"/>
      <c r="G1445" s="80"/>
      <c r="H1445" s="80"/>
      <c r="I1445" s="80"/>
      <c r="J1445" s="80"/>
      <c r="K1445" s="80"/>
      <c r="L1445" s="80"/>
      <c r="M1445" s="80"/>
      <c r="N1445" s="80"/>
      <c r="O1445" s="80"/>
      <c r="P1445" s="81"/>
      <c r="Q1445" s="81"/>
      <c r="R1445" s="80"/>
      <c r="S1445" s="80"/>
      <c r="T1445" s="81"/>
      <c r="U1445" s="80"/>
      <c r="V1445" s="80"/>
      <c r="W1445" s="80"/>
      <c r="X1445" s="80"/>
      <c r="Y1445" s="81"/>
      <c r="Z1445" s="80"/>
      <c r="AA1445" s="80"/>
      <c r="AB1445" s="80"/>
      <c r="AC1445" s="80"/>
      <c r="AD1445" s="81"/>
      <c r="AE1445" s="80"/>
      <c r="AF1445" s="80"/>
      <c r="AG1445" s="81"/>
      <c r="AH1445" s="79"/>
      <c r="AI1445" s="78" t="str">
        <f aca="false">IF(E1445="","",(V1445&lt;&gt;"")+(AA1445&lt;&gt;"")+(AF1445&lt;&gt;""))</f>
        <v/>
      </c>
      <c r="AJ1445" s="82" t="str">
        <f aca="false">IF(AF1445&lt;&gt;"",AF1445,IF(AA1445&lt;&gt;"",AA1445,IF(V1445&lt;&gt;"",V1445,"")))</f>
        <v/>
      </c>
      <c r="AK1445" s="83" t="str">
        <f aca="false">IF(E1445="","",IF(P1445="","À SOUDER",IF(S1445="","VT EN ATTENTE",IF(S1445="R","VT REJETÉ – À REPRENDRE",IF(AJ1445="","À RADIOGRAPHIER",IF(AJ1445="A","ACCEPTÉ",IF(AJ1445="NX","NX – RT À REFAIRE",IF(IF(AI1445=1,X1445,IF(AI1445=2,AC1445,""))="A","RÉPARÉ – À RADIOGRAPHIER",IF(IF(AI1445=1,X1445,IF(AI1445=2,AC1445,""))="R","VT REJETÉ – À REPRENDRE",IF(AJ1445="CO","COUPE – À RESOUDER","À RÉPARER"))))))))))</f>
        <v/>
      </c>
      <c r="AL1445" s="82" t="str">
        <f aca="false">IF(AND(ISNUMBER(P1445),OR(AK1445="À RADIOGRAPHIER",AK1445="RÉPARÉ – À RADIOGRAPHIER",AK1445="NX – RT À REFAIRE",AK1445="À RÉPARER",AK1445="COUPE – À RESOUDER",AK1445="VT REJETÉ – À REPRENDRE")),MAX(0,'PROGRAMME RT'!$C$4-P1445),"")</f>
        <v/>
      </c>
      <c r="AM1445" s="78" t="n">
        <f aca="false">IF(AND(OR(AK1445="À RADIOGRAPHIER",AK1445="RÉPARÉ – À RADIOGRAPHIER",AK1445="NX – RT À REFAIRE"),OR('PROGRAMME RT'!$D$5="TOUTES",B1445='PROGRAMME RT'!$D$5)),1,0)</f>
        <v>0</v>
      </c>
      <c r="AN1445" s="78" t="str">
        <f aca="false">IF(AM1445=1,SUM(AM$7:AM1445),"")</f>
        <v/>
      </c>
      <c r="AO1445" s="78" t="n">
        <f aca="false">IF(AND(OR(AK1445="À RÉPARER",AK1445="COUPE – À RESOUDER",AK1445="VT REJETÉ – À REPRENDRE"),OR(RÉPARATIONS!$D$5="TOUTES",B1445=RÉPARATIONS!$D$5)),1,0)</f>
        <v>0</v>
      </c>
      <c r="AP1445" s="78" t="str">
        <f aca="false">IF(AO1445=1,SUM(AO$7:AO1445),"")</f>
        <v/>
      </c>
    </row>
    <row r="1446" customFormat="false" ht="15" hidden="false" customHeight="false" outlineLevel="0" collapsed="false">
      <c r="A1446" s="78" t="str">
        <f aca="false">IF(E1446="","",ROW()-6)</f>
        <v/>
      </c>
      <c r="B1446" s="79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0"/>
      <c r="P1446" s="81"/>
      <c r="Q1446" s="81"/>
      <c r="R1446" s="80"/>
      <c r="S1446" s="80"/>
      <c r="T1446" s="81"/>
      <c r="U1446" s="80"/>
      <c r="V1446" s="80"/>
      <c r="W1446" s="80"/>
      <c r="X1446" s="80"/>
      <c r="Y1446" s="81"/>
      <c r="Z1446" s="80"/>
      <c r="AA1446" s="80"/>
      <c r="AB1446" s="80"/>
      <c r="AC1446" s="80"/>
      <c r="AD1446" s="81"/>
      <c r="AE1446" s="80"/>
      <c r="AF1446" s="80"/>
      <c r="AG1446" s="81"/>
      <c r="AH1446" s="79"/>
      <c r="AI1446" s="78" t="str">
        <f aca="false">IF(E1446="","",(V1446&lt;&gt;"")+(AA1446&lt;&gt;"")+(AF1446&lt;&gt;""))</f>
        <v/>
      </c>
      <c r="AJ1446" s="82" t="str">
        <f aca="false">IF(AF1446&lt;&gt;"",AF1446,IF(AA1446&lt;&gt;"",AA1446,IF(V1446&lt;&gt;"",V1446,"")))</f>
        <v/>
      </c>
      <c r="AK1446" s="83" t="str">
        <f aca="false">IF(E1446="","",IF(P1446="","À SOUDER",IF(S1446="","VT EN ATTENTE",IF(S1446="R","VT REJETÉ – À REPRENDRE",IF(AJ1446="","À RADIOGRAPHIER",IF(AJ1446="A","ACCEPTÉ",IF(AJ1446="NX","NX – RT À REFAIRE",IF(IF(AI1446=1,X1446,IF(AI1446=2,AC1446,""))="A","RÉPARÉ – À RADIOGRAPHIER",IF(IF(AI1446=1,X1446,IF(AI1446=2,AC1446,""))="R","VT REJETÉ – À REPRENDRE",IF(AJ1446="CO","COUPE – À RESOUDER","À RÉPARER"))))))))))</f>
        <v/>
      </c>
      <c r="AL1446" s="82" t="str">
        <f aca="false">IF(AND(ISNUMBER(P1446),OR(AK1446="À RADIOGRAPHIER",AK1446="RÉPARÉ – À RADIOGRAPHIER",AK1446="NX – RT À REFAIRE",AK1446="À RÉPARER",AK1446="COUPE – À RESOUDER",AK1446="VT REJETÉ – À REPRENDRE")),MAX(0,'PROGRAMME RT'!$C$4-P1446),"")</f>
        <v/>
      </c>
      <c r="AM1446" s="78" t="n">
        <f aca="false">IF(AND(OR(AK1446="À RADIOGRAPHIER",AK1446="RÉPARÉ – À RADIOGRAPHIER",AK1446="NX – RT À REFAIRE"),OR('PROGRAMME RT'!$D$5="TOUTES",B1446='PROGRAMME RT'!$D$5)),1,0)</f>
        <v>0</v>
      </c>
      <c r="AN1446" s="78" t="str">
        <f aca="false">IF(AM1446=1,SUM(AM$7:AM1446),"")</f>
        <v/>
      </c>
      <c r="AO1446" s="78" t="n">
        <f aca="false">IF(AND(OR(AK1446="À RÉPARER",AK1446="COUPE – À RESOUDER",AK1446="VT REJETÉ – À REPRENDRE"),OR(RÉPARATIONS!$D$5="TOUTES",B1446=RÉPARATIONS!$D$5)),1,0)</f>
        <v>0</v>
      </c>
      <c r="AP1446" s="78" t="str">
        <f aca="false">IF(AO1446=1,SUM(AO$7:AO1446),"")</f>
        <v/>
      </c>
    </row>
    <row r="1447" customFormat="false" ht="15" hidden="false" customHeight="false" outlineLevel="0" collapsed="false">
      <c r="A1447" s="78" t="str">
        <f aca="false">IF(E1447="","",ROW()-6)</f>
        <v/>
      </c>
      <c r="B1447" s="79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0"/>
      <c r="P1447" s="81"/>
      <c r="Q1447" s="81"/>
      <c r="R1447" s="80"/>
      <c r="S1447" s="80"/>
      <c r="T1447" s="81"/>
      <c r="U1447" s="80"/>
      <c r="V1447" s="80"/>
      <c r="W1447" s="80"/>
      <c r="X1447" s="80"/>
      <c r="Y1447" s="81"/>
      <c r="Z1447" s="80"/>
      <c r="AA1447" s="80"/>
      <c r="AB1447" s="80"/>
      <c r="AC1447" s="80"/>
      <c r="AD1447" s="81"/>
      <c r="AE1447" s="80"/>
      <c r="AF1447" s="80"/>
      <c r="AG1447" s="81"/>
      <c r="AH1447" s="79"/>
      <c r="AI1447" s="78" t="str">
        <f aca="false">IF(E1447="","",(V1447&lt;&gt;"")+(AA1447&lt;&gt;"")+(AF1447&lt;&gt;""))</f>
        <v/>
      </c>
      <c r="AJ1447" s="82" t="str">
        <f aca="false">IF(AF1447&lt;&gt;"",AF1447,IF(AA1447&lt;&gt;"",AA1447,IF(V1447&lt;&gt;"",V1447,"")))</f>
        <v/>
      </c>
      <c r="AK1447" s="83" t="str">
        <f aca="false">IF(E1447="","",IF(P1447="","À SOUDER",IF(S1447="","VT EN ATTENTE",IF(S1447="R","VT REJETÉ – À REPRENDRE",IF(AJ1447="","À RADIOGRAPHIER",IF(AJ1447="A","ACCEPTÉ",IF(AJ1447="NX","NX – RT À REFAIRE",IF(IF(AI1447=1,X1447,IF(AI1447=2,AC1447,""))="A","RÉPARÉ – À RADIOGRAPHIER",IF(IF(AI1447=1,X1447,IF(AI1447=2,AC1447,""))="R","VT REJETÉ – À REPRENDRE",IF(AJ1447="CO","COUPE – À RESOUDER","À RÉPARER"))))))))))</f>
        <v/>
      </c>
      <c r="AL1447" s="82" t="str">
        <f aca="false">IF(AND(ISNUMBER(P1447),OR(AK1447="À RADIOGRAPHIER",AK1447="RÉPARÉ – À RADIOGRAPHIER",AK1447="NX – RT À REFAIRE",AK1447="À RÉPARER",AK1447="COUPE – À RESOUDER",AK1447="VT REJETÉ – À REPRENDRE")),MAX(0,'PROGRAMME RT'!$C$4-P1447),"")</f>
        <v/>
      </c>
      <c r="AM1447" s="78" t="n">
        <f aca="false">IF(AND(OR(AK1447="À RADIOGRAPHIER",AK1447="RÉPARÉ – À RADIOGRAPHIER",AK1447="NX – RT À REFAIRE"),OR('PROGRAMME RT'!$D$5="TOUTES",B1447='PROGRAMME RT'!$D$5)),1,0)</f>
        <v>0</v>
      </c>
      <c r="AN1447" s="78" t="str">
        <f aca="false">IF(AM1447=1,SUM(AM$7:AM1447),"")</f>
        <v/>
      </c>
      <c r="AO1447" s="78" t="n">
        <f aca="false">IF(AND(OR(AK1447="À RÉPARER",AK1447="COUPE – À RESOUDER",AK1447="VT REJETÉ – À REPRENDRE"),OR(RÉPARATIONS!$D$5="TOUTES",B1447=RÉPARATIONS!$D$5)),1,0)</f>
        <v>0</v>
      </c>
      <c r="AP1447" s="78" t="str">
        <f aca="false">IF(AO1447=1,SUM(AO$7:AO1447),"")</f>
        <v/>
      </c>
    </row>
    <row r="1448" customFormat="false" ht="15" hidden="false" customHeight="false" outlineLevel="0" collapsed="false">
      <c r="A1448" s="78" t="str">
        <f aca="false">IF(E1448="","",ROW()-6)</f>
        <v/>
      </c>
      <c r="B1448" s="79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0"/>
      <c r="P1448" s="81"/>
      <c r="Q1448" s="81"/>
      <c r="R1448" s="80"/>
      <c r="S1448" s="80"/>
      <c r="T1448" s="81"/>
      <c r="U1448" s="80"/>
      <c r="V1448" s="80"/>
      <c r="W1448" s="80"/>
      <c r="X1448" s="80"/>
      <c r="Y1448" s="81"/>
      <c r="Z1448" s="80"/>
      <c r="AA1448" s="80"/>
      <c r="AB1448" s="80"/>
      <c r="AC1448" s="80"/>
      <c r="AD1448" s="81"/>
      <c r="AE1448" s="80"/>
      <c r="AF1448" s="80"/>
      <c r="AG1448" s="81"/>
      <c r="AH1448" s="79"/>
      <c r="AI1448" s="78" t="str">
        <f aca="false">IF(E1448="","",(V1448&lt;&gt;"")+(AA1448&lt;&gt;"")+(AF1448&lt;&gt;""))</f>
        <v/>
      </c>
      <c r="AJ1448" s="82" t="str">
        <f aca="false">IF(AF1448&lt;&gt;"",AF1448,IF(AA1448&lt;&gt;"",AA1448,IF(V1448&lt;&gt;"",V1448,"")))</f>
        <v/>
      </c>
      <c r="AK1448" s="83" t="str">
        <f aca="false">IF(E1448="","",IF(P1448="","À SOUDER",IF(S1448="","VT EN ATTENTE",IF(S1448="R","VT REJETÉ – À REPRENDRE",IF(AJ1448="","À RADIOGRAPHIER",IF(AJ1448="A","ACCEPTÉ",IF(AJ1448="NX","NX – RT À REFAIRE",IF(IF(AI1448=1,X1448,IF(AI1448=2,AC1448,""))="A","RÉPARÉ – À RADIOGRAPHIER",IF(IF(AI1448=1,X1448,IF(AI1448=2,AC1448,""))="R","VT REJETÉ – À REPRENDRE",IF(AJ1448="CO","COUPE – À RESOUDER","À RÉPARER"))))))))))</f>
        <v/>
      </c>
      <c r="AL1448" s="82" t="str">
        <f aca="false">IF(AND(ISNUMBER(P1448),OR(AK1448="À RADIOGRAPHIER",AK1448="RÉPARÉ – À RADIOGRAPHIER",AK1448="NX – RT À REFAIRE",AK1448="À RÉPARER",AK1448="COUPE – À RESOUDER",AK1448="VT REJETÉ – À REPRENDRE")),MAX(0,'PROGRAMME RT'!$C$4-P1448),"")</f>
        <v/>
      </c>
      <c r="AM1448" s="78" t="n">
        <f aca="false">IF(AND(OR(AK1448="À RADIOGRAPHIER",AK1448="RÉPARÉ – À RADIOGRAPHIER",AK1448="NX – RT À REFAIRE"),OR('PROGRAMME RT'!$D$5="TOUTES",B1448='PROGRAMME RT'!$D$5)),1,0)</f>
        <v>0</v>
      </c>
      <c r="AN1448" s="78" t="str">
        <f aca="false">IF(AM1448=1,SUM(AM$7:AM1448),"")</f>
        <v/>
      </c>
      <c r="AO1448" s="78" t="n">
        <f aca="false">IF(AND(OR(AK1448="À RÉPARER",AK1448="COUPE – À RESOUDER",AK1448="VT REJETÉ – À REPRENDRE"),OR(RÉPARATIONS!$D$5="TOUTES",B1448=RÉPARATIONS!$D$5)),1,0)</f>
        <v>0</v>
      </c>
      <c r="AP1448" s="78" t="str">
        <f aca="false">IF(AO1448=1,SUM(AO$7:AO1448),"")</f>
        <v/>
      </c>
    </row>
    <row r="1449" customFormat="false" ht="15" hidden="false" customHeight="false" outlineLevel="0" collapsed="false">
      <c r="A1449" s="78" t="str">
        <f aca="false">IF(E1449="","",ROW()-6)</f>
        <v/>
      </c>
      <c r="B1449" s="79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0"/>
      <c r="P1449" s="81"/>
      <c r="Q1449" s="81"/>
      <c r="R1449" s="80"/>
      <c r="S1449" s="80"/>
      <c r="T1449" s="81"/>
      <c r="U1449" s="80"/>
      <c r="V1449" s="80"/>
      <c r="W1449" s="80"/>
      <c r="X1449" s="80"/>
      <c r="Y1449" s="81"/>
      <c r="Z1449" s="80"/>
      <c r="AA1449" s="80"/>
      <c r="AB1449" s="80"/>
      <c r="AC1449" s="80"/>
      <c r="AD1449" s="81"/>
      <c r="AE1449" s="80"/>
      <c r="AF1449" s="80"/>
      <c r="AG1449" s="81"/>
      <c r="AH1449" s="79"/>
      <c r="AI1449" s="78" t="str">
        <f aca="false">IF(E1449="","",(V1449&lt;&gt;"")+(AA1449&lt;&gt;"")+(AF1449&lt;&gt;""))</f>
        <v/>
      </c>
      <c r="AJ1449" s="82" t="str">
        <f aca="false">IF(AF1449&lt;&gt;"",AF1449,IF(AA1449&lt;&gt;"",AA1449,IF(V1449&lt;&gt;"",V1449,"")))</f>
        <v/>
      </c>
      <c r="AK1449" s="83" t="str">
        <f aca="false">IF(E1449="","",IF(P1449="","À SOUDER",IF(S1449="","VT EN ATTENTE",IF(S1449="R","VT REJETÉ – À REPRENDRE",IF(AJ1449="","À RADIOGRAPHIER",IF(AJ1449="A","ACCEPTÉ",IF(AJ1449="NX","NX – RT À REFAIRE",IF(IF(AI1449=1,X1449,IF(AI1449=2,AC1449,""))="A","RÉPARÉ – À RADIOGRAPHIER",IF(IF(AI1449=1,X1449,IF(AI1449=2,AC1449,""))="R","VT REJETÉ – À REPRENDRE",IF(AJ1449="CO","COUPE – À RESOUDER","À RÉPARER"))))))))))</f>
        <v/>
      </c>
      <c r="AL1449" s="82" t="str">
        <f aca="false">IF(AND(ISNUMBER(P1449),OR(AK1449="À RADIOGRAPHIER",AK1449="RÉPARÉ – À RADIOGRAPHIER",AK1449="NX – RT À REFAIRE",AK1449="À RÉPARER",AK1449="COUPE – À RESOUDER",AK1449="VT REJETÉ – À REPRENDRE")),MAX(0,'PROGRAMME RT'!$C$4-P1449),"")</f>
        <v/>
      </c>
      <c r="AM1449" s="78" t="n">
        <f aca="false">IF(AND(OR(AK1449="À RADIOGRAPHIER",AK1449="RÉPARÉ – À RADIOGRAPHIER",AK1449="NX – RT À REFAIRE"),OR('PROGRAMME RT'!$D$5="TOUTES",B1449='PROGRAMME RT'!$D$5)),1,0)</f>
        <v>0</v>
      </c>
      <c r="AN1449" s="78" t="str">
        <f aca="false">IF(AM1449=1,SUM(AM$7:AM1449),"")</f>
        <v/>
      </c>
      <c r="AO1449" s="78" t="n">
        <f aca="false">IF(AND(OR(AK1449="À RÉPARER",AK1449="COUPE – À RESOUDER",AK1449="VT REJETÉ – À REPRENDRE"),OR(RÉPARATIONS!$D$5="TOUTES",B1449=RÉPARATIONS!$D$5)),1,0)</f>
        <v>0</v>
      </c>
      <c r="AP1449" s="78" t="str">
        <f aca="false">IF(AO1449=1,SUM(AO$7:AO1449),"")</f>
        <v/>
      </c>
    </row>
    <row r="1450" customFormat="false" ht="15" hidden="false" customHeight="false" outlineLevel="0" collapsed="false">
      <c r="A1450" s="78" t="str">
        <f aca="false">IF(E1450="","",ROW()-6)</f>
        <v/>
      </c>
      <c r="B1450" s="79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0"/>
      <c r="P1450" s="81"/>
      <c r="Q1450" s="81"/>
      <c r="R1450" s="80"/>
      <c r="S1450" s="80"/>
      <c r="T1450" s="81"/>
      <c r="U1450" s="80"/>
      <c r="V1450" s="80"/>
      <c r="W1450" s="80"/>
      <c r="X1450" s="80"/>
      <c r="Y1450" s="81"/>
      <c r="Z1450" s="80"/>
      <c r="AA1450" s="80"/>
      <c r="AB1450" s="80"/>
      <c r="AC1450" s="80"/>
      <c r="AD1450" s="81"/>
      <c r="AE1450" s="80"/>
      <c r="AF1450" s="80"/>
      <c r="AG1450" s="81"/>
      <c r="AH1450" s="79"/>
      <c r="AI1450" s="78" t="str">
        <f aca="false">IF(E1450="","",(V1450&lt;&gt;"")+(AA1450&lt;&gt;"")+(AF1450&lt;&gt;""))</f>
        <v/>
      </c>
      <c r="AJ1450" s="82" t="str">
        <f aca="false">IF(AF1450&lt;&gt;"",AF1450,IF(AA1450&lt;&gt;"",AA1450,IF(V1450&lt;&gt;"",V1450,"")))</f>
        <v/>
      </c>
      <c r="AK1450" s="83" t="str">
        <f aca="false">IF(E1450="","",IF(P1450="","À SOUDER",IF(S1450="","VT EN ATTENTE",IF(S1450="R","VT REJETÉ – À REPRENDRE",IF(AJ1450="","À RADIOGRAPHIER",IF(AJ1450="A","ACCEPTÉ",IF(AJ1450="NX","NX – RT À REFAIRE",IF(IF(AI1450=1,X1450,IF(AI1450=2,AC1450,""))="A","RÉPARÉ – À RADIOGRAPHIER",IF(IF(AI1450=1,X1450,IF(AI1450=2,AC1450,""))="R","VT REJETÉ – À REPRENDRE",IF(AJ1450="CO","COUPE – À RESOUDER","À RÉPARER"))))))))))</f>
        <v/>
      </c>
      <c r="AL1450" s="82" t="str">
        <f aca="false">IF(AND(ISNUMBER(P1450),OR(AK1450="À RADIOGRAPHIER",AK1450="RÉPARÉ – À RADIOGRAPHIER",AK1450="NX – RT À REFAIRE",AK1450="À RÉPARER",AK1450="COUPE – À RESOUDER",AK1450="VT REJETÉ – À REPRENDRE")),MAX(0,'PROGRAMME RT'!$C$4-P1450),"")</f>
        <v/>
      </c>
      <c r="AM1450" s="78" t="n">
        <f aca="false">IF(AND(OR(AK1450="À RADIOGRAPHIER",AK1450="RÉPARÉ – À RADIOGRAPHIER",AK1450="NX – RT À REFAIRE"),OR('PROGRAMME RT'!$D$5="TOUTES",B1450='PROGRAMME RT'!$D$5)),1,0)</f>
        <v>0</v>
      </c>
      <c r="AN1450" s="78" t="str">
        <f aca="false">IF(AM1450=1,SUM(AM$7:AM1450),"")</f>
        <v/>
      </c>
      <c r="AO1450" s="78" t="n">
        <f aca="false">IF(AND(OR(AK1450="À RÉPARER",AK1450="COUPE – À RESOUDER",AK1450="VT REJETÉ – À REPRENDRE"),OR(RÉPARATIONS!$D$5="TOUTES",B1450=RÉPARATIONS!$D$5)),1,0)</f>
        <v>0</v>
      </c>
      <c r="AP1450" s="78" t="str">
        <f aca="false">IF(AO1450=1,SUM(AO$7:AO1450),"")</f>
        <v/>
      </c>
    </row>
    <row r="1451" customFormat="false" ht="15" hidden="false" customHeight="false" outlineLevel="0" collapsed="false">
      <c r="A1451" s="78" t="str">
        <f aca="false">IF(E1451="","",ROW()-6)</f>
        <v/>
      </c>
      <c r="B1451" s="79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0"/>
      <c r="P1451" s="81"/>
      <c r="Q1451" s="81"/>
      <c r="R1451" s="80"/>
      <c r="S1451" s="80"/>
      <c r="T1451" s="81"/>
      <c r="U1451" s="80"/>
      <c r="V1451" s="80"/>
      <c r="W1451" s="80"/>
      <c r="X1451" s="80"/>
      <c r="Y1451" s="81"/>
      <c r="Z1451" s="80"/>
      <c r="AA1451" s="80"/>
      <c r="AB1451" s="80"/>
      <c r="AC1451" s="80"/>
      <c r="AD1451" s="81"/>
      <c r="AE1451" s="80"/>
      <c r="AF1451" s="80"/>
      <c r="AG1451" s="81"/>
      <c r="AH1451" s="79"/>
      <c r="AI1451" s="78" t="str">
        <f aca="false">IF(E1451="","",(V1451&lt;&gt;"")+(AA1451&lt;&gt;"")+(AF1451&lt;&gt;""))</f>
        <v/>
      </c>
      <c r="AJ1451" s="82" t="str">
        <f aca="false">IF(AF1451&lt;&gt;"",AF1451,IF(AA1451&lt;&gt;"",AA1451,IF(V1451&lt;&gt;"",V1451,"")))</f>
        <v/>
      </c>
      <c r="AK1451" s="83" t="str">
        <f aca="false">IF(E1451="","",IF(P1451="","À SOUDER",IF(S1451="","VT EN ATTENTE",IF(S1451="R","VT REJETÉ – À REPRENDRE",IF(AJ1451="","À RADIOGRAPHIER",IF(AJ1451="A","ACCEPTÉ",IF(AJ1451="NX","NX – RT À REFAIRE",IF(IF(AI1451=1,X1451,IF(AI1451=2,AC1451,""))="A","RÉPARÉ – À RADIOGRAPHIER",IF(IF(AI1451=1,X1451,IF(AI1451=2,AC1451,""))="R","VT REJETÉ – À REPRENDRE",IF(AJ1451="CO","COUPE – À RESOUDER","À RÉPARER"))))))))))</f>
        <v/>
      </c>
      <c r="AL1451" s="82" t="str">
        <f aca="false">IF(AND(ISNUMBER(P1451),OR(AK1451="À RADIOGRAPHIER",AK1451="RÉPARÉ – À RADIOGRAPHIER",AK1451="NX – RT À REFAIRE",AK1451="À RÉPARER",AK1451="COUPE – À RESOUDER",AK1451="VT REJETÉ – À REPRENDRE")),MAX(0,'PROGRAMME RT'!$C$4-P1451),"")</f>
        <v/>
      </c>
      <c r="AM1451" s="78" t="n">
        <f aca="false">IF(AND(OR(AK1451="À RADIOGRAPHIER",AK1451="RÉPARÉ – À RADIOGRAPHIER",AK1451="NX – RT À REFAIRE"),OR('PROGRAMME RT'!$D$5="TOUTES",B1451='PROGRAMME RT'!$D$5)),1,0)</f>
        <v>0</v>
      </c>
      <c r="AN1451" s="78" t="str">
        <f aca="false">IF(AM1451=1,SUM(AM$7:AM1451),"")</f>
        <v/>
      </c>
      <c r="AO1451" s="78" t="n">
        <f aca="false">IF(AND(OR(AK1451="À RÉPARER",AK1451="COUPE – À RESOUDER",AK1451="VT REJETÉ – À REPRENDRE"),OR(RÉPARATIONS!$D$5="TOUTES",B1451=RÉPARATIONS!$D$5)),1,0)</f>
        <v>0</v>
      </c>
      <c r="AP1451" s="78" t="str">
        <f aca="false">IF(AO1451=1,SUM(AO$7:AO1451),"")</f>
        <v/>
      </c>
    </row>
    <row r="1452" customFormat="false" ht="15" hidden="false" customHeight="false" outlineLevel="0" collapsed="false">
      <c r="A1452" s="78" t="str">
        <f aca="false">IF(E1452="","",ROW()-6)</f>
        <v/>
      </c>
      <c r="B1452" s="79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0"/>
      <c r="P1452" s="81"/>
      <c r="Q1452" s="81"/>
      <c r="R1452" s="80"/>
      <c r="S1452" s="80"/>
      <c r="T1452" s="81"/>
      <c r="U1452" s="80"/>
      <c r="V1452" s="80"/>
      <c r="W1452" s="80"/>
      <c r="X1452" s="80"/>
      <c r="Y1452" s="81"/>
      <c r="Z1452" s="80"/>
      <c r="AA1452" s="80"/>
      <c r="AB1452" s="80"/>
      <c r="AC1452" s="80"/>
      <c r="AD1452" s="81"/>
      <c r="AE1452" s="80"/>
      <c r="AF1452" s="80"/>
      <c r="AG1452" s="81"/>
      <c r="AH1452" s="79"/>
      <c r="AI1452" s="78" t="str">
        <f aca="false">IF(E1452="","",(V1452&lt;&gt;"")+(AA1452&lt;&gt;"")+(AF1452&lt;&gt;""))</f>
        <v/>
      </c>
      <c r="AJ1452" s="82" t="str">
        <f aca="false">IF(AF1452&lt;&gt;"",AF1452,IF(AA1452&lt;&gt;"",AA1452,IF(V1452&lt;&gt;"",V1452,"")))</f>
        <v/>
      </c>
      <c r="AK1452" s="83" t="str">
        <f aca="false">IF(E1452="","",IF(P1452="","À SOUDER",IF(S1452="","VT EN ATTENTE",IF(S1452="R","VT REJETÉ – À REPRENDRE",IF(AJ1452="","À RADIOGRAPHIER",IF(AJ1452="A","ACCEPTÉ",IF(AJ1452="NX","NX – RT À REFAIRE",IF(IF(AI1452=1,X1452,IF(AI1452=2,AC1452,""))="A","RÉPARÉ – À RADIOGRAPHIER",IF(IF(AI1452=1,X1452,IF(AI1452=2,AC1452,""))="R","VT REJETÉ – À REPRENDRE",IF(AJ1452="CO","COUPE – À RESOUDER","À RÉPARER"))))))))))</f>
        <v/>
      </c>
      <c r="AL1452" s="82" t="str">
        <f aca="false">IF(AND(ISNUMBER(P1452),OR(AK1452="À RADIOGRAPHIER",AK1452="RÉPARÉ – À RADIOGRAPHIER",AK1452="NX – RT À REFAIRE",AK1452="À RÉPARER",AK1452="COUPE – À RESOUDER",AK1452="VT REJETÉ – À REPRENDRE")),MAX(0,'PROGRAMME RT'!$C$4-P1452),"")</f>
        <v/>
      </c>
      <c r="AM1452" s="78" t="n">
        <f aca="false">IF(AND(OR(AK1452="À RADIOGRAPHIER",AK1452="RÉPARÉ – À RADIOGRAPHIER",AK1452="NX – RT À REFAIRE"),OR('PROGRAMME RT'!$D$5="TOUTES",B1452='PROGRAMME RT'!$D$5)),1,0)</f>
        <v>0</v>
      </c>
      <c r="AN1452" s="78" t="str">
        <f aca="false">IF(AM1452=1,SUM(AM$7:AM1452),"")</f>
        <v/>
      </c>
      <c r="AO1452" s="78" t="n">
        <f aca="false">IF(AND(OR(AK1452="À RÉPARER",AK1452="COUPE – À RESOUDER",AK1452="VT REJETÉ – À REPRENDRE"),OR(RÉPARATIONS!$D$5="TOUTES",B1452=RÉPARATIONS!$D$5)),1,0)</f>
        <v>0</v>
      </c>
      <c r="AP1452" s="78" t="str">
        <f aca="false">IF(AO1452=1,SUM(AO$7:AO1452),"")</f>
        <v/>
      </c>
    </row>
    <row r="1453" customFormat="false" ht="15" hidden="false" customHeight="false" outlineLevel="0" collapsed="false">
      <c r="A1453" s="78" t="str">
        <f aca="false">IF(E1453="","",ROW()-6)</f>
        <v/>
      </c>
      <c r="B1453" s="79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0"/>
      <c r="P1453" s="81"/>
      <c r="Q1453" s="81"/>
      <c r="R1453" s="80"/>
      <c r="S1453" s="80"/>
      <c r="T1453" s="81"/>
      <c r="U1453" s="80"/>
      <c r="V1453" s="80"/>
      <c r="W1453" s="80"/>
      <c r="X1453" s="80"/>
      <c r="Y1453" s="81"/>
      <c r="Z1453" s="80"/>
      <c r="AA1453" s="80"/>
      <c r="AB1453" s="80"/>
      <c r="AC1453" s="80"/>
      <c r="AD1453" s="81"/>
      <c r="AE1453" s="80"/>
      <c r="AF1453" s="80"/>
      <c r="AG1453" s="81"/>
      <c r="AH1453" s="79"/>
      <c r="AI1453" s="78" t="str">
        <f aca="false">IF(E1453="","",(V1453&lt;&gt;"")+(AA1453&lt;&gt;"")+(AF1453&lt;&gt;""))</f>
        <v/>
      </c>
      <c r="AJ1453" s="82" t="str">
        <f aca="false">IF(AF1453&lt;&gt;"",AF1453,IF(AA1453&lt;&gt;"",AA1453,IF(V1453&lt;&gt;"",V1453,"")))</f>
        <v/>
      </c>
      <c r="AK1453" s="83" t="str">
        <f aca="false">IF(E1453="","",IF(P1453="","À SOUDER",IF(S1453="","VT EN ATTENTE",IF(S1453="R","VT REJETÉ – À REPRENDRE",IF(AJ1453="","À RADIOGRAPHIER",IF(AJ1453="A","ACCEPTÉ",IF(AJ1453="NX","NX – RT À REFAIRE",IF(IF(AI1453=1,X1453,IF(AI1453=2,AC1453,""))="A","RÉPARÉ – À RADIOGRAPHIER",IF(IF(AI1453=1,X1453,IF(AI1453=2,AC1453,""))="R","VT REJETÉ – À REPRENDRE",IF(AJ1453="CO","COUPE – À RESOUDER","À RÉPARER"))))))))))</f>
        <v/>
      </c>
      <c r="AL1453" s="82" t="str">
        <f aca="false">IF(AND(ISNUMBER(P1453),OR(AK1453="À RADIOGRAPHIER",AK1453="RÉPARÉ – À RADIOGRAPHIER",AK1453="NX – RT À REFAIRE",AK1453="À RÉPARER",AK1453="COUPE – À RESOUDER",AK1453="VT REJETÉ – À REPRENDRE")),MAX(0,'PROGRAMME RT'!$C$4-P1453),"")</f>
        <v/>
      </c>
      <c r="AM1453" s="78" t="n">
        <f aca="false">IF(AND(OR(AK1453="À RADIOGRAPHIER",AK1453="RÉPARÉ – À RADIOGRAPHIER",AK1453="NX – RT À REFAIRE"),OR('PROGRAMME RT'!$D$5="TOUTES",B1453='PROGRAMME RT'!$D$5)),1,0)</f>
        <v>0</v>
      </c>
      <c r="AN1453" s="78" t="str">
        <f aca="false">IF(AM1453=1,SUM(AM$7:AM1453),"")</f>
        <v/>
      </c>
      <c r="AO1453" s="78" t="n">
        <f aca="false">IF(AND(OR(AK1453="À RÉPARER",AK1453="COUPE – À RESOUDER",AK1453="VT REJETÉ – À REPRENDRE"),OR(RÉPARATIONS!$D$5="TOUTES",B1453=RÉPARATIONS!$D$5)),1,0)</f>
        <v>0</v>
      </c>
      <c r="AP1453" s="78" t="str">
        <f aca="false">IF(AO1453=1,SUM(AO$7:AO1453),"")</f>
        <v/>
      </c>
    </row>
    <row r="1454" customFormat="false" ht="15" hidden="false" customHeight="false" outlineLevel="0" collapsed="false">
      <c r="A1454" s="78" t="str">
        <f aca="false">IF(E1454="","",ROW()-6)</f>
        <v/>
      </c>
      <c r="B1454" s="79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0"/>
      <c r="P1454" s="81"/>
      <c r="Q1454" s="81"/>
      <c r="R1454" s="80"/>
      <c r="S1454" s="80"/>
      <c r="T1454" s="81"/>
      <c r="U1454" s="80"/>
      <c r="V1454" s="80"/>
      <c r="W1454" s="80"/>
      <c r="X1454" s="80"/>
      <c r="Y1454" s="81"/>
      <c r="Z1454" s="80"/>
      <c r="AA1454" s="80"/>
      <c r="AB1454" s="80"/>
      <c r="AC1454" s="80"/>
      <c r="AD1454" s="81"/>
      <c r="AE1454" s="80"/>
      <c r="AF1454" s="80"/>
      <c r="AG1454" s="81"/>
      <c r="AH1454" s="79"/>
      <c r="AI1454" s="78" t="str">
        <f aca="false">IF(E1454="","",(V1454&lt;&gt;"")+(AA1454&lt;&gt;"")+(AF1454&lt;&gt;""))</f>
        <v/>
      </c>
      <c r="AJ1454" s="82" t="str">
        <f aca="false">IF(AF1454&lt;&gt;"",AF1454,IF(AA1454&lt;&gt;"",AA1454,IF(V1454&lt;&gt;"",V1454,"")))</f>
        <v/>
      </c>
      <c r="AK1454" s="83" t="str">
        <f aca="false">IF(E1454="","",IF(P1454="","À SOUDER",IF(S1454="","VT EN ATTENTE",IF(S1454="R","VT REJETÉ – À REPRENDRE",IF(AJ1454="","À RADIOGRAPHIER",IF(AJ1454="A","ACCEPTÉ",IF(AJ1454="NX","NX – RT À REFAIRE",IF(IF(AI1454=1,X1454,IF(AI1454=2,AC1454,""))="A","RÉPARÉ – À RADIOGRAPHIER",IF(IF(AI1454=1,X1454,IF(AI1454=2,AC1454,""))="R","VT REJETÉ – À REPRENDRE",IF(AJ1454="CO","COUPE – À RESOUDER","À RÉPARER"))))))))))</f>
        <v/>
      </c>
      <c r="AL1454" s="82" t="str">
        <f aca="false">IF(AND(ISNUMBER(P1454),OR(AK1454="À RADIOGRAPHIER",AK1454="RÉPARÉ – À RADIOGRAPHIER",AK1454="NX – RT À REFAIRE",AK1454="À RÉPARER",AK1454="COUPE – À RESOUDER",AK1454="VT REJETÉ – À REPRENDRE")),MAX(0,'PROGRAMME RT'!$C$4-P1454),"")</f>
        <v/>
      </c>
      <c r="AM1454" s="78" t="n">
        <f aca="false">IF(AND(OR(AK1454="À RADIOGRAPHIER",AK1454="RÉPARÉ – À RADIOGRAPHIER",AK1454="NX – RT À REFAIRE"),OR('PROGRAMME RT'!$D$5="TOUTES",B1454='PROGRAMME RT'!$D$5)),1,0)</f>
        <v>0</v>
      </c>
      <c r="AN1454" s="78" t="str">
        <f aca="false">IF(AM1454=1,SUM(AM$7:AM1454),"")</f>
        <v/>
      </c>
      <c r="AO1454" s="78" t="n">
        <f aca="false">IF(AND(OR(AK1454="À RÉPARER",AK1454="COUPE – À RESOUDER",AK1454="VT REJETÉ – À REPRENDRE"),OR(RÉPARATIONS!$D$5="TOUTES",B1454=RÉPARATIONS!$D$5)),1,0)</f>
        <v>0</v>
      </c>
      <c r="AP1454" s="78" t="str">
        <f aca="false">IF(AO1454=1,SUM(AO$7:AO1454),"")</f>
        <v/>
      </c>
    </row>
    <row r="1455" customFormat="false" ht="15" hidden="false" customHeight="false" outlineLevel="0" collapsed="false">
      <c r="A1455" s="78" t="str">
        <f aca="false">IF(E1455="","",ROW()-6)</f>
        <v/>
      </c>
      <c r="B1455" s="79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0"/>
      <c r="P1455" s="81"/>
      <c r="Q1455" s="81"/>
      <c r="R1455" s="80"/>
      <c r="S1455" s="80"/>
      <c r="T1455" s="81"/>
      <c r="U1455" s="80"/>
      <c r="V1455" s="80"/>
      <c r="W1455" s="80"/>
      <c r="X1455" s="80"/>
      <c r="Y1455" s="81"/>
      <c r="Z1455" s="80"/>
      <c r="AA1455" s="80"/>
      <c r="AB1455" s="80"/>
      <c r="AC1455" s="80"/>
      <c r="AD1455" s="81"/>
      <c r="AE1455" s="80"/>
      <c r="AF1455" s="80"/>
      <c r="AG1455" s="81"/>
      <c r="AH1455" s="79"/>
      <c r="AI1455" s="78" t="str">
        <f aca="false">IF(E1455="","",(V1455&lt;&gt;"")+(AA1455&lt;&gt;"")+(AF1455&lt;&gt;""))</f>
        <v/>
      </c>
      <c r="AJ1455" s="82" t="str">
        <f aca="false">IF(AF1455&lt;&gt;"",AF1455,IF(AA1455&lt;&gt;"",AA1455,IF(V1455&lt;&gt;"",V1455,"")))</f>
        <v/>
      </c>
      <c r="AK1455" s="83" t="str">
        <f aca="false">IF(E1455="","",IF(P1455="","À SOUDER",IF(S1455="","VT EN ATTENTE",IF(S1455="R","VT REJETÉ – À REPRENDRE",IF(AJ1455="","À RADIOGRAPHIER",IF(AJ1455="A","ACCEPTÉ",IF(AJ1455="NX","NX – RT À REFAIRE",IF(IF(AI1455=1,X1455,IF(AI1455=2,AC1455,""))="A","RÉPARÉ – À RADIOGRAPHIER",IF(IF(AI1455=1,X1455,IF(AI1455=2,AC1455,""))="R","VT REJETÉ – À REPRENDRE",IF(AJ1455="CO","COUPE – À RESOUDER","À RÉPARER"))))))))))</f>
        <v/>
      </c>
      <c r="AL1455" s="82" t="str">
        <f aca="false">IF(AND(ISNUMBER(P1455),OR(AK1455="À RADIOGRAPHIER",AK1455="RÉPARÉ – À RADIOGRAPHIER",AK1455="NX – RT À REFAIRE",AK1455="À RÉPARER",AK1455="COUPE – À RESOUDER",AK1455="VT REJETÉ – À REPRENDRE")),MAX(0,'PROGRAMME RT'!$C$4-P1455),"")</f>
        <v/>
      </c>
      <c r="AM1455" s="78" t="n">
        <f aca="false">IF(AND(OR(AK1455="À RADIOGRAPHIER",AK1455="RÉPARÉ – À RADIOGRAPHIER",AK1455="NX – RT À REFAIRE"),OR('PROGRAMME RT'!$D$5="TOUTES",B1455='PROGRAMME RT'!$D$5)),1,0)</f>
        <v>0</v>
      </c>
      <c r="AN1455" s="78" t="str">
        <f aca="false">IF(AM1455=1,SUM(AM$7:AM1455),"")</f>
        <v/>
      </c>
      <c r="AO1455" s="78" t="n">
        <f aca="false">IF(AND(OR(AK1455="À RÉPARER",AK1455="COUPE – À RESOUDER",AK1455="VT REJETÉ – À REPRENDRE"),OR(RÉPARATIONS!$D$5="TOUTES",B1455=RÉPARATIONS!$D$5)),1,0)</f>
        <v>0</v>
      </c>
      <c r="AP1455" s="78" t="str">
        <f aca="false">IF(AO1455=1,SUM(AO$7:AO1455),"")</f>
        <v/>
      </c>
    </row>
    <row r="1456" customFormat="false" ht="15" hidden="false" customHeight="false" outlineLevel="0" collapsed="false">
      <c r="A1456" s="78" t="str">
        <f aca="false">IF(E1456="","",ROW()-6)</f>
        <v/>
      </c>
      <c r="B1456" s="79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0"/>
      <c r="P1456" s="81"/>
      <c r="Q1456" s="81"/>
      <c r="R1456" s="80"/>
      <c r="S1456" s="80"/>
      <c r="T1456" s="81"/>
      <c r="U1456" s="80"/>
      <c r="V1456" s="80"/>
      <c r="W1456" s="80"/>
      <c r="X1456" s="80"/>
      <c r="Y1456" s="81"/>
      <c r="Z1456" s="80"/>
      <c r="AA1456" s="80"/>
      <c r="AB1456" s="80"/>
      <c r="AC1456" s="80"/>
      <c r="AD1456" s="81"/>
      <c r="AE1456" s="80"/>
      <c r="AF1456" s="80"/>
      <c r="AG1456" s="81"/>
      <c r="AH1456" s="79"/>
      <c r="AI1456" s="78" t="str">
        <f aca="false">IF(E1456="","",(V1456&lt;&gt;"")+(AA1456&lt;&gt;"")+(AF1456&lt;&gt;""))</f>
        <v/>
      </c>
      <c r="AJ1456" s="82" t="str">
        <f aca="false">IF(AF1456&lt;&gt;"",AF1456,IF(AA1456&lt;&gt;"",AA1456,IF(V1456&lt;&gt;"",V1456,"")))</f>
        <v/>
      </c>
      <c r="AK1456" s="83" t="str">
        <f aca="false">IF(E1456="","",IF(P1456="","À SOUDER",IF(S1456="","VT EN ATTENTE",IF(S1456="R","VT REJETÉ – À REPRENDRE",IF(AJ1456="","À RADIOGRAPHIER",IF(AJ1456="A","ACCEPTÉ",IF(AJ1456="NX","NX – RT À REFAIRE",IF(IF(AI1456=1,X1456,IF(AI1456=2,AC1456,""))="A","RÉPARÉ – À RADIOGRAPHIER",IF(IF(AI1456=1,X1456,IF(AI1456=2,AC1456,""))="R","VT REJETÉ – À REPRENDRE",IF(AJ1456="CO","COUPE – À RESOUDER","À RÉPARER"))))))))))</f>
        <v/>
      </c>
      <c r="AL1456" s="82" t="str">
        <f aca="false">IF(AND(ISNUMBER(P1456),OR(AK1456="À RADIOGRAPHIER",AK1456="RÉPARÉ – À RADIOGRAPHIER",AK1456="NX – RT À REFAIRE",AK1456="À RÉPARER",AK1456="COUPE – À RESOUDER",AK1456="VT REJETÉ – À REPRENDRE")),MAX(0,'PROGRAMME RT'!$C$4-P1456),"")</f>
        <v/>
      </c>
      <c r="AM1456" s="78" t="n">
        <f aca="false">IF(AND(OR(AK1456="À RADIOGRAPHIER",AK1456="RÉPARÉ – À RADIOGRAPHIER",AK1456="NX – RT À REFAIRE"),OR('PROGRAMME RT'!$D$5="TOUTES",B1456='PROGRAMME RT'!$D$5)),1,0)</f>
        <v>0</v>
      </c>
      <c r="AN1456" s="78" t="str">
        <f aca="false">IF(AM1456=1,SUM(AM$7:AM1456),"")</f>
        <v/>
      </c>
      <c r="AO1456" s="78" t="n">
        <f aca="false">IF(AND(OR(AK1456="À RÉPARER",AK1456="COUPE – À RESOUDER",AK1456="VT REJETÉ – À REPRENDRE"),OR(RÉPARATIONS!$D$5="TOUTES",B1456=RÉPARATIONS!$D$5)),1,0)</f>
        <v>0</v>
      </c>
      <c r="AP1456" s="78" t="str">
        <f aca="false">IF(AO1456=1,SUM(AO$7:AO1456),"")</f>
        <v/>
      </c>
    </row>
    <row r="1457" customFormat="false" ht="15" hidden="false" customHeight="false" outlineLevel="0" collapsed="false">
      <c r="A1457" s="78" t="str">
        <f aca="false">IF(E1457="","",ROW()-6)</f>
        <v/>
      </c>
      <c r="B1457" s="79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0"/>
      <c r="P1457" s="81"/>
      <c r="Q1457" s="81"/>
      <c r="R1457" s="80"/>
      <c r="S1457" s="80"/>
      <c r="T1457" s="81"/>
      <c r="U1457" s="80"/>
      <c r="V1457" s="80"/>
      <c r="W1457" s="80"/>
      <c r="X1457" s="80"/>
      <c r="Y1457" s="81"/>
      <c r="Z1457" s="80"/>
      <c r="AA1457" s="80"/>
      <c r="AB1457" s="80"/>
      <c r="AC1457" s="80"/>
      <c r="AD1457" s="81"/>
      <c r="AE1457" s="80"/>
      <c r="AF1457" s="80"/>
      <c r="AG1457" s="81"/>
      <c r="AH1457" s="79"/>
      <c r="AI1457" s="78" t="str">
        <f aca="false">IF(E1457="","",(V1457&lt;&gt;"")+(AA1457&lt;&gt;"")+(AF1457&lt;&gt;""))</f>
        <v/>
      </c>
      <c r="AJ1457" s="82" t="str">
        <f aca="false">IF(AF1457&lt;&gt;"",AF1457,IF(AA1457&lt;&gt;"",AA1457,IF(V1457&lt;&gt;"",V1457,"")))</f>
        <v/>
      </c>
      <c r="AK1457" s="83" t="str">
        <f aca="false">IF(E1457="","",IF(P1457="","À SOUDER",IF(S1457="","VT EN ATTENTE",IF(S1457="R","VT REJETÉ – À REPRENDRE",IF(AJ1457="","À RADIOGRAPHIER",IF(AJ1457="A","ACCEPTÉ",IF(AJ1457="NX","NX – RT À REFAIRE",IF(IF(AI1457=1,X1457,IF(AI1457=2,AC1457,""))="A","RÉPARÉ – À RADIOGRAPHIER",IF(IF(AI1457=1,X1457,IF(AI1457=2,AC1457,""))="R","VT REJETÉ – À REPRENDRE",IF(AJ1457="CO","COUPE – À RESOUDER","À RÉPARER"))))))))))</f>
        <v/>
      </c>
      <c r="AL1457" s="82" t="str">
        <f aca="false">IF(AND(ISNUMBER(P1457),OR(AK1457="À RADIOGRAPHIER",AK1457="RÉPARÉ – À RADIOGRAPHIER",AK1457="NX – RT À REFAIRE",AK1457="À RÉPARER",AK1457="COUPE – À RESOUDER",AK1457="VT REJETÉ – À REPRENDRE")),MAX(0,'PROGRAMME RT'!$C$4-P1457),"")</f>
        <v/>
      </c>
      <c r="AM1457" s="78" t="n">
        <f aca="false">IF(AND(OR(AK1457="À RADIOGRAPHIER",AK1457="RÉPARÉ – À RADIOGRAPHIER",AK1457="NX – RT À REFAIRE"),OR('PROGRAMME RT'!$D$5="TOUTES",B1457='PROGRAMME RT'!$D$5)),1,0)</f>
        <v>0</v>
      </c>
      <c r="AN1457" s="78" t="str">
        <f aca="false">IF(AM1457=1,SUM(AM$7:AM1457),"")</f>
        <v/>
      </c>
      <c r="AO1457" s="78" t="n">
        <f aca="false">IF(AND(OR(AK1457="À RÉPARER",AK1457="COUPE – À RESOUDER",AK1457="VT REJETÉ – À REPRENDRE"),OR(RÉPARATIONS!$D$5="TOUTES",B1457=RÉPARATIONS!$D$5)),1,0)</f>
        <v>0</v>
      </c>
      <c r="AP1457" s="78" t="str">
        <f aca="false">IF(AO1457=1,SUM(AO$7:AO1457),"")</f>
        <v/>
      </c>
    </row>
    <row r="1458" customFormat="false" ht="15" hidden="false" customHeight="false" outlineLevel="0" collapsed="false">
      <c r="A1458" s="78" t="str">
        <f aca="false">IF(E1458="","",ROW()-6)</f>
        <v/>
      </c>
      <c r="B1458" s="79"/>
      <c r="C1458" s="80"/>
      <c r="D1458" s="80"/>
      <c r="E1458" s="80"/>
      <c r="F1458" s="80"/>
      <c r="G1458" s="80"/>
      <c r="H1458" s="80"/>
      <c r="I1458" s="80"/>
      <c r="J1458" s="80"/>
      <c r="K1458" s="80"/>
      <c r="L1458" s="80"/>
      <c r="M1458" s="80"/>
      <c r="N1458" s="80"/>
      <c r="O1458" s="80"/>
      <c r="P1458" s="81"/>
      <c r="Q1458" s="81"/>
      <c r="R1458" s="80"/>
      <c r="S1458" s="80"/>
      <c r="T1458" s="81"/>
      <c r="U1458" s="80"/>
      <c r="V1458" s="80"/>
      <c r="W1458" s="80"/>
      <c r="X1458" s="80"/>
      <c r="Y1458" s="81"/>
      <c r="Z1458" s="80"/>
      <c r="AA1458" s="80"/>
      <c r="AB1458" s="80"/>
      <c r="AC1458" s="80"/>
      <c r="AD1458" s="81"/>
      <c r="AE1458" s="80"/>
      <c r="AF1458" s="80"/>
      <c r="AG1458" s="81"/>
      <c r="AH1458" s="79"/>
      <c r="AI1458" s="78" t="str">
        <f aca="false">IF(E1458="","",(V1458&lt;&gt;"")+(AA1458&lt;&gt;"")+(AF1458&lt;&gt;""))</f>
        <v/>
      </c>
      <c r="AJ1458" s="82" t="str">
        <f aca="false">IF(AF1458&lt;&gt;"",AF1458,IF(AA1458&lt;&gt;"",AA1458,IF(V1458&lt;&gt;"",V1458,"")))</f>
        <v/>
      </c>
      <c r="AK1458" s="83" t="str">
        <f aca="false">IF(E1458="","",IF(P1458="","À SOUDER",IF(S1458="","VT EN ATTENTE",IF(S1458="R","VT REJETÉ – À REPRENDRE",IF(AJ1458="","À RADIOGRAPHIER",IF(AJ1458="A","ACCEPTÉ",IF(AJ1458="NX","NX – RT À REFAIRE",IF(IF(AI1458=1,X1458,IF(AI1458=2,AC1458,""))="A","RÉPARÉ – À RADIOGRAPHIER",IF(IF(AI1458=1,X1458,IF(AI1458=2,AC1458,""))="R","VT REJETÉ – À REPRENDRE",IF(AJ1458="CO","COUPE – À RESOUDER","À RÉPARER"))))))))))</f>
        <v/>
      </c>
      <c r="AL1458" s="82" t="str">
        <f aca="false">IF(AND(ISNUMBER(P1458),OR(AK1458="À RADIOGRAPHIER",AK1458="RÉPARÉ – À RADIOGRAPHIER",AK1458="NX – RT À REFAIRE",AK1458="À RÉPARER",AK1458="COUPE – À RESOUDER",AK1458="VT REJETÉ – À REPRENDRE")),MAX(0,'PROGRAMME RT'!$C$4-P1458),"")</f>
        <v/>
      </c>
      <c r="AM1458" s="78" t="n">
        <f aca="false">IF(AND(OR(AK1458="À RADIOGRAPHIER",AK1458="RÉPARÉ – À RADIOGRAPHIER",AK1458="NX – RT À REFAIRE"),OR('PROGRAMME RT'!$D$5="TOUTES",B1458='PROGRAMME RT'!$D$5)),1,0)</f>
        <v>0</v>
      </c>
      <c r="AN1458" s="78" t="str">
        <f aca="false">IF(AM1458=1,SUM(AM$7:AM1458),"")</f>
        <v/>
      </c>
      <c r="AO1458" s="78" t="n">
        <f aca="false">IF(AND(OR(AK1458="À RÉPARER",AK1458="COUPE – À RESOUDER",AK1458="VT REJETÉ – À REPRENDRE"),OR(RÉPARATIONS!$D$5="TOUTES",B1458=RÉPARATIONS!$D$5)),1,0)</f>
        <v>0</v>
      </c>
      <c r="AP1458" s="78" t="str">
        <f aca="false">IF(AO1458=1,SUM(AO$7:AO1458),"")</f>
        <v/>
      </c>
    </row>
    <row r="1459" customFormat="false" ht="15" hidden="false" customHeight="false" outlineLevel="0" collapsed="false">
      <c r="A1459" s="78" t="str">
        <f aca="false">IF(E1459="","",ROW()-6)</f>
        <v/>
      </c>
      <c r="B1459" s="79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0"/>
      <c r="P1459" s="81"/>
      <c r="Q1459" s="81"/>
      <c r="R1459" s="80"/>
      <c r="S1459" s="80"/>
      <c r="T1459" s="81"/>
      <c r="U1459" s="80"/>
      <c r="V1459" s="80"/>
      <c r="W1459" s="80"/>
      <c r="X1459" s="80"/>
      <c r="Y1459" s="81"/>
      <c r="Z1459" s="80"/>
      <c r="AA1459" s="80"/>
      <c r="AB1459" s="80"/>
      <c r="AC1459" s="80"/>
      <c r="AD1459" s="81"/>
      <c r="AE1459" s="80"/>
      <c r="AF1459" s="80"/>
      <c r="AG1459" s="81"/>
      <c r="AH1459" s="79"/>
      <c r="AI1459" s="78" t="str">
        <f aca="false">IF(E1459="","",(V1459&lt;&gt;"")+(AA1459&lt;&gt;"")+(AF1459&lt;&gt;""))</f>
        <v/>
      </c>
      <c r="AJ1459" s="82" t="str">
        <f aca="false">IF(AF1459&lt;&gt;"",AF1459,IF(AA1459&lt;&gt;"",AA1459,IF(V1459&lt;&gt;"",V1459,"")))</f>
        <v/>
      </c>
      <c r="AK1459" s="83" t="str">
        <f aca="false">IF(E1459="","",IF(P1459="","À SOUDER",IF(S1459="","VT EN ATTENTE",IF(S1459="R","VT REJETÉ – À REPRENDRE",IF(AJ1459="","À RADIOGRAPHIER",IF(AJ1459="A","ACCEPTÉ",IF(AJ1459="NX","NX – RT À REFAIRE",IF(IF(AI1459=1,X1459,IF(AI1459=2,AC1459,""))="A","RÉPARÉ – À RADIOGRAPHIER",IF(IF(AI1459=1,X1459,IF(AI1459=2,AC1459,""))="R","VT REJETÉ – À REPRENDRE",IF(AJ1459="CO","COUPE – À RESOUDER","À RÉPARER"))))))))))</f>
        <v/>
      </c>
      <c r="AL1459" s="82" t="str">
        <f aca="false">IF(AND(ISNUMBER(P1459),OR(AK1459="À RADIOGRAPHIER",AK1459="RÉPARÉ – À RADIOGRAPHIER",AK1459="NX – RT À REFAIRE",AK1459="À RÉPARER",AK1459="COUPE – À RESOUDER",AK1459="VT REJETÉ – À REPRENDRE")),MAX(0,'PROGRAMME RT'!$C$4-P1459),"")</f>
        <v/>
      </c>
      <c r="AM1459" s="78" t="n">
        <f aca="false">IF(AND(OR(AK1459="À RADIOGRAPHIER",AK1459="RÉPARÉ – À RADIOGRAPHIER",AK1459="NX – RT À REFAIRE"),OR('PROGRAMME RT'!$D$5="TOUTES",B1459='PROGRAMME RT'!$D$5)),1,0)</f>
        <v>0</v>
      </c>
      <c r="AN1459" s="78" t="str">
        <f aca="false">IF(AM1459=1,SUM(AM$7:AM1459),"")</f>
        <v/>
      </c>
      <c r="AO1459" s="78" t="n">
        <f aca="false">IF(AND(OR(AK1459="À RÉPARER",AK1459="COUPE – À RESOUDER",AK1459="VT REJETÉ – À REPRENDRE"),OR(RÉPARATIONS!$D$5="TOUTES",B1459=RÉPARATIONS!$D$5)),1,0)</f>
        <v>0</v>
      </c>
      <c r="AP1459" s="78" t="str">
        <f aca="false">IF(AO1459=1,SUM(AO$7:AO1459),"")</f>
        <v/>
      </c>
    </row>
    <row r="1460" customFormat="false" ht="15" hidden="false" customHeight="false" outlineLevel="0" collapsed="false">
      <c r="A1460" s="78" t="str">
        <f aca="false">IF(E1460="","",ROW()-6)</f>
        <v/>
      </c>
      <c r="B1460" s="79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0"/>
      <c r="P1460" s="81"/>
      <c r="Q1460" s="81"/>
      <c r="R1460" s="80"/>
      <c r="S1460" s="80"/>
      <c r="T1460" s="81"/>
      <c r="U1460" s="80"/>
      <c r="V1460" s="80"/>
      <c r="W1460" s="80"/>
      <c r="X1460" s="80"/>
      <c r="Y1460" s="81"/>
      <c r="Z1460" s="80"/>
      <c r="AA1460" s="80"/>
      <c r="AB1460" s="80"/>
      <c r="AC1460" s="80"/>
      <c r="AD1460" s="81"/>
      <c r="AE1460" s="80"/>
      <c r="AF1460" s="80"/>
      <c r="AG1460" s="81"/>
      <c r="AH1460" s="79"/>
      <c r="AI1460" s="78" t="str">
        <f aca="false">IF(E1460="","",(V1460&lt;&gt;"")+(AA1460&lt;&gt;"")+(AF1460&lt;&gt;""))</f>
        <v/>
      </c>
      <c r="AJ1460" s="82" t="str">
        <f aca="false">IF(AF1460&lt;&gt;"",AF1460,IF(AA1460&lt;&gt;"",AA1460,IF(V1460&lt;&gt;"",V1460,"")))</f>
        <v/>
      </c>
      <c r="AK1460" s="83" t="str">
        <f aca="false">IF(E1460="","",IF(P1460="","À SOUDER",IF(S1460="","VT EN ATTENTE",IF(S1460="R","VT REJETÉ – À REPRENDRE",IF(AJ1460="","À RADIOGRAPHIER",IF(AJ1460="A","ACCEPTÉ",IF(AJ1460="NX","NX – RT À REFAIRE",IF(IF(AI1460=1,X1460,IF(AI1460=2,AC1460,""))="A","RÉPARÉ – À RADIOGRAPHIER",IF(IF(AI1460=1,X1460,IF(AI1460=2,AC1460,""))="R","VT REJETÉ – À REPRENDRE",IF(AJ1460="CO","COUPE – À RESOUDER","À RÉPARER"))))))))))</f>
        <v/>
      </c>
      <c r="AL1460" s="82" t="str">
        <f aca="false">IF(AND(ISNUMBER(P1460),OR(AK1460="À RADIOGRAPHIER",AK1460="RÉPARÉ – À RADIOGRAPHIER",AK1460="NX – RT À REFAIRE",AK1460="À RÉPARER",AK1460="COUPE – À RESOUDER",AK1460="VT REJETÉ – À REPRENDRE")),MAX(0,'PROGRAMME RT'!$C$4-P1460),"")</f>
        <v/>
      </c>
      <c r="AM1460" s="78" t="n">
        <f aca="false">IF(AND(OR(AK1460="À RADIOGRAPHIER",AK1460="RÉPARÉ – À RADIOGRAPHIER",AK1460="NX – RT À REFAIRE"),OR('PROGRAMME RT'!$D$5="TOUTES",B1460='PROGRAMME RT'!$D$5)),1,0)</f>
        <v>0</v>
      </c>
      <c r="AN1460" s="78" t="str">
        <f aca="false">IF(AM1460=1,SUM(AM$7:AM1460),"")</f>
        <v/>
      </c>
      <c r="AO1460" s="78" t="n">
        <f aca="false">IF(AND(OR(AK1460="À RÉPARER",AK1460="COUPE – À RESOUDER",AK1460="VT REJETÉ – À REPRENDRE"),OR(RÉPARATIONS!$D$5="TOUTES",B1460=RÉPARATIONS!$D$5)),1,0)</f>
        <v>0</v>
      </c>
      <c r="AP1460" s="78" t="str">
        <f aca="false">IF(AO1460=1,SUM(AO$7:AO1460),"")</f>
        <v/>
      </c>
    </row>
    <row r="1461" customFormat="false" ht="15" hidden="false" customHeight="false" outlineLevel="0" collapsed="false">
      <c r="A1461" s="78" t="str">
        <f aca="false">IF(E1461="","",ROW()-6)</f>
        <v/>
      </c>
      <c r="B1461" s="79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0"/>
      <c r="P1461" s="81"/>
      <c r="Q1461" s="81"/>
      <c r="R1461" s="80"/>
      <c r="S1461" s="80"/>
      <c r="T1461" s="81"/>
      <c r="U1461" s="80"/>
      <c r="V1461" s="80"/>
      <c r="W1461" s="80"/>
      <c r="X1461" s="80"/>
      <c r="Y1461" s="81"/>
      <c r="Z1461" s="80"/>
      <c r="AA1461" s="80"/>
      <c r="AB1461" s="80"/>
      <c r="AC1461" s="80"/>
      <c r="AD1461" s="81"/>
      <c r="AE1461" s="80"/>
      <c r="AF1461" s="80"/>
      <c r="AG1461" s="81"/>
      <c r="AH1461" s="79"/>
      <c r="AI1461" s="78" t="str">
        <f aca="false">IF(E1461="","",(V1461&lt;&gt;"")+(AA1461&lt;&gt;"")+(AF1461&lt;&gt;""))</f>
        <v/>
      </c>
      <c r="AJ1461" s="82" t="str">
        <f aca="false">IF(AF1461&lt;&gt;"",AF1461,IF(AA1461&lt;&gt;"",AA1461,IF(V1461&lt;&gt;"",V1461,"")))</f>
        <v/>
      </c>
      <c r="AK1461" s="83" t="str">
        <f aca="false">IF(E1461="","",IF(P1461="","À SOUDER",IF(S1461="","VT EN ATTENTE",IF(S1461="R","VT REJETÉ – À REPRENDRE",IF(AJ1461="","À RADIOGRAPHIER",IF(AJ1461="A","ACCEPTÉ",IF(AJ1461="NX","NX – RT À REFAIRE",IF(IF(AI1461=1,X1461,IF(AI1461=2,AC1461,""))="A","RÉPARÉ – À RADIOGRAPHIER",IF(IF(AI1461=1,X1461,IF(AI1461=2,AC1461,""))="R","VT REJETÉ – À REPRENDRE",IF(AJ1461="CO","COUPE – À RESOUDER","À RÉPARER"))))))))))</f>
        <v/>
      </c>
      <c r="AL1461" s="82" t="str">
        <f aca="false">IF(AND(ISNUMBER(P1461),OR(AK1461="À RADIOGRAPHIER",AK1461="RÉPARÉ – À RADIOGRAPHIER",AK1461="NX – RT À REFAIRE",AK1461="À RÉPARER",AK1461="COUPE – À RESOUDER",AK1461="VT REJETÉ – À REPRENDRE")),MAX(0,'PROGRAMME RT'!$C$4-P1461),"")</f>
        <v/>
      </c>
      <c r="AM1461" s="78" t="n">
        <f aca="false">IF(AND(OR(AK1461="À RADIOGRAPHIER",AK1461="RÉPARÉ – À RADIOGRAPHIER",AK1461="NX – RT À REFAIRE"),OR('PROGRAMME RT'!$D$5="TOUTES",B1461='PROGRAMME RT'!$D$5)),1,0)</f>
        <v>0</v>
      </c>
      <c r="AN1461" s="78" t="str">
        <f aca="false">IF(AM1461=1,SUM(AM$7:AM1461),"")</f>
        <v/>
      </c>
      <c r="AO1461" s="78" t="n">
        <f aca="false">IF(AND(OR(AK1461="À RÉPARER",AK1461="COUPE – À RESOUDER",AK1461="VT REJETÉ – À REPRENDRE"),OR(RÉPARATIONS!$D$5="TOUTES",B1461=RÉPARATIONS!$D$5)),1,0)</f>
        <v>0</v>
      </c>
      <c r="AP1461" s="78" t="str">
        <f aca="false">IF(AO1461=1,SUM(AO$7:AO1461),"")</f>
        <v/>
      </c>
    </row>
    <row r="1462" customFormat="false" ht="15" hidden="false" customHeight="false" outlineLevel="0" collapsed="false">
      <c r="A1462" s="78" t="str">
        <f aca="false">IF(E1462="","",ROW()-6)</f>
        <v/>
      </c>
      <c r="B1462" s="79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0"/>
      <c r="P1462" s="81"/>
      <c r="Q1462" s="81"/>
      <c r="R1462" s="80"/>
      <c r="S1462" s="80"/>
      <c r="T1462" s="81"/>
      <c r="U1462" s="80"/>
      <c r="V1462" s="80"/>
      <c r="W1462" s="80"/>
      <c r="X1462" s="80"/>
      <c r="Y1462" s="81"/>
      <c r="Z1462" s="80"/>
      <c r="AA1462" s="80"/>
      <c r="AB1462" s="80"/>
      <c r="AC1462" s="80"/>
      <c r="AD1462" s="81"/>
      <c r="AE1462" s="80"/>
      <c r="AF1462" s="80"/>
      <c r="AG1462" s="81"/>
      <c r="AH1462" s="79"/>
      <c r="AI1462" s="78" t="str">
        <f aca="false">IF(E1462="","",(V1462&lt;&gt;"")+(AA1462&lt;&gt;"")+(AF1462&lt;&gt;""))</f>
        <v/>
      </c>
      <c r="AJ1462" s="82" t="str">
        <f aca="false">IF(AF1462&lt;&gt;"",AF1462,IF(AA1462&lt;&gt;"",AA1462,IF(V1462&lt;&gt;"",V1462,"")))</f>
        <v/>
      </c>
      <c r="AK1462" s="83" t="str">
        <f aca="false">IF(E1462="","",IF(P1462="","À SOUDER",IF(S1462="","VT EN ATTENTE",IF(S1462="R","VT REJETÉ – À REPRENDRE",IF(AJ1462="","À RADIOGRAPHIER",IF(AJ1462="A","ACCEPTÉ",IF(AJ1462="NX","NX – RT À REFAIRE",IF(IF(AI1462=1,X1462,IF(AI1462=2,AC1462,""))="A","RÉPARÉ – À RADIOGRAPHIER",IF(IF(AI1462=1,X1462,IF(AI1462=2,AC1462,""))="R","VT REJETÉ – À REPRENDRE",IF(AJ1462="CO","COUPE – À RESOUDER","À RÉPARER"))))))))))</f>
        <v/>
      </c>
      <c r="AL1462" s="82" t="str">
        <f aca="false">IF(AND(ISNUMBER(P1462),OR(AK1462="À RADIOGRAPHIER",AK1462="RÉPARÉ – À RADIOGRAPHIER",AK1462="NX – RT À REFAIRE",AK1462="À RÉPARER",AK1462="COUPE – À RESOUDER",AK1462="VT REJETÉ – À REPRENDRE")),MAX(0,'PROGRAMME RT'!$C$4-P1462),"")</f>
        <v/>
      </c>
      <c r="AM1462" s="78" t="n">
        <f aca="false">IF(AND(OR(AK1462="À RADIOGRAPHIER",AK1462="RÉPARÉ – À RADIOGRAPHIER",AK1462="NX – RT À REFAIRE"),OR('PROGRAMME RT'!$D$5="TOUTES",B1462='PROGRAMME RT'!$D$5)),1,0)</f>
        <v>0</v>
      </c>
      <c r="AN1462" s="78" t="str">
        <f aca="false">IF(AM1462=1,SUM(AM$7:AM1462),"")</f>
        <v/>
      </c>
      <c r="AO1462" s="78" t="n">
        <f aca="false">IF(AND(OR(AK1462="À RÉPARER",AK1462="COUPE – À RESOUDER",AK1462="VT REJETÉ – À REPRENDRE"),OR(RÉPARATIONS!$D$5="TOUTES",B1462=RÉPARATIONS!$D$5)),1,0)</f>
        <v>0</v>
      </c>
      <c r="AP1462" s="78" t="str">
        <f aca="false">IF(AO1462=1,SUM(AO$7:AO1462),"")</f>
        <v/>
      </c>
    </row>
    <row r="1463" customFormat="false" ht="15" hidden="false" customHeight="false" outlineLevel="0" collapsed="false">
      <c r="A1463" s="78" t="str">
        <f aca="false">IF(E1463="","",ROW()-6)</f>
        <v/>
      </c>
      <c r="B1463" s="79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0"/>
      <c r="P1463" s="81"/>
      <c r="Q1463" s="81"/>
      <c r="R1463" s="80"/>
      <c r="S1463" s="80"/>
      <c r="T1463" s="81"/>
      <c r="U1463" s="80"/>
      <c r="V1463" s="80"/>
      <c r="W1463" s="80"/>
      <c r="X1463" s="80"/>
      <c r="Y1463" s="81"/>
      <c r="Z1463" s="80"/>
      <c r="AA1463" s="80"/>
      <c r="AB1463" s="80"/>
      <c r="AC1463" s="80"/>
      <c r="AD1463" s="81"/>
      <c r="AE1463" s="80"/>
      <c r="AF1463" s="80"/>
      <c r="AG1463" s="81"/>
      <c r="AH1463" s="79"/>
      <c r="AI1463" s="78" t="str">
        <f aca="false">IF(E1463="","",(V1463&lt;&gt;"")+(AA1463&lt;&gt;"")+(AF1463&lt;&gt;""))</f>
        <v/>
      </c>
      <c r="AJ1463" s="82" t="str">
        <f aca="false">IF(AF1463&lt;&gt;"",AF1463,IF(AA1463&lt;&gt;"",AA1463,IF(V1463&lt;&gt;"",V1463,"")))</f>
        <v/>
      </c>
      <c r="AK1463" s="83" t="str">
        <f aca="false">IF(E1463="","",IF(P1463="","À SOUDER",IF(S1463="","VT EN ATTENTE",IF(S1463="R","VT REJETÉ – À REPRENDRE",IF(AJ1463="","À RADIOGRAPHIER",IF(AJ1463="A","ACCEPTÉ",IF(AJ1463="NX","NX – RT À REFAIRE",IF(IF(AI1463=1,X1463,IF(AI1463=2,AC1463,""))="A","RÉPARÉ – À RADIOGRAPHIER",IF(IF(AI1463=1,X1463,IF(AI1463=2,AC1463,""))="R","VT REJETÉ – À REPRENDRE",IF(AJ1463="CO","COUPE – À RESOUDER","À RÉPARER"))))))))))</f>
        <v/>
      </c>
      <c r="AL1463" s="82" t="str">
        <f aca="false">IF(AND(ISNUMBER(P1463),OR(AK1463="À RADIOGRAPHIER",AK1463="RÉPARÉ – À RADIOGRAPHIER",AK1463="NX – RT À REFAIRE",AK1463="À RÉPARER",AK1463="COUPE – À RESOUDER",AK1463="VT REJETÉ – À REPRENDRE")),MAX(0,'PROGRAMME RT'!$C$4-P1463),"")</f>
        <v/>
      </c>
      <c r="AM1463" s="78" t="n">
        <f aca="false">IF(AND(OR(AK1463="À RADIOGRAPHIER",AK1463="RÉPARÉ – À RADIOGRAPHIER",AK1463="NX – RT À REFAIRE"),OR('PROGRAMME RT'!$D$5="TOUTES",B1463='PROGRAMME RT'!$D$5)),1,0)</f>
        <v>0</v>
      </c>
      <c r="AN1463" s="78" t="str">
        <f aca="false">IF(AM1463=1,SUM(AM$7:AM1463),"")</f>
        <v/>
      </c>
      <c r="AO1463" s="78" t="n">
        <f aca="false">IF(AND(OR(AK1463="À RÉPARER",AK1463="COUPE – À RESOUDER",AK1463="VT REJETÉ – À REPRENDRE"),OR(RÉPARATIONS!$D$5="TOUTES",B1463=RÉPARATIONS!$D$5)),1,0)</f>
        <v>0</v>
      </c>
      <c r="AP1463" s="78" t="str">
        <f aca="false">IF(AO1463=1,SUM(AO$7:AO1463),"")</f>
        <v/>
      </c>
    </row>
    <row r="1464" customFormat="false" ht="15" hidden="false" customHeight="false" outlineLevel="0" collapsed="false">
      <c r="A1464" s="78" t="str">
        <f aca="false">IF(E1464="","",ROW()-6)</f>
        <v/>
      </c>
      <c r="B1464" s="79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0"/>
      <c r="P1464" s="81"/>
      <c r="Q1464" s="81"/>
      <c r="R1464" s="80"/>
      <c r="S1464" s="80"/>
      <c r="T1464" s="81"/>
      <c r="U1464" s="80"/>
      <c r="V1464" s="80"/>
      <c r="W1464" s="80"/>
      <c r="X1464" s="80"/>
      <c r="Y1464" s="81"/>
      <c r="Z1464" s="80"/>
      <c r="AA1464" s="80"/>
      <c r="AB1464" s="80"/>
      <c r="AC1464" s="80"/>
      <c r="AD1464" s="81"/>
      <c r="AE1464" s="80"/>
      <c r="AF1464" s="80"/>
      <c r="AG1464" s="81"/>
      <c r="AH1464" s="79"/>
      <c r="AI1464" s="78" t="str">
        <f aca="false">IF(E1464="","",(V1464&lt;&gt;"")+(AA1464&lt;&gt;"")+(AF1464&lt;&gt;""))</f>
        <v/>
      </c>
      <c r="AJ1464" s="82" t="str">
        <f aca="false">IF(AF1464&lt;&gt;"",AF1464,IF(AA1464&lt;&gt;"",AA1464,IF(V1464&lt;&gt;"",V1464,"")))</f>
        <v/>
      </c>
      <c r="AK1464" s="83" t="str">
        <f aca="false">IF(E1464="","",IF(P1464="","À SOUDER",IF(S1464="","VT EN ATTENTE",IF(S1464="R","VT REJETÉ – À REPRENDRE",IF(AJ1464="","À RADIOGRAPHIER",IF(AJ1464="A","ACCEPTÉ",IF(AJ1464="NX","NX – RT À REFAIRE",IF(IF(AI1464=1,X1464,IF(AI1464=2,AC1464,""))="A","RÉPARÉ – À RADIOGRAPHIER",IF(IF(AI1464=1,X1464,IF(AI1464=2,AC1464,""))="R","VT REJETÉ – À REPRENDRE",IF(AJ1464="CO","COUPE – À RESOUDER","À RÉPARER"))))))))))</f>
        <v/>
      </c>
      <c r="AL1464" s="82" t="str">
        <f aca="false">IF(AND(ISNUMBER(P1464),OR(AK1464="À RADIOGRAPHIER",AK1464="RÉPARÉ – À RADIOGRAPHIER",AK1464="NX – RT À REFAIRE",AK1464="À RÉPARER",AK1464="COUPE – À RESOUDER",AK1464="VT REJETÉ – À REPRENDRE")),MAX(0,'PROGRAMME RT'!$C$4-P1464),"")</f>
        <v/>
      </c>
      <c r="AM1464" s="78" t="n">
        <f aca="false">IF(AND(OR(AK1464="À RADIOGRAPHIER",AK1464="RÉPARÉ – À RADIOGRAPHIER",AK1464="NX – RT À REFAIRE"),OR('PROGRAMME RT'!$D$5="TOUTES",B1464='PROGRAMME RT'!$D$5)),1,0)</f>
        <v>0</v>
      </c>
      <c r="AN1464" s="78" t="str">
        <f aca="false">IF(AM1464=1,SUM(AM$7:AM1464),"")</f>
        <v/>
      </c>
      <c r="AO1464" s="78" t="n">
        <f aca="false">IF(AND(OR(AK1464="À RÉPARER",AK1464="COUPE – À RESOUDER",AK1464="VT REJETÉ – À REPRENDRE"),OR(RÉPARATIONS!$D$5="TOUTES",B1464=RÉPARATIONS!$D$5)),1,0)</f>
        <v>0</v>
      </c>
      <c r="AP1464" s="78" t="str">
        <f aca="false">IF(AO1464=1,SUM(AO$7:AO1464),"")</f>
        <v/>
      </c>
    </row>
    <row r="1465" customFormat="false" ht="15" hidden="false" customHeight="false" outlineLevel="0" collapsed="false">
      <c r="A1465" s="78" t="str">
        <f aca="false">IF(E1465="","",ROW()-6)</f>
        <v/>
      </c>
      <c r="B1465" s="79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0"/>
      <c r="P1465" s="81"/>
      <c r="Q1465" s="81"/>
      <c r="R1465" s="80"/>
      <c r="S1465" s="80"/>
      <c r="T1465" s="81"/>
      <c r="U1465" s="80"/>
      <c r="V1465" s="80"/>
      <c r="W1465" s="80"/>
      <c r="X1465" s="80"/>
      <c r="Y1465" s="81"/>
      <c r="Z1465" s="80"/>
      <c r="AA1465" s="80"/>
      <c r="AB1465" s="80"/>
      <c r="AC1465" s="80"/>
      <c r="AD1465" s="81"/>
      <c r="AE1465" s="80"/>
      <c r="AF1465" s="80"/>
      <c r="AG1465" s="81"/>
      <c r="AH1465" s="79"/>
      <c r="AI1465" s="78" t="str">
        <f aca="false">IF(E1465="","",(V1465&lt;&gt;"")+(AA1465&lt;&gt;"")+(AF1465&lt;&gt;""))</f>
        <v/>
      </c>
      <c r="AJ1465" s="82" t="str">
        <f aca="false">IF(AF1465&lt;&gt;"",AF1465,IF(AA1465&lt;&gt;"",AA1465,IF(V1465&lt;&gt;"",V1465,"")))</f>
        <v/>
      </c>
      <c r="AK1465" s="83" t="str">
        <f aca="false">IF(E1465="","",IF(P1465="","À SOUDER",IF(S1465="","VT EN ATTENTE",IF(S1465="R","VT REJETÉ – À REPRENDRE",IF(AJ1465="","À RADIOGRAPHIER",IF(AJ1465="A","ACCEPTÉ",IF(AJ1465="NX","NX – RT À REFAIRE",IF(IF(AI1465=1,X1465,IF(AI1465=2,AC1465,""))="A","RÉPARÉ – À RADIOGRAPHIER",IF(IF(AI1465=1,X1465,IF(AI1465=2,AC1465,""))="R","VT REJETÉ – À REPRENDRE",IF(AJ1465="CO","COUPE – À RESOUDER","À RÉPARER"))))))))))</f>
        <v/>
      </c>
      <c r="AL1465" s="82" t="str">
        <f aca="false">IF(AND(ISNUMBER(P1465),OR(AK1465="À RADIOGRAPHIER",AK1465="RÉPARÉ – À RADIOGRAPHIER",AK1465="NX – RT À REFAIRE",AK1465="À RÉPARER",AK1465="COUPE – À RESOUDER",AK1465="VT REJETÉ – À REPRENDRE")),MAX(0,'PROGRAMME RT'!$C$4-P1465),"")</f>
        <v/>
      </c>
      <c r="AM1465" s="78" t="n">
        <f aca="false">IF(AND(OR(AK1465="À RADIOGRAPHIER",AK1465="RÉPARÉ – À RADIOGRAPHIER",AK1465="NX – RT À REFAIRE"),OR('PROGRAMME RT'!$D$5="TOUTES",B1465='PROGRAMME RT'!$D$5)),1,0)</f>
        <v>0</v>
      </c>
      <c r="AN1465" s="78" t="str">
        <f aca="false">IF(AM1465=1,SUM(AM$7:AM1465),"")</f>
        <v/>
      </c>
      <c r="AO1465" s="78" t="n">
        <f aca="false">IF(AND(OR(AK1465="À RÉPARER",AK1465="COUPE – À RESOUDER",AK1465="VT REJETÉ – À REPRENDRE"),OR(RÉPARATIONS!$D$5="TOUTES",B1465=RÉPARATIONS!$D$5)),1,0)</f>
        <v>0</v>
      </c>
      <c r="AP1465" s="78" t="str">
        <f aca="false">IF(AO1465=1,SUM(AO$7:AO1465),"")</f>
        <v/>
      </c>
    </row>
    <row r="1466" customFormat="false" ht="15" hidden="false" customHeight="false" outlineLevel="0" collapsed="false">
      <c r="A1466" s="78" t="str">
        <f aca="false">IF(E1466="","",ROW()-6)</f>
        <v/>
      </c>
      <c r="B1466" s="79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0"/>
      <c r="P1466" s="81"/>
      <c r="Q1466" s="81"/>
      <c r="R1466" s="80"/>
      <c r="S1466" s="80"/>
      <c r="T1466" s="81"/>
      <c r="U1466" s="80"/>
      <c r="V1466" s="80"/>
      <c r="W1466" s="80"/>
      <c r="X1466" s="80"/>
      <c r="Y1466" s="81"/>
      <c r="Z1466" s="80"/>
      <c r="AA1466" s="80"/>
      <c r="AB1466" s="80"/>
      <c r="AC1466" s="80"/>
      <c r="AD1466" s="81"/>
      <c r="AE1466" s="80"/>
      <c r="AF1466" s="80"/>
      <c r="AG1466" s="81"/>
      <c r="AH1466" s="79"/>
      <c r="AI1466" s="78" t="str">
        <f aca="false">IF(E1466="","",(V1466&lt;&gt;"")+(AA1466&lt;&gt;"")+(AF1466&lt;&gt;""))</f>
        <v/>
      </c>
      <c r="AJ1466" s="82" t="str">
        <f aca="false">IF(AF1466&lt;&gt;"",AF1466,IF(AA1466&lt;&gt;"",AA1466,IF(V1466&lt;&gt;"",V1466,"")))</f>
        <v/>
      </c>
      <c r="AK1466" s="83" t="str">
        <f aca="false">IF(E1466="","",IF(P1466="","À SOUDER",IF(S1466="","VT EN ATTENTE",IF(S1466="R","VT REJETÉ – À REPRENDRE",IF(AJ1466="","À RADIOGRAPHIER",IF(AJ1466="A","ACCEPTÉ",IF(AJ1466="NX","NX – RT À REFAIRE",IF(IF(AI1466=1,X1466,IF(AI1466=2,AC1466,""))="A","RÉPARÉ – À RADIOGRAPHIER",IF(IF(AI1466=1,X1466,IF(AI1466=2,AC1466,""))="R","VT REJETÉ – À REPRENDRE",IF(AJ1466="CO","COUPE – À RESOUDER","À RÉPARER"))))))))))</f>
        <v/>
      </c>
      <c r="AL1466" s="82" t="str">
        <f aca="false">IF(AND(ISNUMBER(P1466),OR(AK1466="À RADIOGRAPHIER",AK1466="RÉPARÉ – À RADIOGRAPHIER",AK1466="NX – RT À REFAIRE",AK1466="À RÉPARER",AK1466="COUPE – À RESOUDER",AK1466="VT REJETÉ – À REPRENDRE")),MAX(0,'PROGRAMME RT'!$C$4-P1466),"")</f>
        <v/>
      </c>
      <c r="AM1466" s="78" t="n">
        <f aca="false">IF(AND(OR(AK1466="À RADIOGRAPHIER",AK1466="RÉPARÉ – À RADIOGRAPHIER",AK1466="NX – RT À REFAIRE"),OR('PROGRAMME RT'!$D$5="TOUTES",B1466='PROGRAMME RT'!$D$5)),1,0)</f>
        <v>0</v>
      </c>
      <c r="AN1466" s="78" t="str">
        <f aca="false">IF(AM1466=1,SUM(AM$7:AM1466),"")</f>
        <v/>
      </c>
      <c r="AO1466" s="78" t="n">
        <f aca="false">IF(AND(OR(AK1466="À RÉPARER",AK1466="COUPE – À RESOUDER",AK1466="VT REJETÉ – À REPRENDRE"),OR(RÉPARATIONS!$D$5="TOUTES",B1466=RÉPARATIONS!$D$5)),1,0)</f>
        <v>0</v>
      </c>
      <c r="AP1466" s="78" t="str">
        <f aca="false">IF(AO1466=1,SUM(AO$7:AO1466),"")</f>
        <v/>
      </c>
    </row>
    <row r="1467" customFormat="false" ht="15" hidden="false" customHeight="false" outlineLevel="0" collapsed="false">
      <c r="A1467" s="78" t="str">
        <f aca="false">IF(E1467="","",ROW()-6)</f>
        <v/>
      </c>
      <c r="B1467" s="79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0"/>
      <c r="P1467" s="81"/>
      <c r="Q1467" s="81"/>
      <c r="R1467" s="80"/>
      <c r="S1467" s="80"/>
      <c r="T1467" s="81"/>
      <c r="U1467" s="80"/>
      <c r="V1467" s="80"/>
      <c r="W1467" s="80"/>
      <c r="X1467" s="80"/>
      <c r="Y1467" s="81"/>
      <c r="Z1467" s="80"/>
      <c r="AA1467" s="80"/>
      <c r="AB1467" s="80"/>
      <c r="AC1467" s="80"/>
      <c r="AD1467" s="81"/>
      <c r="AE1467" s="80"/>
      <c r="AF1467" s="80"/>
      <c r="AG1467" s="81"/>
      <c r="AH1467" s="79"/>
      <c r="AI1467" s="78" t="str">
        <f aca="false">IF(E1467="","",(V1467&lt;&gt;"")+(AA1467&lt;&gt;"")+(AF1467&lt;&gt;""))</f>
        <v/>
      </c>
      <c r="AJ1467" s="82" t="str">
        <f aca="false">IF(AF1467&lt;&gt;"",AF1467,IF(AA1467&lt;&gt;"",AA1467,IF(V1467&lt;&gt;"",V1467,"")))</f>
        <v/>
      </c>
      <c r="AK1467" s="83" t="str">
        <f aca="false">IF(E1467="","",IF(P1467="","À SOUDER",IF(S1467="","VT EN ATTENTE",IF(S1467="R","VT REJETÉ – À REPRENDRE",IF(AJ1467="","À RADIOGRAPHIER",IF(AJ1467="A","ACCEPTÉ",IF(AJ1467="NX","NX – RT À REFAIRE",IF(IF(AI1467=1,X1467,IF(AI1467=2,AC1467,""))="A","RÉPARÉ – À RADIOGRAPHIER",IF(IF(AI1467=1,X1467,IF(AI1467=2,AC1467,""))="R","VT REJETÉ – À REPRENDRE",IF(AJ1467="CO","COUPE – À RESOUDER","À RÉPARER"))))))))))</f>
        <v/>
      </c>
      <c r="AL1467" s="82" t="str">
        <f aca="false">IF(AND(ISNUMBER(P1467),OR(AK1467="À RADIOGRAPHIER",AK1467="RÉPARÉ – À RADIOGRAPHIER",AK1467="NX – RT À REFAIRE",AK1467="À RÉPARER",AK1467="COUPE – À RESOUDER",AK1467="VT REJETÉ – À REPRENDRE")),MAX(0,'PROGRAMME RT'!$C$4-P1467),"")</f>
        <v/>
      </c>
      <c r="AM1467" s="78" t="n">
        <f aca="false">IF(AND(OR(AK1467="À RADIOGRAPHIER",AK1467="RÉPARÉ – À RADIOGRAPHIER",AK1467="NX – RT À REFAIRE"),OR('PROGRAMME RT'!$D$5="TOUTES",B1467='PROGRAMME RT'!$D$5)),1,0)</f>
        <v>0</v>
      </c>
      <c r="AN1467" s="78" t="str">
        <f aca="false">IF(AM1467=1,SUM(AM$7:AM1467),"")</f>
        <v/>
      </c>
      <c r="AO1467" s="78" t="n">
        <f aca="false">IF(AND(OR(AK1467="À RÉPARER",AK1467="COUPE – À RESOUDER",AK1467="VT REJETÉ – À REPRENDRE"),OR(RÉPARATIONS!$D$5="TOUTES",B1467=RÉPARATIONS!$D$5)),1,0)</f>
        <v>0</v>
      </c>
      <c r="AP1467" s="78" t="str">
        <f aca="false">IF(AO1467=1,SUM(AO$7:AO1467),"")</f>
        <v/>
      </c>
    </row>
    <row r="1468" customFormat="false" ht="15" hidden="false" customHeight="false" outlineLevel="0" collapsed="false">
      <c r="A1468" s="78" t="str">
        <f aca="false">IF(E1468="","",ROW()-6)</f>
        <v/>
      </c>
      <c r="B1468" s="79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0"/>
      <c r="P1468" s="81"/>
      <c r="Q1468" s="81"/>
      <c r="R1468" s="80"/>
      <c r="S1468" s="80"/>
      <c r="T1468" s="81"/>
      <c r="U1468" s="80"/>
      <c r="V1468" s="80"/>
      <c r="W1468" s="80"/>
      <c r="X1468" s="80"/>
      <c r="Y1468" s="81"/>
      <c r="Z1468" s="80"/>
      <c r="AA1468" s="80"/>
      <c r="AB1468" s="80"/>
      <c r="AC1468" s="80"/>
      <c r="AD1468" s="81"/>
      <c r="AE1468" s="80"/>
      <c r="AF1468" s="80"/>
      <c r="AG1468" s="81"/>
      <c r="AH1468" s="79"/>
      <c r="AI1468" s="78" t="str">
        <f aca="false">IF(E1468="","",(V1468&lt;&gt;"")+(AA1468&lt;&gt;"")+(AF1468&lt;&gt;""))</f>
        <v/>
      </c>
      <c r="AJ1468" s="82" t="str">
        <f aca="false">IF(AF1468&lt;&gt;"",AF1468,IF(AA1468&lt;&gt;"",AA1468,IF(V1468&lt;&gt;"",V1468,"")))</f>
        <v/>
      </c>
      <c r="AK1468" s="83" t="str">
        <f aca="false">IF(E1468="","",IF(P1468="","À SOUDER",IF(S1468="","VT EN ATTENTE",IF(S1468="R","VT REJETÉ – À REPRENDRE",IF(AJ1468="","À RADIOGRAPHIER",IF(AJ1468="A","ACCEPTÉ",IF(AJ1468="NX","NX – RT À REFAIRE",IF(IF(AI1468=1,X1468,IF(AI1468=2,AC1468,""))="A","RÉPARÉ – À RADIOGRAPHIER",IF(IF(AI1468=1,X1468,IF(AI1468=2,AC1468,""))="R","VT REJETÉ – À REPRENDRE",IF(AJ1468="CO","COUPE – À RESOUDER","À RÉPARER"))))))))))</f>
        <v/>
      </c>
      <c r="AL1468" s="82" t="str">
        <f aca="false">IF(AND(ISNUMBER(P1468),OR(AK1468="À RADIOGRAPHIER",AK1468="RÉPARÉ – À RADIOGRAPHIER",AK1468="NX – RT À REFAIRE",AK1468="À RÉPARER",AK1468="COUPE – À RESOUDER",AK1468="VT REJETÉ – À REPRENDRE")),MAX(0,'PROGRAMME RT'!$C$4-P1468),"")</f>
        <v/>
      </c>
      <c r="AM1468" s="78" t="n">
        <f aca="false">IF(AND(OR(AK1468="À RADIOGRAPHIER",AK1468="RÉPARÉ – À RADIOGRAPHIER",AK1468="NX – RT À REFAIRE"),OR('PROGRAMME RT'!$D$5="TOUTES",B1468='PROGRAMME RT'!$D$5)),1,0)</f>
        <v>0</v>
      </c>
      <c r="AN1468" s="78" t="str">
        <f aca="false">IF(AM1468=1,SUM(AM$7:AM1468),"")</f>
        <v/>
      </c>
      <c r="AO1468" s="78" t="n">
        <f aca="false">IF(AND(OR(AK1468="À RÉPARER",AK1468="COUPE – À RESOUDER",AK1468="VT REJETÉ – À REPRENDRE"),OR(RÉPARATIONS!$D$5="TOUTES",B1468=RÉPARATIONS!$D$5)),1,0)</f>
        <v>0</v>
      </c>
      <c r="AP1468" s="78" t="str">
        <f aca="false">IF(AO1468=1,SUM(AO$7:AO1468),"")</f>
        <v/>
      </c>
    </row>
    <row r="1469" customFormat="false" ht="15" hidden="false" customHeight="false" outlineLevel="0" collapsed="false">
      <c r="A1469" s="78" t="str">
        <f aca="false">IF(E1469="","",ROW()-6)</f>
        <v/>
      </c>
      <c r="B1469" s="79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0"/>
      <c r="P1469" s="81"/>
      <c r="Q1469" s="81"/>
      <c r="R1469" s="80"/>
      <c r="S1469" s="80"/>
      <c r="T1469" s="81"/>
      <c r="U1469" s="80"/>
      <c r="V1469" s="80"/>
      <c r="W1469" s="80"/>
      <c r="X1469" s="80"/>
      <c r="Y1469" s="81"/>
      <c r="Z1469" s="80"/>
      <c r="AA1469" s="80"/>
      <c r="AB1469" s="80"/>
      <c r="AC1469" s="80"/>
      <c r="AD1469" s="81"/>
      <c r="AE1469" s="80"/>
      <c r="AF1469" s="80"/>
      <c r="AG1469" s="81"/>
      <c r="AH1469" s="79"/>
      <c r="AI1469" s="78" t="str">
        <f aca="false">IF(E1469="","",(V1469&lt;&gt;"")+(AA1469&lt;&gt;"")+(AF1469&lt;&gt;""))</f>
        <v/>
      </c>
      <c r="AJ1469" s="82" t="str">
        <f aca="false">IF(AF1469&lt;&gt;"",AF1469,IF(AA1469&lt;&gt;"",AA1469,IF(V1469&lt;&gt;"",V1469,"")))</f>
        <v/>
      </c>
      <c r="AK1469" s="83" t="str">
        <f aca="false">IF(E1469="","",IF(P1469="","À SOUDER",IF(S1469="","VT EN ATTENTE",IF(S1469="R","VT REJETÉ – À REPRENDRE",IF(AJ1469="","À RADIOGRAPHIER",IF(AJ1469="A","ACCEPTÉ",IF(AJ1469="NX","NX – RT À REFAIRE",IF(IF(AI1469=1,X1469,IF(AI1469=2,AC1469,""))="A","RÉPARÉ – À RADIOGRAPHIER",IF(IF(AI1469=1,X1469,IF(AI1469=2,AC1469,""))="R","VT REJETÉ – À REPRENDRE",IF(AJ1469="CO","COUPE – À RESOUDER","À RÉPARER"))))))))))</f>
        <v/>
      </c>
      <c r="AL1469" s="82" t="str">
        <f aca="false">IF(AND(ISNUMBER(P1469),OR(AK1469="À RADIOGRAPHIER",AK1469="RÉPARÉ – À RADIOGRAPHIER",AK1469="NX – RT À REFAIRE",AK1469="À RÉPARER",AK1469="COUPE – À RESOUDER",AK1469="VT REJETÉ – À REPRENDRE")),MAX(0,'PROGRAMME RT'!$C$4-P1469),"")</f>
        <v/>
      </c>
      <c r="AM1469" s="78" t="n">
        <f aca="false">IF(AND(OR(AK1469="À RADIOGRAPHIER",AK1469="RÉPARÉ – À RADIOGRAPHIER",AK1469="NX – RT À REFAIRE"),OR('PROGRAMME RT'!$D$5="TOUTES",B1469='PROGRAMME RT'!$D$5)),1,0)</f>
        <v>0</v>
      </c>
      <c r="AN1469" s="78" t="str">
        <f aca="false">IF(AM1469=1,SUM(AM$7:AM1469),"")</f>
        <v/>
      </c>
      <c r="AO1469" s="78" t="n">
        <f aca="false">IF(AND(OR(AK1469="À RÉPARER",AK1469="COUPE – À RESOUDER",AK1469="VT REJETÉ – À REPRENDRE"),OR(RÉPARATIONS!$D$5="TOUTES",B1469=RÉPARATIONS!$D$5)),1,0)</f>
        <v>0</v>
      </c>
      <c r="AP1469" s="78" t="str">
        <f aca="false">IF(AO1469=1,SUM(AO$7:AO1469),"")</f>
        <v/>
      </c>
    </row>
    <row r="1470" customFormat="false" ht="15" hidden="false" customHeight="false" outlineLevel="0" collapsed="false">
      <c r="A1470" s="78" t="str">
        <f aca="false">IF(E1470="","",ROW()-6)</f>
        <v/>
      </c>
      <c r="B1470" s="79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0"/>
      <c r="P1470" s="81"/>
      <c r="Q1470" s="81"/>
      <c r="R1470" s="80"/>
      <c r="S1470" s="80"/>
      <c r="T1470" s="81"/>
      <c r="U1470" s="80"/>
      <c r="V1470" s="80"/>
      <c r="W1470" s="80"/>
      <c r="X1470" s="80"/>
      <c r="Y1470" s="81"/>
      <c r="Z1470" s="80"/>
      <c r="AA1470" s="80"/>
      <c r="AB1470" s="80"/>
      <c r="AC1470" s="80"/>
      <c r="AD1470" s="81"/>
      <c r="AE1470" s="80"/>
      <c r="AF1470" s="80"/>
      <c r="AG1470" s="81"/>
      <c r="AH1470" s="79"/>
      <c r="AI1470" s="78" t="str">
        <f aca="false">IF(E1470="","",(V1470&lt;&gt;"")+(AA1470&lt;&gt;"")+(AF1470&lt;&gt;""))</f>
        <v/>
      </c>
      <c r="AJ1470" s="82" t="str">
        <f aca="false">IF(AF1470&lt;&gt;"",AF1470,IF(AA1470&lt;&gt;"",AA1470,IF(V1470&lt;&gt;"",V1470,"")))</f>
        <v/>
      </c>
      <c r="AK1470" s="83" t="str">
        <f aca="false">IF(E1470="","",IF(P1470="","À SOUDER",IF(S1470="","VT EN ATTENTE",IF(S1470="R","VT REJETÉ – À REPRENDRE",IF(AJ1470="","À RADIOGRAPHIER",IF(AJ1470="A","ACCEPTÉ",IF(AJ1470="NX","NX – RT À REFAIRE",IF(IF(AI1470=1,X1470,IF(AI1470=2,AC1470,""))="A","RÉPARÉ – À RADIOGRAPHIER",IF(IF(AI1470=1,X1470,IF(AI1470=2,AC1470,""))="R","VT REJETÉ – À REPRENDRE",IF(AJ1470="CO","COUPE – À RESOUDER","À RÉPARER"))))))))))</f>
        <v/>
      </c>
      <c r="AL1470" s="82" t="str">
        <f aca="false">IF(AND(ISNUMBER(P1470),OR(AK1470="À RADIOGRAPHIER",AK1470="RÉPARÉ – À RADIOGRAPHIER",AK1470="NX – RT À REFAIRE",AK1470="À RÉPARER",AK1470="COUPE – À RESOUDER",AK1470="VT REJETÉ – À REPRENDRE")),MAX(0,'PROGRAMME RT'!$C$4-P1470),"")</f>
        <v/>
      </c>
      <c r="AM1470" s="78" t="n">
        <f aca="false">IF(AND(OR(AK1470="À RADIOGRAPHIER",AK1470="RÉPARÉ – À RADIOGRAPHIER",AK1470="NX – RT À REFAIRE"),OR('PROGRAMME RT'!$D$5="TOUTES",B1470='PROGRAMME RT'!$D$5)),1,0)</f>
        <v>0</v>
      </c>
      <c r="AN1470" s="78" t="str">
        <f aca="false">IF(AM1470=1,SUM(AM$7:AM1470),"")</f>
        <v/>
      </c>
      <c r="AO1470" s="78" t="n">
        <f aca="false">IF(AND(OR(AK1470="À RÉPARER",AK1470="COUPE – À RESOUDER",AK1470="VT REJETÉ – À REPRENDRE"),OR(RÉPARATIONS!$D$5="TOUTES",B1470=RÉPARATIONS!$D$5)),1,0)</f>
        <v>0</v>
      </c>
      <c r="AP1470" s="78" t="str">
        <f aca="false">IF(AO1470=1,SUM(AO$7:AO1470),"")</f>
        <v/>
      </c>
    </row>
    <row r="1471" customFormat="false" ht="15" hidden="false" customHeight="false" outlineLevel="0" collapsed="false">
      <c r="A1471" s="78" t="str">
        <f aca="false">IF(E1471="","",ROW()-6)</f>
        <v/>
      </c>
      <c r="B1471" s="79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0"/>
      <c r="P1471" s="81"/>
      <c r="Q1471" s="81"/>
      <c r="R1471" s="80"/>
      <c r="S1471" s="80"/>
      <c r="T1471" s="81"/>
      <c r="U1471" s="80"/>
      <c r="V1471" s="80"/>
      <c r="W1471" s="80"/>
      <c r="X1471" s="80"/>
      <c r="Y1471" s="81"/>
      <c r="Z1471" s="80"/>
      <c r="AA1471" s="80"/>
      <c r="AB1471" s="80"/>
      <c r="AC1471" s="80"/>
      <c r="AD1471" s="81"/>
      <c r="AE1471" s="80"/>
      <c r="AF1471" s="80"/>
      <c r="AG1471" s="81"/>
      <c r="AH1471" s="79"/>
      <c r="AI1471" s="78" t="str">
        <f aca="false">IF(E1471="","",(V1471&lt;&gt;"")+(AA1471&lt;&gt;"")+(AF1471&lt;&gt;""))</f>
        <v/>
      </c>
      <c r="AJ1471" s="82" t="str">
        <f aca="false">IF(AF1471&lt;&gt;"",AF1471,IF(AA1471&lt;&gt;"",AA1471,IF(V1471&lt;&gt;"",V1471,"")))</f>
        <v/>
      </c>
      <c r="AK1471" s="83" t="str">
        <f aca="false">IF(E1471="","",IF(P1471="","À SOUDER",IF(S1471="","VT EN ATTENTE",IF(S1471="R","VT REJETÉ – À REPRENDRE",IF(AJ1471="","À RADIOGRAPHIER",IF(AJ1471="A","ACCEPTÉ",IF(AJ1471="NX","NX – RT À REFAIRE",IF(IF(AI1471=1,X1471,IF(AI1471=2,AC1471,""))="A","RÉPARÉ – À RADIOGRAPHIER",IF(IF(AI1471=1,X1471,IF(AI1471=2,AC1471,""))="R","VT REJETÉ – À REPRENDRE",IF(AJ1471="CO","COUPE – À RESOUDER","À RÉPARER"))))))))))</f>
        <v/>
      </c>
      <c r="AL1471" s="82" t="str">
        <f aca="false">IF(AND(ISNUMBER(P1471),OR(AK1471="À RADIOGRAPHIER",AK1471="RÉPARÉ – À RADIOGRAPHIER",AK1471="NX – RT À REFAIRE",AK1471="À RÉPARER",AK1471="COUPE – À RESOUDER",AK1471="VT REJETÉ – À REPRENDRE")),MAX(0,'PROGRAMME RT'!$C$4-P1471),"")</f>
        <v/>
      </c>
      <c r="AM1471" s="78" t="n">
        <f aca="false">IF(AND(OR(AK1471="À RADIOGRAPHIER",AK1471="RÉPARÉ – À RADIOGRAPHIER",AK1471="NX – RT À REFAIRE"),OR('PROGRAMME RT'!$D$5="TOUTES",B1471='PROGRAMME RT'!$D$5)),1,0)</f>
        <v>0</v>
      </c>
      <c r="AN1471" s="78" t="str">
        <f aca="false">IF(AM1471=1,SUM(AM$7:AM1471),"")</f>
        <v/>
      </c>
      <c r="AO1471" s="78" t="n">
        <f aca="false">IF(AND(OR(AK1471="À RÉPARER",AK1471="COUPE – À RESOUDER",AK1471="VT REJETÉ – À REPRENDRE"),OR(RÉPARATIONS!$D$5="TOUTES",B1471=RÉPARATIONS!$D$5)),1,0)</f>
        <v>0</v>
      </c>
      <c r="AP1471" s="78" t="str">
        <f aca="false">IF(AO1471=1,SUM(AO$7:AO1471),"")</f>
        <v/>
      </c>
    </row>
    <row r="1472" customFormat="false" ht="15" hidden="false" customHeight="false" outlineLevel="0" collapsed="false">
      <c r="A1472" s="78" t="str">
        <f aca="false">IF(E1472="","",ROW()-6)</f>
        <v/>
      </c>
      <c r="B1472" s="79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0"/>
      <c r="P1472" s="81"/>
      <c r="Q1472" s="81"/>
      <c r="R1472" s="80"/>
      <c r="S1472" s="80"/>
      <c r="T1472" s="81"/>
      <c r="U1472" s="80"/>
      <c r="V1472" s="80"/>
      <c r="W1472" s="80"/>
      <c r="X1472" s="80"/>
      <c r="Y1472" s="81"/>
      <c r="Z1472" s="80"/>
      <c r="AA1472" s="80"/>
      <c r="AB1472" s="80"/>
      <c r="AC1472" s="80"/>
      <c r="AD1472" s="81"/>
      <c r="AE1472" s="80"/>
      <c r="AF1472" s="80"/>
      <c r="AG1472" s="81"/>
      <c r="AH1472" s="79"/>
      <c r="AI1472" s="78" t="str">
        <f aca="false">IF(E1472="","",(V1472&lt;&gt;"")+(AA1472&lt;&gt;"")+(AF1472&lt;&gt;""))</f>
        <v/>
      </c>
      <c r="AJ1472" s="82" t="str">
        <f aca="false">IF(AF1472&lt;&gt;"",AF1472,IF(AA1472&lt;&gt;"",AA1472,IF(V1472&lt;&gt;"",V1472,"")))</f>
        <v/>
      </c>
      <c r="AK1472" s="83" t="str">
        <f aca="false">IF(E1472="","",IF(P1472="","À SOUDER",IF(S1472="","VT EN ATTENTE",IF(S1472="R","VT REJETÉ – À REPRENDRE",IF(AJ1472="","À RADIOGRAPHIER",IF(AJ1472="A","ACCEPTÉ",IF(AJ1472="NX","NX – RT À REFAIRE",IF(IF(AI1472=1,X1472,IF(AI1472=2,AC1472,""))="A","RÉPARÉ – À RADIOGRAPHIER",IF(IF(AI1472=1,X1472,IF(AI1472=2,AC1472,""))="R","VT REJETÉ – À REPRENDRE",IF(AJ1472="CO","COUPE – À RESOUDER","À RÉPARER"))))))))))</f>
        <v/>
      </c>
      <c r="AL1472" s="82" t="str">
        <f aca="false">IF(AND(ISNUMBER(P1472),OR(AK1472="À RADIOGRAPHIER",AK1472="RÉPARÉ – À RADIOGRAPHIER",AK1472="NX – RT À REFAIRE",AK1472="À RÉPARER",AK1472="COUPE – À RESOUDER",AK1472="VT REJETÉ – À REPRENDRE")),MAX(0,'PROGRAMME RT'!$C$4-P1472),"")</f>
        <v/>
      </c>
      <c r="AM1472" s="78" t="n">
        <f aca="false">IF(AND(OR(AK1472="À RADIOGRAPHIER",AK1472="RÉPARÉ – À RADIOGRAPHIER",AK1472="NX – RT À REFAIRE"),OR('PROGRAMME RT'!$D$5="TOUTES",B1472='PROGRAMME RT'!$D$5)),1,0)</f>
        <v>0</v>
      </c>
      <c r="AN1472" s="78" t="str">
        <f aca="false">IF(AM1472=1,SUM(AM$7:AM1472),"")</f>
        <v/>
      </c>
      <c r="AO1472" s="78" t="n">
        <f aca="false">IF(AND(OR(AK1472="À RÉPARER",AK1472="COUPE – À RESOUDER",AK1472="VT REJETÉ – À REPRENDRE"),OR(RÉPARATIONS!$D$5="TOUTES",B1472=RÉPARATIONS!$D$5)),1,0)</f>
        <v>0</v>
      </c>
      <c r="AP1472" s="78" t="str">
        <f aca="false">IF(AO1472=1,SUM(AO$7:AO1472),"")</f>
        <v/>
      </c>
    </row>
    <row r="1473" customFormat="false" ht="15" hidden="false" customHeight="false" outlineLevel="0" collapsed="false">
      <c r="A1473" s="78" t="str">
        <f aca="false">IF(E1473="","",ROW()-6)</f>
        <v/>
      </c>
      <c r="B1473" s="79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0"/>
      <c r="P1473" s="81"/>
      <c r="Q1473" s="81"/>
      <c r="R1473" s="80"/>
      <c r="S1473" s="80"/>
      <c r="T1473" s="81"/>
      <c r="U1473" s="80"/>
      <c r="V1473" s="80"/>
      <c r="W1473" s="80"/>
      <c r="X1473" s="80"/>
      <c r="Y1473" s="81"/>
      <c r="Z1473" s="80"/>
      <c r="AA1473" s="80"/>
      <c r="AB1473" s="80"/>
      <c r="AC1473" s="80"/>
      <c r="AD1473" s="81"/>
      <c r="AE1473" s="80"/>
      <c r="AF1473" s="80"/>
      <c r="AG1473" s="81"/>
      <c r="AH1473" s="79"/>
      <c r="AI1473" s="78" t="str">
        <f aca="false">IF(E1473="","",(V1473&lt;&gt;"")+(AA1473&lt;&gt;"")+(AF1473&lt;&gt;""))</f>
        <v/>
      </c>
      <c r="AJ1473" s="82" t="str">
        <f aca="false">IF(AF1473&lt;&gt;"",AF1473,IF(AA1473&lt;&gt;"",AA1473,IF(V1473&lt;&gt;"",V1473,"")))</f>
        <v/>
      </c>
      <c r="AK1473" s="83" t="str">
        <f aca="false">IF(E1473="","",IF(P1473="","À SOUDER",IF(S1473="","VT EN ATTENTE",IF(S1473="R","VT REJETÉ – À REPRENDRE",IF(AJ1473="","À RADIOGRAPHIER",IF(AJ1473="A","ACCEPTÉ",IF(AJ1473="NX","NX – RT À REFAIRE",IF(IF(AI1473=1,X1473,IF(AI1473=2,AC1473,""))="A","RÉPARÉ – À RADIOGRAPHIER",IF(IF(AI1473=1,X1473,IF(AI1473=2,AC1473,""))="R","VT REJETÉ – À REPRENDRE",IF(AJ1473="CO","COUPE – À RESOUDER","À RÉPARER"))))))))))</f>
        <v/>
      </c>
      <c r="AL1473" s="82" t="str">
        <f aca="false">IF(AND(ISNUMBER(P1473),OR(AK1473="À RADIOGRAPHIER",AK1473="RÉPARÉ – À RADIOGRAPHIER",AK1473="NX – RT À REFAIRE",AK1473="À RÉPARER",AK1473="COUPE – À RESOUDER",AK1473="VT REJETÉ – À REPRENDRE")),MAX(0,'PROGRAMME RT'!$C$4-P1473),"")</f>
        <v/>
      </c>
      <c r="AM1473" s="78" t="n">
        <f aca="false">IF(AND(OR(AK1473="À RADIOGRAPHIER",AK1473="RÉPARÉ – À RADIOGRAPHIER",AK1473="NX – RT À REFAIRE"),OR('PROGRAMME RT'!$D$5="TOUTES",B1473='PROGRAMME RT'!$D$5)),1,0)</f>
        <v>0</v>
      </c>
      <c r="AN1473" s="78" t="str">
        <f aca="false">IF(AM1473=1,SUM(AM$7:AM1473),"")</f>
        <v/>
      </c>
      <c r="AO1473" s="78" t="n">
        <f aca="false">IF(AND(OR(AK1473="À RÉPARER",AK1473="COUPE – À RESOUDER",AK1473="VT REJETÉ – À REPRENDRE"),OR(RÉPARATIONS!$D$5="TOUTES",B1473=RÉPARATIONS!$D$5)),1,0)</f>
        <v>0</v>
      </c>
      <c r="AP1473" s="78" t="str">
        <f aca="false">IF(AO1473=1,SUM(AO$7:AO1473),"")</f>
        <v/>
      </c>
    </row>
    <row r="1474" customFormat="false" ht="15" hidden="false" customHeight="false" outlineLevel="0" collapsed="false">
      <c r="A1474" s="78" t="str">
        <f aca="false">IF(E1474="","",ROW()-6)</f>
        <v/>
      </c>
      <c r="B1474" s="79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0"/>
      <c r="P1474" s="81"/>
      <c r="Q1474" s="81"/>
      <c r="R1474" s="80"/>
      <c r="S1474" s="80"/>
      <c r="T1474" s="81"/>
      <c r="U1474" s="80"/>
      <c r="V1474" s="80"/>
      <c r="W1474" s="80"/>
      <c r="X1474" s="80"/>
      <c r="Y1474" s="81"/>
      <c r="Z1474" s="80"/>
      <c r="AA1474" s="80"/>
      <c r="AB1474" s="80"/>
      <c r="AC1474" s="80"/>
      <c r="AD1474" s="81"/>
      <c r="AE1474" s="80"/>
      <c r="AF1474" s="80"/>
      <c r="AG1474" s="81"/>
      <c r="AH1474" s="79"/>
      <c r="AI1474" s="78" t="str">
        <f aca="false">IF(E1474="","",(V1474&lt;&gt;"")+(AA1474&lt;&gt;"")+(AF1474&lt;&gt;""))</f>
        <v/>
      </c>
      <c r="AJ1474" s="82" t="str">
        <f aca="false">IF(AF1474&lt;&gt;"",AF1474,IF(AA1474&lt;&gt;"",AA1474,IF(V1474&lt;&gt;"",V1474,"")))</f>
        <v/>
      </c>
      <c r="AK1474" s="83" t="str">
        <f aca="false">IF(E1474="","",IF(P1474="","À SOUDER",IF(S1474="","VT EN ATTENTE",IF(S1474="R","VT REJETÉ – À REPRENDRE",IF(AJ1474="","À RADIOGRAPHIER",IF(AJ1474="A","ACCEPTÉ",IF(AJ1474="NX","NX – RT À REFAIRE",IF(IF(AI1474=1,X1474,IF(AI1474=2,AC1474,""))="A","RÉPARÉ – À RADIOGRAPHIER",IF(IF(AI1474=1,X1474,IF(AI1474=2,AC1474,""))="R","VT REJETÉ – À REPRENDRE",IF(AJ1474="CO","COUPE – À RESOUDER","À RÉPARER"))))))))))</f>
        <v/>
      </c>
      <c r="AL1474" s="82" t="str">
        <f aca="false">IF(AND(ISNUMBER(P1474),OR(AK1474="À RADIOGRAPHIER",AK1474="RÉPARÉ – À RADIOGRAPHIER",AK1474="NX – RT À REFAIRE",AK1474="À RÉPARER",AK1474="COUPE – À RESOUDER",AK1474="VT REJETÉ – À REPRENDRE")),MAX(0,'PROGRAMME RT'!$C$4-P1474),"")</f>
        <v/>
      </c>
      <c r="AM1474" s="78" t="n">
        <f aca="false">IF(AND(OR(AK1474="À RADIOGRAPHIER",AK1474="RÉPARÉ – À RADIOGRAPHIER",AK1474="NX – RT À REFAIRE"),OR('PROGRAMME RT'!$D$5="TOUTES",B1474='PROGRAMME RT'!$D$5)),1,0)</f>
        <v>0</v>
      </c>
      <c r="AN1474" s="78" t="str">
        <f aca="false">IF(AM1474=1,SUM(AM$7:AM1474),"")</f>
        <v/>
      </c>
      <c r="AO1474" s="78" t="n">
        <f aca="false">IF(AND(OR(AK1474="À RÉPARER",AK1474="COUPE – À RESOUDER",AK1474="VT REJETÉ – À REPRENDRE"),OR(RÉPARATIONS!$D$5="TOUTES",B1474=RÉPARATIONS!$D$5)),1,0)</f>
        <v>0</v>
      </c>
      <c r="AP1474" s="78" t="str">
        <f aca="false">IF(AO1474=1,SUM(AO$7:AO1474),"")</f>
        <v/>
      </c>
    </row>
    <row r="1475" customFormat="false" ht="15" hidden="false" customHeight="false" outlineLevel="0" collapsed="false">
      <c r="A1475" s="78" t="str">
        <f aca="false">IF(E1475="","",ROW()-6)</f>
        <v/>
      </c>
      <c r="B1475" s="79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0"/>
      <c r="P1475" s="81"/>
      <c r="Q1475" s="81"/>
      <c r="R1475" s="80"/>
      <c r="S1475" s="80"/>
      <c r="T1475" s="81"/>
      <c r="U1475" s="80"/>
      <c r="V1475" s="80"/>
      <c r="W1475" s="80"/>
      <c r="X1475" s="80"/>
      <c r="Y1475" s="81"/>
      <c r="Z1475" s="80"/>
      <c r="AA1475" s="80"/>
      <c r="AB1475" s="80"/>
      <c r="AC1475" s="80"/>
      <c r="AD1475" s="81"/>
      <c r="AE1475" s="80"/>
      <c r="AF1475" s="80"/>
      <c r="AG1475" s="81"/>
      <c r="AH1475" s="79"/>
      <c r="AI1475" s="78" t="str">
        <f aca="false">IF(E1475="","",(V1475&lt;&gt;"")+(AA1475&lt;&gt;"")+(AF1475&lt;&gt;""))</f>
        <v/>
      </c>
      <c r="AJ1475" s="82" t="str">
        <f aca="false">IF(AF1475&lt;&gt;"",AF1475,IF(AA1475&lt;&gt;"",AA1475,IF(V1475&lt;&gt;"",V1475,"")))</f>
        <v/>
      </c>
      <c r="AK1475" s="83" t="str">
        <f aca="false">IF(E1475="","",IF(P1475="","À SOUDER",IF(S1475="","VT EN ATTENTE",IF(S1475="R","VT REJETÉ – À REPRENDRE",IF(AJ1475="","À RADIOGRAPHIER",IF(AJ1475="A","ACCEPTÉ",IF(AJ1475="NX","NX – RT À REFAIRE",IF(IF(AI1475=1,X1475,IF(AI1475=2,AC1475,""))="A","RÉPARÉ – À RADIOGRAPHIER",IF(IF(AI1475=1,X1475,IF(AI1475=2,AC1475,""))="R","VT REJETÉ – À REPRENDRE",IF(AJ1475="CO","COUPE – À RESOUDER","À RÉPARER"))))))))))</f>
        <v/>
      </c>
      <c r="AL1475" s="82" t="str">
        <f aca="false">IF(AND(ISNUMBER(P1475),OR(AK1475="À RADIOGRAPHIER",AK1475="RÉPARÉ – À RADIOGRAPHIER",AK1475="NX – RT À REFAIRE",AK1475="À RÉPARER",AK1475="COUPE – À RESOUDER",AK1475="VT REJETÉ – À REPRENDRE")),MAX(0,'PROGRAMME RT'!$C$4-P1475),"")</f>
        <v/>
      </c>
      <c r="AM1475" s="78" t="n">
        <f aca="false">IF(AND(OR(AK1475="À RADIOGRAPHIER",AK1475="RÉPARÉ – À RADIOGRAPHIER",AK1475="NX – RT À REFAIRE"),OR('PROGRAMME RT'!$D$5="TOUTES",B1475='PROGRAMME RT'!$D$5)),1,0)</f>
        <v>0</v>
      </c>
      <c r="AN1475" s="78" t="str">
        <f aca="false">IF(AM1475=1,SUM(AM$7:AM1475),"")</f>
        <v/>
      </c>
      <c r="AO1475" s="78" t="n">
        <f aca="false">IF(AND(OR(AK1475="À RÉPARER",AK1475="COUPE – À RESOUDER",AK1475="VT REJETÉ – À REPRENDRE"),OR(RÉPARATIONS!$D$5="TOUTES",B1475=RÉPARATIONS!$D$5)),1,0)</f>
        <v>0</v>
      </c>
      <c r="AP1475" s="78" t="str">
        <f aca="false">IF(AO1475=1,SUM(AO$7:AO1475),"")</f>
        <v/>
      </c>
    </row>
    <row r="1476" customFormat="false" ht="15" hidden="false" customHeight="false" outlineLevel="0" collapsed="false">
      <c r="A1476" s="78" t="str">
        <f aca="false">IF(E1476="","",ROW()-6)</f>
        <v/>
      </c>
      <c r="B1476" s="79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0"/>
      <c r="P1476" s="81"/>
      <c r="Q1476" s="81"/>
      <c r="R1476" s="80"/>
      <c r="S1476" s="80"/>
      <c r="T1476" s="81"/>
      <c r="U1476" s="80"/>
      <c r="V1476" s="80"/>
      <c r="W1476" s="80"/>
      <c r="X1476" s="80"/>
      <c r="Y1476" s="81"/>
      <c r="Z1476" s="80"/>
      <c r="AA1476" s="80"/>
      <c r="AB1476" s="80"/>
      <c r="AC1476" s="80"/>
      <c r="AD1476" s="81"/>
      <c r="AE1476" s="80"/>
      <c r="AF1476" s="80"/>
      <c r="AG1476" s="81"/>
      <c r="AH1476" s="79"/>
      <c r="AI1476" s="78" t="str">
        <f aca="false">IF(E1476="","",(V1476&lt;&gt;"")+(AA1476&lt;&gt;"")+(AF1476&lt;&gt;""))</f>
        <v/>
      </c>
      <c r="AJ1476" s="82" t="str">
        <f aca="false">IF(AF1476&lt;&gt;"",AF1476,IF(AA1476&lt;&gt;"",AA1476,IF(V1476&lt;&gt;"",V1476,"")))</f>
        <v/>
      </c>
      <c r="AK1476" s="83" t="str">
        <f aca="false">IF(E1476="","",IF(P1476="","À SOUDER",IF(S1476="","VT EN ATTENTE",IF(S1476="R","VT REJETÉ – À REPRENDRE",IF(AJ1476="","À RADIOGRAPHIER",IF(AJ1476="A","ACCEPTÉ",IF(AJ1476="NX","NX – RT À REFAIRE",IF(IF(AI1476=1,X1476,IF(AI1476=2,AC1476,""))="A","RÉPARÉ – À RADIOGRAPHIER",IF(IF(AI1476=1,X1476,IF(AI1476=2,AC1476,""))="R","VT REJETÉ – À REPRENDRE",IF(AJ1476="CO","COUPE – À RESOUDER","À RÉPARER"))))))))))</f>
        <v/>
      </c>
      <c r="AL1476" s="82" t="str">
        <f aca="false">IF(AND(ISNUMBER(P1476),OR(AK1476="À RADIOGRAPHIER",AK1476="RÉPARÉ – À RADIOGRAPHIER",AK1476="NX – RT À REFAIRE",AK1476="À RÉPARER",AK1476="COUPE – À RESOUDER",AK1476="VT REJETÉ – À REPRENDRE")),MAX(0,'PROGRAMME RT'!$C$4-P1476),"")</f>
        <v/>
      </c>
      <c r="AM1476" s="78" t="n">
        <f aca="false">IF(AND(OR(AK1476="À RADIOGRAPHIER",AK1476="RÉPARÉ – À RADIOGRAPHIER",AK1476="NX – RT À REFAIRE"),OR('PROGRAMME RT'!$D$5="TOUTES",B1476='PROGRAMME RT'!$D$5)),1,0)</f>
        <v>0</v>
      </c>
      <c r="AN1476" s="78" t="str">
        <f aca="false">IF(AM1476=1,SUM(AM$7:AM1476),"")</f>
        <v/>
      </c>
      <c r="AO1476" s="78" t="n">
        <f aca="false">IF(AND(OR(AK1476="À RÉPARER",AK1476="COUPE – À RESOUDER",AK1476="VT REJETÉ – À REPRENDRE"),OR(RÉPARATIONS!$D$5="TOUTES",B1476=RÉPARATIONS!$D$5)),1,0)</f>
        <v>0</v>
      </c>
      <c r="AP1476" s="78" t="str">
        <f aca="false">IF(AO1476=1,SUM(AO$7:AO1476),"")</f>
        <v/>
      </c>
    </row>
    <row r="1477" customFormat="false" ht="15" hidden="false" customHeight="false" outlineLevel="0" collapsed="false">
      <c r="A1477" s="78" t="str">
        <f aca="false">IF(E1477="","",ROW()-6)</f>
        <v/>
      </c>
      <c r="B1477" s="79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0"/>
      <c r="P1477" s="81"/>
      <c r="Q1477" s="81"/>
      <c r="R1477" s="80"/>
      <c r="S1477" s="80"/>
      <c r="T1477" s="81"/>
      <c r="U1477" s="80"/>
      <c r="V1477" s="80"/>
      <c r="W1477" s="80"/>
      <c r="X1477" s="80"/>
      <c r="Y1477" s="81"/>
      <c r="Z1477" s="80"/>
      <c r="AA1477" s="80"/>
      <c r="AB1477" s="80"/>
      <c r="AC1477" s="80"/>
      <c r="AD1477" s="81"/>
      <c r="AE1477" s="80"/>
      <c r="AF1477" s="80"/>
      <c r="AG1477" s="81"/>
      <c r="AH1477" s="79"/>
      <c r="AI1477" s="78" t="str">
        <f aca="false">IF(E1477="","",(V1477&lt;&gt;"")+(AA1477&lt;&gt;"")+(AF1477&lt;&gt;""))</f>
        <v/>
      </c>
      <c r="AJ1477" s="82" t="str">
        <f aca="false">IF(AF1477&lt;&gt;"",AF1477,IF(AA1477&lt;&gt;"",AA1477,IF(V1477&lt;&gt;"",V1477,"")))</f>
        <v/>
      </c>
      <c r="AK1477" s="83" t="str">
        <f aca="false">IF(E1477="","",IF(P1477="","À SOUDER",IF(S1477="","VT EN ATTENTE",IF(S1477="R","VT REJETÉ – À REPRENDRE",IF(AJ1477="","À RADIOGRAPHIER",IF(AJ1477="A","ACCEPTÉ",IF(AJ1477="NX","NX – RT À REFAIRE",IF(IF(AI1477=1,X1477,IF(AI1477=2,AC1477,""))="A","RÉPARÉ – À RADIOGRAPHIER",IF(IF(AI1477=1,X1477,IF(AI1477=2,AC1477,""))="R","VT REJETÉ – À REPRENDRE",IF(AJ1477="CO","COUPE – À RESOUDER","À RÉPARER"))))))))))</f>
        <v/>
      </c>
      <c r="AL1477" s="82" t="str">
        <f aca="false">IF(AND(ISNUMBER(P1477),OR(AK1477="À RADIOGRAPHIER",AK1477="RÉPARÉ – À RADIOGRAPHIER",AK1477="NX – RT À REFAIRE",AK1477="À RÉPARER",AK1477="COUPE – À RESOUDER",AK1477="VT REJETÉ – À REPRENDRE")),MAX(0,'PROGRAMME RT'!$C$4-P1477),"")</f>
        <v/>
      </c>
      <c r="AM1477" s="78" t="n">
        <f aca="false">IF(AND(OR(AK1477="À RADIOGRAPHIER",AK1477="RÉPARÉ – À RADIOGRAPHIER",AK1477="NX – RT À REFAIRE"),OR('PROGRAMME RT'!$D$5="TOUTES",B1477='PROGRAMME RT'!$D$5)),1,0)</f>
        <v>0</v>
      </c>
      <c r="AN1477" s="78" t="str">
        <f aca="false">IF(AM1477=1,SUM(AM$7:AM1477),"")</f>
        <v/>
      </c>
      <c r="AO1477" s="78" t="n">
        <f aca="false">IF(AND(OR(AK1477="À RÉPARER",AK1477="COUPE – À RESOUDER",AK1477="VT REJETÉ – À REPRENDRE"),OR(RÉPARATIONS!$D$5="TOUTES",B1477=RÉPARATIONS!$D$5)),1,0)</f>
        <v>0</v>
      </c>
      <c r="AP1477" s="78" t="str">
        <f aca="false">IF(AO1477=1,SUM(AO$7:AO1477),"")</f>
        <v/>
      </c>
    </row>
    <row r="1478" customFormat="false" ht="15" hidden="false" customHeight="false" outlineLevel="0" collapsed="false">
      <c r="A1478" s="78" t="str">
        <f aca="false">IF(E1478="","",ROW()-6)</f>
        <v/>
      </c>
      <c r="B1478" s="79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0"/>
      <c r="P1478" s="81"/>
      <c r="Q1478" s="81"/>
      <c r="R1478" s="80"/>
      <c r="S1478" s="80"/>
      <c r="T1478" s="81"/>
      <c r="U1478" s="80"/>
      <c r="V1478" s="80"/>
      <c r="W1478" s="80"/>
      <c r="X1478" s="80"/>
      <c r="Y1478" s="81"/>
      <c r="Z1478" s="80"/>
      <c r="AA1478" s="80"/>
      <c r="AB1478" s="80"/>
      <c r="AC1478" s="80"/>
      <c r="AD1478" s="81"/>
      <c r="AE1478" s="80"/>
      <c r="AF1478" s="80"/>
      <c r="AG1478" s="81"/>
      <c r="AH1478" s="79"/>
      <c r="AI1478" s="78" t="str">
        <f aca="false">IF(E1478="","",(V1478&lt;&gt;"")+(AA1478&lt;&gt;"")+(AF1478&lt;&gt;""))</f>
        <v/>
      </c>
      <c r="AJ1478" s="82" t="str">
        <f aca="false">IF(AF1478&lt;&gt;"",AF1478,IF(AA1478&lt;&gt;"",AA1478,IF(V1478&lt;&gt;"",V1478,"")))</f>
        <v/>
      </c>
      <c r="AK1478" s="83" t="str">
        <f aca="false">IF(E1478="","",IF(P1478="","À SOUDER",IF(S1478="","VT EN ATTENTE",IF(S1478="R","VT REJETÉ – À REPRENDRE",IF(AJ1478="","À RADIOGRAPHIER",IF(AJ1478="A","ACCEPTÉ",IF(AJ1478="NX","NX – RT À REFAIRE",IF(IF(AI1478=1,X1478,IF(AI1478=2,AC1478,""))="A","RÉPARÉ – À RADIOGRAPHIER",IF(IF(AI1478=1,X1478,IF(AI1478=2,AC1478,""))="R","VT REJETÉ – À REPRENDRE",IF(AJ1478="CO","COUPE – À RESOUDER","À RÉPARER"))))))))))</f>
        <v/>
      </c>
      <c r="AL1478" s="82" t="str">
        <f aca="false">IF(AND(ISNUMBER(P1478),OR(AK1478="À RADIOGRAPHIER",AK1478="RÉPARÉ – À RADIOGRAPHIER",AK1478="NX – RT À REFAIRE",AK1478="À RÉPARER",AK1478="COUPE – À RESOUDER",AK1478="VT REJETÉ – À REPRENDRE")),MAX(0,'PROGRAMME RT'!$C$4-P1478),"")</f>
        <v/>
      </c>
      <c r="AM1478" s="78" t="n">
        <f aca="false">IF(AND(OR(AK1478="À RADIOGRAPHIER",AK1478="RÉPARÉ – À RADIOGRAPHIER",AK1478="NX – RT À REFAIRE"),OR('PROGRAMME RT'!$D$5="TOUTES",B1478='PROGRAMME RT'!$D$5)),1,0)</f>
        <v>0</v>
      </c>
      <c r="AN1478" s="78" t="str">
        <f aca="false">IF(AM1478=1,SUM(AM$7:AM1478),"")</f>
        <v/>
      </c>
      <c r="AO1478" s="78" t="n">
        <f aca="false">IF(AND(OR(AK1478="À RÉPARER",AK1478="COUPE – À RESOUDER",AK1478="VT REJETÉ – À REPRENDRE"),OR(RÉPARATIONS!$D$5="TOUTES",B1478=RÉPARATIONS!$D$5)),1,0)</f>
        <v>0</v>
      </c>
      <c r="AP1478" s="78" t="str">
        <f aca="false">IF(AO1478=1,SUM(AO$7:AO1478),"")</f>
        <v/>
      </c>
    </row>
    <row r="1479" customFormat="false" ht="15" hidden="false" customHeight="false" outlineLevel="0" collapsed="false">
      <c r="A1479" s="78" t="str">
        <f aca="false">IF(E1479="","",ROW()-6)</f>
        <v/>
      </c>
      <c r="B1479" s="79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0"/>
      <c r="P1479" s="81"/>
      <c r="Q1479" s="81"/>
      <c r="R1479" s="80"/>
      <c r="S1479" s="80"/>
      <c r="T1479" s="81"/>
      <c r="U1479" s="80"/>
      <c r="V1479" s="80"/>
      <c r="W1479" s="80"/>
      <c r="X1479" s="80"/>
      <c r="Y1479" s="81"/>
      <c r="Z1479" s="80"/>
      <c r="AA1479" s="80"/>
      <c r="AB1479" s="80"/>
      <c r="AC1479" s="80"/>
      <c r="AD1479" s="81"/>
      <c r="AE1479" s="80"/>
      <c r="AF1479" s="80"/>
      <c r="AG1479" s="81"/>
      <c r="AH1479" s="79"/>
      <c r="AI1479" s="78" t="str">
        <f aca="false">IF(E1479="","",(V1479&lt;&gt;"")+(AA1479&lt;&gt;"")+(AF1479&lt;&gt;""))</f>
        <v/>
      </c>
      <c r="AJ1479" s="82" t="str">
        <f aca="false">IF(AF1479&lt;&gt;"",AF1479,IF(AA1479&lt;&gt;"",AA1479,IF(V1479&lt;&gt;"",V1479,"")))</f>
        <v/>
      </c>
      <c r="AK1479" s="83" t="str">
        <f aca="false">IF(E1479="","",IF(P1479="","À SOUDER",IF(S1479="","VT EN ATTENTE",IF(S1479="R","VT REJETÉ – À REPRENDRE",IF(AJ1479="","À RADIOGRAPHIER",IF(AJ1479="A","ACCEPTÉ",IF(AJ1479="NX","NX – RT À REFAIRE",IF(IF(AI1479=1,X1479,IF(AI1479=2,AC1479,""))="A","RÉPARÉ – À RADIOGRAPHIER",IF(IF(AI1479=1,X1479,IF(AI1479=2,AC1479,""))="R","VT REJETÉ – À REPRENDRE",IF(AJ1479="CO","COUPE – À RESOUDER","À RÉPARER"))))))))))</f>
        <v/>
      </c>
      <c r="AL1479" s="82" t="str">
        <f aca="false">IF(AND(ISNUMBER(P1479),OR(AK1479="À RADIOGRAPHIER",AK1479="RÉPARÉ – À RADIOGRAPHIER",AK1479="NX – RT À REFAIRE",AK1479="À RÉPARER",AK1479="COUPE – À RESOUDER",AK1479="VT REJETÉ – À REPRENDRE")),MAX(0,'PROGRAMME RT'!$C$4-P1479),"")</f>
        <v/>
      </c>
      <c r="AM1479" s="78" t="n">
        <f aca="false">IF(AND(OR(AK1479="À RADIOGRAPHIER",AK1479="RÉPARÉ – À RADIOGRAPHIER",AK1479="NX – RT À REFAIRE"),OR('PROGRAMME RT'!$D$5="TOUTES",B1479='PROGRAMME RT'!$D$5)),1,0)</f>
        <v>0</v>
      </c>
      <c r="AN1479" s="78" t="str">
        <f aca="false">IF(AM1479=1,SUM(AM$7:AM1479),"")</f>
        <v/>
      </c>
      <c r="AO1479" s="78" t="n">
        <f aca="false">IF(AND(OR(AK1479="À RÉPARER",AK1479="COUPE – À RESOUDER",AK1479="VT REJETÉ – À REPRENDRE"),OR(RÉPARATIONS!$D$5="TOUTES",B1479=RÉPARATIONS!$D$5)),1,0)</f>
        <v>0</v>
      </c>
      <c r="AP1479" s="78" t="str">
        <f aca="false">IF(AO1479=1,SUM(AO$7:AO1479),"")</f>
        <v/>
      </c>
    </row>
    <row r="1480" customFormat="false" ht="15" hidden="false" customHeight="false" outlineLevel="0" collapsed="false">
      <c r="A1480" s="78" t="str">
        <f aca="false">IF(E1480="","",ROW()-6)</f>
        <v/>
      </c>
      <c r="B1480" s="79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0"/>
      <c r="P1480" s="81"/>
      <c r="Q1480" s="81"/>
      <c r="R1480" s="80"/>
      <c r="S1480" s="80"/>
      <c r="T1480" s="81"/>
      <c r="U1480" s="80"/>
      <c r="V1480" s="80"/>
      <c r="W1480" s="80"/>
      <c r="X1480" s="80"/>
      <c r="Y1480" s="81"/>
      <c r="Z1480" s="80"/>
      <c r="AA1480" s="80"/>
      <c r="AB1480" s="80"/>
      <c r="AC1480" s="80"/>
      <c r="AD1480" s="81"/>
      <c r="AE1480" s="80"/>
      <c r="AF1480" s="80"/>
      <c r="AG1480" s="81"/>
      <c r="AH1480" s="79"/>
      <c r="AI1480" s="78" t="str">
        <f aca="false">IF(E1480="","",(V1480&lt;&gt;"")+(AA1480&lt;&gt;"")+(AF1480&lt;&gt;""))</f>
        <v/>
      </c>
      <c r="AJ1480" s="82" t="str">
        <f aca="false">IF(AF1480&lt;&gt;"",AF1480,IF(AA1480&lt;&gt;"",AA1480,IF(V1480&lt;&gt;"",V1480,"")))</f>
        <v/>
      </c>
      <c r="AK1480" s="83" t="str">
        <f aca="false">IF(E1480="","",IF(P1480="","À SOUDER",IF(S1480="","VT EN ATTENTE",IF(S1480="R","VT REJETÉ – À REPRENDRE",IF(AJ1480="","À RADIOGRAPHIER",IF(AJ1480="A","ACCEPTÉ",IF(AJ1480="NX","NX – RT À REFAIRE",IF(IF(AI1480=1,X1480,IF(AI1480=2,AC1480,""))="A","RÉPARÉ – À RADIOGRAPHIER",IF(IF(AI1480=1,X1480,IF(AI1480=2,AC1480,""))="R","VT REJETÉ – À REPRENDRE",IF(AJ1480="CO","COUPE – À RESOUDER","À RÉPARER"))))))))))</f>
        <v/>
      </c>
      <c r="AL1480" s="82" t="str">
        <f aca="false">IF(AND(ISNUMBER(P1480),OR(AK1480="À RADIOGRAPHIER",AK1480="RÉPARÉ – À RADIOGRAPHIER",AK1480="NX – RT À REFAIRE",AK1480="À RÉPARER",AK1480="COUPE – À RESOUDER",AK1480="VT REJETÉ – À REPRENDRE")),MAX(0,'PROGRAMME RT'!$C$4-P1480),"")</f>
        <v/>
      </c>
      <c r="AM1480" s="78" t="n">
        <f aca="false">IF(AND(OR(AK1480="À RADIOGRAPHIER",AK1480="RÉPARÉ – À RADIOGRAPHIER",AK1480="NX – RT À REFAIRE"),OR('PROGRAMME RT'!$D$5="TOUTES",B1480='PROGRAMME RT'!$D$5)),1,0)</f>
        <v>0</v>
      </c>
      <c r="AN1480" s="78" t="str">
        <f aca="false">IF(AM1480=1,SUM(AM$7:AM1480),"")</f>
        <v/>
      </c>
      <c r="AO1480" s="78" t="n">
        <f aca="false">IF(AND(OR(AK1480="À RÉPARER",AK1480="COUPE – À RESOUDER",AK1480="VT REJETÉ – À REPRENDRE"),OR(RÉPARATIONS!$D$5="TOUTES",B1480=RÉPARATIONS!$D$5)),1,0)</f>
        <v>0</v>
      </c>
      <c r="AP1480" s="78" t="str">
        <f aca="false">IF(AO1480=1,SUM(AO$7:AO1480),"")</f>
        <v/>
      </c>
    </row>
    <row r="1481" customFormat="false" ht="15" hidden="false" customHeight="false" outlineLevel="0" collapsed="false">
      <c r="A1481" s="78" t="str">
        <f aca="false">IF(E1481="","",ROW()-6)</f>
        <v/>
      </c>
      <c r="B1481" s="79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0"/>
      <c r="P1481" s="81"/>
      <c r="Q1481" s="81"/>
      <c r="R1481" s="80"/>
      <c r="S1481" s="80"/>
      <c r="T1481" s="81"/>
      <c r="U1481" s="80"/>
      <c r="V1481" s="80"/>
      <c r="W1481" s="80"/>
      <c r="X1481" s="80"/>
      <c r="Y1481" s="81"/>
      <c r="Z1481" s="80"/>
      <c r="AA1481" s="80"/>
      <c r="AB1481" s="80"/>
      <c r="AC1481" s="80"/>
      <c r="AD1481" s="81"/>
      <c r="AE1481" s="80"/>
      <c r="AF1481" s="80"/>
      <c r="AG1481" s="81"/>
      <c r="AH1481" s="79"/>
      <c r="AI1481" s="78" t="str">
        <f aca="false">IF(E1481="","",(V1481&lt;&gt;"")+(AA1481&lt;&gt;"")+(AF1481&lt;&gt;""))</f>
        <v/>
      </c>
      <c r="AJ1481" s="82" t="str">
        <f aca="false">IF(AF1481&lt;&gt;"",AF1481,IF(AA1481&lt;&gt;"",AA1481,IF(V1481&lt;&gt;"",V1481,"")))</f>
        <v/>
      </c>
      <c r="AK1481" s="83" t="str">
        <f aca="false">IF(E1481="","",IF(P1481="","À SOUDER",IF(S1481="","VT EN ATTENTE",IF(S1481="R","VT REJETÉ – À REPRENDRE",IF(AJ1481="","À RADIOGRAPHIER",IF(AJ1481="A","ACCEPTÉ",IF(AJ1481="NX","NX – RT À REFAIRE",IF(IF(AI1481=1,X1481,IF(AI1481=2,AC1481,""))="A","RÉPARÉ – À RADIOGRAPHIER",IF(IF(AI1481=1,X1481,IF(AI1481=2,AC1481,""))="R","VT REJETÉ – À REPRENDRE",IF(AJ1481="CO","COUPE – À RESOUDER","À RÉPARER"))))))))))</f>
        <v/>
      </c>
      <c r="AL1481" s="82" t="str">
        <f aca="false">IF(AND(ISNUMBER(P1481),OR(AK1481="À RADIOGRAPHIER",AK1481="RÉPARÉ – À RADIOGRAPHIER",AK1481="NX – RT À REFAIRE",AK1481="À RÉPARER",AK1481="COUPE – À RESOUDER",AK1481="VT REJETÉ – À REPRENDRE")),MAX(0,'PROGRAMME RT'!$C$4-P1481),"")</f>
        <v/>
      </c>
      <c r="AM1481" s="78" t="n">
        <f aca="false">IF(AND(OR(AK1481="À RADIOGRAPHIER",AK1481="RÉPARÉ – À RADIOGRAPHIER",AK1481="NX – RT À REFAIRE"),OR('PROGRAMME RT'!$D$5="TOUTES",B1481='PROGRAMME RT'!$D$5)),1,0)</f>
        <v>0</v>
      </c>
      <c r="AN1481" s="78" t="str">
        <f aca="false">IF(AM1481=1,SUM(AM$7:AM1481),"")</f>
        <v/>
      </c>
      <c r="AO1481" s="78" t="n">
        <f aca="false">IF(AND(OR(AK1481="À RÉPARER",AK1481="COUPE – À RESOUDER",AK1481="VT REJETÉ – À REPRENDRE"),OR(RÉPARATIONS!$D$5="TOUTES",B1481=RÉPARATIONS!$D$5)),1,0)</f>
        <v>0</v>
      </c>
      <c r="AP1481" s="78" t="str">
        <f aca="false">IF(AO1481=1,SUM(AO$7:AO1481),"")</f>
        <v/>
      </c>
    </row>
    <row r="1482" customFormat="false" ht="15" hidden="false" customHeight="false" outlineLevel="0" collapsed="false">
      <c r="A1482" s="78" t="str">
        <f aca="false">IF(E1482="","",ROW()-6)</f>
        <v/>
      </c>
      <c r="B1482" s="79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0"/>
      <c r="P1482" s="81"/>
      <c r="Q1482" s="81"/>
      <c r="R1482" s="80"/>
      <c r="S1482" s="80"/>
      <c r="T1482" s="81"/>
      <c r="U1482" s="80"/>
      <c r="V1482" s="80"/>
      <c r="W1482" s="80"/>
      <c r="X1482" s="80"/>
      <c r="Y1482" s="81"/>
      <c r="Z1482" s="80"/>
      <c r="AA1482" s="80"/>
      <c r="AB1482" s="80"/>
      <c r="AC1482" s="80"/>
      <c r="AD1482" s="81"/>
      <c r="AE1482" s="80"/>
      <c r="AF1482" s="80"/>
      <c r="AG1482" s="81"/>
      <c r="AH1482" s="79"/>
      <c r="AI1482" s="78" t="str">
        <f aca="false">IF(E1482="","",(V1482&lt;&gt;"")+(AA1482&lt;&gt;"")+(AF1482&lt;&gt;""))</f>
        <v/>
      </c>
      <c r="AJ1482" s="82" t="str">
        <f aca="false">IF(AF1482&lt;&gt;"",AF1482,IF(AA1482&lt;&gt;"",AA1482,IF(V1482&lt;&gt;"",V1482,"")))</f>
        <v/>
      </c>
      <c r="AK1482" s="83" t="str">
        <f aca="false">IF(E1482="","",IF(P1482="","À SOUDER",IF(S1482="","VT EN ATTENTE",IF(S1482="R","VT REJETÉ – À REPRENDRE",IF(AJ1482="","À RADIOGRAPHIER",IF(AJ1482="A","ACCEPTÉ",IF(AJ1482="NX","NX – RT À REFAIRE",IF(IF(AI1482=1,X1482,IF(AI1482=2,AC1482,""))="A","RÉPARÉ – À RADIOGRAPHIER",IF(IF(AI1482=1,X1482,IF(AI1482=2,AC1482,""))="R","VT REJETÉ – À REPRENDRE",IF(AJ1482="CO","COUPE – À RESOUDER","À RÉPARER"))))))))))</f>
        <v/>
      </c>
      <c r="AL1482" s="82" t="str">
        <f aca="false">IF(AND(ISNUMBER(P1482),OR(AK1482="À RADIOGRAPHIER",AK1482="RÉPARÉ – À RADIOGRAPHIER",AK1482="NX – RT À REFAIRE",AK1482="À RÉPARER",AK1482="COUPE – À RESOUDER",AK1482="VT REJETÉ – À REPRENDRE")),MAX(0,'PROGRAMME RT'!$C$4-P1482),"")</f>
        <v/>
      </c>
      <c r="AM1482" s="78" t="n">
        <f aca="false">IF(AND(OR(AK1482="À RADIOGRAPHIER",AK1482="RÉPARÉ – À RADIOGRAPHIER",AK1482="NX – RT À REFAIRE"),OR('PROGRAMME RT'!$D$5="TOUTES",B1482='PROGRAMME RT'!$D$5)),1,0)</f>
        <v>0</v>
      </c>
      <c r="AN1482" s="78" t="str">
        <f aca="false">IF(AM1482=1,SUM(AM$7:AM1482),"")</f>
        <v/>
      </c>
      <c r="AO1482" s="78" t="n">
        <f aca="false">IF(AND(OR(AK1482="À RÉPARER",AK1482="COUPE – À RESOUDER",AK1482="VT REJETÉ – À REPRENDRE"),OR(RÉPARATIONS!$D$5="TOUTES",B1482=RÉPARATIONS!$D$5)),1,0)</f>
        <v>0</v>
      </c>
      <c r="AP1482" s="78" t="str">
        <f aca="false">IF(AO1482=1,SUM(AO$7:AO1482),"")</f>
        <v/>
      </c>
    </row>
    <row r="1483" customFormat="false" ht="15" hidden="false" customHeight="false" outlineLevel="0" collapsed="false">
      <c r="A1483" s="78" t="str">
        <f aca="false">IF(E1483="","",ROW()-6)</f>
        <v/>
      </c>
      <c r="B1483" s="79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0"/>
      <c r="P1483" s="81"/>
      <c r="Q1483" s="81"/>
      <c r="R1483" s="80"/>
      <c r="S1483" s="80"/>
      <c r="T1483" s="81"/>
      <c r="U1483" s="80"/>
      <c r="V1483" s="80"/>
      <c r="W1483" s="80"/>
      <c r="X1483" s="80"/>
      <c r="Y1483" s="81"/>
      <c r="Z1483" s="80"/>
      <c r="AA1483" s="80"/>
      <c r="AB1483" s="80"/>
      <c r="AC1483" s="80"/>
      <c r="AD1483" s="81"/>
      <c r="AE1483" s="80"/>
      <c r="AF1483" s="80"/>
      <c r="AG1483" s="81"/>
      <c r="AH1483" s="79"/>
      <c r="AI1483" s="78" t="str">
        <f aca="false">IF(E1483="","",(V1483&lt;&gt;"")+(AA1483&lt;&gt;"")+(AF1483&lt;&gt;""))</f>
        <v/>
      </c>
      <c r="AJ1483" s="82" t="str">
        <f aca="false">IF(AF1483&lt;&gt;"",AF1483,IF(AA1483&lt;&gt;"",AA1483,IF(V1483&lt;&gt;"",V1483,"")))</f>
        <v/>
      </c>
      <c r="AK1483" s="83" t="str">
        <f aca="false">IF(E1483="","",IF(P1483="","À SOUDER",IF(S1483="","VT EN ATTENTE",IF(S1483="R","VT REJETÉ – À REPRENDRE",IF(AJ1483="","À RADIOGRAPHIER",IF(AJ1483="A","ACCEPTÉ",IF(AJ1483="NX","NX – RT À REFAIRE",IF(IF(AI1483=1,X1483,IF(AI1483=2,AC1483,""))="A","RÉPARÉ – À RADIOGRAPHIER",IF(IF(AI1483=1,X1483,IF(AI1483=2,AC1483,""))="R","VT REJETÉ – À REPRENDRE",IF(AJ1483="CO","COUPE – À RESOUDER","À RÉPARER"))))))))))</f>
        <v/>
      </c>
      <c r="AL1483" s="82" t="str">
        <f aca="false">IF(AND(ISNUMBER(P1483),OR(AK1483="À RADIOGRAPHIER",AK1483="RÉPARÉ – À RADIOGRAPHIER",AK1483="NX – RT À REFAIRE",AK1483="À RÉPARER",AK1483="COUPE – À RESOUDER",AK1483="VT REJETÉ – À REPRENDRE")),MAX(0,'PROGRAMME RT'!$C$4-P1483),"")</f>
        <v/>
      </c>
      <c r="AM1483" s="78" t="n">
        <f aca="false">IF(AND(OR(AK1483="À RADIOGRAPHIER",AK1483="RÉPARÉ – À RADIOGRAPHIER",AK1483="NX – RT À REFAIRE"),OR('PROGRAMME RT'!$D$5="TOUTES",B1483='PROGRAMME RT'!$D$5)),1,0)</f>
        <v>0</v>
      </c>
      <c r="AN1483" s="78" t="str">
        <f aca="false">IF(AM1483=1,SUM(AM$7:AM1483),"")</f>
        <v/>
      </c>
      <c r="AO1483" s="78" t="n">
        <f aca="false">IF(AND(OR(AK1483="À RÉPARER",AK1483="COUPE – À RESOUDER",AK1483="VT REJETÉ – À REPRENDRE"),OR(RÉPARATIONS!$D$5="TOUTES",B1483=RÉPARATIONS!$D$5)),1,0)</f>
        <v>0</v>
      </c>
      <c r="AP1483" s="78" t="str">
        <f aca="false">IF(AO1483=1,SUM(AO$7:AO1483),"")</f>
        <v/>
      </c>
    </row>
    <row r="1484" customFormat="false" ht="15" hidden="false" customHeight="false" outlineLevel="0" collapsed="false">
      <c r="A1484" s="78" t="str">
        <f aca="false">IF(E1484="","",ROW()-6)</f>
        <v/>
      </c>
      <c r="B1484" s="79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0"/>
      <c r="P1484" s="81"/>
      <c r="Q1484" s="81"/>
      <c r="R1484" s="80"/>
      <c r="S1484" s="80"/>
      <c r="T1484" s="81"/>
      <c r="U1484" s="80"/>
      <c r="V1484" s="80"/>
      <c r="W1484" s="80"/>
      <c r="X1484" s="80"/>
      <c r="Y1484" s="81"/>
      <c r="Z1484" s="80"/>
      <c r="AA1484" s="80"/>
      <c r="AB1484" s="80"/>
      <c r="AC1484" s="80"/>
      <c r="AD1484" s="81"/>
      <c r="AE1484" s="80"/>
      <c r="AF1484" s="80"/>
      <c r="AG1484" s="81"/>
      <c r="AH1484" s="79"/>
      <c r="AI1484" s="78" t="str">
        <f aca="false">IF(E1484="","",(V1484&lt;&gt;"")+(AA1484&lt;&gt;"")+(AF1484&lt;&gt;""))</f>
        <v/>
      </c>
      <c r="AJ1484" s="82" t="str">
        <f aca="false">IF(AF1484&lt;&gt;"",AF1484,IF(AA1484&lt;&gt;"",AA1484,IF(V1484&lt;&gt;"",V1484,"")))</f>
        <v/>
      </c>
      <c r="AK1484" s="83" t="str">
        <f aca="false">IF(E1484="","",IF(P1484="","À SOUDER",IF(S1484="","VT EN ATTENTE",IF(S1484="R","VT REJETÉ – À REPRENDRE",IF(AJ1484="","À RADIOGRAPHIER",IF(AJ1484="A","ACCEPTÉ",IF(AJ1484="NX","NX – RT À REFAIRE",IF(IF(AI1484=1,X1484,IF(AI1484=2,AC1484,""))="A","RÉPARÉ – À RADIOGRAPHIER",IF(IF(AI1484=1,X1484,IF(AI1484=2,AC1484,""))="R","VT REJETÉ – À REPRENDRE",IF(AJ1484="CO","COUPE – À RESOUDER","À RÉPARER"))))))))))</f>
        <v/>
      </c>
      <c r="AL1484" s="82" t="str">
        <f aca="false">IF(AND(ISNUMBER(P1484),OR(AK1484="À RADIOGRAPHIER",AK1484="RÉPARÉ – À RADIOGRAPHIER",AK1484="NX – RT À REFAIRE",AK1484="À RÉPARER",AK1484="COUPE – À RESOUDER",AK1484="VT REJETÉ – À REPRENDRE")),MAX(0,'PROGRAMME RT'!$C$4-P1484),"")</f>
        <v/>
      </c>
      <c r="AM1484" s="78" t="n">
        <f aca="false">IF(AND(OR(AK1484="À RADIOGRAPHIER",AK1484="RÉPARÉ – À RADIOGRAPHIER",AK1484="NX – RT À REFAIRE"),OR('PROGRAMME RT'!$D$5="TOUTES",B1484='PROGRAMME RT'!$D$5)),1,0)</f>
        <v>0</v>
      </c>
      <c r="AN1484" s="78" t="str">
        <f aca="false">IF(AM1484=1,SUM(AM$7:AM1484),"")</f>
        <v/>
      </c>
      <c r="AO1484" s="78" t="n">
        <f aca="false">IF(AND(OR(AK1484="À RÉPARER",AK1484="COUPE – À RESOUDER",AK1484="VT REJETÉ – À REPRENDRE"),OR(RÉPARATIONS!$D$5="TOUTES",B1484=RÉPARATIONS!$D$5)),1,0)</f>
        <v>0</v>
      </c>
      <c r="AP1484" s="78" t="str">
        <f aca="false">IF(AO1484=1,SUM(AO$7:AO1484),"")</f>
        <v/>
      </c>
    </row>
    <row r="1485" customFormat="false" ht="15" hidden="false" customHeight="false" outlineLevel="0" collapsed="false">
      <c r="A1485" s="78" t="str">
        <f aca="false">IF(E1485="","",ROW()-6)</f>
        <v/>
      </c>
      <c r="B1485" s="79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0"/>
      <c r="P1485" s="81"/>
      <c r="Q1485" s="81"/>
      <c r="R1485" s="80"/>
      <c r="S1485" s="80"/>
      <c r="T1485" s="81"/>
      <c r="U1485" s="80"/>
      <c r="V1485" s="80"/>
      <c r="W1485" s="80"/>
      <c r="X1485" s="80"/>
      <c r="Y1485" s="81"/>
      <c r="Z1485" s="80"/>
      <c r="AA1485" s="80"/>
      <c r="AB1485" s="80"/>
      <c r="AC1485" s="80"/>
      <c r="AD1485" s="81"/>
      <c r="AE1485" s="80"/>
      <c r="AF1485" s="80"/>
      <c r="AG1485" s="81"/>
      <c r="AH1485" s="79"/>
      <c r="AI1485" s="78" t="str">
        <f aca="false">IF(E1485="","",(V1485&lt;&gt;"")+(AA1485&lt;&gt;"")+(AF1485&lt;&gt;""))</f>
        <v/>
      </c>
      <c r="AJ1485" s="82" t="str">
        <f aca="false">IF(AF1485&lt;&gt;"",AF1485,IF(AA1485&lt;&gt;"",AA1485,IF(V1485&lt;&gt;"",V1485,"")))</f>
        <v/>
      </c>
      <c r="AK1485" s="83" t="str">
        <f aca="false">IF(E1485="","",IF(P1485="","À SOUDER",IF(S1485="","VT EN ATTENTE",IF(S1485="R","VT REJETÉ – À REPRENDRE",IF(AJ1485="","À RADIOGRAPHIER",IF(AJ1485="A","ACCEPTÉ",IF(AJ1485="NX","NX – RT À REFAIRE",IF(IF(AI1485=1,X1485,IF(AI1485=2,AC1485,""))="A","RÉPARÉ – À RADIOGRAPHIER",IF(IF(AI1485=1,X1485,IF(AI1485=2,AC1485,""))="R","VT REJETÉ – À REPRENDRE",IF(AJ1485="CO","COUPE – À RESOUDER","À RÉPARER"))))))))))</f>
        <v/>
      </c>
      <c r="AL1485" s="82" t="str">
        <f aca="false">IF(AND(ISNUMBER(P1485),OR(AK1485="À RADIOGRAPHIER",AK1485="RÉPARÉ – À RADIOGRAPHIER",AK1485="NX – RT À REFAIRE",AK1485="À RÉPARER",AK1485="COUPE – À RESOUDER",AK1485="VT REJETÉ – À REPRENDRE")),MAX(0,'PROGRAMME RT'!$C$4-P1485),"")</f>
        <v/>
      </c>
      <c r="AM1485" s="78" t="n">
        <f aca="false">IF(AND(OR(AK1485="À RADIOGRAPHIER",AK1485="RÉPARÉ – À RADIOGRAPHIER",AK1485="NX – RT À REFAIRE"),OR('PROGRAMME RT'!$D$5="TOUTES",B1485='PROGRAMME RT'!$D$5)),1,0)</f>
        <v>0</v>
      </c>
      <c r="AN1485" s="78" t="str">
        <f aca="false">IF(AM1485=1,SUM(AM$7:AM1485),"")</f>
        <v/>
      </c>
      <c r="AO1485" s="78" t="n">
        <f aca="false">IF(AND(OR(AK1485="À RÉPARER",AK1485="COUPE – À RESOUDER",AK1485="VT REJETÉ – À REPRENDRE"),OR(RÉPARATIONS!$D$5="TOUTES",B1485=RÉPARATIONS!$D$5)),1,0)</f>
        <v>0</v>
      </c>
      <c r="AP1485" s="78" t="str">
        <f aca="false">IF(AO1485=1,SUM(AO$7:AO1485),"")</f>
        <v/>
      </c>
    </row>
    <row r="1486" customFormat="false" ht="15" hidden="false" customHeight="false" outlineLevel="0" collapsed="false">
      <c r="A1486" s="78" t="str">
        <f aca="false">IF(E1486="","",ROW()-6)</f>
        <v/>
      </c>
      <c r="B1486" s="79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0"/>
      <c r="P1486" s="81"/>
      <c r="Q1486" s="81"/>
      <c r="R1486" s="80"/>
      <c r="S1486" s="80"/>
      <c r="T1486" s="81"/>
      <c r="U1486" s="80"/>
      <c r="V1486" s="80"/>
      <c r="W1486" s="80"/>
      <c r="X1486" s="80"/>
      <c r="Y1486" s="81"/>
      <c r="Z1486" s="80"/>
      <c r="AA1486" s="80"/>
      <c r="AB1486" s="80"/>
      <c r="AC1486" s="80"/>
      <c r="AD1486" s="81"/>
      <c r="AE1486" s="80"/>
      <c r="AF1486" s="80"/>
      <c r="AG1486" s="81"/>
      <c r="AH1486" s="79"/>
      <c r="AI1486" s="78" t="str">
        <f aca="false">IF(E1486="","",(V1486&lt;&gt;"")+(AA1486&lt;&gt;"")+(AF1486&lt;&gt;""))</f>
        <v/>
      </c>
      <c r="AJ1486" s="82" t="str">
        <f aca="false">IF(AF1486&lt;&gt;"",AF1486,IF(AA1486&lt;&gt;"",AA1486,IF(V1486&lt;&gt;"",V1486,"")))</f>
        <v/>
      </c>
      <c r="AK1486" s="83" t="str">
        <f aca="false">IF(E1486="","",IF(P1486="","À SOUDER",IF(S1486="","VT EN ATTENTE",IF(S1486="R","VT REJETÉ – À REPRENDRE",IF(AJ1486="","À RADIOGRAPHIER",IF(AJ1486="A","ACCEPTÉ",IF(AJ1486="NX","NX – RT À REFAIRE",IF(IF(AI1486=1,X1486,IF(AI1486=2,AC1486,""))="A","RÉPARÉ – À RADIOGRAPHIER",IF(IF(AI1486=1,X1486,IF(AI1486=2,AC1486,""))="R","VT REJETÉ – À REPRENDRE",IF(AJ1486="CO","COUPE – À RESOUDER","À RÉPARER"))))))))))</f>
        <v/>
      </c>
      <c r="AL1486" s="82" t="str">
        <f aca="false">IF(AND(ISNUMBER(P1486),OR(AK1486="À RADIOGRAPHIER",AK1486="RÉPARÉ – À RADIOGRAPHIER",AK1486="NX – RT À REFAIRE",AK1486="À RÉPARER",AK1486="COUPE – À RESOUDER",AK1486="VT REJETÉ – À REPRENDRE")),MAX(0,'PROGRAMME RT'!$C$4-P1486),"")</f>
        <v/>
      </c>
      <c r="AM1486" s="78" t="n">
        <f aca="false">IF(AND(OR(AK1486="À RADIOGRAPHIER",AK1486="RÉPARÉ – À RADIOGRAPHIER",AK1486="NX – RT À REFAIRE"),OR('PROGRAMME RT'!$D$5="TOUTES",B1486='PROGRAMME RT'!$D$5)),1,0)</f>
        <v>0</v>
      </c>
      <c r="AN1486" s="78" t="str">
        <f aca="false">IF(AM1486=1,SUM(AM$7:AM1486),"")</f>
        <v/>
      </c>
      <c r="AO1486" s="78" t="n">
        <f aca="false">IF(AND(OR(AK1486="À RÉPARER",AK1486="COUPE – À RESOUDER",AK1486="VT REJETÉ – À REPRENDRE"),OR(RÉPARATIONS!$D$5="TOUTES",B1486=RÉPARATIONS!$D$5)),1,0)</f>
        <v>0</v>
      </c>
      <c r="AP1486" s="78" t="str">
        <f aca="false">IF(AO1486=1,SUM(AO$7:AO1486),"")</f>
        <v/>
      </c>
    </row>
    <row r="1487" customFormat="false" ht="15" hidden="false" customHeight="false" outlineLevel="0" collapsed="false">
      <c r="A1487" s="78" t="str">
        <f aca="false">IF(E1487="","",ROW()-6)</f>
        <v/>
      </c>
      <c r="B1487" s="79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0"/>
      <c r="P1487" s="81"/>
      <c r="Q1487" s="81"/>
      <c r="R1487" s="80"/>
      <c r="S1487" s="80"/>
      <c r="T1487" s="81"/>
      <c r="U1487" s="80"/>
      <c r="V1487" s="80"/>
      <c r="W1487" s="80"/>
      <c r="X1487" s="80"/>
      <c r="Y1487" s="81"/>
      <c r="Z1487" s="80"/>
      <c r="AA1487" s="80"/>
      <c r="AB1487" s="80"/>
      <c r="AC1487" s="80"/>
      <c r="AD1487" s="81"/>
      <c r="AE1487" s="80"/>
      <c r="AF1487" s="80"/>
      <c r="AG1487" s="81"/>
      <c r="AH1487" s="79"/>
      <c r="AI1487" s="78" t="str">
        <f aca="false">IF(E1487="","",(V1487&lt;&gt;"")+(AA1487&lt;&gt;"")+(AF1487&lt;&gt;""))</f>
        <v/>
      </c>
      <c r="AJ1487" s="82" t="str">
        <f aca="false">IF(AF1487&lt;&gt;"",AF1487,IF(AA1487&lt;&gt;"",AA1487,IF(V1487&lt;&gt;"",V1487,"")))</f>
        <v/>
      </c>
      <c r="AK1487" s="83" t="str">
        <f aca="false">IF(E1487="","",IF(P1487="","À SOUDER",IF(S1487="","VT EN ATTENTE",IF(S1487="R","VT REJETÉ – À REPRENDRE",IF(AJ1487="","À RADIOGRAPHIER",IF(AJ1487="A","ACCEPTÉ",IF(AJ1487="NX","NX – RT À REFAIRE",IF(IF(AI1487=1,X1487,IF(AI1487=2,AC1487,""))="A","RÉPARÉ – À RADIOGRAPHIER",IF(IF(AI1487=1,X1487,IF(AI1487=2,AC1487,""))="R","VT REJETÉ – À REPRENDRE",IF(AJ1487="CO","COUPE – À RESOUDER","À RÉPARER"))))))))))</f>
        <v/>
      </c>
      <c r="AL1487" s="82" t="str">
        <f aca="false">IF(AND(ISNUMBER(P1487),OR(AK1487="À RADIOGRAPHIER",AK1487="RÉPARÉ – À RADIOGRAPHIER",AK1487="NX – RT À REFAIRE",AK1487="À RÉPARER",AK1487="COUPE – À RESOUDER",AK1487="VT REJETÉ – À REPRENDRE")),MAX(0,'PROGRAMME RT'!$C$4-P1487),"")</f>
        <v/>
      </c>
      <c r="AM1487" s="78" t="n">
        <f aca="false">IF(AND(OR(AK1487="À RADIOGRAPHIER",AK1487="RÉPARÉ – À RADIOGRAPHIER",AK1487="NX – RT À REFAIRE"),OR('PROGRAMME RT'!$D$5="TOUTES",B1487='PROGRAMME RT'!$D$5)),1,0)</f>
        <v>0</v>
      </c>
      <c r="AN1487" s="78" t="str">
        <f aca="false">IF(AM1487=1,SUM(AM$7:AM1487),"")</f>
        <v/>
      </c>
      <c r="AO1487" s="78" t="n">
        <f aca="false">IF(AND(OR(AK1487="À RÉPARER",AK1487="COUPE – À RESOUDER",AK1487="VT REJETÉ – À REPRENDRE"),OR(RÉPARATIONS!$D$5="TOUTES",B1487=RÉPARATIONS!$D$5)),1,0)</f>
        <v>0</v>
      </c>
      <c r="AP1487" s="78" t="str">
        <f aca="false">IF(AO1487=1,SUM(AO$7:AO1487),"")</f>
        <v/>
      </c>
    </row>
    <row r="1488" customFormat="false" ht="15" hidden="false" customHeight="false" outlineLevel="0" collapsed="false">
      <c r="A1488" s="78" t="str">
        <f aca="false">IF(E1488="","",ROW()-6)</f>
        <v/>
      </c>
      <c r="B1488" s="79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0"/>
      <c r="P1488" s="81"/>
      <c r="Q1488" s="81"/>
      <c r="R1488" s="80"/>
      <c r="S1488" s="80"/>
      <c r="T1488" s="81"/>
      <c r="U1488" s="80"/>
      <c r="V1488" s="80"/>
      <c r="W1488" s="80"/>
      <c r="X1488" s="80"/>
      <c r="Y1488" s="81"/>
      <c r="Z1488" s="80"/>
      <c r="AA1488" s="80"/>
      <c r="AB1488" s="80"/>
      <c r="AC1488" s="80"/>
      <c r="AD1488" s="81"/>
      <c r="AE1488" s="80"/>
      <c r="AF1488" s="80"/>
      <c r="AG1488" s="81"/>
      <c r="AH1488" s="79"/>
      <c r="AI1488" s="78" t="str">
        <f aca="false">IF(E1488="","",(V1488&lt;&gt;"")+(AA1488&lt;&gt;"")+(AF1488&lt;&gt;""))</f>
        <v/>
      </c>
      <c r="AJ1488" s="82" t="str">
        <f aca="false">IF(AF1488&lt;&gt;"",AF1488,IF(AA1488&lt;&gt;"",AA1488,IF(V1488&lt;&gt;"",V1488,"")))</f>
        <v/>
      </c>
      <c r="AK1488" s="83" t="str">
        <f aca="false">IF(E1488="","",IF(P1488="","À SOUDER",IF(S1488="","VT EN ATTENTE",IF(S1488="R","VT REJETÉ – À REPRENDRE",IF(AJ1488="","À RADIOGRAPHIER",IF(AJ1488="A","ACCEPTÉ",IF(AJ1488="NX","NX – RT À REFAIRE",IF(IF(AI1488=1,X1488,IF(AI1488=2,AC1488,""))="A","RÉPARÉ – À RADIOGRAPHIER",IF(IF(AI1488=1,X1488,IF(AI1488=2,AC1488,""))="R","VT REJETÉ – À REPRENDRE",IF(AJ1488="CO","COUPE – À RESOUDER","À RÉPARER"))))))))))</f>
        <v/>
      </c>
      <c r="AL1488" s="82" t="str">
        <f aca="false">IF(AND(ISNUMBER(P1488),OR(AK1488="À RADIOGRAPHIER",AK1488="RÉPARÉ – À RADIOGRAPHIER",AK1488="NX – RT À REFAIRE",AK1488="À RÉPARER",AK1488="COUPE – À RESOUDER",AK1488="VT REJETÉ – À REPRENDRE")),MAX(0,'PROGRAMME RT'!$C$4-P1488),"")</f>
        <v/>
      </c>
      <c r="AM1488" s="78" t="n">
        <f aca="false">IF(AND(OR(AK1488="À RADIOGRAPHIER",AK1488="RÉPARÉ – À RADIOGRAPHIER",AK1488="NX – RT À REFAIRE"),OR('PROGRAMME RT'!$D$5="TOUTES",B1488='PROGRAMME RT'!$D$5)),1,0)</f>
        <v>0</v>
      </c>
      <c r="AN1488" s="78" t="str">
        <f aca="false">IF(AM1488=1,SUM(AM$7:AM1488),"")</f>
        <v/>
      </c>
      <c r="AO1488" s="78" t="n">
        <f aca="false">IF(AND(OR(AK1488="À RÉPARER",AK1488="COUPE – À RESOUDER",AK1488="VT REJETÉ – À REPRENDRE"),OR(RÉPARATIONS!$D$5="TOUTES",B1488=RÉPARATIONS!$D$5)),1,0)</f>
        <v>0</v>
      </c>
      <c r="AP1488" s="78" t="str">
        <f aca="false">IF(AO1488=1,SUM(AO$7:AO1488),"")</f>
        <v/>
      </c>
    </row>
    <row r="1489" customFormat="false" ht="15" hidden="false" customHeight="false" outlineLevel="0" collapsed="false">
      <c r="A1489" s="78" t="str">
        <f aca="false">IF(E1489="","",ROW()-6)</f>
        <v/>
      </c>
      <c r="B1489" s="79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0"/>
      <c r="P1489" s="81"/>
      <c r="Q1489" s="81"/>
      <c r="R1489" s="80"/>
      <c r="S1489" s="80"/>
      <c r="T1489" s="81"/>
      <c r="U1489" s="80"/>
      <c r="V1489" s="80"/>
      <c r="W1489" s="80"/>
      <c r="X1489" s="80"/>
      <c r="Y1489" s="81"/>
      <c r="Z1489" s="80"/>
      <c r="AA1489" s="80"/>
      <c r="AB1489" s="80"/>
      <c r="AC1489" s="80"/>
      <c r="AD1489" s="81"/>
      <c r="AE1489" s="80"/>
      <c r="AF1489" s="80"/>
      <c r="AG1489" s="81"/>
      <c r="AH1489" s="79"/>
      <c r="AI1489" s="78" t="str">
        <f aca="false">IF(E1489="","",(V1489&lt;&gt;"")+(AA1489&lt;&gt;"")+(AF1489&lt;&gt;""))</f>
        <v/>
      </c>
      <c r="AJ1489" s="82" t="str">
        <f aca="false">IF(AF1489&lt;&gt;"",AF1489,IF(AA1489&lt;&gt;"",AA1489,IF(V1489&lt;&gt;"",V1489,"")))</f>
        <v/>
      </c>
      <c r="AK1489" s="83" t="str">
        <f aca="false">IF(E1489="","",IF(P1489="","À SOUDER",IF(S1489="","VT EN ATTENTE",IF(S1489="R","VT REJETÉ – À REPRENDRE",IF(AJ1489="","À RADIOGRAPHIER",IF(AJ1489="A","ACCEPTÉ",IF(AJ1489="NX","NX – RT À REFAIRE",IF(IF(AI1489=1,X1489,IF(AI1489=2,AC1489,""))="A","RÉPARÉ – À RADIOGRAPHIER",IF(IF(AI1489=1,X1489,IF(AI1489=2,AC1489,""))="R","VT REJETÉ – À REPRENDRE",IF(AJ1489="CO","COUPE – À RESOUDER","À RÉPARER"))))))))))</f>
        <v/>
      </c>
      <c r="AL1489" s="82" t="str">
        <f aca="false">IF(AND(ISNUMBER(P1489),OR(AK1489="À RADIOGRAPHIER",AK1489="RÉPARÉ – À RADIOGRAPHIER",AK1489="NX – RT À REFAIRE",AK1489="À RÉPARER",AK1489="COUPE – À RESOUDER",AK1489="VT REJETÉ – À REPRENDRE")),MAX(0,'PROGRAMME RT'!$C$4-P1489),"")</f>
        <v/>
      </c>
      <c r="AM1489" s="78" t="n">
        <f aca="false">IF(AND(OR(AK1489="À RADIOGRAPHIER",AK1489="RÉPARÉ – À RADIOGRAPHIER",AK1489="NX – RT À REFAIRE"),OR('PROGRAMME RT'!$D$5="TOUTES",B1489='PROGRAMME RT'!$D$5)),1,0)</f>
        <v>0</v>
      </c>
      <c r="AN1489" s="78" t="str">
        <f aca="false">IF(AM1489=1,SUM(AM$7:AM1489),"")</f>
        <v/>
      </c>
      <c r="AO1489" s="78" t="n">
        <f aca="false">IF(AND(OR(AK1489="À RÉPARER",AK1489="COUPE – À RESOUDER",AK1489="VT REJETÉ – À REPRENDRE"),OR(RÉPARATIONS!$D$5="TOUTES",B1489=RÉPARATIONS!$D$5)),1,0)</f>
        <v>0</v>
      </c>
      <c r="AP1489" s="78" t="str">
        <f aca="false">IF(AO1489=1,SUM(AO$7:AO1489),"")</f>
        <v/>
      </c>
    </row>
    <row r="1490" customFormat="false" ht="15" hidden="false" customHeight="false" outlineLevel="0" collapsed="false">
      <c r="A1490" s="78" t="str">
        <f aca="false">IF(E1490="","",ROW()-6)</f>
        <v/>
      </c>
      <c r="B1490" s="79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0"/>
      <c r="P1490" s="81"/>
      <c r="Q1490" s="81"/>
      <c r="R1490" s="80"/>
      <c r="S1490" s="80"/>
      <c r="T1490" s="81"/>
      <c r="U1490" s="80"/>
      <c r="V1490" s="80"/>
      <c r="W1490" s="80"/>
      <c r="X1490" s="80"/>
      <c r="Y1490" s="81"/>
      <c r="Z1490" s="80"/>
      <c r="AA1490" s="80"/>
      <c r="AB1490" s="80"/>
      <c r="AC1490" s="80"/>
      <c r="AD1490" s="81"/>
      <c r="AE1490" s="80"/>
      <c r="AF1490" s="80"/>
      <c r="AG1490" s="81"/>
      <c r="AH1490" s="79"/>
      <c r="AI1490" s="78" t="str">
        <f aca="false">IF(E1490="","",(V1490&lt;&gt;"")+(AA1490&lt;&gt;"")+(AF1490&lt;&gt;""))</f>
        <v/>
      </c>
      <c r="AJ1490" s="82" t="str">
        <f aca="false">IF(AF1490&lt;&gt;"",AF1490,IF(AA1490&lt;&gt;"",AA1490,IF(V1490&lt;&gt;"",V1490,"")))</f>
        <v/>
      </c>
      <c r="AK1490" s="83" t="str">
        <f aca="false">IF(E1490="","",IF(P1490="","À SOUDER",IF(S1490="","VT EN ATTENTE",IF(S1490="R","VT REJETÉ – À REPRENDRE",IF(AJ1490="","À RADIOGRAPHIER",IF(AJ1490="A","ACCEPTÉ",IF(AJ1490="NX","NX – RT À REFAIRE",IF(IF(AI1490=1,X1490,IF(AI1490=2,AC1490,""))="A","RÉPARÉ – À RADIOGRAPHIER",IF(IF(AI1490=1,X1490,IF(AI1490=2,AC1490,""))="R","VT REJETÉ – À REPRENDRE",IF(AJ1490="CO","COUPE – À RESOUDER","À RÉPARER"))))))))))</f>
        <v/>
      </c>
      <c r="AL1490" s="82" t="str">
        <f aca="false">IF(AND(ISNUMBER(P1490),OR(AK1490="À RADIOGRAPHIER",AK1490="RÉPARÉ – À RADIOGRAPHIER",AK1490="NX – RT À REFAIRE",AK1490="À RÉPARER",AK1490="COUPE – À RESOUDER",AK1490="VT REJETÉ – À REPRENDRE")),MAX(0,'PROGRAMME RT'!$C$4-P1490),"")</f>
        <v/>
      </c>
      <c r="AM1490" s="78" t="n">
        <f aca="false">IF(AND(OR(AK1490="À RADIOGRAPHIER",AK1490="RÉPARÉ – À RADIOGRAPHIER",AK1490="NX – RT À REFAIRE"),OR('PROGRAMME RT'!$D$5="TOUTES",B1490='PROGRAMME RT'!$D$5)),1,0)</f>
        <v>0</v>
      </c>
      <c r="AN1490" s="78" t="str">
        <f aca="false">IF(AM1490=1,SUM(AM$7:AM1490),"")</f>
        <v/>
      </c>
      <c r="AO1490" s="78" t="n">
        <f aca="false">IF(AND(OR(AK1490="À RÉPARER",AK1490="COUPE – À RESOUDER",AK1490="VT REJETÉ – À REPRENDRE"),OR(RÉPARATIONS!$D$5="TOUTES",B1490=RÉPARATIONS!$D$5)),1,0)</f>
        <v>0</v>
      </c>
      <c r="AP1490" s="78" t="str">
        <f aca="false">IF(AO1490=1,SUM(AO$7:AO1490),"")</f>
        <v/>
      </c>
    </row>
    <row r="1491" customFormat="false" ht="15" hidden="false" customHeight="false" outlineLevel="0" collapsed="false">
      <c r="A1491" s="78" t="str">
        <f aca="false">IF(E1491="","",ROW()-6)</f>
        <v/>
      </c>
      <c r="B1491" s="79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0"/>
      <c r="P1491" s="81"/>
      <c r="Q1491" s="81"/>
      <c r="R1491" s="80"/>
      <c r="S1491" s="80"/>
      <c r="T1491" s="81"/>
      <c r="U1491" s="80"/>
      <c r="V1491" s="80"/>
      <c r="W1491" s="80"/>
      <c r="X1491" s="80"/>
      <c r="Y1491" s="81"/>
      <c r="Z1491" s="80"/>
      <c r="AA1491" s="80"/>
      <c r="AB1491" s="80"/>
      <c r="AC1491" s="80"/>
      <c r="AD1491" s="81"/>
      <c r="AE1491" s="80"/>
      <c r="AF1491" s="80"/>
      <c r="AG1491" s="81"/>
      <c r="AH1491" s="79"/>
      <c r="AI1491" s="78" t="str">
        <f aca="false">IF(E1491="","",(V1491&lt;&gt;"")+(AA1491&lt;&gt;"")+(AF1491&lt;&gt;""))</f>
        <v/>
      </c>
      <c r="AJ1491" s="82" t="str">
        <f aca="false">IF(AF1491&lt;&gt;"",AF1491,IF(AA1491&lt;&gt;"",AA1491,IF(V1491&lt;&gt;"",V1491,"")))</f>
        <v/>
      </c>
      <c r="AK1491" s="83" t="str">
        <f aca="false">IF(E1491="","",IF(P1491="","À SOUDER",IF(S1491="","VT EN ATTENTE",IF(S1491="R","VT REJETÉ – À REPRENDRE",IF(AJ1491="","À RADIOGRAPHIER",IF(AJ1491="A","ACCEPTÉ",IF(AJ1491="NX","NX – RT À REFAIRE",IF(IF(AI1491=1,X1491,IF(AI1491=2,AC1491,""))="A","RÉPARÉ – À RADIOGRAPHIER",IF(IF(AI1491=1,X1491,IF(AI1491=2,AC1491,""))="R","VT REJETÉ – À REPRENDRE",IF(AJ1491="CO","COUPE – À RESOUDER","À RÉPARER"))))))))))</f>
        <v/>
      </c>
      <c r="AL1491" s="82" t="str">
        <f aca="false">IF(AND(ISNUMBER(P1491),OR(AK1491="À RADIOGRAPHIER",AK1491="RÉPARÉ – À RADIOGRAPHIER",AK1491="NX – RT À REFAIRE",AK1491="À RÉPARER",AK1491="COUPE – À RESOUDER",AK1491="VT REJETÉ – À REPRENDRE")),MAX(0,'PROGRAMME RT'!$C$4-P1491),"")</f>
        <v/>
      </c>
      <c r="AM1491" s="78" t="n">
        <f aca="false">IF(AND(OR(AK1491="À RADIOGRAPHIER",AK1491="RÉPARÉ – À RADIOGRAPHIER",AK1491="NX – RT À REFAIRE"),OR('PROGRAMME RT'!$D$5="TOUTES",B1491='PROGRAMME RT'!$D$5)),1,0)</f>
        <v>0</v>
      </c>
      <c r="AN1491" s="78" t="str">
        <f aca="false">IF(AM1491=1,SUM(AM$7:AM1491),"")</f>
        <v/>
      </c>
      <c r="AO1491" s="78" t="n">
        <f aca="false">IF(AND(OR(AK1491="À RÉPARER",AK1491="COUPE – À RESOUDER",AK1491="VT REJETÉ – À REPRENDRE"),OR(RÉPARATIONS!$D$5="TOUTES",B1491=RÉPARATIONS!$D$5)),1,0)</f>
        <v>0</v>
      </c>
      <c r="AP1491" s="78" t="str">
        <f aca="false">IF(AO1491=1,SUM(AO$7:AO1491),"")</f>
        <v/>
      </c>
    </row>
    <row r="1492" customFormat="false" ht="15" hidden="false" customHeight="false" outlineLevel="0" collapsed="false">
      <c r="A1492" s="78" t="str">
        <f aca="false">IF(E1492="","",ROW()-6)</f>
        <v/>
      </c>
      <c r="B1492" s="79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0"/>
      <c r="P1492" s="81"/>
      <c r="Q1492" s="81"/>
      <c r="R1492" s="80"/>
      <c r="S1492" s="80"/>
      <c r="T1492" s="81"/>
      <c r="U1492" s="80"/>
      <c r="V1492" s="80"/>
      <c r="W1492" s="80"/>
      <c r="X1492" s="80"/>
      <c r="Y1492" s="81"/>
      <c r="Z1492" s="80"/>
      <c r="AA1492" s="80"/>
      <c r="AB1492" s="80"/>
      <c r="AC1492" s="80"/>
      <c r="AD1492" s="81"/>
      <c r="AE1492" s="80"/>
      <c r="AF1492" s="80"/>
      <c r="AG1492" s="81"/>
      <c r="AH1492" s="79"/>
      <c r="AI1492" s="78" t="str">
        <f aca="false">IF(E1492="","",(V1492&lt;&gt;"")+(AA1492&lt;&gt;"")+(AF1492&lt;&gt;""))</f>
        <v/>
      </c>
      <c r="AJ1492" s="82" t="str">
        <f aca="false">IF(AF1492&lt;&gt;"",AF1492,IF(AA1492&lt;&gt;"",AA1492,IF(V1492&lt;&gt;"",V1492,"")))</f>
        <v/>
      </c>
      <c r="AK1492" s="83" t="str">
        <f aca="false">IF(E1492="","",IF(P1492="","À SOUDER",IF(S1492="","VT EN ATTENTE",IF(S1492="R","VT REJETÉ – À REPRENDRE",IF(AJ1492="","À RADIOGRAPHIER",IF(AJ1492="A","ACCEPTÉ",IF(AJ1492="NX","NX – RT À REFAIRE",IF(IF(AI1492=1,X1492,IF(AI1492=2,AC1492,""))="A","RÉPARÉ – À RADIOGRAPHIER",IF(IF(AI1492=1,X1492,IF(AI1492=2,AC1492,""))="R","VT REJETÉ – À REPRENDRE",IF(AJ1492="CO","COUPE – À RESOUDER","À RÉPARER"))))))))))</f>
        <v/>
      </c>
      <c r="AL1492" s="82" t="str">
        <f aca="false">IF(AND(ISNUMBER(P1492),OR(AK1492="À RADIOGRAPHIER",AK1492="RÉPARÉ – À RADIOGRAPHIER",AK1492="NX – RT À REFAIRE",AK1492="À RÉPARER",AK1492="COUPE – À RESOUDER",AK1492="VT REJETÉ – À REPRENDRE")),MAX(0,'PROGRAMME RT'!$C$4-P1492),"")</f>
        <v/>
      </c>
      <c r="AM1492" s="78" t="n">
        <f aca="false">IF(AND(OR(AK1492="À RADIOGRAPHIER",AK1492="RÉPARÉ – À RADIOGRAPHIER",AK1492="NX – RT À REFAIRE"),OR('PROGRAMME RT'!$D$5="TOUTES",B1492='PROGRAMME RT'!$D$5)),1,0)</f>
        <v>0</v>
      </c>
      <c r="AN1492" s="78" t="str">
        <f aca="false">IF(AM1492=1,SUM(AM$7:AM1492),"")</f>
        <v/>
      </c>
      <c r="AO1492" s="78" t="n">
        <f aca="false">IF(AND(OR(AK1492="À RÉPARER",AK1492="COUPE – À RESOUDER",AK1492="VT REJETÉ – À REPRENDRE"),OR(RÉPARATIONS!$D$5="TOUTES",B1492=RÉPARATIONS!$D$5)),1,0)</f>
        <v>0</v>
      </c>
      <c r="AP1492" s="78" t="str">
        <f aca="false">IF(AO1492=1,SUM(AO$7:AO1492),"")</f>
        <v/>
      </c>
    </row>
    <row r="1493" customFormat="false" ht="15" hidden="false" customHeight="false" outlineLevel="0" collapsed="false">
      <c r="A1493" s="78" t="str">
        <f aca="false">IF(E1493="","",ROW()-6)</f>
        <v/>
      </c>
      <c r="B1493" s="79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0"/>
      <c r="P1493" s="81"/>
      <c r="Q1493" s="81"/>
      <c r="R1493" s="80"/>
      <c r="S1493" s="80"/>
      <c r="T1493" s="81"/>
      <c r="U1493" s="80"/>
      <c r="V1493" s="80"/>
      <c r="W1493" s="80"/>
      <c r="X1493" s="80"/>
      <c r="Y1493" s="81"/>
      <c r="Z1493" s="80"/>
      <c r="AA1493" s="80"/>
      <c r="AB1493" s="80"/>
      <c r="AC1493" s="80"/>
      <c r="AD1493" s="81"/>
      <c r="AE1493" s="80"/>
      <c r="AF1493" s="80"/>
      <c r="AG1493" s="81"/>
      <c r="AH1493" s="79"/>
      <c r="AI1493" s="78" t="str">
        <f aca="false">IF(E1493="","",(V1493&lt;&gt;"")+(AA1493&lt;&gt;"")+(AF1493&lt;&gt;""))</f>
        <v/>
      </c>
      <c r="AJ1493" s="82" t="str">
        <f aca="false">IF(AF1493&lt;&gt;"",AF1493,IF(AA1493&lt;&gt;"",AA1493,IF(V1493&lt;&gt;"",V1493,"")))</f>
        <v/>
      </c>
      <c r="AK1493" s="83" t="str">
        <f aca="false">IF(E1493="","",IF(P1493="","À SOUDER",IF(S1493="","VT EN ATTENTE",IF(S1493="R","VT REJETÉ – À REPRENDRE",IF(AJ1493="","À RADIOGRAPHIER",IF(AJ1493="A","ACCEPTÉ",IF(AJ1493="NX","NX – RT À REFAIRE",IF(IF(AI1493=1,X1493,IF(AI1493=2,AC1493,""))="A","RÉPARÉ – À RADIOGRAPHIER",IF(IF(AI1493=1,X1493,IF(AI1493=2,AC1493,""))="R","VT REJETÉ – À REPRENDRE",IF(AJ1493="CO","COUPE – À RESOUDER","À RÉPARER"))))))))))</f>
        <v/>
      </c>
      <c r="AL1493" s="82" t="str">
        <f aca="false">IF(AND(ISNUMBER(P1493),OR(AK1493="À RADIOGRAPHIER",AK1493="RÉPARÉ – À RADIOGRAPHIER",AK1493="NX – RT À REFAIRE",AK1493="À RÉPARER",AK1493="COUPE – À RESOUDER",AK1493="VT REJETÉ – À REPRENDRE")),MAX(0,'PROGRAMME RT'!$C$4-P1493),"")</f>
        <v/>
      </c>
      <c r="AM1493" s="78" t="n">
        <f aca="false">IF(AND(OR(AK1493="À RADIOGRAPHIER",AK1493="RÉPARÉ – À RADIOGRAPHIER",AK1493="NX – RT À REFAIRE"),OR('PROGRAMME RT'!$D$5="TOUTES",B1493='PROGRAMME RT'!$D$5)),1,0)</f>
        <v>0</v>
      </c>
      <c r="AN1493" s="78" t="str">
        <f aca="false">IF(AM1493=1,SUM(AM$7:AM1493),"")</f>
        <v/>
      </c>
      <c r="AO1493" s="78" t="n">
        <f aca="false">IF(AND(OR(AK1493="À RÉPARER",AK1493="COUPE – À RESOUDER",AK1493="VT REJETÉ – À REPRENDRE"),OR(RÉPARATIONS!$D$5="TOUTES",B1493=RÉPARATIONS!$D$5)),1,0)</f>
        <v>0</v>
      </c>
      <c r="AP1493" s="78" t="str">
        <f aca="false">IF(AO1493=1,SUM(AO$7:AO1493),"")</f>
        <v/>
      </c>
    </row>
    <row r="1494" customFormat="false" ht="15" hidden="false" customHeight="false" outlineLevel="0" collapsed="false">
      <c r="A1494" s="78" t="str">
        <f aca="false">IF(E1494="","",ROW()-6)</f>
        <v/>
      </c>
      <c r="B1494" s="79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0"/>
      <c r="P1494" s="81"/>
      <c r="Q1494" s="81"/>
      <c r="R1494" s="80"/>
      <c r="S1494" s="80"/>
      <c r="T1494" s="81"/>
      <c r="U1494" s="80"/>
      <c r="V1494" s="80"/>
      <c r="W1494" s="80"/>
      <c r="X1494" s="80"/>
      <c r="Y1494" s="81"/>
      <c r="Z1494" s="80"/>
      <c r="AA1494" s="80"/>
      <c r="AB1494" s="80"/>
      <c r="AC1494" s="80"/>
      <c r="AD1494" s="81"/>
      <c r="AE1494" s="80"/>
      <c r="AF1494" s="80"/>
      <c r="AG1494" s="81"/>
      <c r="AH1494" s="79"/>
      <c r="AI1494" s="78" t="str">
        <f aca="false">IF(E1494="","",(V1494&lt;&gt;"")+(AA1494&lt;&gt;"")+(AF1494&lt;&gt;""))</f>
        <v/>
      </c>
      <c r="AJ1494" s="82" t="str">
        <f aca="false">IF(AF1494&lt;&gt;"",AF1494,IF(AA1494&lt;&gt;"",AA1494,IF(V1494&lt;&gt;"",V1494,"")))</f>
        <v/>
      </c>
      <c r="AK1494" s="83" t="str">
        <f aca="false">IF(E1494="","",IF(P1494="","À SOUDER",IF(S1494="","VT EN ATTENTE",IF(S1494="R","VT REJETÉ – À REPRENDRE",IF(AJ1494="","À RADIOGRAPHIER",IF(AJ1494="A","ACCEPTÉ",IF(AJ1494="NX","NX – RT À REFAIRE",IF(IF(AI1494=1,X1494,IF(AI1494=2,AC1494,""))="A","RÉPARÉ – À RADIOGRAPHIER",IF(IF(AI1494=1,X1494,IF(AI1494=2,AC1494,""))="R","VT REJETÉ – À REPRENDRE",IF(AJ1494="CO","COUPE – À RESOUDER","À RÉPARER"))))))))))</f>
        <v/>
      </c>
      <c r="AL1494" s="82" t="str">
        <f aca="false">IF(AND(ISNUMBER(P1494),OR(AK1494="À RADIOGRAPHIER",AK1494="RÉPARÉ – À RADIOGRAPHIER",AK1494="NX – RT À REFAIRE",AK1494="À RÉPARER",AK1494="COUPE – À RESOUDER",AK1494="VT REJETÉ – À REPRENDRE")),MAX(0,'PROGRAMME RT'!$C$4-P1494),"")</f>
        <v/>
      </c>
      <c r="AM1494" s="78" t="n">
        <f aca="false">IF(AND(OR(AK1494="À RADIOGRAPHIER",AK1494="RÉPARÉ – À RADIOGRAPHIER",AK1494="NX – RT À REFAIRE"),OR('PROGRAMME RT'!$D$5="TOUTES",B1494='PROGRAMME RT'!$D$5)),1,0)</f>
        <v>0</v>
      </c>
      <c r="AN1494" s="78" t="str">
        <f aca="false">IF(AM1494=1,SUM(AM$7:AM1494),"")</f>
        <v/>
      </c>
      <c r="AO1494" s="78" t="n">
        <f aca="false">IF(AND(OR(AK1494="À RÉPARER",AK1494="COUPE – À RESOUDER",AK1494="VT REJETÉ – À REPRENDRE"),OR(RÉPARATIONS!$D$5="TOUTES",B1494=RÉPARATIONS!$D$5)),1,0)</f>
        <v>0</v>
      </c>
      <c r="AP1494" s="78" t="str">
        <f aca="false">IF(AO1494=1,SUM(AO$7:AO1494),"")</f>
        <v/>
      </c>
    </row>
    <row r="1495" customFormat="false" ht="15" hidden="false" customHeight="false" outlineLevel="0" collapsed="false">
      <c r="A1495" s="78" t="str">
        <f aca="false">IF(E1495="","",ROW()-6)</f>
        <v/>
      </c>
      <c r="B1495" s="79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0"/>
      <c r="P1495" s="81"/>
      <c r="Q1495" s="81"/>
      <c r="R1495" s="80"/>
      <c r="S1495" s="80"/>
      <c r="T1495" s="81"/>
      <c r="U1495" s="80"/>
      <c r="V1495" s="80"/>
      <c r="W1495" s="80"/>
      <c r="X1495" s="80"/>
      <c r="Y1495" s="81"/>
      <c r="Z1495" s="80"/>
      <c r="AA1495" s="80"/>
      <c r="AB1495" s="80"/>
      <c r="AC1495" s="80"/>
      <c r="AD1495" s="81"/>
      <c r="AE1495" s="80"/>
      <c r="AF1495" s="80"/>
      <c r="AG1495" s="81"/>
      <c r="AH1495" s="79"/>
      <c r="AI1495" s="78" t="str">
        <f aca="false">IF(E1495="","",(V1495&lt;&gt;"")+(AA1495&lt;&gt;"")+(AF1495&lt;&gt;""))</f>
        <v/>
      </c>
      <c r="AJ1495" s="82" t="str">
        <f aca="false">IF(AF1495&lt;&gt;"",AF1495,IF(AA1495&lt;&gt;"",AA1495,IF(V1495&lt;&gt;"",V1495,"")))</f>
        <v/>
      </c>
      <c r="AK1495" s="83" t="str">
        <f aca="false">IF(E1495="","",IF(P1495="","À SOUDER",IF(S1495="","VT EN ATTENTE",IF(S1495="R","VT REJETÉ – À REPRENDRE",IF(AJ1495="","À RADIOGRAPHIER",IF(AJ1495="A","ACCEPTÉ",IF(AJ1495="NX","NX – RT À REFAIRE",IF(IF(AI1495=1,X1495,IF(AI1495=2,AC1495,""))="A","RÉPARÉ – À RADIOGRAPHIER",IF(IF(AI1495=1,X1495,IF(AI1495=2,AC1495,""))="R","VT REJETÉ – À REPRENDRE",IF(AJ1495="CO","COUPE – À RESOUDER","À RÉPARER"))))))))))</f>
        <v/>
      </c>
      <c r="AL1495" s="82" t="str">
        <f aca="false">IF(AND(ISNUMBER(P1495),OR(AK1495="À RADIOGRAPHIER",AK1495="RÉPARÉ – À RADIOGRAPHIER",AK1495="NX – RT À REFAIRE",AK1495="À RÉPARER",AK1495="COUPE – À RESOUDER",AK1495="VT REJETÉ – À REPRENDRE")),MAX(0,'PROGRAMME RT'!$C$4-P1495),"")</f>
        <v/>
      </c>
      <c r="AM1495" s="78" t="n">
        <f aca="false">IF(AND(OR(AK1495="À RADIOGRAPHIER",AK1495="RÉPARÉ – À RADIOGRAPHIER",AK1495="NX – RT À REFAIRE"),OR('PROGRAMME RT'!$D$5="TOUTES",B1495='PROGRAMME RT'!$D$5)),1,0)</f>
        <v>0</v>
      </c>
      <c r="AN1495" s="78" t="str">
        <f aca="false">IF(AM1495=1,SUM(AM$7:AM1495),"")</f>
        <v/>
      </c>
      <c r="AO1495" s="78" t="n">
        <f aca="false">IF(AND(OR(AK1495="À RÉPARER",AK1495="COUPE – À RESOUDER",AK1495="VT REJETÉ – À REPRENDRE"),OR(RÉPARATIONS!$D$5="TOUTES",B1495=RÉPARATIONS!$D$5)),1,0)</f>
        <v>0</v>
      </c>
      <c r="AP1495" s="78" t="str">
        <f aca="false">IF(AO1495=1,SUM(AO$7:AO1495),"")</f>
        <v/>
      </c>
    </row>
    <row r="1496" customFormat="false" ht="15" hidden="false" customHeight="false" outlineLevel="0" collapsed="false">
      <c r="A1496" s="78" t="str">
        <f aca="false">IF(E1496="","",ROW()-6)</f>
        <v/>
      </c>
      <c r="B1496" s="79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0"/>
      <c r="P1496" s="81"/>
      <c r="Q1496" s="81"/>
      <c r="R1496" s="80"/>
      <c r="S1496" s="80"/>
      <c r="T1496" s="81"/>
      <c r="U1496" s="80"/>
      <c r="V1496" s="80"/>
      <c r="W1496" s="80"/>
      <c r="X1496" s="80"/>
      <c r="Y1496" s="81"/>
      <c r="Z1496" s="80"/>
      <c r="AA1496" s="80"/>
      <c r="AB1496" s="80"/>
      <c r="AC1496" s="80"/>
      <c r="AD1496" s="81"/>
      <c r="AE1496" s="80"/>
      <c r="AF1496" s="80"/>
      <c r="AG1496" s="81"/>
      <c r="AH1496" s="79"/>
      <c r="AI1496" s="78" t="str">
        <f aca="false">IF(E1496="","",(V1496&lt;&gt;"")+(AA1496&lt;&gt;"")+(AF1496&lt;&gt;""))</f>
        <v/>
      </c>
      <c r="AJ1496" s="82" t="str">
        <f aca="false">IF(AF1496&lt;&gt;"",AF1496,IF(AA1496&lt;&gt;"",AA1496,IF(V1496&lt;&gt;"",V1496,"")))</f>
        <v/>
      </c>
      <c r="AK1496" s="83" t="str">
        <f aca="false">IF(E1496="","",IF(P1496="","À SOUDER",IF(S1496="","VT EN ATTENTE",IF(S1496="R","VT REJETÉ – À REPRENDRE",IF(AJ1496="","À RADIOGRAPHIER",IF(AJ1496="A","ACCEPTÉ",IF(AJ1496="NX","NX – RT À REFAIRE",IF(IF(AI1496=1,X1496,IF(AI1496=2,AC1496,""))="A","RÉPARÉ – À RADIOGRAPHIER",IF(IF(AI1496=1,X1496,IF(AI1496=2,AC1496,""))="R","VT REJETÉ – À REPRENDRE",IF(AJ1496="CO","COUPE – À RESOUDER","À RÉPARER"))))))))))</f>
        <v/>
      </c>
      <c r="AL1496" s="82" t="str">
        <f aca="false">IF(AND(ISNUMBER(P1496),OR(AK1496="À RADIOGRAPHIER",AK1496="RÉPARÉ – À RADIOGRAPHIER",AK1496="NX – RT À REFAIRE",AK1496="À RÉPARER",AK1496="COUPE – À RESOUDER",AK1496="VT REJETÉ – À REPRENDRE")),MAX(0,'PROGRAMME RT'!$C$4-P1496),"")</f>
        <v/>
      </c>
      <c r="AM1496" s="78" t="n">
        <f aca="false">IF(AND(OR(AK1496="À RADIOGRAPHIER",AK1496="RÉPARÉ – À RADIOGRAPHIER",AK1496="NX – RT À REFAIRE"),OR('PROGRAMME RT'!$D$5="TOUTES",B1496='PROGRAMME RT'!$D$5)),1,0)</f>
        <v>0</v>
      </c>
      <c r="AN1496" s="78" t="str">
        <f aca="false">IF(AM1496=1,SUM(AM$7:AM1496),"")</f>
        <v/>
      </c>
      <c r="AO1496" s="78" t="n">
        <f aca="false">IF(AND(OR(AK1496="À RÉPARER",AK1496="COUPE – À RESOUDER",AK1496="VT REJETÉ – À REPRENDRE"),OR(RÉPARATIONS!$D$5="TOUTES",B1496=RÉPARATIONS!$D$5)),1,0)</f>
        <v>0</v>
      </c>
      <c r="AP1496" s="78" t="str">
        <f aca="false">IF(AO1496=1,SUM(AO$7:AO1496),"")</f>
        <v/>
      </c>
    </row>
    <row r="1497" customFormat="false" ht="15" hidden="false" customHeight="false" outlineLevel="0" collapsed="false">
      <c r="A1497" s="78" t="str">
        <f aca="false">IF(E1497="","",ROW()-6)</f>
        <v/>
      </c>
      <c r="B1497" s="79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0"/>
      <c r="P1497" s="81"/>
      <c r="Q1497" s="81"/>
      <c r="R1497" s="80"/>
      <c r="S1497" s="80"/>
      <c r="T1497" s="81"/>
      <c r="U1497" s="80"/>
      <c r="V1497" s="80"/>
      <c r="W1497" s="80"/>
      <c r="X1497" s="80"/>
      <c r="Y1497" s="81"/>
      <c r="Z1497" s="80"/>
      <c r="AA1497" s="80"/>
      <c r="AB1497" s="80"/>
      <c r="AC1497" s="80"/>
      <c r="AD1497" s="81"/>
      <c r="AE1497" s="80"/>
      <c r="AF1497" s="80"/>
      <c r="AG1497" s="81"/>
      <c r="AH1497" s="79"/>
      <c r="AI1497" s="78" t="str">
        <f aca="false">IF(E1497="","",(V1497&lt;&gt;"")+(AA1497&lt;&gt;"")+(AF1497&lt;&gt;""))</f>
        <v/>
      </c>
      <c r="AJ1497" s="82" t="str">
        <f aca="false">IF(AF1497&lt;&gt;"",AF1497,IF(AA1497&lt;&gt;"",AA1497,IF(V1497&lt;&gt;"",V1497,"")))</f>
        <v/>
      </c>
      <c r="AK1497" s="83" t="str">
        <f aca="false">IF(E1497="","",IF(P1497="","À SOUDER",IF(S1497="","VT EN ATTENTE",IF(S1497="R","VT REJETÉ – À REPRENDRE",IF(AJ1497="","À RADIOGRAPHIER",IF(AJ1497="A","ACCEPTÉ",IF(AJ1497="NX","NX – RT À REFAIRE",IF(IF(AI1497=1,X1497,IF(AI1497=2,AC1497,""))="A","RÉPARÉ – À RADIOGRAPHIER",IF(IF(AI1497=1,X1497,IF(AI1497=2,AC1497,""))="R","VT REJETÉ – À REPRENDRE",IF(AJ1497="CO","COUPE – À RESOUDER","À RÉPARER"))))))))))</f>
        <v/>
      </c>
      <c r="AL1497" s="82" t="str">
        <f aca="false">IF(AND(ISNUMBER(P1497),OR(AK1497="À RADIOGRAPHIER",AK1497="RÉPARÉ – À RADIOGRAPHIER",AK1497="NX – RT À REFAIRE",AK1497="À RÉPARER",AK1497="COUPE – À RESOUDER",AK1497="VT REJETÉ – À REPRENDRE")),MAX(0,'PROGRAMME RT'!$C$4-P1497),"")</f>
        <v/>
      </c>
      <c r="AM1497" s="78" t="n">
        <f aca="false">IF(AND(OR(AK1497="À RADIOGRAPHIER",AK1497="RÉPARÉ – À RADIOGRAPHIER",AK1497="NX – RT À REFAIRE"),OR('PROGRAMME RT'!$D$5="TOUTES",B1497='PROGRAMME RT'!$D$5)),1,0)</f>
        <v>0</v>
      </c>
      <c r="AN1497" s="78" t="str">
        <f aca="false">IF(AM1497=1,SUM(AM$7:AM1497),"")</f>
        <v/>
      </c>
      <c r="AO1497" s="78" t="n">
        <f aca="false">IF(AND(OR(AK1497="À RÉPARER",AK1497="COUPE – À RESOUDER",AK1497="VT REJETÉ – À REPRENDRE"),OR(RÉPARATIONS!$D$5="TOUTES",B1497=RÉPARATIONS!$D$5)),1,0)</f>
        <v>0</v>
      </c>
      <c r="AP1497" s="78" t="str">
        <f aca="false">IF(AO1497=1,SUM(AO$7:AO1497),"")</f>
        <v/>
      </c>
    </row>
    <row r="1498" customFormat="false" ht="15" hidden="false" customHeight="false" outlineLevel="0" collapsed="false">
      <c r="A1498" s="78" t="str">
        <f aca="false">IF(E1498="","",ROW()-6)</f>
        <v/>
      </c>
      <c r="B1498" s="79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0"/>
      <c r="P1498" s="81"/>
      <c r="Q1498" s="81"/>
      <c r="R1498" s="80"/>
      <c r="S1498" s="80"/>
      <c r="T1498" s="81"/>
      <c r="U1498" s="80"/>
      <c r="V1498" s="80"/>
      <c r="W1498" s="80"/>
      <c r="X1498" s="80"/>
      <c r="Y1498" s="81"/>
      <c r="Z1498" s="80"/>
      <c r="AA1498" s="80"/>
      <c r="AB1498" s="80"/>
      <c r="AC1498" s="80"/>
      <c r="AD1498" s="81"/>
      <c r="AE1498" s="80"/>
      <c r="AF1498" s="80"/>
      <c r="AG1498" s="81"/>
      <c r="AH1498" s="79"/>
      <c r="AI1498" s="78" t="str">
        <f aca="false">IF(E1498="","",(V1498&lt;&gt;"")+(AA1498&lt;&gt;"")+(AF1498&lt;&gt;""))</f>
        <v/>
      </c>
      <c r="AJ1498" s="82" t="str">
        <f aca="false">IF(AF1498&lt;&gt;"",AF1498,IF(AA1498&lt;&gt;"",AA1498,IF(V1498&lt;&gt;"",V1498,"")))</f>
        <v/>
      </c>
      <c r="AK1498" s="83" t="str">
        <f aca="false">IF(E1498="","",IF(P1498="","À SOUDER",IF(S1498="","VT EN ATTENTE",IF(S1498="R","VT REJETÉ – À REPRENDRE",IF(AJ1498="","À RADIOGRAPHIER",IF(AJ1498="A","ACCEPTÉ",IF(AJ1498="NX","NX – RT À REFAIRE",IF(IF(AI1498=1,X1498,IF(AI1498=2,AC1498,""))="A","RÉPARÉ – À RADIOGRAPHIER",IF(IF(AI1498=1,X1498,IF(AI1498=2,AC1498,""))="R","VT REJETÉ – À REPRENDRE",IF(AJ1498="CO","COUPE – À RESOUDER","À RÉPARER"))))))))))</f>
        <v/>
      </c>
      <c r="AL1498" s="82" t="str">
        <f aca="false">IF(AND(ISNUMBER(P1498),OR(AK1498="À RADIOGRAPHIER",AK1498="RÉPARÉ – À RADIOGRAPHIER",AK1498="NX – RT À REFAIRE",AK1498="À RÉPARER",AK1498="COUPE – À RESOUDER",AK1498="VT REJETÉ – À REPRENDRE")),MAX(0,'PROGRAMME RT'!$C$4-P1498),"")</f>
        <v/>
      </c>
      <c r="AM1498" s="78" t="n">
        <f aca="false">IF(AND(OR(AK1498="À RADIOGRAPHIER",AK1498="RÉPARÉ – À RADIOGRAPHIER",AK1498="NX – RT À REFAIRE"),OR('PROGRAMME RT'!$D$5="TOUTES",B1498='PROGRAMME RT'!$D$5)),1,0)</f>
        <v>0</v>
      </c>
      <c r="AN1498" s="78" t="str">
        <f aca="false">IF(AM1498=1,SUM(AM$7:AM1498),"")</f>
        <v/>
      </c>
      <c r="AO1498" s="78" t="n">
        <f aca="false">IF(AND(OR(AK1498="À RÉPARER",AK1498="COUPE – À RESOUDER",AK1498="VT REJETÉ – À REPRENDRE"),OR(RÉPARATIONS!$D$5="TOUTES",B1498=RÉPARATIONS!$D$5)),1,0)</f>
        <v>0</v>
      </c>
      <c r="AP1498" s="78" t="str">
        <f aca="false">IF(AO1498=1,SUM(AO$7:AO1498),"")</f>
        <v/>
      </c>
    </row>
    <row r="1499" customFormat="false" ht="15" hidden="false" customHeight="false" outlineLevel="0" collapsed="false">
      <c r="A1499" s="78" t="str">
        <f aca="false">IF(E1499="","",ROW()-6)</f>
        <v/>
      </c>
      <c r="B1499" s="79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0"/>
      <c r="P1499" s="81"/>
      <c r="Q1499" s="81"/>
      <c r="R1499" s="80"/>
      <c r="S1499" s="80"/>
      <c r="T1499" s="81"/>
      <c r="U1499" s="80"/>
      <c r="V1499" s="80"/>
      <c r="W1499" s="80"/>
      <c r="X1499" s="80"/>
      <c r="Y1499" s="81"/>
      <c r="Z1499" s="80"/>
      <c r="AA1499" s="80"/>
      <c r="AB1499" s="80"/>
      <c r="AC1499" s="80"/>
      <c r="AD1499" s="81"/>
      <c r="AE1499" s="80"/>
      <c r="AF1499" s="80"/>
      <c r="AG1499" s="81"/>
      <c r="AH1499" s="79"/>
      <c r="AI1499" s="78" t="str">
        <f aca="false">IF(E1499="","",(V1499&lt;&gt;"")+(AA1499&lt;&gt;"")+(AF1499&lt;&gt;""))</f>
        <v/>
      </c>
      <c r="AJ1499" s="82" t="str">
        <f aca="false">IF(AF1499&lt;&gt;"",AF1499,IF(AA1499&lt;&gt;"",AA1499,IF(V1499&lt;&gt;"",V1499,"")))</f>
        <v/>
      </c>
      <c r="AK1499" s="83" t="str">
        <f aca="false">IF(E1499="","",IF(P1499="","À SOUDER",IF(S1499="","VT EN ATTENTE",IF(S1499="R","VT REJETÉ – À REPRENDRE",IF(AJ1499="","À RADIOGRAPHIER",IF(AJ1499="A","ACCEPTÉ",IF(AJ1499="NX","NX – RT À REFAIRE",IF(IF(AI1499=1,X1499,IF(AI1499=2,AC1499,""))="A","RÉPARÉ – À RADIOGRAPHIER",IF(IF(AI1499=1,X1499,IF(AI1499=2,AC1499,""))="R","VT REJETÉ – À REPRENDRE",IF(AJ1499="CO","COUPE – À RESOUDER","À RÉPARER"))))))))))</f>
        <v/>
      </c>
      <c r="AL1499" s="82" t="str">
        <f aca="false">IF(AND(ISNUMBER(P1499),OR(AK1499="À RADIOGRAPHIER",AK1499="RÉPARÉ – À RADIOGRAPHIER",AK1499="NX – RT À REFAIRE",AK1499="À RÉPARER",AK1499="COUPE – À RESOUDER",AK1499="VT REJETÉ – À REPRENDRE")),MAX(0,'PROGRAMME RT'!$C$4-P1499),"")</f>
        <v/>
      </c>
      <c r="AM1499" s="78" t="n">
        <f aca="false">IF(AND(OR(AK1499="À RADIOGRAPHIER",AK1499="RÉPARÉ – À RADIOGRAPHIER",AK1499="NX – RT À REFAIRE"),OR('PROGRAMME RT'!$D$5="TOUTES",B1499='PROGRAMME RT'!$D$5)),1,0)</f>
        <v>0</v>
      </c>
      <c r="AN1499" s="78" t="str">
        <f aca="false">IF(AM1499=1,SUM(AM$7:AM1499),"")</f>
        <v/>
      </c>
      <c r="AO1499" s="78" t="n">
        <f aca="false">IF(AND(OR(AK1499="À RÉPARER",AK1499="COUPE – À RESOUDER",AK1499="VT REJETÉ – À REPRENDRE"),OR(RÉPARATIONS!$D$5="TOUTES",B1499=RÉPARATIONS!$D$5)),1,0)</f>
        <v>0</v>
      </c>
      <c r="AP1499" s="78" t="str">
        <f aca="false">IF(AO1499=1,SUM(AO$7:AO1499),"")</f>
        <v/>
      </c>
    </row>
    <row r="1500" customFormat="false" ht="15" hidden="false" customHeight="false" outlineLevel="0" collapsed="false">
      <c r="A1500" s="78" t="str">
        <f aca="false">IF(E1500="","",ROW()-6)</f>
        <v/>
      </c>
      <c r="B1500" s="79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0"/>
      <c r="P1500" s="81"/>
      <c r="Q1500" s="81"/>
      <c r="R1500" s="80"/>
      <c r="S1500" s="80"/>
      <c r="T1500" s="81"/>
      <c r="U1500" s="80"/>
      <c r="V1500" s="80"/>
      <c r="W1500" s="80"/>
      <c r="X1500" s="80"/>
      <c r="Y1500" s="81"/>
      <c r="Z1500" s="80"/>
      <c r="AA1500" s="80"/>
      <c r="AB1500" s="80"/>
      <c r="AC1500" s="80"/>
      <c r="AD1500" s="81"/>
      <c r="AE1500" s="80"/>
      <c r="AF1500" s="80"/>
      <c r="AG1500" s="81"/>
      <c r="AH1500" s="79"/>
      <c r="AI1500" s="78" t="str">
        <f aca="false">IF(E1500="","",(V1500&lt;&gt;"")+(AA1500&lt;&gt;"")+(AF1500&lt;&gt;""))</f>
        <v/>
      </c>
      <c r="AJ1500" s="82" t="str">
        <f aca="false">IF(AF1500&lt;&gt;"",AF1500,IF(AA1500&lt;&gt;"",AA1500,IF(V1500&lt;&gt;"",V1500,"")))</f>
        <v/>
      </c>
      <c r="AK1500" s="83" t="str">
        <f aca="false">IF(E1500="","",IF(P1500="","À SOUDER",IF(S1500="","VT EN ATTENTE",IF(S1500="R","VT REJETÉ – À REPRENDRE",IF(AJ1500="","À RADIOGRAPHIER",IF(AJ1500="A","ACCEPTÉ",IF(AJ1500="NX","NX – RT À REFAIRE",IF(IF(AI1500=1,X1500,IF(AI1500=2,AC1500,""))="A","RÉPARÉ – À RADIOGRAPHIER",IF(IF(AI1500=1,X1500,IF(AI1500=2,AC1500,""))="R","VT REJETÉ – À REPRENDRE",IF(AJ1500="CO","COUPE – À RESOUDER","À RÉPARER"))))))))))</f>
        <v/>
      </c>
      <c r="AL1500" s="82" t="str">
        <f aca="false">IF(AND(ISNUMBER(P1500),OR(AK1500="À RADIOGRAPHIER",AK1500="RÉPARÉ – À RADIOGRAPHIER",AK1500="NX – RT À REFAIRE",AK1500="À RÉPARER",AK1500="COUPE – À RESOUDER",AK1500="VT REJETÉ – À REPRENDRE")),MAX(0,'PROGRAMME RT'!$C$4-P1500),"")</f>
        <v/>
      </c>
      <c r="AM1500" s="78" t="n">
        <f aca="false">IF(AND(OR(AK1500="À RADIOGRAPHIER",AK1500="RÉPARÉ – À RADIOGRAPHIER",AK1500="NX – RT À REFAIRE"),OR('PROGRAMME RT'!$D$5="TOUTES",B1500='PROGRAMME RT'!$D$5)),1,0)</f>
        <v>0</v>
      </c>
      <c r="AN1500" s="78" t="str">
        <f aca="false">IF(AM1500=1,SUM(AM$7:AM1500),"")</f>
        <v/>
      </c>
      <c r="AO1500" s="78" t="n">
        <f aca="false">IF(AND(OR(AK1500="À RÉPARER",AK1500="COUPE – À RESOUDER",AK1500="VT REJETÉ – À REPRENDRE"),OR(RÉPARATIONS!$D$5="TOUTES",B1500=RÉPARATIONS!$D$5)),1,0)</f>
        <v>0</v>
      </c>
      <c r="AP1500" s="78" t="str">
        <f aca="false">IF(AO1500=1,SUM(AO$7:AO1500),"")</f>
        <v/>
      </c>
    </row>
    <row r="1501" customFormat="false" ht="15" hidden="false" customHeight="false" outlineLevel="0" collapsed="false">
      <c r="A1501" s="78" t="str">
        <f aca="false">IF(E1501="","",ROW()-6)</f>
        <v/>
      </c>
      <c r="B1501" s="79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0"/>
      <c r="P1501" s="81"/>
      <c r="Q1501" s="81"/>
      <c r="R1501" s="80"/>
      <c r="S1501" s="80"/>
      <c r="T1501" s="81"/>
      <c r="U1501" s="80"/>
      <c r="V1501" s="80"/>
      <c r="W1501" s="80"/>
      <c r="X1501" s="80"/>
      <c r="Y1501" s="81"/>
      <c r="Z1501" s="80"/>
      <c r="AA1501" s="80"/>
      <c r="AB1501" s="80"/>
      <c r="AC1501" s="80"/>
      <c r="AD1501" s="81"/>
      <c r="AE1501" s="80"/>
      <c r="AF1501" s="80"/>
      <c r="AG1501" s="81"/>
      <c r="AH1501" s="79"/>
      <c r="AI1501" s="78" t="str">
        <f aca="false">IF(E1501="","",(V1501&lt;&gt;"")+(AA1501&lt;&gt;"")+(AF1501&lt;&gt;""))</f>
        <v/>
      </c>
      <c r="AJ1501" s="82" t="str">
        <f aca="false">IF(AF1501&lt;&gt;"",AF1501,IF(AA1501&lt;&gt;"",AA1501,IF(V1501&lt;&gt;"",V1501,"")))</f>
        <v/>
      </c>
      <c r="AK1501" s="83" t="str">
        <f aca="false">IF(E1501="","",IF(P1501="","À SOUDER",IF(S1501="","VT EN ATTENTE",IF(S1501="R","VT REJETÉ – À REPRENDRE",IF(AJ1501="","À RADIOGRAPHIER",IF(AJ1501="A","ACCEPTÉ",IF(AJ1501="NX","NX – RT À REFAIRE",IF(IF(AI1501=1,X1501,IF(AI1501=2,AC1501,""))="A","RÉPARÉ – À RADIOGRAPHIER",IF(IF(AI1501=1,X1501,IF(AI1501=2,AC1501,""))="R","VT REJETÉ – À REPRENDRE",IF(AJ1501="CO","COUPE – À RESOUDER","À RÉPARER"))))))))))</f>
        <v/>
      </c>
      <c r="AL1501" s="82" t="str">
        <f aca="false">IF(AND(ISNUMBER(P1501),OR(AK1501="À RADIOGRAPHIER",AK1501="RÉPARÉ – À RADIOGRAPHIER",AK1501="NX – RT À REFAIRE",AK1501="À RÉPARER",AK1501="COUPE – À RESOUDER",AK1501="VT REJETÉ – À REPRENDRE")),MAX(0,'PROGRAMME RT'!$C$4-P1501),"")</f>
        <v/>
      </c>
      <c r="AM1501" s="78" t="n">
        <f aca="false">IF(AND(OR(AK1501="À RADIOGRAPHIER",AK1501="RÉPARÉ – À RADIOGRAPHIER",AK1501="NX – RT À REFAIRE"),OR('PROGRAMME RT'!$D$5="TOUTES",B1501='PROGRAMME RT'!$D$5)),1,0)</f>
        <v>0</v>
      </c>
      <c r="AN1501" s="78" t="str">
        <f aca="false">IF(AM1501=1,SUM(AM$7:AM1501),"")</f>
        <v/>
      </c>
      <c r="AO1501" s="78" t="n">
        <f aca="false">IF(AND(OR(AK1501="À RÉPARER",AK1501="COUPE – À RESOUDER",AK1501="VT REJETÉ – À REPRENDRE"),OR(RÉPARATIONS!$D$5="TOUTES",B1501=RÉPARATIONS!$D$5)),1,0)</f>
        <v>0</v>
      </c>
      <c r="AP1501" s="78" t="str">
        <f aca="false">IF(AO1501=1,SUM(AO$7:AO1501),"")</f>
        <v/>
      </c>
    </row>
    <row r="1502" customFormat="false" ht="15" hidden="false" customHeight="false" outlineLevel="0" collapsed="false">
      <c r="A1502" s="78" t="str">
        <f aca="false">IF(E1502="","",ROW()-6)</f>
        <v/>
      </c>
      <c r="B1502" s="79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0"/>
      <c r="P1502" s="81"/>
      <c r="Q1502" s="81"/>
      <c r="R1502" s="80"/>
      <c r="S1502" s="80"/>
      <c r="T1502" s="81"/>
      <c r="U1502" s="80"/>
      <c r="V1502" s="80"/>
      <c r="W1502" s="80"/>
      <c r="X1502" s="80"/>
      <c r="Y1502" s="81"/>
      <c r="Z1502" s="80"/>
      <c r="AA1502" s="80"/>
      <c r="AB1502" s="80"/>
      <c r="AC1502" s="80"/>
      <c r="AD1502" s="81"/>
      <c r="AE1502" s="80"/>
      <c r="AF1502" s="80"/>
      <c r="AG1502" s="81"/>
      <c r="AH1502" s="79"/>
      <c r="AI1502" s="78" t="str">
        <f aca="false">IF(E1502="","",(V1502&lt;&gt;"")+(AA1502&lt;&gt;"")+(AF1502&lt;&gt;""))</f>
        <v/>
      </c>
      <c r="AJ1502" s="82" t="str">
        <f aca="false">IF(AF1502&lt;&gt;"",AF1502,IF(AA1502&lt;&gt;"",AA1502,IF(V1502&lt;&gt;"",V1502,"")))</f>
        <v/>
      </c>
      <c r="AK1502" s="83" t="str">
        <f aca="false">IF(E1502="","",IF(P1502="","À SOUDER",IF(S1502="","VT EN ATTENTE",IF(S1502="R","VT REJETÉ – À REPRENDRE",IF(AJ1502="","À RADIOGRAPHIER",IF(AJ1502="A","ACCEPTÉ",IF(AJ1502="NX","NX – RT À REFAIRE",IF(IF(AI1502=1,X1502,IF(AI1502=2,AC1502,""))="A","RÉPARÉ – À RADIOGRAPHIER",IF(IF(AI1502=1,X1502,IF(AI1502=2,AC1502,""))="R","VT REJETÉ – À REPRENDRE",IF(AJ1502="CO","COUPE – À RESOUDER","À RÉPARER"))))))))))</f>
        <v/>
      </c>
      <c r="AL1502" s="82" t="str">
        <f aca="false">IF(AND(ISNUMBER(P1502),OR(AK1502="À RADIOGRAPHIER",AK1502="RÉPARÉ – À RADIOGRAPHIER",AK1502="NX – RT À REFAIRE",AK1502="À RÉPARER",AK1502="COUPE – À RESOUDER",AK1502="VT REJETÉ – À REPRENDRE")),MAX(0,'PROGRAMME RT'!$C$4-P1502),"")</f>
        <v/>
      </c>
      <c r="AM1502" s="78" t="n">
        <f aca="false">IF(AND(OR(AK1502="À RADIOGRAPHIER",AK1502="RÉPARÉ – À RADIOGRAPHIER",AK1502="NX – RT À REFAIRE"),OR('PROGRAMME RT'!$D$5="TOUTES",B1502='PROGRAMME RT'!$D$5)),1,0)</f>
        <v>0</v>
      </c>
      <c r="AN1502" s="78" t="str">
        <f aca="false">IF(AM1502=1,SUM(AM$7:AM1502),"")</f>
        <v/>
      </c>
      <c r="AO1502" s="78" t="n">
        <f aca="false">IF(AND(OR(AK1502="À RÉPARER",AK1502="COUPE – À RESOUDER",AK1502="VT REJETÉ – À REPRENDRE"),OR(RÉPARATIONS!$D$5="TOUTES",B1502=RÉPARATIONS!$D$5)),1,0)</f>
        <v>0</v>
      </c>
      <c r="AP1502" s="78" t="str">
        <f aca="false">IF(AO1502=1,SUM(AO$7:AO1502),"")</f>
        <v/>
      </c>
    </row>
    <row r="1503" customFormat="false" ht="15" hidden="false" customHeight="false" outlineLevel="0" collapsed="false">
      <c r="A1503" s="78" t="str">
        <f aca="false">IF(E1503="","",ROW()-6)</f>
        <v/>
      </c>
      <c r="B1503" s="79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0"/>
      <c r="P1503" s="81"/>
      <c r="Q1503" s="81"/>
      <c r="R1503" s="80"/>
      <c r="S1503" s="80"/>
      <c r="T1503" s="81"/>
      <c r="U1503" s="80"/>
      <c r="V1503" s="80"/>
      <c r="W1503" s="80"/>
      <c r="X1503" s="80"/>
      <c r="Y1503" s="81"/>
      <c r="Z1503" s="80"/>
      <c r="AA1503" s="80"/>
      <c r="AB1503" s="80"/>
      <c r="AC1503" s="80"/>
      <c r="AD1503" s="81"/>
      <c r="AE1503" s="80"/>
      <c r="AF1503" s="80"/>
      <c r="AG1503" s="81"/>
      <c r="AH1503" s="79"/>
      <c r="AI1503" s="78" t="str">
        <f aca="false">IF(E1503="","",(V1503&lt;&gt;"")+(AA1503&lt;&gt;"")+(AF1503&lt;&gt;""))</f>
        <v/>
      </c>
      <c r="AJ1503" s="82" t="str">
        <f aca="false">IF(AF1503&lt;&gt;"",AF1503,IF(AA1503&lt;&gt;"",AA1503,IF(V1503&lt;&gt;"",V1503,"")))</f>
        <v/>
      </c>
      <c r="AK1503" s="83" t="str">
        <f aca="false">IF(E1503="","",IF(P1503="","À SOUDER",IF(S1503="","VT EN ATTENTE",IF(S1503="R","VT REJETÉ – À REPRENDRE",IF(AJ1503="","À RADIOGRAPHIER",IF(AJ1503="A","ACCEPTÉ",IF(AJ1503="NX","NX – RT À REFAIRE",IF(IF(AI1503=1,X1503,IF(AI1503=2,AC1503,""))="A","RÉPARÉ – À RADIOGRAPHIER",IF(IF(AI1503=1,X1503,IF(AI1503=2,AC1503,""))="R","VT REJETÉ – À REPRENDRE",IF(AJ1503="CO","COUPE – À RESOUDER","À RÉPARER"))))))))))</f>
        <v/>
      </c>
      <c r="AL1503" s="82" t="str">
        <f aca="false">IF(AND(ISNUMBER(P1503),OR(AK1503="À RADIOGRAPHIER",AK1503="RÉPARÉ – À RADIOGRAPHIER",AK1503="NX – RT À REFAIRE",AK1503="À RÉPARER",AK1503="COUPE – À RESOUDER",AK1503="VT REJETÉ – À REPRENDRE")),MAX(0,'PROGRAMME RT'!$C$4-P1503),"")</f>
        <v/>
      </c>
      <c r="AM1503" s="78" t="n">
        <f aca="false">IF(AND(OR(AK1503="À RADIOGRAPHIER",AK1503="RÉPARÉ – À RADIOGRAPHIER",AK1503="NX – RT À REFAIRE"),OR('PROGRAMME RT'!$D$5="TOUTES",B1503='PROGRAMME RT'!$D$5)),1,0)</f>
        <v>0</v>
      </c>
      <c r="AN1503" s="78" t="str">
        <f aca="false">IF(AM1503=1,SUM(AM$7:AM1503),"")</f>
        <v/>
      </c>
      <c r="AO1503" s="78" t="n">
        <f aca="false">IF(AND(OR(AK1503="À RÉPARER",AK1503="COUPE – À RESOUDER",AK1503="VT REJETÉ – À REPRENDRE"),OR(RÉPARATIONS!$D$5="TOUTES",B1503=RÉPARATIONS!$D$5)),1,0)</f>
        <v>0</v>
      </c>
      <c r="AP1503" s="78" t="str">
        <f aca="false">IF(AO1503=1,SUM(AO$7:AO1503),"")</f>
        <v/>
      </c>
    </row>
    <row r="1504" customFormat="false" ht="15" hidden="false" customHeight="false" outlineLevel="0" collapsed="false">
      <c r="A1504" s="78" t="str">
        <f aca="false">IF(E1504="","",ROW()-6)</f>
        <v/>
      </c>
      <c r="B1504" s="79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0"/>
      <c r="P1504" s="81"/>
      <c r="Q1504" s="81"/>
      <c r="R1504" s="80"/>
      <c r="S1504" s="80"/>
      <c r="T1504" s="81"/>
      <c r="U1504" s="80"/>
      <c r="V1504" s="80"/>
      <c r="W1504" s="80"/>
      <c r="X1504" s="80"/>
      <c r="Y1504" s="81"/>
      <c r="Z1504" s="80"/>
      <c r="AA1504" s="80"/>
      <c r="AB1504" s="80"/>
      <c r="AC1504" s="80"/>
      <c r="AD1504" s="81"/>
      <c r="AE1504" s="80"/>
      <c r="AF1504" s="80"/>
      <c r="AG1504" s="81"/>
      <c r="AH1504" s="79"/>
      <c r="AI1504" s="78" t="str">
        <f aca="false">IF(E1504="","",(V1504&lt;&gt;"")+(AA1504&lt;&gt;"")+(AF1504&lt;&gt;""))</f>
        <v/>
      </c>
      <c r="AJ1504" s="82" t="str">
        <f aca="false">IF(AF1504&lt;&gt;"",AF1504,IF(AA1504&lt;&gt;"",AA1504,IF(V1504&lt;&gt;"",V1504,"")))</f>
        <v/>
      </c>
      <c r="AK1504" s="83" t="str">
        <f aca="false">IF(E1504="","",IF(P1504="","À SOUDER",IF(S1504="","VT EN ATTENTE",IF(S1504="R","VT REJETÉ – À REPRENDRE",IF(AJ1504="","À RADIOGRAPHIER",IF(AJ1504="A","ACCEPTÉ",IF(AJ1504="NX","NX – RT À REFAIRE",IF(IF(AI1504=1,X1504,IF(AI1504=2,AC1504,""))="A","RÉPARÉ – À RADIOGRAPHIER",IF(IF(AI1504=1,X1504,IF(AI1504=2,AC1504,""))="R","VT REJETÉ – À REPRENDRE",IF(AJ1504="CO","COUPE – À RESOUDER","À RÉPARER"))))))))))</f>
        <v/>
      </c>
      <c r="AL1504" s="82" t="str">
        <f aca="false">IF(AND(ISNUMBER(P1504),OR(AK1504="À RADIOGRAPHIER",AK1504="RÉPARÉ – À RADIOGRAPHIER",AK1504="NX – RT À REFAIRE",AK1504="À RÉPARER",AK1504="COUPE – À RESOUDER",AK1504="VT REJETÉ – À REPRENDRE")),MAX(0,'PROGRAMME RT'!$C$4-P1504),"")</f>
        <v/>
      </c>
      <c r="AM1504" s="78" t="n">
        <f aca="false">IF(AND(OR(AK1504="À RADIOGRAPHIER",AK1504="RÉPARÉ – À RADIOGRAPHIER",AK1504="NX – RT À REFAIRE"),OR('PROGRAMME RT'!$D$5="TOUTES",B1504='PROGRAMME RT'!$D$5)),1,0)</f>
        <v>0</v>
      </c>
      <c r="AN1504" s="78" t="str">
        <f aca="false">IF(AM1504=1,SUM(AM$7:AM1504),"")</f>
        <v/>
      </c>
      <c r="AO1504" s="78" t="n">
        <f aca="false">IF(AND(OR(AK1504="À RÉPARER",AK1504="COUPE – À RESOUDER",AK1504="VT REJETÉ – À REPRENDRE"),OR(RÉPARATIONS!$D$5="TOUTES",B1504=RÉPARATIONS!$D$5)),1,0)</f>
        <v>0</v>
      </c>
      <c r="AP1504" s="78" t="str">
        <f aca="false">IF(AO1504=1,SUM(AO$7:AO1504),"")</f>
        <v/>
      </c>
    </row>
    <row r="1505" customFormat="false" ht="15" hidden="false" customHeight="false" outlineLevel="0" collapsed="false">
      <c r="A1505" s="78" t="str">
        <f aca="false">IF(E1505="","",ROW()-6)</f>
        <v/>
      </c>
      <c r="B1505" s="79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0"/>
      <c r="P1505" s="81"/>
      <c r="Q1505" s="81"/>
      <c r="R1505" s="80"/>
      <c r="S1505" s="80"/>
      <c r="T1505" s="81"/>
      <c r="U1505" s="80"/>
      <c r="V1505" s="80"/>
      <c r="W1505" s="80"/>
      <c r="X1505" s="80"/>
      <c r="Y1505" s="81"/>
      <c r="Z1505" s="80"/>
      <c r="AA1505" s="80"/>
      <c r="AB1505" s="80"/>
      <c r="AC1505" s="80"/>
      <c r="AD1505" s="81"/>
      <c r="AE1505" s="80"/>
      <c r="AF1505" s="80"/>
      <c r="AG1505" s="81"/>
      <c r="AH1505" s="79"/>
      <c r="AI1505" s="78" t="str">
        <f aca="false">IF(E1505="","",(V1505&lt;&gt;"")+(AA1505&lt;&gt;"")+(AF1505&lt;&gt;""))</f>
        <v/>
      </c>
      <c r="AJ1505" s="82" t="str">
        <f aca="false">IF(AF1505&lt;&gt;"",AF1505,IF(AA1505&lt;&gt;"",AA1505,IF(V1505&lt;&gt;"",V1505,"")))</f>
        <v/>
      </c>
      <c r="AK1505" s="83" t="str">
        <f aca="false">IF(E1505="","",IF(P1505="","À SOUDER",IF(S1505="","VT EN ATTENTE",IF(S1505="R","VT REJETÉ – À REPRENDRE",IF(AJ1505="","À RADIOGRAPHIER",IF(AJ1505="A","ACCEPTÉ",IF(AJ1505="NX","NX – RT À REFAIRE",IF(IF(AI1505=1,X1505,IF(AI1505=2,AC1505,""))="A","RÉPARÉ – À RADIOGRAPHIER",IF(IF(AI1505=1,X1505,IF(AI1505=2,AC1505,""))="R","VT REJETÉ – À REPRENDRE",IF(AJ1505="CO","COUPE – À RESOUDER","À RÉPARER"))))))))))</f>
        <v/>
      </c>
      <c r="AL1505" s="82" t="str">
        <f aca="false">IF(AND(ISNUMBER(P1505),OR(AK1505="À RADIOGRAPHIER",AK1505="RÉPARÉ – À RADIOGRAPHIER",AK1505="NX – RT À REFAIRE",AK1505="À RÉPARER",AK1505="COUPE – À RESOUDER",AK1505="VT REJETÉ – À REPRENDRE")),MAX(0,'PROGRAMME RT'!$C$4-P1505),"")</f>
        <v/>
      </c>
      <c r="AM1505" s="78" t="n">
        <f aca="false">IF(AND(OR(AK1505="À RADIOGRAPHIER",AK1505="RÉPARÉ – À RADIOGRAPHIER",AK1505="NX – RT À REFAIRE"),OR('PROGRAMME RT'!$D$5="TOUTES",B1505='PROGRAMME RT'!$D$5)),1,0)</f>
        <v>0</v>
      </c>
      <c r="AN1505" s="78" t="str">
        <f aca="false">IF(AM1505=1,SUM(AM$7:AM1505),"")</f>
        <v/>
      </c>
      <c r="AO1505" s="78" t="n">
        <f aca="false">IF(AND(OR(AK1505="À RÉPARER",AK1505="COUPE – À RESOUDER",AK1505="VT REJETÉ – À REPRENDRE"),OR(RÉPARATIONS!$D$5="TOUTES",B1505=RÉPARATIONS!$D$5)),1,0)</f>
        <v>0</v>
      </c>
      <c r="AP1505" s="78" t="str">
        <f aca="false">IF(AO1505=1,SUM(AO$7:AO1505),"")</f>
        <v/>
      </c>
    </row>
    <row r="1506" customFormat="false" ht="15" hidden="false" customHeight="false" outlineLevel="0" collapsed="false">
      <c r="A1506" s="78" t="str">
        <f aca="false">IF(E1506="","",ROW()-6)</f>
        <v/>
      </c>
      <c r="B1506" s="79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0"/>
      <c r="P1506" s="81"/>
      <c r="Q1506" s="81"/>
      <c r="R1506" s="80"/>
      <c r="S1506" s="80"/>
      <c r="T1506" s="81"/>
      <c r="U1506" s="80"/>
      <c r="V1506" s="80"/>
      <c r="W1506" s="80"/>
      <c r="X1506" s="80"/>
      <c r="Y1506" s="81"/>
      <c r="Z1506" s="80"/>
      <c r="AA1506" s="80"/>
      <c r="AB1506" s="80"/>
      <c r="AC1506" s="80"/>
      <c r="AD1506" s="81"/>
      <c r="AE1506" s="80"/>
      <c r="AF1506" s="80"/>
      <c r="AG1506" s="81"/>
      <c r="AH1506" s="79"/>
      <c r="AI1506" s="78" t="str">
        <f aca="false">IF(E1506="","",(V1506&lt;&gt;"")+(AA1506&lt;&gt;"")+(AF1506&lt;&gt;""))</f>
        <v/>
      </c>
      <c r="AJ1506" s="82" t="str">
        <f aca="false">IF(AF1506&lt;&gt;"",AF1506,IF(AA1506&lt;&gt;"",AA1506,IF(V1506&lt;&gt;"",V1506,"")))</f>
        <v/>
      </c>
      <c r="AK1506" s="83" t="str">
        <f aca="false">IF(E1506="","",IF(P1506="","À SOUDER",IF(S1506="","VT EN ATTENTE",IF(S1506="R","VT REJETÉ – À REPRENDRE",IF(AJ1506="","À RADIOGRAPHIER",IF(AJ1506="A","ACCEPTÉ",IF(AJ1506="NX","NX – RT À REFAIRE",IF(IF(AI1506=1,X1506,IF(AI1506=2,AC1506,""))="A","RÉPARÉ – À RADIOGRAPHIER",IF(IF(AI1506=1,X1506,IF(AI1506=2,AC1506,""))="R","VT REJETÉ – À REPRENDRE",IF(AJ1506="CO","COUPE – À RESOUDER","À RÉPARER"))))))))))</f>
        <v/>
      </c>
      <c r="AL1506" s="82" t="str">
        <f aca="false">IF(AND(ISNUMBER(P1506),OR(AK1506="À RADIOGRAPHIER",AK1506="RÉPARÉ – À RADIOGRAPHIER",AK1506="NX – RT À REFAIRE",AK1506="À RÉPARER",AK1506="COUPE – À RESOUDER",AK1506="VT REJETÉ – À REPRENDRE")),MAX(0,'PROGRAMME RT'!$C$4-P1506),"")</f>
        <v/>
      </c>
      <c r="AM1506" s="78" t="n">
        <f aca="false">IF(AND(OR(AK1506="À RADIOGRAPHIER",AK1506="RÉPARÉ – À RADIOGRAPHIER",AK1506="NX – RT À REFAIRE"),OR('PROGRAMME RT'!$D$5="TOUTES",B1506='PROGRAMME RT'!$D$5)),1,0)</f>
        <v>0</v>
      </c>
      <c r="AN1506" s="78" t="str">
        <f aca="false">IF(AM1506=1,SUM(AM$7:AM1506),"")</f>
        <v/>
      </c>
      <c r="AO1506" s="78" t="n">
        <f aca="false">IF(AND(OR(AK1506="À RÉPARER",AK1506="COUPE – À RESOUDER",AK1506="VT REJETÉ – À REPRENDRE"),OR(RÉPARATIONS!$D$5="TOUTES",B1506=RÉPARATIONS!$D$5)),1,0)</f>
        <v>0</v>
      </c>
      <c r="AP1506" s="78" t="str">
        <f aca="false">IF(AO1506=1,SUM(AO$7:AO1506),"")</f>
        <v/>
      </c>
    </row>
  </sheetData>
  <mergeCells count="12">
    <mergeCell ref="A1:AL1"/>
    <mergeCell ref="A2:AL2"/>
    <mergeCell ref="M3:O3"/>
    <mergeCell ref="S3:U3"/>
    <mergeCell ref="A5:L5"/>
    <mergeCell ref="M5:P5"/>
    <mergeCell ref="Q5:S5"/>
    <mergeCell ref="T5:V5"/>
    <mergeCell ref="W5:AA5"/>
    <mergeCell ref="AB5:AF5"/>
    <mergeCell ref="AG5:AL5"/>
    <mergeCell ref="AM5:AP5"/>
  </mergeCells>
  <conditionalFormatting sqref="S7:S15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4">
      <formula>"NX"</formula>
    </cfRule>
    <cfRule type="cellIs" priority="5" operator="equal" aboveAverage="0" equalAverage="0" bottom="0" percent="0" rank="0" text="" dxfId="25">
      <formula>"CO"</formula>
    </cfRule>
  </conditionalFormatting>
  <conditionalFormatting sqref="V7:V1506">
    <cfRule type="cellIs" priority="6" operator="equal" aboveAverage="0" equalAverage="0" bottom="0" percent="0" rank="0" text="" dxfId="1">
      <formula>"A"</formula>
    </cfRule>
    <cfRule type="cellIs" priority="7" operator="equal" aboveAverage="0" equalAverage="0" bottom="0" percent="0" rank="0" text="" dxfId="0">
      <formula>"R"</formula>
    </cfRule>
    <cfRule type="cellIs" priority="8" operator="equal" aboveAverage="0" equalAverage="0" bottom="0" percent="0" rank="0" text="" dxfId="24">
      <formula>"NX"</formula>
    </cfRule>
    <cfRule type="cellIs" priority="9" operator="equal" aboveAverage="0" equalAverage="0" bottom="0" percent="0" rank="0" text="" dxfId="25">
      <formula>"CO"</formula>
    </cfRule>
  </conditionalFormatting>
  <conditionalFormatting sqref="X7:X1506">
    <cfRule type="cellIs" priority="10" operator="equal" aboveAverage="0" equalAverage="0" bottom="0" percent="0" rank="0" text="" dxfId="1">
      <formula>"A"</formula>
    </cfRule>
    <cfRule type="cellIs" priority="11" operator="equal" aboveAverage="0" equalAverage="0" bottom="0" percent="0" rank="0" text="" dxfId="0">
      <formula>"R"</formula>
    </cfRule>
    <cfRule type="cellIs" priority="12" operator="equal" aboveAverage="0" equalAverage="0" bottom="0" percent="0" rank="0" text="" dxfId="24">
      <formula>"NX"</formula>
    </cfRule>
    <cfRule type="cellIs" priority="13" operator="equal" aboveAverage="0" equalAverage="0" bottom="0" percent="0" rank="0" text="" dxfId="25">
      <formula>"CO"</formula>
    </cfRule>
  </conditionalFormatting>
  <conditionalFormatting sqref="AA7:AA1506">
    <cfRule type="cellIs" priority="14" operator="equal" aboveAverage="0" equalAverage="0" bottom="0" percent="0" rank="0" text="" dxfId="1">
      <formula>"A"</formula>
    </cfRule>
    <cfRule type="cellIs" priority="15" operator="equal" aboveAverage="0" equalAverage="0" bottom="0" percent="0" rank="0" text="" dxfId="0">
      <formula>"R"</formula>
    </cfRule>
    <cfRule type="cellIs" priority="16" operator="equal" aboveAverage="0" equalAverage="0" bottom="0" percent="0" rank="0" text="" dxfId="24">
      <formula>"NX"</formula>
    </cfRule>
    <cfRule type="cellIs" priority="17" operator="equal" aboveAverage="0" equalAverage="0" bottom="0" percent="0" rank="0" text="" dxfId="25">
      <formula>"CO"</formula>
    </cfRule>
  </conditionalFormatting>
  <conditionalFormatting sqref="AC7:AC1506">
    <cfRule type="cellIs" priority="18" operator="equal" aboveAverage="0" equalAverage="0" bottom="0" percent="0" rank="0" text="" dxfId="1">
      <formula>"A"</formula>
    </cfRule>
    <cfRule type="cellIs" priority="19" operator="equal" aboveAverage="0" equalAverage="0" bottom="0" percent="0" rank="0" text="" dxfId="0">
      <formula>"R"</formula>
    </cfRule>
    <cfRule type="cellIs" priority="20" operator="equal" aboveAverage="0" equalAverage="0" bottom="0" percent="0" rank="0" text="" dxfId="24">
      <formula>"NX"</formula>
    </cfRule>
    <cfRule type="cellIs" priority="21" operator="equal" aboveAverage="0" equalAverage="0" bottom="0" percent="0" rank="0" text="" dxfId="25">
      <formula>"CO"</formula>
    </cfRule>
  </conditionalFormatting>
  <conditionalFormatting sqref="AF7:AF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"CO"</formula>
    </cfRule>
  </conditionalFormatting>
  <conditionalFormatting sqref="AJ7:AJ1506">
    <cfRule type="cellIs" priority="26" operator="equal" aboveAverage="0" equalAverage="0" bottom="0" percent="0" rank="0" text="" dxfId="1">
      <formula>"A"</formula>
    </cfRule>
    <cfRule type="cellIs" priority="27" operator="equal" aboveAverage="0" equalAverage="0" bottom="0" percent="0" rank="0" text="" dxfId="0">
      <formula>"R"</formula>
    </cfRule>
    <cfRule type="cellIs" priority="28" operator="equal" aboveAverage="0" equalAverage="0" bottom="0" percent="0" rank="0" text="" dxfId="24">
      <formula>"NX"</formula>
    </cfRule>
    <cfRule type="cellIs" priority="29" operator="equal" aboveAverage="0" equalAverage="0" bottom="0" percent="0" rank="0" text="" dxfId="25">
      <formula>"CO"</formula>
    </cfRule>
  </conditionalFormatting>
  <conditionalFormatting sqref="AK7:AK1506">
    <cfRule type="cellIs" priority="30" operator="equal" aboveAverage="0" equalAverage="0" bottom="0" percent="0" rank="0" text="" dxfId="1">
      <formula>"ACCEPTÉ"</formula>
    </cfRule>
    <cfRule type="cellIs" priority="31" operator="equal" aboveAverage="0" equalAverage="0" bottom="0" percent="0" rank="0" text="" dxfId="26">
      <formula>"À RADIOGRAPHIER"</formula>
    </cfRule>
    <cfRule type="cellIs" priority="32" operator="equal" aboveAverage="0" equalAverage="0" bottom="0" percent="0" rank="0" text="" dxfId="26">
      <formula>"RÉPARÉ – À RADIOGRAPHIER"</formula>
    </cfRule>
    <cfRule type="cellIs" priority="33" operator="equal" aboveAverage="0" equalAverage="0" bottom="0" percent="0" rank="0" text="" dxfId="24">
      <formula>"NX – RT À REFAIRE"</formula>
    </cfRule>
    <cfRule type="cellIs" priority="34" operator="equal" aboveAverage="0" equalAverage="0" bottom="0" percent="0" rank="0" text="" dxfId="0">
      <formula>"À RÉPARER"</formula>
    </cfRule>
    <cfRule type="cellIs" priority="35" operator="equal" aboveAverage="0" equalAverage="0" bottom="0" percent="0" rank="0" text="" dxfId="25">
      <formula>"COUPE – À RESOUDER"</formula>
    </cfRule>
    <cfRule type="cellIs" priority="36" operator="equal" aboveAverage="0" equalAverage="0" bottom="0" percent="0" rank="0" text="" dxfId="0">
      <formula>"VT REJETÉ – À REPRENDRE"</formula>
    </cfRule>
    <cfRule type="cellIs" priority="37" operator="equal" aboveAverage="0" equalAverage="0" bottom="0" percent="0" rank="0" text="" dxfId="27">
      <formula>"VT EN ATTENTE"</formula>
    </cfRule>
    <cfRule type="cellIs" priority="38" operator="equal" aboveAverage="0" equalAverage="0" bottom="0" percent="0" rank="0" text="" dxfId="28">
      <formula>"À SOUDER"</formula>
    </cfRule>
  </conditionalFormatting>
  <conditionalFormatting sqref="AL7:AL1506">
    <cfRule type="expression" priority="39" aboveAverage="0" equalAverage="0" bottom="0" percent="0" rank="0" text="" dxfId="0">
      <formula>AND(ISNUMBER(AL7),AL7&gt;3)</formula>
    </cfRule>
  </conditionalFormatting>
  <conditionalFormatting sqref="A7:E1506">
    <cfRule type="expression" priority="40" aboveAverage="0" equalAverage="0" bottom="0" percent="0" rank="0" text="" dxfId="29">
      <formula>$AK7="ACCEPTÉ"</formula>
    </cfRule>
  </conditionalFormatting>
  <conditionalFormatting sqref="E7:E1506">
    <cfRule type="expression" priority="41" aboveAverage="0" equalAverage="0" bottom="0" percent="0" rank="0" text="" dxfId="30">
      <formula>AND(E7&lt;&gt;"",COUNTIFS($B$7:$B$1506,B7,$E$7:$E$1506,E7)&gt;1)</formula>
    </cfRule>
  </conditionalFormatting>
  <dataValidations count="5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1506" type="list">
      <formula1>PARAMÈTRES!$B$12:$B$19</formula1>
      <formula2>0</formula2>
    </dataValidation>
    <dataValidation allowBlank="true" error="Choisir le repère soudeur (WR) — liste SOUDEURS" errorStyle="stop" errorTitle="Valeur non valide" operator="between" prompt="Choisir le repère soudeur (WR) — liste SOUDEURS" showDropDown="false" showErrorMessage="true" showInputMessage="true" sqref="M7:O1506 W7:W1506 AB7:AB1506" type="list">
      <formula1>SOUDEURS!$B$6:$B$20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S7:S1506 X7:X1506 AC7:AC1506" type="list">
      <formula1>PARAMÈTRES!$C$32:$C$33</formula1>
      <formula2>0</formula2>
    </dataValidation>
    <dataValidation allowBlank="true" error="RT : A = Accepté, R = À réparer, NX = Film à refaire, CO = Coupe" errorStyle="stop" errorTitle="Valeur non valide" operator="between" prompt="RT : A = Accepté, R = À réparer, NX = Film à refaire, CO = Coupe" showDropDown="false" showErrorMessage="true" showInputMessage="true" sqref="V7:V1506 AA7:AA1506 AF7:AF1506" type="list">
      <formula1>PARAMÈTRES!$D$32:$D$35</formula1>
      <formula2>0</formula2>
    </dataValidation>
    <dataValidation allowBlank="true" error="Saisir une date valide (jj/mm/aaaa)" errorStyle="stop" errorTitle="Date" operator="between" showDropDown="false" showErrorMessage="true" showInputMessage="false" sqref="P7:Q1506 T7:T1506 Y7:Y1506 AD7:AD1506 AG7:AG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4"/>
  </cols>
  <sheetData>
    <row r="2" customFormat="false" ht="33.75" hidden="false" customHeight="true" outlineLevel="0" collapsed="false">
      <c r="B2" s="84" t="s">
        <v>573</v>
      </c>
      <c r="C2" s="84"/>
      <c r="D2" s="84"/>
      <c r="E2" s="84"/>
      <c r="F2" s="84"/>
      <c r="G2" s="84"/>
      <c r="H2" s="84"/>
    </row>
    <row r="4" customFormat="false" ht="15" hidden="false" customHeight="true" outlineLevel="0" collapsed="false">
      <c r="B4" s="85" t="s">
        <v>574</v>
      </c>
      <c r="C4" s="86" t="s">
        <v>575</v>
      </c>
      <c r="D4" s="86"/>
      <c r="E4" s="86"/>
      <c r="F4" s="86"/>
    </row>
    <row r="5" customFormat="false" ht="15" hidden="false" customHeight="true" outlineLevel="0" collapsed="false">
      <c r="B5" s="85" t="s">
        <v>576</v>
      </c>
      <c r="C5" s="86" t="s">
        <v>577</v>
      </c>
      <c r="D5" s="86"/>
      <c r="E5" s="86"/>
      <c r="F5" s="86"/>
    </row>
    <row r="6" customFormat="false" ht="15" hidden="false" customHeight="true" outlineLevel="0" collapsed="false">
      <c r="B6" s="85" t="s">
        <v>578</v>
      </c>
      <c r="C6" s="86" t="s">
        <v>579</v>
      </c>
      <c r="D6" s="86"/>
      <c r="E6" s="86"/>
      <c r="F6" s="86"/>
    </row>
    <row r="7" customFormat="false" ht="15" hidden="false" customHeight="true" outlineLevel="0" collapsed="false">
      <c r="B7" s="85" t="s">
        <v>580</v>
      </c>
      <c r="C7" s="86" t="s">
        <v>581</v>
      </c>
      <c r="D7" s="86"/>
      <c r="E7" s="86"/>
      <c r="F7" s="86"/>
    </row>
    <row r="8" customFormat="false" ht="15" hidden="false" customHeight="true" outlineLevel="0" collapsed="false">
      <c r="B8" s="85" t="s">
        <v>582</v>
      </c>
      <c r="C8" s="86" t="s">
        <v>583</v>
      </c>
      <c r="D8" s="86"/>
      <c r="E8" s="86"/>
      <c r="F8" s="86"/>
    </row>
    <row r="10" customFormat="false" ht="24" hidden="false" customHeight="true" outlineLevel="0" collapsed="false">
      <c r="B10" s="36" t="s">
        <v>584</v>
      </c>
      <c r="C10" s="36"/>
      <c r="D10" s="36"/>
      <c r="E10" s="36"/>
      <c r="F10" s="36"/>
    </row>
    <row r="11" customFormat="false" ht="15" hidden="false" customHeight="false" outlineLevel="0" collapsed="false">
      <c r="B11" s="65" t="s">
        <v>17</v>
      </c>
      <c r="C11" s="65" t="s">
        <v>585</v>
      </c>
      <c r="D11" s="65" t="s">
        <v>64</v>
      </c>
      <c r="E11" s="65" t="s">
        <v>18</v>
      </c>
    </row>
    <row r="12" customFormat="false" ht="15" hidden="false" customHeight="false" outlineLevel="0" collapsed="false">
      <c r="B12" s="87" t="s">
        <v>586</v>
      </c>
      <c r="C12" s="88" t="s">
        <v>587</v>
      </c>
      <c r="D12" s="87" t="s">
        <v>104</v>
      </c>
      <c r="E12" s="89"/>
    </row>
    <row r="13" customFormat="false" ht="15" hidden="false" customHeight="false" outlineLevel="0" collapsed="false">
      <c r="B13" s="87" t="s">
        <v>588</v>
      </c>
      <c r="C13" s="88" t="s">
        <v>589</v>
      </c>
      <c r="D13" s="87" t="s">
        <v>104</v>
      </c>
      <c r="E13" s="89"/>
    </row>
    <row r="14" customFormat="false" ht="15" hidden="false" customHeight="false" outlineLevel="0" collapsed="false">
      <c r="B14" s="87" t="s">
        <v>590</v>
      </c>
      <c r="C14" s="88" t="s">
        <v>591</v>
      </c>
      <c r="D14" s="87" t="s">
        <v>104</v>
      </c>
      <c r="E14" s="89"/>
    </row>
    <row r="15" customFormat="false" ht="15" hidden="false" customHeight="false" outlineLevel="0" collapsed="false">
      <c r="B15" s="87" t="s">
        <v>100</v>
      </c>
      <c r="C15" s="88" t="s">
        <v>592</v>
      </c>
      <c r="D15" s="87" t="s">
        <v>104</v>
      </c>
      <c r="E15" s="89" t="n">
        <v>204</v>
      </c>
    </row>
    <row r="16" customFormat="false" ht="15" hidden="false" customHeight="false" outlineLevel="0" collapsed="false">
      <c r="B16" s="87"/>
      <c r="C16" s="88"/>
      <c r="D16" s="87"/>
      <c r="E16" s="89"/>
    </row>
    <row r="17" customFormat="false" ht="15" hidden="false" customHeight="false" outlineLevel="0" collapsed="false">
      <c r="B17" s="87"/>
      <c r="C17" s="88"/>
      <c r="D17" s="87"/>
      <c r="E17" s="89"/>
    </row>
    <row r="18" customFormat="false" ht="15" hidden="false" customHeight="false" outlineLevel="0" collapsed="false">
      <c r="B18" s="87"/>
      <c r="C18" s="88"/>
      <c r="D18" s="87"/>
      <c r="E18" s="89"/>
    </row>
    <row r="19" customFormat="false" ht="15" hidden="false" customHeight="false" outlineLevel="0" collapsed="false">
      <c r="B19" s="87"/>
      <c r="C19" s="88"/>
      <c r="D19" s="87"/>
      <c r="E19" s="89"/>
    </row>
    <row r="22" customFormat="false" ht="24" hidden="false" customHeight="true" outlineLevel="0" collapsed="false">
      <c r="B22" s="36" t="s">
        <v>593</v>
      </c>
      <c r="C22" s="36"/>
      <c r="D22" s="36"/>
      <c r="E22" s="36"/>
      <c r="F22" s="36"/>
    </row>
    <row r="23" customFormat="false" ht="15" hidden="false" customHeight="false" outlineLevel="0" collapsed="false">
      <c r="B23" s="65" t="s">
        <v>594</v>
      </c>
      <c r="C23" s="65" t="s">
        <v>595</v>
      </c>
      <c r="D23" s="65" t="s">
        <v>596</v>
      </c>
      <c r="E23" s="65" t="s">
        <v>597</v>
      </c>
    </row>
    <row r="24" customFormat="false" ht="15" hidden="false" customHeight="false" outlineLevel="0" collapsed="false">
      <c r="B24" s="90" t="s">
        <v>103</v>
      </c>
      <c r="C24" s="91" t="s">
        <v>598</v>
      </c>
      <c r="D24" s="92" t="s">
        <v>599</v>
      </c>
      <c r="E24" s="92" t="s">
        <v>600</v>
      </c>
    </row>
    <row r="25" customFormat="false" ht="15" hidden="false" customHeight="false" outlineLevel="0" collapsed="false">
      <c r="B25" s="93" t="s">
        <v>263</v>
      </c>
      <c r="C25" s="91" t="s">
        <v>598</v>
      </c>
      <c r="D25" s="92" t="s">
        <v>601</v>
      </c>
      <c r="E25" s="92" t="s">
        <v>602</v>
      </c>
    </row>
    <row r="26" customFormat="false" ht="15" hidden="false" customHeight="false" outlineLevel="0" collapsed="false">
      <c r="B26" s="94" t="s">
        <v>354</v>
      </c>
      <c r="C26" s="91" t="s">
        <v>603</v>
      </c>
      <c r="D26" s="92" t="s">
        <v>604</v>
      </c>
      <c r="E26" s="92" t="s">
        <v>605</v>
      </c>
    </row>
    <row r="27" customFormat="false" ht="15" hidden="false" customHeight="false" outlineLevel="0" collapsed="false">
      <c r="B27" s="95" t="s">
        <v>606</v>
      </c>
      <c r="C27" s="91" t="s">
        <v>603</v>
      </c>
      <c r="D27" s="92" t="s">
        <v>607</v>
      </c>
      <c r="E27" s="92" t="s">
        <v>608</v>
      </c>
    </row>
    <row r="30" customFormat="false" ht="24" hidden="false" customHeight="true" outlineLevel="0" collapsed="false">
      <c r="B30" s="36" t="s">
        <v>609</v>
      </c>
      <c r="C30" s="36"/>
      <c r="D30" s="36"/>
      <c r="E30" s="36"/>
      <c r="F30" s="36"/>
    </row>
    <row r="31" customFormat="false" ht="15" hidden="false" customHeight="false" outlineLevel="0" collapsed="false">
      <c r="B31" s="65" t="s">
        <v>610</v>
      </c>
      <c r="C31" s="65" t="s">
        <v>611</v>
      </c>
      <c r="D31" s="65" t="s">
        <v>603</v>
      </c>
      <c r="E31" s="65" t="s">
        <v>612</v>
      </c>
    </row>
    <row r="32" customFormat="false" ht="15" hidden="false" customHeight="false" outlineLevel="0" collapsed="false">
      <c r="B32" s="38" t="s">
        <v>2</v>
      </c>
      <c r="C32" s="91" t="s">
        <v>103</v>
      </c>
      <c r="D32" s="91" t="s">
        <v>103</v>
      </c>
      <c r="E32" s="92" t="s">
        <v>33</v>
      </c>
    </row>
    <row r="33" customFormat="false" ht="15" hidden="false" customHeight="false" outlineLevel="0" collapsed="false">
      <c r="B33" s="91" t="str">
        <f aca="false">IF(B12="","",B12)</f>
        <v>ISB-302</v>
      </c>
      <c r="C33" s="91" t="s">
        <v>263</v>
      </c>
      <c r="D33" s="91" t="s">
        <v>263</v>
      </c>
      <c r="E33" s="92" t="s">
        <v>34</v>
      </c>
    </row>
    <row r="34" customFormat="false" ht="15" hidden="false" customHeight="false" outlineLevel="0" collapsed="false">
      <c r="B34" s="91" t="str">
        <f aca="false">IF(B13="","",B13)</f>
        <v>ISB-303</v>
      </c>
      <c r="D34" s="91" t="s">
        <v>354</v>
      </c>
      <c r="E34" s="92" t="s">
        <v>35</v>
      </c>
    </row>
    <row r="35" customFormat="false" ht="15" hidden="false" customHeight="false" outlineLevel="0" collapsed="false">
      <c r="B35" s="91" t="str">
        <f aca="false">IF(B14="","",B14)</f>
        <v>ISB-304</v>
      </c>
      <c r="D35" s="91" t="s">
        <v>606</v>
      </c>
      <c r="E35" s="92" t="s">
        <v>12</v>
      </c>
    </row>
    <row r="36" customFormat="false" ht="15" hidden="false" customHeight="false" outlineLevel="0" collapsed="false">
      <c r="B36" s="91" t="str">
        <f aca="false">IF(B15="","",B15)</f>
        <v>TFT 716 → TL7-MMFW2</v>
      </c>
      <c r="E36" s="92" t="s">
        <v>36</v>
      </c>
    </row>
    <row r="37" customFormat="false" ht="15" hidden="false" customHeight="false" outlineLevel="0" collapsed="false">
      <c r="B37" s="91" t="str">
        <f aca="false">IF(B16="","",B16)</f>
        <v/>
      </c>
      <c r="E37" s="92" t="s">
        <v>37</v>
      </c>
    </row>
    <row r="38" customFormat="false" ht="15" hidden="false" customHeight="false" outlineLevel="0" collapsed="false">
      <c r="B38" s="91" t="str">
        <f aca="false">IF(B17="","",B17)</f>
        <v/>
      </c>
      <c r="E38" s="92" t="s">
        <v>38</v>
      </c>
    </row>
    <row r="39" customFormat="false" ht="15" hidden="false" customHeight="false" outlineLevel="0" collapsed="false">
      <c r="B39" s="91" t="str">
        <f aca="false">IF(B18="","",B18)</f>
        <v/>
      </c>
      <c r="E39" s="92" t="s">
        <v>39</v>
      </c>
    </row>
    <row r="40" customFormat="false" ht="15" hidden="false" customHeight="false" outlineLevel="0" collapsed="false">
      <c r="B40" s="91" t="str">
        <f aca="false">IF(B19="","",B19)</f>
        <v/>
      </c>
      <c r="E40" s="92" t="s">
        <v>40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84" t="s">
        <v>613</v>
      </c>
      <c r="C2" s="84"/>
      <c r="D2" s="84"/>
      <c r="E2" s="84"/>
      <c r="F2" s="84"/>
      <c r="G2" s="84"/>
      <c r="H2" s="84"/>
      <c r="I2" s="84"/>
      <c r="J2" s="84"/>
      <c r="K2" s="84"/>
    </row>
    <row r="3" customFormat="false" ht="15" hidden="false" customHeight="true" outlineLevel="0" collapsed="false">
      <c r="B3" s="60" t="s">
        <v>614</v>
      </c>
      <c r="C3" s="60"/>
      <c r="D3" s="60"/>
      <c r="E3" s="60"/>
      <c r="F3" s="60"/>
      <c r="G3" s="60"/>
      <c r="H3" s="60"/>
      <c r="I3" s="60"/>
      <c r="J3" s="60"/>
      <c r="K3" s="60"/>
    </row>
    <row r="5" customFormat="false" ht="33.75" hidden="false" customHeight="true" outlineLevel="0" collapsed="false">
      <c r="B5" s="54" t="s">
        <v>42</v>
      </c>
      <c r="C5" s="54" t="s">
        <v>615</v>
      </c>
      <c r="D5" s="54" t="s">
        <v>616</v>
      </c>
      <c r="E5" s="54" t="s">
        <v>30</v>
      </c>
      <c r="F5" s="54" t="s">
        <v>19</v>
      </c>
      <c r="G5" s="54" t="s">
        <v>617</v>
      </c>
      <c r="H5" s="54" t="s">
        <v>618</v>
      </c>
      <c r="I5" s="54" t="s">
        <v>27</v>
      </c>
      <c r="J5" s="54" t="s">
        <v>619</v>
      </c>
      <c r="K5" s="54" t="s">
        <v>45</v>
      </c>
    </row>
    <row r="6" customFormat="false" ht="15" hidden="false" customHeight="false" outlineLevel="0" collapsed="false">
      <c r="B6" s="96" t="s">
        <v>620</v>
      </c>
      <c r="C6" s="88" t="s">
        <v>621</v>
      </c>
      <c r="D6" s="88" t="s">
        <v>622</v>
      </c>
      <c r="E6" s="87" t="s">
        <v>623</v>
      </c>
      <c r="F6" s="91" t="n">
        <f aca="false">SUMPRODUCT(--((('CARNET DE SOUDURE'!$M$7:$M$1506=B6)+('CARNET DE SOUDURE'!$N$7:$N$1506=B6)+('CARNET DE SOUDURE'!$O$7:$O$1506=B6))&gt;0))</f>
        <v>0</v>
      </c>
      <c r="G6" s="91" t="n">
        <f aca="false">SUMPRODUCT(((('CARNET DE SOUDURE'!$M$7:$M$1506=B6)+('CARNET DE SOUDURE'!$N$7:$N$1506=B6)+('CARNET DE SOUDURE'!$O$7:$O$1506=B6))&gt;0)*(('CARNET DE SOUDURE'!$V$7:$V$1506="A")+('CARNET DE SOUDURE'!$V$7:$V$1506="R")+('CARNET DE SOUDURE'!$V$7:$V$1506="CO")))</f>
        <v>0</v>
      </c>
      <c r="H6" s="91" t="n">
        <f aca="false">SUMPRODUCT(((('CARNET DE SOUDURE'!$M$7:$M$1506=B6)+('CARNET DE SOUDURE'!$N$7:$N$1506=B6)+('CARNET DE SOUDURE'!$O$7:$O$1506=B6))&gt;0)*(('CARNET DE SOUDURE'!$V$7:$V$1506="R")+('CARNET DE SOUDURE'!$V$7:$V$1506="CO")))</f>
        <v>0</v>
      </c>
      <c r="I6" s="40" t="n">
        <f aca="false">IFERROR(H6/G6,0)</f>
        <v>0</v>
      </c>
      <c r="J6" s="91" t="n">
        <f aca="false">COUNTIF('CARNET DE SOUDURE'!$W$7:$W$1506,B6)+COUNTIF('CARNET DE SOUDURE'!$AB$7:$AB$1506,B6)</f>
        <v>0</v>
      </c>
      <c r="K6" s="91" t="str">
        <f aca="false">IF(G6=0,"—",IF(I6&lt;=0.02,"Excellent",IF(I6&lt;=0.05,"Bon","À surveiller")))</f>
        <v>—</v>
      </c>
    </row>
    <row r="7" customFormat="false" ht="15" hidden="false" customHeight="false" outlineLevel="0" collapsed="false">
      <c r="B7" s="96" t="s">
        <v>123</v>
      </c>
      <c r="C7" s="88" t="s">
        <v>624</v>
      </c>
      <c r="D7" s="88" t="s">
        <v>625</v>
      </c>
      <c r="E7" s="87" t="s">
        <v>623</v>
      </c>
      <c r="F7" s="91" t="n">
        <f aca="false">SUMPRODUCT(--((('CARNET DE SOUDURE'!$M$7:$M$1506=B7)+('CARNET DE SOUDURE'!$N$7:$N$1506=B7)+('CARNET DE SOUDURE'!$O$7:$O$1506=B7))&gt;0))</f>
        <v>86</v>
      </c>
      <c r="G7" s="91" t="n">
        <f aca="false">SUMPRODUCT(((('CARNET DE SOUDURE'!$M$7:$M$1506=B7)+('CARNET DE SOUDURE'!$N$7:$N$1506=B7)+('CARNET DE SOUDURE'!$O$7:$O$1506=B7))&gt;0)*(('CARNET DE SOUDURE'!$V$7:$V$1506="A")+('CARNET DE SOUDURE'!$V$7:$V$1506="R")+('CARNET DE SOUDURE'!$V$7:$V$1506="CO")))</f>
        <v>80</v>
      </c>
      <c r="H7" s="91" t="n">
        <f aca="false">SUMPRODUCT(((('CARNET DE SOUDURE'!$M$7:$M$1506=B7)+('CARNET DE SOUDURE'!$N$7:$N$1506=B7)+('CARNET DE SOUDURE'!$O$7:$O$1506=B7))&gt;0)*(('CARNET DE SOUDURE'!$V$7:$V$1506="R")+('CARNET DE SOUDURE'!$V$7:$V$1506="CO")))</f>
        <v>1</v>
      </c>
      <c r="I7" s="40" t="n">
        <f aca="false">IFERROR(H7/G7,0)</f>
        <v>0.0125</v>
      </c>
      <c r="J7" s="91" t="n">
        <f aca="false">COUNTIF('CARNET DE SOUDURE'!$W$7:$W$1506,B7)+COUNTIF('CARNET DE SOUDURE'!$AB$7:$AB$1506,B7)</f>
        <v>0</v>
      </c>
      <c r="K7" s="91" t="str">
        <f aca="false">IF(G7=0,"—",IF(I7&lt;=0.02,"Excellent",IF(I7&lt;=0.05,"Bon","À surveiller")))</f>
        <v>Excellent</v>
      </c>
    </row>
    <row r="8" customFormat="false" ht="15" hidden="false" customHeight="false" outlineLevel="0" collapsed="false">
      <c r="B8" s="96" t="s">
        <v>626</v>
      </c>
      <c r="C8" s="88" t="s">
        <v>627</v>
      </c>
      <c r="D8" s="88" t="s">
        <v>628</v>
      </c>
      <c r="E8" s="87" t="s">
        <v>623</v>
      </c>
      <c r="F8" s="91" t="n">
        <f aca="false">SUMPRODUCT(--((('CARNET DE SOUDURE'!$M$7:$M$1506=B8)+('CARNET DE SOUDURE'!$N$7:$N$1506=B8)+('CARNET DE SOUDURE'!$O$7:$O$1506=B8))&gt;0))</f>
        <v>0</v>
      </c>
      <c r="G8" s="91" t="n">
        <f aca="false">SUMPRODUCT(((('CARNET DE SOUDURE'!$M$7:$M$1506=B8)+('CARNET DE SOUDURE'!$N$7:$N$1506=B8)+('CARNET DE SOUDURE'!$O$7:$O$1506=B8))&gt;0)*(('CARNET DE SOUDURE'!$V$7:$V$1506="A")+('CARNET DE SOUDURE'!$V$7:$V$1506="R")+('CARNET DE SOUDURE'!$V$7:$V$1506="CO")))</f>
        <v>0</v>
      </c>
      <c r="H8" s="91" t="n">
        <f aca="false">SUMPRODUCT(((('CARNET DE SOUDURE'!$M$7:$M$1506=B8)+('CARNET DE SOUDURE'!$N$7:$N$1506=B8)+('CARNET DE SOUDURE'!$O$7:$O$1506=B8))&gt;0)*(('CARNET DE SOUDURE'!$V$7:$V$1506="R")+('CARNET DE SOUDURE'!$V$7:$V$1506="CO")))</f>
        <v>0</v>
      </c>
      <c r="I8" s="40" t="n">
        <f aca="false">IFERROR(H8/G8,0)</f>
        <v>0</v>
      </c>
      <c r="J8" s="91" t="n">
        <f aca="false">COUNTIF('CARNET DE SOUDURE'!$W$7:$W$1506,B8)+COUNTIF('CARNET DE SOUDURE'!$AB$7:$AB$1506,B8)</f>
        <v>0</v>
      </c>
      <c r="K8" s="91" t="str">
        <f aca="false">IF(G8=0,"—",IF(I8&lt;=0.02,"Excellent",IF(I8&lt;=0.05,"Bon","À surveiller")))</f>
        <v>—</v>
      </c>
    </row>
    <row r="9" customFormat="false" ht="15" hidden="false" customHeight="false" outlineLevel="0" collapsed="false">
      <c r="B9" s="96" t="s">
        <v>629</v>
      </c>
      <c r="C9" s="88" t="s">
        <v>630</v>
      </c>
      <c r="D9" s="88" t="s">
        <v>631</v>
      </c>
      <c r="E9" s="87" t="s">
        <v>632</v>
      </c>
      <c r="F9" s="91" t="n">
        <f aca="false">SUMPRODUCT(--((('CARNET DE SOUDURE'!$M$7:$M$1506=B9)+('CARNET DE SOUDURE'!$N$7:$N$1506=B9)+('CARNET DE SOUDURE'!$O$7:$O$1506=B9))&gt;0))</f>
        <v>0</v>
      </c>
      <c r="G9" s="91" t="n">
        <f aca="false">SUMPRODUCT(((('CARNET DE SOUDURE'!$M$7:$M$1506=B9)+('CARNET DE SOUDURE'!$N$7:$N$1506=B9)+('CARNET DE SOUDURE'!$O$7:$O$1506=B9))&gt;0)*(('CARNET DE SOUDURE'!$V$7:$V$1506="A")+('CARNET DE SOUDURE'!$V$7:$V$1506="R")+('CARNET DE SOUDURE'!$V$7:$V$1506="CO")))</f>
        <v>0</v>
      </c>
      <c r="H9" s="91" t="n">
        <f aca="false">SUMPRODUCT(((('CARNET DE SOUDURE'!$M$7:$M$1506=B9)+('CARNET DE SOUDURE'!$N$7:$N$1506=B9)+('CARNET DE SOUDURE'!$O$7:$O$1506=B9))&gt;0)*(('CARNET DE SOUDURE'!$V$7:$V$1506="R")+('CARNET DE SOUDURE'!$V$7:$V$1506="CO")))</f>
        <v>0</v>
      </c>
      <c r="I9" s="40" t="n">
        <f aca="false">IFERROR(H9/G9,0)</f>
        <v>0</v>
      </c>
      <c r="J9" s="91" t="n">
        <f aca="false">COUNTIF('CARNET DE SOUDURE'!$W$7:$W$1506,B9)+COUNTIF('CARNET DE SOUDURE'!$AB$7:$AB$1506,B9)</f>
        <v>0</v>
      </c>
      <c r="K9" s="91" t="str">
        <f aca="false">IF(G9=0,"—",IF(I9&lt;=0.02,"Excellent",IF(I9&lt;=0.05,"Bon","À surveiller")))</f>
        <v>—</v>
      </c>
    </row>
    <row r="10" customFormat="false" ht="15" hidden="false" customHeight="false" outlineLevel="0" collapsed="false">
      <c r="B10" s="96" t="s">
        <v>139</v>
      </c>
      <c r="C10" s="88" t="s">
        <v>633</v>
      </c>
      <c r="D10" s="88" t="s">
        <v>634</v>
      </c>
      <c r="E10" s="87" t="s">
        <v>623</v>
      </c>
      <c r="F10" s="91" t="n">
        <f aca="false">SUMPRODUCT(--((('CARNET DE SOUDURE'!$M$7:$M$1506=B10)+('CARNET DE SOUDURE'!$N$7:$N$1506=B10)+('CARNET DE SOUDURE'!$O$7:$O$1506=B10))&gt;0))</f>
        <v>169</v>
      </c>
      <c r="G10" s="91" t="n">
        <f aca="false">SUMPRODUCT(((('CARNET DE SOUDURE'!$M$7:$M$1506=B10)+('CARNET DE SOUDURE'!$N$7:$N$1506=B10)+('CARNET DE SOUDURE'!$O$7:$O$1506=B10))&gt;0)*(('CARNET DE SOUDURE'!$V$7:$V$1506="A")+('CARNET DE SOUDURE'!$V$7:$V$1506="R")+('CARNET DE SOUDURE'!$V$7:$V$1506="CO")))</f>
        <v>168</v>
      </c>
      <c r="H10" s="91" t="n">
        <f aca="false">SUMPRODUCT(((('CARNET DE SOUDURE'!$M$7:$M$1506=B10)+('CARNET DE SOUDURE'!$N$7:$N$1506=B10)+('CARNET DE SOUDURE'!$O$7:$O$1506=B10))&gt;0)*(('CARNET DE SOUDURE'!$V$7:$V$1506="R")+('CARNET DE SOUDURE'!$V$7:$V$1506="CO")))</f>
        <v>2</v>
      </c>
      <c r="I10" s="40" t="n">
        <f aca="false">IFERROR(H10/G10,0)</f>
        <v>0.0119047619047619</v>
      </c>
      <c r="J10" s="91" t="n">
        <f aca="false">COUNTIF('CARNET DE SOUDURE'!$W$7:$W$1506,B10)+COUNTIF('CARNET DE SOUDURE'!$AB$7:$AB$1506,B10)</f>
        <v>0</v>
      </c>
      <c r="K10" s="91" t="str">
        <f aca="false">IF(G10=0,"—",IF(I10&lt;=0.02,"Excellent",IF(I10&lt;=0.05,"Bon","À surveiller")))</f>
        <v>Excellent</v>
      </c>
    </row>
    <row r="11" customFormat="false" ht="15" hidden="false" customHeight="false" outlineLevel="0" collapsed="false">
      <c r="B11" s="96" t="s">
        <v>132</v>
      </c>
      <c r="C11" s="88" t="s">
        <v>635</v>
      </c>
      <c r="D11" s="88" t="s">
        <v>636</v>
      </c>
      <c r="E11" s="87" t="s">
        <v>623</v>
      </c>
      <c r="F11" s="91" t="n">
        <f aca="false">SUMPRODUCT(--((('CARNET DE SOUDURE'!$M$7:$M$1506=B11)+('CARNET DE SOUDURE'!$N$7:$N$1506=B11)+('CARNET DE SOUDURE'!$O$7:$O$1506=B11))&gt;0))</f>
        <v>62</v>
      </c>
      <c r="G11" s="91" t="n">
        <f aca="false">SUMPRODUCT(((('CARNET DE SOUDURE'!$M$7:$M$1506=B11)+('CARNET DE SOUDURE'!$N$7:$N$1506=B11)+('CARNET DE SOUDURE'!$O$7:$O$1506=B11))&gt;0)*(('CARNET DE SOUDURE'!$V$7:$V$1506="A")+('CARNET DE SOUDURE'!$V$7:$V$1506="R")+('CARNET DE SOUDURE'!$V$7:$V$1506="CO")))</f>
        <v>61</v>
      </c>
      <c r="H11" s="91" t="n">
        <f aca="false">SUMPRODUCT(((('CARNET DE SOUDURE'!$M$7:$M$1506=B11)+('CARNET DE SOUDURE'!$N$7:$N$1506=B11)+('CARNET DE SOUDURE'!$O$7:$O$1506=B11))&gt;0)*(('CARNET DE SOUDURE'!$V$7:$V$1506="R")+('CARNET DE SOUDURE'!$V$7:$V$1506="CO")))</f>
        <v>1</v>
      </c>
      <c r="I11" s="40" t="n">
        <f aca="false">IFERROR(H11/G11,0)</f>
        <v>0.0163934426229508</v>
      </c>
      <c r="J11" s="91" t="n">
        <f aca="false">COUNTIF('CARNET DE SOUDURE'!$W$7:$W$1506,B11)+COUNTIF('CARNET DE SOUDURE'!$AB$7:$AB$1506,B11)</f>
        <v>0</v>
      </c>
      <c r="K11" s="91" t="str">
        <f aca="false">IF(G11=0,"—",IF(I11&lt;=0.02,"Excellent",IF(I11&lt;=0.05,"Bon","À surveiller")))</f>
        <v>Excellent</v>
      </c>
    </row>
    <row r="12" customFormat="false" ht="15" hidden="false" customHeight="false" outlineLevel="0" collapsed="false">
      <c r="B12" s="96" t="s">
        <v>637</v>
      </c>
      <c r="C12" s="88"/>
      <c r="D12" s="88"/>
      <c r="E12" s="87"/>
      <c r="F12" s="91" t="n">
        <f aca="false">SUMPRODUCT(--((('CARNET DE SOUDURE'!$M$7:$M$1506=B12)+('CARNET DE SOUDURE'!$N$7:$N$1506=B12)+('CARNET DE SOUDURE'!$O$7:$O$1506=B12))&gt;0))</f>
        <v>0</v>
      </c>
      <c r="G12" s="91" t="n">
        <f aca="false">SUMPRODUCT(((('CARNET DE SOUDURE'!$M$7:$M$1506=B12)+('CARNET DE SOUDURE'!$N$7:$N$1506=B12)+('CARNET DE SOUDURE'!$O$7:$O$1506=B12))&gt;0)*(('CARNET DE SOUDURE'!$V$7:$V$1506="A")+('CARNET DE SOUDURE'!$V$7:$V$1506="R")+('CARNET DE SOUDURE'!$V$7:$V$1506="CO")))</f>
        <v>0</v>
      </c>
      <c r="H12" s="91" t="n">
        <f aca="false">SUMPRODUCT(((('CARNET DE SOUDURE'!$M$7:$M$1506=B12)+('CARNET DE SOUDURE'!$N$7:$N$1506=B12)+('CARNET DE SOUDURE'!$O$7:$O$1506=B12))&gt;0)*(('CARNET DE SOUDURE'!$V$7:$V$1506="R")+('CARNET DE SOUDURE'!$V$7:$V$1506="CO")))</f>
        <v>0</v>
      </c>
      <c r="I12" s="40" t="n">
        <f aca="false">IFERROR(H12/G12,0)</f>
        <v>0</v>
      </c>
      <c r="J12" s="91" t="n">
        <f aca="false">COUNTIF('CARNET DE SOUDURE'!$W$7:$W$1506,B12)+COUNTIF('CARNET DE SOUDURE'!$AB$7:$AB$1506,B12)</f>
        <v>0</v>
      </c>
      <c r="K12" s="91" t="str">
        <f aca="false">IF(G12=0,"—",IF(I12&lt;=0.02,"Excellent",IF(I12&lt;=0.05,"Bon","À surveiller")))</f>
        <v>—</v>
      </c>
    </row>
    <row r="13" customFormat="false" ht="15" hidden="false" customHeight="false" outlineLevel="0" collapsed="false">
      <c r="B13" s="96" t="s">
        <v>638</v>
      </c>
      <c r="C13" s="88"/>
      <c r="D13" s="88"/>
      <c r="E13" s="87"/>
      <c r="F13" s="91" t="n">
        <f aca="false">SUMPRODUCT(--((('CARNET DE SOUDURE'!$M$7:$M$1506=B13)+('CARNET DE SOUDURE'!$N$7:$N$1506=B13)+('CARNET DE SOUDURE'!$O$7:$O$1506=B13))&gt;0))</f>
        <v>0</v>
      </c>
      <c r="G13" s="91" t="n">
        <f aca="false">SUMPRODUCT(((('CARNET DE SOUDURE'!$M$7:$M$1506=B13)+('CARNET DE SOUDURE'!$N$7:$N$1506=B13)+('CARNET DE SOUDURE'!$O$7:$O$1506=B13))&gt;0)*(('CARNET DE SOUDURE'!$V$7:$V$1506="A")+('CARNET DE SOUDURE'!$V$7:$V$1506="R")+('CARNET DE SOUDURE'!$V$7:$V$1506="CO")))</f>
        <v>0</v>
      </c>
      <c r="H13" s="91" t="n">
        <f aca="false">SUMPRODUCT(((('CARNET DE SOUDURE'!$M$7:$M$1506=B13)+('CARNET DE SOUDURE'!$N$7:$N$1506=B13)+('CARNET DE SOUDURE'!$O$7:$O$1506=B13))&gt;0)*(('CARNET DE SOUDURE'!$V$7:$V$1506="R")+('CARNET DE SOUDURE'!$V$7:$V$1506="CO")))</f>
        <v>0</v>
      </c>
      <c r="I13" s="40" t="n">
        <f aca="false">IFERROR(H13/G13,0)</f>
        <v>0</v>
      </c>
      <c r="J13" s="91" t="n">
        <f aca="false">COUNTIF('CARNET DE SOUDURE'!$W$7:$W$1506,B13)+COUNTIF('CARNET DE SOUDURE'!$AB$7:$AB$1506,B13)</f>
        <v>0</v>
      </c>
      <c r="K13" s="91" t="str">
        <f aca="false">IF(G13=0,"—",IF(I13&lt;=0.02,"Excellent",IF(I13&lt;=0.05,"Bon","À surveiller")))</f>
        <v>—</v>
      </c>
    </row>
    <row r="14" customFormat="false" ht="15" hidden="false" customHeight="false" outlineLevel="0" collapsed="false">
      <c r="B14" s="96" t="s">
        <v>115</v>
      </c>
      <c r="C14" s="88" t="s">
        <v>639</v>
      </c>
      <c r="D14" s="88" t="s">
        <v>640</v>
      </c>
      <c r="E14" s="87" t="s">
        <v>623</v>
      </c>
      <c r="F14" s="91" t="n">
        <f aca="false">SUMPRODUCT(--((('CARNET DE SOUDURE'!$M$7:$M$1506=B14)+('CARNET DE SOUDURE'!$N$7:$N$1506=B14)+('CARNET DE SOUDURE'!$O$7:$O$1506=B14))&gt;0))</f>
        <v>14</v>
      </c>
      <c r="G14" s="91" t="n">
        <f aca="false">SUMPRODUCT(((('CARNET DE SOUDURE'!$M$7:$M$1506=B14)+('CARNET DE SOUDURE'!$N$7:$N$1506=B14)+('CARNET DE SOUDURE'!$O$7:$O$1506=B14))&gt;0)*(('CARNET DE SOUDURE'!$V$7:$V$1506="A")+('CARNET DE SOUDURE'!$V$7:$V$1506="R")+('CARNET DE SOUDURE'!$V$7:$V$1506="CO")))</f>
        <v>10</v>
      </c>
      <c r="H14" s="91" t="n">
        <f aca="false">SUMPRODUCT(((('CARNET DE SOUDURE'!$M$7:$M$1506=B14)+('CARNET DE SOUDURE'!$N$7:$N$1506=B14)+('CARNET DE SOUDURE'!$O$7:$O$1506=B14))&gt;0)*(('CARNET DE SOUDURE'!$V$7:$V$1506="R")+('CARNET DE SOUDURE'!$V$7:$V$1506="CO")))</f>
        <v>0</v>
      </c>
      <c r="I14" s="40" t="n">
        <f aca="false">IFERROR(H14/G14,0)</f>
        <v>0</v>
      </c>
      <c r="J14" s="91" t="n">
        <f aca="false">COUNTIF('CARNET DE SOUDURE'!$W$7:$W$1506,B14)+COUNTIF('CARNET DE SOUDURE'!$AB$7:$AB$1506,B14)</f>
        <v>1</v>
      </c>
      <c r="K14" s="91" t="str">
        <f aca="false">IF(G14=0,"—",IF(I14&lt;=0.02,"Excellent",IF(I14&lt;=0.05,"Bon","À surveiller")))</f>
        <v>Excellent</v>
      </c>
    </row>
    <row r="15" customFormat="false" ht="15" hidden="false" customHeight="false" outlineLevel="0" collapsed="false">
      <c r="B15" s="96" t="s">
        <v>202</v>
      </c>
      <c r="C15" s="88" t="s">
        <v>641</v>
      </c>
      <c r="D15" s="88" t="s">
        <v>642</v>
      </c>
      <c r="E15" s="87" t="s">
        <v>623</v>
      </c>
      <c r="F15" s="91" t="n">
        <f aca="false">SUMPRODUCT(--((('CARNET DE SOUDURE'!$M$7:$M$1506=B15)+('CARNET DE SOUDURE'!$N$7:$N$1506=B15)+('CARNET DE SOUDURE'!$O$7:$O$1506=B15))&gt;0))</f>
        <v>39</v>
      </c>
      <c r="G15" s="91" t="n">
        <f aca="false">SUMPRODUCT(((('CARNET DE SOUDURE'!$M$7:$M$1506=B15)+('CARNET DE SOUDURE'!$N$7:$N$1506=B15)+('CARNET DE SOUDURE'!$O$7:$O$1506=B15))&gt;0)*(('CARNET DE SOUDURE'!$V$7:$V$1506="A")+('CARNET DE SOUDURE'!$V$7:$V$1506="R")+('CARNET DE SOUDURE'!$V$7:$V$1506="CO")))</f>
        <v>39</v>
      </c>
      <c r="H15" s="91" t="n">
        <f aca="false">SUMPRODUCT(((('CARNET DE SOUDURE'!$M$7:$M$1506=B15)+('CARNET DE SOUDURE'!$N$7:$N$1506=B15)+('CARNET DE SOUDURE'!$O$7:$O$1506=B15))&gt;0)*(('CARNET DE SOUDURE'!$V$7:$V$1506="R")+('CARNET DE SOUDURE'!$V$7:$V$1506="CO")))</f>
        <v>0</v>
      </c>
      <c r="I15" s="40" t="n">
        <f aca="false">IFERROR(H15/G15,0)</f>
        <v>0</v>
      </c>
      <c r="J15" s="91" t="n">
        <f aca="false">COUNTIF('CARNET DE SOUDURE'!$W$7:$W$1506,B15)+COUNTIF('CARNET DE SOUDURE'!$AB$7:$AB$1506,B15)</f>
        <v>1</v>
      </c>
      <c r="K15" s="91" t="str">
        <f aca="false">IF(G15=0,"—",IF(I15&lt;=0.02,"Excellent",IF(I15&lt;=0.05,"Bon","À surveiller")))</f>
        <v>Excellent</v>
      </c>
    </row>
    <row r="16" customFormat="false" ht="15" hidden="false" customHeight="false" outlineLevel="0" collapsed="false">
      <c r="B16" s="96" t="s">
        <v>643</v>
      </c>
      <c r="C16" s="88" t="s">
        <v>644</v>
      </c>
      <c r="D16" s="88" t="s">
        <v>631</v>
      </c>
      <c r="E16" s="87" t="s">
        <v>632</v>
      </c>
      <c r="F16" s="91" t="n">
        <f aca="false">SUMPRODUCT(--((('CARNET DE SOUDURE'!$M$7:$M$1506=B16)+('CARNET DE SOUDURE'!$N$7:$N$1506=B16)+('CARNET DE SOUDURE'!$O$7:$O$1506=B16))&gt;0))</f>
        <v>0</v>
      </c>
      <c r="G16" s="91" t="n">
        <f aca="false">SUMPRODUCT(((('CARNET DE SOUDURE'!$M$7:$M$1506=B16)+('CARNET DE SOUDURE'!$N$7:$N$1506=B16)+('CARNET DE SOUDURE'!$O$7:$O$1506=B16))&gt;0)*(('CARNET DE SOUDURE'!$V$7:$V$1506="A")+('CARNET DE SOUDURE'!$V$7:$V$1506="R")+('CARNET DE SOUDURE'!$V$7:$V$1506="CO")))</f>
        <v>0</v>
      </c>
      <c r="H16" s="91" t="n">
        <f aca="false">SUMPRODUCT(((('CARNET DE SOUDURE'!$M$7:$M$1506=B16)+('CARNET DE SOUDURE'!$N$7:$N$1506=B16)+('CARNET DE SOUDURE'!$O$7:$O$1506=B16))&gt;0)*(('CARNET DE SOUDURE'!$V$7:$V$1506="R")+('CARNET DE SOUDURE'!$V$7:$V$1506="CO")))</f>
        <v>0</v>
      </c>
      <c r="I16" s="40" t="n">
        <f aca="false">IFERROR(H16/G16,0)</f>
        <v>0</v>
      </c>
      <c r="J16" s="91" t="n">
        <f aca="false">COUNTIF('CARNET DE SOUDURE'!$W$7:$W$1506,B16)+COUNTIF('CARNET DE SOUDURE'!$AB$7:$AB$1506,B16)</f>
        <v>0</v>
      </c>
      <c r="K16" s="91" t="str">
        <f aca="false">IF(G16=0,"—",IF(I16&lt;=0.02,"Excellent",IF(I16&lt;=0.05,"Bon","À surveiller")))</f>
        <v>—</v>
      </c>
    </row>
    <row r="17" customFormat="false" ht="15" hidden="false" customHeight="false" outlineLevel="0" collapsed="false">
      <c r="B17" s="96" t="s">
        <v>645</v>
      </c>
      <c r="C17" s="88"/>
      <c r="D17" s="88"/>
      <c r="E17" s="87"/>
      <c r="F17" s="91" t="n">
        <f aca="false">SUMPRODUCT(--((('CARNET DE SOUDURE'!$M$7:$M$1506=B17)+('CARNET DE SOUDURE'!$N$7:$N$1506=B17)+('CARNET DE SOUDURE'!$O$7:$O$1506=B17))&gt;0))</f>
        <v>0</v>
      </c>
      <c r="G17" s="91" t="n">
        <f aca="false">SUMPRODUCT(((('CARNET DE SOUDURE'!$M$7:$M$1506=B17)+('CARNET DE SOUDURE'!$N$7:$N$1506=B17)+('CARNET DE SOUDURE'!$O$7:$O$1506=B17))&gt;0)*(('CARNET DE SOUDURE'!$V$7:$V$1506="A")+('CARNET DE SOUDURE'!$V$7:$V$1506="R")+('CARNET DE SOUDURE'!$V$7:$V$1506="CO")))</f>
        <v>0</v>
      </c>
      <c r="H17" s="91" t="n">
        <f aca="false">SUMPRODUCT(((('CARNET DE SOUDURE'!$M$7:$M$1506=B17)+('CARNET DE SOUDURE'!$N$7:$N$1506=B17)+('CARNET DE SOUDURE'!$O$7:$O$1506=B17))&gt;0)*(('CARNET DE SOUDURE'!$V$7:$V$1506="R")+('CARNET DE SOUDURE'!$V$7:$V$1506="CO")))</f>
        <v>0</v>
      </c>
      <c r="I17" s="40" t="n">
        <f aca="false">IFERROR(H17/G17,0)</f>
        <v>0</v>
      </c>
      <c r="J17" s="91" t="n">
        <f aca="false">COUNTIF('CARNET DE SOUDURE'!$W$7:$W$1506,B17)+COUNTIF('CARNET DE SOUDURE'!$AB$7:$AB$1506,B17)</f>
        <v>0</v>
      </c>
      <c r="K17" s="91" t="str">
        <f aca="false">IF(G17=0,"—",IF(I17&lt;=0.02,"Excellent",IF(I17&lt;=0.05,"Bon","À surveiller")))</f>
        <v>—</v>
      </c>
    </row>
    <row r="18" customFormat="false" ht="15" hidden="false" customHeight="false" outlineLevel="0" collapsed="false">
      <c r="B18" s="96" t="s">
        <v>646</v>
      </c>
      <c r="C18" s="88"/>
      <c r="D18" s="88"/>
      <c r="E18" s="87"/>
      <c r="F18" s="91" t="n">
        <f aca="false">SUMPRODUCT(--((('CARNET DE SOUDURE'!$M$7:$M$1506=B18)+('CARNET DE SOUDURE'!$N$7:$N$1506=B18)+('CARNET DE SOUDURE'!$O$7:$O$1506=B18))&gt;0))</f>
        <v>0</v>
      </c>
      <c r="G18" s="91" t="n">
        <f aca="false">SUMPRODUCT(((('CARNET DE SOUDURE'!$M$7:$M$1506=B18)+('CARNET DE SOUDURE'!$N$7:$N$1506=B18)+('CARNET DE SOUDURE'!$O$7:$O$1506=B18))&gt;0)*(('CARNET DE SOUDURE'!$V$7:$V$1506="A")+('CARNET DE SOUDURE'!$V$7:$V$1506="R")+('CARNET DE SOUDURE'!$V$7:$V$1506="CO")))</f>
        <v>0</v>
      </c>
      <c r="H18" s="91" t="n">
        <f aca="false">SUMPRODUCT(((('CARNET DE SOUDURE'!$M$7:$M$1506=B18)+('CARNET DE SOUDURE'!$N$7:$N$1506=B18)+('CARNET DE SOUDURE'!$O$7:$O$1506=B18))&gt;0)*(('CARNET DE SOUDURE'!$V$7:$V$1506="R")+('CARNET DE SOUDURE'!$V$7:$V$1506="CO")))</f>
        <v>0</v>
      </c>
      <c r="I18" s="40" t="n">
        <f aca="false">IFERROR(H18/G18,0)</f>
        <v>0</v>
      </c>
      <c r="J18" s="91" t="n">
        <f aca="false">COUNTIF('CARNET DE SOUDURE'!$W$7:$W$1506,B18)+COUNTIF('CARNET DE SOUDURE'!$AB$7:$AB$1506,B18)</f>
        <v>0</v>
      </c>
      <c r="K18" s="91" t="str">
        <f aca="false">IF(G18=0,"—",IF(I18&lt;=0.02,"Excellent",IF(I18&lt;=0.05,"Bon","À surveiller")))</f>
        <v>—</v>
      </c>
    </row>
    <row r="19" customFormat="false" ht="15" hidden="false" customHeight="false" outlineLevel="0" collapsed="false">
      <c r="B19" s="96" t="s">
        <v>647</v>
      </c>
      <c r="C19" s="88"/>
      <c r="D19" s="88"/>
      <c r="E19" s="87"/>
      <c r="F19" s="91" t="n">
        <f aca="false">SUMPRODUCT(--((('CARNET DE SOUDURE'!$M$7:$M$1506=B19)+('CARNET DE SOUDURE'!$N$7:$N$1506=B19)+('CARNET DE SOUDURE'!$O$7:$O$1506=B19))&gt;0))</f>
        <v>0</v>
      </c>
      <c r="G19" s="91" t="n">
        <f aca="false">SUMPRODUCT(((('CARNET DE SOUDURE'!$M$7:$M$1506=B19)+('CARNET DE SOUDURE'!$N$7:$N$1506=B19)+('CARNET DE SOUDURE'!$O$7:$O$1506=B19))&gt;0)*(('CARNET DE SOUDURE'!$V$7:$V$1506="A")+('CARNET DE SOUDURE'!$V$7:$V$1506="R")+('CARNET DE SOUDURE'!$V$7:$V$1506="CO")))</f>
        <v>0</v>
      </c>
      <c r="H19" s="91" t="n">
        <f aca="false">SUMPRODUCT(((('CARNET DE SOUDURE'!$M$7:$M$1506=B19)+('CARNET DE SOUDURE'!$N$7:$N$1506=B19)+('CARNET DE SOUDURE'!$O$7:$O$1506=B19))&gt;0)*(('CARNET DE SOUDURE'!$V$7:$V$1506="R")+('CARNET DE SOUDURE'!$V$7:$V$1506="CO")))</f>
        <v>0</v>
      </c>
      <c r="I19" s="40" t="n">
        <f aca="false">IFERROR(H19/G19,0)</f>
        <v>0</v>
      </c>
      <c r="J19" s="91" t="n">
        <f aca="false">COUNTIF('CARNET DE SOUDURE'!$W$7:$W$1506,B19)+COUNTIF('CARNET DE SOUDURE'!$AB$7:$AB$1506,B19)</f>
        <v>0</v>
      </c>
      <c r="K19" s="91" t="str">
        <f aca="false">IF(G19=0,"—",IF(I19&lt;=0.02,"Excellent",IF(I19&lt;=0.05,"Bon","À surveiller")))</f>
        <v>—</v>
      </c>
    </row>
    <row r="20" customFormat="false" ht="15" hidden="false" customHeight="false" outlineLevel="0" collapsed="false">
      <c r="B20" s="96" t="s">
        <v>648</v>
      </c>
      <c r="C20" s="88"/>
      <c r="D20" s="88"/>
      <c r="E20" s="87"/>
      <c r="F20" s="91" t="n">
        <f aca="false">SUMPRODUCT(--((('CARNET DE SOUDURE'!$M$7:$M$1506=B20)+('CARNET DE SOUDURE'!$N$7:$N$1506=B20)+('CARNET DE SOUDURE'!$O$7:$O$1506=B20))&gt;0))</f>
        <v>0</v>
      </c>
      <c r="G20" s="91" t="n">
        <f aca="false">SUMPRODUCT(((('CARNET DE SOUDURE'!$M$7:$M$1506=B20)+('CARNET DE SOUDURE'!$N$7:$N$1506=B20)+('CARNET DE SOUDURE'!$O$7:$O$1506=B20))&gt;0)*(('CARNET DE SOUDURE'!$V$7:$V$1506="A")+('CARNET DE SOUDURE'!$V$7:$V$1506="R")+('CARNET DE SOUDURE'!$V$7:$V$1506="CO")))</f>
        <v>0</v>
      </c>
      <c r="H20" s="91" t="n">
        <f aca="false">SUMPRODUCT(((('CARNET DE SOUDURE'!$M$7:$M$1506=B20)+('CARNET DE SOUDURE'!$N$7:$N$1506=B20)+('CARNET DE SOUDURE'!$O$7:$O$1506=B20))&gt;0)*(('CARNET DE SOUDURE'!$V$7:$V$1506="R")+('CARNET DE SOUDURE'!$V$7:$V$1506="CO")))</f>
        <v>0</v>
      </c>
      <c r="I20" s="40" t="n">
        <f aca="false">IFERROR(H20/G20,0)</f>
        <v>0</v>
      </c>
      <c r="J20" s="91" t="n">
        <f aca="false">COUNTIF('CARNET DE SOUDURE'!$W$7:$W$1506,B20)+COUNTIF('CARNET DE SOUDURE'!$AB$7:$AB$1506,B20)</f>
        <v>0</v>
      </c>
      <c r="K20" s="91" t="str">
        <f aca="false">IF(G20=0,"—",IF(I20&lt;=0.02,"Excellent",IF(I20&lt;=0.05,"Bon","À surveiller")))</f>
        <v>—</v>
      </c>
    </row>
    <row r="21" customFormat="false" ht="15" hidden="false" customHeight="false" outlineLevel="0" collapsed="false">
      <c r="B21" s="54" t="s">
        <v>29</v>
      </c>
      <c r="C21" s="54"/>
      <c r="D21" s="54"/>
      <c r="E21" s="54"/>
      <c r="F21" s="54" t="n">
        <f aca="false">SUMPRODUCT(--((('CARNET DE SOUDURE'!$M$7:$M$1506&lt;&gt;"")+('CARNET DE SOUDURE'!$N$7:$N$1506&lt;&gt;"")+('CARNET DE SOUDURE'!$O$7:$O$1506&lt;&gt;""))&gt;0))</f>
        <v>197</v>
      </c>
      <c r="G21" s="54" t="n">
        <f aca="false">COUNTIF('CARNET DE SOUDURE'!$V$7:$V$1506,"A")+COUNTIF('CARNET DE SOUDURE'!$V$7:$V$1506,"R")+COUNTIF('CARNET DE SOUDURE'!$V$7:$V$1506,"CO")</f>
        <v>187</v>
      </c>
      <c r="H21" s="54" t="n">
        <f aca="false">COUNTIF('CARNET DE SOUDURE'!$V$7:$V$1506,"R")+COUNTIF('CARNET DE SOUDURE'!$V$7:$V$1506,"CO")</f>
        <v>2</v>
      </c>
      <c r="I21" s="97" t="n">
        <f aca="false">IFERROR(H21/G21,0)</f>
        <v>0.0106951871657754</v>
      </c>
      <c r="J21" s="54" t="n">
        <f aca="false">SUM(J6:J20)</f>
        <v>2</v>
      </c>
      <c r="K21" s="54"/>
    </row>
  </sheetData>
  <mergeCells count="2">
    <mergeCell ref="B2:K2"/>
    <mergeCell ref="B3:K3"/>
  </mergeCells>
  <conditionalFormatting sqref="I6:I20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{99E0FB90-C0EF-4F9B-88D9-C0BEA45570CF}</x14:id>
        </ext>
      </extLst>
    </cfRule>
  </conditionalFormatting>
  <conditionalFormatting sqref="K6:K20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20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E0FB90-C0EF-4F9B-88D9-C0BEA45570CF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98" t="s">
        <v>649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</row>
    <row r="4" customFormat="false" ht="19.7" hidden="false" customHeight="false" outlineLevel="0" collapsed="false">
      <c r="B4" s="99" t="s">
        <v>650</v>
      </c>
      <c r="C4" s="100" t="n">
        <f aca="true">TODAY()</f>
        <v>46291</v>
      </c>
      <c r="G4" s="99" t="s">
        <v>651</v>
      </c>
      <c r="I4" s="101" t="n">
        <f aca="false">SUM('CARNET DE SOUDURE'!$AM$7:$AM$1506)</f>
        <v>9</v>
      </c>
    </row>
    <row r="5" customFormat="false" ht="15" hidden="false" customHeight="true" outlineLevel="0" collapsed="false">
      <c r="B5" s="99" t="s">
        <v>652</v>
      </c>
      <c r="D5" s="102" t="s">
        <v>2</v>
      </c>
      <c r="E5" s="102"/>
      <c r="G5" s="103" t="s">
        <v>653</v>
      </c>
      <c r="H5" s="103"/>
      <c r="I5" s="103"/>
      <c r="J5" s="103"/>
      <c r="K5" s="103"/>
      <c r="L5" s="103"/>
    </row>
    <row r="7" customFormat="false" ht="15" hidden="false" customHeight="false" outlineLevel="0" collapsed="false">
      <c r="B7" s="104" t="str">
        <f aca="false">"RAPPORT DU "&amp;TEXT($C$4,"dd/mm/yyyy")</f>
        <v>RAPPORT DU 26/09/2026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</row>
    <row r="8" customFormat="false" ht="15" hidden="false" customHeight="true" outlineLevel="0" collapsed="false">
      <c r="B8" s="105" t="s">
        <v>19</v>
      </c>
      <c r="C8" s="105"/>
      <c r="D8" s="105" t="s">
        <v>654</v>
      </c>
      <c r="E8" s="105"/>
      <c r="F8" s="105" t="s">
        <v>655</v>
      </c>
      <c r="G8" s="105"/>
      <c r="H8" s="105" t="s">
        <v>656</v>
      </c>
      <c r="I8" s="105"/>
      <c r="J8" s="105" t="s">
        <v>657</v>
      </c>
      <c r="K8" s="105"/>
      <c r="L8" s="105" t="s">
        <v>658</v>
      </c>
      <c r="M8" s="106"/>
    </row>
    <row r="9" customFormat="false" ht="25.5" hidden="false" customHeight="true" outlineLevel="0" collapsed="false">
      <c r="B9" s="107" t="n">
        <f aca="false">COUNTIF('CARNET DE SOUDURE'!$P$7:$P$1506,$C$4)</f>
        <v>0</v>
      </c>
      <c r="C9" s="107"/>
      <c r="D9" s="107" t="n">
        <f aca="false">COUNTIF('CARNET DE SOUDURE'!$Q$7:$Q$1506,$C$4)</f>
        <v>0</v>
      </c>
      <c r="E9" s="107"/>
      <c r="F9" s="107" t="n">
        <f aca="false">COUNTIF('CARNET DE SOUDURE'!$T$7:$T$1506,$C$4)+COUNTIF('CARNET DE SOUDURE'!$Y$7:$Y$1506,$C$4)+COUNTIF('CARNET DE SOUDURE'!$AD$7:$AD$1506,$C$4)</f>
        <v>0</v>
      </c>
      <c r="G9" s="107"/>
      <c r="H9" s="107" t="n">
        <f aca="false">COUNTIFS('CARNET DE SOUDURE'!$T$7:$T$1506,$C$4,'CARNET DE SOUDURE'!$V$7:$V$1506,"A")+COUNTIFS('CARNET DE SOUDURE'!$Y$7:$Y$1506,$C$4,'CARNET DE SOUDURE'!$AA$7:$AA$1506,"A")+COUNTIFS('CARNET DE SOUDURE'!$AD$7:$AD$1506,$C$4,'CARNET DE SOUDURE'!$AF$7:$AF$1506,"A")</f>
        <v>0</v>
      </c>
      <c r="I9" s="107"/>
      <c r="J9" s="107" t="n">
        <f aca="false">COUNTIFS('CARNET DE SOUDURE'!$T$7:$T$1506,$C$4,'CARNET DE SOUDURE'!$V$7:$V$1506,"R")+COUNTIFS('CARNET DE SOUDURE'!$T$7:$T$1506,$C$4,'CARNET DE SOUDURE'!$V$7:$V$1506,"CO")+COUNTIFS('CARNET DE SOUDURE'!$Y$7:$Y$1506,$C$4,'CARNET DE SOUDURE'!$AA$7:$AA$1506,"R")+COUNTIFS('CARNET DE SOUDURE'!$Y$7:$Y$1506,$C$4,'CARNET DE SOUDURE'!$AA$7:$AA$1506,"CO")+COUNTIFS('CARNET DE SOUDURE'!$AD$7:$AD$1506,$C$4,'CARNET DE SOUDURE'!$AF$7:$AF$1506,"R")+COUNTIFS('CARNET DE SOUDURE'!$AD$7:$AD$1506,$C$4,'CARNET DE SOUDURE'!$AF$7:$AF$1506,"CO")</f>
        <v>0</v>
      </c>
      <c r="K9" s="107"/>
      <c r="L9" s="107" t="n">
        <f aca="false">COUNTIFS('CARNET DE SOUDURE'!$T$7:$T$1506,$C$4,'CARNET DE SOUDURE'!$V$7:$V$1506,"NX")+COUNTIFS('CARNET DE SOUDURE'!$Y$7:$Y$1506,$C$4,'CARNET DE SOUDURE'!$AA$7:$AA$1506,"NX")+COUNTIFS('CARNET DE SOUDURE'!$AD$7:$AD$1506,$C$4,'CARNET DE SOUDURE'!$AF$7:$AF$1506,"NX")</f>
        <v>0</v>
      </c>
      <c r="M9" s="107"/>
    </row>
    <row r="11" customFormat="false" ht="30" hidden="false" customHeight="true" outlineLevel="0" collapsed="false">
      <c r="B11" s="37" t="s">
        <v>659</v>
      </c>
      <c r="C11" s="37" t="s">
        <v>17</v>
      </c>
      <c r="D11" s="37" t="s">
        <v>62</v>
      </c>
      <c r="E11" s="37" t="s">
        <v>61</v>
      </c>
      <c r="F11" s="37" t="s">
        <v>660</v>
      </c>
      <c r="G11" s="37" t="s">
        <v>73</v>
      </c>
      <c r="H11" s="37" t="s">
        <v>661</v>
      </c>
      <c r="I11" s="37" t="s">
        <v>655</v>
      </c>
      <c r="J11" s="37" t="s">
        <v>95</v>
      </c>
      <c r="K11" s="37" t="s">
        <v>662</v>
      </c>
      <c r="L11" s="37" t="s">
        <v>663</v>
      </c>
    </row>
    <row r="12" customFormat="false" ht="15" hidden="false" customHeight="false" outlineLevel="0" collapsed="false">
      <c r="B12" s="91" t="n">
        <f aca="false">IF(1&gt;$I$4,"",1)</f>
        <v>1</v>
      </c>
      <c r="C12" s="91" t="str">
        <f aca="false">IF($B12="","",INDEX('CARNET DE SOUDURE'!$B$7:$B$1506,MATCH(1,'CARNET DE SOUDURE'!$AN$7:$AN$1506,0)))</f>
        <v>TFT 716 → TL7-MMFW2</v>
      </c>
      <c r="D12" s="91" t="str">
        <f aca="false">IF($B12="","",INDEX('CARNET DE SOUDURE'!$E$7:$E$1506,MATCH(1,'CARNET DE SOUDURE'!$AN$7:$AN$1506,0)))</f>
        <v>JN°045Racc</v>
      </c>
      <c r="E12" s="91" t="str">
        <f aca="false">IF($B12="","",INDEX('CARNET DE SOUDURE'!$D$7:$D$1506,MATCH(1,'CARNET DE SOUDURE'!$AN$7:$AN$1506,0)))</f>
        <v>0.00</v>
      </c>
      <c r="F12" s="91" t="str">
        <f aca="false">IF($B12="","",INDEX('CARNET DE SOUDURE'!$M$7:$M$1506,MATCH(1,'CARNET DE SOUDURE'!$AN$7:$AN$1506,0))&amp;" / "&amp;INDEX('CARNET DE SOUDURE'!$N$7:$N$1506,MATCH(1,'CARNET DE SOUDURE'!$AN$7:$AN$1506,0))&amp;" / "&amp;INDEX('CARNET DE SOUDURE'!$O$7:$O$1506,MATCH(1,'CARNET DE SOUDURE'!$AN$7:$AN$1506,0)))</f>
        <v>WR-09 / WR-09 / WR-09</v>
      </c>
      <c r="G12" s="108" t="n">
        <f aca="false">IF($B12="","",INDEX('CARNET DE SOUDURE'!$P$7:$P$1506,MATCH(1,'CARNET DE SOUDURE'!$AN$7:$AN$1506,0)))</f>
        <v>45909</v>
      </c>
      <c r="H12" s="91" t="str">
        <f aca="false">IF($B12="","",INDEX('CARNET DE SOUDURE'!$AK$7:$AK$1506,MATCH(1,'CARNET DE SOUDURE'!$AN$7:$AN$1506,0)))</f>
        <v>À RADIOGRAPHIER</v>
      </c>
      <c r="I12" s="109" t="n">
        <f aca="false">IF($B12="","",INDEX('CARNET DE SOUDURE'!$AI$7:$AI$1506,MATCH(1,'CARNET DE SOUDURE'!$AN$7:$AN$1506,0)))</f>
        <v>0</v>
      </c>
      <c r="J12" s="109" t="n">
        <f aca="false">IF($B12="","",INDEX('CARNET DE SOUDURE'!$AL$7:$AL$1506,MATCH(1,'CARNET DE SOUDURE'!$AN$7:$AN$1506,0)))</f>
        <v>382</v>
      </c>
      <c r="K12" s="87"/>
      <c r="L12" s="87"/>
    </row>
    <row r="13" customFormat="false" ht="15" hidden="false" customHeight="false" outlineLevel="0" collapsed="false">
      <c r="B13" s="110" t="n">
        <f aca="false">IF(2&gt;$I$4,"",2)</f>
        <v>2</v>
      </c>
      <c r="C13" s="110" t="str">
        <f aca="false">IF($B13="","",INDEX('CARNET DE SOUDURE'!$B$7:$B$1506,MATCH(2,'CARNET DE SOUDURE'!$AN$7:$AN$1506,0)))</f>
        <v>TFT 716 → TL7-MMFW2</v>
      </c>
      <c r="D13" s="110" t="str">
        <f aca="false">IF($B13="","",INDEX('CARNET DE SOUDURE'!$E$7:$E$1506,MATCH(2,'CARNET DE SOUDURE'!$AN$7:$AN$1506,0)))</f>
        <v>JN°136Racc</v>
      </c>
      <c r="E13" s="110" t="str">
        <f aca="false">IF($B13="","",INDEX('CARNET DE SOUDURE'!$D$7:$D$1506,MATCH(2,'CARNET DE SOUDURE'!$AN$7:$AN$1506,0)))</f>
        <v>1.00</v>
      </c>
      <c r="F13" s="110" t="str">
        <f aca="false">IF($B13="","",INDEX('CARNET DE SOUDURE'!$M$7:$M$1506,MATCH(2,'CARNET DE SOUDURE'!$AN$7:$AN$1506,0))&amp;" / "&amp;INDEX('CARNET DE SOUDURE'!$N$7:$N$1506,MATCH(2,'CARNET DE SOUDURE'!$AN$7:$AN$1506,0))&amp;" / "&amp;INDEX('CARNET DE SOUDURE'!$O$7:$O$1506,MATCH(2,'CARNET DE SOUDURE'!$AN$7:$AN$1506,0)))</f>
        <v>WR-02 / WR-02 / WR-02</v>
      </c>
      <c r="G13" s="111" t="n">
        <f aca="false">IF($B13="","",INDEX('CARNET DE SOUDURE'!$P$7:$P$1506,MATCH(2,'CARNET DE SOUDURE'!$AN$7:$AN$1506,0)))</f>
        <v>45911</v>
      </c>
      <c r="H13" s="112" t="str">
        <f aca="false">IF($B13="","",INDEX('CARNET DE SOUDURE'!$AK$7:$AK$1506,MATCH(2,'CARNET DE SOUDURE'!$AN$7:$AN$1506,0)))</f>
        <v>À RADIOGRAPHIER</v>
      </c>
      <c r="I13" s="113" t="n">
        <f aca="false">IF($B13="","",INDEX('CARNET DE SOUDURE'!$AI$7:$AI$1506,MATCH(2,'CARNET DE SOUDURE'!$AN$7:$AN$1506,0)))</f>
        <v>0</v>
      </c>
      <c r="J13" s="113" t="n">
        <f aca="false">IF($B13="","",INDEX('CARNET DE SOUDURE'!$AL$7:$AL$1506,MATCH(2,'CARNET DE SOUDURE'!$AN$7:$AN$1506,0)))</f>
        <v>380</v>
      </c>
      <c r="K13" s="87"/>
      <c r="L13" s="87"/>
    </row>
    <row r="14" customFormat="false" ht="15" hidden="false" customHeight="false" outlineLevel="0" collapsed="false">
      <c r="B14" s="91" t="n">
        <f aca="false">IF(3&gt;$I$4,"",3)</f>
        <v>3</v>
      </c>
      <c r="C14" s="91" t="str">
        <f aca="false">IF($B14="","",INDEX('CARNET DE SOUDURE'!$B$7:$B$1506,MATCH(3,'CARNET DE SOUDURE'!$AN$7:$AN$1506,0)))</f>
        <v>TFT 716 → TL7-MMFW2</v>
      </c>
      <c r="D14" s="91" t="str">
        <f aca="false">IF($B14="","",INDEX('CARNET DE SOUDURE'!$E$7:$E$1506,MATCH(3,'CARNET DE SOUDURE'!$AN$7:$AN$1506,0)))</f>
        <v>JN°140Racc</v>
      </c>
      <c r="E14" s="91" t="str">
        <f aca="false">IF($B14="","",INDEX('CARNET DE SOUDURE'!$D$7:$D$1506,MATCH(3,'CARNET DE SOUDURE'!$AN$7:$AN$1506,0)))</f>
        <v>1.00</v>
      </c>
      <c r="F14" s="91" t="str">
        <f aca="false">IF($B14="","",INDEX('CARNET DE SOUDURE'!$M$7:$M$1506,MATCH(3,'CARNET DE SOUDURE'!$AN$7:$AN$1506,0))&amp;" / "&amp;INDEX('CARNET DE SOUDURE'!$N$7:$N$1506,MATCH(3,'CARNET DE SOUDURE'!$AN$7:$AN$1506,0))&amp;" / "&amp;INDEX('CARNET DE SOUDURE'!$O$7:$O$1506,MATCH(3,'CARNET DE SOUDURE'!$AN$7:$AN$1506,0)))</f>
        <v>WR-09 / WR-09 / WR-09</v>
      </c>
      <c r="G14" s="108" t="n">
        <f aca="false">IF($B14="","",INDEX('CARNET DE SOUDURE'!$P$7:$P$1506,MATCH(3,'CARNET DE SOUDURE'!$AN$7:$AN$1506,0)))</f>
        <v>45912</v>
      </c>
      <c r="H14" s="91" t="str">
        <f aca="false">IF($B14="","",INDEX('CARNET DE SOUDURE'!$AK$7:$AK$1506,MATCH(3,'CARNET DE SOUDURE'!$AN$7:$AN$1506,0)))</f>
        <v>À RADIOGRAPHIER</v>
      </c>
      <c r="I14" s="109" t="n">
        <f aca="false">IF($B14="","",INDEX('CARNET DE SOUDURE'!$AI$7:$AI$1506,MATCH(3,'CARNET DE SOUDURE'!$AN$7:$AN$1506,0)))</f>
        <v>0</v>
      </c>
      <c r="J14" s="109" t="n">
        <f aca="false">IF($B14="","",INDEX('CARNET DE SOUDURE'!$AL$7:$AL$1506,MATCH(3,'CARNET DE SOUDURE'!$AN$7:$AN$1506,0)))</f>
        <v>379</v>
      </c>
      <c r="K14" s="87"/>
      <c r="L14" s="87"/>
    </row>
    <row r="15" customFormat="false" ht="15" hidden="false" customHeight="false" outlineLevel="0" collapsed="false">
      <c r="B15" s="110" t="n">
        <f aca="false">IF(4&gt;$I$4,"",4)</f>
        <v>4</v>
      </c>
      <c r="C15" s="110" t="str">
        <f aca="false">IF($B15="","",INDEX('CARNET DE SOUDURE'!$B$7:$B$1506,MATCH(4,'CARNET DE SOUDURE'!$AN$7:$AN$1506,0)))</f>
        <v>TFT 716 → TL7-MMFW2</v>
      </c>
      <c r="D15" s="110" t="str">
        <f aca="false">IF($B15="","",INDEX('CARNET DE SOUDURE'!$E$7:$E$1506,MATCH(4,'CARNET DE SOUDURE'!$AN$7:$AN$1506,0)))</f>
        <v>JN°142</v>
      </c>
      <c r="E15" s="110" t="str">
        <f aca="false">IF($B15="","",INDEX('CARNET DE SOUDURE'!$D$7:$D$1506,MATCH(4,'CARNET DE SOUDURE'!$AN$7:$AN$1506,0)))</f>
        <v>1.00</v>
      </c>
      <c r="F15" s="110" t="str">
        <f aca="false">IF($B15="","",INDEX('CARNET DE SOUDURE'!$M$7:$M$1506,MATCH(4,'CARNET DE SOUDURE'!$AN$7:$AN$1506,0))&amp;" / "&amp;INDEX('CARNET DE SOUDURE'!$N$7:$N$1506,MATCH(4,'CARNET DE SOUDURE'!$AN$7:$AN$1506,0))&amp;" / "&amp;INDEX('CARNET DE SOUDURE'!$O$7:$O$1506,MATCH(4,'CARNET DE SOUDURE'!$AN$7:$AN$1506,0)))</f>
        <v>WR-02 / WR-02 / WR-02</v>
      </c>
      <c r="G15" s="111" t="n">
        <f aca="false">IF($B15="","",INDEX('CARNET DE SOUDURE'!$P$7:$P$1506,MATCH(4,'CARNET DE SOUDURE'!$AN$7:$AN$1506,0)))</f>
        <v>45912</v>
      </c>
      <c r="H15" s="112" t="str">
        <f aca="false">IF($B15="","",INDEX('CARNET DE SOUDURE'!$AK$7:$AK$1506,MATCH(4,'CARNET DE SOUDURE'!$AN$7:$AN$1506,0)))</f>
        <v>À RADIOGRAPHIER</v>
      </c>
      <c r="I15" s="113" t="n">
        <f aca="false">IF($B15="","",INDEX('CARNET DE SOUDURE'!$AI$7:$AI$1506,MATCH(4,'CARNET DE SOUDURE'!$AN$7:$AN$1506,0)))</f>
        <v>0</v>
      </c>
      <c r="J15" s="113" t="n">
        <f aca="false">IF($B15="","",INDEX('CARNET DE SOUDURE'!$AL$7:$AL$1506,MATCH(4,'CARNET DE SOUDURE'!$AN$7:$AN$1506,0)))</f>
        <v>379</v>
      </c>
      <c r="K15" s="87"/>
      <c r="L15" s="87"/>
    </row>
    <row r="16" customFormat="false" ht="15" hidden="false" customHeight="false" outlineLevel="0" collapsed="false">
      <c r="B16" s="91" t="n">
        <f aca="false">IF(5&gt;$I$4,"",5)</f>
        <v>5</v>
      </c>
      <c r="C16" s="91" t="str">
        <f aca="false">IF($B16="","",INDEX('CARNET DE SOUDURE'!$B$7:$B$1506,MATCH(5,'CARNET DE SOUDURE'!$AN$7:$AN$1506,0)))</f>
        <v>TFT 716 → TL7-MMFW2</v>
      </c>
      <c r="D16" s="91" t="str">
        <f aca="false">IF($B16="","",INDEX('CARNET DE SOUDURE'!$E$7:$E$1506,MATCH(5,'CARNET DE SOUDURE'!$AN$7:$AN$1506,0)))</f>
        <v>JN°142 A</v>
      </c>
      <c r="E16" s="91" t="str">
        <f aca="false">IF($B16="","",INDEX('CARNET DE SOUDURE'!$D$7:$D$1506,MATCH(5,'CARNET DE SOUDURE'!$AN$7:$AN$1506,0)))</f>
        <v>1.00</v>
      </c>
      <c r="F16" s="91" t="str">
        <f aca="false">IF($B16="","",INDEX('CARNET DE SOUDURE'!$M$7:$M$1506,MATCH(5,'CARNET DE SOUDURE'!$AN$7:$AN$1506,0))&amp;" / "&amp;INDEX('CARNET DE SOUDURE'!$N$7:$N$1506,MATCH(5,'CARNET DE SOUDURE'!$AN$7:$AN$1506,0))&amp;" / "&amp;INDEX('CARNET DE SOUDURE'!$O$7:$O$1506,MATCH(5,'CARNET DE SOUDURE'!$AN$7:$AN$1506,0)))</f>
        <v>WR-02 / WR-02 / WR-02</v>
      </c>
      <c r="G16" s="108" t="n">
        <f aca="false">IF($B16="","",INDEX('CARNET DE SOUDURE'!$P$7:$P$1506,MATCH(5,'CARNET DE SOUDURE'!$AN$7:$AN$1506,0)))</f>
        <v>45913</v>
      </c>
      <c r="H16" s="91" t="str">
        <f aca="false">IF($B16="","",INDEX('CARNET DE SOUDURE'!$AK$7:$AK$1506,MATCH(5,'CARNET DE SOUDURE'!$AN$7:$AN$1506,0)))</f>
        <v>À RADIOGRAPHIER</v>
      </c>
      <c r="I16" s="109" t="n">
        <f aca="false">IF($B16="","",INDEX('CARNET DE SOUDURE'!$AI$7:$AI$1506,MATCH(5,'CARNET DE SOUDURE'!$AN$7:$AN$1506,0)))</f>
        <v>0</v>
      </c>
      <c r="J16" s="109" t="n">
        <f aca="false">IF($B16="","",INDEX('CARNET DE SOUDURE'!$AL$7:$AL$1506,MATCH(5,'CARNET DE SOUDURE'!$AN$7:$AN$1506,0)))</f>
        <v>378</v>
      </c>
      <c r="K16" s="87"/>
      <c r="L16" s="87"/>
    </row>
    <row r="17" customFormat="false" ht="15" hidden="false" customHeight="false" outlineLevel="0" collapsed="false">
      <c r="B17" s="110" t="n">
        <f aca="false">IF(6&gt;$I$4,"",6)</f>
        <v>6</v>
      </c>
      <c r="C17" s="110" t="str">
        <f aca="false">IF($B17="","",INDEX('CARNET DE SOUDURE'!$B$7:$B$1506,MATCH(6,'CARNET DE SOUDURE'!$AN$7:$AN$1506,0)))</f>
        <v>TFT 716 → TL7-MMFW2</v>
      </c>
      <c r="D17" s="110" t="str">
        <f aca="false">IF($B17="","",INDEX('CARNET DE SOUDURE'!$E$7:$E$1506,MATCH(6,'CARNET DE SOUDURE'!$AN$7:$AN$1506,0)))</f>
        <v>JN°142 B</v>
      </c>
      <c r="E17" s="110" t="str">
        <f aca="false">IF($B17="","",INDEX('CARNET DE SOUDURE'!$D$7:$D$1506,MATCH(6,'CARNET DE SOUDURE'!$AN$7:$AN$1506,0)))</f>
        <v>1.00</v>
      </c>
      <c r="F17" s="110" t="str">
        <f aca="false">IF($B17="","",INDEX('CARNET DE SOUDURE'!$M$7:$M$1506,MATCH(6,'CARNET DE SOUDURE'!$AN$7:$AN$1506,0))&amp;" / "&amp;INDEX('CARNET DE SOUDURE'!$N$7:$N$1506,MATCH(6,'CARNET DE SOUDURE'!$AN$7:$AN$1506,0))&amp;" / "&amp;INDEX('CARNET DE SOUDURE'!$O$7:$O$1506,MATCH(6,'CARNET DE SOUDURE'!$AN$7:$AN$1506,0)))</f>
        <v>WR-09 / WR-09 / WR-09</v>
      </c>
      <c r="G17" s="111" t="n">
        <f aca="false">IF($B17="","",INDEX('CARNET DE SOUDURE'!$P$7:$P$1506,MATCH(6,'CARNET DE SOUDURE'!$AN$7:$AN$1506,0)))</f>
        <v>45913</v>
      </c>
      <c r="H17" s="112" t="str">
        <f aca="false">IF($B17="","",INDEX('CARNET DE SOUDURE'!$AK$7:$AK$1506,MATCH(6,'CARNET DE SOUDURE'!$AN$7:$AN$1506,0)))</f>
        <v>À RADIOGRAPHIER</v>
      </c>
      <c r="I17" s="113" t="n">
        <f aca="false">IF($B17="","",INDEX('CARNET DE SOUDURE'!$AI$7:$AI$1506,MATCH(6,'CARNET DE SOUDURE'!$AN$7:$AN$1506,0)))</f>
        <v>0</v>
      </c>
      <c r="J17" s="113" t="n">
        <f aca="false">IF($B17="","",INDEX('CARNET DE SOUDURE'!$AL$7:$AL$1506,MATCH(6,'CARNET DE SOUDURE'!$AN$7:$AN$1506,0)))</f>
        <v>378</v>
      </c>
      <c r="K17" s="87"/>
      <c r="L17" s="87"/>
    </row>
    <row r="18" customFormat="false" ht="15" hidden="false" customHeight="false" outlineLevel="0" collapsed="false">
      <c r="B18" s="91" t="n">
        <f aca="false">IF(7&gt;$I$4,"",7)</f>
        <v>7</v>
      </c>
      <c r="C18" s="91" t="str">
        <f aca="false">IF($B18="","",INDEX('CARNET DE SOUDURE'!$B$7:$B$1506,MATCH(7,'CARNET DE SOUDURE'!$AN$7:$AN$1506,0)))</f>
        <v>TFT 716 → TL7-MMFW2</v>
      </c>
      <c r="D18" s="91" t="str">
        <f aca="false">IF($B18="","",INDEX('CARNET DE SOUDURE'!$E$7:$E$1506,MATCH(7,'CARNET DE SOUDURE'!$AN$7:$AN$1506,0)))</f>
        <v>JN°143Racc</v>
      </c>
      <c r="E18" s="91" t="str">
        <f aca="false">IF($B18="","",INDEX('CARNET DE SOUDURE'!$D$7:$D$1506,MATCH(7,'CARNET DE SOUDURE'!$AN$7:$AN$1506,0)))</f>
        <v>1.00</v>
      </c>
      <c r="F18" s="91" t="str">
        <f aca="false">IF($B18="","",INDEX('CARNET DE SOUDURE'!$M$7:$M$1506,MATCH(7,'CARNET DE SOUDURE'!$AN$7:$AN$1506,0))&amp;" / "&amp;INDEX('CARNET DE SOUDURE'!$N$7:$N$1506,MATCH(7,'CARNET DE SOUDURE'!$AN$7:$AN$1506,0))&amp;" / "&amp;INDEX('CARNET DE SOUDURE'!$O$7:$O$1506,MATCH(7,'CARNET DE SOUDURE'!$AN$7:$AN$1506,0)))</f>
        <v>WR-02 / WR-02 / WR-02</v>
      </c>
      <c r="G18" s="108" t="n">
        <f aca="false">IF($B18="","",INDEX('CARNET DE SOUDURE'!$P$7:$P$1506,MATCH(7,'CARNET DE SOUDURE'!$AN$7:$AN$1506,0)))</f>
        <v>45913</v>
      </c>
      <c r="H18" s="91" t="str">
        <f aca="false">IF($B18="","",INDEX('CARNET DE SOUDURE'!$AK$7:$AK$1506,MATCH(7,'CARNET DE SOUDURE'!$AN$7:$AN$1506,0)))</f>
        <v>À RADIOGRAPHIER</v>
      </c>
      <c r="I18" s="109" t="n">
        <f aca="false">IF($B18="","",INDEX('CARNET DE SOUDURE'!$AI$7:$AI$1506,MATCH(7,'CARNET DE SOUDURE'!$AN$7:$AN$1506,0)))</f>
        <v>0</v>
      </c>
      <c r="J18" s="109" t="n">
        <f aca="false">IF($B18="","",INDEX('CARNET DE SOUDURE'!$AL$7:$AL$1506,MATCH(7,'CARNET DE SOUDURE'!$AN$7:$AN$1506,0)))</f>
        <v>378</v>
      </c>
      <c r="K18" s="87"/>
      <c r="L18" s="87"/>
    </row>
    <row r="19" customFormat="false" ht="15" hidden="false" customHeight="false" outlineLevel="0" collapsed="false">
      <c r="B19" s="110" t="n">
        <f aca="false">IF(8&gt;$I$4,"",8)</f>
        <v>8</v>
      </c>
      <c r="C19" s="110" t="str">
        <f aca="false">IF($B19="","",INDEX('CARNET DE SOUDURE'!$B$7:$B$1506,MATCH(8,'CARNET DE SOUDURE'!$AN$7:$AN$1506,0)))</f>
        <v>TFT 716 → TL7-MMFW2</v>
      </c>
      <c r="D19" s="110" t="str">
        <f aca="false">IF($B19="","",INDEX('CARNET DE SOUDURE'!$E$7:$E$1506,MATCH(8,'CARNET DE SOUDURE'!$AN$7:$AN$1506,0)))</f>
        <v>JN°199</v>
      </c>
      <c r="E19" s="110" t="str">
        <f aca="false">IF($B19="","",INDEX('CARNET DE SOUDURE'!$D$7:$D$1506,MATCH(8,'CARNET DE SOUDURE'!$AN$7:$AN$1506,0)))</f>
        <v>2.00</v>
      </c>
      <c r="F19" s="110" t="str">
        <f aca="false">IF($B19="","",INDEX('CARNET DE SOUDURE'!$M$7:$M$1506,MATCH(8,'CARNET DE SOUDURE'!$AN$7:$AN$1506,0))&amp;" / "&amp;INDEX('CARNET DE SOUDURE'!$N$7:$N$1506,MATCH(8,'CARNET DE SOUDURE'!$AN$7:$AN$1506,0))&amp;" / "&amp;INDEX('CARNET DE SOUDURE'!$O$7:$O$1506,MATCH(8,'CARNET DE SOUDURE'!$AN$7:$AN$1506,0)))</f>
        <v>WR-02 / WR-02 / WR-02</v>
      </c>
      <c r="G19" s="111" t="n">
        <f aca="false">IF($B19="","",INDEX('CARNET DE SOUDURE'!$P$7:$P$1506,MATCH(8,'CARNET DE SOUDURE'!$AN$7:$AN$1506,0)))</f>
        <v>45915</v>
      </c>
      <c r="H19" s="112" t="str">
        <f aca="false">IF($B19="","",INDEX('CARNET DE SOUDURE'!$AK$7:$AK$1506,MATCH(8,'CARNET DE SOUDURE'!$AN$7:$AN$1506,0)))</f>
        <v>À RADIOGRAPHIER</v>
      </c>
      <c r="I19" s="113" t="n">
        <f aca="false">IF($B19="","",INDEX('CARNET DE SOUDURE'!$AI$7:$AI$1506,MATCH(8,'CARNET DE SOUDURE'!$AN$7:$AN$1506,0)))</f>
        <v>0</v>
      </c>
      <c r="J19" s="113" t="n">
        <f aca="false">IF($B19="","",INDEX('CARNET DE SOUDURE'!$AL$7:$AL$1506,MATCH(8,'CARNET DE SOUDURE'!$AN$7:$AN$1506,0)))</f>
        <v>376</v>
      </c>
      <c r="K19" s="87"/>
      <c r="L19" s="87"/>
    </row>
    <row r="20" customFormat="false" ht="15" hidden="false" customHeight="false" outlineLevel="0" collapsed="false">
      <c r="B20" s="91" t="n">
        <f aca="false">IF(9&gt;$I$4,"",9)</f>
        <v>9</v>
      </c>
      <c r="C20" s="91" t="str">
        <f aca="false">IF($B20="","",INDEX('CARNET DE SOUDURE'!$B$7:$B$1506,MATCH(9,'CARNET DE SOUDURE'!$AN$7:$AN$1506,0)))</f>
        <v>TFT 716 → TL7-MMFW2</v>
      </c>
      <c r="D20" s="91" t="str">
        <f aca="false">IF($B20="","",INDEX('CARNET DE SOUDURE'!$E$7:$E$1506,MATCH(9,'CARNET DE SOUDURE'!$AN$7:$AN$1506,0)))</f>
        <v>JN°201</v>
      </c>
      <c r="E20" s="91" t="str">
        <f aca="false">IF($B20="","",INDEX('CARNET DE SOUDURE'!$D$7:$D$1506,MATCH(9,'CARNET DE SOUDURE'!$AN$7:$AN$1506,0)))</f>
        <v>2.00</v>
      </c>
      <c r="F20" s="91" t="str">
        <f aca="false">IF($B20="","",INDEX('CARNET DE SOUDURE'!$M$7:$M$1506,MATCH(9,'CARNET DE SOUDURE'!$AN$7:$AN$1506,0))&amp;" / "&amp;INDEX('CARNET DE SOUDURE'!$N$7:$N$1506,MATCH(9,'CARNET DE SOUDURE'!$AN$7:$AN$1506,0))&amp;" / "&amp;INDEX('CARNET DE SOUDURE'!$O$7:$O$1506,MATCH(9,'CARNET DE SOUDURE'!$AN$7:$AN$1506,0)))</f>
        <v>WR-02 / WR-09 / WR-09</v>
      </c>
      <c r="G20" s="108" t="n">
        <f aca="false">IF($B20="","",INDEX('CARNET DE SOUDURE'!$P$7:$P$1506,MATCH(9,'CARNET DE SOUDURE'!$AN$7:$AN$1506,0)))</f>
        <v>45913</v>
      </c>
      <c r="H20" s="91" t="str">
        <f aca="false">IF($B20="","",INDEX('CARNET DE SOUDURE'!$AK$7:$AK$1506,MATCH(9,'CARNET DE SOUDURE'!$AN$7:$AN$1506,0)))</f>
        <v>À RADIOGRAPHIER</v>
      </c>
      <c r="I20" s="109" t="n">
        <f aca="false">IF($B20="","",INDEX('CARNET DE SOUDURE'!$AI$7:$AI$1506,MATCH(9,'CARNET DE SOUDURE'!$AN$7:$AN$1506,0)))</f>
        <v>0</v>
      </c>
      <c r="J20" s="109" t="n">
        <f aca="false">IF($B20="","",INDEX('CARNET DE SOUDURE'!$AL$7:$AL$1506,MATCH(9,'CARNET DE SOUDURE'!$AN$7:$AN$1506,0)))</f>
        <v>378</v>
      </c>
      <c r="K20" s="87"/>
      <c r="L20" s="87"/>
    </row>
    <row r="21" customFormat="false" ht="15" hidden="false" customHeight="false" outlineLevel="0" collapsed="false">
      <c r="B21" s="110" t="str">
        <f aca="false">IF(10&gt;$I$4,"",10)</f>
        <v/>
      </c>
      <c r="C21" s="110" t="str">
        <f aca="false">IF($B21="","",INDEX('CARNET DE SOUDURE'!$B$7:$B$1506,MATCH(10,'CARNET DE SOUDURE'!$AN$7:$AN$1506,0)))</f>
        <v/>
      </c>
      <c r="D21" s="110" t="str">
        <f aca="false">IF($B21="","",INDEX('CARNET DE SOUDURE'!$E$7:$E$1506,MATCH(10,'CARNET DE SOUDURE'!$AN$7:$AN$1506,0)))</f>
        <v/>
      </c>
      <c r="E21" s="110" t="str">
        <f aca="false">IF($B21="","",INDEX('CARNET DE SOUDURE'!$D$7:$D$1506,MATCH(10,'CARNET DE SOUDURE'!$AN$7:$AN$1506,0)))</f>
        <v/>
      </c>
      <c r="F21" s="110" t="str">
        <f aca="false">IF($B21="","",INDEX('CARNET DE SOUDURE'!$M$7:$M$1506,MATCH(10,'CARNET DE SOUDURE'!$AN$7:$AN$1506,0))&amp;" / "&amp;INDEX('CARNET DE SOUDURE'!$N$7:$N$1506,MATCH(10,'CARNET DE SOUDURE'!$AN$7:$AN$1506,0))&amp;" / "&amp;INDEX('CARNET DE SOUDURE'!$O$7:$O$1506,MATCH(10,'CARNET DE SOUDURE'!$AN$7:$AN$1506,0)))</f>
        <v/>
      </c>
      <c r="G21" s="111" t="str">
        <f aca="false">IF($B21="","",INDEX('CARNET DE SOUDURE'!$P$7:$P$1506,MATCH(10,'CARNET DE SOUDURE'!$AN$7:$AN$1506,0)))</f>
        <v/>
      </c>
      <c r="H21" s="112" t="str">
        <f aca="false">IF($B21="","",INDEX('CARNET DE SOUDURE'!$AK$7:$AK$1506,MATCH(10,'CARNET DE SOUDURE'!$AN$7:$AN$1506,0)))</f>
        <v/>
      </c>
      <c r="I21" s="113" t="str">
        <f aca="false">IF($B21="","",INDEX('CARNET DE SOUDURE'!$AI$7:$AI$1506,MATCH(10,'CARNET DE SOUDURE'!$AN$7:$AN$1506,0)))</f>
        <v/>
      </c>
      <c r="J21" s="113" t="str">
        <f aca="false">IF($B21="","",INDEX('CARNET DE SOUDURE'!$AL$7:$AL$1506,MATCH(10,'CARNET DE SOUDURE'!$AN$7:$AN$1506,0)))</f>
        <v/>
      </c>
      <c r="K21" s="87"/>
      <c r="L21" s="87"/>
    </row>
    <row r="22" customFormat="false" ht="15" hidden="false" customHeight="false" outlineLevel="0" collapsed="false">
      <c r="B22" s="91" t="str">
        <f aca="false">IF(11&gt;$I$4,"",11)</f>
        <v/>
      </c>
      <c r="C22" s="91" t="str">
        <f aca="false">IF($B22="","",INDEX('CARNET DE SOUDURE'!$B$7:$B$1506,MATCH(11,'CARNET DE SOUDURE'!$AN$7:$AN$1506,0)))</f>
        <v/>
      </c>
      <c r="D22" s="91" t="str">
        <f aca="false">IF($B22="","",INDEX('CARNET DE SOUDURE'!$E$7:$E$1506,MATCH(11,'CARNET DE SOUDURE'!$AN$7:$AN$1506,0)))</f>
        <v/>
      </c>
      <c r="E22" s="91" t="str">
        <f aca="false">IF($B22="","",INDEX('CARNET DE SOUDURE'!$D$7:$D$1506,MATCH(11,'CARNET DE SOUDURE'!$AN$7:$AN$1506,0)))</f>
        <v/>
      </c>
      <c r="F22" s="91" t="str">
        <f aca="false">IF($B22="","",INDEX('CARNET DE SOUDURE'!$M$7:$M$1506,MATCH(11,'CARNET DE SOUDURE'!$AN$7:$AN$1506,0))&amp;" / "&amp;INDEX('CARNET DE SOUDURE'!$N$7:$N$1506,MATCH(11,'CARNET DE SOUDURE'!$AN$7:$AN$1506,0))&amp;" / "&amp;INDEX('CARNET DE SOUDURE'!$O$7:$O$1506,MATCH(11,'CARNET DE SOUDURE'!$AN$7:$AN$1506,0)))</f>
        <v/>
      </c>
      <c r="G22" s="108" t="str">
        <f aca="false">IF($B22="","",INDEX('CARNET DE SOUDURE'!$P$7:$P$1506,MATCH(11,'CARNET DE SOUDURE'!$AN$7:$AN$1506,0)))</f>
        <v/>
      </c>
      <c r="H22" s="91" t="str">
        <f aca="false">IF($B22="","",INDEX('CARNET DE SOUDURE'!$AK$7:$AK$1506,MATCH(11,'CARNET DE SOUDURE'!$AN$7:$AN$1506,0)))</f>
        <v/>
      </c>
      <c r="I22" s="109" t="str">
        <f aca="false">IF($B22="","",INDEX('CARNET DE SOUDURE'!$AI$7:$AI$1506,MATCH(11,'CARNET DE SOUDURE'!$AN$7:$AN$1506,0)))</f>
        <v/>
      </c>
      <c r="J22" s="109" t="str">
        <f aca="false">IF($B22="","",INDEX('CARNET DE SOUDURE'!$AL$7:$AL$1506,MATCH(11,'CARNET DE SOUDURE'!$AN$7:$AN$1506,0)))</f>
        <v/>
      </c>
      <c r="K22" s="87"/>
      <c r="L22" s="87"/>
    </row>
    <row r="23" customFormat="false" ht="15" hidden="false" customHeight="false" outlineLevel="0" collapsed="false">
      <c r="B23" s="110" t="str">
        <f aca="false">IF(12&gt;$I$4,"",12)</f>
        <v/>
      </c>
      <c r="C23" s="110" t="str">
        <f aca="false">IF($B23="","",INDEX('CARNET DE SOUDURE'!$B$7:$B$1506,MATCH(12,'CARNET DE SOUDURE'!$AN$7:$AN$1506,0)))</f>
        <v/>
      </c>
      <c r="D23" s="110" t="str">
        <f aca="false">IF($B23="","",INDEX('CARNET DE SOUDURE'!$E$7:$E$1506,MATCH(12,'CARNET DE SOUDURE'!$AN$7:$AN$1506,0)))</f>
        <v/>
      </c>
      <c r="E23" s="110" t="str">
        <f aca="false">IF($B23="","",INDEX('CARNET DE SOUDURE'!$D$7:$D$1506,MATCH(12,'CARNET DE SOUDURE'!$AN$7:$AN$1506,0)))</f>
        <v/>
      </c>
      <c r="F23" s="110" t="str">
        <f aca="false">IF($B23="","",INDEX('CARNET DE SOUDURE'!$M$7:$M$1506,MATCH(12,'CARNET DE SOUDURE'!$AN$7:$AN$1506,0))&amp;" / "&amp;INDEX('CARNET DE SOUDURE'!$N$7:$N$1506,MATCH(12,'CARNET DE SOUDURE'!$AN$7:$AN$1506,0))&amp;" / "&amp;INDEX('CARNET DE SOUDURE'!$O$7:$O$1506,MATCH(12,'CARNET DE SOUDURE'!$AN$7:$AN$1506,0)))</f>
        <v/>
      </c>
      <c r="G23" s="111" t="str">
        <f aca="false">IF($B23="","",INDEX('CARNET DE SOUDURE'!$P$7:$P$1506,MATCH(12,'CARNET DE SOUDURE'!$AN$7:$AN$1506,0)))</f>
        <v/>
      </c>
      <c r="H23" s="112" t="str">
        <f aca="false">IF($B23="","",INDEX('CARNET DE SOUDURE'!$AK$7:$AK$1506,MATCH(12,'CARNET DE SOUDURE'!$AN$7:$AN$1506,0)))</f>
        <v/>
      </c>
      <c r="I23" s="113" t="str">
        <f aca="false">IF($B23="","",INDEX('CARNET DE SOUDURE'!$AI$7:$AI$1506,MATCH(12,'CARNET DE SOUDURE'!$AN$7:$AN$1506,0)))</f>
        <v/>
      </c>
      <c r="J23" s="113" t="str">
        <f aca="false">IF($B23="","",INDEX('CARNET DE SOUDURE'!$AL$7:$AL$1506,MATCH(12,'CARNET DE SOUDURE'!$AN$7:$AN$1506,0)))</f>
        <v/>
      </c>
      <c r="K23" s="87"/>
      <c r="L23" s="87"/>
    </row>
    <row r="24" customFormat="false" ht="15" hidden="false" customHeight="false" outlineLevel="0" collapsed="false">
      <c r="B24" s="91" t="str">
        <f aca="false">IF(13&gt;$I$4,"",13)</f>
        <v/>
      </c>
      <c r="C24" s="91" t="str">
        <f aca="false">IF($B24="","",INDEX('CARNET DE SOUDURE'!$B$7:$B$1506,MATCH(13,'CARNET DE SOUDURE'!$AN$7:$AN$1506,0)))</f>
        <v/>
      </c>
      <c r="D24" s="91" t="str">
        <f aca="false">IF($B24="","",INDEX('CARNET DE SOUDURE'!$E$7:$E$1506,MATCH(13,'CARNET DE SOUDURE'!$AN$7:$AN$1506,0)))</f>
        <v/>
      </c>
      <c r="E24" s="91" t="str">
        <f aca="false">IF($B24="","",INDEX('CARNET DE SOUDURE'!$D$7:$D$1506,MATCH(13,'CARNET DE SOUDURE'!$AN$7:$AN$1506,0)))</f>
        <v/>
      </c>
      <c r="F24" s="91" t="str">
        <f aca="false">IF($B24="","",INDEX('CARNET DE SOUDURE'!$M$7:$M$1506,MATCH(13,'CARNET DE SOUDURE'!$AN$7:$AN$1506,0))&amp;" / "&amp;INDEX('CARNET DE SOUDURE'!$N$7:$N$1506,MATCH(13,'CARNET DE SOUDURE'!$AN$7:$AN$1506,0))&amp;" / "&amp;INDEX('CARNET DE SOUDURE'!$O$7:$O$1506,MATCH(13,'CARNET DE SOUDURE'!$AN$7:$AN$1506,0)))</f>
        <v/>
      </c>
      <c r="G24" s="108" t="str">
        <f aca="false">IF($B24="","",INDEX('CARNET DE SOUDURE'!$P$7:$P$1506,MATCH(13,'CARNET DE SOUDURE'!$AN$7:$AN$1506,0)))</f>
        <v/>
      </c>
      <c r="H24" s="91" t="str">
        <f aca="false">IF($B24="","",INDEX('CARNET DE SOUDURE'!$AK$7:$AK$1506,MATCH(13,'CARNET DE SOUDURE'!$AN$7:$AN$1506,0)))</f>
        <v/>
      </c>
      <c r="I24" s="109" t="str">
        <f aca="false">IF($B24="","",INDEX('CARNET DE SOUDURE'!$AI$7:$AI$1506,MATCH(13,'CARNET DE SOUDURE'!$AN$7:$AN$1506,0)))</f>
        <v/>
      </c>
      <c r="J24" s="109" t="str">
        <f aca="false">IF($B24="","",INDEX('CARNET DE SOUDURE'!$AL$7:$AL$1506,MATCH(13,'CARNET DE SOUDURE'!$AN$7:$AN$1506,0)))</f>
        <v/>
      </c>
      <c r="K24" s="87"/>
      <c r="L24" s="87"/>
    </row>
    <row r="25" customFormat="false" ht="15" hidden="false" customHeight="false" outlineLevel="0" collapsed="false">
      <c r="B25" s="110" t="str">
        <f aca="false">IF(14&gt;$I$4,"",14)</f>
        <v/>
      </c>
      <c r="C25" s="110" t="str">
        <f aca="false">IF($B25="","",INDEX('CARNET DE SOUDURE'!$B$7:$B$1506,MATCH(14,'CARNET DE SOUDURE'!$AN$7:$AN$1506,0)))</f>
        <v/>
      </c>
      <c r="D25" s="110" t="str">
        <f aca="false">IF($B25="","",INDEX('CARNET DE SOUDURE'!$E$7:$E$1506,MATCH(14,'CARNET DE SOUDURE'!$AN$7:$AN$1506,0)))</f>
        <v/>
      </c>
      <c r="E25" s="110" t="str">
        <f aca="false">IF($B25="","",INDEX('CARNET DE SOUDURE'!$D$7:$D$1506,MATCH(14,'CARNET DE SOUDURE'!$AN$7:$AN$1506,0)))</f>
        <v/>
      </c>
      <c r="F25" s="110" t="str">
        <f aca="false">IF($B25="","",INDEX('CARNET DE SOUDURE'!$M$7:$M$1506,MATCH(14,'CARNET DE SOUDURE'!$AN$7:$AN$1506,0))&amp;" / "&amp;INDEX('CARNET DE SOUDURE'!$N$7:$N$1506,MATCH(14,'CARNET DE SOUDURE'!$AN$7:$AN$1506,0))&amp;" / "&amp;INDEX('CARNET DE SOUDURE'!$O$7:$O$1506,MATCH(14,'CARNET DE SOUDURE'!$AN$7:$AN$1506,0)))</f>
        <v/>
      </c>
      <c r="G25" s="111" t="str">
        <f aca="false">IF($B25="","",INDEX('CARNET DE SOUDURE'!$P$7:$P$1506,MATCH(14,'CARNET DE SOUDURE'!$AN$7:$AN$1506,0)))</f>
        <v/>
      </c>
      <c r="H25" s="112" t="str">
        <f aca="false">IF($B25="","",INDEX('CARNET DE SOUDURE'!$AK$7:$AK$1506,MATCH(14,'CARNET DE SOUDURE'!$AN$7:$AN$1506,0)))</f>
        <v/>
      </c>
      <c r="I25" s="113" t="str">
        <f aca="false">IF($B25="","",INDEX('CARNET DE SOUDURE'!$AI$7:$AI$1506,MATCH(14,'CARNET DE SOUDURE'!$AN$7:$AN$1506,0)))</f>
        <v/>
      </c>
      <c r="J25" s="113" t="str">
        <f aca="false">IF($B25="","",INDEX('CARNET DE SOUDURE'!$AL$7:$AL$1506,MATCH(14,'CARNET DE SOUDURE'!$AN$7:$AN$1506,0)))</f>
        <v/>
      </c>
      <c r="K25" s="87"/>
      <c r="L25" s="87"/>
    </row>
    <row r="26" customFormat="false" ht="15" hidden="false" customHeight="false" outlineLevel="0" collapsed="false">
      <c r="B26" s="91" t="str">
        <f aca="false">IF(15&gt;$I$4,"",15)</f>
        <v/>
      </c>
      <c r="C26" s="91" t="str">
        <f aca="false">IF($B26="","",INDEX('CARNET DE SOUDURE'!$B$7:$B$1506,MATCH(15,'CARNET DE SOUDURE'!$AN$7:$AN$1506,0)))</f>
        <v/>
      </c>
      <c r="D26" s="91" t="str">
        <f aca="false">IF($B26="","",INDEX('CARNET DE SOUDURE'!$E$7:$E$1506,MATCH(15,'CARNET DE SOUDURE'!$AN$7:$AN$1506,0)))</f>
        <v/>
      </c>
      <c r="E26" s="91" t="str">
        <f aca="false">IF($B26="","",INDEX('CARNET DE SOUDURE'!$D$7:$D$1506,MATCH(15,'CARNET DE SOUDURE'!$AN$7:$AN$1506,0)))</f>
        <v/>
      </c>
      <c r="F26" s="91" t="str">
        <f aca="false">IF($B26="","",INDEX('CARNET DE SOUDURE'!$M$7:$M$1506,MATCH(15,'CARNET DE SOUDURE'!$AN$7:$AN$1506,0))&amp;" / "&amp;INDEX('CARNET DE SOUDURE'!$N$7:$N$1506,MATCH(15,'CARNET DE SOUDURE'!$AN$7:$AN$1506,0))&amp;" / "&amp;INDEX('CARNET DE SOUDURE'!$O$7:$O$1506,MATCH(15,'CARNET DE SOUDURE'!$AN$7:$AN$1506,0)))</f>
        <v/>
      </c>
      <c r="G26" s="108" t="str">
        <f aca="false">IF($B26="","",INDEX('CARNET DE SOUDURE'!$P$7:$P$1506,MATCH(15,'CARNET DE SOUDURE'!$AN$7:$AN$1506,0)))</f>
        <v/>
      </c>
      <c r="H26" s="91" t="str">
        <f aca="false">IF($B26="","",INDEX('CARNET DE SOUDURE'!$AK$7:$AK$1506,MATCH(15,'CARNET DE SOUDURE'!$AN$7:$AN$1506,0)))</f>
        <v/>
      </c>
      <c r="I26" s="109" t="str">
        <f aca="false">IF($B26="","",INDEX('CARNET DE SOUDURE'!$AI$7:$AI$1506,MATCH(15,'CARNET DE SOUDURE'!$AN$7:$AN$1506,0)))</f>
        <v/>
      </c>
      <c r="J26" s="109" t="str">
        <f aca="false">IF($B26="","",INDEX('CARNET DE SOUDURE'!$AL$7:$AL$1506,MATCH(15,'CARNET DE SOUDURE'!$AN$7:$AN$1506,0)))</f>
        <v/>
      </c>
      <c r="K26" s="87"/>
      <c r="L26" s="87"/>
    </row>
    <row r="27" customFormat="false" ht="15" hidden="false" customHeight="false" outlineLevel="0" collapsed="false">
      <c r="B27" s="110" t="str">
        <f aca="false">IF(16&gt;$I$4,"",16)</f>
        <v/>
      </c>
      <c r="C27" s="110" t="str">
        <f aca="false">IF($B27="","",INDEX('CARNET DE SOUDURE'!$B$7:$B$1506,MATCH(16,'CARNET DE SOUDURE'!$AN$7:$AN$1506,0)))</f>
        <v/>
      </c>
      <c r="D27" s="110" t="str">
        <f aca="false">IF($B27="","",INDEX('CARNET DE SOUDURE'!$E$7:$E$1506,MATCH(16,'CARNET DE SOUDURE'!$AN$7:$AN$1506,0)))</f>
        <v/>
      </c>
      <c r="E27" s="110" t="str">
        <f aca="false">IF($B27="","",INDEX('CARNET DE SOUDURE'!$D$7:$D$1506,MATCH(16,'CARNET DE SOUDURE'!$AN$7:$AN$1506,0)))</f>
        <v/>
      </c>
      <c r="F27" s="110" t="str">
        <f aca="false">IF($B27="","",INDEX('CARNET DE SOUDURE'!$M$7:$M$1506,MATCH(16,'CARNET DE SOUDURE'!$AN$7:$AN$1506,0))&amp;" / "&amp;INDEX('CARNET DE SOUDURE'!$N$7:$N$1506,MATCH(16,'CARNET DE SOUDURE'!$AN$7:$AN$1506,0))&amp;" / "&amp;INDEX('CARNET DE SOUDURE'!$O$7:$O$1506,MATCH(16,'CARNET DE SOUDURE'!$AN$7:$AN$1506,0)))</f>
        <v/>
      </c>
      <c r="G27" s="111" t="str">
        <f aca="false">IF($B27="","",INDEX('CARNET DE SOUDURE'!$P$7:$P$1506,MATCH(16,'CARNET DE SOUDURE'!$AN$7:$AN$1506,0)))</f>
        <v/>
      </c>
      <c r="H27" s="112" t="str">
        <f aca="false">IF($B27="","",INDEX('CARNET DE SOUDURE'!$AK$7:$AK$1506,MATCH(16,'CARNET DE SOUDURE'!$AN$7:$AN$1506,0)))</f>
        <v/>
      </c>
      <c r="I27" s="113" t="str">
        <f aca="false">IF($B27="","",INDEX('CARNET DE SOUDURE'!$AI$7:$AI$1506,MATCH(16,'CARNET DE SOUDURE'!$AN$7:$AN$1506,0)))</f>
        <v/>
      </c>
      <c r="J27" s="113" t="str">
        <f aca="false">IF($B27="","",INDEX('CARNET DE SOUDURE'!$AL$7:$AL$1506,MATCH(16,'CARNET DE SOUDURE'!$AN$7:$AN$1506,0)))</f>
        <v/>
      </c>
      <c r="K27" s="87"/>
      <c r="L27" s="87"/>
    </row>
    <row r="28" customFormat="false" ht="15" hidden="false" customHeight="false" outlineLevel="0" collapsed="false">
      <c r="B28" s="91" t="str">
        <f aca="false">IF(17&gt;$I$4,"",17)</f>
        <v/>
      </c>
      <c r="C28" s="91" t="str">
        <f aca="false">IF($B28="","",INDEX('CARNET DE SOUDURE'!$B$7:$B$1506,MATCH(17,'CARNET DE SOUDURE'!$AN$7:$AN$1506,0)))</f>
        <v/>
      </c>
      <c r="D28" s="91" t="str">
        <f aca="false">IF($B28="","",INDEX('CARNET DE SOUDURE'!$E$7:$E$1506,MATCH(17,'CARNET DE SOUDURE'!$AN$7:$AN$1506,0)))</f>
        <v/>
      </c>
      <c r="E28" s="91" t="str">
        <f aca="false">IF($B28="","",INDEX('CARNET DE SOUDURE'!$D$7:$D$1506,MATCH(17,'CARNET DE SOUDURE'!$AN$7:$AN$1506,0)))</f>
        <v/>
      </c>
      <c r="F28" s="91" t="str">
        <f aca="false">IF($B28="","",INDEX('CARNET DE SOUDURE'!$M$7:$M$1506,MATCH(17,'CARNET DE SOUDURE'!$AN$7:$AN$1506,0))&amp;" / "&amp;INDEX('CARNET DE SOUDURE'!$N$7:$N$1506,MATCH(17,'CARNET DE SOUDURE'!$AN$7:$AN$1506,0))&amp;" / "&amp;INDEX('CARNET DE SOUDURE'!$O$7:$O$1506,MATCH(17,'CARNET DE SOUDURE'!$AN$7:$AN$1506,0)))</f>
        <v/>
      </c>
      <c r="G28" s="108" t="str">
        <f aca="false">IF($B28="","",INDEX('CARNET DE SOUDURE'!$P$7:$P$1506,MATCH(17,'CARNET DE SOUDURE'!$AN$7:$AN$1506,0)))</f>
        <v/>
      </c>
      <c r="H28" s="91" t="str">
        <f aca="false">IF($B28="","",INDEX('CARNET DE SOUDURE'!$AK$7:$AK$1506,MATCH(17,'CARNET DE SOUDURE'!$AN$7:$AN$1506,0)))</f>
        <v/>
      </c>
      <c r="I28" s="109" t="str">
        <f aca="false">IF($B28="","",INDEX('CARNET DE SOUDURE'!$AI$7:$AI$1506,MATCH(17,'CARNET DE SOUDURE'!$AN$7:$AN$1506,0)))</f>
        <v/>
      </c>
      <c r="J28" s="109" t="str">
        <f aca="false">IF($B28="","",INDEX('CARNET DE SOUDURE'!$AL$7:$AL$1506,MATCH(17,'CARNET DE SOUDURE'!$AN$7:$AN$1506,0)))</f>
        <v/>
      </c>
      <c r="K28" s="87"/>
      <c r="L28" s="87"/>
    </row>
    <row r="29" customFormat="false" ht="15" hidden="false" customHeight="false" outlineLevel="0" collapsed="false">
      <c r="B29" s="110" t="str">
        <f aca="false">IF(18&gt;$I$4,"",18)</f>
        <v/>
      </c>
      <c r="C29" s="110" t="str">
        <f aca="false">IF($B29="","",INDEX('CARNET DE SOUDURE'!$B$7:$B$1506,MATCH(18,'CARNET DE SOUDURE'!$AN$7:$AN$1506,0)))</f>
        <v/>
      </c>
      <c r="D29" s="110" t="str">
        <f aca="false">IF($B29="","",INDEX('CARNET DE SOUDURE'!$E$7:$E$1506,MATCH(18,'CARNET DE SOUDURE'!$AN$7:$AN$1506,0)))</f>
        <v/>
      </c>
      <c r="E29" s="110" t="str">
        <f aca="false">IF($B29="","",INDEX('CARNET DE SOUDURE'!$D$7:$D$1506,MATCH(18,'CARNET DE SOUDURE'!$AN$7:$AN$1506,0)))</f>
        <v/>
      </c>
      <c r="F29" s="110" t="str">
        <f aca="false">IF($B29="","",INDEX('CARNET DE SOUDURE'!$M$7:$M$1506,MATCH(18,'CARNET DE SOUDURE'!$AN$7:$AN$1506,0))&amp;" / "&amp;INDEX('CARNET DE SOUDURE'!$N$7:$N$1506,MATCH(18,'CARNET DE SOUDURE'!$AN$7:$AN$1506,0))&amp;" / "&amp;INDEX('CARNET DE SOUDURE'!$O$7:$O$1506,MATCH(18,'CARNET DE SOUDURE'!$AN$7:$AN$1506,0)))</f>
        <v/>
      </c>
      <c r="G29" s="111" t="str">
        <f aca="false">IF($B29="","",INDEX('CARNET DE SOUDURE'!$P$7:$P$1506,MATCH(18,'CARNET DE SOUDURE'!$AN$7:$AN$1506,0)))</f>
        <v/>
      </c>
      <c r="H29" s="112" t="str">
        <f aca="false">IF($B29="","",INDEX('CARNET DE SOUDURE'!$AK$7:$AK$1506,MATCH(18,'CARNET DE SOUDURE'!$AN$7:$AN$1506,0)))</f>
        <v/>
      </c>
      <c r="I29" s="113" t="str">
        <f aca="false">IF($B29="","",INDEX('CARNET DE SOUDURE'!$AI$7:$AI$1506,MATCH(18,'CARNET DE SOUDURE'!$AN$7:$AN$1506,0)))</f>
        <v/>
      </c>
      <c r="J29" s="113" t="str">
        <f aca="false">IF($B29="","",INDEX('CARNET DE SOUDURE'!$AL$7:$AL$1506,MATCH(18,'CARNET DE SOUDURE'!$AN$7:$AN$1506,0)))</f>
        <v/>
      </c>
      <c r="K29" s="87"/>
      <c r="L29" s="87"/>
    </row>
    <row r="30" customFormat="false" ht="15" hidden="false" customHeight="false" outlineLevel="0" collapsed="false">
      <c r="B30" s="91" t="str">
        <f aca="false">IF(19&gt;$I$4,"",19)</f>
        <v/>
      </c>
      <c r="C30" s="91" t="str">
        <f aca="false">IF($B30="","",INDEX('CARNET DE SOUDURE'!$B$7:$B$1506,MATCH(19,'CARNET DE SOUDURE'!$AN$7:$AN$1506,0)))</f>
        <v/>
      </c>
      <c r="D30" s="91" t="str">
        <f aca="false">IF($B30="","",INDEX('CARNET DE SOUDURE'!$E$7:$E$1506,MATCH(19,'CARNET DE SOUDURE'!$AN$7:$AN$1506,0)))</f>
        <v/>
      </c>
      <c r="E30" s="91" t="str">
        <f aca="false">IF($B30="","",INDEX('CARNET DE SOUDURE'!$D$7:$D$1506,MATCH(19,'CARNET DE SOUDURE'!$AN$7:$AN$1506,0)))</f>
        <v/>
      </c>
      <c r="F30" s="91" t="str">
        <f aca="false">IF($B30="","",INDEX('CARNET DE SOUDURE'!$M$7:$M$1506,MATCH(19,'CARNET DE SOUDURE'!$AN$7:$AN$1506,0))&amp;" / "&amp;INDEX('CARNET DE SOUDURE'!$N$7:$N$1506,MATCH(19,'CARNET DE SOUDURE'!$AN$7:$AN$1506,0))&amp;" / "&amp;INDEX('CARNET DE SOUDURE'!$O$7:$O$1506,MATCH(19,'CARNET DE SOUDURE'!$AN$7:$AN$1506,0)))</f>
        <v/>
      </c>
      <c r="G30" s="108" t="str">
        <f aca="false">IF($B30="","",INDEX('CARNET DE SOUDURE'!$P$7:$P$1506,MATCH(19,'CARNET DE SOUDURE'!$AN$7:$AN$1506,0)))</f>
        <v/>
      </c>
      <c r="H30" s="91" t="str">
        <f aca="false">IF($B30="","",INDEX('CARNET DE SOUDURE'!$AK$7:$AK$1506,MATCH(19,'CARNET DE SOUDURE'!$AN$7:$AN$1506,0)))</f>
        <v/>
      </c>
      <c r="I30" s="109" t="str">
        <f aca="false">IF($B30="","",INDEX('CARNET DE SOUDURE'!$AI$7:$AI$1506,MATCH(19,'CARNET DE SOUDURE'!$AN$7:$AN$1506,0)))</f>
        <v/>
      </c>
      <c r="J30" s="109" t="str">
        <f aca="false">IF($B30="","",INDEX('CARNET DE SOUDURE'!$AL$7:$AL$1506,MATCH(19,'CARNET DE SOUDURE'!$AN$7:$AN$1506,0)))</f>
        <v/>
      </c>
      <c r="K30" s="87"/>
      <c r="L30" s="87"/>
    </row>
    <row r="31" customFormat="false" ht="15" hidden="false" customHeight="false" outlineLevel="0" collapsed="false">
      <c r="B31" s="110" t="str">
        <f aca="false">IF(20&gt;$I$4,"",20)</f>
        <v/>
      </c>
      <c r="C31" s="110" t="str">
        <f aca="false">IF($B31="","",INDEX('CARNET DE SOUDURE'!$B$7:$B$1506,MATCH(20,'CARNET DE SOUDURE'!$AN$7:$AN$1506,0)))</f>
        <v/>
      </c>
      <c r="D31" s="110" t="str">
        <f aca="false">IF($B31="","",INDEX('CARNET DE SOUDURE'!$E$7:$E$1506,MATCH(20,'CARNET DE SOUDURE'!$AN$7:$AN$1506,0)))</f>
        <v/>
      </c>
      <c r="E31" s="110" t="str">
        <f aca="false">IF($B31="","",INDEX('CARNET DE SOUDURE'!$D$7:$D$1506,MATCH(20,'CARNET DE SOUDURE'!$AN$7:$AN$1506,0)))</f>
        <v/>
      </c>
      <c r="F31" s="110" t="str">
        <f aca="false">IF($B31="","",INDEX('CARNET DE SOUDURE'!$M$7:$M$1506,MATCH(20,'CARNET DE SOUDURE'!$AN$7:$AN$1506,0))&amp;" / "&amp;INDEX('CARNET DE SOUDURE'!$N$7:$N$1506,MATCH(20,'CARNET DE SOUDURE'!$AN$7:$AN$1506,0))&amp;" / "&amp;INDEX('CARNET DE SOUDURE'!$O$7:$O$1506,MATCH(20,'CARNET DE SOUDURE'!$AN$7:$AN$1506,0)))</f>
        <v/>
      </c>
      <c r="G31" s="111" t="str">
        <f aca="false">IF($B31="","",INDEX('CARNET DE SOUDURE'!$P$7:$P$1506,MATCH(20,'CARNET DE SOUDURE'!$AN$7:$AN$1506,0)))</f>
        <v/>
      </c>
      <c r="H31" s="112" t="str">
        <f aca="false">IF($B31="","",INDEX('CARNET DE SOUDURE'!$AK$7:$AK$1506,MATCH(20,'CARNET DE SOUDURE'!$AN$7:$AN$1506,0)))</f>
        <v/>
      </c>
      <c r="I31" s="113" t="str">
        <f aca="false">IF($B31="","",INDEX('CARNET DE SOUDURE'!$AI$7:$AI$1506,MATCH(20,'CARNET DE SOUDURE'!$AN$7:$AN$1506,0)))</f>
        <v/>
      </c>
      <c r="J31" s="113" t="str">
        <f aca="false">IF($B31="","",INDEX('CARNET DE SOUDURE'!$AL$7:$AL$1506,MATCH(20,'CARNET DE SOUDURE'!$AN$7:$AN$1506,0)))</f>
        <v/>
      </c>
      <c r="K31" s="87"/>
      <c r="L31" s="87"/>
    </row>
    <row r="32" customFormat="false" ht="15" hidden="false" customHeight="false" outlineLevel="0" collapsed="false">
      <c r="B32" s="91" t="str">
        <f aca="false">IF(21&gt;$I$4,"",21)</f>
        <v/>
      </c>
      <c r="C32" s="91" t="str">
        <f aca="false">IF($B32="","",INDEX('CARNET DE SOUDURE'!$B$7:$B$1506,MATCH(21,'CARNET DE SOUDURE'!$AN$7:$AN$1506,0)))</f>
        <v/>
      </c>
      <c r="D32" s="91" t="str">
        <f aca="false">IF($B32="","",INDEX('CARNET DE SOUDURE'!$E$7:$E$1506,MATCH(21,'CARNET DE SOUDURE'!$AN$7:$AN$1506,0)))</f>
        <v/>
      </c>
      <c r="E32" s="91" t="str">
        <f aca="false">IF($B32="","",INDEX('CARNET DE SOUDURE'!$D$7:$D$1506,MATCH(21,'CARNET DE SOUDURE'!$AN$7:$AN$1506,0)))</f>
        <v/>
      </c>
      <c r="F32" s="91" t="str">
        <f aca="false">IF($B32="","",INDEX('CARNET DE SOUDURE'!$M$7:$M$1506,MATCH(21,'CARNET DE SOUDURE'!$AN$7:$AN$1506,0))&amp;" / "&amp;INDEX('CARNET DE SOUDURE'!$N$7:$N$1506,MATCH(21,'CARNET DE SOUDURE'!$AN$7:$AN$1506,0))&amp;" / "&amp;INDEX('CARNET DE SOUDURE'!$O$7:$O$1506,MATCH(21,'CARNET DE SOUDURE'!$AN$7:$AN$1506,0)))</f>
        <v/>
      </c>
      <c r="G32" s="108" t="str">
        <f aca="false">IF($B32="","",INDEX('CARNET DE SOUDURE'!$P$7:$P$1506,MATCH(21,'CARNET DE SOUDURE'!$AN$7:$AN$1506,0)))</f>
        <v/>
      </c>
      <c r="H32" s="91" t="str">
        <f aca="false">IF($B32="","",INDEX('CARNET DE SOUDURE'!$AK$7:$AK$1506,MATCH(21,'CARNET DE SOUDURE'!$AN$7:$AN$1506,0)))</f>
        <v/>
      </c>
      <c r="I32" s="109" t="str">
        <f aca="false">IF($B32="","",INDEX('CARNET DE SOUDURE'!$AI$7:$AI$1506,MATCH(21,'CARNET DE SOUDURE'!$AN$7:$AN$1506,0)))</f>
        <v/>
      </c>
      <c r="J32" s="109" t="str">
        <f aca="false">IF($B32="","",INDEX('CARNET DE SOUDURE'!$AL$7:$AL$1506,MATCH(21,'CARNET DE SOUDURE'!$AN$7:$AN$1506,0)))</f>
        <v/>
      </c>
      <c r="K32" s="87"/>
      <c r="L32" s="87"/>
    </row>
    <row r="33" customFormat="false" ht="15" hidden="false" customHeight="false" outlineLevel="0" collapsed="false">
      <c r="B33" s="110" t="str">
        <f aca="false">IF(22&gt;$I$4,"",22)</f>
        <v/>
      </c>
      <c r="C33" s="110" t="str">
        <f aca="false">IF($B33="","",INDEX('CARNET DE SOUDURE'!$B$7:$B$1506,MATCH(22,'CARNET DE SOUDURE'!$AN$7:$AN$1506,0)))</f>
        <v/>
      </c>
      <c r="D33" s="110" t="str">
        <f aca="false">IF($B33="","",INDEX('CARNET DE SOUDURE'!$E$7:$E$1506,MATCH(22,'CARNET DE SOUDURE'!$AN$7:$AN$1506,0)))</f>
        <v/>
      </c>
      <c r="E33" s="110" t="str">
        <f aca="false">IF($B33="","",INDEX('CARNET DE SOUDURE'!$D$7:$D$1506,MATCH(22,'CARNET DE SOUDURE'!$AN$7:$AN$1506,0)))</f>
        <v/>
      </c>
      <c r="F33" s="110" t="str">
        <f aca="false">IF($B33="","",INDEX('CARNET DE SOUDURE'!$M$7:$M$1506,MATCH(22,'CARNET DE SOUDURE'!$AN$7:$AN$1506,0))&amp;" / "&amp;INDEX('CARNET DE SOUDURE'!$N$7:$N$1506,MATCH(22,'CARNET DE SOUDURE'!$AN$7:$AN$1506,0))&amp;" / "&amp;INDEX('CARNET DE SOUDURE'!$O$7:$O$1506,MATCH(22,'CARNET DE SOUDURE'!$AN$7:$AN$1506,0)))</f>
        <v/>
      </c>
      <c r="G33" s="111" t="str">
        <f aca="false">IF($B33="","",INDEX('CARNET DE SOUDURE'!$P$7:$P$1506,MATCH(22,'CARNET DE SOUDURE'!$AN$7:$AN$1506,0)))</f>
        <v/>
      </c>
      <c r="H33" s="112" t="str">
        <f aca="false">IF($B33="","",INDEX('CARNET DE SOUDURE'!$AK$7:$AK$1506,MATCH(22,'CARNET DE SOUDURE'!$AN$7:$AN$1506,0)))</f>
        <v/>
      </c>
      <c r="I33" s="113" t="str">
        <f aca="false">IF($B33="","",INDEX('CARNET DE SOUDURE'!$AI$7:$AI$1506,MATCH(22,'CARNET DE SOUDURE'!$AN$7:$AN$1506,0)))</f>
        <v/>
      </c>
      <c r="J33" s="113" t="str">
        <f aca="false">IF($B33="","",INDEX('CARNET DE SOUDURE'!$AL$7:$AL$1506,MATCH(22,'CARNET DE SOUDURE'!$AN$7:$AN$1506,0)))</f>
        <v/>
      </c>
      <c r="K33" s="87"/>
      <c r="L33" s="87"/>
    </row>
    <row r="34" customFormat="false" ht="15" hidden="false" customHeight="false" outlineLevel="0" collapsed="false">
      <c r="B34" s="91" t="str">
        <f aca="false">IF(23&gt;$I$4,"",23)</f>
        <v/>
      </c>
      <c r="C34" s="91" t="str">
        <f aca="false">IF($B34="","",INDEX('CARNET DE SOUDURE'!$B$7:$B$1506,MATCH(23,'CARNET DE SOUDURE'!$AN$7:$AN$1506,0)))</f>
        <v/>
      </c>
      <c r="D34" s="91" t="str">
        <f aca="false">IF($B34="","",INDEX('CARNET DE SOUDURE'!$E$7:$E$1506,MATCH(23,'CARNET DE SOUDURE'!$AN$7:$AN$1506,0)))</f>
        <v/>
      </c>
      <c r="E34" s="91" t="str">
        <f aca="false">IF($B34="","",INDEX('CARNET DE SOUDURE'!$D$7:$D$1506,MATCH(23,'CARNET DE SOUDURE'!$AN$7:$AN$1506,0)))</f>
        <v/>
      </c>
      <c r="F34" s="91" t="str">
        <f aca="false">IF($B34="","",INDEX('CARNET DE SOUDURE'!$M$7:$M$1506,MATCH(23,'CARNET DE SOUDURE'!$AN$7:$AN$1506,0))&amp;" / "&amp;INDEX('CARNET DE SOUDURE'!$N$7:$N$1506,MATCH(23,'CARNET DE SOUDURE'!$AN$7:$AN$1506,0))&amp;" / "&amp;INDEX('CARNET DE SOUDURE'!$O$7:$O$1506,MATCH(23,'CARNET DE SOUDURE'!$AN$7:$AN$1506,0)))</f>
        <v/>
      </c>
      <c r="G34" s="108" t="str">
        <f aca="false">IF($B34="","",INDEX('CARNET DE SOUDURE'!$P$7:$P$1506,MATCH(23,'CARNET DE SOUDURE'!$AN$7:$AN$1506,0)))</f>
        <v/>
      </c>
      <c r="H34" s="91" t="str">
        <f aca="false">IF($B34="","",INDEX('CARNET DE SOUDURE'!$AK$7:$AK$1506,MATCH(23,'CARNET DE SOUDURE'!$AN$7:$AN$1506,0)))</f>
        <v/>
      </c>
      <c r="I34" s="109" t="str">
        <f aca="false">IF($B34="","",INDEX('CARNET DE SOUDURE'!$AI$7:$AI$1506,MATCH(23,'CARNET DE SOUDURE'!$AN$7:$AN$1506,0)))</f>
        <v/>
      </c>
      <c r="J34" s="109" t="str">
        <f aca="false">IF($B34="","",INDEX('CARNET DE SOUDURE'!$AL$7:$AL$1506,MATCH(23,'CARNET DE SOUDURE'!$AN$7:$AN$1506,0)))</f>
        <v/>
      </c>
      <c r="K34" s="87"/>
      <c r="L34" s="87"/>
    </row>
    <row r="35" customFormat="false" ht="15" hidden="false" customHeight="false" outlineLevel="0" collapsed="false">
      <c r="B35" s="110" t="str">
        <f aca="false">IF(24&gt;$I$4,"",24)</f>
        <v/>
      </c>
      <c r="C35" s="110" t="str">
        <f aca="false">IF($B35="","",INDEX('CARNET DE SOUDURE'!$B$7:$B$1506,MATCH(24,'CARNET DE SOUDURE'!$AN$7:$AN$1506,0)))</f>
        <v/>
      </c>
      <c r="D35" s="110" t="str">
        <f aca="false">IF($B35="","",INDEX('CARNET DE SOUDURE'!$E$7:$E$1506,MATCH(24,'CARNET DE SOUDURE'!$AN$7:$AN$1506,0)))</f>
        <v/>
      </c>
      <c r="E35" s="110" t="str">
        <f aca="false">IF($B35="","",INDEX('CARNET DE SOUDURE'!$D$7:$D$1506,MATCH(24,'CARNET DE SOUDURE'!$AN$7:$AN$1506,0)))</f>
        <v/>
      </c>
      <c r="F35" s="110" t="str">
        <f aca="false">IF($B35="","",INDEX('CARNET DE SOUDURE'!$M$7:$M$1506,MATCH(24,'CARNET DE SOUDURE'!$AN$7:$AN$1506,0))&amp;" / "&amp;INDEX('CARNET DE SOUDURE'!$N$7:$N$1506,MATCH(24,'CARNET DE SOUDURE'!$AN$7:$AN$1506,0))&amp;" / "&amp;INDEX('CARNET DE SOUDURE'!$O$7:$O$1506,MATCH(24,'CARNET DE SOUDURE'!$AN$7:$AN$1506,0)))</f>
        <v/>
      </c>
      <c r="G35" s="111" t="str">
        <f aca="false">IF($B35="","",INDEX('CARNET DE SOUDURE'!$P$7:$P$1506,MATCH(24,'CARNET DE SOUDURE'!$AN$7:$AN$1506,0)))</f>
        <v/>
      </c>
      <c r="H35" s="112" t="str">
        <f aca="false">IF($B35="","",INDEX('CARNET DE SOUDURE'!$AK$7:$AK$1506,MATCH(24,'CARNET DE SOUDURE'!$AN$7:$AN$1506,0)))</f>
        <v/>
      </c>
      <c r="I35" s="113" t="str">
        <f aca="false">IF($B35="","",INDEX('CARNET DE SOUDURE'!$AI$7:$AI$1506,MATCH(24,'CARNET DE SOUDURE'!$AN$7:$AN$1506,0)))</f>
        <v/>
      </c>
      <c r="J35" s="113" t="str">
        <f aca="false">IF($B35="","",INDEX('CARNET DE SOUDURE'!$AL$7:$AL$1506,MATCH(24,'CARNET DE SOUDURE'!$AN$7:$AN$1506,0)))</f>
        <v/>
      </c>
      <c r="K35" s="87"/>
      <c r="L35" s="87"/>
    </row>
    <row r="36" customFormat="false" ht="15" hidden="false" customHeight="false" outlineLevel="0" collapsed="false">
      <c r="B36" s="91" t="str">
        <f aca="false">IF(25&gt;$I$4,"",25)</f>
        <v/>
      </c>
      <c r="C36" s="91" t="str">
        <f aca="false">IF($B36="","",INDEX('CARNET DE SOUDURE'!$B$7:$B$1506,MATCH(25,'CARNET DE SOUDURE'!$AN$7:$AN$1506,0)))</f>
        <v/>
      </c>
      <c r="D36" s="91" t="str">
        <f aca="false">IF($B36="","",INDEX('CARNET DE SOUDURE'!$E$7:$E$1506,MATCH(25,'CARNET DE SOUDURE'!$AN$7:$AN$1506,0)))</f>
        <v/>
      </c>
      <c r="E36" s="91" t="str">
        <f aca="false">IF($B36="","",INDEX('CARNET DE SOUDURE'!$D$7:$D$1506,MATCH(25,'CARNET DE SOUDURE'!$AN$7:$AN$1506,0)))</f>
        <v/>
      </c>
      <c r="F36" s="91" t="str">
        <f aca="false">IF($B36="","",INDEX('CARNET DE SOUDURE'!$M$7:$M$1506,MATCH(25,'CARNET DE SOUDURE'!$AN$7:$AN$1506,0))&amp;" / "&amp;INDEX('CARNET DE SOUDURE'!$N$7:$N$1506,MATCH(25,'CARNET DE SOUDURE'!$AN$7:$AN$1506,0))&amp;" / "&amp;INDEX('CARNET DE SOUDURE'!$O$7:$O$1506,MATCH(25,'CARNET DE SOUDURE'!$AN$7:$AN$1506,0)))</f>
        <v/>
      </c>
      <c r="G36" s="108" t="str">
        <f aca="false">IF($B36="","",INDEX('CARNET DE SOUDURE'!$P$7:$P$1506,MATCH(25,'CARNET DE SOUDURE'!$AN$7:$AN$1506,0)))</f>
        <v/>
      </c>
      <c r="H36" s="91" t="str">
        <f aca="false">IF($B36="","",INDEX('CARNET DE SOUDURE'!$AK$7:$AK$1506,MATCH(25,'CARNET DE SOUDURE'!$AN$7:$AN$1506,0)))</f>
        <v/>
      </c>
      <c r="I36" s="109" t="str">
        <f aca="false">IF($B36="","",INDEX('CARNET DE SOUDURE'!$AI$7:$AI$1506,MATCH(25,'CARNET DE SOUDURE'!$AN$7:$AN$1506,0)))</f>
        <v/>
      </c>
      <c r="J36" s="109" t="str">
        <f aca="false">IF($B36="","",INDEX('CARNET DE SOUDURE'!$AL$7:$AL$1506,MATCH(25,'CARNET DE SOUDURE'!$AN$7:$AN$1506,0)))</f>
        <v/>
      </c>
      <c r="K36" s="87"/>
      <c r="L36" s="87"/>
    </row>
    <row r="37" customFormat="false" ht="15" hidden="false" customHeight="false" outlineLevel="0" collapsed="false">
      <c r="B37" s="110" t="str">
        <f aca="false">IF(26&gt;$I$4,"",26)</f>
        <v/>
      </c>
      <c r="C37" s="110" t="str">
        <f aca="false">IF($B37="","",INDEX('CARNET DE SOUDURE'!$B$7:$B$1506,MATCH(26,'CARNET DE SOUDURE'!$AN$7:$AN$1506,0)))</f>
        <v/>
      </c>
      <c r="D37" s="110" t="str">
        <f aca="false">IF($B37="","",INDEX('CARNET DE SOUDURE'!$E$7:$E$1506,MATCH(26,'CARNET DE SOUDURE'!$AN$7:$AN$1506,0)))</f>
        <v/>
      </c>
      <c r="E37" s="110" t="str">
        <f aca="false">IF($B37="","",INDEX('CARNET DE SOUDURE'!$D$7:$D$1506,MATCH(26,'CARNET DE SOUDURE'!$AN$7:$AN$1506,0)))</f>
        <v/>
      </c>
      <c r="F37" s="110" t="str">
        <f aca="false">IF($B37="","",INDEX('CARNET DE SOUDURE'!$M$7:$M$1506,MATCH(26,'CARNET DE SOUDURE'!$AN$7:$AN$1506,0))&amp;" / "&amp;INDEX('CARNET DE SOUDURE'!$N$7:$N$1506,MATCH(26,'CARNET DE SOUDURE'!$AN$7:$AN$1506,0))&amp;" / "&amp;INDEX('CARNET DE SOUDURE'!$O$7:$O$1506,MATCH(26,'CARNET DE SOUDURE'!$AN$7:$AN$1506,0)))</f>
        <v/>
      </c>
      <c r="G37" s="111" t="str">
        <f aca="false">IF($B37="","",INDEX('CARNET DE SOUDURE'!$P$7:$P$1506,MATCH(26,'CARNET DE SOUDURE'!$AN$7:$AN$1506,0)))</f>
        <v/>
      </c>
      <c r="H37" s="112" t="str">
        <f aca="false">IF($B37="","",INDEX('CARNET DE SOUDURE'!$AK$7:$AK$1506,MATCH(26,'CARNET DE SOUDURE'!$AN$7:$AN$1506,0)))</f>
        <v/>
      </c>
      <c r="I37" s="113" t="str">
        <f aca="false">IF($B37="","",INDEX('CARNET DE SOUDURE'!$AI$7:$AI$1506,MATCH(26,'CARNET DE SOUDURE'!$AN$7:$AN$1506,0)))</f>
        <v/>
      </c>
      <c r="J37" s="113" t="str">
        <f aca="false">IF($B37="","",INDEX('CARNET DE SOUDURE'!$AL$7:$AL$1506,MATCH(26,'CARNET DE SOUDURE'!$AN$7:$AN$1506,0)))</f>
        <v/>
      </c>
      <c r="K37" s="87"/>
      <c r="L37" s="87"/>
    </row>
    <row r="38" customFormat="false" ht="15" hidden="false" customHeight="false" outlineLevel="0" collapsed="false">
      <c r="B38" s="91" t="str">
        <f aca="false">IF(27&gt;$I$4,"",27)</f>
        <v/>
      </c>
      <c r="C38" s="91" t="str">
        <f aca="false">IF($B38="","",INDEX('CARNET DE SOUDURE'!$B$7:$B$1506,MATCH(27,'CARNET DE SOUDURE'!$AN$7:$AN$1506,0)))</f>
        <v/>
      </c>
      <c r="D38" s="91" t="str">
        <f aca="false">IF($B38="","",INDEX('CARNET DE SOUDURE'!$E$7:$E$1506,MATCH(27,'CARNET DE SOUDURE'!$AN$7:$AN$1506,0)))</f>
        <v/>
      </c>
      <c r="E38" s="91" t="str">
        <f aca="false">IF($B38="","",INDEX('CARNET DE SOUDURE'!$D$7:$D$1506,MATCH(27,'CARNET DE SOUDURE'!$AN$7:$AN$1506,0)))</f>
        <v/>
      </c>
      <c r="F38" s="91" t="str">
        <f aca="false">IF($B38="","",INDEX('CARNET DE SOUDURE'!$M$7:$M$1506,MATCH(27,'CARNET DE SOUDURE'!$AN$7:$AN$1506,0))&amp;" / "&amp;INDEX('CARNET DE SOUDURE'!$N$7:$N$1506,MATCH(27,'CARNET DE SOUDURE'!$AN$7:$AN$1506,0))&amp;" / "&amp;INDEX('CARNET DE SOUDURE'!$O$7:$O$1506,MATCH(27,'CARNET DE SOUDURE'!$AN$7:$AN$1506,0)))</f>
        <v/>
      </c>
      <c r="G38" s="108" t="str">
        <f aca="false">IF($B38="","",INDEX('CARNET DE SOUDURE'!$P$7:$P$1506,MATCH(27,'CARNET DE SOUDURE'!$AN$7:$AN$1506,0)))</f>
        <v/>
      </c>
      <c r="H38" s="91" t="str">
        <f aca="false">IF($B38="","",INDEX('CARNET DE SOUDURE'!$AK$7:$AK$1506,MATCH(27,'CARNET DE SOUDURE'!$AN$7:$AN$1506,0)))</f>
        <v/>
      </c>
      <c r="I38" s="109" t="str">
        <f aca="false">IF($B38="","",INDEX('CARNET DE SOUDURE'!$AI$7:$AI$1506,MATCH(27,'CARNET DE SOUDURE'!$AN$7:$AN$1506,0)))</f>
        <v/>
      </c>
      <c r="J38" s="109" t="str">
        <f aca="false">IF($B38="","",INDEX('CARNET DE SOUDURE'!$AL$7:$AL$1506,MATCH(27,'CARNET DE SOUDURE'!$AN$7:$AN$1506,0)))</f>
        <v/>
      </c>
      <c r="K38" s="87"/>
      <c r="L38" s="87"/>
    </row>
    <row r="39" customFormat="false" ht="15" hidden="false" customHeight="false" outlineLevel="0" collapsed="false">
      <c r="B39" s="110" t="str">
        <f aca="false">IF(28&gt;$I$4,"",28)</f>
        <v/>
      </c>
      <c r="C39" s="110" t="str">
        <f aca="false">IF($B39="","",INDEX('CARNET DE SOUDURE'!$B$7:$B$1506,MATCH(28,'CARNET DE SOUDURE'!$AN$7:$AN$1506,0)))</f>
        <v/>
      </c>
      <c r="D39" s="110" t="str">
        <f aca="false">IF($B39="","",INDEX('CARNET DE SOUDURE'!$E$7:$E$1506,MATCH(28,'CARNET DE SOUDURE'!$AN$7:$AN$1506,0)))</f>
        <v/>
      </c>
      <c r="E39" s="110" t="str">
        <f aca="false">IF($B39="","",INDEX('CARNET DE SOUDURE'!$D$7:$D$1506,MATCH(28,'CARNET DE SOUDURE'!$AN$7:$AN$1506,0)))</f>
        <v/>
      </c>
      <c r="F39" s="110" t="str">
        <f aca="false">IF($B39="","",INDEX('CARNET DE SOUDURE'!$M$7:$M$1506,MATCH(28,'CARNET DE SOUDURE'!$AN$7:$AN$1506,0))&amp;" / "&amp;INDEX('CARNET DE SOUDURE'!$N$7:$N$1506,MATCH(28,'CARNET DE SOUDURE'!$AN$7:$AN$1506,0))&amp;" / "&amp;INDEX('CARNET DE SOUDURE'!$O$7:$O$1506,MATCH(28,'CARNET DE SOUDURE'!$AN$7:$AN$1506,0)))</f>
        <v/>
      </c>
      <c r="G39" s="111" t="str">
        <f aca="false">IF($B39="","",INDEX('CARNET DE SOUDURE'!$P$7:$P$1506,MATCH(28,'CARNET DE SOUDURE'!$AN$7:$AN$1506,0)))</f>
        <v/>
      </c>
      <c r="H39" s="112" t="str">
        <f aca="false">IF($B39="","",INDEX('CARNET DE SOUDURE'!$AK$7:$AK$1506,MATCH(28,'CARNET DE SOUDURE'!$AN$7:$AN$1506,0)))</f>
        <v/>
      </c>
      <c r="I39" s="113" t="str">
        <f aca="false">IF($B39="","",INDEX('CARNET DE SOUDURE'!$AI$7:$AI$1506,MATCH(28,'CARNET DE SOUDURE'!$AN$7:$AN$1506,0)))</f>
        <v/>
      </c>
      <c r="J39" s="113" t="str">
        <f aca="false">IF($B39="","",INDEX('CARNET DE SOUDURE'!$AL$7:$AL$1506,MATCH(28,'CARNET DE SOUDURE'!$AN$7:$AN$1506,0)))</f>
        <v/>
      </c>
      <c r="K39" s="87"/>
      <c r="L39" s="87"/>
    </row>
    <row r="40" customFormat="false" ht="15" hidden="false" customHeight="false" outlineLevel="0" collapsed="false">
      <c r="B40" s="91" t="str">
        <f aca="false">IF(29&gt;$I$4,"",29)</f>
        <v/>
      </c>
      <c r="C40" s="91" t="str">
        <f aca="false">IF($B40="","",INDEX('CARNET DE SOUDURE'!$B$7:$B$1506,MATCH(29,'CARNET DE SOUDURE'!$AN$7:$AN$1506,0)))</f>
        <v/>
      </c>
      <c r="D40" s="91" t="str">
        <f aca="false">IF($B40="","",INDEX('CARNET DE SOUDURE'!$E$7:$E$1506,MATCH(29,'CARNET DE SOUDURE'!$AN$7:$AN$1506,0)))</f>
        <v/>
      </c>
      <c r="E40" s="91" t="str">
        <f aca="false">IF($B40="","",INDEX('CARNET DE SOUDURE'!$D$7:$D$1506,MATCH(29,'CARNET DE SOUDURE'!$AN$7:$AN$1506,0)))</f>
        <v/>
      </c>
      <c r="F40" s="91" t="str">
        <f aca="false">IF($B40="","",INDEX('CARNET DE SOUDURE'!$M$7:$M$1506,MATCH(29,'CARNET DE SOUDURE'!$AN$7:$AN$1506,0))&amp;" / "&amp;INDEX('CARNET DE SOUDURE'!$N$7:$N$1506,MATCH(29,'CARNET DE SOUDURE'!$AN$7:$AN$1506,0))&amp;" / "&amp;INDEX('CARNET DE SOUDURE'!$O$7:$O$1506,MATCH(29,'CARNET DE SOUDURE'!$AN$7:$AN$1506,0)))</f>
        <v/>
      </c>
      <c r="G40" s="108" t="str">
        <f aca="false">IF($B40="","",INDEX('CARNET DE SOUDURE'!$P$7:$P$1506,MATCH(29,'CARNET DE SOUDURE'!$AN$7:$AN$1506,0)))</f>
        <v/>
      </c>
      <c r="H40" s="91" t="str">
        <f aca="false">IF($B40="","",INDEX('CARNET DE SOUDURE'!$AK$7:$AK$1506,MATCH(29,'CARNET DE SOUDURE'!$AN$7:$AN$1506,0)))</f>
        <v/>
      </c>
      <c r="I40" s="109" t="str">
        <f aca="false">IF($B40="","",INDEX('CARNET DE SOUDURE'!$AI$7:$AI$1506,MATCH(29,'CARNET DE SOUDURE'!$AN$7:$AN$1506,0)))</f>
        <v/>
      </c>
      <c r="J40" s="109" t="str">
        <f aca="false">IF($B40="","",INDEX('CARNET DE SOUDURE'!$AL$7:$AL$1506,MATCH(29,'CARNET DE SOUDURE'!$AN$7:$AN$1506,0)))</f>
        <v/>
      </c>
      <c r="K40" s="87"/>
      <c r="L40" s="87"/>
    </row>
    <row r="41" customFormat="false" ht="15" hidden="false" customHeight="false" outlineLevel="0" collapsed="false">
      <c r="B41" s="110" t="str">
        <f aca="false">IF(30&gt;$I$4,"",30)</f>
        <v/>
      </c>
      <c r="C41" s="110" t="str">
        <f aca="false">IF($B41="","",INDEX('CARNET DE SOUDURE'!$B$7:$B$1506,MATCH(30,'CARNET DE SOUDURE'!$AN$7:$AN$1506,0)))</f>
        <v/>
      </c>
      <c r="D41" s="110" t="str">
        <f aca="false">IF($B41="","",INDEX('CARNET DE SOUDURE'!$E$7:$E$1506,MATCH(30,'CARNET DE SOUDURE'!$AN$7:$AN$1506,0)))</f>
        <v/>
      </c>
      <c r="E41" s="110" t="str">
        <f aca="false">IF($B41="","",INDEX('CARNET DE SOUDURE'!$D$7:$D$1506,MATCH(30,'CARNET DE SOUDURE'!$AN$7:$AN$1506,0)))</f>
        <v/>
      </c>
      <c r="F41" s="110" t="str">
        <f aca="false">IF($B41="","",INDEX('CARNET DE SOUDURE'!$M$7:$M$1506,MATCH(30,'CARNET DE SOUDURE'!$AN$7:$AN$1506,0))&amp;" / "&amp;INDEX('CARNET DE SOUDURE'!$N$7:$N$1506,MATCH(30,'CARNET DE SOUDURE'!$AN$7:$AN$1506,0))&amp;" / "&amp;INDEX('CARNET DE SOUDURE'!$O$7:$O$1506,MATCH(30,'CARNET DE SOUDURE'!$AN$7:$AN$1506,0)))</f>
        <v/>
      </c>
      <c r="G41" s="111" t="str">
        <f aca="false">IF($B41="","",INDEX('CARNET DE SOUDURE'!$P$7:$P$1506,MATCH(30,'CARNET DE SOUDURE'!$AN$7:$AN$1506,0)))</f>
        <v/>
      </c>
      <c r="H41" s="112" t="str">
        <f aca="false">IF($B41="","",INDEX('CARNET DE SOUDURE'!$AK$7:$AK$1506,MATCH(30,'CARNET DE SOUDURE'!$AN$7:$AN$1506,0)))</f>
        <v/>
      </c>
      <c r="I41" s="113" t="str">
        <f aca="false">IF($B41="","",INDEX('CARNET DE SOUDURE'!$AI$7:$AI$1506,MATCH(30,'CARNET DE SOUDURE'!$AN$7:$AN$1506,0)))</f>
        <v/>
      </c>
      <c r="J41" s="113" t="str">
        <f aca="false">IF($B41="","",INDEX('CARNET DE SOUDURE'!$AL$7:$AL$1506,MATCH(30,'CARNET DE SOUDURE'!$AN$7:$AN$1506,0)))</f>
        <v/>
      </c>
      <c r="K41" s="87"/>
      <c r="L41" s="87"/>
    </row>
    <row r="42" customFormat="false" ht="15" hidden="false" customHeight="false" outlineLevel="0" collapsed="false">
      <c r="B42" s="91" t="str">
        <f aca="false">IF(31&gt;$I$4,"",31)</f>
        <v/>
      </c>
      <c r="C42" s="91" t="str">
        <f aca="false">IF($B42="","",INDEX('CARNET DE SOUDURE'!$B$7:$B$1506,MATCH(31,'CARNET DE SOUDURE'!$AN$7:$AN$1506,0)))</f>
        <v/>
      </c>
      <c r="D42" s="91" t="str">
        <f aca="false">IF($B42="","",INDEX('CARNET DE SOUDURE'!$E$7:$E$1506,MATCH(31,'CARNET DE SOUDURE'!$AN$7:$AN$1506,0)))</f>
        <v/>
      </c>
      <c r="E42" s="91" t="str">
        <f aca="false">IF($B42="","",INDEX('CARNET DE SOUDURE'!$D$7:$D$1506,MATCH(31,'CARNET DE SOUDURE'!$AN$7:$AN$1506,0)))</f>
        <v/>
      </c>
      <c r="F42" s="91" t="str">
        <f aca="false">IF($B42="","",INDEX('CARNET DE SOUDURE'!$M$7:$M$1506,MATCH(31,'CARNET DE SOUDURE'!$AN$7:$AN$1506,0))&amp;" / "&amp;INDEX('CARNET DE SOUDURE'!$N$7:$N$1506,MATCH(31,'CARNET DE SOUDURE'!$AN$7:$AN$1506,0))&amp;" / "&amp;INDEX('CARNET DE SOUDURE'!$O$7:$O$1506,MATCH(31,'CARNET DE SOUDURE'!$AN$7:$AN$1506,0)))</f>
        <v/>
      </c>
      <c r="G42" s="108" t="str">
        <f aca="false">IF($B42="","",INDEX('CARNET DE SOUDURE'!$P$7:$P$1506,MATCH(31,'CARNET DE SOUDURE'!$AN$7:$AN$1506,0)))</f>
        <v/>
      </c>
      <c r="H42" s="91" t="str">
        <f aca="false">IF($B42="","",INDEX('CARNET DE SOUDURE'!$AK$7:$AK$1506,MATCH(31,'CARNET DE SOUDURE'!$AN$7:$AN$1506,0)))</f>
        <v/>
      </c>
      <c r="I42" s="109" t="str">
        <f aca="false">IF($B42="","",INDEX('CARNET DE SOUDURE'!$AI$7:$AI$1506,MATCH(31,'CARNET DE SOUDURE'!$AN$7:$AN$1506,0)))</f>
        <v/>
      </c>
      <c r="J42" s="109" t="str">
        <f aca="false">IF($B42="","",INDEX('CARNET DE SOUDURE'!$AL$7:$AL$1506,MATCH(31,'CARNET DE SOUDURE'!$AN$7:$AN$1506,0)))</f>
        <v/>
      </c>
      <c r="K42" s="87"/>
      <c r="L42" s="87"/>
    </row>
    <row r="43" customFormat="false" ht="15" hidden="false" customHeight="false" outlineLevel="0" collapsed="false">
      <c r="B43" s="110" t="str">
        <f aca="false">IF(32&gt;$I$4,"",32)</f>
        <v/>
      </c>
      <c r="C43" s="110" t="str">
        <f aca="false">IF($B43="","",INDEX('CARNET DE SOUDURE'!$B$7:$B$1506,MATCH(32,'CARNET DE SOUDURE'!$AN$7:$AN$1506,0)))</f>
        <v/>
      </c>
      <c r="D43" s="110" t="str">
        <f aca="false">IF($B43="","",INDEX('CARNET DE SOUDURE'!$E$7:$E$1506,MATCH(32,'CARNET DE SOUDURE'!$AN$7:$AN$1506,0)))</f>
        <v/>
      </c>
      <c r="E43" s="110" t="str">
        <f aca="false">IF($B43="","",INDEX('CARNET DE SOUDURE'!$D$7:$D$1506,MATCH(32,'CARNET DE SOUDURE'!$AN$7:$AN$1506,0)))</f>
        <v/>
      </c>
      <c r="F43" s="110" t="str">
        <f aca="false">IF($B43="","",INDEX('CARNET DE SOUDURE'!$M$7:$M$1506,MATCH(32,'CARNET DE SOUDURE'!$AN$7:$AN$1506,0))&amp;" / "&amp;INDEX('CARNET DE SOUDURE'!$N$7:$N$1506,MATCH(32,'CARNET DE SOUDURE'!$AN$7:$AN$1506,0))&amp;" / "&amp;INDEX('CARNET DE SOUDURE'!$O$7:$O$1506,MATCH(32,'CARNET DE SOUDURE'!$AN$7:$AN$1506,0)))</f>
        <v/>
      </c>
      <c r="G43" s="111" t="str">
        <f aca="false">IF($B43="","",INDEX('CARNET DE SOUDURE'!$P$7:$P$1506,MATCH(32,'CARNET DE SOUDURE'!$AN$7:$AN$1506,0)))</f>
        <v/>
      </c>
      <c r="H43" s="112" t="str">
        <f aca="false">IF($B43="","",INDEX('CARNET DE SOUDURE'!$AK$7:$AK$1506,MATCH(32,'CARNET DE SOUDURE'!$AN$7:$AN$1506,0)))</f>
        <v/>
      </c>
      <c r="I43" s="113" t="str">
        <f aca="false">IF($B43="","",INDEX('CARNET DE SOUDURE'!$AI$7:$AI$1506,MATCH(32,'CARNET DE SOUDURE'!$AN$7:$AN$1506,0)))</f>
        <v/>
      </c>
      <c r="J43" s="113" t="str">
        <f aca="false">IF($B43="","",INDEX('CARNET DE SOUDURE'!$AL$7:$AL$1506,MATCH(32,'CARNET DE SOUDURE'!$AN$7:$AN$1506,0)))</f>
        <v/>
      </c>
      <c r="K43" s="87"/>
      <c r="L43" s="87"/>
    </row>
    <row r="44" customFormat="false" ht="15" hidden="false" customHeight="false" outlineLevel="0" collapsed="false">
      <c r="B44" s="91" t="str">
        <f aca="false">IF(33&gt;$I$4,"",33)</f>
        <v/>
      </c>
      <c r="C44" s="91" t="str">
        <f aca="false">IF($B44="","",INDEX('CARNET DE SOUDURE'!$B$7:$B$1506,MATCH(33,'CARNET DE SOUDURE'!$AN$7:$AN$1506,0)))</f>
        <v/>
      </c>
      <c r="D44" s="91" t="str">
        <f aca="false">IF($B44="","",INDEX('CARNET DE SOUDURE'!$E$7:$E$1506,MATCH(33,'CARNET DE SOUDURE'!$AN$7:$AN$1506,0)))</f>
        <v/>
      </c>
      <c r="E44" s="91" t="str">
        <f aca="false">IF($B44="","",INDEX('CARNET DE SOUDURE'!$D$7:$D$1506,MATCH(33,'CARNET DE SOUDURE'!$AN$7:$AN$1506,0)))</f>
        <v/>
      </c>
      <c r="F44" s="91" t="str">
        <f aca="false">IF($B44="","",INDEX('CARNET DE SOUDURE'!$M$7:$M$1506,MATCH(33,'CARNET DE SOUDURE'!$AN$7:$AN$1506,0))&amp;" / "&amp;INDEX('CARNET DE SOUDURE'!$N$7:$N$1506,MATCH(33,'CARNET DE SOUDURE'!$AN$7:$AN$1506,0))&amp;" / "&amp;INDEX('CARNET DE SOUDURE'!$O$7:$O$1506,MATCH(33,'CARNET DE SOUDURE'!$AN$7:$AN$1506,0)))</f>
        <v/>
      </c>
      <c r="G44" s="108" t="str">
        <f aca="false">IF($B44="","",INDEX('CARNET DE SOUDURE'!$P$7:$P$1506,MATCH(33,'CARNET DE SOUDURE'!$AN$7:$AN$1506,0)))</f>
        <v/>
      </c>
      <c r="H44" s="91" t="str">
        <f aca="false">IF($B44="","",INDEX('CARNET DE SOUDURE'!$AK$7:$AK$1506,MATCH(33,'CARNET DE SOUDURE'!$AN$7:$AN$1506,0)))</f>
        <v/>
      </c>
      <c r="I44" s="109" t="str">
        <f aca="false">IF($B44="","",INDEX('CARNET DE SOUDURE'!$AI$7:$AI$1506,MATCH(33,'CARNET DE SOUDURE'!$AN$7:$AN$1506,0)))</f>
        <v/>
      </c>
      <c r="J44" s="109" t="str">
        <f aca="false">IF($B44="","",INDEX('CARNET DE SOUDURE'!$AL$7:$AL$1506,MATCH(33,'CARNET DE SOUDURE'!$AN$7:$AN$1506,0)))</f>
        <v/>
      </c>
      <c r="K44" s="87"/>
      <c r="L44" s="87"/>
    </row>
    <row r="45" customFormat="false" ht="15" hidden="false" customHeight="false" outlineLevel="0" collapsed="false">
      <c r="B45" s="110" t="str">
        <f aca="false">IF(34&gt;$I$4,"",34)</f>
        <v/>
      </c>
      <c r="C45" s="110" t="str">
        <f aca="false">IF($B45="","",INDEX('CARNET DE SOUDURE'!$B$7:$B$1506,MATCH(34,'CARNET DE SOUDURE'!$AN$7:$AN$1506,0)))</f>
        <v/>
      </c>
      <c r="D45" s="110" t="str">
        <f aca="false">IF($B45="","",INDEX('CARNET DE SOUDURE'!$E$7:$E$1506,MATCH(34,'CARNET DE SOUDURE'!$AN$7:$AN$1506,0)))</f>
        <v/>
      </c>
      <c r="E45" s="110" t="str">
        <f aca="false">IF($B45="","",INDEX('CARNET DE SOUDURE'!$D$7:$D$1506,MATCH(34,'CARNET DE SOUDURE'!$AN$7:$AN$1506,0)))</f>
        <v/>
      </c>
      <c r="F45" s="110" t="str">
        <f aca="false">IF($B45="","",INDEX('CARNET DE SOUDURE'!$M$7:$M$1506,MATCH(34,'CARNET DE SOUDURE'!$AN$7:$AN$1506,0))&amp;" / "&amp;INDEX('CARNET DE SOUDURE'!$N$7:$N$1506,MATCH(34,'CARNET DE SOUDURE'!$AN$7:$AN$1506,0))&amp;" / "&amp;INDEX('CARNET DE SOUDURE'!$O$7:$O$1506,MATCH(34,'CARNET DE SOUDURE'!$AN$7:$AN$1506,0)))</f>
        <v/>
      </c>
      <c r="G45" s="111" t="str">
        <f aca="false">IF($B45="","",INDEX('CARNET DE SOUDURE'!$P$7:$P$1506,MATCH(34,'CARNET DE SOUDURE'!$AN$7:$AN$1506,0)))</f>
        <v/>
      </c>
      <c r="H45" s="112" t="str">
        <f aca="false">IF($B45="","",INDEX('CARNET DE SOUDURE'!$AK$7:$AK$1506,MATCH(34,'CARNET DE SOUDURE'!$AN$7:$AN$1506,0)))</f>
        <v/>
      </c>
      <c r="I45" s="113" t="str">
        <f aca="false">IF($B45="","",INDEX('CARNET DE SOUDURE'!$AI$7:$AI$1506,MATCH(34,'CARNET DE SOUDURE'!$AN$7:$AN$1506,0)))</f>
        <v/>
      </c>
      <c r="J45" s="113" t="str">
        <f aca="false">IF($B45="","",INDEX('CARNET DE SOUDURE'!$AL$7:$AL$1506,MATCH(34,'CARNET DE SOUDURE'!$AN$7:$AN$1506,0)))</f>
        <v/>
      </c>
      <c r="K45" s="87"/>
      <c r="L45" s="87"/>
    </row>
    <row r="46" customFormat="false" ht="15" hidden="false" customHeight="false" outlineLevel="0" collapsed="false">
      <c r="B46" s="91" t="str">
        <f aca="false">IF(35&gt;$I$4,"",35)</f>
        <v/>
      </c>
      <c r="C46" s="91" t="str">
        <f aca="false">IF($B46="","",INDEX('CARNET DE SOUDURE'!$B$7:$B$1506,MATCH(35,'CARNET DE SOUDURE'!$AN$7:$AN$1506,0)))</f>
        <v/>
      </c>
      <c r="D46" s="91" t="str">
        <f aca="false">IF($B46="","",INDEX('CARNET DE SOUDURE'!$E$7:$E$1506,MATCH(35,'CARNET DE SOUDURE'!$AN$7:$AN$1506,0)))</f>
        <v/>
      </c>
      <c r="E46" s="91" t="str">
        <f aca="false">IF($B46="","",INDEX('CARNET DE SOUDURE'!$D$7:$D$1506,MATCH(35,'CARNET DE SOUDURE'!$AN$7:$AN$1506,0)))</f>
        <v/>
      </c>
      <c r="F46" s="91" t="str">
        <f aca="false">IF($B46="","",INDEX('CARNET DE SOUDURE'!$M$7:$M$1506,MATCH(35,'CARNET DE SOUDURE'!$AN$7:$AN$1506,0))&amp;" / "&amp;INDEX('CARNET DE SOUDURE'!$N$7:$N$1506,MATCH(35,'CARNET DE SOUDURE'!$AN$7:$AN$1506,0))&amp;" / "&amp;INDEX('CARNET DE SOUDURE'!$O$7:$O$1506,MATCH(35,'CARNET DE SOUDURE'!$AN$7:$AN$1506,0)))</f>
        <v/>
      </c>
      <c r="G46" s="108" t="str">
        <f aca="false">IF($B46="","",INDEX('CARNET DE SOUDURE'!$P$7:$P$1506,MATCH(35,'CARNET DE SOUDURE'!$AN$7:$AN$1506,0)))</f>
        <v/>
      </c>
      <c r="H46" s="91" t="str">
        <f aca="false">IF($B46="","",INDEX('CARNET DE SOUDURE'!$AK$7:$AK$1506,MATCH(35,'CARNET DE SOUDURE'!$AN$7:$AN$1506,0)))</f>
        <v/>
      </c>
      <c r="I46" s="109" t="str">
        <f aca="false">IF($B46="","",INDEX('CARNET DE SOUDURE'!$AI$7:$AI$1506,MATCH(35,'CARNET DE SOUDURE'!$AN$7:$AN$1506,0)))</f>
        <v/>
      </c>
      <c r="J46" s="109" t="str">
        <f aca="false">IF($B46="","",INDEX('CARNET DE SOUDURE'!$AL$7:$AL$1506,MATCH(35,'CARNET DE SOUDURE'!$AN$7:$AN$1506,0)))</f>
        <v/>
      </c>
      <c r="K46" s="87"/>
      <c r="L46" s="87"/>
    </row>
    <row r="47" customFormat="false" ht="15" hidden="false" customHeight="false" outlineLevel="0" collapsed="false">
      <c r="B47" s="110" t="str">
        <f aca="false">IF(36&gt;$I$4,"",36)</f>
        <v/>
      </c>
      <c r="C47" s="110" t="str">
        <f aca="false">IF($B47="","",INDEX('CARNET DE SOUDURE'!$B$7:$B$1506,MATCH(36,'CARNET DE SOUDURE'!$AN$7:$AN$1506,0)))</f>
        <v/>
      </c>
      <c r="D47" s="110" t="str">
        <f aca="false">IF($B47="","",INDEX('CARNET DE SOUDURE'!$E$7:$E$1506,MATCH(36,'CARNET DE SOUDURE'!$AN$7:$AN$1506,0)))</f>
        <v/>
      </c>
      <c r="E47" s="110" t="str">
        <f aca="false">IF($B47="","",INDEX('CARNET DE SOUDURE'!$D$7:$D$1506,MATCH(36,'CARNET DE SOUDURE'!$AN$7:$AN$1506,0)))</f>
        <v/>
      </c>
      <c r="F47" s="110" t="str">
        <f aca="false">IF($B47="","",INDEX('CARNET DE SOUDURE'!$M$7:$M$1506,MATCH(36,'CARNET DE SOUDURE'!$AN$7:$AN$1506,0))&amp;" / "&amp;INDEX('CARNET DE SOUDURE'!$N$7:$N$1506,MATCH(36,'CARNET DE SOUDURE'!$AN$7:$AN$1506,0))&amp;" / "&amp;INDEX('CARNET DE SOUDURE'!$O$7:$O$1506,MATCH(36,'CARNET DE SOUDURE'!$AN$7:$AN$1506,0)))</f>
        <v/>
      </c>
      <c r="G47" s="111" t="str">
        <f aca="false">IF($B47="","",INDEX('CARNET DE SOUDURE'!$P$7:$P$1506,MATCH(36,'CARNET DE SOUDURE'!$AN$7:$AN$1506,0)))</f>
        <v/>
      </c>
      <c r="H47" s="112" t="str">
        <f aca="false">IF($B47="","",INDEX('CARNET DE SOUDURE'!$AK$7:$AK$1506,MATCH(36,'CARNET DE SOUDURE'!$AN$7:$AN$1506,0)))</f>
        <v/>
      </c>
      <c r="I47" s="113" t="str">
        <f aca="false">IF($B47="","",INDEX('CARNET DE SOUDURE'!$AI$7:$AI$1506,MATCH(36,'CARNET DE SOUDURE'!$AN$7:$AN$1506,0)))</f>
        <v/>
      </c>
      <c r="J47" s="113" t="str">
        <f aca="false">IF($B47="","",INDEX('CARNET DE SOUDURE'!$AL$7:$AL$1506,MATCH(36,'CARNET DE SOUDURE'!$AN$7:$AN$1506,0)))</f>
        <v/>
      </c>
      <c r="K47" s="87"/>
      <c r="L47" s="87"/>
    </row>
    <row r="48" customFormat="false" ht="15" hidden="false" customHeight="false" outlineLevel="0" collapsed="false">
      <c r="B48" s="91" t="str">
        <f aca="false">IF(37&gt;$I$4,"",37)</f>
        <v/>
      </c>
      <c r="C48" s="91" t="str">
        <f aca="false">IF($B48="","",INDEX('CARNET DE SOUDURE'!$B$7:$B$1506,MATCH(37,'CARNET DE SOUDURE'!$AN$7:$AN$1506,0)))</f>
        <v/>
      </c>
      <c r="D48" s="91" t="str">
        <f aca="false">IF($B48="","",INDEX('CARNET DE SOUDURE'!$E$7:$E$1506,MATCH(37,'CARNET DE SOUDURE'!$AN$7:$AN$1506,0)))</f>
        <v/>
      </c>
      <c r="E48" s="91" t="str">
        <f aca="false">IF($B48="","",INDEX('CARNET DE SOUDURE'!$D$7:$D$1506,MATCH(37,'CARNET DE SOUDURE'!$AN$7:$AN$1506,0)))</f>
        <v/>
      </c>
      <c r="F48" s="91" t="str">
        <f aca="false">IF($B48="","",INDEX('CARNET DE SOUDURE'!$M$7:$M$1506,MATCH(37,'CARNET DE SOUDURE'!$AN$7:$AN$1506,0))&amp;" / "&amp;INDEX('CARNET DE SOUDURE'!$N$7:$N$1506,MATCH(37,'CARNET DE SOUDURE'!$AN$7:$AN$1506,0))&amp;" / "&amp;INDEX('CARNET DE SOUDURE'!$O$7:$O$1506,MATCH(37,'CARNET DE SOUDURE'!$AN$7:$AN$1506,0)))</f>
        <v/>
      </c>
      <c r="G48" s="108" t="str">
        <f aca="false">IF($B48="","",INDEX('CARNET DE SOUDURE'!$P$7:$P$1506,MATCH(37,'CARNET DE SOUDURE'!$AN$7:$AN$1506,0)))</f>
        <v/>
      </c>
      <c r="H48" s="91" t="str">
        <f aca="false">IF($B48="","",INDEX('CARNET DE SOUDURE'!$AK$7:$AK$1506,MATCH(37,'CARNET DE SOUDURE'!$AN$7:$AN$1506,0)))</f>
        <v/>
      </c>
      <c r="I48" s="109" t="str">
        <f aca="false">IF($B48="","",INDEX('CARNET DE SOUDURE'!$AI$7:$AI$1506,MATCH(37,'CARNET DE SOUDURE'!$AN$7:$AN$1506,0)))</f>
        <v/>
      </c>
      <c r="J48" s="109" t="str">
        <f aca="false">IF($B48="","",INDEX('CARNET DE SOUDURE'!$AL$7:$AL$1506,MATCH(37,'CARNET DE SOUDURE'!$AN$7:$AN$1506,0)))</f>
        <v/>
      </c>
      <c r="K48" s="87"/>
      <c r="L48" s="87"/>
    </row>
    <row r="49" customFormat="false" ht="15" hidden="false" customHeight="false" outlineLevel="0" collapsed="false">
      <c r="B49" s="110" t="str">
        <f aca="false">IF(38&gt;$I$4,"",38)</f>
        <v/>
      </c>
      <c r="C49" s="110" t="str">
        <f aca="false">IF($B49="","",INDEX('CARNET DE SOUDURE'!$B$7:$B$1506,MATCH(38,'CARNET DE SOUDURE'!$AN$7:$AN$1506,0)))</f>
        <v/>
      </c>
      <c r="D49" s="110" t="str">
        <f aca="false">IF($B49="","",INDEX('CARNET DE SOUDURE'!$E$7:$E$1506,MATCH(38,'CARNET DE SOUDURE'!$AN$7:$AN$1506,0)))</f>
        <v/>
      </c>
      <c r="E49" s="110" t="str">
        <f aca="false">IF($B49="","",INDEX('CARNET DE SOUDURE'!$D$7:$D$1506,MATCH(38,'CARNET DE SOUDURE'!$AN$7:$AN$1506,0)))</f>
        <v/>
      </c>
      <c r="F49" s="110" t="str">
        <f aca="false">IF($B49="","",INDEX('CARNET DE SOUDURE'!$M$7:$M$1506,MATCH(38,'CARNET DE SOUDURE'!$AN$7:$AN$1506,0))&amp;" / "&amp;INDEX('CARNET DE SOUDURE'!$N$7:$N$1506,MATCH(38,'CARNET DE SOUDURE'!$AN$7:$AN$1506,0))&amp;" / "&amp;INDEX('CARNET DE SOUDURE'!$O$7:$O$1506,MATCH(38,'CARNET DE SOUDURE'!$AN$7:$AN$1506,0)))</f>
        <v/>
      </c>
      <c r="G49" s="111" t="str">
        <f aca="false">IF($B49="","",INDEX('CARNET DE SOUDURE'!$P$7:$P$1506,MATCH(38,'CARNET DE SOUDURE'!$AN$7:$AN$1506,0)))</f>
        <v/>
      </c>
      <c r="H49" s="112" t="str">
        <f aca="false">IF($B49="","",INDEX('CARNET DE SOUDURE'!$AK$7:$AK$1506,MATCH(38,'CARNET DE SOUDURE'!$AN$7:$AN$1506,0)))</f>
        <v/>
      </c>
      <c r="I49" s="113" t="str">
        <f aca="false">IF($B49="","",INDEX('CARNET DE SOUDURE'!$AI$7:$AI$1506,MATCH(38,'CARNET DE SOUDURE'!$AN$7:$AN$1506,0)))</f>
        <v/>
      </c>
      <c r="J49" s="113" t="str">
        <f aca="false">IF($B49="","",INDEX('CARNET DE SOUDURE'!$AL$7:$AL$1506,MATCH(38,'CARNET DE SOUDURE'!$AN$7:$AN$1506,0)))</f>
        <v/>
      </c>
      <c r="K49" s="87"/>
      <c r="L49" s="87"/>
    </row>
    <row r="50" customFormat="false" ht="15" hidden="false" customHeight="false" outlineLevel="0" collapsed="false">
      <c r="B50" s="91" t="str">
        <f aca="false">IF(39&gt;$I$4,"",39)</f>
        <v/>
      </c>
      <c r="C50" s="91" t="str">
        <f aca="false">IF($B50="","",INDEX('CARNET DE SOUDURE'!$B$7:$B$1506,MATCH(39,'CARNET DE SOUDURE'!$AN$7:$AN$1506,0)))</f>
        <v/>
      </c>
      <c r="D50" s="91" t="str">
        <f aca="false">IF($B50="","",INDEX('CARNET DE SOUDURE'!$E$7:$E$1506,MATCH(39,'CARNET DE SOUDURE'!$AN$7:$AN$1506,0)))</f>
        <v/>
      </c>
      <c r="E50" s="91" t="str">
        <f aca="false">IF($B50="","",INDEX('CARNET DE SOUDURE'!$D$7:$D$1506,MATCH(39,'CARNET DE SOUDURE'!$AN$7:$AN$1506,0)))</f>
        <v/>
      </c>
      <c r="F50" s="91" t="str">
        <f aca="false">IF($B50="","",INDEX('CARNET DE SOUDURE'!$M$7:$M$1506,MATCH(39,'CARNET DE SOUDURE'!$AN$7:$AN$1506,0))&amp;" / "&amp;INDEX('CARNET DE SOUDURE'!$N$7:$N$1506,MATCH(39,'CARNET DE SOUDURE'!$AN$7:$AN$1506,0))&amp;" / "&amp;INDEX('CARNET DE SOUDURE'!$O$7:$O$1506,MATCH(39,'CARNET DE SOUDURE'!$AN$7:$AN$1506,0)))</f>
        <v/>
      </c>
      <c r="G50" s="108" t="str">
        <f aca="false">IF($B50="","",INDEX('CARNET DE SOUDURE'!$P$7:$P$1506,MATCH(39,'CARNET DE SOUDURE'!$AN$7:$AN$1506,0)))</f>
        <v/>
      </c>
      <c r="H50" s="91" t="str">
        <f aca="false">IF($B50="","",INDEX('CARNET DE SOUDURE'!$AK$7:$AK$1506,MATCH(39,'CARNET DE SOUDURE'!$AN$7:$AN$1506,0)))</f>
        <v/>
      </c>
      <c r="I50" s="109" t="str">
        <f aca="false">IF($B50="","",INDEX('CARNET DE SOUDURE'!$AI$7:$AI$1506,MATCH(39,'CARNET DE SOUDURE'!$AN$7:$AN$1506,0)))</f>
        <v/>
      </c>
      <c r="J50" s="109" t="str">
        <f aca="false">IF($B50="","",INDEX('CARNET DE SOUDURE'!$AL$7:$AL$1506,MATCH(39,'CARNET DE SOUDURE'!$AN$7:$AN$1506,0)))</f>
        <v/>
      </c>
      <c r="K50" s="87"/>
      <c r="L50" s="87"/>
    </row>
    <row r="51" customFormat="false" ht="15" hidden="false" customHeight="false" outlineLevel="0" collapsed="false">
      <c r="B51" s="110" t="str">
        <f aca="false">IF(40&gt;$I$4,"",40)</f>
        <v/>
      </c>
      <c r="C51" s="110" t="str">
        <f aca="false">IF($B51="","",INDEX('CARNET DE SOUDURE'!$B$7:$B$1506,MATCH(40,'CARNET DE SOUDURE'!$AN$7:$AN$1506,0)))</f>
        <v/>
      </c>
      <c r="D51" s="110" t="str">
        <f aca="false">IF($B51="","",INDEX('CARNET DE SOUDURE'!$E$7:$E$1506,MATCH(40,'CARNET DE SOUDURE'!$AN$7:$AN$1506,0)))</f>
        <v/>
      </c>
      <c r="E51" s="110" t="str">
        <f aca="false">IF($B51="","",INDEX('CARNET DE SOUDURE'!$D$7:$D$1506,MATCH(40,'CARNET DE SOUDURE'!$AN$7:$AN$1506,0)))</f>
        <v/>
      </c>
      <c r="F51" s="110" t="str">
        <f aca="false">IF($B51="","",INDEX('CARNET DE SOUDURE'!$M$7:$M$1506,MATCH(40,'CARNET DE SOUDURE'!$AN$7:$AN$1506,0))&amp;" / "&amp;INDEX('CARNET DE SOUDURE'!$N$7:$N$1506,MATCH(40,'CARNET DE SOUDURE'!$AN$7:$AN$1506,0))&amp;" / "&amp;INDEX('CARNET DE SOUDURE'!$O$7:$O$1506,MATCH(40,'CARNET DE SOUDURE'!$AN$7:$AN$1506,0)))</f>
        <v/>
      </c>
      <c r="G51" s="111" t="str">
        <f aca="false">IF($B51="","",INDEX('CARNET DE SOUDURE'!$P$7:$P$1506,MATCH(40,'CARNET DE SOUDURE'!$AN$7:$AN$1506,0)))</f>
        <v/>
      </c>
      <c r="H51" s="112" t="str">
        <f aca="false">IF($B51="","",INDEX('CARNET DE SOUDURE'!$AK$7:$AK$1506,MATCH(40,'CARNET DE SOUDURE'!$AN$7:$AN$1506,0)))</f>
        <v/>
      </c>
      <c r="I51" s="113" t="str">
        <f aca="false">IF($B51="","",INDEX('CARNET DE SOUDURE'!$AI$7:$AI$1506,MATCH(40,'CARNET DE SOUDURE'!$AN$7:$AN$1506,0)))</f>
        <v/>
      </c>
      <c r="J51" s="113" t="str">
        <f aca="false">IF($B51="","",INDEX('CARNET DE SOUDURE'!$AL$7:$AL$1506,MATCH(40,'CARNET DE SOUDURE'!$AN$7:$AN$1506,0)))</f>
        <v/>
      </c>
      <c r="K51" s="87"/>
      <c r="L51" s="87"/>
    </row>
    <row r="52" customFormat="false" ht="15" hidden="false" customHeight="false" outlineLevel="0" collapsed="false">
      <c r="B52" s="91" t="str">
        <f aca="false">IF(41&gt;$I$4,"",41)</f>
        <v/>
      </c>
      <c r="C52" s="91" t="str">
        <f aca="false">IF($B52="","",INDEX('CARNET DE SOUDURE'!$B$7:$B$1506,MATCH(41,'CARNET DE SOUDURE'!$AN$7:$AN$1506,0)))</f>
        <v/>
      </c>
      <c r="D52" s="91" t="str">
        <f aca="false">IF($B52="","",INDEX('CARNET DE SOUDURE'!$E$7:$E$1506,MATCH(41,'CARNET DE SOUDURE'!$AN$7:$AN$1506,0)))</f>
        <v/>
      </c>
      <c r="E52" s="91" t="str">
        <f aca="false">IF($B52="","",INDEX('CARNET DE SOUDURE'!$D$7:$D$1506,MATCH(41,'CARNET DE SOUDURE'!$AN$7:$AN$1506,0)))</f>
        <v/>
      </c>
      <c r="F52" s="91" t="str">
        <f aca="false">IF($B52="","",INDEX('CARNET DE SOUDURE'!$M$7:$M$1506,MATCH(41,'CARNET DE SOUDURE'!$AN$7:$AN$1506,0))&amp;" / "&amp;INDEX('CARNET DE SOUDURE'!$N$7:$N$1506,MATCH(41,'CARNET DE SOUDURE'!$AN$7:$AN$1506,0))&amp;" / "&amp;INDEX('CARNET DE SOUDURE'!$O$7:$O$1506,MATCH(41,'CARNET DE SOUDURE'!$AN$7:$AN$1506,0)))</f>
        <v/>
      </c>
      <c r="G52" s="108" t="str">
        <f aca="false">IF($B52="","",INDEX('CARNET DE SOUDURE'!$P$7:$P$1506,MATCH(41,'CARNET DE SOUDURE'!$AN$7:$AN$1506,0)))</f>
        <v/>
      </c>
      <c r="H52" s="91" t="str">
        <f aca="false">IF($B52="","",INDEX('CARNET DE SOUDURE'!$AK$7:$AK$1506,MATCH(41,'CARNET DE SOUDURE'!$AN$7:$AN$1506,0)))</f>
        <v/>
      </c>
      <c r="I52" s="109" t="str">
        <f aca="false">IF($B52="","",INDEX('CARNET DE SOUDURE'!$AI$7:$AI$1506,MATCH(41,'CARNET DE SOUDURE'!$AN$7:$AN$1506,0)))</f>
        <v/>
      </c>
      <c r="J52" s="109" t="str">
        <f aca="false">IF($B52="","",INDEX('CARNET DE SOUDURE'!$AL$7:$AL$1506,MATCH(41,'CARNET DE SOUDURE'!$AN$7:$AN$1506,0)))</f>
        <v/>
      </c>
      <c r="K52" s="87"/>
      <c r="L52" s="87"/>
    </row>
    <row r="53" customFormat="false" ht="15" hidden="false" customHeight="false" outlineLevel="0" collapsed="false">
      <c r="B53" s="110" t="str">
        <f aca="false">IF(42&gt;$I$4,"",42)</f>
        <v/>
      </c>
      <c r="C53" s="110" t="str">
        <f aca="false">IF($B53="","",INDEX('CARNET DE SOUDURE'!$B$7:$B$1506,MATCH(42,'CARNET DE SOUDURE'!$AN$7:$AN$1506,0)))</f>
        <v/>
      </c>
      <c r="D53" s="110" t="str">
        <f aca="false">IF($B53="","",INDEX('CARNET DE SOUDURE'!$E$7:$E$1506,MATCH(42,'CARNET DE SOUDURE'!$AN$7:$AN$1506,0)))</f>
        <v/>
      </c>
      <c r="E53" s="110" t="str">
        <f aca="false">IF($B53="","",INDEX('CARNET DE SOUDURE'!$D$7:$D$1506,MATCH(42,'CARNET DE SOUDURE'!$AN$7:$AN$1506,0)))</f>
        <v/>
      </c>
      <c r="F53" s="110" t="str">
        <f aca="false">IF($B53="","",INDEX('CARNET DE SOUDURE'!$M$7:$M$1506,MATCH(42,'CARNET DE SOUDURE'!$AN$7:$AN$1506,0))&amp;" / "&amp;INDEX('CARNET DE SOUDURE'!$N$7:$N$1506,MATCH(42,'CARNET DE SOUDURE'!$AN$7:$AN$1506,0))&amp;" / "&amp;INDEX('CARNET DE SOUDURE'!$O$7:$O$1506,MATCH(42,'CARNET DE SOUDURE'!$AN$7:$AN$1506,0)))</f>
        <v/>
      </c>
      <c r="G53" s="111" t="str">
        <f aca="false">IF($B53="","",INDEX('CARNET DE SOUDURE'!$P$7:$P$1506,MATCH(42,'CARNET DE SOUDURE'!$AN$7:$AN$1506,0)))</f>
        <v/>
      </c>
      <c r="H53" s="112" t="str">
        <f aca="false">IF($B53="","",INDEX('CARNET DE SOUDURE'!$AK$7:$AK$1506,MATCH(42,'CARNET DE SOUDURE'!$AN$7:$AN$1506,0)))</f>
        <v/>
      </c>
      <c r="I53" s="113" t="str">
        <f aca="false">IF($B53="","",INDEX('CARNET DE SOUDURE'!$AI$7:$AI$1506,MATCH(42,'CARNET DE SOUDURE'!$AN$7:$AN$1506,0)))</f>
        <v/>
      </c>
      <c r="J53" s="113" t="str">
        <f aca="false">IF($B53="","",INDEX('CARNET DE SOUDURE'!$AL$7:$AL$1506,MATCH(42,'CARNET DE SOUDURE'!$AN$7:$AN$1506,0)))</f>
        <v/>
      </c>
      <c r="K53" s="87"/>
      <c r="L53" s="87"/>
    </row>
    <row r="54" customFormat="false" ht="15" hidden="false" customHeight="false" outlineLevel="0" collapsed="false">
      <c r="B54" s="91" t="str">
        <f aca="false">IF(43&gt;$I$4,"",43)</f>
        <v/>
      </c>
      <c r="C54" s="91" t="str">
        <f aca="false">IF($B54="","",INDEX('CARNET DE SOUDURE'!$B$7:$B$1506,MATCH(43,'CARNET DE SOUDURE'!$AN$7:$AN$1506,0)))</f>
        <v/>
      </c>
      <c r="D54" s="91" t="str">
        <f aca="false">IF($B54="","",INDEX('CARNET DE SOUDURE'!$E$7:$E$1506,MATCH(43,'CARNET DE SOUDURE'!$AN$7:$AN$1506,0)))</f>
        <v/>
      </c>
      <c r="E54" s="91" t="str">
        <f aca="false">IF($B54="","",INDEX('CARNET DE SOUDURE'!$D$7:$D$1506,MATCH(43,'CARNET DE SOUDURE'!$AN$7:$AN$1506,0)))</f>
        <v/>
      </c>
      <c r="F54" s="91" t="str">
        <f aca="false">IF($B54="","",INDEX('CARNET DE SOUDURE'!$M$7:$M$1506,MATCH(43,'CARNET DE SOUDURE'!$AN$7:$AN$1506,0))&amp;" / "&amp;INDEX('CARNET DE SOUDURE'!$N$7:$N$1506,MATCH(43,'CARNET DE SOUDURE'!$AN$7:$AN$1506,0))&amp;" / "&amp;INDEX('CARNET DE SOUDURE'!$O$7:$O$1506,MATCH(43,'CARNET DE SOUDURE'!$AN$7:$AN$1506,0)))</f>
        <v/>
      </c>
      <c r="G54" s="108" t="str">
        <f aca="false">IF($B54="","",INDEX('CARNET DE SOUDURE'!$P$7:$P$1506,MATCH(43,'CARNET DE SOUDURE'!$AN$7:$AN$1506,0)))</f>
        <v/>
      </c>
      <c r="H54" s="91" t="str">
        <f aca="false">IF($B54="","",INDEX('CARNET DE SOUDURE'!$AK$7:$AK$1506,MATCH(43,'CARNET DE SOUDURE'!$AN$7:$AN$1506,0)))</f>
        <v/>
      </c>
      <c r="I54" s="109" t="str">
        <f aca="false">IF($B54="","",INDEX('CARNET DE SOUDURE'!$AI$7:$AI$1506,MATCH(43,'CARNET DE SOUDURE'!$AN$7:$AN$1506,0)))</f>
        <v/>
      </c>
      <c r="J54" s="109" t="str">
        <f aca="false">IF($B54="","",INDEX('CARNET DE SOUDURE'!$AL$7:$AL$1506,MATCH(43,'CARNET DE SOUDURE'!$AN$7:$AN$1506,0)))</f>
        <v/>
      </c>
      <c r="K54" s="87"/>
      <c r="L54" s="87"/>
    </row>
    <row r="55" customFormat="false" ht="15" hidden="false" customHeight="false" outlineLevel="0" collapsed="false">
      <c r="B55" s="110" t="str">
        <f aca="false">IF(44&gt;$I$4,"",44)</f>
        <v/>
      </c>
      <c r="C55" s="110" t="str">
        <f aca="false">IF($B55="","",INDEX('CARNET DE SOUDURE'!$B$7:$B$1506,MATCH(44,'CARNET DE SOUDURE'!$AN$7:$AN$1506,0)))</f>
        <v/>
      </c>
      <c r="D55" s="110" t="str">
        <f aca="false">IF($B55="","",INDEX('CARNET DE SOUDURE'!$E$7:$E$1506,MATCH(44,'CARNET DE SOUDURE'!$AN$7:$AN$1506,0)))</f>
        <v/>
      </c>
      <c r="E55" s="110" t="str">
        <f aca="false">IF($B55="","",INDEX('CARNET DE SOUDURE'!$D$7:$D$1506,MATCH(44,'CARNET DE SOUDURE'!$AN$7:$AN$1506,0)))</f>
        <v/>
      </c>
      <c r="F55" s="110" t="str">
        <f aca="false">IF($B55="","",INDEX('CARNET DE SOUDURE'!$M$7:$M$1506,MATCH(44,'CARNET DE SOUDURE'!$AN$7:$AN$1506,0))&amp;" / "&amp;INDEX('CARNET DE SOUDURE'!$N$7:$N$1506,MATCH(44,'CARNET DE SOUDURE'!$AN$7:$AN$1506,0))&amp;" / "&amp;INDEX('CARNET DE SOUDURE'!$O$7:$O$1506,MATCH(44,'CARNET DE SOUDURE'!$AN$7:$AN$1506,0)))</f>
        <v/>
      </c>
      <c r="G55" s="111" t="str">
        <f aca="false">IF($B55="","",INDEX('CARNET DE SOUDURE'!$P$7:$P$1506,MATCH(44,'CARNET DE SOUDURE'!$AN$7:$AN$1506,0)))</f>
        <v/>
      </c>
      <c r="H55" s="112" t="str">
        <f aca="false">IF($B55="","",INDEX('CARNET DE SOUDURE'!$AK$7:$AK$1506,MATCH(44,'CARNET DE SOUDURE'!$AN$7:$AN$1506,0)))</f>
        <v/>
      </c>
      <c r="I55" s="113" t="str">
        <f aca="false">IF($B55="","",INDEX('CARNET DE SOUDURE'!$AI$7:$AI$1506,MATCH(44,'CARNET DE SOUDURE'!$AN$7:$AN$1506,0)))</f>
        <v/>
      </c>
      <c r="J55" s="113" t="str">
        <f aca="false">IF($B55="","",INDEX('CARNET DE SOUDURE'!$AL$7:$AL$1506,MATCH(44,'CARNET DE SOUDURE'!$AN$7:$AN$1506,0)))</f>
        <v/>
      </c>
      <c r="K55" s="87"/>
      <c r="L55" s="87"/>
    </row>
    <row r="56" customFormat="false" ht="15" hidden="false" customHeight="false" outlineLevel="0" collapsed="false">
      <c r="B56" s="91" t="str">
        <f aca="false">IF(45&gt;$I$4,"",45)</f>
        <v/>
      </c>
      <c r="C56" s="91" t="str">
        <f aca="false">IF($B56="","",INDEX('CARNET DE SOUDURE'!$B$7:$B$1506,MATCH(45,'CARNET DE SOUDURE'!$AN$7:$AN$1506,0)))</f>
        <v/>
      </c>
      <c r="D56" s="91" t="str">
        <f aca="false">IF($B56="","",INDEX('CARNET DE SOUDURE'!$E$7:$E$1506,MATCH(45,'CARNET DE SOUDURE'!$AN$7:$AN$1506,0)))</f>
        <v/>
      </c>
      <c r="E56" s="91" t="str">
        <f aca="false">IF($B56="","",INDEX('CARNET DE SOUDURE'!$D$7:$D$1506,MATCH(45,'CARNET DE SOUDURE'!$AN$7:$AN$1506,0)))</f>
        <v/>
      </c>
      <c r="F56" s="91" t="str">
        <f aca="false">IF($B56="","",INDEX('CARNET DE SOUDURE'!$M$7:$M$1506,MATCH(45,'CARNET DE SOUDURE'!$AN$7:$AN$1506,0))&amp;" / "&amp;INDEX('CARNET DE SOUDURE'!$N$7:$N$1506,MATCH(45,'CARNET DE SOUDURE'!$AN$7:$AN$1506,0))&amp;" / "&amp;INDEX('CARNET DE SOUDURE'!$O$7:$O$1506,MATCH(45,'CARNET DE SOUDURE'!$AN$7:$AN$1506,0)))</f>
        <v/>
      </c>
      <c r="G56" s="108" t="str">
        <f aca="false">IF($B56="","",INDEX('CARNET DE SOUDURE'!$P$7:$P$1506,MATCH(45,'CARNET DE SOUDURE'!$AN$7:$AN$1506,0)))</f>
        <v/>
      </c>
      <c r="H56" s="91" t="str">
        <f aca="false">IF($B56="","",INDEX('CARNET DE SOUDURE'!$AK$7:$AK$1506,MATCH(45,'CARNET DE SOUDURE'!$AN$7:$AN$1506,0)))</f>
        <v/>
      </c>
      <c r="I56" s="109" t="str">
        <f aca="false">IF($B56="","",INDEX('CARNET DE SOUDURE'!$AI$7:$AI$1506,MATCH(45,'CARNET DE SOUDURE'!$AN$7:$AN$1506,0)))</f>
        <v/>
      </c>
      <c r="J56" s="109" t="str">
        <f aca="false">IF($B56="","",INDEX('CARNET DE SOUDURE'!$AL$7:$AL$1506,MATCH(45,'CARNET DE SOUDURE'!$AN$7:$AN$1506,0)))</f>
        <v/>
      </c>
      <c r="K56" s="87"/>
      <c r="L56" s="87"/>
    </row>
    <row r="57" customFormat="false" ht="15" hidden="false" customHeight="false" outlineLevel="0" collapsed="false">
      <c r="B57" s="110" t="str">
        <f aca="false">IF(46&gt;$I$4,"",46)</f>
        <v/>
      </c>
      <c r="C57" s="110" t="str">
        <f aca="false">IF($B57="","",INDEX('CARNET DE SOUDURE'!$B$7:$B$1506,MATCH(46,'CARNET DE SOUDURE'!$AN$7:$AN$1506,0)))</f>
        <v/>
      </c>
      <c r="D57" s="110" t="str">
        <f aca="false">IF($B57="","",INDEX('CARNET DE SOUDURE'!$E$7:$E$1506,MATCH(46,'CARNET DE SOUDURE'!$AN$7:$AN$1506,0)))</f>
        <v/>
      </c>
      <c r="E57" s="110" t="str">
        <f aca="false">IF($B57="","",INDEX('CARNET DE SOUDURE'!$D$7:$D$1506,MATCH(46,'CARNET DE SOUDURE'!$AN$7:$AN$1506,0)))</f>
        <v/>
      </c>
      <c r="F57" s="110" t="str">
        <f aca="false">IF($B57="","",INDEX('CARNET DE SOUDURE'!$M$7:$M$1506,MATCH(46,'CARNET DE SOUDURE'!$AN$7:$AN$1506,0))&amp;" / "&amp;INDEX('CARNET DE SOUDURE'!$N$7:$N$1506,MATCH(46,'CARNET DE SOUDURE'!$AN$7:$AN$1506,0))&amp;" / "&amp;INDEX('CARNET DE SOUDURE'!$O$7:$O$1506,MATCH(46,'CARNET DE SOUDURE'!$AN$7:$AN$1506,0)))</f>
        <v/>
      </c>
      <c r="G57" s="111" t="str">
        <f aca="false">IF($B57="","",INDEX('CARNET DE SOUDURE'!$P$7:$P$1506,MATCH(46,'CARNET DE SOUDURE'!$AN$7:$AN$1506,0)))</f>
        <v/>
      </c>
      <c r="H57" s="112" t="str">
        <f aca="false">IF($B57="","",INDEX('CARNET DE SOUDURE'!$AK$7:$AK$1506,MATCH(46,'CARNET DE SOUDURE'!$AN$7:$AN$1506,0)))</f>
        <v/>
      </c>
      <c r="I57" s="113" t="str">
        <f aca="false">IF($B57="","",INDEX('CARNET DE SOUDURE'!$AI$7:$AI$1506,MATCH(46,'CARNET DE SOUDURE'!$AN$7:$AN$1506,0)))</f>
        <v/>
      </c>
      <c r="J57" s="113" t="str">
        <f aca="false">IF($B57="","",INDEX('CARNET DE SOUDURE'!$AL$7:$AL$1506,MATCH(46,'CARNET DE SOUDURE'!$AN$7:$AN$1506,0)))</f>
        <v/>
      </c>
      <c r="K57" s="87"/>
      <c r="L57" s="87"/>
    </row>
    <row r="58" customFormat="false" ht="15" hidden="false" customHeight="false" outlineLevel="0" collapsed="false">
      <c r="B58" s="91" t="str">
        <f aca="false">IF(47&gt;$I$4,"",47)</f>
        <v/>
      </c>
      <c r="C58" s="91" t="str">
        <f aca="false">IF($B58="","",INDEX('CARNET DE SOUDURE'!$B$7:$B$1506,MATCH(47,'CARNET DE SOUDURE'!$AN$7:$AN$1506,0)))</f>
        <v/>
      </c>
      <c r="D58" s="91" t="str">
        <f aca="false">IF($B58="","",INDEX('CARNET DE SOUDURE'!$E$7:$E$1506,MATCH(47,'CARNET DE SOUDURE'!$AN$7:$AN$1506,0)))</f>
        <v/>
      </c>
      <c r="E58" s="91" t="str">
        <f aca="false">IF($B58="","",INDEX('CARNET DE SOUDURE'!$D$7:$D$1506,MATCH(47,'CARNET DE SOUDURE'!$AN$7:$AN$1506,0)))</f>
        <v/>
      </c>
      <c r="F58" s="91" t="str">
        <f aca="false">IF($B58="","",INDEX('CARNET DE SOUDURE'!$M$7:$M$1506,MATCH(47,'CARNET DE SOUDURE'!$AN$7:$AN$1506,0))&amp;" / "&amp;INDEX('CARNET DE SOUDURE'!$N$7:$N$1506,MATCH(47,'CARNET DE SOUDURE'!$AN$7:$AN$1506,0))&amp;" / "&amp;INDEX('CARNET DE SOUDURE'!$O$7:$O$1506,MATCH(47,'CARNET DE SOUDURE'!$AN$7:$AN$1506,0)))</f>
        <v/>
      </c>
      <c r="G58" s="108" t="str">
        <f aca="false">IF($B58="","",INDEX('CARNET DE SOUDURE'!$P$7:$P$1506,MATCH(47,'CARNET DE SOUDURE'!$AN$7:$AN$1506,0)))</f>
        <v/>
      </c>
      <c r="H58" s="91" t="str">
        <f aca="false">IF($B58="","",INDEX('CARNET DE SOUDURE'!$AK$7:$AK$1506,MATCH(47,'CARNET DE SOUDURE'!$AN$7:$AN$1506,0)))</f>
        <v/>
      </c>
      <c r="I58" s="109" t="str">
        <f aca="false">IF($B58="","",INDEX('CARNET DE SOUDURE'!$AI$7:$AI$1506,MATCH(47,'CARNET DE SOUDURE'!$AN$7:$AN$1506,0)))</f>
        <v/>
      </c>
      <c r="J58" s="109" t="str">
        <f aca="false">IF($B58="","",INDEX('CARNET DE SOUDURE'!$AL$7:$AL$1506,MATCH(47,'CARNET DE SOUDURE'!$AN$7:$AN$1506,0)))</f>
        <v/>
      </c>
      <c r="K58" s="87"/>
      <c r="L58" s="87"/>
    </row>
    <row r="59" customFormat="false" ht="15" hidden="false" customHeight="false" outlineLevel="0" collapsed="false">
      <c r="B59" s="110" t="str">
        <f aca="false">IF(48&gt;$I$4,"",48)</f>
        <v/>
      </c>
      <c r="C59" s="110" t="str">
        <f aca="false">IF($B59="","",INDEX('CARNET DE SOUDURE'!$B$7:$B$1506,MATCH(48,'CARNET DE SOUDURE'!$AN$7:$AN$1506,0)))</f>
        <v/>
      </c>
      <c r="D59" s="110" t="str">
        <f aca="false">IF($B59="","",INDEX('CARNET DE SOUDURE'!$E$7:$E$1506,MATCH(48,'CARNET DE SOUDURE'!$AN$7:$AN$1506,0)))</f>
        <v/>
      </c>
      <c r="E59" s="110" t="str">
        <f aca="false">IF($B59="","",INDEX('CARNET DE SOUDURE'!$D$7:$D$1506,MATCH(48,'CARNET DE SOUDURE'!$AN$7:$AN$1506,0)))</f>
        <v/>
      </c>
      <c r="F59" s="110" t="str">
        <f aca="false">IF($B59="","",INDEX('CARNET DE SOUDURE'!$M$7:$M$1506,MATCH(48,'CARNET DE SOUDURE'!$AN$7:$AN$1506,0))&amp;" / "&amp;INDEX('CARNET DE SOUDURE'!$N$7:$N$1506,MATCH(48,'CARNET DE SOUDURE'!$AN$7:$AN$1506,0))&amp;" / "&amp;INDEX('CARNET DE SOUDURE'!$O$7:$O$1506,MATCH(48,'CARNET DE SOUDURE'!$AN$7:$AN$1506,0)))</f>
        <v/>
      </c>
      <c r="G59" s="111" t="str">
        <f aca="false">IF($B59="","",INDEX('CARNET DE SOUDURE'!$P$7:$P$1506,MATCH(48,'CARNET DE SOUDURE'!$AN$7:$AN$1506,0)))</f>
        <v/>
      </c>
      <c r="H59" s="112" t="str">
        <f aca="false">IF($B59="","",INDEX('CARNET DE SOUDURE'!$AK$7:$AK$1506,MATCH(48,'CARNET DE SOUDURE'!$AN$7:$AN$1506,0)))</f>
        <v/>
      </c>
      <c r="I59" s="113" t="str">
        <f aca="false">IF($B59="","",INDEX('CARNET DE SOUDURE'!$AI$7:$AI$1506,MATCH(48,'CARNET DE SOUDURE'!$AN$7:$AN$1506,0)))</f>
        <v/>
      </c>
      <c r="J59" s="113" t="str">
        <f aca="false">IF($B59="","",INDEX('CARNET DE SOUDURE'!$AL$7:$AL$1506,MATCH(48,'CARNET DE SOUDURE'!$AN$7:$AN$1506,0)))</f>
        <v/>
      </c>
      <c r="K59" s="87"/>
      <c r="L59" s="87"/>
    </row>
    <row r="60" customFormat="false" ht="15" hidden="false" customHeight="false" outlineLevel="0" collapsed="false">
      <c r="B60" s="91" t="str">
        <f aca="false">IF(49&gt;$I$4,"",49)</f>
        <v/>
      </c>
      <c r="C60" s="91" t="str">
        <f aca="false">IF($B60="","",INDEX('CARNET DE SOUDURE'!$B$7:$B$1506,MATCH(49,'CARNET DE SOUDURE'!$AN$7:$AN$1506,0)))</f>
        <v/>
      </c>
      <c r="D60" s="91" t="str">
        <f aca="false">IF($B60="","",INDEX('CARNET DE SOUDURE'!$E$7:$E$1506,MATCH(49,'CARNET DE SOUDURE'!$AN$7:$AN$1506,0)))</f>
        <v/>
      </c>
      <c r="E60" s="91" t="str">
        <f aca="false">IF($B60="","",INDEX('CARNET DE SOUDURE'!$D$7:$D$1506,MATCH(49,'CARNET DE SOUDURE'!$AN$7:$AN$1506,0)))</f>
        <v/>
      </c>
      <c r="F60" s="91" t="str">
        <f aca="false">IF($B60="","",INDEX('CARNET DE SOUDURE'!$M$7:$M$1506,MATCH(49,'CARNET DE SOUDURE'!$AN$7:$AN$1506,0))&amp;" / "&amp;INDEX('CARNET DE SOUDURE'!$N$7:$N$1506,MATCH(49,'CARNET DE SOUDURE'!$AN$7:$AN$1506,0))&amp;" / "&amp;INDEX('CARNET DE SOUDURE'!$O$7:$O$1506,MATCH(49,'CARNET DE SOUDURE'!$AN$7:$AN$1506,0)))</f>
        <v/>
      </c>
      <c r="G60" s="108" t="str">
        <f aca="false">IF($B60="","",INDEX('CARNET DE SOUDURE'!$P$7:$P$1506,MATCH(49,'CARNET DE SOUDURE'!$AN$7:$AN$1506,0)))</f>
        <v/>
      </c>
      <c r="H60" s="91" t="str">
        <f aca="false">IF($B60="","",INDEX('CARNET DE SOUDURE'!$AK$7:$AK$1506,MATCH(49,'CARNET DE SOUDURE'!$AN$7:$AN$1506,0)))</f>
        <v/>
      </c>
      <c r="I60" s="109" t="str">
        <f aca="false">IF($B60="","",INDEX('CARNET DE SOUDURE'!$AI$7:$AI$1506,MATCH(49,'CARNET DE SOUDURE'!$AN$7:$AN$1506,0)))</f>
        <v/>
      </c>
      <c r="J60" s="109" t="str">
        <f aca="false">IF($B60="","",INDEX('CARNET DE SOUDURE'!$AL$7:$AL$1506,MATCH(49,'CARNET DE SOUDURE'!$AN$7:$AN$1506,0)))</f>
        <v/>
      </c>
      <c r="K60" s="87"/>
      <c r="L60" s="87"/>
    </row>
    <row r="61" customFormat="false" ht="15" hidden="false" customHeight="false" outlineLevel="0" collapsed="false">
      <c r="B61" s="110" t="str">
        <f aca="false">IF(50&gt;$I$4,"",50)</f>
        <v/>
      </c>
      <c r="C61" s="110" t="str">
        <f aca="false">IF($B61="","",INDEX('CARNET DE SOUDURE'!$B$7:$B$1506,MATCH(50,'CARNET DE SOUDURE'!$AN$7:$AN$1506,0)))</f>
        <v/>
      </c>
      <c r="D61" s="110" t="str">
        <f aca="false">IF($B61="","",INDEX('CARNET DE SOUDURE'!$E$7:$E$1506,MATCH(50,'CARNET DE SOUDURE'!$AN$7:$AN$1506,0)))</f>
        <v/>
      </c>
      <c r="E61" s="110" t="str">
        <f aca="false">IF($B61="","",INDEX('CARNET DE SOUDURE'!$D$7:$D$1506,MATCH(50,'CARNET DE SOUDURE'!$AN$7:$AN$1506,0)))</f>
        <v/>
      </c>
      <c r="F61" s="110" t="str">
        <f aca="false">IF($B61="","",INDEX('CARNET DE SOUDURE'!$M$7:$M$1506,MATCH(50,'CARNET DE SOUDURE'!$AN$7:$AN$1506,0))&amp;" / "&amp;INDEX('CARNET DE SOUDURE'!$N$7:$N$1506,MATCH(50,'CARNET DE SOUDURE'!$AN$7:$AN$1506,0))&amp;" / "&amp;INDEX('CARNET DE SOUDURE'!$O$7:$O$1506,MATCH(50,'CARNET DE SOUDURE'!$AN$7:$AN$1506,0)))</f>
        <v/>
      </c>
      <c r="G61" s="111" t="str">
        <f aca="false">IF($B61="","",INDEX('CARNET DE SOUDURE'!$P$7:$P$1506,MATCH(50,'CARNET DE SOUDURE'!$AN$7:$AN$1506,0)))</f>
        <v/>
      </c>
      <c r="H61" s="112" t="str">
        <f aca="false">IF($B61="","",INDEX('CARNET DE SOUDURE'!$AK$7:$AK$1506,MATCH(50,'CARNET DE SOUDURE'!$AN$7:$AN$1506,0)))</f>
        <v/>
      </c>
      <c r="I61" s="113" t="str">
        <f aca="false">IF($B61="","",INDEX('CARNET DE SOUDURE'!$AI$7:$AI$1506,MATCH(50,'CARNET DE SOUDURE'!$AN$7:$AN$1506,0)))</f>
        <v/>
      </c>
      <c r="J61" s="113" t="str">
        <f aca="false">IF($B61="","",INDEX('CARNET DE SOUDURE'!$AL$7:$AL$1506,MATCH(50,'CARNET DE SOUDURE'!$AN$7:$AN$1506,0)))</f>
        <v/>
      </c>
      <c r="K61" s="87"/>
      <c r="L61" s="87"/>
    </row>
    <row r="62" customFormat="false" ht="15" hidden="false" customHeight="false" outlineLevel="0" collapsed="false">
      <c r="B62" s="91" t="str">
        <f aca="false">IF(51&gt;$I$4,"",51)</f>
        <v/>
      </c>
      <c r="C62" s="91" t="str">
        <f aca="false">IF($B62="","",INDEX('CARNET DE SOUDURE'!$B$7:$B$1506,MATCH(51,'CARNET DE SOUDURE'!$AN$7:$AN$1506,0)))</f>
        <v/>
      </c>
      <c r="D62" s="91" t="str">
        <f aca="false">IF($B62="","",INDEX('CARNET DE SOUDURE'!$E$7:$E$1506,MATCH(51,'CARNET DE SOUDURE'!$AN$7:$AN$1506,0)))</f>
        <v/>
      </c>
      <c r="E62" s="91" t="str">
        <f aca="false">IF($B62="","",INDEX('CARNET DE SOUDURE'!$D$7:$D$1506,MATCH(51,'CARNET DE SOUDURE'!$AN$7:$AN$1506,0)))</f>
        <v/>
      </c>
      <c r="F62" s="91" t="str">
        <f aca="false">IF($B62="","",INDEX('CARNET DE SOUDURE'!$M$7:$M$1506,MATCH(51,'CARNET DE SOUDURE'!$AN$7:$AN$1506,0))&amp;" / "&amp;INDEX('CARNET DE SOUDURE'!$N$7:$N$1506,MATCH(51,'CARNET DE SOUDURE'!$AN$7:$AN$1506,0))&amp;" / "&amp;INDEX('CARNET DE SOUDURE'!$O$7:$O$1506,MATCH(51,'CARNET DE SOUDURE'!$AN$7:$AN$1506,0)))</f>
        <v/>
      </c>
      <c r="G62" s="108" t="str">
        <f aca="false">IF($B62="","",INDEX('CARNET DE SOUDURE'!$P$7:$P$1506,MATCH(51,'CARNET DE SOUDURE'!$AN$7:$AN$1506,0)))</f>
        <v/>
      </c>
      <c r="H62" s="91" t="str">
        <f aca="false">IF($B62="","",INDEX('CARNET DE SOUDURE'!$AK$7:$AK$1506,MATCH(51,'CARNET DE SOUDURE'!$AN$7:$AN$1506,0)))</f>
        <v/>
      </c>
      <c r="I62" s="109" t="str">
        <f aca="false">IF($B62="","",INDEX('CARNET DE SOUDURE'!$AI$7:$AI$1506,MATCH(51,'CARNET DE SOUDURE'!$AN$7:$AN$1506,0)))</f>
        <v/>
      </c>
      <c r="J62" s="109" t="str">
        <f aca="false">IF($B62="","",INDEX('CARNET DE SOUDURE'!$AL$7:$AL$1506,MATCH(51,'CARNET DE SOUDURE'!$AN$7:$AN$1506,0)))</f>
        <v/>
      </c>
      <c r="K62" s="87"/>
      <c r="L62" s="87"/>
    </row>
    <row r="63" customFormat="false" ht="15" hidden="false" customHeight="false" outlineLevel="0" collapsed="false">
      <c r="B63" s="110" t="str">
        <f aca="false">IF(52&gt;$I$4,"",52)</f>
        <v/>
      </c>
      <c r="C63" s="110" t="str">
        <f aca="false">IF($B63="","",INDEX('CARNET DE SOUDURE'!$B$7:$B$1506,MATCH(52,'CARNET DE SOUDURE'!$AN$7:$AN$1506,0)))</f>
        <v/>
      </c>
      <c r="D63" s="110" t="str">
        <f aca="false">IF($B63="","",INDEX('CARNET DE SOUDURE'!$E$7:$E$1506,MATCH(52,'CARNET DE SOUDURE'!$AN$7:$AN$1506,0)))</f>
        <v/>
      </c>
      <c r="E63" s="110" t="str">
        <f aca="false">IF($B63="","",INDEX('CARNET DE SOUDURE'!$D$7:$D$1506,MATCH(52,'CARNET DE SOUDURE'!$AN$7:$AN$1506,0)))</f>
        <v/>
      </c>
      <c r="F63" s="110" t="str">
        <f aca="false">IF($B63="","",INDEX('CARNET DE SOUDURE'!$M$7:$M$1506,MATCH(52,'CARNET DE SOUDURE'!$AN$7:$AN$1506,0))&amp;" / "&amp;INDEX('CARNET DE SOUDURE'!$N$7:$N$1506,MATCH(52,'CARNET DE SOUDURE'!$AN$7:$AN$1506,0))&amp;" / "&amp;INDEX('CARNET DE SOUDURE'!$O$7:$O$1506,MATCH(52,'CARNET DE SOUDURE'!$AN$7:$AN$1506,0)))</f>
        <v/>
      </c>
      <c r="G63" s="111" t="str">
        <f aca="false">IF($B63="","",INDEX('CARNET DE SOUDURE'!$P$7:$P$1506,MATCH(52,'CARNET DE SOUDURE'!$AN$7:$AN$1506,0)))</f>
        <v/>
      </c>
      <c r="H63" s="112" t="str">
        <f aca="false">IF($B63="","",INDEX('CARNET DE SOUDURE'!$AK$7:$AK$1506,MATCH(52,'CARNET DE SOUDURE'!$AN$7:$AN$1506,0)))</f>
        <v/>
      </c>
      <c r="I63" s="113" t="str">
        <f aca="false">IF($B63="","",INDEX('CARNET DE SOUDURE'!$AI$7:$AI$1506,MATCH(52,'CARNET DE SOUDURE'!$AN$7:$AN$1506,0)))</f>
        <v/>
      </c>
      <c r="J63" s="113" t="str">
        <f aca="false">IF($B63="","",INDEX('CARNET DE SOUDURE'!$AL$7:$AL$1506,MATCH(52,'CARNET DE SOUDURE'!$AN$7:$AN$1506,0)))</f>
        <v/>
      </c>
      <c r="K63" s="87"/>
      <c r="L63" s="87"/>
    </row>
    <row r="64" customFormat="false" ht="15" hidden="false" customHeight="false" outlineLevel="0" collapsed="false">
      <c r="B64" s="91" t="str">
        <f aca="false">IF(53&gt;$I$4,"",53)</f>
        <v/>
      </c>
      <c r="C64" s="91" t="str">
        <f aca="false">IF($B64="","",INDEX('CARNET DE SOUDURE'!$B$7:$B$1506,MATCH(53,'CARNET DE SOUDURE'!$AN$7:$AN$1506,0)))</f>
        <v/>
      </c>
      <c r="D64" s="91" t="str">
        <f aca="false">IF($B64="","",INDEX('CARNET DE SOUDURE'!$E$7:$E$1506,MATCH(53,'CARNET DE SOUDURE'!$AN$7:$AN$1506,0)))</f>
        <v/>
      </c>
      <c r="E64" s="91" t="str">
        <f aca="false">IF($B64="","",INDEX('CARNET DE SOUDURE'!$D$7:$D$1506,MATCH(53,'CARNET DE SOUDURE'!$AN$7:$AN$1506,0)))</f>
        <v/>
      </c>
      <c r="F64" s="91" t="str">
        <f aca="false">IF($B64="","",INDEX('CARNET DE SOUDURE'!$M$7:$M$1506,MATCH(53,'CARNET DE SOUDURE'!$AN$7:$AN$1506,0))&amp;" / "&amp;INDEX('CARNET DE SOUDURE'!$N$7:$N$1506,MATCH(53,'CARNET DE SOUDURE'!$AN$7:$AN$1506,0))&amp;" / "&amp;INDEX('CARNET DE SOUDURE'!$O$7:$O$1506,MATCH(53,'CARNET DE SOUDURE'!$AN$7:$AN$1506,0)))</f>
        <v/>
      </c>
      <c r="G64" s="108" t="str">
        <f aca="false">IF($B64="","",INDEX('CARNET DE SOUDURE'!$P$7:$P$1506,MATCH(53,'CARNET DE SOUDURE'!$AN$7:$AN$1506,0)))</f>
        <v/>
      </c>
      <c r="H64" s="91" t="str">
        <f aca="false">IF($B64="","",INDEX('CARNET DE SOUDURE'!$AK$7:$AK$1506,MATCH(53,'CARNET DE SOUDURE'!$AN$7:$AN$1506,0)))</f>
        <v/>
      </c>
      <c r="I64" s="109" t="str">
        <f aca="false">IF($B64="","",INDEX('CARNET DE SOUDURE'!$AI$7:$AI$1506,MATCH(53,'CARNET DE SOUDURE'!$AN$7:$AN$1506,0)))</f>
        <v/>
      </c>
      <c r="J64" s="109" t="str">
        <f aca="false">IF($B64="","",INDEX('CARNET DE SOUDURE'!$AL$7:$AL$1506,MATCH(53,'CARNET DE SOUDURE'!$AN$7:$AN$1506,0)))</f>
        <v/>
      </c>
      <c r="K64" s="87"/>
      <c r="L64" s="87"/>
    </row>
    <row r="65" customFormat="false" ht="15" hidden="false" customHeight="false" outlineLevel="0" collapsed="false">
      <c r="B65" s="110" t="str">
        <f aca="false">IF(54&gt;$I$4,"",54)</f>
        <v/>
      </c>
      <c r="C65" s="110" t="str">
        <f aca="false">IF($B65="","",INDEX('CARNET DE SOUDURE'!$B$7:$B$1506,MATCH(54,'CARNET DE SOUDURE'!$AN$7:$AN$1506,0)))</f>
        <v/>
      </c>
      <c r="D65" s="110" t="str">
        <f aca="false">IF($B65="","",INDEX('CARNET DE SOUDURE'!$E$7:$E$1506,MATCH(54,'CARNET DE SOUDURE'!$AN$7:$AN$1506,0)))</f>
        <v/>
      </c>
      <c r="E65" s="110" t="str">
        <f aca="false">IF($B65="","",INDEX('CARNET DE SOUDURE'!$D$7:$D$1506,MATCH(54,'CARNET DE SOUDURE'!$AN$7:$AN$1506,0)))</f>
        <v/>
      </c>
      <c r="F65" s="110" t="str">
        <f aca="false">IF($B65="","",INDEX('CARNET DE SOUDURE'!$M$7:$M$1506,MATCH(54,'CARNET DE SOUDURE'!$AN$7:$AN$1506,0))&amp;" / "&amp;INDEX('CARNET DE SOUDURE'!$N$7:$N$1506,MATCH(54,'CARNET DE SOUDURE'!$AN$7:$AN$1506,0))&amp;" / "&amp;INDEX('CARNET DE SOUDURE'!$O$7:$O$1506,MATCH(54,'CARNET DE SOUDURE'!$AN$7:$AN$1506,0)))</f>
        <v/>
      </c>
      <c r="G65" s="111" t="str">
        <f aca="false">IF($B65="","",INDEX('CARNET DE SOUDURE'!$P$7:$P$1506,MATCH(54,'CARNET DE SOUDURE'!$AN$7:$AN$1506,0)))</f>
        <v/>
      </c>
      <c r="H65" s="112" t="str">
        <f aca="false">IF($B65="","",INDEX('CARNET DE SOUDURE'!$AK$7:$AK$1506,MATCH(54,'CARNET DE SOUDURE'!$AN$7:$AN$1506,0)))</f>
        <v/>
      </c>
      <c r="I65" s="113" t="str">
        <f aca="false">IF($B65="","",INDEX('CARNET DE SOUDURE'!$AI$7:$AI$1506,MATCH(54,'CARNET DE SOUDURE'!$AN$7:$AN$1506,0)))</f>
        <v/>
      </c>
      <c r="J65" s="113" t="str">
        <f aca="false">IF($B65="","",INDEX('CARNET DE SOUDURE'!$AL$7:$AL$1506,MATCH(54,'CARNET DE SOUDURE'!$AN$7:$AN$1506,0)))</f>
        <v/>
      </c>
      <c r="K65" s="87"/>
      <c r="L65" s="87"/>
    </row>
    <row r="66" customFormat="false" ht="15" hidden="false" customHeight="false" outlineLevel="0" collapsed="false">
      <c r="B66" s="91" t="str">
        <f aca="false">IF(55&gt;$I$4,"",55)</f>
        <v/>
      </c>
      <c r="C66" s="91" t="str">
        <f aca="false">IF($B66="","",INDEX('CARNET DE SOUDURE'!$B$7:$B$1506,MATCH(55,'CARNET DE SOUDURE'!$AN$7:$AN$1506,0)))</f>
        <v/>
      </c>
      <c r="D66" s="91" t="str">
        <f aca="false">IF($B66="","",INDEX('CARNET DE SOUDURE'!$E$7:$E$1506,MATCH(55,'CARNET DE SOUDURE'!$AN$7:$AN$1506,0)))</f>
        <v/>
      </c>
      <c r="E66" s="91" t="str">
        <f aca="false">IF($B66="","",INDEX('CARNET DE SOUDURE'!$D$7:$D$1506,MATCH(55,'CARNET DE SOUDURE'!$AN$7:$AN$1506,0)))</f>
        <v/>
      </c>
      <c r="F66" s="91" t="str">
        <f aca="false">IF($B66="","",INDEX('CARNET DE SOUDURE'!$M$7:$M$1506,MATCH(55,'CARNET DE SOUDURE'!$AN$7:$AN$1506,0))&amp;" / "&amp;INDEX('CARNET DE SOUDURE'!$N$7:$N$1506,MATCH(55,'CARNET DE SOUDURE'!$AN$7:$AN$1506,0))&amp;" / "&amp;INDEX('CARNET DE SOUDURE'!$O$7:$O$1506,MATCH(55,'CARNET DE SOUDURE'!$AN$7:$AN$1506,0)))</f>
        <v/>
      </c>
      <c r="G66" s="108" t="str">
        <f aca="false">IF($B66="","",INDEX('CARNET DE SOUDURE'!$P$7:$P$1506,MATCH(55,'CARNET DE SOUDURE'!$AN$7:$AN$1506,0)))</f>
        <v/>
      </c>
      <c r="H66" s="91" t="str">
        <f aca="false">IF($B66="","",INDEX('CARNET DE SOUDURE'!$AK$7:$AK$1506,MATCH(55,'CARNET DE SOUDURE'!$AN$7:$AN$1506,0)))</f>
        <v/>
      </c>
      <c r="I66" s="109" t="str">
        <f aca="false">IF($B66="","",INDEX('CARNET DE SOUDURE'!$AI$7:$AI$1506,MATCH(55,'CARNET DE SOUDURE'!$AN$7:$AN$1506,0)))</f>
        <v/>
      </c>
      <c r="J66" s="109" t="str">
        <f aca="false">IF($B66="","",INDEX('CARNET DE SOUDURE'!$AL$7:$AL$1506,MATCH(55,'CARNET DE SOUDURE'!$AN$7:$AN$1506,0)))</f>
        <v/>
      </c>
      <c r="K66" s="87"/>
      <c r="L66" s="87"/>
    </row>
    <row r="67" customFormat="false" ht="15" hidden="false" customHeight="false" outlineLevel="0" collapsed="false">
      <c r="B67" s="110" t="str">
        <f aca="false">IF(56&gt;$I$4,"",56)</f>
        <v/>
      </c>
      <c r="C67" s="110" t="str">
        <f aca="false">IF($B67="","",INDEX('CARNET DE SOUDURE'!$B$7:$B$1506,MATCH(56,'CARNET DE SOUDURE'!$AN$7:$AN$1506,0)))</f>
        <v/>
      </c>
      <c r="D67" s="110" t="str">
        <f aca="false">IF($B67="","",INDEX('CARNET DE SOUDURE'!$E$7:$E$1506,MATCH(56,'CARNET DE SOUDURE'!$AN$7:$AN$1506,0)))</f>
        <v/>
      </c>
      <c r="E67" s="110" t="str">
        <f aca="false">IF($B67="","",INDEX('CARNET DE SOUDURE'!$D$7:$D$1506,MATCH(56,'CARNET DE SOUDURE'!$AN$7:$AN$1506,0)))</f>
        <v/>
      </c>
      <c r="F67" s="110" t="str">
        <f aca="false">IF($B67="","",INDEX('CARNET DE SOUDURE'!$M$7:$M$1506,MATCH(56,'CARNET DE SOUDURE'!$AN$7:$AN$1506,0))&amp;" / "&amp;INDEX('CARNET DE SOUDURE'!$N$7:$N$1506,MATCH(56,'CARNET DE SOUDURE'!$AN$7:$AN$1506,0))&amp;" / "&amp;INDEX('CARNET DE SOUDURE'!$O$7:$O$1506,MATCH(56,'CARNET DE SOUDURE'!$AN$7:$AN$1506,0)))</f>
        <v/>
      </c>
      <c r="G67" s="111" t="str">
        <f aca="false">IF($B67="","",INDEX('CARNET DE SOUDURE'!$P$7:$P$1506,MATCH(56,'CARNET DE SOUDURE'!$AN$7:$AN$1506,0)))</f>
        <v/>
      </c>
      <c r="H67" s="112" t="str">
        <f aca="false">IF($B67="","",INDEX('CARNET DE SOUDURE'!$AK$7:$AK$1506,MATCH(56,'CARNET DE SOUDURE'!$AN$7:$AN$1506,0)))</f>
        <v/>
      </c>
      <c r="I67" s="113" t="str">
        <f aca="false">IF($B67="","",INDEX('CARNET DE SOUDURE'!$AI$7:$AI$1506,MATCH(56,'CARNET DE SOUDURE'!$AN$7:$AN$1506,0)))</f>
        <v/>
      </c>
      <c r="J67" s="113" t="str">
        <f aca="false">IF($B67="","",INDEX('CARNET DE SOUDURE'!$AL$7:$AL$1506,MATCH(56,'CARNET DE SOUDURE'!$AN$7:$AN$1506,0)))</f>
        <v/>
      </c>
      <c r="K67" s="87"/>
      <c r="L67" s="87"/>
    </row>
    <row r="68" customFormat="false" ht="15" hidden="false" customHeight="false" outlineLevel="0" collapsed="false">
      <c r="B68" s="91" t="str">
        <f aca="false">IF(57&gt;$I$4,"",57)</f>
        <v/>
      </c>
      <c r="C68" s="91" t="str">
        <f aca="false">IF($B68="","",INDEX('CARNET DE SOUDURE'!$B$7:$B$1506,MATCH(57,'CARNET DE SOUDURE'!$AN$7:$AN$1506,0)))</f>
        <v/>
      </c>
      <c r="D68" s="91" t="str">
        <f aca="false">IF($B68="","",INDEX('CARNET DE SOUDURE'!$E$7:$E$1506,MATCH(57,'CARNET DE SOUDURE'!$AN$7:$AN$1506,0)))</f>
        <v/>
      </c>
      <c r="E68" s="91" t="str">
        <f aca="false">IF($B68="","",INDEX('CARNET DE SOUDURE'!$D$7:$D$1506,MATCH(57,'CARNET DE SOUDURE'!$AN$7:$AN$1506,0)))</f>
        <v/>
      </c>
      <c r="F68" s="91" t="str">
        <f aca="false">IF($B68="","",INDEX('CARNET DE SOUDURE'!$M$7:$M$1506,MATCH(57,'CARNET DE SOUDURE'!$AN$7:$AN$1506,0))&amp;" / "&amp;INDEX('CARNET DE SOUDURE'!$N$7:$N$1506,MATCH(57,'CARNET DE SOUDURE'!$AN$7:$AN$1506,0))&amp;" / "&amp;INDEX('CARNET DE SOUDURE'!$O$7:$O$1506,MATCH(57,'CARNET DE SOUDURE'!$AN$7:$AN$1506,0)))</f>
        <v/>
      </c>
      <c r="G68" s="108" t="str">
        <f aca="false">IF($B68="","",INDEX('CARNET DE SOUDURE'!$P$7:$P$1506,MATCH(57,'CARNET DE SOUDURE'!$AN$7:$AN$1506,0)))</f>
        <v/>
      </c>
      <c r="H68" s="91" t="str">
        <f aca="false">IF($B68="","",INDEX('CARNET DE SOUDURE'!$AK$7:$AK$1506,MATCH(57,'CARNET DE SOUDURE'!$AN$7:$AN$1506,0)))</f>
        <v/>
      </c>
      <c r="I68" s="109" t="str">
        <f aca="false">IF($B68="","",INDEX('CARNET DE SOUDURE'!$AI$7:$AI$1506,MATCH(57,'CARNET DE SOUDURE'!$AN$7:$AN$1506,0)))</f>
        <v/>
      </c>
      <c r="J68" s="109" t="str">
        <f aca="false">IF($B68="","",INDEX('CARNET DE SOUDURE'!$AL$7:$AL$1506,MATCH(57,'CARNET DE SOUDURE'!$AN$7:$AN$1506,0)))</f>
        <v/>
      </c>
      <c r="K68" s="87"/>
      <c r="L68" s="87"/>
    </row>
    <row r="69" customFormat="false" ht="15" hidden="false" customHeight="false" outlineLevel="0" collapsed="false">
      <c r="B69" s="110" t="str">
        <f aca="false">IF(58&gt;$I$4,"",58)</f>
        <v/>
      </c>
      <c r="C69" s="110" t="str">
        <f aca="false">IF($B69="","",INDEX('CARNET DE SOUDURE'!$B$7:$B$1506,MATCH(58,'CARNET DE SOUDURE'!$AN$7:$AN$1506,0)))</f>
        <v/>
      </c>
      <c r="D69" s="110" t="str">
        <f aca="false">IF($B69="","",INDEX('CARNET DE SOUDURE'!$E$7:$E$1506,MATCH(58,'CARNET DE SOUDURE'!$AN$7:$AN$1506,0)))</f>
        <v/>
      </c>
      <c r="E69" s="110" t="str">
        <f aca="false">IF($B69="","",INDEX('CARNET DE SOUDURE'!$D$7:$D$1506,MATCH(58,'CARNET DE SOUDURE'!$AN$7:$AN$1506,0)))</f>
        <v/>
      </c>
      <c r="F69" s="110" t="str">
        <f aca="false">IF($B69="","",INDEX('CARNET DE SOUDURE'!$M$7:$M$1506,MATCH(58,'CARNET DE SOUDURE'!$AN$7:$AN$1506,0))&amp;" / "&amp;INDEX('CARNET DE SOUDURE'!$N$7:$N$1506,MATCH(58,'CARNET DE SOUDURE'!$AN$7:$AN$1506,0))&amp;" / "&amp;INDEX('CARNET DE SOUDURE'!$O$7:$O$1506,MATCH(58,'CARNET DE SOUDURE'!$AN$7:$AN$1506,0)))</f>
        <v/>
      </c>
      <c r="G69" s="111" t="str">
        <f aca="false">IF($B69="","",INDEX('CARNET DE SOUDURE'!$P$7:$P$1506,MATCH(58,'CARNET DE SOUDURE'!$AN$7:$AN$1506,0)))</f>
        <v/>
      </c>
      <c r="H69" s="112" t="str">
        <f aca="false">IF($B69="","",INDEX('CARNET DE SOUDURE'!$AK$7:$AK$1506,MATCH(58,'CARNET DE SOUDURE'!$AN$7:$AN$1506,0)))</f>
        <v/>
      </c>
      <c r="I69" s="113" t="str">
        <f aca="false">IF($B69="","",INDEX('CARNET DE SOUDURE'!$AI$7:$AI$1506,MATCH(58,'CARNET DE SOUDURE'!$AN$7:$AN$1506,0)))</f>
        <v/>
      </c>
      <c r="J69" s="113" t="str">
        <f aca="false">IF($B69="","",INDEX('CARNET DE SOUDURE'!$AL$7:$AL$1506,MATCH(58,'CARNET DE SOUDURE'!$AN$7:$AN$1506,0)))</f>
        <v/>
      </c>
      <c r="K69" s="87"/>
      <c r="L69" s="87"/>
    </row>
    <row r="70" customFormat="false" ht="15" hidden="false" customHeight="false" outlineLevel="0" collapsed="false">
      <c r="B70" s="91" t="str">
        <f aca="false">IF(59&gt;$I$4,"",59)</f>
        <v/>
      </c>
      <c r="C70" s="91" t="str">
        <f aca="false">IF($B70="","",INDEX('CARNET DE SOUDURE'!$B$7:$B$1506,MATCH(59,'CARNET DE SOUDURE'!$AN$7:$AN$1506,0)))</f>
        <v/>
      </c>
      <c r="D70" s="91" t="str">
        <f aca="false">IF($B70="","",INDEX('CARNET DE SOUDURE'!$E$7:$E$1506,MATCH(59,'CARNET DE SOUDURE'!$AN$7:$AN$1506,0)))</f>
        <v/>
      </c>
      <c r="E70" s="91" t="str">
        <f aca="false">IF($B70="","",INDEX('CARNET DE SOUDURE'!$D$7:$D$1506,MATCH(59,'CARNET DE SOUDURE'!$AN$7:$AN$1506,0)))</f>
        <v/>
      </c>
      <c r="F70" s="91" t="str">
        <f aca="false">IF($B70="","",INDEX('CARNET DE SOUDURE'!$M$7:$M$1506,MATCH(59,'CARNET DE SOUDURE'!$AN$7:$AN$1506,0))&amp;" / "&amp;INDEX('CARNET DE SOUDURE'!$N$7:$N$1506,MATCH(59,'CARNET DE SOUDURE'!$AN$7:$AN$1506,0))&amp;" / "&amp;INDEX('CARNET DE SOUDURE'!$O$7:$O$1506,MATCH(59,'CARNET DE SOUDURE'!$AN$7:$AN$1506,0)))</f>
        <v/>
      </c>
      <c r="G70" s="108" t="str">
        <f aca="false">IF($B70="","",INDEX('CARNET DE SOUDURE'!$P$7:$P$1506,MATCH(59,'CARNET DE SOUDURE'!$AN$7:$AN$1506,0)))</f>
        <v/>
      </c>
      <c r="H70" s="91" t="str">
        <f aca="false">IF($B70="","",INDEX('CARNET DE SOUDURE'!$AK$7:$AK$1506,MATCH(59,'CARNET DE SOUDURE'!$AN$7:$AN$1506,0)))</f>
        <v/>
      </c>
      <c r="I70" s="109" t="str">
        <f aca="false">IF($B70="","",INDEX('CARNET DE SOUDURE'!$AI$7:$AI$1506,MATCH(59,'CARNET DE SOUDURE'!$AN$7:$AN$1506,0)))</f>
        <v/>
      </c>
      <c r="J70" s="109" t="str">
        <f aca="false">IF($B70="","",INDEX('CARNET DE SOUDURE'!$AL$7:$AL$1506,MATCH(59,'CARNET DE SOUDURE'!$AN$7:$AN$1506,0)))</f>
        <v/>
      </c>
      <c r="K70" s="87"/>
      <c r="L70" s="87"/>
    </row>
    <row r="71" customFormat="false" ht="15" hidden="false" customHeight="false" outlineLevel="0" collapsed="false">
      <c r="B71" s="110" t="str">
        <f aca="false">IF(60&gt;$I$4,"",60)</f>
        <v/>
      </c>
      <c r="C71" s="110" t="str">
        <f aca="false">IF($B71="","",INDEX('CARNET DE SOUDURE'!$B$7:$B$1506,MATCH(60,'CARNET DE SOUDURE'!$AN$7:$AN$1506,0)))</f>
        <v/>
      </c>
      <c r="D71" s="110" t="str">
        <f aca="false">IF($B71="","",INDEX('CARNET DE SOUDURE'!$E$7:$E$1506,MATCH(60,'CARNET DE SOUDURE'!$AN$7:$AN$1506,0)))</f>
        <v/>
      </c>
      <c r="E71" s="110" t="str">
        <f aca="false">IF($B71="","",INDEX('CARNET DE SOUDURE'!$D$7:$D$1506,MATCH(60,'CARNET DE SOUDURE'!$AN$7:$AN$1506,0)))</f>
        <v/>
      </c>
      <c r="F71" s="110" t="str">
        <f aca="false">IF($B71="","",INDEX('CARNET DE SOUDURE'!$M$7:$M$1506,MATCH(60,'CARNET DE SOUDURE'!$AN$7:$AN$1506,0))&amp;" / "&amp;INDEX('CARNET DE SOUDURE'!$N$7:$N$1506,MATCH(60,'CARNET DE SOUDURE'!$AN$7:$AN$1506,0))&amp;" / "&amp;INDEX('CARNET DE SOUDURE'!$O$7:$O$1506,MATCH(60,'CARNET DE SOUDURE'!$AN$7:$AN$1506,0)))</f>
        <v/>
      </c>
      <c r="G71" s="111" t="str">
        <f aca="false">IF($B71="","",INDEX('CARNET DE SOUDURE'!$P$7:$P$1506,MATCH(60,'CARNET DE SOUDURE'!$AN$7:$AN$1506,0)))</f>
        <v/>
      </c>
      <c r="H71" s="112" t="str">
        <f aca="false">IF($B71="","",INDEX('CARNET DE SOUDURE'!$AK$7:$AK$1506,MATCH(60,'CARNET DE SOUDURE'!$AN$7:$AN$1506,0)))</f>
        <v/>
      </c>
      <c r="I71" s="113" t="str">
        <f aca="false">IF($B71="","",INDEX('CARNET DE SOUDURE'!$AI$7:$AI$1506,MATCH(60,'CARNET DE SOUDURE'!$AN$7:$AN$1506,0)))</f>
        <v/>
      </c>
      <c r="J71" s="113" t="str">
        <f aca="false">IF($B71="","",INDEX('CARNET DE SOUDURE'!$AL$7:$AL$1506,MATCH(60,'CARNET DE SOUDURE'!$AN$7:$AN$1506,0)))</f>
        <v/>
      </c>
      <c r="K71" s="87"/>
      <c r="L71" s="87"/>
    </row>
    <row r="72" customFormat="false" ht="15" hidden="false" customHeight="false" outlineLevel="0" collapsed="false">
      <c r="B72" s="91" t="str">
        <f aca="false">IF(61&gt;$I$4,"",61)</f>
        <v/>
      </c>
      <c r="C72" s="91" t="str">
        <f aca="false">IF($B72="","",INDEX('CARNET DE SOUDURE'!$B$7:$B$1506,MATCH(61,'CARNET DE SOUDURE'!$AN$7:$AN$1506,0)))</f>
        <v/>
      </c>
      <c r="D72" s="91" t="str">
        <f aca="false">IF($B72="","",INDEX('CARNET DE SOUDURE'!$E$7:$E$1506,MATCH(61,'CARNET DE SOUDURE'!$AN$7:$AN$1506,0)))</f>
        <v/>
      </c>
      <c r="E72" s="91" t="str">
        <f aca="false">IF($B72="","",INDEX('CARNET DE SOUDURE'!$D$7:$D$1506,MATCH(61,'CARNET DE SOUDURE'!$AN$7:$AN$1506,0)))</f>
        <v/>
      </c>
      <c r="F72" s="91" t="str">
        <f aca="false">IF($B72="","",INDEX('CARNET DE SOUDURE'!$M$7:$M$1506,MATCH(61,'CARNET DE SOUDURE'!$AN$7:$AN$1506,0))&amp;" / "&amp;INDEX('CARNET DE SOUDURE'!$N$7:$N$1506,MATCH(61,'CARNET DE SOUDURE'!$AN$7:$AN$1506,0))&amp;" / "&amp;INDEX('CARNET DE SOUDURE'!$O$7:$O$1506,MATCH(61,'CARNET DE SOUDURE'!$AN$7:$AN$1506,0)))</f>
        <v/>
      </c>
      <c r="G72" s="108" t="str">
        <f aca="false">IF($B72="","",INDEX('CARNET DE SOUDURE'!$P$7:$P$1506,MATCH(61,'CARNET DE SOUDURE'!$AN$7:$AN$1506,0)))</f>
        <v/>
      </c>
      <c r="H72" s="91" t="str">
        <f aca="false">IF($B72="","",INDEX('CARNET DE SOUDURE'!$AK$7:$AK$1506,MATCH(61,'CARNET DE SOUDURE'!$AN$7:$AN$1506,0)))</f>
        <v/>
      </c>
      <c r="I72" s="109" t="str">
        <f aca="false">IF($B72="","",INDEX('CARNET DE SOUDURE'!$AI$7:$AI$1506,MATCH(61,'CARNET DE SOUDURE'!$AN$7:$AN$1506,0)))</f>
        <v/>
      </c>
      <c r="J72" s="109" t="str">
        <f aca="false">IF($B72="","",INDEX('CARNET DE SOUDURE'!$AL$7:$AL$1506,MATCH(61,'CARNET DE SOUDURE'!$AN$7:$AN$1506,0)))</f>
        <v/>
      </c>
      <c r="K72" s="87"/>
      <c r="L72" s="87"/>
    </row>
    <row r="73" customFormat="false" ht="15" hidden="false" customHeight="false" outlineLevel="0" collapsed="false">
      <c r="B73" s="110" t="str">
        <f aca="false">IF(62&gt;$I$4,"",62)</f>
        <v/>
      </c>
      <c r="C73" s="110" t="str">
        <f aca="false">IF($B73="","",INDEX('CARNET DE SOUDURE'!$B$7:$B$1506,MATCH(62,'CARNET DE SOUDURE'!$AN$7:$AN$1506,0)))</f>
        <v/>
      </c>
      <c r="D73" s="110" t="str">
        <f aca="false">IF($B73="","",INDEX('CARNET DE SOUDURE'!$E$7:$E$1506,MATCH(62,'CARNET DE SOUDURE'!$AN$7:$AN$1506,0)))</f>
        <v/>
      </c>
      <c r="E73" s="110" t="str">
        <f aca="false">IF($B73="","",INDEX('CARNET DE SOUDURE'!$D$7:$D$1506,MATCH(62,'CARNET DE SOUDURE'!$AN$7:$AN$1506,0)))</f>
        <v/>
      </c>
      <c r="F73" s="110" t="str">
        <f aca="false">IF($B73="","",INDEX('CARNET DE SOUDURE'!$M$7:$M$1506,MATCH(62,'CARNET DE SOUDURE'!$AN$7:$AN$1506,0))&amp;" / "&amp;INDEX('CARNET DE SOUDURE'!$N$7:$N$1506,MATCH(62,'CARNET DE SOUDURE'!$AN$7:$AN$1506,0))&amp;" / "&amp;INDEX('CARNET DE SOUDURE'!$O$7:$O$1506,MATCH(62,'CARNET DE SOUDURE'!$AN$7:$AN$1506,0)))</f>
        <v/>
      </c>
      <c r="G73" s="111" t="str">
        <f aca="false">IF($B73="","",INDEX('CARNET DE SOUDURE'!$P$7:$P$1506,MATCH(62,'CARNET DE SOUDURE'!$AN$7:$AN$1506,0)))</f>
        <v/>
      </c>
      <c r="H73" s="112" t="str">
        <f aca="false">IF($B73="","",INDEX('CARNET DE SOUDURE'!$AK$7:$AK$1506,MATCH(62,'CARNET DE SOUDURE'!$AN$7:$AN$1506,0)))</f>
        <v/>
      </c>
      <c r="I73" s="113" t="str">
        <f aca="false">IF($B73="","",INDEX('CARNET DE SOUDURE'!$AI$7:$AI$1506,MATCH(62,'CARNET DE SOUDURE'!$AN$7:$AN$1506,0)))</f>
        <v/>
      </c>
      <c r="J73" s="113" t="str">
        <f aca="false">IF($B73="","",INDEX('CARNET DE SOUDURE'!$AL$7:$AL$1506,MATCH(62,'CARNET DE SOUDURE'!$AN$7:$AN$1506,0)))</f>
        <v/>
      </c>
      <c r="K73" s="87"/>
      <c r="L73" s="87"/>
    </row>
    <row r="74" customFormat="false" ht="15" hidden="false" customHeight="false" outlineLevel="0" collapsed="false">
      <c r="B74" s="91" t="str">
        <f aca="false">IF(63&gt;$I$4,"",63)</f>
        <v/>
      </c>
      <c r="C74" s="91" t="str">
        <f aca="false">IF($B74="","",INDEX('CARNET DE SOUDURE'!$B$7:$B$1506,MATCH(63,'CARNET DE SOUDURE'!$AN$7:$AN$1506,0)))</f>
        <v/>
      </c>
      <c r="D74" s="91" t="str">
        <f aca="false">IF($B74="","",INDEX('CARNET DE SOUDURE'!$E$7:$E$1506,MATCH(63,'CARNET DE SOUDURE'!$AN$7:$AN$1506,0)))</f>
        <v/>
      </c>
      <c r="E74" s="91" t="str">
        <f aca="false">IF($B74="","",INDEX('CARNET DE SOUDURE'!$D$7:$D$1506,MATCH(63,'CARNET DE SOUDURE'!$AN$7:$AN$1506,0)))</f>
        <v/>
      </c>
      <c r="F74" s="91" t="str">
        <f aca="false">IF($B74="","",INDEX('CARNET DE SOUDURE'!$M$7:$M$1506,MATCH(63,'CARNET DE SOUDURE'!$AN$7:$AN$1506,0))&amp;" / "&amp;INDEX('CARNET DE SOUDURE'!$N$7:$N$1506,MATCH(63,'CARNET DE SOUDURE'!$AN$7:$AN$1506,0))&amp;" / "&amp;INDEX('CARNET DE SOUDURE'!$O$7:$O$1506,MATCH(63,'CARNET DE SOUDURE'!$AN$7:$AN$1506,0)))</f>
        <v/>
      </c>
      <c r="G74" s="108" t="str">
        <f aca="false">IF($B74="","",INDEX('CARNET DE SOUDURE'!$P$7:$P$1506,MATCH(63,'CARNET DE SOUDURE'!$AN$7:$AN$1506,0)))</f>
        <v/>
      </c>
      <c r="H74" s="91" t="str">
        <f aca="false">IF($B74="","",INDEX('CARNET DE SOUDURE'!$AK$7:$AK$1506,MATCH(63,'CARNET DE SOUDURE'!$AN$7:$AN$1506,0)))</f>
        <v/>
      </c>
      <c r="I74" s="109" t="str">
        <f aca="false">IF($B74="","",INDEX('CARNET DE SOUDURE'!$AI$7:$AI$1506,MATCH(63,'CARNET DE SOUDURE'!$AN$7:$AN$1506,0)))</f>
        <v/>
      </c>
      <c r="J74" s="109" t="str">
        <f aca="false">IF($B74="","",INDEX('CARNET DE SOUDURE'!$AL$7:$AL$1506,MATCH(63,'CARNET DE SOUDURE'!$AN$7:$AN$1506,0)))</f>
        <v/>
      </c>
      <c r="K74" s="87"/>
      <c r="L74" s="87"/>
    </row>
    <row r="75" customFormat="false" ht="15" hidden="false" customHeight="false" outlineLevel="0" collapsed="false">
      <c r="B75" s="110" t="str">
        <f aca="false">IF(64&gt;$I$4,"",64)</f>
        <v/>
      </c>
      <c r="C75" s="110" t="str">
        <f aca="false">IF($B75="","",INDEX('CARNET DE SOUDURE'!$B$7:$B$1506,MATCH(64,'CARNET DE SOUDURE'!$AN$7:$AN$1506,0)))</f>
        <v/>
      </c>
      <c r="D75" s="110" t="str">
        <f aca="false">IF($B75="","",INDEX('CARNET DE SOUDURE'!$E$7:$E$1506,MATCH(64,'CARNET DE SOUDURE'!$AN$7:$AN$1506,0)))</f>
        <v/>
      </c>
      <c r="E75" s="110" t="str">
        <f aca="false">IF($B75="","",INDEX('CARNET DE SOUDURE'!$D$7:$D$1506,MATCH(64,'CARNET DE SOUDURE'!$AN$7:$AN$1506,0)))</f>
        <v/>
      </c>
      <c r="F75" s="110" t="str">
        <f aca="false">IF($B75="","",INDEX('CARNET DE SOUDURE'!$M$7:$M$1506,MATCH(64,'CARNET DE SOUDURE'!$AN$7:$AN$1506,0))&amp;" / "&amp;INDEX('CARNET DE SOUDURE'!$N$7:$N$1506,MATCH(64,'CARNET DE SOUDURE'!$AN$7:$AN$1506,0))&amp;" / "&amp;INDEX('CARNET DE SOUDURE'!$O$7:$O$1506,MATCH(64,'CARNET DE SOUDURE'!$AN$7:$AN$1506,0)))</f>
        <v/>
      </c>
      <c r="G75" s="111" t="str">
        <f aca="false">IF($B75="","",INDEX('CARNET DE SOUDURE'!$P$7:$P$1506,MATCH(64,'CARNET DE SOUDURE'!$AN$7:$AN$1506,0)))</f>
        <v/>
      </c>
      <c r="H75" s="112" t="str">
        <f aca="false">IF($B75="","",INDEX('CARNET DE SOUDURE'!$AK$7:$AK$1506,MATCH(64,'CARNET DE SOUDURE'!$AN$7:$AN$1506,0)))</f>
        <v/>
      </c>
      <c r="I75" s="113" t="str">
        <f aca="false">IF($B75="","",INDEX('CARNET DE SOUDURE'!$AI$7:$AI$1506,MATCH(64,'CARNET DE SOUDURE'!$AN$7:$AN$1506,0)))</f>
        <v/>
      </c>
      <c r="J75" s="113" t="str">
        <f aca="false">IF($B75="","",INDEX('CARNET DE SOUDURE'!$AL$7:$AL$1506,MATCH(64,'CARNET DE SOUDURE'!$AN$7:$AN$1506,0)))</f>
        <v/>
      </c>
      <c r="K75" s="87"/>
      <c r="L75" s="87"/>
    </row>
    <row r="76" customFormat="false" ht="15" hidden="false" customHeight="false" outlineLevel="0" collapsed="false">
      <c r="B76" s="91" t="str">
        <f aca="false">IF(65&gt;$I$4,"",65)</f>
        <v/>
      </c>
      <c r="C76" s="91" t="str">
        <f aca="false">IF($B76="","",INDEX('CARNET DE SOUDURE'!$B$7:$B$1506,MATCH(65,'CARNET DE SOUDURE'!$AN$7:$AN$1506,0)))</f>
        <v/>
      </c>
      <c r="D76" s="91" t="str">
        <f aca="false">IF($B76="","",INDEX('CARNET DE SOUDURE'!$E$7:$E$1506,MATCH(65,'CARNET DE SOUDURE'!$AN$7:$AN$1506,0)))</f>
        <v/>
      </c>
      <c r="E76" s="91" t="str">
        <f aca="false">IF($B76="","",INDEX('CARNET DE SOUDURE'!$D$7:$D$1506,MATCH(65,'CARNET DE SOUDURE'!$AN$7:$AN$1506,0)))</f>
        <v/>
      </c>
      <c r="F76" s="91" t="str">
        <f aca="false">IF($B76="","",INDEX('CARNET DE SOUDURE'!$M$7:$M$1506,MATCH(65,'CARNET DE SOUDURE'!$AN$7:$AN$1506,0))&amp;" / "&amp;INDEX('CARNET DE SOUDURE'!$N$7:$N$1506,MATCH(65,'CARNET DE SOUDURE'!$AN$7:$AN$1506,0))&amp;" / "&amp;INDEX('CARNET DE SOUDURE'!$O$7:$O$1506,MATCH(65,'CARNET DE SOUDURE'!$AN$7:$AN$1506,0)))</f>
        <v/>
      </c>
      <c r="G76" s="108" t="str">
        <f aca="false">IF($B76="","",INDEX('CARNET DE SOUDURE'!$P$7:$P$1506,MATCH(65,'CARNET DE SOUDURE'!$AN$7:$AN$1506,0)))</f>
        <v/>
      </c>
      <c r="H76" s="91" t="str">
        <f aca="false">IF($B76="","",INDEX('CARNET DE SOUDURE'!$AK$7:$AK$1506,MATCH(65,'CARNET DE SOUDURE'!$AN$7:$AN$1506,0)))</f>
        <v/>
      </c>
      <c r="I76" s="109" t="str">
        <f aca="false">IF($B76="","",INDEX('CARNET DE SOUDURE'!$AI$7:$AI$1506,MATCH(65,'CARNET DE SOUDURE'!$AN$7:$AN$1506,0)))</f>
        <v/>
      </c>
      <c r="J76" s="109" t="str">
        <f aca="false">IF($B76="","",INDEX('CARNET DE SOUDURE'!$AL$7:$AL$1506,MATCH(65,'CARNET DE SOUDURE'!$AN$7:$AN$1506,0)))</f>
        <v/>
      </c>
      <c r="K76" s="87"/>
      <c r="L76" s="87"/>
    </row>
    <row r="77" customFormat="false" ht="15" hidden="false" customHeight="false" outlineLevel="0" collapsed="false">
      <c r="B77" s="110" t="str">
        <f aca="false">IF(66&gt;$I$4,"",66)</f>
        <v/>
      </c>
      <c r="C77" s="110" t="str">
        <f aca="false">IF($B77="","",INDEX('CARNET DE SOUDURE'!$B$7:$B$1506,MATCH(66,'CARNET DE SOUDURE'!$AN$7:$AN$1506,0)))</f>
        <v/>
      </c>
      <c r="D77" s="110" t="str">
        <f aca="false">IF($B77="","",INDEX('CARNET DE SOUDURE'!$E$7:$E$1506,MATCH(66,'CARNET DE SOUDURE'!$AN$7:$AN$1506,0)))</f>
        <v/>
      </c>
      <c r="E77" s="110" t="str">
        <f aca="false">IF($B77="","",INDEX('CARNET DE SOUDURE'!$D$7:$D$1506,MATCH(66,'CARNET DE SOUDURE'!$AN$7:$AN$1506,0)))</f>
        <v/>
      </c>
      <c r="F77" s="110" t="str">
        <f aca="false">IF($B77="","",INDEX('CARNET DE SOUDURE'!$M$7:$M$1506,MATCH(66,'CARNET DE SOUDURE'!$AN$7:$AN$1506,0))&amp;" / "&amp;INDEX('CARNET DE SOUDURE'!$N$7:$N$1506,MATCH(66,'CARNET DE SOUDURE'!$AN$7:$AN$1506,0))&amp;" / "&amp;INDEX('CARNET DE SOUDURE'!$O$7:$O$1506,MATCH(66,'CARNET DE SOUDURE'!$AN$7:$AN$1506,0)))</f>
        <v/>
      </c>
      <c r="G77" s="111" t="str">
        <f aca="false">IF($B77="","",INDEX('CARNET DE SOUDURE'!$P$7:$P$1506,MATCH(66,'CARNET DE SOUDURE'!$AN$7:$AN$1506,0)))</f>
        <v/>
      </c>
      <c r="H77" s="112" t="str">
        <f aca="false">IF($B77="","",INDEX('CARNET DE SOUDURE'!$AK$7:$AK$1506,MATCH(66,'CARNET DE SOUDURE'!$AN$7:$AN$1506,0)))</f>
        <v/>
      </c>
      <c r="I77" s="113" t="str">
        <f aca="false">IF($B77="","",INDEX('CARNET DE SOUDURE'!$AI$7:$AI$1506,MATCH(66,'CARNET DE SOUDURE'!$AN$7:$AN$1506,0)))</f>
        <v/>
      </c>
      <c r="J77" s="113" t="str">
        <f aca="false">IF($B77="","",INDEX('CARNET DE SOUDURE'!$AL$7:$AL$1506,MATCH(66,'CARNET DE SOUDURE'!$AN$7:$AN$1506,0)))</f>
        <v/>
      </c>
      <c r="K77" s="87"/>
      <c r="L77" s="87"/>
    </row>
    <row r="78" customFormat="false" ht="15" hidden="false" customHeight="false" outlineLevel="0" collapsed="false">
      <c r="B78" s="91" t="str">
        <f aca="false">IF(67&gt;$I$4,"",67)</f>
        <v/>
      </c>
      <c r="C78" s="91" t="str">
        <f aca="false">IF($B78="","",INDEX('CARNET DE SOUDURE'!$B$7:$B$1506,MATCH(67,'CARNET DE SOUDURE'!$AN$7:$AN$1506,0)))</f>
        <v/>
      </c>
      <c r="D78" s="91" t="str">
        <f aca="false">IF($B78="","",INDEX('CARNET DE SOUDURE'!$E$7:$E$1506,MATCH(67,'CARNET DE SOUDURE'!$AN$7:$AN$1506,0)))</f>
        <v/>
      </c>
      <c r="E78" s="91" t="str">
        <f aca="false">IF($B78="","",INDEX('CARNET DE SOUDURE'!$D$7:$D$1506,MATCH(67,'CARNET DE SOUDURE'!$AN$7:$AN$1506,0)))</f>
        <v/>
      </c>
      <c r="F78" s="91" t="str">
        <f aca="false">IF($B78="","",INDEX('CARNET DE SOUDURE'!$M$7:$M$1506,MATCH(67,'CARNET DE SOUDURE'!$AN$7:$AN$1506,0))&amp;" / "&amp;INDEX('CARNET DE SOUDURE'!$N$7:$N$1506,MATCH(67,'CARNET DE SOUDURE'!$AN$7:$AN$1506,0))&amp;" / "&amp;INDEX('CARNET DE SOUDURE'!$O$7:$O$1506,MATCH(67,'CARNET DE SOUDURE'!$AN$7:$AN$1506,0)))</f>
        <v/>
      </c>
      <c r="G78" s="108" t="str">
        <f aca="false">IF($B78="","",INDEX('CARNET DE SOUDURE'!$P$7:$P$1506,MATCH(67,'CARNET DE SOUDURE'!$AN$7:$AN$1506,0)))</f>
        <v/>
      </c>
      <c r="H78" s="91" t="str">
        <f aca="false">IF($B78="","",INDEX('CARNET DE SOUDURE'!$AK$7:$AK$1506,MATCH(67,'CARNET DE SOUDURE'!$AN$7:$AN$1506,0)))</f>
        <v/>
      </c>
      <c r="I78" s="109" t="str">
        <f aca="false">IF($B78="","",INDEX('CARNET DE SOUDURE'!$AI$7:$AI$1506,MATCH(67,'CARNET DE SOUDURE'!$AN$7:$AN$1506,0)))</f>
        <v/>
      </c>
      <c r="J78" s="109" t="str">
        <f aca="false">IF($B78="","",INDEX('CARNET DE SOUDURE'!$AL$7:$AL$1506,MATCH(67,'CARNET DE SOUDURE'!$AN$7:$AN$1506,0)))</f>
        <v/>
      </c>
      <c r="K78" s="87"/>
      <c r="L78" s="87"/>
    </row>
    <row r="79" customFormat="false" ht="15" hidden="false" customHeight="false" outlineLevel="0" collapsed="false">
      <c r="B79" s="110" t="str">
        <f aca="false">IF(68&gt;$I$4,"",68)</f>
        <v/>
      </c>
      <c r="C79" s="110" t="str">
        <f aca="false">IF($B79="","",INDEX('CARNET DE SOUDURE'!$B$7:$B$1506,MATCH(68,'CARNET DE SOUDURE'!$AN$7:$AN$1506,0)))</f>
        <v/>
      </c>
      <c r="D79" s="110" t="str">
        <f aca="false">IF($B79="","",INDEX('CARNET DE SOUDURE'!$E$7:$E$1506,MATCH(68,'CARNET DE SOUDURE'!$AN$7:$AN$1506,0)))</f>
        <v/>
      </c>
      <c r="E79" s="110" t="str">
        <f aca="false">IF($B79="","",INDEX('CARNET DE SOUDURE'!$D$7:$D$1506,MATCH(68,'CARNET DE SOUDURE'!$AN$7:$AN$1506,0)))</f>
        <v/>
      </c>
      <c r="F79" s="110" t="str">
        <f aca="false">IF($B79="","",INDEX('CARNET DE SOUDURE'!$M$7:$M$1506,MATCH(68,'CARNET DE SOUDURE'!$AN$7:$AN$1506,0))&amp;" / "&amp;INDEX('CARNET DE SOUDURE'!$N$7:$N$1506,MATCH(68,'CARNET DE SOUDURE'!$AN$7:$AN$1506,0))&amp;" / "&amp;INDEX('CARNET DE SOUDURE'!$O$7:$O$1506,MATCH(68,'CARNET DE SOUDURE'!$AN$7:$AN$1506,0)))</f>
        <v/>
      </c>
      <c r="G79" s="111" t="str">
        <f aca="false">IF($B79="","",INDEX('CARNET DE SOUDURE'!$P$7:$P$1506,MATCH(68,'CARNET DE SOUDURE'!$AN$7:$AN$1506,0)))</f>
        <v/>
      </c>
      <c r="H79" s="112" t="str">
        <f aca="false">IF($B79="","",INDEX('CARNET DE SOUDURE'!$AK$7:$AK$1506,MATCH(68,'CARNET DE SOUDURE'!$AN$7:$AN$1506,0)))</f>
        <v/>
      </c>
      <c r="I79" s="113" t="str">
        <f aca="false">IF($B79="","",INDEX('CARNET DE SOUDURE'!$AI$7:$AI$1506,MATCH(68,'CARNET DE SOUDURE'!$AN$7:$AN$1506,0)))</f>
        <v/>
      </c>
      <c r="J79" s="113" t="str">
        <f aca="false">IF($B79="","",INDEX('CARNET DE SOUDURE'!$AL$7:$AL$1506,MATCH(68,'CARNET DE SOUDURE'!$AN$7:$AN$1506,0)))</f>
        <v/>
      </c>
      <c r="K79" s="87"/>
      <c r="L79" s="87"/>
    </row>
    <row r="80" customFormat="false" ht="15" hidden="false" customHeight="false" outlineLevel="0" collapsed="false">
      <c r="B80" s="91" t="str">
        <f aca="false">IF(69&gt;$I$4,"",69)</f>
        <v/>
      </c>
      <c r="C80" s="91" t="str">
        <f aca="false">IF($B80="","",INDEX('CARNET DE SOUDURE'!$B$7:$B$1506,MATCH(69,'CARNET DE SOUDURE'!$AN$7:$AN$1506,0)))</f>
        <v/>
      </c>
      <c r="D80" s="91" t="str">
        <f aca="false">IF($B80="","",INDEX('CARNET DE SOUDURE'!$E$7:$E$1506,MATCH(69,'CARNET DE SOUDURE'!$AN$7:$AN$1506,0)))</f>
        <v/>
      </c>
      <c r="E80" s="91" t="str">
        <f aca="false">IF($B80="","",INDEX('CARNET DE SOUDURE'!$D$7:$D$1506,MATCH(69,'CARNET DE SOUDURE'!$AN$7:$AN$1506,0)))</f>
        <v/>
      </c>
      <c r="F80" s="91" t="str">
        <f aca="false">IF($B80="","",INDEX('CARNET DE SOUDURE'!$M$7:$M$1506,MATCH(69,'CARNET DE SOUDURE'!$AN$7:$AN$1506,0))&amp;" / "&amp;INDEX('CARNET DE SOUDURE'!$N$7:$N$1506,MATCH(69,'CARNET DE SOUDURE'!$AN$7:$AN$1506,0))&amp;" / "&amp;INDEX('CARNET DE SOUDURE'!$O$7:$O$1506,MATCH(69,'CARNET DE SOUDURE'!$AN$7:$AN$1506,0)))</f>
        <v/>
      </c>
      <c r="G80" s="108" t="str">
        <f aca="false">IF($B80="","",INDEX('CARNET DE SOUDURE'!$P$7:$P$1506,MATCH(69,'CARNET DE SOUDURE'!$AN$7:$AN$1506,0)))</f>
        <v/>
      </c>
      <c r="H80" s="91" t="str">
        <f aca="false">IF($B80="","",INDEX('CARNET DE SOUDURE'!$AK$7:$AK$1506,MATCH(69,'CARNET DE SOUDURE'!$AN$7:$AN$1506,0)))</f>
        <v/>
      </c>
      <c r="I80" s="109" t="str">
        <f aca="false">IF($B80="","",INDEX('CARNET DE SOUDURE'!$AI$7:$AI$1506,MATCH(69,'CARNET DE SOUDURE'!$AN$7:$AN$1506,0)))</f>
        <v/>
      </c>
      <c r="J80" s="109" t="str">
        <f aca="false">IF($B80="","",INDEX('CARNET DE SOUDURE'!$AL$7:$AL$1506,MATCH(69,'CARNET DE SOUDURE'!$AN$7:$AN$1506,0)))</f>
        <v/>
      </c>
      <c r="K80" s="87"/>
      <c r="L80" s="87"/>
    </row>
    <row r="81" customFormat="false" ht="15" hidden="false" customHeight="false" outlineLevel="0" collapsed="false">
      <c r="B81" s="110" t="str">
        <f aca="false">IF(70&gt;$I$4,"",70)</f>
        <v/>
      </c>
      <c r="C81" s="110" t="str">
        <f aca="false">IF($B81="","",INDEX('CARNET DE SOUDURE'!$B$7:$B$1506,MATCH(70,'CARNET DE SOUDURE'!$AN$7:$AN$1506,0)))</f>
        <v/>
      </c>
      <c r="D81" s="110" t="str">
        <f aca="false">IF($B81="","",INDEX('CARNET DE SOUDURE'!$E$7:$E$1506,MATCH(70,'CARNET DE SOUDURE'!$AN$7:$AN$1506,0)))</f>
        <v/>
      </c>
      <c r="E81" s="110" t="str">
        <f aca="false">IF($B81="","",INDEX('CARNET DE SOUDURE'!$D$7:$D$1506,MATCH(70,'CARNET DE SOUDURE'!$AN$7:$AN$1506,0)))</f>
        <v/>
      </c>
      <c r="F81" s="110" t="str">
        <f aca="false">IF($B81="","",INDEX('CARNET DE SOUDURE'!$M$7:$M$1506,MATCH(70,'CARNET DE SOUDURE'!$AN$7:$AN$1506,0))&amp;" / "&amp;INDEX('CARNET DE SOUDURE'!$N$7:$N$1506,MATCH(70,'CARNET DE SOUDURE'!$AN$7:$AN$1506,0))&amp;" / "&amp;INDEX('CARNET DE SOUDURE'!$O$7:$O$1506,MATCH(70,'CARNET DE SOUDURE'!$AN$7:$AN$1506,0)))</f>
        <v/>
      </c>
      <c r="G81" s="111" t="str">
        <f aca="false">IF($B81="","",INDEX('CARNET DE SOUDURE'!$P$7:$P$1506,MATCH(70,'CARNET DE SOUDURE'!$AN$7:$AN$1506,0)))</f>
        <v/>
      </c>
      <c r="H81" s="112" t="str">
        <f aca="false">IF($B81="","",INDEX('CARNET DE SOUDURE'!$AK$7:$AK$1506,MATCH(70,'CARNET DE SOUDURE'!$AN$7:$AN$1506,0)))</f>
        <v/>
      </c>
      <c r="I81" s="113" t="str">
        <f aca="false">IF($B81="","",INDEX('CARNET DE SOUDURE'!$AI$7:$AI$1506,MATCH(70,'CARNET DE SOUDURE'!$AN$7:$AN$1506,0)))</f>
        <v/>
      </c>
      <c r="J81" s="113" t="str">
        <f aca="false">IF($B81="","",INDEX('CARNET DE SOUDURE'!$AL$7:$AL$1506,MATCH(70,'CARNET DE SOUDURE'!$AN$7:$AN$1506,0)))</f>
        <v/>
      </c>
      <c r="K81" s="87"/>
      <c r="L81" s="87"/>
    </row>
    <row r="82" customFormat="false" ht="15" hidden="false" customHeight="false" outlineLevel="0" collapsed="false">
      <c r="B82" s="91" t="str">
        <f aca="false">IF(71&gt;$I$4,"",71)</f>
        <v/>
      </c>
      <c r="C82" s="91" t="str">
        <f aca="false">IF($B82="","",INDEX('CARNET DE SOUDURE'!$B$7:$B$1506,MATCH(71,'CARNET DE SOUDURE'!$AN$7:$AN$1506,0)))</f>
        <v/>
      </c>
      <c r="D82" s="91" t="str">
        <f aca="false">IF($B82="","",INDEX('CARNET DE SOUDURE'!$E$7:$E$1506,MATCH(71,'CARNET DE SOUDURE'!$AN$7:$AN$1506,0)))</f>
        <v/>
      </c>
      <c r="E82" s="91" t="str">
        <f aca="false">IF($B82="","",INDEX('CARNET DE SOUDURE'!$D$7:$D$1506,MATCH(71,'CARNET DE SOUDURE'!$AN$7:$AN$1506,0)))</f>
        <v/>
      </c>
      <c r="F82" s="91" t="str">
        <f aca="false">IF($B82="","",INDEX('CARNET DE SOUDURE'!$M$7:$M$1506,MATCH(71,'CARNET DE SOUDURE'!$AN$7:$AN$1506,0))&amp;" / "&amp;INDEX('CARNET DE SOUDURE'!$N$7:$N$1506,MATCH(71,'CARNET DE SOUDURE'!$AN$7:$AN$1506,0))&amp;" / "&amp;INDEX('CARNET DE SOUDURE'!$O$7:$O$1506,MATCH(71,'CARNET DE SOUDURE'!$AN$7:$AN$1506,0)))</f>
        <v/>
      </c>
      <c r="G82" s="108" t="str">
        <f aca="false">IF($B82="","",INDEX('CARNET DE SOUDURE'!$P$7:$P$1506,MATCH(71,'CARNET DE SOUDURE'!$AN$7:$AN$1506,0)))</f>
        <v/>
      </c>
      <c r="H82" s="91" t="str">
        <f aca="false">IF($B82="","",INDEX('CARNET DE SOUDURE'!$AK$7:$AK$1506,MATCH(71,'CARNET DE SOUDURE'!$AN$7:$AN$1506,0)))</f>
        <v/>
      </c>
      <c r="I82" s="109" t="str">
        <f aca="false">IF($B82="","",INDEX('CARNET DE SOUDURE'!$AI$7:$AI$1506,MATCH(71,'CARNET DE SOUDURE'!$AN$7:$AN$1506,0)))</f>
        <v/>
      </c>
      <c r="J82" s="109" t="str">
        <f aca="false">IF($B82="","",INDEX('CARNET DE SOUDURE'!$AL$7:$AL$1506,MATCH(71,'CARNET DE SOUDURE'!$AN$7:$AN$1506,0)))</f>
        <v/>
      </c>
      <c r="K82" s="87"/>
      <c r="L82" s="87"/>
    </row>
    <row r="83" customFormat="false" ht="15" hidden="false" customHeight="false" outlineLevel="0" collapsed="false">
      <c r="B83" s="110" t="str">
        <f aca="false">IF(72&gt;$I$4,"",72)</f>
        <v/>
      </c>
      <c r="C83" s="110" t="str">
        <f aca="false">IF($B83="","",INDEX('CARNET DE SOUDURE'!$B$7:$B$1506,MATCH(72,'CARNET DE SOUDURE'!$AN$7:$AN$1506,0)))</f>
        <v/>
      </c>
      <c r="D83" s="110" t="str">
        <f aca="false">IF($B83="","",INDEX('CARNET DE SOUDURE'!$E$7:$E$1506,MATCH(72,'CARNET DE SOUDURE'!$AN$7:$AN$1506,0)))</f>
        <v/>
      </c>
      <c r="E83" s="110" t="str">
        <f aca="false">IF($B83="","",INDEX('CARNET DE SOUDURE'!$D$7:$D$1506,MATCH(72,'CARNET DE SOUDURE'!$AN$7:$AN$1506,0)))</f>
        <v/>
      </c>
      <c r="F83" s="110" t="str">
        <f aca="false">IF($B83="","",INDEX('CARNET DE SOUDURE'!$M$7:$M$1506,MATCH(72,'CARNET DE SOUDURE'!$AN$7:$AN$1506,0))&amp;" / "&amp;INDEX('CARNET DE SOUDURE'!$N$7:$N$1506,MATCH(72,'CARNET DE SOUDURE'!$AN$7:$AN$1506,0))&amp;" / "&amp;INDEX('CARNET DE SOUDURE'!$O$7:$O$1506,MATCH(72,'CARNET DE SOUDURE'!$AN$7:$AN$1506,0)))</f>
        <v/>
      </c>
      <c r="G83" s="111" t="str">
        <f aca="false">IF($B83="","",INDEX('CARNET DE SOUDURE'!$P$7:$P$1506,MATCH(72,'CARNET DE SOUDURE'!$AN$7:$AN$1506,0)))</f>
        <v/>
      </c>
      <c r="H83" s="112" t="str">
        <f aca="false">IF($B83="","",INDEX('CARNET DE SOUDURE'!$AK$7:$AK$1506,MATCH(72,'CARNET DE SOUDURE'!$AN$7:$AN$1506,0)))</f>
        <v/>
      </c>
      <c r="I83" s="113" t="str">
        <f aca="false">IF($B83="","",INDEX('CARNET DE SOUDURE'!$AI$7:$AI$1506,MATCH(72,'CARNET DE SOUDURE'!$AN$7:$AN$1506,0)))</f>
        <v/>
      </c>
      <c r="J83" s="113" t="str">
        <f aca="false">IF($B83="","",INDEX('CARNET DE SOUDURE'!$AL$7:$AL$1506,MATCH(72,'CARNET DE SOUDURE'!$AN$7:$AN$1506,0)))</f>
        <v/>
      </c>
      <c r="K83" s="87"/>
      <c r="L83" s="87"/>
    </row>
    <row r="84" customFormat="false" ht="15" hidden="false" customHeight="false" outlineLevel="0" collapsed="false">
      <c r="B84" s="91" t="str">
        <f aca="false">IF(73&gt;$I$4,"",73)</f>
        <v/>
      </c>
      <c r="C84" s="91" t="str">
        <f aca="false">IF($B84="","",INDEX('CARNET DE SOUDURE'!$B$7:$B$1506,MATCH(73,'CARNET DE SOUDURE'!$AN$7:$AN$1506,0)))</f>
        <v/>
      </c>
      <c r="D84" s="91" t="str">
        <f aca="false">IF($B84="","",INDEX('CARNET DE SOUDURE'!$E$7:$E$1506,MATCH(73,'CARNET DE SOUDURE'!$AN$7:$AN$1506,0)))</f>
        <v/>
      </c>
      <c r="E84" s="91" t="str">
        <f aca="false">IF($B84="","",INDEX('CARNET DE SOUDURE'!$D$7:$D$1506,MATCH(73,'CARNET DE SOUDURE'!$AN$7:$AN$1506,0)))</f>
        <v/>
      </c>
      <c r="F84" s="91" t="str">
        <f aca="false">IF($B84="","",INDEX('CARNET DE SOUDURE'!$M$7:$M$1506,MATCH(73,'CARNET DE SOUDURE'!$AN$7:$AN$1506,0))&amp;" / "&amp;INDEX('CARNET DE SOUDURE'!$N$7:$N$1506,MATCH(73,'CARNET DE SOUDURE'!$AN$7:$AN$1506,0))&amp;" / "&amp;INDEX('CARNET DE SOUDURE'!$O$7:$O$1506,MATCH(73,'CARNET DE SOUDURE'!$AN$7:$AN$1506,0)))</f>
        <v/>
      </c>
      <c r="G84" s="108" t="str">
        <f aca="false">IF($B84="","",INDEX('CARNET DE SOUDURE'!$P$7:$P$1506,MATCH(73,'CARNET DE SOUDURE'!$AN$7:$AN$1506,0)))</f>
        <v/>
      </c>
      <c r="H84" s="91" t="str">
        <f aca="false">IF($B84="","",INDEX('CARNET DE SOUDURE'!$AK$7:$AK$1506,MATCH(73,'CARNET DE SOUDURE'!$AN$7:$AN$1506,0)))</f>
        <v/>
      </c>
      <c r="I84" s="109" t="str">
        <f aca="false">IF($B84="","",INDEX('CARNET DE SOUDURE'!$AI$7:$AI$1506,MATCH(73,'CARNET DE SOUDURE'!$AN$7:$AN$1506,0)))</f>
        <v/>
      </c>
      <c r="J84" s="109" t="str">
        <f aca="false">IF($B84="","",INDEX('CARNET DE SOUDURE'!$AL$7:$AL$1506,MATCH(73,'CARNET DE SOUDURE'!$AN$7:$AN$1506,0)))</f>
        <v/>
      </c>
      <c r="K84" s="87"/>
      <c r="L84" s="87"/>
    </row>
    <row r="85" customFormat="false" ht="15" hidden="false" customHeight="false" outlineLevel="0" collapsed="false">
      <c r="B85" s="110" t="str">
        <f aca="false">IF(74&gt;$I$4,"",74)</f>
        <v/>
      </c>
      <c r="C85" s="110" t="str">
        <f aca="false">IF($B85="","",INDEX('CARNET DE SOUDURE'!$B$7:$B$1506,MATCH(74,'CARNET DE SOUDURE'!$AN$7:$AN$1506,0)))</f>
        <v/>
      </c>
      <c r="D85" s="110" t="str">
        <f aca="false">IF($B85="","",INDEX('CARNET DE SOUDURE'!$E$7:$E$1506,MATCH(74,'CARNET DE SOUDURE'!$AN$7:$AN$1506,0)))</f>
        <v/>
      </c>
      <c r="E85" s="110" t="str">
        <f aca="false">IF($B85="","",INDEX('CARNET DE SOUDURE'!$D$7:$D$1506,MATCH(74,'CARNET DE SOUDURE'!$AN$7:$AN$1506,0)))</f>
        <v/>
      </c>
      <c r="F85" s="110" t="str">
        <f aca="false">IF($B85="","",INDEX('CARNET DE SOUDURE'!$M$7:$M$1506,MATCH(74,'CARNET DE SOUDURE'!$AN$7:$AN$1506,0))&amp;" / "&amp;INDEX('CARNET DE SOUDURE'!$N$7:$N$1506,MATCH(74,'CARNET DE SOUDURE'!$AN$7:$AN$1506,0))&amp;" / "&amp;INDEX('CARNET DE SOUDURE'!$O$7:$O$1506,MATCH(74,'CARNET DE SOUDURE'!$AN$7:$AN$1506,0)))</f>
        <v/>
      </c>
      <c r="G85" s="111" t="str">
        <f aca="false">IF($B85="","",INDEX('CARNET DE SOUDURE'!$P$7:$P$1506,MATCH(74,'CARNET DE SOUDURE'!$AN$7:$AN$1506,0)))</f>
        <v/>
      </c>
      <c r="H85" s="112" t="str">
        <f aca="false">IF($B85="","",INDEX('CARNET DE SOUDURE'!$AK$7:$AK$1506,MATCH(74,'CARNET DE SOUDURE'!$AN$7:$AN$1506,0)))</f>
        <v/>
      </c>
      <c r="I85" s="113" t="str">
        <f aca="false">IF($B85="","",INDEX('CARNET DE SOUDURE'!$AI$7:$AI$1506,MATCH(74,'CARNET DE SOUDURE'!$AN$7:$AN$1506,0)))</f>
        <v/>
      </c>
      <c r="J85" s="113" t="str">
        <f aca="false">IF($B85="","",INDEX('CARNET DE SOUDURE'!$AL$7:$AL$1506,MATCH(74,'CARNET DE SOUDURE'!$AN$7:$AN$1506,0)))</f>
        <v/>
      </c>
      <c r="K85" s="87"/>
      <c r="L85" s="87"/>
    </row>
    <row r="86" customFormat="false" ht="15" hidden="false" customHeight="false" outlineLevel="0" collapsed="false">
      <c r="B86" s="91" t="str">
        <f aca="false">IF(75&gt;$I$4,"",75)</f>
        <v/>
      </c>
      <c r="C86" s="91" t="str">
        <f aca="false">IF($B86="","",INDEX('CARNET DE SOUDURE'!$B$7:$B$1506,MATCH(75,'CARNET DE SOUDURE'!$AN$7:$AN$1506,0)))</f>
        <v/>
      </c>
      <c r="D86" s="91" t="str">
        <f aca="false">IF($B86="","",INDEX('CARNET DE SOUDURE'!$E$7:$E$1506,MATCH(75,'CARNET DE SOUDURE'!$AN$7:$AN$1506,0)))</f>
        <v/>
      </c>
      <c r="E86" s="91" t="str">
        <f aca="false">IF($B86="","",INDEX('CARNET DE SOUDURE'!$D$7:$D$1506,MATCH(75,'CARNET DE SOUDURE'!$AN$7:$AN$1506,0)))</f>
        <v/>
      </c>
      <c r="F86" s="91" t="str">
        <f aca="false">IF($B86="","",INDEX('CARNET DE SOUDURE'!$M$7:$M$1506,MATCH(75,'CARNET DE SOUDURE'!$AN$7:$AN$1506,0))&amp;" / "&amp;INDEX('CARNET DE SOUDURE'!$N$7:$N$1506,MATCH(75,'CARNET DE SOUDURE'!$AN$7:$AN$1506,0))&amp;" / "&amp;INDEX('CARNET DE SOUDURE'!$O$7:$O$1506,MATCH(75,'CARNET DE SOUDURE'!$AN$7:$AN$1506,0)))</f>
        <v/>
      </c>
      <c r="G86" s="108" t="str">
        <f aca="false">IF($B86="","",INDEX('CARNET DE SOUDURE'!$P$7:$P$1506,MATCH(75,'CARNET DE SOUDURE'!$AN$7:$AN$1506,0)))</f>
        <v/>
      </c>
      <c r="H86" s="91" t="str">
        <f aca="false">IF($B86="","",INDEX('CARNET DE SOUDURE'!$AK$7:$AK$1506,MATCH(75,'CARNET DE SOUDURE'!$AN$7:$AN$1506,0)))</f>
        <v/>
      </c>
      <c r="I86" s="109" t="str">
        <f aca="false">IF($B86="","",INDEX('CARNET DE SOUDURE'!$AI$7:$AI$1506,MATCH(75,'CARNET DE SOUDURE'!$AN$7:$AN$1506,0)))</f>
        <v/>
      </c>
      <c r="J86" s="109" t="str">
        <f aca="false">IF($B86="","",INDEX('CARNET DE SOUDURE'!$AL$7:$AL$1506,MATCH(75,'CARNET DE SOUDURE'!$AN$7:$AN$1506,0)))</f>
        <v/>
      </c>
      <c r="K86" s="87"/>
      <c r="L86" s="87"/>
    </row>
    <row r="87" customFormat="false" ht="15" hidden="false" customHeight="false" outlineLevel="0" collapsed="false">
      <c r="B87" s="110" t="str">
        <f aca="false">IF(76&gt;$I$4,"",76)</f>
        <v/>
      </c>
      <c r="C87" s="110" t="str">
        <f aca="false">IF($B87="","",INDEX('CARNET DE SOUDURE'!$B$7:$B$1506,MATCH(76,'CARNET DE SOUDURE'!$AN$7:$AN$1506,0)))</f>
        <v/>
      </c>
      <c r="D87" s="110" t="str">
        <f aca="false">IF($B87="","",INDEX('CARNET DE SOUDURE'!$E$7:$E$1506,MATCH(76,'CARNET DE SOUDURE'!$AN$7:$AN$1506,0)))</f>
        <v/>
      </c>
      <c r="E87" s="110" t="str">
        <f aca="false">IF($B87="","",INDEX('CARNET DE SOUDURE'!$D$7:$D$1506,MATCH(76,'CARNET DE SOUDURE'!$AN$7:$AN$1506,0)))</f>
        <v/>
      </c>
      <c r="F87" s="110" t="str">
        <f aca="false">IF($B87="","",INDEX('CARNET DE SOUDURE'!$M$7:$M$1506,MATCH(76,'CARNET DE SOUDURE'!$AN$7:$AN$1506,0))&amp;" / "&amp;INDEX('CARNET DE SOUDURE'!$N$7:$N$1506,MATCH(76,'CARNET DE SOUDURE'!$AN$7:$AN$1506,0))&amp;" / "&amp;INDEX('CARNET DE SOUDURE'!$O$7:$O$1506,MATCH(76,'CARNET DE SOUDURE'!$AN$7:$AN$1506,0)))</f>
        <v/>
      </c>
      <c r="G87" s="111" t="str">
        <f aca="false">IF($B87="","",INDEX('CARNET DE SOUDURE'!$P$7:$P$1506,MATCH(76,'CARNET DE SOUDURE'!$AN$7:$AN$1506,0)))</f>
        <v/>
      </c>
      <c r="H87" s="112" t="str">
        <f aca="false">IF($B87="","",INDEX('CARNET DE SOUDURE'!$AK$7:$AK$1506,MATCH(76,'CARNET DE SOUDURE'!$AN$7:$AN$1506,0)))</f>
        <v/>
      </c>
      <c r="I87" s="113" t="str">
        <f aca="false">IF($B87="","",INDEX('CARNET DE SOUDURE'!$AI$7:$AI$1506,MATCH(76,'CARNET DE SOUDURE'!$AN$7:$AN$1506,0)))</f>
        <v/>
      </c>
      <c r="J87" s="113" t="str">
        <f aca="false">IF($B87="","",INDEX('CARNET DE SOUDURE'!$AL$7:$AL$1506,MATCH(76,'CARNET DE SOUDURE'!$AN$7:$AN$1506,0)))</f>
        <v/>
      </c>
      <c r="K87" s="87"/>
      <c r="L87" s="87"/>
    </row>
    <row r="88" customFormat="false" ht="15" hidden="false" customHeight="false" outlineLevel="0" collapsed="false">
      <c r="B88" s="91" t="str">
        <f aca="false">IF(77&gt;$I$4,"",77)</f>
        <v/>
      </c>
      <c r="C88" s="91" t="str">
        <f aca="false">IF($B88="","",INDEX('CARNET DE SOUDURE'!$B$7:$B$1506,MATCH(77,'CARNET DE SOUDURE'!$AN$7:$AN$1506,0)))</f>
        <v/>
      </c>
      <c r="D88" s="91" t="str">
        <f aca="false">IF($B88="","",INDEX('CARNET DE SOUDURE'!$E$7:$E$1506,MATCH(77,'CARNET DE SOUDURE'!$AN$7:$AN$1506,0)))</f>
        <v/>
      </c>
      <c r="E88" s="91" t="str">
        <f aca="false">IF($B88="","",INDEX('CARNET DE SOUDURE'!$D$7:$D$1506,MATCH(77,'CARNET DE SOUDURE'!$AN$7:$AN$1506,0)))</f>
        <v/>
      </c>
      <c r="F88" s="91" t="str">
        <f aca="false">IF($B88="","",INDEX('CARNET DE SOUDURE'!$M$7:$M$1506,MATCH(77,'CARNET DE SOUDURE'!$AN$7:$AN$1506,0))&amp;" / "&amp;INDEX('CARNET DE SOUDURE'!$N$7:$N$1506,MATCH(77,'CARNET DE SOUDURE'!$AN$7:$AN$1506,0))&amp;" / "&amp;INDEX('CARNET DE SOUDURE'!$O$7:$O$1506,MATCH(77,'CARNET DE SOUDURE'!$AN$7:$AN$1506,0)))</f>
        <v/>
      </c>
      <c r="G88" s="108" t="str">
        <f aca="false">IF($B88="","",INDEX('CARNET DE SOUDURE'!$P$7:$P$1506,MATCH(77,'CARNET DE SOUDURE'!$AN$7:$AN$1506,0)))</f>
        <v/>
      </c>
      <c r="H88" s="91" t="str">
        <f aca="false">IF($B88="","",INDEX('CARNET DE SOUDURE'!$AK$7:$AK$1506,MATCH(77,'CARNET DE SOUDURE'!$AN$7:$AN$1506,0)))</f>
        <v/>
      </c>
      <c r="I88" s="109" t="str">
        <f aca="false">IF($B88="","",INDEX('CARNET DE SOUDURE'!$AI$7:$AI$1506,MATCH(77,'CARNET DE SOUDURE'!$AN$7:$AN$1506,0)))</f>
        <v/>
      </c>
      <c r="J88" s="109" t="str">
        <f aca="false">IF($B88="","",INDEX('CARNET DE SOUDURE'!$AL$7:$AL$1506,MATCH(77,'CARNET DE SOUDURE'!$AN$7:$AN$1506,0)))</f>
        <v/>
      </c>
      <c r="K88" s="87"/>
      <c r="L88" s="87"/>
    </row>
    <row r="89" customFormat="false" ht="15" hidden="false" customHeight="false" outlineLevel="0" collapsed="false">
      <c r="B89" s="110" t="str">
        <f aca="false">IF(78&gt;$I$4,"",78)</f>
        <v/>
      </c>
      <c r="C89" s="110" t="str">
        <f aca="false">IF($B89="","",INDEX('CARNET DE SOUDURE'!$B$7:$B$1506,MATCH(78,'CARNET DE SOUDURE'!$AN$7:$AN$1506,0)))</f>
        <v/>
      </c>
      <c r="D89" s="110" t="str">
        <f aca="false">IF($B89="","",INDEX('CARNET DE SOUDURE'!$E$7:$E$1506,MATCH(78,'CARNET DE SOUDURE'!$AN$7:$AN$1506,0)))</f>
        <v/>
      </c>
      <c r="E89" s="110" t="str">
        <f aca="false">IF($B89="","",INDEX('CARNET DE SOUDURE'!$D$7:$D$1506,MATCH(78,'CARNET DE SOUDURE'!$AN$7:$AN$1506,0)))</f>
        <v/>
      </c>
      <c r="F89" s="110" t="str">
        <f aca="false">IF($B89="","",INDEX('CARNET DE SOUDURE'!$M$7:$M$1506,MATCH(78,'CARNET DE SOUDURE'!$AN$7:$AN$1506,0))&amp;" / "&amp;INDEX('CARNET DE SOUDURE'!$N$7:$N$1506,MATCH(78,'CARNET DE SOUDURE'!$AN$7:$AN$1506,0))&amp;" / "&amp;INDEX('CARNET DE SOUDURE'!$O$7:$O$1506,MATCH(78,'CARNET DE SOUDURE'!$AN$7:$AN$1506,0)))</f>
        <v/>
      </c>
      <c r="G89" s="111" t="str">
        <f aca="false">IF($B89="","",INDEX('CARNET DE SOUDURE'!$P$7:$P$1506,MATCH(78,'CARNET DE SOUDURE'!$AN$7:$AN$1506,0)))</f>
        <v/>
      </c>
      <c r="H89" s="112" t="str">
        <f aca="false">IF($B89="","",INDEX('CARNET DE SOUDURE'!$AK$7:$AK$1506,MATCH(78,'CARNET DE SOUDURE'!$AN$7:$AN$1506,0)))</f>
        <v/>
      </c>
      <c r="I89" s="113" t="str">
        <f aca="false">IF($B89="","",INDEX('CARNET DE SOUDURE'!$AI$7:$AI$1506,MATCH(78,'CARNET DE SOUDURE'!$AN$7:$AN$1506,0)))</f>
        <v/>
      </c>
      <c r="J89" s="113" t="str">
        <f aca="false">IF($B89="","",INDEX('CARNET DE SOUDURE'!$AL$7:$AL$1506,MATCH(78,'CARNET DE SOUDURE'!$AN$7:$AN$1506,0)))</f>
        <v/>
      </c>
      <c r="K89" s="87"/>
      <c r="L89" s="87"/>
    </row>
    <row r="90" customFormat="false" ht="15" hidden="false" customHeight="false" outlineLevel="0" collapsed="false">
      <c r="B90" s="91" t="str">
        <f aca="false">IF(79&gt;$I$4,"",79)</f>
        <v/>
      </c>
      <c r="C90" s="91" t="str">
        <f aca="false">IF($B90="","",INDEX('CARNET DE SOUDURE'!$B$7:$B$1506,MATCH(79,'CARNET DE SOUDURE'!$AN$7:$AN$1506,0)))</f>
        <v/>
      </c>
      <c r="D90" s="91" t="str">
        <f aca="false">IF($B90="","",INDEX('CARNET DE SOUDURE'!$E$7:$E$1506,MATCH(79,'CARNET DE SOUDURE'!$AN$7:$AN$1506,0)))</f>
        <v/>
      </c>
      <c r="E90" s="91" t="str">
        <f aca="false">IF($B90="","",INDEX('CARNET DE SOUDURE'!$D$7:$D$1506,MATCH(79,'CARNET DE SOUDURE'!$AN$7:$AN$1506,0)))</f>
        <v/>
      </c>
      <c r="F90" s="91" t="str">
        <f aca="false">IF($B90="","",INDEX('CARNET DE SOUDURE'!$M$7:$M$1506,MATCH(79,'CARNET DE SOUDURE'!$AN$7:$AN$1506,0))&amp;" / "&amp;INDEX('CARNET DE SOUDURE'!$N$7:$N$1506,MATCH(79,'CARNET DE SOUDURE'!$AN$7:$AN$1506,0))&amp;" / "&amp;INDEX('CARNET DE SOUDURE'!$O$7:$O$1506,MATCH(79,'CARNET DE SOUDURE'!$AN$7:$AN$1506,0)))</f>
        <v/>
      </c>
      <c r="G90" s="108" t="str">
        <f aca="false">IF($B90="","",INDEX('CARNET DE SOUDURE'!$P$7:$P$1506,MATCH(79,'CARNET DE SOUDURE'!$AN$7:$AN$1506,0)))</f>
        <v/>
      </c>
      <c r="H90" s="91" t="str">
        <f aca="false">IF($B90="","",INDEX('CARNET DE SOUDURE'!$AK$7:$AK$1506,MATCH(79,'CARNET DE SOUDURE'!$AN$7:$AN$1506,0)))</f>
        <v/>
      </c>
      <c r="I90" s="109" t="str">
        <f aca="false">IF($B90="","",INDEX('CARNET DE SOUDURE'!$AI$7:$AI$1506,MATCH(79,'CARNET DE SOUDURE'!$AN$7:$AN$1506,0)))</f>
        <v/>
      </c>
      <c r="J90" s="109" t="str">
        <f aca="false">IF($B90="","",INDEX('CARNET DE SOUDURE'!$AL$7:$AL$1506,MATCH(79,'CARNET DE SOUDURE'!$AN$7:$AN$1506,0)))</f>
        <v/>
      </c>
      <c r="K90" s="87"/>
      <c r="L90" s="87"/>
    </row>
    <row r="91" customFormat="false" ht="15" hidden="false" customHeight="false" outlineLevel="0" collapsed="false">
      <c r="B91" s="110" t="str">
        <f aca="false">IF(80&gt;$I$4,"",80)</f>
        <v/>
      </c>
      <c r="C91" s="110" t="str">
        <f aca="false">IF($B91="","",INDEX('CARNET DE SOUDURE'!$B$7:$B$1506,MATCH(80,'CARNET DE SOUDURE'!$AN$7:$AN$1506,0)))</f>
        <v/>
      </c>
      <c r="D91" s="110" t="str">
        <f aca="false">IF($B91="","",INDEX('CARNET DE SOUDURE'!$E$7:$E$1506,MATCH(80,'CARNET DE SOUDURE'!$AN$7:$AN$1506,0)))</f>
        <v/>
      </c>
      <c r="E91" s="110" t="str">
        <f aca="false">IF($B91="","",INDEX('CARNET DE SOUDURE'!$D$7:$D$1506,MATCH(80,'CARNET DE SOUDURE'!$AN$7:$AN$1506,0)))</f>
        <v/>
      </c>
      <c r="F91" s="110" t="str">
        <f aca="false">IF($B91="","",INDEX('CARNET DE SOUDURE'!$M$7:$M$1506,MATCH(80,'CARNET DE SOUDURE'!$AN$7:$AN$1506,0))&amp;" / "&amp;INDEX('CARNET DE SOUDURE'!$N$7:$N$1506,MATCH(80,'CARNET DE SOUDURE'!$AN$7:$AN$1506,0))&amp;" / "&amp;INDEX('CARNET DE SOUDURE'!$O$7:$O$1506,MATCH(80,'CARNET DE SOUDURE'!$AN$7:$AN$1506,0)))</f>
        <v/>
      </c>
      <c r="G91" s="111" t="str">
        <f aca="false">IF($B91="","",INDEX('CARNET DE SOUDURE'!$P$7:$P$1506,MATCH(80,'CARNET DE SOUDURE'!$AN$7:$AN$1506,0)))</f>
        <v/>
      </c>
      <c r="H91" s="112" t="str">
        <f aca="false">IF($B91="","",INDEX('CARNET DE SOUDURE'!$AK$7:$AK$1506,MATCH(80,'CARNET DE SOUDURE'!$AN$7:$AN$1506,0)))</f>
        <v/>
      </c>
      <c r="I91" s="113" t="str">
        <f aca="false">IF($B91="","",INDEX('CARNET DE SOUDURE'!$AI$7:$AI$1506,MATCH(80,'CARNET DE SOUDURE'!$AN$7:$AN$1506,0)))</f>
        <v/>
      </c>
      <c r="J91" s="113" t="str">
        <f aca="false">IF($B91="","",INDEX('CARNET DE SOUDURE'!$AL$7:$AL$1506,MATCH(80,'CARNET DE SOUDURE'!$AN$7:$AN$1506,0)))</f>
        <v/>
      </c>
      <c r="K91" s="87"/>
      <c r="L91" s="87"/>
    </row>
    <row r="92" customFormat="false" ht="15" hidden="false" customHeight="false" outlineLevel="0" collapsed="false">
      <c r="B92" s="91" t="str">
        <f aca="false">IF(81&gt;$I$4,"",81)</f>
        <v/>
      </c>
      <c r="C92" s="91" t="str">
        <f aca="false">IF($B92="","",INDEX('CARNET DE SOUDURE'!$B$7:$B$1506,MATCH(81,'CARNET DE SOUDURE'!$AN$7:$AN$1506,0)))</f>
        <v/>
      </c>
      <c r="D92" s="91" t="str">
        <f aca="false">IF($B92="","",INDEX('CARNET DE SOUDURE'!$E$7:$E$1506,MATCH(81,'CARNET DE SOUDURE'!$AN$7:$AN$1506,0)))</f>
        <v/>
      </c>
      <c r="E92" s="91" t="str">
        <f aca="false">IF($B92="","",INDEX('CARNET DE SOUDURE'!$D$7:$D$1506,MATCH(81,'CARNET DE SOUDURE'!$AN$7:$AN$1506,0)))</f>
        <v/>
      </c>
      <c r="F92" s="91" t="str">
        <f aca="false">IF($B92="","",INDEX('CARNET DE SOUDURE'!$M$7:$M$1506,MATCH(81,'CARNET DE SOUDURE'!$AN$7:$AN$1506,0))&amp;" / "&amp;INDEX('CARNET DE SOUDURE'!$N$7:$N$1506,MATCH(81,'CARNET DE SOUDURE'!$AN$7:$AN$1506,0))&amp;" / "&amp;INDEX('CARNET DE SOUDURE'!$O$7:$O$1506,MATCH(81,'CARNET DE SOUDURE'!$AN$7:$AN$1506,0)))</f>
        <v/>
      </c>
      <c r="G92" s="108" t="str">
        <f aca="false">IF($B92="","",INDEX('CARNET DE SOUDURE'!$P$7:$P$1506,MATCH(81,'CARNET DE SOUDURE'!$AN$7:$AN$1506,0)))</f>
        <v/>
      </c>
      <c r="H92" s="91" t="str">
        <f aca="false">IF($B92="","",INDEX('CARNET DE SOUDURE'!$AK$7:$AK$1506,MATCH(81,'CARNET DE SOUDURE'!$AN$7:$AN$1506,0)))</f>
        <v/>
      </c>
      <c r="I92" s="109" t="str">
        <f aca="false">IF($B92="","",INDEX('CARNET DE SOUDURE'!$AI$7:$AI$1506,MATCH(81,'CARNET DE SOUDURE'!$AN$7:$AN$1506,0)))</f>
        <v/>
      </c>
      <c r="J92" s="109" t="str">
        <f aca="false">IF($B92="","",INDEX('CARNET DE SOUDURE'!$AL$7:$AL$1506,MATCH(81,'CARNET DE SOUDURE'!$AN$7:$AN$1506,0)))</f>
        <v/>
      </c>
      <c r="K92" s="87"/>
      <c r="L92" s="87"/>
    </row>
    <row r="93" customFormat="false" ht="15" hidden="false" customHeight="false" outlineLevel="0" collapsed="false">
      <c r="B93" s="110" t="str">
        <f aca="false">IF(82&gt;$I$4,"",82)</f>
        <v/>
      </c>
      <c r="C93" s="110" t="str">
        <f aca="false">IF($B93="","",INDEX('CARNET DE SOUDURE'!$B$7:$B$1506,MATCH(82,'CARNET DE SOUDURE'!$AN$7:$AN$1506,0)))</f>
        <v/>
      </c>
      <c r="D93" s="110" t="str">
        <f aca="false">IF($B93="","",INDEX('CARNET DE SOUDURE'!$E$7:$E$1506,MATCH(82,'CARNET DE SOUDURE'!$AN$7:$AN$1506,0)))</f>
        <v/>
      </c>
      <c r="E93" s="110" t="str">
        <f aca="false">IF($B93="","",INDEX('CARNET DE SOUDURE'!$D$7:$D$1506,MATCH(82,'CARNET DE SOUDURE'!$AN$7:$AN$1506,0)))</f>
        <v/>
      </c>
      <c r="F93" s="110" t="str">
        <f aca="false">IF($B93="","",INDEX('CARNET DE SOUDURE'!$M$7:$M$1506,MATCH(82,'CARNET DE SOUDURE'!$AN$7:$AN$1506,0))&amp;" / "&amp;INDEX('CARNET DE SOUDURE'!$N$7:$N$1506,MATCH(82,'CARNET DE SOUDURE'!$AN$7:$AN$1506,0))&amp;" / "&amp;INDEX('CARNET DE SOUDURE'!$O$7:$O$1506,MATCH(82,'CARNET DE SOUDURE'!$AN$7:$AN$1506,0)))</f>
        <v/>
      </c>
      <c r="G93" s="111" t="str">
        <f aca="false">IF($B93="","",INDEX('CARNET DE SOUDURE'!$P$7:$P$1506,MATCH(82,'CARNET DE SOUDURE'!$AN$7:$AN$1506,0)))</f>
        <v/>
      </c>
      <c r="H93" s="112" t="str">
        <f aca="false">IF($B93="","",INDEX('CARNET DE SOUDURE'!$AK$7:$AK$1506,MATCH(82,'CARNET DE SOUDURE'!$AN$7:$AN$1506,0)))</f>
        <v/>
      </c>
      <c r="I93" s="113" t="str">
        <f aca="false">IF($B93="","",INDEX('CARNET DE SOUDURE'!$AI$7:$AI$1506,MATCH(82,'CARNET DE SOUDURE'!$AN$7:$AN$1506,0)))</f>
        <v/>
      </c>
      <c r="J93" s="113" t="str">
        <f aca="false">IF($B93="","",INDEX('CARNET DE SOUDURE'!$AL$7:$AL$1506,MATCH(82,'CARNET DE SOUDURE'!$AN$7:$AN$1506,0)))</f>
        <v/>
      </c>
      <c r="K93" s="87"/>
      <c r="L93" s="87"/>
    </row>
    <row r="94" customFormat="false" ht="15" hidden="false" customHeight="false" outlineLevel="0" collapsed="false">
      <c r="B94" s="91" t="str">
        <f aca="false">IF(83&gt;$I$4,"",83)</f>
        <v/>
      </c>
      <c r="C94" s="91" t="str">
        <f aca="false">IF($B94="","",INDEX('CARNET DE SOUDURE'!$B$7:$B$1506,MATCH(83,'CARNET DE SOUDURE'!$AN$7:$AN$1506,0)))</f>
        <v/>
      </c>
      <c r="D94" s="91" t="str">
        <f aca="false">IF($B94="","",INDEX('CARNET DE SOUDURE'!$E$7:$E$1506,MATCH(83,'CARNET DE SOUDURE'!$AN$7:$AN$1506,0)))</f>
        <v/>
      </c>
      <c r="E94" s="91" t="str">
        <f aca="false">IF($B94="","",INDEX('CARNET DE SOUDURE'!$D$7:$D$1506,MATCH(83,'CARNET DE SOUDURE'!$AN$7:$AN$1506,0)))</f>
        <v/>
      </c>
      <c r="F94" s="91" t="str">
        <f aca="false">IF($B94="","",INDEX('CARNET DE SOUDURE'!$M$7:$M$1506,MATCH(83,'CARNET DE SOUDURE'!$AN$7:$AN$1506,0))&amp;" / "&amp;INDEX('CARNET DE SOUDURE'!$N$7:$N$1506,MATCH(83,'CARNET DE SOUDURE'!$AN$7:$AN$1506,0))&amp;" / "&amp;INDEX('CARNET DE SOUDURE'!$O$7:$O$1506,MATCH(83,'CARNET DE SOUDURE'!$AN$7:$AN$1506,0)))</f>
        <v/>
      </c>
      <c r="G94" s="108" t="str">
        <f aca="false">IF($B94="","",INDEX('CARNET DE SOUDURE'!$P$7:$P$1506,MATCH(83,'CARNET DE SOUDURE'!$AN$7:$AN$1506,0)))</f>
        <v/>
      </c>
      <c r="H94" s="91" t="str">
        <f aca="false">IF($B94="","",INDEX('CARNET DE SOUDURE'!$AK$7:$AK$1506,MATCH(83,'CARNET DE SOUDURE'!$AN$7:$AN$1506,0)))</f>
        <v/>
      </c>
      <c r="I94" s="109" t="str">
        <f aca="false">IF($B94="","",INDEX('CARNET DE SOUDURE'!$AI$7:$AI$1506,MATCH(83,'CARNET DE SOUDURE'!$AN$7:$AN$1506,0)))</f>
        <v/>
      </c>
      <c r="J94" s="109" t="str">
        <f aca="false">IF($B94="","",INDEX('CARNET DE SOUDURE'!$AL$7:$AL$1506,MATCH(83,'CARNET DE SOUDURE'!$AN$7:$AN$1506,0)))</f>
        <v/>
      </c>
      <c r="K94" s="87"/>
      <c r="L94" s="87"/>
    </row>
    <row r="95" customFormat="false" ht="15" hidden="false" customHeight="false" outlineLevel="0" collapsed="false">
      <c r="B95" s="110" t="str">
        <f aca="false">IF(84&gt;$I$4,"",84)</f>
        <v/>
      </c>
      <c r="C95" s="110" t="str">
        <f aca="false">IF($B95="","",INDEX('CARNET DE SOUDURE'!$B$7:$B$1506,MATCH(84,'CARNET DE SOUDURE'!$AN$7:$AN$1506,0)))</f>
        <v/>
      </c>
      <c r="D95" s="110" t="str">
        <f aca="false">IF($B95="","",INDEX('CARNET DE SOUDURE'!$E$7:$E$1506,MATCH(84,'CARNET DE SOUDURE'!$AN$7:$AN$1506,0)))</f>
        <v/>
      </c>
      <c r="E95" s="110" t="str">
        <f aca="false">IF($B95="","",INDEX('CARNET DE SOUDURE'!$D$7:$D$1506,MATCH(84,'CARNET DE SOUDURE'!$AN$7:$AN$1506,0)))</f>
        <v/>
      </c>
      <c r="F95" s="110" t="str">
        <f aca="false">IF($B95="","",INDEX('CARNET DE SOUDURE'!$M$7:$M$1506,MATCH(84,'CARNET DE SOUDURE'!$AN$7:$AN$1506,0))&amp;" / "&amp;INDEX('CARNET DE SOUDURE'!$N$7:$N$1506,MATCH(84,'CARNET DE SOUDURE'!$AN$7:$AN$1506,0))&amp;" / "&amp;INDEX('CARNET DE SOUDURE'!$O$7:$O$1506,MATCH(84,'CARNET DE SOUDURE'!$AN$7:$AN$1506,0)))</f>
        <v/>
      </c>
      <c r="G95" s="111" t="str">
        <f aca="false">IF($B95="","",INDEX('CARNET DE SOUDURE'!$P$7:$P$1506,MATCH(84,'CARNET DE SOUDURE'!$AN$7:$AN$1506,0)))</f>
        <v/>
      </c>
      <c r="H95" s="112" t="str">
        <f aca="false">IF($B95="","",INDEX('CARNET DE SOUDURE'!$AK$7:$AK$1506,MATCH(84,'CARNET DE SOUDURE'!$AN$7:$AN$1506,0)))</f>
        <v/>
      </c>
      <c r="I95" s="113" t="str">
        <f aca="false">IF($B95="","",INDEX('CARNET DE SOUDURE'!$AI$7:$AI$1506,MATCH(84,'CARNET DE SOUDURE'!$AN$7:$AN$1506,0)))</f>
        <v/>
      </c>
      <c r="J95" s="113" t="str">
        <f aca="false">IF($B95="","",INDEX('CARNET DE SOUDURE'!$AL$7:$AL$1506,MATCH(84,'CARNET DE SOUDURE'!$AN$7:$AN$1506,0)))</f>
        <v/>
      </c>
      <c r="K95" s="87"/>
      <c r="L95" s="87"/>
    </row>
    <row r="96" customFormat="false" ht="15" hidden="false" customHeight="false" outlineLevel="0" collapsed="false">
      <c r="B96" s="91" t="str">
        <f aca="false">IF(85&gt;$I$4,"",85)</f>
        <v/>
      </c>
      <c r="C96" s="91" t="str">
        <f aca="false">IF($B96="","",INDEX('CARNET DE SOUDURE'!$B$7:$B$1506,MATCH(85,'CARNET DE SOUDURE'!$AN$7:$AN$1506,0)))</f>
        <v/>
      </c>
      <c r="D96" s="91" t="str">
        <f aca="false">IF($B96="","",INDEX('CARNET DE SOUDURE'!$E$7:$E$1506,MATCH(85,'CARNET DE SOUDURE'!$AN$7:$AN$1506,0)))</f>
        <v/>
      </c>
      <c r="E96" s="91" t="str">
        <f aca="false">IF($B96="","",INDEX('CARNET DE SOUDURE'!$D$7:$D$1506,MATCH(85,'CARNET DE SOUDURE'!$AN$7:$AN$1506,0)))</f>
        <v/>
      </c>
      <c r="F96" s="91" t="str">
        <f aca="false">IF($B96="","",INDEX('CARNET DE SOUDURE'!$M$7:$M$1506,MATCH(85,'CARNET DE SOUDURE'!$AN$7:$AN$1506,0))&amp;" / "&amp;INDEX('CARNET DE SOUDURE'!$N$7:$N$1506,MATCH(85,'CARNET DE SOUDURE'!$AN$7:$AN$1506,0))&amp;" / "&amp;INDEX('CARNET DE SOUDURE'!$O$7:$O$1506,MATCH(85,'CARNET DE SOUDURE'!$AN$7:$AN$1506,0)))</f>
        <v/>
      </c>
      <c r="G96" s="108" t="str">
        <f aca="false">IF($B96="","",INDEX('CARNET DE SOUDURE'!$P$7:$P$1506,MATCH(85,'CARNET DE SOUDURE'!$AN$7:$AN$1506,0)))</f>
        <v/>
      </c>
      <c r="H96" s="91" t="str">
        <f aca="false">IF($B96="","",INDEX('CARNET DE SOUDURE'!$AK$7:$AK$1506,MATCH(85,'CARNET DE SOUDURE'!$AN$7:$AN$1506,0)))</f>
        <v/>
      </c>
      <c r="I96" s="109" t="str">
        <f aca="false">IF($B96="","",INDEX('CARNET DE SOUDURE'!$AI$7:$AI$1506,MATCH(85,'CARNET DE SOUDURE'!$AN$7:$AN$1506,0)))</f>
        <v/>
      </c>
      <c r="J96" s="109" t="str">
        <f aca="false">IF($B96="","",INDEX('CARNET DE SOUDURE'!$AL$7:$AL$1506,MATCH(85,'CARNET DE SOUDURE'!$AN$7:$AN$1506,0)))</f>
        <v/>
      </c>
      <c r="K96" s="87"/>
      <c r="L96" s="87"/>
    </row>
    <row r="97" customFormat="false" ht="15" hidden="false" customHeight="false" outlineLevel="0" collapsed="false">
      <c r="B97" s="110" t="str">
        <f aca="false">IF(86&gt;$I$4,"",86)</f>
        <v/>
      </c>
      <c r="C97" s="110" t="str">
        <f aca="false">IF($B97="","",INDEX('CARNET DE SOUDURE'!$B$7:$B$1506,MATCH(86,'CARNET DE SOUDURE'!$AN$7:$AN$1506,0)))</f>
        <v/>
      </c>
      <c r="D97" s="110" t="str">
        <f aca="false">IF($B97="","",INDEX('CARNET DE SOUDURE'!$E$7:$E$1506,MATCH(86,'CARNET DE SOUDURE'!$AN$7:$AN$1506,0)))</f>
        <v/>
      </c>
      <c r="E97" s="110" t="str">
        <f aca="false">IF($B97="","",INDEX('CARNET DE SOUDURE'!$D$7:$D$1506,MATCH(86,'CARNET DE SOUDURE'!$AN$7:$AN$1506,0)))</f>
        <v/>
      </c>
      <c r="F97" s="110" t="str">
        <f aca="false">IF($B97="","",INDEX('CARNET DE SOUDURE'!$M$7:$M$1506,MATCH(86,'CARNET DE SOUDURE'!$AN$7:$AN$1506,0))&amp;" / "&amp;INDEX('CARNET DE SOUDURE'!$N$7:$N$1506,MATCH(86,'CARNET DE SOUDURE'!$AN$7:$AN$1506,0))&amp;" / "&amp;INDEX('CARNET DE SOUDURE'!$O$7:$O$1506,MATCH(86,'CARNET DE SOUDURE'!$AN$7:$AN$1506,0)))</f>
        <v/>
      </c>
      <c r="G97" s="111" t="str">
        <f aca="false">IF($B97="","",INDEX('CARNET DE SOUDURE'!$P$7:$P$1506,MATCH(86,'CARNET DE SOUDURE'!$AN$7:$AN$1506,0)))</f>
        <v/>
      </c>
      <c r="H97" s="112" t="str">
        <f aca="false">IF($B97="","",INDEX('CARNET DE SOUDURE'!$AK$7:$AK$1506,MATCH(86,'CARNET DE SOUDURE'!$AN$7:$AN$1506,0)))</f>
        <v/>
      </c>
      <c r="I97" s="113" t="str">
        <f aca="false">IF($B97="","",INDEX('CARNET DE SOUDURE'!$AI$7:$AI$1506,MATCH(86,'CARNET DE SOUDURE'!$AN$7:$AN$1506,0)))</f>
        <v/>
      </c>
      <c r="J97" s="113" t="str">
        <f aca="false">IF($B97="","",INDEX('CARNET DE SOUDURE'!$AL$7:$AL$1506,MATCH(86,'CARNET DE SOUDURE'!$AN$7:$AN$1506,0)))</f>
        <v/>
      </c>
      <c r="K97" s="87"/>
      <c r="L97" s="87"/>
    </row>
    <row r="98" customFormat="false" ht="15" hidden="false" customHeight="false" outlineLevel="0" collapsed="false">
      <c r="B98" s="91" t="str">
        <f aca="false">IF(87&gt;$I$4,"",87)</f>
        <v/>
      </c>
      <c r="C98" s="91" t="str">
        <f aca="false">IF($B98="","",INDEX('CARNET DE SOUDURE'!$B$7:$B$1506,MATCH(87,'CARNET DE SOUDURE'!$AN$7:$AN$1506,0)))</f>
        <v/>
      </c>
      <c r="D98" s="91" t="str">
        <f aca="false">IF($B98="","",INDEX('CARNET DE SOUDURE'!$E$7:$E$1506,MATCH(87,'CARNET DE SOUDURE'!$AN$7:$AN$1506,0)))</f>
        <v/>
      </c>
      <c r="E98" s="91" t="str">
        <f aca="false">IF($B98="","",INDEX('CARNET DE SOUDURE'!$D$7:$D$1506,MATCH(87,'CARNET DE SOUDURE'!$AN$7:$AN$1506,0)))</f>
        <v/>
      </c>
      <c r="F98" s="91" t="str">
        <f aca="false">IF($B98="","",INDEX('CARNET DE SOUDURE'!$M$7:$M$1506,MATCH(87,'CARNET DE SOUDURE'!$AN$7:$AN$1506,0))&amp;" / "&amp;INDEX('CARNET DE SOUDURE'!$N$7:$N$1506,MATCH(87,'CARNET DE SOUDURE'!$AN$7:$AN$1506,0))&amp;" / "&amp;INDEX('CARNET DE SOUDURE'!$O$7:$O$1506,MATCH(87,'CARNET DE SOUDURE'!$AN$7:$AN$1506,0)))</f>
        <v/>
      </c>
      <c r="G98" s="108" t="str">
        <f aca="false">IF($B98="","",INDEX('CARNET DE SOUDURE'!$P$7:$P$1506,MATCH(87,'CARNET DE SOUDURE'!$AN$7:$AN$1506,0)))</f>
        <v/>
      </c>
      <c r="H98" s="91" t="str">
        <f aca="false">IF($B98="","",INDEX('CARNET DE SOUDURE'!$AK$7:$AK$1506,MATCH(87,'CARNET DE SOUDURE'!$AN$7:$AN$1506,0)))</f>
        <v/>
      </c>
      <c r="I98" s="109" t="str">
        <f aca="false">IF($B98="","",INDEX('CARNET DE SOUDURE'!$AI$7:$AI$1506,MATCH(87,'CARNET DE SOUDURE'!$AN$7:$AN$1506,0)))</f>
        <v/>
      </c>
      <c r="J98" s="109" t="str">
        <f aca="false">IF($B98="","",INDEX('CARNET DE SOUDURE'!$AL$7:$AL$1506,MATCH(87,'CARNET DE SOUDURE'!$AN$7:$AN$1506,0)))</f>
        <v/>
      </c>
      <c r="K98" s="87"/>
      <c r="L98" s="87"/>
    </row>
    <row r="99" customFormat="false" ht="15" hidden="false" customHeight="false" outlineLevel="0" collapsed="false">
      <c r="B99" s="110" t="str">
        <f aca="false">IF(88&gt;$I$4,"",88)</f>
        <v/>
      </c>
      <c r="C99" s="110" t="str">
        <f aca="false">IF($B99="","",INDEX('CARNET DE SOUDURE'!$B$7:$B$1506,MATCH(88,'CARNET DE SOUDURE'!$AN$7:$AN$1506,0)))</f>
        <v/>
      </c>
      <c r="D99" s="110" t="str">
        <f aca="false">IF($B99="","",INDEX('CARNET DE SOUDURE'!$E$7:$E$1506,MATCH(88,'CARNET DE SOUDURE'!$AN$7:$AN$1506,0)))</f>
        <v/>
      </c>
      <c r="E99" s="110" t="str">
        <f aca="false">IF($B99="","",INDEX('CARNET DE SOUDURE'!$D$7:$D$1506,MATCH(88,'CARNET DE SOUDURE'!$AN$7:$AN$1506,0)))</f>
        <v/>
      </c>
      <c r="F99" s="110" t="str">
        <f aca="false">IF($B99="","",INDEX('CARNET DE SOUDURE'!$M$7:$M$1506,MATCH(88,'CARNET DE SOUDURE'!$AN$7:$AN$1506,0))&amp;" / "&amp;INDEX('CARNET DE SOUDURE'!$N$7:$N$1506,MATCH(88,'CARNET DE SOUDURE'!$AN$7:$AN$1506,0))&amp;" / "&amp;INDEX('CARNET DE SOUDURE'!$O$7:$O$1506,MATCH(88,'CARNET DE SOUDURE'!$AN$7:$AN$1506,0)))</f>
        <v/>
      </c>
      <c r="G99" s="111" t="str">
        <f aca="false">IF($B99="","",INDEX('CARNET DE SOUDURE'!$P$7:$P$1506,MATCH(88,'CARNET DE SOUDURE'!$AN$7:$AN$1506,0)))</f>
        <v/>
      </c>
      <c r="H99" s="112" t="str">
        <f aca="false">IF($B99="","",INDEX('CARNET DE SOUDURE'!$AK$7:$AK$1506,MATCH(88,'CARNET DE SOUDURE'!$AN$7:$AN$1506,0)))</f>
        <v/>
      </c>
      <c r="I99" s="113" t="str">
        <f aca="false">IF($B99="","",INDEX('CARNET DE SOUDURE'!$AI$7:$AI$1506,MATCH(88,'CARNET DE SOUDURE'!$AN$7:$AN$1506,0)))</f>
        <v/>
      </c>
      <c r="J99" s="113" t="str">
        <f aca="false">IF($B99="","",INDEX('CARNET DE SOUDURE'!$AL$7:$AL$1506,MATCH(88,'CARNET DE SOUDURE'!$AN$7:$AN$1506,0)))</f>
        <v/>
      </c>
      <c r="K99" s="87"/>
      <c r="L99" s="87"/>
    </row>
    <row r="100" customFormat="false" ht="15" hidden="false" customHeight="false" outlineLevel="0" collapsed="false">
      <c r="B100" s="91" t="str">
        <f aca="false">IF(89&gt;$I$4,"",89)</f>
        <v/>
      </c>
      <c r="C100" s="91" t="str">
        <f aca="false">IF($B100="","",INDEX('CARNET DE SOUDURE'!$B$7:$B$1506,MATCH(89,'CARNET DE SOUDURE'!$AN$7:$AN$1506,0)))</f>
        <v/>
      </c>
      <c r="D100" s="91" t="str">
        <f aca="false">IF($B100="","",INDEX('CARNET DE SOUDURE'!$E$7:$E$1506,MATCH(89,'CARNET DE SOUDURE'!$AN$7:$AN$1506,0)))</f>
        <v/>
      </c>
      <c r="E100" s="91" t="str">
        <f aca="false">IF($B100="","",INDEX('CARNET DE SOUDURE'!$D$7:$D$1506,MATCH(89,'CARNET DE SOUDURE'!$AN$7:$AN$1506,0)))</f>
        <v/>
      </c>
      <c r="F100" s="91" t="str">
        <f aca="false">IF($B100="","",INDEX('CARNET DE SOUDURE'!$M$7:$M$1506,MATCH(89,'CARNET DE SOUDURE'!$AN$7:$AN$1506,0))&amp;" / "&amp;INDEX('CARNET DE SOUDURE'!$N$7:$N$1506,MATCH(89,'CARNET DE SOUDURE'!$AN$7:$AN$1506,0))&amp;" / "&amp;INDEX('CARNET DE SOUDURE'!$O$7:$O$1506,MATCH(89,'CARNET DE SOUDURE'!$AN$7:$AN$1506,0)))</f>
        <v/>
      </c>
      <c r="G100" s="108" t="str">
        <f aca="false">IF($B100="","",INDEX('CARNET DE SOUDURE'!$P$7:$P$1506,MATCH(89,'CARNET DE SOUDURE'!$AN$7:$AN$1506,0)))</f>
        <v/>
      </c>
      <c r="H100" s="91" t="str">
        <f aca="false">IF($B100="","",INDEX('CARNET DE SOUDURE'!$AK$7:$AK$1506,MATCH(89,'CARNET DE SOUDURE'!$AN$7:$AN$1506,0)))</f>
        <v/>
      </c>
      <c r="I100" s="109" t="str">
        <f aca="false">IF($B100="","",INDEX('CARNET DE SOUDURE'!$AI$7:$AI$1506,MATCH(89,'CARNET DE SOUDURE'!$AN$7:$AN$1506,0)))</f>
        <v/>
      </c>
      <c r="J100" s="109" t="str">
        <f aca="false">IF($B100="","",INDEX('CARNET DE SOUDURE'!$AL$7:$AL$1506,MATCH(89,'CARNET DE SOUDURE'!$AN$7:$AN$1506,0)))</f>
        <v/>
      </c>
      <c r="K100" s="87"/>
      <c r="L100" s="87"/>
    </row>
    <row r="101" customFormat="false" ht="15" hidden="false" customHeight="false" outlineLevel="0" collapsed="false">
      <c r="B101" s="110" t="str">
        <f aca="false">IF(90&gt;$I$4,"",90)</f>
        <v/>
      </c>
      <c r="C101" s="110" t="str">
        <f aca="false">IF($B101="","",INDEX('CARNET DE SOUDURE'!$B$7:$B$1506,MATCH(90,'CARNET DE SOUDURE'!$AN$7:$AN$1506,0)))</f>
        <v/>
      </c>
      <c r="D101" s="110" t="str">
        <f aca="false">IF($B101="","",INDEX('CARNET DE SOUDURE'!$E$7:$E$1506,MATCH(90,'CARNET DE SOUDURE'!$AN$7:$AN$1506,0)))</f>
        <v/>
      </c>
      <c r="E101" s="110" t="str">
        <f aca="false">IF($B101="","",INDEX('CARNET DE SOUDURE'!$D$7:$D$1506,MATCH(90,'CARNET DE SOUDURE'!$AN$7:$AN$1506,0)))</f>
        <v/>
      </c>
      <c r="F101" s="110" t="str">
        <f aca="false">IF($B101="","",INDEX('CARNET DE SOUDURE'!$M$7:$M$1506,MATCH(90,'CARNET DE SOUDURE'!$AN$7:$AN$1506,0))&amp;" / "&amp;INDEX('CARNET DE SOUDURE'!$N$7:$N$1506,MATCH(90,'CARNET DE SOUDURE'!$AN$7:$AN$1506,0))&amp;" / "&amp;INDEX('CARNET DE SOUDURE'!$O$7:$O$1506,MATCH(90,'CARNET DE SOUDURE'!$AN$7:$AN$1506,0)))</f>
        <v/>
      </c>
      <c r="G101" s="111" t="str">
        <f aca="false">IF($B101="","",INDEX('CARNET DE SOUDURE'!$P$7:$P$1506,MATCH(90,'CARNET DE SOUDURE'!$AN$7:$AN$1506,0)))</f>
        <v/>
      </c>
      <c r="H101" s="112" t="str">
        <f aca="false">IF($B101="","",INDEX('CARNET DE SOUDURE'!$AK$7:$AK$1506,MATCH(90,'CARNET DE SOUDURE'!$AN$7:$AN$1506,0)))</f>
        <v/>
      </c>
      <c r="I101" s="113" t="str">
        <f aca="false">IF($B101="","",INDEX('CARNET DE SOUDURE'!$AI$7:$AI$1506,MATCH(90,'CARNET DE SOUDURE'!$AN$7:$AN$1506,0)))</f>
        <v/>
      </c>
      <c r="J101" s="113" t="str">
        <f aca="false">IF($B101="","",INDEX('CARNET DE SOUDURE'!$AL$7:$AL$1506,MATCH(90,'CARNET DE SOUDURE'!$AN$7:$AN$1506,0)))</f>
        <v/>
      </c>
      <c r="K101" s="87"/>
      <c r="L101" s="87"/>
    </row>
    <row r="102" customFormat="false" ht="15" hidden="false" customHeight="false" outlineLevel="0" collapsed="false">
      <c r="B102" s="91" t="str">
        <f aca="false">IF(91&gt;$I$4,"",91)</f>
        <v/>
      </c>
      <c r="C102" s="91" t="str">
        <f aca="false">IF($B102="","",INDEX('CARNET DE SOUDURE'!$B$7:$B$1506,MATCH(91,'CARNET DE SOUDURE'!$AN$7:$AN$1506,0)))</f>
        <v/>
      </c>
      <c r="D102" s="91" t="str">
        <f aca="false">IF($B102="","",INDEX('CARNET DE SOUDURE'!$E$7:$E$1506,MATCH(91,'CARNET DE SOUDURE'!$AN$7:$AN$1506,0)))</f>
        <v/>
      </c>
      <c r="E102" s="91" t="str">
        <f aca="false">IF($B102="","",INDEX('CARNET DE SOUDURE'!$D$7:$D$1506,MATCH(91,'CARNET DE SOUDURE'!$AN$7:$AN$1506,0)))</f>
        <v/>
      </c>
      <c r="F102" s="91" t="str">
        <f aca="false">IF($B102="","",INDEX('CARNET DE SOUDURE'!$M$7:$M$1506,MATCH(91,'CARNET DE SOUDURE'!$AN$7:$AN$1506,0))&amp;" / "&amp;INDEX('CARNET DE SOUDURE'!$N$7:$N$1506,MATCH(91,'CARNET DE SOUDURE'!$AN$7:$AN$1506,0))&amp;" / "&amp;INDEX('CARNET DE SOUDURE'!$O$7:$O$1506,MATCH(91,'CARNET DE SOUDURE'!$AN$7:$AN$1506,0)))</f>
        <v/>
      </c>
      <c r="G102" s="108" t="str">
        <f aca="false">IF($B102="","",INDEX('CARNET DE SOUDURE'!$P$7:$P$1506,MATCH(91,'CARNET DE SOUDURE'!$AN$7:$AN$1506,0)))</f>
        <v/>
      </c>
      <c r="H102" s="91" t="str">
        <f aca="false">IF($B102="","",INDEX('CARNET DE SOUDURE'!$AK$7:$AK$1506,MATCH(91,'CARNET DE SOUDURE'!$AN$7:$AN$1506,0)))</f>
        <v/>
      </c>
      <c r="I102" s="109" t="str">
        <f aca="false">IF($B102="","",INDEX('CARNET DE SOUDURE'!$AI$7:$AI$1506,MATCH(91,'CARNET DE SOUDURE'!$AN$7:$AN$1506,0)))</f>
        <v/>
      </c>
      <c r="J102" s="109" t="str">
        <f aca="false">IF($B102="","",INDEX('CARNET DE SOUDURE'!$AL$7:$AL$1506,MATCH(91,'CARNET DE SOUDURE'!$AN$7:$AN$1506,0)))</f>
        <v/>
      </c>
      <c r="K102" s="87"/>
      <c r="L102" s="87"/>
    </row>
    <row r="103" customFormat="false" ht="15" hidden="false" customHeight="false" outlineLevel="0" collapsed="false">
      <c r="B103" s="110" t="str">
        <f aca="false">IF(92&gt;$I$4,"",92)</f>
        <v/>
      </c>
      <c r="C103" s="110" t="str">
        <f aca="false">IF($B103="","",INDEX('CARNET DE SOUDURE'!$B$7:$B$1506,MATCH(92,'CARNET DE SOUDURE'!$AN$7:$AN$1506,0)))</f>
        <v/>
      </c>
      <c r="D103" s="110" t="str">
        <f aca="false">IF($B103="","",INDEX('CARNET DE SOUDURE'!$E$7:$E$1506,MATCH(92,'CARNET DE SOUDURE'!$AN$7:$AN$1506,0)))</f>
        <v/>
      </c>
      <c r="E103" s="110" t="str">
        <f aca="false">IF($B103="","",INDEX('CARNET DE SOUDURE'!$D$7:$D$1506,MATCH(92,'CARNET DE SOUDURE'!$AN$7:$AN$1506,0)))</f>
        <v/>
      </c>
      <c r="F103" s="110" t="str">
        <f aca="false">IF($B103="","",INDEX('CARNET DE SOUDURE'!$M$7:$M$1506,MATCH(92,'CARNET DE SOUDURE'!$AN$7:$AN$1506,0))&amp;" / "&amp;INDEX('CARNET DE SOUDURE'!$N$7:$N$1506,MATCH(92,'CARNET DE SOUDURE'!$AN$7:$AN$1506,0))&amp;" / "&amp;INDEX('CARNET DE SOUDURE'!$O$7:$O$1506,MATCH(92,'CARNET DE SOUDURE'!$AN$7:$AN$1506,0)))</f>
        <v/>
      </c>
      <c r="G103" s="111" t="str">
        <f aca="false">IF($B103="","",INDEX('CARNET DE SOUDURE'!$P$7:$P$1506,MATCH(92,'CARNET DE SOUDURE'!$AN$7:$AN$1506,0)))</f>
        <v/>
      </c>
      <c r="H103" s="112" t="str">
        <f aca="false">IF($B103="","",INDEX('CARNET DE SOUDURE'!$AK$7:$AK$1506,MATCH(92,'CARNET DE SOUDURE'!$AN$7:$AN$1506,0)))</f>
        <v/>
      </c>
      <c r="I103" s="113" t="str">
        <f aca="false">IF($B103="","",INDEX('CARNET DE SOUDURE'!$AI$7:$AI$1506,MATCH(92,'CARNET DE SOUDURE'!$AN$7:$AN$1506,0)))</f>
        <v/>
      </c>
      <c r="J103" s="113" t="str">
        <f aca="false">IF($B103="","",INDEX('CARNET DE SOUDURE'!$AL$7:$AL$1506,MATCH(92,'CARNET DE SOUDURE'!$AN$7:$AN$1506,0)))</f>
        <v/>
      </c>
      <c r="K103" s="87"/>
      <c r="L103" s="87"/>
    </row>
    <row r="104" customFormat="false" ht="15" hidden="false" customHeight="false" outlineLevel="0" collapsed="false">
      <c r="B104" s="91" t="str">
        <f aca="false">IF(93&gt;$I$4,"",93)</f>
        <v/>
      </c>
      <c r="C104" s="91" t="str">
        <f aca="false">IF($B104="","",INDEX('CARNET DE SOUDURE'!$B$7:$B$1506,MATCH(93,'CARNET DE SOUDURE'!$AN$7:$AN$1506,0)))</f>
        <v/>
      </c>
      <c r="D104" s="91" t="str">
        <f aca="false">IF($B104="","",INDEX('CARNET DE SOUDURE'!$E$7:$E$1506,MATCH(93,'CARNET DE SOUDURE'!$AN$7:$AN$1506,0)))</f>
        <v/>
      </c>
      <c r="E104" s="91" t="str">
        <f aca="false">IF($B104="","",INDEX('CARNET DE SOUDURE'!$D$7:$D$1506,MATCH(93,'CARNET DE SOUDURE'!$AN$7:$AN$1506,0)))</f>
        <v/>
      </c>
      <c r="F104" s="91" t="str">
        <f aca="false">IF($B104="","",INDEX('CARNET DE SOUDURE'!$M$7:$M$1506,MATCH(93,'CARNET DE SOUDURE'!$AN$7:$AN$1506,0))&amp;" / "&amp;INDEX('CARNET DE SOUDURE'!$N$7:$N$1506,MATCH(93,'CARNET DE SOUDURE'!$AN$7:$AN$1506,0))&amp;" / "&amp;INDEX('CARNET DE SOUDURE'!$O$7:$O$1506,MATCH(93,'CARNET DE SOUDURE'!$AN$7:$AN$1506,0)))</f>
        <v/>
      </c>
      <c r="G104" s="108" t="str">
        <f aca="false">IF($B104="","",INDEX('CARNET DE SOUDURE'!$P$7:$P$1506,MATCH(93,'CARNET DE SOUDURE'!$AN$7:$AN$1506,0)))</f>
        <v/>
      </c>
      <c r="H104" s="91" t="str">
        <f aca="false">IF($B104="","",INDEX('CARNET DE SOUDURE'!$AK$7:$AK$1506,MATCH(93,'CARNET DE SOUDURE'!$AN$7:$AN$1506,0)))</f>
        <v/>
      </c>
      <c r="I104" s="109" t="str">
        <f aca="false">IF($B104="","",INDEX('CARNET DE SOUDURE'!$AI$7:$AI$1506,MATCH(93,'CARNET DE SOUDURE'!$AN$7:$AN$1506,0)))</f>
        <v/>
      </c>
      <c r="J104" s="109" t="str">
        <f aca="false">IF($B104="","",INDEX('CARNET DE SOUDURE'!$AL$7:$AL$1506,MATCH(93,'CARNET DE SOUDURE'!$AN$7:$AN$1506,0)))</f>
        <v/>
      </c>
      <c r="K104" s="87"/>
      <c r="L104" s="87"/>
    </row>
    <row r="105" customFormat="false" ht="15" hidden="false" customHeight="false" outlineLevel="0" collapsed="false">
      <c r="B105" s="110" t="str">
        <f aca="false">IF(94&gt;$I$4,"",94)</f>
        <v/>
      </c>
      <c r="C105" s="110" t="str">
        <f aca="false">IF($B105="","",INDEX('CARNET DE SOUDURE'!$B$7:$B$1506,MATCH(94,'CARNET DE SOUDURE'!$AN$7:$AN$1506,0)))</f>
        <v/>
      </c>
      <c r="D105" s="110" t="str">
        <f aca="false">IF($B105="","",INDEX('CARNET DE SOUDURE'!$E$7:$E$1506,MATCH(94,'CARNET DE SOUDURE'!$AN$7:$AN$1506,0)))</f>
        <v/>
      </c>
      <c r="E105" s="110" t="str">
        <f aca="false">IF($B105="","",INDEX('CARNET DE SOUDURE'!$D$7:$D$1506,MATCH(94,'CARNET DE SOUDURE'!$AN$7:$AN$1506,0)))</f>
        <v/>
      </c>
      <c r="F105" s="110" t="str">
        <f aca="false">IF($B105="","",INDEX('CARNET DE SOUDURE'!$M$7:$M$1506,MATCH(94,'CARNET DE SOUDURE'!$AN$7:$AN$1506,0))&amp;" / "&amp;INDEX('CARNET DE SOUDURE'!$N$7:$N$1506,MATCH(94,'CARNET DE SOUDURE'!$AN$7:$AN$1506,0))&amp;" / "&amp;INDEX('CARNET DE SOUDURE'!$O$7:$O$1506,MATCH(94,'CARNET DE SOUDURE'!$AN$7:$AN$1506,0)))</f>
        <v/>
      </c>
      <c r="G105" s="111" t="str">
        <f aca="false">IF($B105="","",INDEX('CARNET DE SOUDURE'!$P$7:$P$1506,MATCH(94,'CARNET DE SOUDURE'!$AN$7:$AN$1506,0)))</f>
        <v/>
      </c>
      <c r="H105" s="112" t="str">
        <f aca="false">IF($B105="","",INDEX('CARNET DE SOUDURE'!$AK$7:$AK$1506,MATCH(94,'CARNET DE SOUDURE'!$AN$7:$AN$1506,0)))</f>
        <v/>
      </c>
      <c r="I105" s="113" t="str">
        <f aca="false">IF($B105="","",INDEX('CARNET DE SOUDURE'!$AI$7:$AI$1506,MATCH(94,'CARNET DE SOUDURE'!$AN$7:$AN$1506,0)))</f>
        <v/>
      </c>
      <c r="J105" s="113" t="str">
        <f aca="false">IF($B105="","",INDEX('CARNET DE SOUDURE'!$AL$7:$AL$1506,MATCH(94,'CARNET DE SOUDURE'!$AN$7:$AN$1506,0)))</f>
        <v/>
      </c>
      <c r="K105" s="87"/>
      <c r="L105" s="87"/>
    </row>
    <row r="106" customFormat="false" ht="15" hidden="false" customHeight="false" outlineLevel="0" collapsed="false">
      <c r="B106" s="91" t="str">
        <f aca="false">IF(95&gt;$I$4,"",95)</f>
        <v/>
      </c>
      <c r="C106" s="91" t="str">
        <f aca="false">IF($B106="","",INDEX('CARNET DE SOUDURE'!$B$7:$B$1506,MATCH(95,'CARNET DE SOUDURE'!$AN$7:$AN$1506,0)))</f>
        <v/>
      </c>
      <c r="D106" s="91" t="str">
        <f aca="false">IF($B106="","",INDEX('CARNET DE SOUDURE'!$E$7:$E$1506,MATCH(95,'CARNET DE SOUDURE'!$AN$7:$AN$1506,0)))</f>
        <v/>
      </c>
      <c r="E106" s="91" t="str">
        <f aca="false">IF($B106="","",INDEX('CARNET DE SOUDURE'!$D$7:$D$1506,MATCH(95,'CARNET DE SOUDURE'!$AN$7:$AN$1506,0)))</f>
        <v/>
      </c>
      <c r="F106" s="91" t="str">
        <f aca="false">IF($B106="","",INDEX('CARNET DE SOUDURE'!$M$7:$M$1506,MATCH(95,'CARNET DE SOUDURE'!$AN$7:$AN$1506,0))&amp;" / "&amp;INDEX('CARNET DE SOUDURE'!$N$7:$N$1506,MATCH(95,'CARNET DE SOUDURE'!$AN$7:$AN$1506,0))&amp;" / "&amp;INDEX('CARNET DE SOUDURE'!$O$7:$O$1506,MATCH(95,'CARNET DE SOUDURE'!$AN$7:$AN$1506,0)))</f>
        <v/>
      </c>
      <c r="G106" s="108" t="str">
        <f aca="false">IF($B106="","",INDEX('CARNET DE SOUDURE'!$P$7:$P$1506,MATCH(95,'CARNET DE SOUDURE'!$AN$7:$AN$1506,0)))</f>
        <v/>
      </c>
      <c r="H106" s="91" t="str">
        <f aca="false">IF($B106="","",INDEX('CARNET DE SOUDURE'!$AK$7:$AK$1506,MATCH(95,'CARNET DE SOUDURE'!$AN$7:$AN$1506,0)))</f>
        <v/>
      </c>
      <c r="I106" s="109" t="str">
        <f aca="false">IF($B106="","",INDEX('CARNET DE SOUDURE'!$AI$7:$AI$1506,MATCH(95,'CARNET DE SOUDURE'!$AN$7:$AN$1506,0)))</f>
        <v/>
      </c>
      <c r="J106" s="109" t="str">
        <f aca="false">IF($B106="","",INDEX('CARNET DE SOUDURE'!$AL$7:$AL$1506,MATCH(95,'CARNET DE SOUDURE'!$AN$7:$AN$1506,0)))</f>
        <v/>
      </c>
      <c r="K106" s="87"/>
      <c r="L106" s="87"/>
    </row>
    <row r="107" customFormat="false" ht="15" hidden="false" customHeight="false" outlineLevel="0" collapsed="false">
      <c r="B107" s="110" t="str">
        <f aca="false">IF(96&gt;$I$4,"",96)</f>
        <v/>
      </c>
      <c r="C107" s="110" t="str">
        <f aca="false">IF($B107="","",INDEX('CARNET DE SOUDURE'!$B$7:$B$1506,MATCH(96,'CARNET DE SOUDURE'!$AN$7:$AN$1506,0)))</f>
        <v/>
      </c>
      <c r="D107" s="110" t="str">
        <f aca="false">IF($B107="","",INDEX('CARNET DE SOUDURE'!$E$7:$E$1506,MATCH(96,'CARNET DE SOUDURE'!$AN$7:$AN$1506,0)))</f>
        <v/>
      </c>
      <c r="E107" s="110" t="str">
        <f aca="false">IF($B107="","",INDEX('CARNET DE SOUDURE'!$D$7:$D$1506,MATCH(96,'CARNET DE SOUDURE'!$AN$7:$AN$1506,0)))</f>
        <v/>
      </c>
      <c r="F107" s="110" t="str">
        <f aca="false">IF($B107="","",INDEX('CARNET DE SOUDURE'!$M$7:$M$1506,MATCH(96,'CARNET DE SOUDURE'!$AN$7:$AN$1506,0))&amp;" / "&amp;INDEX('CARNET DE SOUDURE'!$N$7:$N$1506,MATCH(96,'CARNET DE SOUDURE'!$AN$7:$AN$1506,0))&amp;" / "&amp;INDEX('CARNET DE SOUDURE'!$O$7:$O$1506,MATCH(96,'CARNET DE SOUDURE'!$AN$7:$AN$1506,0)))</f>
        <v/>
      </c>
      <c r="G107" s="111" t="str">
        <f aca="false">IF($B107="","",INDEX('CARNET DE SOUDURE'!$P$7:$P$1506,MATCH(96,'CARNET DE SOUDURE'!$AN$7:$AN$1506,0)))</f>
        <v/>
      </c>
      <c r="H107" s="112" t="str">
        <f aca="false">IF($B107="","",INDEX('CARNET DE SOUDURE'!$AK$7:$AK$1506,MATCH(96,'CARNET DE SOUDURE'!$AN$7:$AN$1506,0)))</f>
        <v/>
      </c>
      <c r="I107" s="113" t="str">
        <f aca="false">IF($B107="","",INDEX('CARNET DE SOUDURE'!$AI$7:$AI$1506,MATCH(96,'CARNET DE SOUDURE'!$AN$7:$AN$1506,0)))</f>
        <v/>
      </c>
      <c r="J107" s="113" t="str">
        <f aca="false">IF($B107="","",INDEX('CARNET DE SOUDURE'!$AL$7:$AL$1506,MATCH(96,'CARNET DE SOUDURE'!$AN$7:$AN$1506,0)))</f>
        <v/>
      </c>
      <c r="K107" s="87"/>
      <c r="L107" s="87"/>
    </row>
    <row r="108" customFormat="false" ht="15" hidden="false" customHeight="false" outlineLevel="0" collapsed="false">
      <c r="B108" s="91" t="str">
        <f aca="false">IF(97&gt;$I$4,"",97)</f>
        <v/>
      </c>
      <c r="C108" s="91" t="str">
        <f aca="false">IF($B108="","",INDEX('CARNET DE SOUDURE'!$B$7:$B$1506,MATCH(97,'CARNET DE SOUDURE'!$AN$7:$AN$1506,0)))</f>
        <v/>
      </c>
      <c r="D108" s="91" t="str">
        <f aca="false">IF($B108="","",INDEX('CARNET DE SOUDURE'!$E$7:$E$1506,MATCH(97,'CARNET DE SOUDURE'!$AN$7:$AN$1506,0)))</f>
        <v/>
      </c>
      <c r="E108" s="91" t="str">
        <f aca="false">IF($B108="","",INDEX('CARNET DE SOUDURE'!$D$7:$D$1506,MATCH(97,'CARNET DE SOUDURE'!$AN$7:$AN$1506,0)))</f>
        <v/>
      </c>
      <c r="F108" s="91" t="str">
        <f aca="false">IF($B108="","",INDEX('CARNET DE SOUDURE'!$M$7:$M$1506,MATCH(97,'CARNET DE SOUDURE'!$AN$7:$AN$1506,0))&amp;" / "&amp;INDEX('CARNET DE SOUDURE'!$N$7:$N$1506,MATCH(97,'CARNET DE SOUDURE'!$AN$7:$AN$1506,0))&amp;" / "&amp;INDEX('CARNET DE SOUDURE'!$O$7:$O$1506,MATCH(97,'CARNET DE SOUDURE'!$AN$7:$AN$1506,0)))</f>
        <v/>
      </c>
      <c r="G108" s="108" t="str">
        <f aca="false">IF($B108="","",INDEX('CARNET DE SOUDURE'!$P$7:$P$1506,MATCH(97,'CARNET DE SOUDURE'!$AN$7:$AN$1506,0)))</f>
        <v/>
      </c>
      <c r="H108" s="91" t="str">
        <f aca="false">IF($B108="","",INDEX('CARNET DE SOUDURE'!$AK$7:$AK$1506,MATCH(97,'CARNET DE SOUDURE'!$AN$7:$AN$1506,0)))</f>
        <v/>
      </c>
      <c r="I108" s="109" t="str">
        <f aca="false">IF($B108="","",INDEX('CARNET DE SOUDURE'!$AI$7:$AI$1506,MATCH(97,'CARNET DE SOUDURE'!$AN$7:$AN$1506,0)))</f>
        <v/>
      </c>
      <c r="J108" s="109" t="str">
        <f aca="false">IF($B108="","",INDEX('CARNET DE SOUDURE'!$AL$7:$AL$1506,MATCH(97,'CARNET DE SOUDURE'!$AN$7:$AN$1506,0)))</f>
        <v/>
      </c>
      <c r="K108" s="87"/>
      <c r="L108" s="87"/>
    </row>
    <row r="109" customFormat="false" ht="15" hidden="false" customHeight="false" outlineLevel="0" collapsed="false">
      <c r="B109" s="110" t="str">
        <f aca="false">IF(98&gt;$I$4,"",98)</f>
        <v/>
      </c>
      <c r="C109" s="110" t="str">
        <f aca="false">IF($B109="","",INDEX('CARNET DE SOUDURE'!$B$7:$B$1506,MATCH(98,'CARNET DE SOUDURE'!$AN$7:$AN$1506,0)))</f>
        <v/>
      </c>
      <c r="D109" s="110" t="str">
        <f aca="false">IF($B109="","",INDEX('CARNET DE SOUDURE'!$E$7:$E$1506,MATCH(98,'CARNET DE SOUDURE'!$AN$7:$AN$1506,0)))</f>
        <v/>
      </c>
      <c r="E109" s="110" t="str">
        <f aca="false">IF($B109="","",INDEX('CARNET DE SOUDURE'!$D$7:$D$1506,MATCH(98,'CARNET DE SOUDURE'!$AN$7:$AN$1506,0)))</f>
        <v/>
      </c>
      <c r="F109" s="110" t="str">
        <f aca="false">IF($B109="","",INDEX('CARNET DE SOUDURE'!$M$7:$M$1506,MATCH(98,'CARNET DE SOUDURE'!$AN$7:$AN$1506,0))&amp;" / "&amp;INDEX('CARNET DE SOUDURE'!$N$7:$N$1506,MATCH(98,'CARNET DE SOUDURE'!$AN$7:$AN$1506,0))&amp;" / "&amp;INDEX('CARNET DE SOUDURE'!$O$7:$O$1506,MATCH(98,'CARNET DE SOUDURE'!$AN$7:$AN$1506,0)))</f>
        <v/>
      </c>
      <c r="G109" s="111" t="str">
        <f aca="false">IF($B109="","",INDEX('CARNET DE SOUDURE'!$P$7:$P$1506,MATCH(98,'CARNET DE SOUDURE'!$AN$7:$AN$1506,0)))</f>
        <v/>
      </c>
      <c r="H109" s="112" t="str">
        <f aca="false">IF($B109="","",INDEX('CARNET DE SOUDURE'!$AK$7:$AK$1506,MATCH(98,'CARNET DE SOUDURE'!$AN$7:$AN$1506,0)))</f>
        <v/>
      </c>
      <c r="I109" s="113" t="str">
        <f aca="false">IF($B109="","",INDEX('CARNET DE SOUDURE'!$AI$7:$AI$1506,MATCH(98,'CARNET DE SOUDURE'!$AN$7:$AN$1506,0)))</f>
        <v/>
      </c>
      <c r="J109" s="113" t="str">
        <f aca="false">IF($B109="","",INDEX('CARNET DE SOUDURE'!$AL$7:$AL$1506,MATCH(98,'CARNET DE SOUDURE'!$AN$7:$AN$1506,0)))</f>
        <v/>
      </c>
      <c r="K109" s="87"/>
      <c r="L109" s="87"/>
    </row>
    <row r="110" customFormat="false" ht="15" hidden="false" customHeight="false" outlineLevel="0" collapsed="false">
      <c r="B110" s="91" t="str">
        <f aca="false">IF(99&gt;$I$4,"",99)</f>
        <v/>
      </c>
      <c r="C110" s="91" t="str">
        <f aca="false">IF($B110="","",INDEX('CARNET DE SOUDURE'!$B$7:$B$1506,MATCH(99,'CARNET DE SOUDURE'!$AN$7:$AN$1506,0)))</f>
        <v/>
      </c>
      <c r="D110" s="91" t="str">
        <f aca="false">IF($B110="","",INDEX('CARNET DE SOUDURE'!$E$7:$E$1506,MATCH(99,'CARNET DE SOUDURE'!$AN$7:$AN$1506,0)))</f>
        <v/>
      </c>
      <c r="E110" s="91" t="str">
        <f aca="false">IF($B110="","",INDEX('CARNET DE SOUDURE'!$D$7:$D$1506,MATCH(99,'CARNET DE SOUDURE'!$AN$7:$AN$1506,0)))</f>
        <v/>
      </c>
      <c r="F110" s="91" t="str">
        <f aca="false">IF($B110="","",INDEX('CARNET DE SOUDURE'!$M$7:$M$1506,MATCH(99,'CARNET DE SOUDURE'!$AN$7:$AN$1506,0))&amp;" / "&amp;INDEX('CARNET DE SOUDURE'!$N$7:$N$1506,MATCH(99,'CARNET DE SOUDURE'!$AN$7:$AN$1506,0))&amp;" / "&amp;INDEX('CARNET DE SOUDURE'!$O$7:$O$1506,MATCH(99,'CARNET DE SOUDURE'!$AN$7:$AN$1506,0)))</f>
        <v/>
      </c>
      <c r="G110" s="108" t="str">
        <f aca="false">IF($B110="","",INDEX('CARNET DE SOUDURE'!$P$7:$P$1506,MATCH(99,'CARNET DE SOUDURE'!$AN$7:$AN$1506,0)))</f>
        <v/>
      </c>
      <c r="H110" s="91" t="str">
        <f aca="false">IF($B110="","",INDEX('CARNET DE SOUDURE'!$AK$7:$AK$1506,MATCH(99,'CARNET DE SOUDURE'!$AN$7:$AN$1506,0)))</f>
        <v/>
      </c>
      <c r="I110" s="109" t="str">
        <f aca="false">IF($B110="","",INDEX('CARNET DE SOUDURE'!$AI$7:$AI$1506,MATCH(99,'CARNET DE SOUDURE'!$AN$7:$AN$1506,0)))</f>
        <v/>
      </c>
      <c r="J110" s="109" t="str">
        <f aca="false">IF($B110="","",INDEX('CARNET DE SOUDURE'!$AL$7:$AL$1506,MATCH(99,'CARNET DE SOUDURE'!$AN$7:$AN$1506,0)))</f>
        <v/>
      </c>
      <c r="K110" s="87"/>
      <c r="L110" s="87"/>
    </row>
    <row r="111" customFormat="false" ht="15" hidden="false" customHeight="false" outlineLevel="0" collapsed="false">
      <c r="B111" s="110" t="str">
        <f aca="false">IF(100&gt;$I$4,"",100)</f>
        <v/>
      </c>
      <c r="C111" s="110" t="str">
        <f aca="false">IF($B111="","",INDEX('CARNET DE SOUDURE'!$B$7:$B$1506,MATCH(100,'CARNET DE SOUDURE'!$AN$7:$AN$1506,0)))</f>
        <v/>
      </c>
      <c r="D111" s="110" t="str">
        <f aca="false">IF($B111="","",INDEX('CARNET DE SOUDURE'!$E$7:$E$1506,MATCH(100,'CARNET DE SOUDURE'!$AN$7:$AN$1506,0)))</f>
        <v/>
      </c>
      <c r="E111" s="110" t="str">
        <f aca="false">IF($B111="","",INDEX('CARNET DE SOUDURE'!$D$7:$D$1506,MATCH(100,'CARNET DE SOUDURE'!$AN$7:$AN$1506,0)))</f>
        <v/>
      </c>
      <c r="F111" s="110" t="str">
        <f aca="false">IF($B111="","",INDEX('CARNET DE SOUDURE'!$M$7:$M$1506,MATCH(100,'CARNET DE SOUDURE'!$AN$7:$AN$1506,0))&amp;" / "&amp;INDEX('CARNET DE SOUDURE'!$N$7:$N$1506,MATCH(100,'CARNET DE SOUDURE'!$AN$7:$AN$1506,0))&amp;" / "&amp;INDEX('CARNET DE SOUDURE'!$O$7:$O$1506,MATCH(100,'CARNET DE SOUDURE'!$AN$7:$AN$1506,0)))</f>
        <v/>
      </c>
      <c r="G111" s="111" t="str">
        <f aca="false">IF($B111="","",INDEX('CARNET DE SOUDURE'!$P$7:$P$1506,MATCH(100,'CARNET DE SOUDURE'!$AN$7:$AN$1506,0)))</f>
        <v/>
      </c>
      <c r="H111" s="112" t="str">
        <f aca="false">IF($B111="","",INDEX('CARNET DE SOUDURE'!$AK$7:$AK$1506,MATCH(100,'CARNET DE SOUDURE'!$AN$7:$AN$1506,0)))</f>
        <v/>
      </c>
      <c r="I111" s="113" t="str">
        <f aca="false">IF($B111="","",INDEX('CARNET DE SOUDURE'!$AI$7:$AI$1506,MATCH(100,'CARNET DE SOUDURE'!$AN$7:$AN$1506,0)))</f>
        <v/>
      </c>
      <c r="J111" s="113" t="str">
        <f aca="false">IF($B111="","",INDEX('CARNET DE SOUDURE'!$AL$7:$AL$1506,MATCH(100,'CARNET DE SOUDURE'!$AN$7:$AN$1506,0)))</f>
        <v/>
      </c>
      <c r="K111" s="87"/>
      <c r="L111" s="87"/>
    </row>
    <row r="112" customFormat="false" ht="15" hidden="false" customHeight="false" outlineLevel="0" collapsed="false">
      <c r="B112" s="91" t="str">
        <f aca="false">IF(101&gt;$I$4,"",101)</f>
        <v/>
      </c>
      <c r="C112" s="91" t="str">
        <f aca="false">IF($B112="","",INDEX('CARNET DE SOUDURE'!$B$7:$B$1506,MATCH(101,'CARNET DE SOUDURE'!$AN$7:$AN$1506,0)))</f>
        <v/>
      </c>
      <c r="D112" s="91" t="str">
        <f aca="false">IF($B112="","",INDEX('CARNET DE SOUDURE'!$E$7:$E$1506,MATCH(101,'CARNET DE SOUDURE'!$AN$7:$AN$1506,0)))</f>
        <v/>
      </c>
      <c r="E112" s="91" t="str">
        <f aca="false">IF($B112="","",INDEX('CARNET DE SOUDURE'!$D$7:$D$1506,MATCH(101,'CARNET DE SOUDURE'!$AN$7:$AN$1506,0)))</f>
        <v/>
      </c>
      <c r="F112" s="91" t="str">
        <f aca="false">IF($B112="","",INDEX('CARNET DE SOUDURE'!$M$7:$M$1506,MATCH(101,'CARNET DE SOUDURE'!$AN$7:$AN$1506,0))&amp;" / "&amp;INDEX('CARNET DE SOUDURE'!$N$7:$N$1506,MATCH(101,'CARNET DE SOUDURE'!$AN$7:$AN$1506,0))&amp;" / "&amp;INDEX('CARNET DE SOUDURE'!$O$7:$O$1506,MATCH(101,'CARNET DE SOUDURE'!$AN$7:$AN$1506,0)))</f>
        <v/>
      </c>
      <c r="G112" s="108" t="str">
        <f aca="false">IF($B112="","",INDEX('CARNET DE SOUDURE'!$P$7:$P$1506,MATCH(101,'CARNET DE SOUDURE'!$AN$7:$AN$1506,0)))</f>
        <v/>
      </c>
      <c r="H112" s="91" t="str">
        <f aca="false">IF($B112="","",INDEX('CARNET DE SOUDURE'!$AK$7:$AK$1506,MATCH(101,'CARNET DE SOUDURE'!$AN$7:$AN$1506,0)))</f>
        <v/>
      </c>
      <c r="I112" s="109" t="str">
        <f aca="false">IF($B112="","",INDEX('CARNET DE SOUDURE'!$AI$7:$AI$1506,MATCH(101,'CARNET DE SOUDURE'!$AN$7:$AN$1506,0)))</f>
        <v/>
      </c>
      <c r="J112" s="109" t="str">
        <f aca="false">IF($B112="","",INDEX('CARNET DE SOUDURE'!$AL$7:$AL$1506,MATCH(101,'CARNET DE SOUDURE'!$AN$7:$AN$1506,0)))</f>
        <v/>
      </c>
      <c r="K112" s="87"/>
      <c r="L112" s="87"/>
    </row>
    <row r="113" customFormat="false" ht="15" hidden="false" customHeight="false" outlineLevel="0" collapsed="false">
      <c r="B113" s="110" t="str">
        <f aca="false">IF(102&gt;$I$4,"",102)</f>
        <v/>
      </c>
      <c r="C113" s="110" t="str">
        <f aca="false">IF($B113="","",INDEX('CARNET DE SOUDURE'!$B$7:$B$1506,MATCH(102,'CARNET DE SOUDURE'!$AN$7:$AN$1506,0)))</f>
        <v/>
      </c>
      <c r="D113" s="110" t="str">
        <f aca="false">IF($B113="","",INDEX('CARNET DE SOUDURE'!$E$7:$E$1506,MATCH(102,'CARNET DE SOUDURE'!$AN$7:$AN$1506,0)))</f>
        <v/>
      </c>
      <c r="E113" s="110" t="str">
        <f aca="false">IF($B113="","",INDEX('CARNET DE SOUDURE'!$D$7:$D$1506,MATCH(102,'CARNET DE SOUDURE'!$AN$7:$AN$1506,0)))</f>
        <v/>
      </c>
      <c r="F113" s="110" t="str">
        <f aca="false">IF($B113="","",INDEX('CARNET DE SOUDURE'!$M$7:$M$1506,MATCH(102,'CARNET DE SOUDURE'!$AN$7:$AN$1506,0))&amp;" / "&amp;INDEX('CARNET DE SOUDURE'!$N$7:$N$1506,MATCH(102,'CARNET DE SOUDURE'!$AN$7:$AN$1506,0))&amp;" / "&amp;INDEX('CARNET DE SOUDURE'!$O$7:$O$1506,MATCH(102,'CARNET DE SOUDURE'!$AN$7:$AN$1506,0)))</f>
        <v/>
      </c>
      <c r="G113" s="111" t="str">
        <f aca="false">IF($B113="","",INDEX('CARNET DE SOUDURE'!$P$7:$P$1506,MATCH(102,'CARNET DE SOUDURE'!$AN$7:$AN$1506,0)))</f>
        <v/>
      </c>
      <c r="H113" s="112" t="str">
        <f aca="false">IF($B113="","",INDEX('CARNET DE SOUDURE'!$AK$7:$AK$1506,MATCH(102,'CARNET DE SOUDURE'!$AN$7:$AN$1506,0)))</f>
        <v/>
      </c>
      <c r="I113" s="113" t="str">
        <f aca="false">IF($B113="","",INDEX('CARNET DE SOUDURE'!$AI$7:$AI$1506,MATCH(102,'CARNET DE SOUDURE'!$AN$7:$AN$1506,0)))</f>
        <v/>
      </c>
      <c r="J113" s="113" t="str">
        <f aca="false">IF($B113="","",INDEX('CARNET DE SOUDURE'!$AL$7:$AL$1506,MATCH(102,'CARNET DE SOUDURE'!$AN$7:$AN$1506,0)))</f>
        <v/>
      </c>
      <c r="K113" s="87"/>
      <c r="L113" s="87"/>
    </row>
    <row r="114" customFormat="false" ht="15" hidden="false" customHeight="false" outlineLevel="0" collapsed="false">
      <c r="B114" s="91" t="str">
        <f aca="false">IF(103&gt;$I$4,"",103)</f>
        <v/>
      </c>
      <c r="C114" s="91" t="str">
        <f aca="false">IF($B114="","",INDEX('CARNET DE SOUDURE'!$B$7:$B$1506,MATCH(103,'CARNET DE SOUDURE'!$AN$7:$AN$1506,0)))</f>
        <v/>
      </c>
      <c r="D114" s="91" t="str">
        <f aca="false">IF($B114="","",INDEX('CARNET DE SOUDURE'!$E$7:$E$1506,MATCH(103,'CARNET DE SOUDURE'!$AN$7:$AN$1506,0)))</f>
        <v/>
      </c>
      <c r="E114" s="91" t="str">
        <f aca="false">IF($B114="","",INDEX('CARNET DE SOUDURE'!$D$7:$D$1506,MATCH(103,'CARNET DE SOUDURE'!$AN$7:$AN$1506,0)))</f>
        <v/>
      </c>
      <c r="F114" s="91" t="str">
        <f aca="false">IF($B114="","",INDEX('CARNET DE SOUDURE'!$M$7:$M$1506,MATCH(103,'CARNET DE SOUDURE'!$AN$7:$AN$1506,0))&amp;" / "&amp;INDEX('CARNET DE SOUDURE'!$N$7:$N$1506,MATCH(103,'CARNET DE SOUDURE'!$AN$7:$AN$1506,0))&amp;" / "&amp;INDEX('CARNET DE SOUDURE'!$O$7:$O$1506,MATCH(103,'CARNET DE SOUDURE'!$AN$7:$AN$1506,0)))</f>
        <v/>
      </c>
      <c r="G114" s="108" t="str">
        <f aca="false">IF($B114="","",INDEX('CARNET DE SOUDURE'!$P$7:$P$1506,MATCH(103,'CARNET DE SOUDURE'!$AN$7:$AN$1506,0)))</f>
        <v/>
      </c>
      <c r="H114" s="91" t="str">
        <f aca="false">IF($B114="","",INDEX('CARNET DE SOUDURE'!$AK$7:$AK$1506,MATCH(103,'CARNET DE SOUDURE'!$AN$7:$AN$1506,0)))</f>
        <v/>
      </c>
      <c r="I114" s="109" t="str">
        <f aca="false">IF($B114="","",INDEX('CARNET DE SOUDURE'!$AI$7:$AI$1506,MATCH(103,'CARNET DE SOUDURE'!$AN$7:$AN$1506,0)))</f>
        <v/>
      </c>
      <c r="J114" s="109" t="str">
        <f aca="false">IF($B114="","",INDEX('CARNET DE SOUDURE'!$AL$7:$AL$1506,MATCH(103,'CARNET DE SOUDURE'!$AN$7:$AN$1506,0)))</f>
        <v/>
      </c>
      <c r="K114" s="87"/>
      <c r="L114" s="87"/>
    </row>
    <row r="115" customFormat="false" ht="15" hidden="false" customHeight="false" outlineLevel="0" collapsed="false">
      <c r="B115" s="110" t="str">
        <f aca="false">IF(104&gt;$I$4,"",104)</f>
        <v/>
      </c>
      <c r="C115" s="110" t="str">
        <f aca="false">IF($B115="","",INDEX('CARNET DE SOUDURE'!$B$7:$B$1506,MATCH(104,'CARNET DE SOUDURE'!$AN$7:$AN$1506,0)))</f>
        <v/>
      </c>
      <c r="D115" s="110" t="str">
        <f aca="false">IF($B115="","",INDEX('CARNET DE SOUDURE'!$E$7:$E$1506,MATCH(104,'CARNET DE SOUDURE'!$AN$7:$AN$1506,0)))</f>
        <v/>
      </c>
      <c r="E115" s="110" t="str">
        <f aca="false">IF($B115="","",INDEX('CARNET DE SOUDURE'!$D$7:$D$1506,MATCH(104,'CARNET DE SOUDURE'!$AN$7:$AN$1506,0)))</f>
        <v/>
      </c>
      <c r="F115" s="110" t="str">
        <f aca="false">IF($B115="","",INDEX('CARNET DE SOUDURE'!$M$7:$M$1506,MATCH(104,'CARNET DE SOUDURE'!$AN$7:$AN$1506,0))&amp;" / "&amp;INDEX('CARNET DE SOUDURE'!$N$7:$N$1506,MATCH(104,'CARNET DE SOUDURE'!$AN$7:$AN$1506,0))&amp;" / "&amp;INDEX('CARNET DE SOUDURE'!$O$7:$O$1506,MATCH(104,'CARNET DE SOUDURE'!$AN$7:$AN$1506,0)))</f>
        <v/>
      </c>
      <c r="G115" s="111" t="str">
        <f aca="false">IF($B115="","",INDEX('CARNET DE SOUDURE'!$P$7:$P$1506,MATCH(104,'CARNET DE SOUDURE'!$AN$7:$AN$1506,0)))</f>
        <v/>
      </c>
      <c r="H115" s="112" t="str">
        <f aca="false">IF($B115="","",INDEX('CARNET DE SOUDURE'!$AK$7:$AK$1506,MATCH(104,'CARNET DE SOUDURE'!$AN$7:$AN$1506,0)))</f>
        <v/>
      </c>
      <c r="I115" s="113" t="str">
        <f aca="false">IF($B115="","",INDEX('CARNET DE SOUDURE'!$AI$7:$AI$1506,MATCH(104,'CARNET DE SOUDURE'!$AN$7:$AN$1506,0)))</f>
        <v/>
      </c>
      <c r="J115" s="113" t="str">
        <f aca="false">IF($B115="","",INDEX('CARNET DE SOUDURE'!$AL$7:$AL$1506,MATCH(104,'CARNET DE SOUDURE'!$AN$7:$AN$1506,0)))</f>
        <v/>
      </c>
      <c r="K115" s="87"/>
      <c r="L115" s="87"/>
    </row>
    <row r="116" customFormat="false" ht="15" hidden="false" customHeight="false" outlineLevel="0" collapsed="false">
      <c r="B116" s="91" t="str">
        <f aca="false">IF(105&gt;$I$4,"",105)</f>
        <v/>
      </c>
      <c r="C116" s="91" t="str">
        <f aca="false">IF($B116="","",INDEX('CARNET DE SOUDURE'!$B$7:$B$1506,MATCH(105,'CARNET DE SOUDURE'!$AN$7:$AN$1506,0)))</f>
        <v/>
      </c>
      <c r="D116" s="91" t="str">
        <f aca="false">IF($B116="","",INDEX('CARNET DE SOUDURE'!$E$7:$E$1506,MATCH(105,'CARNET DE SOUDURE'!$AN$7:$AN$1506,0)))</f>
        <v/>
      </c>
      <c r="E116" s="91" t="str">
        <f aca="false">IF($B116="","",INDEX('CARNET DE SOUDURE'!$D$7:$D$1506,MATCH(105,'CARNET DE SOUDURE'!$AN$7:$AN$1506,0)))</f>
        <v/>
      </c>
      <c r="F116" s="91" t="str">
        <f aca="false">IF($B116="","",INDEX('CARNET DE SOUDURE'!$M$7:$M$1506,MATCH(105,'CARNET DE SOUDURE'!$AN$7:$AN$1506,0))&amp;" / "&amp;INDEX('CARNET DE SOUDURE'!$N$7:$N$1506,MATCH(105,'CARNET DE SOUDURE'!$AN$7:$AN$1506,0))&amp;" / "&amp;INDEX('CARNET DE SOUDURE'!$O$7:$O$1506,MATCH(105,'CARNET DE SOUDURE'!$AN$7:$AN$1506,0)))</f>
        <v/>
      </c>
      <c r="G116" s="108" t="str">
        <f aca="false">IF($B116="","",INDEX('CARNET DE SOUDURE'!$P$7:$P$1506,MATCH(105,'CARNET DE SOUDURE'!$AN$7:$AN$1506,0)))</f>
        <v/>
      </c>
      <c r="H116" s="91" t="str">
        <f aca="false">IF($B116="","",INDEX('CARNET DE SOUDURE'!$AK$7:$AK$1506,MATCH(105,'CARNET DE SOUDURE'!$AN$7:$AN$1506,0)))</f>
        <v/>
      </c>
      <c r="I116" s="109" t="str">
        <f aca="false">IF($B116="","",INDEX('CARNET DE SOUDURE'!$AI$7:$AI$1506,MATCH(105,'CARNET DE SOUDURE'!$AN$7:$AN$1506,0)))</f>
        <v/>
      </c>
      <c r="J116" s="109" t="str">
        <f aca="false">IF($B116="","",INDEX('CARNET DE SOUDURE'!$AL$7:$AL$1506,MATCH(105,'CARNET DE SOUDURE'!$AN$7:$AN$1506,0)))</f>
        <v/>
      </c>
      <c r="K116" s="87"/>
      <c r="L116" s="87"/>
    </row>
    <row r="117" customFormat="false" ht="15" hidden="false" customHeight="false" outlineLevel="0" collapsed="false">
      <c r="B117" s="110" t="str">
        <f aca="false">IF(106&gt;$I$4,"",106)</f>
        <v/>
      </c>
      <c r="C117" s="110" t="str">
        <f aca="false">IF($B117="","",INDEX('CARNET DE SOUDURE'!$B$7:$B$1506,MATCH(106,'CARNET DE SOUDURE'!$AN$7:$AN$1506,0)))</f>
        <v/>
      </c>
      <c r="D117" s="110" t="str">
        <f aca="false">IF($B117="","",INDEX('CARNET DE SOUDURE'!$E$7:$E$1506,MATCH(106,'CARNET DE SOUDURE'!$AN$7:$AN$1506,0)))</f>
        <v/>
      </c>
      <c r="E117" s="110" t="str">
        <f aca="false">IF($B117="","",INDEX('CARNET DE SOUDURE'!$D$7:$D$1506,MATCH(106,'CARNET DE SOUDURE'!$AN$7:$AN$1506,0)))</f>
        <v/>
      </c>
      <c r="F117" s="110" t="str">
        <f aca="false">IF($B117="","",INDEX('CARNET DE SOUDURE'!$M$7:$M$1506,MATCH(106,'CARNET DE SOUDURE'!$AN$7:$AN$1506,0))&amp;" / "&amp;INDEX('CARNET DE SOUDURE'!$N$7:$N$1506,MATCH(106,'CARNET DE SOUDURE'!$AN$7:$AN$1506,0))&amp;" / "&amp;INDEX('CARNET DE SOUDURE'!$O$7:$O$1506,MATCH(106,'CARNET DE SOUDURE'!$AN$7:$AN$1506,0)))</f>
        <v/>
      </c>
      <c r="G117" s="111" t="str">
        <f aca="false">IF($B117="","",INDEX('CARNET DE SOUDURE'!$P$7:$P$1506,MATCH(106,'CARNET DE SOUDURE'!$AN$7:$AN$1506,0)))</f>
        <v/>
      </c>
      <c r="H117" s="112" t="str">
        <f aca="false">IF($B117="","",INDEX('CARNET DE SOUDURE'!$AK$7:$AK$1506,MATCH(106,'CARNET DE SOUDURE'!$AN$7:$AN$1506,0)))</f>
        <v/>
      </c>
      <c r="I117" s="113" t="str">
        <f aca="false">IF($B117="","",INDEX('CARNET DE SOUDURE'!$AI$7:$AI$1506,MATCH(106,'CARNET DE SOUDURE'!$AN$7:$AN$1506,0)))</f>
        <v/>
      </c>
      <c r="J117" s="113" t="str">
        <f aca="false">IF($B117="","",INDEX('CARNET DE SOUDURE'!$AL$7:$AL$1506,MATCH(106,'CARNET DE SOUDURE'!$AN$7:$AN$1506,0)))</f>
        <v/>
      </c>
      <c r="K117" s="87"/>
      <c r="L117" s="87"/>
    </row>
    <row r="118" customFormat="false" ht="15" hidden="false" customHeight="false" outlineLevel="0" collapsed="false">
      <c r="B118" s="91" t="str">
        <f aca="false">IF(107&gt;$I$4,"",107)</f>
        <v/>
      </c>
      <c r="C118" s="91" t="str">
        <f aca="false">IF($B118="","",INDEX('CARNET DE SOUDURE'!$B$7:$B$1506,MATCH(107,'CARNET DE SOUDURE'!$AN$7:$AN$1506,0)))</f>
        <v/>
      </c>
      <c r="D118" s="91" t="str">
        <f aca="false">IF($B118="","",INDEX('CARNET DE SOUDURE'!$E$7:$E$1506,MATCH(107,'CARNET DE SOUDURE'!$AN$7:$AN$1506,0)))</f>
        <v/>
      </c>
      <c r="E118" s="91" t="str">
        <f aca="false">IF($B118="","",INDEX('CARNET DE SOUDURE'!$D$7:$D$1506,MATCH(107,'CARNET DE SOUDURE'!$AN$7:$AN$1506,0)))</f>
        <v/>
      </c>
      <c r="F118" s="91" t="str">
        <f aca="false">IF($B118="","",INDEX('CARNET DE SOUDURE'!$M$7:$M$1506,MATCH(107,'CARNET DE SOUDURE'!$AN$7:$AN$1506,0))&amp;" / "&amp;INDEX('CARNET DE SOUDURE'!$N$7:$N$1506,MATCH(107,'CARNET DE SOUDURE'!$AN$7:$AN$1506,0))&amp;" / "&amp;INDEX('CARNET DE SOUDURE'!$O$7:$O$1506,MATCH(107,'CARNET DE SOUDURE'!$AN$7:$AN$1506,0)))</f>
        <v/>
      </c>
      <c r="G118" s="108" t="str">
        <f aca="false">IF($B118="","",INDEX('CARNET DE SOUDURE'!$P$7:$P$1506,MATCH(107,'CARNET DE SOUDURE'!$AN$7:$AN$1506,0)))</f>
        <v/>
      </c>
      <c r="H118" s="91" t="str">
        <f aca="false">IF($B118="","",INDEX('CARNET DE SOUDURE'!$AK$7:$AK$1506,MATCH(107,'CARNET DE SOUDURE'!$AN$7:$AN$1506,0)))</f>
        <v/>
      </c>
      <c r="I118" s="109" t="str">
        <f aca="false">IF($B118="","",INDEX('CARNET DE SOUDURE'!$AI$7:$AI$1506,MATCH(107,'CARNET DE SOUDURE'!$AN$7:$AN$1506,0)))</f>
        <v/>
      </c>
      <c r="J118" s="109" t="str">
        <f aca="false">IF($B118="","",INDEX('CARNET DE SOUDURE'!$AL$7:$AL$1506,MATCH(107,'CARNET DE SOUDURE'!$AN$7:$AN$1506,0)))</f>
        <v/>
      </c>
      <c r="K118" s="87"/>
      <c r="L118" s="87"/>
    </row>
    <row r="119" customFormat="false" ht="15" hidden="false" customHeight="false" outlineLevel="0" collapsed="false">
      <c r="B119" s="110" t="str">
        <f aca="false">IF(108&gt;$I$4,"",108)</f>
        <v/>
      </c>
      <c r="C119" s="110" t="str">
        <f aca="false">IF($B119="","",INDEX('CARNET DE SOUDURE'!$B$7:$B$1506,MATCH(108,'CARNET DE SOUDURE'!$AN$7:$AN$1506,0)))</f>
        <v/>
      </c>
      <c r="D119" s="110" t="str">
        <f aca="false">IF($B119="","",INDEX('CARNET DE SOUDURE'!$E$7:$E$1506,MATCH(108,'CARNET DE SOUDURE'!$AN$7:$AN$1506,0)))</f>
        <v/>
      </c>
      <c r="E119" s="110" t="str">
        <f aca="false">IF($B119="","",INDEX('CARNET DE SOUDURE'!$D$7:$D$1506,MATCH(108,'CARNET DE SOUDURE'!$AN$7:$AN$1506,0)))</f>
        <v/>
      </c>
      <c r="F119" s="110" t="str">
        <f aca="false">IF($B119="","",INDEX('CARNET DE SOUDURE'!$M$7:$M$1506,MATCH(108,'CARNET DE SOUDURE'!$AN$7:$AN$1506,0))&amp;" / "&amp;INDEX('CARNET DE SOUDURE'!$N$7:$N$1506,MATCH(108,'CARNET DE SOUDURE'!$AN$7:$AN$1506,0))&amp;" / "&amp;INDEX('CARNET DE SOUDURE'!$O$7:$O$1506,MATCH(108,'CARNET DE SOUDURE'!$AN$7:$AN$1506,0)))</f>
        <v/>
      </c>
      <c r="G119" s="111" t="str">
        <f aca="false">IF($B119="","",INDEX('CARNET DE SOUDURE'!$P$7:$P$1506,MATCH(108,'CARNET DE SOUDURE'!$AN$7:$AN$1506,0)))</f>
        <v/>
      </c>
      <c r="H119" s="112" t="str">
        <f aca="false">IF($B119="","",INDEX('CARNET DE SOUDURE'!$AK$7:$AK$1506,MATCH(108,'CARNET DE SOUDURE'!$AN$7:$AN$1506,0)))</f>
        <v/>
      </c>
      <c r="I119" s="113" t="str">
        <f aca="false">IF($B119="","",INDEX('CARNET DE SOUDURE'!$AI$7:$AI$1506,MATCH(108,'CARNET DE SOUDURE'!$AN$7:$AN$1506,0)))</f>
        <v/>
      </c>
      <c r="J119" s="113" t="str">
        <f aca="false">IF($B119="","",INDEX('CARNET DE SOUDURE'!$AL$7:$AL$1506,MATCH(108,'CARNET DE SOUDURE'!$AN$7:$AN$1506,0)))</f>
        <v/>
      </c>
      <c r="K119" s="87"/>
      <c r="L119" s="87"/>
    </row>
    <row r="120" customFormat="false" ht="15" hidden="false" customHeight="false" outlineLevel="0" collapsed="false">
      <c r="B120" s="91" t="str">
        <f aca="false">IF(109&gt;$I$4,"",109)</f>
        <v/>
      </c>
      <c r="C120" s="91" t="str">
        <f aca="false">IF($B120="","",INDEX('CARNET DE SOUDURE'!$B$7:$B$1506,MATCH(109,'CARNET DE SOUDURE'!$AN$7:$AN$1506,0)))</f>
        <v/>
      </c>
      <c r="D120" s="91" t="str">
        <f aca="false">IF($B120="","",INDEX('CARNET DE SOUDURE'!$E$7:$E$1506,MATCH(109,'CARNET DE SOUDURE'!$AN$7:$AN$1506,0)))</f>
        <v/>
      </c>
      <c r="E120" s="91" t="str">
        <f aca="false">IF($B120="","",INDEX('CARNET DE SOUDURE'!$D$7:$D$1506,MATCH(109,'CARNET DE SOUDURE'!$AN$7:$AN$1506,0)))</f>
        <v/>
      </c>
      <c r="F120" s="91" t="str">
        <f aca="false">IF($B120="","",INDEX('CARNET DE SOUDURE'!$M$7:$M$1506,MATCH(109,'CARNET DE SOUDURE'!$AN$7:$AN$1506,0))&amp;" / "&amp;INDEX('CARNET DE SOUDURE'!$N$7:$N$1506,MATCH(109,'CARNET DE SOUDURE'!$AN$7:$AN$1506,0))&amp;" / "&amp;INDEX('CARNET DE SOUDURE'!$O$7:$O$1506,MATCH(109,'CARNET DE SOUDURE'!$AN$7:$AN$1506,0)))</f>
        <v/>
      </c>
      <c r="G120" s="108" t="str">
        <f aca="false">IF($B120="","",INDEX('CARNET DE SOUDURE'!$P$7:$P$1506,MATCH(109,'CARNET DE SOUDURE'!$AN$7:$AN$1506,0)))</f>
        <v/>
      </c>
      <c r="H120" s="91" t="str">
        <f aca="false">IF($B120="","",INDEX('CARNET DE SOUDURE'!$AK$7:$AK$1506,MATCH(109,'CARNET DE SOUDURE'!$AN$7:$AN$1506,0)))</f>
        <v/>
      </c>
      <c r="I120" s="109" t="str">
        <f aca="false">IF($B120="","",INDEX('CARNET DE SOUDURE'!$AI$7:$AI$1506,MATCH(109,'CARNET DE SOUDURE'!$AN$7:$AN$1506,0)))</f>
        <v/>
      </c>
      <c r="J120" s="109" t="str">
        <f aca="false">IF($B120="","",INDEX('CARNET DE SOUDURE'!$AL$7:$AL$1506,MATCH(109,'CARNET DE SOUDURE'!$AN$7:$AN$1506,0)))</f>
        <v/>
      </c>
      <c r="K120" s="87"/>
      <c r="L120" s="87"/>
    </row>
    <row r="121" customFormat="false" ht="15" hidden="false" customHeight="false" outlineLevel="0" collapsed="false">
      <c r="B121" s="110" t="str">
        <f aca="false">IF(110&gt;$I$4,"",110)</f>
        <v/>
      </c>
      <c r="C121" s="110" t="str">
        <f aca="false">IF($B121="","",INDEX('CARNET DE SOUDURE'!$B$7:$B$1506,MATCH(110,'CARNET DE SOUDURE'!$AN$7:$AN$1506,0)))</f>
        <v/>
      </c>
      <c r="D121" s="110" t="str">
        <f aca="false">IF($B121="","",INDEX('CARNET DE SOUDURE'!$E$7:$E$1506,MATCH(110,'CARNET DE SOUDURE'!$AN$7:$AN$1506,0)))</f>
        <v/>
      </c>
      <c r="E121" s="110" t="str">
        <f aca="false">IF($B121="","",INDEX('CARNET DE SOUDURE'!$D$7:$D$1506,MATCH(110,'CARNET DE SOUDURE'!$AN$7:$AN$1506,0)))</f>
        <v/>
      </c>
      <c r="F121" s="110" t="str">
        <f aca="false">IF($B121="","",INDEX('CARNET DE SOUDURE'!$M$7:$M$1506,MATCH(110,'CARNET DE SOUDURE'!$AN$7:$AN$1506,0))&amp;" / "&amp;INDEX('CARNET DE SOUDURE'!$N$7:$N$1506,MATCH(110,'CARNET DE SOUDURE'!$AN$7:$AN$1506,0))&amp;" / "&amp;INDEX('CARNET DE SOUDURE'!$O$7:$O$1506,MATCH(110,'CARNET DE SOUDURE'!$AN$7:$AN$1506,0)))</f>
        <v/>
      </c>
      <c r="G121" s="111" t="str">
        <f aca="false">IF($B121="","",INDEX('CARNET DE SOUDURE'!$P$7:$P$1506,MATCH(110,'CARNET DE SOUDURE'!$AN$7:$AN$1506,0)))</f>
        <v/>
      </c>
      <c r="H121" s="112" t="str">
        <f aca="false">IF($B121="","",INDEX('CARNET DE SOUDURE'!$AK$7:$AK$1506,MATCH(110,'CARNET DE SOUDURE'!$AN$7:$AN$1506,0)))</f>
        <v/>
      </c>
      <c r="I121" s="113" t="str">
        <f aca="false">IF($B121="","",INDEX('CARNET DE SOUDURE'!$AI$7:$AI$1506,MATCH(110,'CARNET DE SOUDURE'!$AN$7:$AN$1506,0)))</f>
        <v/>
      </c>
      <c r="J121" s="113" t="str">
        <f aca="false">IF($B121="","",INDEX('CARNET DE SOUDURE'!$AL$7:$AL$1506,MATCH(110,'CARNET DE SOUDURE'!$AN$7:$AN$1506,0)))</f>
        <v/>
      </c>
      <c r="K121" s="87"/>
      <c r="L121" s="87"/>
    </row>
    <row r="122" customFormat="false" ht="15" hidden="false" customHeight="false" outlineLevel="0" collapsed="false">
      <c r="B122" s="91" t="str">
        <f aca="false">IF(111&gt;$I$4,"",111)</f>
        <v/>
      </c>
      <c r="C122" s="91" t="str">
        <f aca="false">IF($B122="","",INDEX('CARNET DE SOUDURE'!$B$7:$B$1506,MATCH(111,'CARNET DE SOUDURE'!$AN$7:$AN$1506,0)))</f>
        <v/>
      </c>
      <c r="D122" s="91" t="str">
        <f aca="false">IF($B122="","",INDEX('CARNET DE SOUDURE'!$E$7:$E$1506,MATCH(111,'CARNET DE SOUDURE'!$AN$7:$AN$1506,0)))</f>
        <v/>
      </c>
      <c r="E122" s="91" t="str">
        <f aca="false">IF($B122="","",INDEX('CARNET DE SOUDURE'!$D$7:$D$1506,MATCH(111,'CARNET DE SOUDURE'!$AN$7:$AN$1506,0)))</f>
        <v/>
      </c>
      <c r="F122" s="91" t="str">
        <f aca="false">IF($B122="","",INDEX('CARNET DE SOUDURE'!$M$7:$M$1506,MATCH(111,'CARNET DE SOUDURE'!$AN$7:$AN$1506,0))&amp;" / "&amp;INDEX('CARNET DE SOUDURE'!$N$7:$N$1506,MATCH(111,'CARNET DE SOUDURE'!$AN$7:$AN$1506,0))&amp;" / "&amp;INDEX('CARNET DE SOUDURE'!$O$7:$O$1506,MATCH(111,'CARNET DE SOUDURE'!$AN$7:$AN$1506,0)))</f>
        <v/>
      </c>
      <c r="G122" s="108" t="str">
        <f aca="false">IF($B122="","",INDEX('CARNET DE SOUDURE'!$P$7:$P$1506,MATCH(111,'CARNET DE SOUDURE'!$AN$7:$AN$1506,0)))</f>
        <v/>
      </c>
      <c r="H122" s="91" t="str">
        <f aca="false">IF($B122="","",INDEX('CARNET DE SOUDURE'!$AK$7:$AK$1506,MATCH(111,'CARNET DE SOUDURE'!$AN$7:$AN$1506,0)))</f>
        <v/>
      </c>
      <c r="I122" s="109" t="str">
        <f aca="false">IF($B122="","",INDEX('CARNET DE SOUDURE'!$AI$7:$AI$1506,MATCH(111,'CARNET DE SOUDURE'!$AN$7:$AN$1506,0)))</f>
        <v/>
      </c>
      <c r="J122" s="109" t="str">
        <f aca="false">IF($B122="","",INDEX('CARNET DE SOUDURE'!$AL$7:$AL$1506,MATCH(111,'CARNET DE SOUDURE'!$AN$7:$AN$1506,0)))</f>
        <v/>
      </c>
      <c r="K122" s="87"/>
      <c r="L122" s="87"/>
    </row>
    <row r="123" customFormat="false" ht="15" hidden="false" customHeight="false" outlineLevel="0" collapsed="false">
      <c r="B123" s="110" t="str">
        <f aca="false">IF(112&gt;$I$4,"",112)</f>
        <v/>
      </c>
      <c r="C123" s="110" t="str">
        <f aca="false">IF($B123="","",INDEX('CARNET DE SOUDURE'!$B$7:$B$1506,MATCH(112,'CARNET DE SOUDURE'!$AN$7:$AN$1506,0)))</f>
        <v/>
      </c>
      <c r="D123" s="110" t="str">
        <f aca="false">IF($B123="","",INDEX('CARNET DE SOUDURE'!$E$7:$E$1506,MATCH(112,'CARNET DE SOUDURE'!$AN$7:$AN$1506,0)))</f>
        <v/>
      </c>
      <c r="E123" s="110" t="str">
        <f aca="false">IF($B123="","",INDEX('CARNET DE SOUDURE'!$D$7:$D$1506,MATCH(112,'CARNET DE SOUDURE'!$AN$7:$AN$1506,0)))</f>
        <v/>
      </c>
      <c r="F123" s="110" t="str">
        <f aca="false">IF($B123="","",INDEX('CARNET DE SOUDURE'!$M$7:$M$1506,MATCH(112,'CARNET DE SOUDURE'!$AN$7:$AN$1506,0))&amp;" / "&amp;INDEX('CARNET DE SOUDURE'!$N$7:$N$1506,MATCH(112,'CARNET DE SOUDURE'!$AN$7:$AN$1506,0))&amp;" / "&amp;INDEX('CARNET DE SOUDURE'!$O$7:$O$1506,MATCH(112,'CARNET DE SOUDURE'!$AN$7:$AN$1506,0)))</f>
        <v/>
      </c>
      <c r="G123" s="111" t="str">
        <f aca="false">IF($B123="","",INDEX('CARNET DE SOUDURE'!$P$7:$P$1506,MATCH(112,'CARNET DE SOUDURE'!$AN$7:$AN$1506,0)))</f>
        <v/>
      </c>
      <c r="H123" s="112" t="str">
        <f aca="false">IF($B123="","",INDEX('CARNET DE SOUDURE'!$AK$7:$AK$1506,MATCH(112,'CARNET DE SOUDURE'!$AN$7:$AN$1506,0)))</f>
        <v/>
      </c>
      <c r="I123" s="113" t="str">
        <f aca="false">IF($B123="","",INDEX('CARNET DE SOUDURE'!$AI$7:$AI$1506,MATCH(112,'CARNET DE SOUDURE'!$AN$7:$AN$1506,0)))</f>
        <v/>
      </c>
      <c r="J123" s="113" t="str">
        <f aca="false">IF($B123="","",INDEX('CARNET DE SOUDURE'!$AL$7:$AL$1506,MATCH(112,'CARNET DE SOUDURE'!$AN$7:$AN$1506,0)))</f>
        <v/>
      </c>
      <c r="K123" s="87"/>
      <c r="L123" s="87"/>
    </row>
    <row r="124" customFormat="false" ht="15" hidden="false" customHeight="false" outlineLevel="0" collapsed="false">
      <c r="B124" s="91" t="str">
        <f aca="false">IF(113&gt;$I$4,"",113)</f>
        <v/>
      </c>
      <c r="C124" s="91" t="str">
        <f aca="false">IF($B124="","",INDEX('CARNET DE SOUDURE'!$B$7:$B$1506,MATCH(113,'CARNET DE SOUDURE'!$AN$7:$AN$1506,0)))</f>
        <v/>
      </c>
      <c r="D124" s="91" t="str">
        <f aca="false">IF($B124="","",INDEX('CARNET DE SOUDURE'!$E$7:$E$1506,MATCH(113,'CARNET DE SOUDURE'!$AN$7:$AN$1506,0)))</f>
        <v/>
      </c>
      <c r="E124" s="91" t="str">
        <f aca="false">IF($B124="","",INDEX('CARNET DE SOUDURE'!$D$7:$D$1506,MATCH(113,'CARNET DE SOUDURE'!$AN$7:$AN$1506,0)))</f>
        <v/>
      </c>
      <c r="F124" s="91" t="str">
        <f aca="false">IF($B124="","",INDEX('CARNET DE SOUDURE'!$M$7:$M$1506,MATCH(113,'CARNET DE SOUDURE'!$AN$7:$AN$1506,0))&amp;" / "&amp;INDEX('CARNET DE SOUDURE'!$N$7:$N$1506,MATCH(113,'CARNET DE SOUDURE'!$AN$7:$AN$1506,0))&amp;" / "&amp;INDEX('CARNET DE SOUDURE'!$O$7:$O$1506,MATCH(113,'CARNET DE SOUDURE'!$AN$7:$AN$1506,0)))</f>
        <v/>
      </c>
      <c r="G124" s="108" t="str">
        <f aca="false">IF($B124="","",INDEX('CARNET DE SOUDURE'!$P$7:$P$1506,MATCH(113,'CARNET DE SOUDURE'!$AN$7:$AN$1506,0)))</f>
        <v/>
      </c>
      <c r="H124" s="91" t="str">
        <f aca="false">IF($B124="","",INDEX('CARNET DE SOUDURE'!$AK$7:$AK$1506,MATCH(113,'CARNET DE SOUDURE'!$AN$7:$AN$1506,0)))</f>
        <v/>
      </c>
      <c r="I124" s="109" t="str">
        <f aca="false">IF($B124="","",INDEX('CARNET DE SOUDURE'!$AI$7:$AI$1506,MATCH(113,'CARNET DE SOUDURE'!$AN$7:$AN$1506,0)))</f>
        <v/>
      </c>
      <c r="J124" s="109" t="str">
        <f aca="false">IF($B124="","",INDEX('CARNET DE SOUDURE'!$AL$7:$AL$1506,MATCH(113,'CARNET DE SOUDURE'!$AN$7:$AN$1506,0)))</f>
        <v/>
      </c>
      <c r="K124" s="87"/>
      <c r="L124" s="87"/>
    </row>
    <row r="125" customFormat="false" ht="15" hidden="false" customHeight="false" outlineLevel="0" collapsed="false">
      <c r="B125" s="110" t="str">
        <f aca="false">IF(114&gt;$I$4,"",114)</f>
        <v/>
      </c>
      <c r="C125" s="110" t="str">
        <f aca="false">IF($B125="","",INDEX('CARNET DE SOUDURE'!$B$7:$B$1506,MATCH(114,'CARNET DE SOUDURE'!$AN$7:$AN$1506,0)))</f>
        <v/>
      </c>
      <c r="D125" s="110" t="str">
        <f aca="false">IF($B125="","",INDEX('CARNET DE SOUDURE'!$E$7:$E$1506,MATCH(114,'CARNET DE SOUDURE'!$AN$7:$AN$1506,0)))</f>
        <v/>
      </c>
      <c r="E125" s="110" t="str">
        <f aca="false">IF($B125="","",INDEX('CARNET DE SOUDURE'!$D$7:$D$1506,MATCH(114,'CARNET DE SOUDURE'!$AN$7:$AN$1506,0)))</f>
        <v/>
      </c>
      <c r="F125" s="110" t="str">
        <f aca="false">IF($B125="","",INDEX('CARNET DE SOUDURE'!$M$7:$M$1506,MATCH(114,'CARNET DE SOUDURE'!$AN$7:$AN$1506,0))&amp;" / "&amp;INDEX('CARNET DE SOUDURE'!$N$7:$N$1506,MATCH(114,'CARNET DE SOUDURE'!$AN$7:$AN$1506,0))&amp;" / "&amp;INDEX('CARNET DE SOUDURE'!$O$7:$O$1506,MATCH(114,'CARNET DE SOUDURE'!$AN$7:$AN$1506,0)))</f>
        <v/>
      </c>
      <c r="G125" s="111" t="str">
        <f aca="false">IF($B125="","",INDEX('CARNET DE SOUDURE'!$P$7:$P$1506,MATCH(114,'CARNET DE SOUDURE'!$AN$7:$AN$1506,0)))</f>
        <v/>
      </c>
      <c r="H125" s="112" t="str">
        <f aca="false">IF($B125="","",INDEX('CARNET DE SOUDURE'!$AK$7:$AK$1506,MATCH(114,'CARNET DE SOUDURE'!$AN$7:$AN$1506,0)))</f>
        <v/>
      </c>
      <c r="I125" s="113" t="str">
        <f aca="false">IF($B125="","",INDEX('CARNET DE SOUDURE'!$AI$7:$AI$1506,MATCH(114,'CARNET DE SOUDURE'!$AN$7:$AN$1506,0)))</f>
        <v/>
      </c>
      <c r="J125" s="113" t="str">
        <f aca="false">IF($B125="","",INDEX('CARNET DE SOUDURE'!$AL$7:$AL$1506,MATCH(114,'CARNET DE SOUDURE'!$AN$7:$AN$1506,0)))</f>
        <v/>
      </c>
      <c r="K125" s="87"/>
      <c r="L125" s="87"/>
    </row>
    <row r="126" customFormat="false" ht="15" hidden="false" customHeight="false" outlineLevel="0" collapsed="false">
      <c r="B126" s="91" t="str">
        <f aca="false">IF(115&gt;$I$4,"",115)</f>
        <v/>
      </c>
      <c r="C126" s="91" t="str">
        <f aca="false">IF($B126="","",INDEX('CARNET DE SOUDURE'!$B$7:$B$1506,MATCH(115,'CARNET DE SOUDURE'!$AN$7:$AN$1506,0)))</f>
        <v/>
      </c>
      <c r="D126" s="91" t="str">
        <f aca="false">IF($B126="","",INDEX('CARNET DE SOUDURE'!$E$7:$E$1506,MATCH(115,'CARNET DE SOUDURE'!$AN$7:$AN$1506,0)))</f>
        <v/>
      </c>
      <c r="E126" s="91" t="str">
        <f aca="false">IF($B126="","",INDEX('CARNET DE SOUDURE'!$D$7:$D$1506,MATCH(115,'CARNET DE SOUDURE'!$AN$7:$AN$1506,0)))</f>
        <v/>
      </c>
      <c r="F126" s="91" t="str">
        <f aca="false">IF($B126="","",INDEX('CARNET DE SOUDURE'!$M$7:$M$1506,MATCH(115,'CARNET DE SOUDURE'!$AN$7:$AN$1506,0))&amp;" / "&amp;INDEX('CARNET DE SOUDURE'!$N$7:$N$1506,MATCH(115,'CARNET DE SOUDURE'!$AN$7:$AN$1506,0))&amp;" / "&amp;INDEX('CARNET DE SOUDURE'!$O$7:$O$1506,MATCH(115,'CARNET DE SOUDURE'!$AN$7:$AN$1506,0)))</f>
        <v/>
      </c>
      <c r="G126" s="108" t="str">
        <f aca="false">IF($B126="","",INDEX('CARNET DE SOUDURE'!$P$7:$P$1506,MATCH(115,'CARNET DE SOUDURE'!$AN$7:$AN$1506,0)))</f>
        <v/>
      </c>
      <c r="H126" s="91" t="str">
        <f aca="false">IF($B126="","",INDEX('CARNET DE SOUDURE'!$AK$7:$AK$1506,MATCH(115,'CARNET DE SOUDURE'!$AN$7:$AN$1506,0)))</f>
        <v/>
      </c>
      <c r="I126" s="109" t="str">
        <f aca="false">IF($B126="","",INDEX('CARNET DE SOUDURE'!$AI$7:$AI$1506,MATCH(115,'CARNET DE SOUDURE'!$AN$7:$AN$1506,0)))</f>
        <v/>
      </c>
      <c r="J126" s="109" t="str">
        <f aca="false">IF($B126="","",INDEX('CARNET DE SOUDURE'!$AL$7:$AL$1506,MATCH(115,'CARNET DE SOUDURE'!$AN$7:$AN$1506,0)))</f>
        <v/>
      </c>
      <c r="K126" s="87"/>
      <c r="L126" s="87"/>
    </row>
    <row r="127" customFormat="false" ht="15" hidden="false" customHeight="false" outlineLevel="0" collapsed="false">
      <c r="B127" s="110" t="str">
        <f aca="false">IF(116&gt;$I$4,"",116)</f>
        <v/>
      </c>
      <c r="C127" s="110" t="str">
        <f aca="false">IF($B127="","",INDEX('CARNET DE SOUDURE'!$B$7:$B$1506,MATCH(116,'CARNET DE SOUDURE'!$AN$7:$AN$1506,0)))</f>
        <v/>
      </c>
      <c r="D127" s="110" t="str">
        <f aca="false">IF($B127="","",INDEX('CARNET DE SOUDURE'!$E$7:$E$1506,MATCH(116,'CARNET DE SOUDURE'!$AN$7:$AN$1506,0)))</f>
        <v/>
      </c>
      <c r="E127" s="110" t="str">
        <f aca="false">IF($B127="","",INDEX('CARNET DE SOUDURE'!$D$7:$D$1506,MATCH(116,'CARNET DE SOUDURE'!$AN$7:$AN$1506,0)))</f>
        <v/>
      </c>
      <c r="F127" s="110" t="str">
        <f aca="false">IF($B127="","",INDEX('CARNET DE SOUDURE'!$M$7:$M$1506,MATCH(116,'CARNET DE SOUDURE'!$AN$7:$AN$1506,0))&amp;" / "&amp;INDEX('CARNET DE SOUDURE'!$N$7:$N$1506,MATCH(116,'CARNET DE SOUDURE'!$AN$7:$AN$1506,0))&amp;" / "&amp;INDEX('CARNET DE SOUDURE'!$O$7:$O$1506,MATCH(116,'CARNET DE SOUDURE'!$AN$7:$AN$1506,0)))</f>
        <v/>
      </c>
      <c r="G127" s="111" t="str">
        <f aca="false">IF($B127="","",INDEX('CARNET DE SOUDURE'!$P$7:$P$1506,MATCH(116,'CARNET DE SOUDURE'!$AN$7:$AN$1506,0)))</f>
        <v/>
      </c>
      <c r="H127" s="112" t="str">
        <f aca="false">IF($B127="","",INDEX('CARNET DE SOUDURE'!$AK$7:$AK$1506,MATCH(116,'CARNET DE SOUDURE'!$AN$7:$AN$1506,0)))</f>
        <v/>
      </c>
      <c r="I127" s="113" t="str">
        <f aca="false">IF($B127="","",INDEX('CARNET DE SOUDURE'!$AI$7:$AI$1506,MATCH(116,'CARNET DE SOUDURE'!$AN$7:$AN$1506,0)))</f>
        <v/>
      </c>
      <c r="J127" s="113" t="str">
        <f aca="false">IF($B127="","",INDEX('CARNET DE SOUDURE'!$AL$7:$AL$1506,MATCH(116,'CARNET DE SOUDURE'!$AN$7:$AN$1506,0)))</f>
        <v/>
      </c>
      <c r="K127" s="87"/>
      <c r="L127" s="87"/>
    </row>
    <row r="128" customFormat="false" ht="15" hidden="false" customHeight="false" outlineLevel="0" collapsed="false">
      <c r="B128" s="91" t="str">
        <f aca="false">IF(117&gt;$I$4,"",117)</f>
        <v/>
      </c>
      <c r="C128" s="91" t="str">
        <f aca="false">IF($B128="","",INDEX('CARNET DE SOUDURE'!$B$7:$B$1506,MATCH(117,'CARNET DE SOUDURE'!$AN$7:$AN$1506,0)))</f>
        <v/>
      </c>
      <c r="D128" s="91" t="str">
        <f aca="false">IF($B128="","",INDEX('CARNET DE SOUDURE'!$E$7:$E$1506,MATCH(117,'CARNET DE SOUDURE'!$AN$7:$AN$1506,0)))</f>
        <v/>
      </c>
      <c r="E128" s="91" t="str">
        <f aca="false">IF($B128="","",INDEX('CARNET DE SOUDURE'!$D$7:$D$1506,MATCH(117,'CARNET DE SOUDURE'!$AN$7:$AN$1506,0)))</f>
        <v/>
      </c>
      <c r="F128" s="91" t="str">
        <f aca="false">IF($B128="","",INDEX('CARNET DE SOUDURE'!$M$7:$M$1506,MATCH(117,'CARNET DE SOUDURE'!$AN$7:$AN$1506,0))&amp;" / "&amp;INDEX('CARNET DE SOUDURE'!$N$7:$N$1506,MATCH(117,'CARNET DE SOUDURE'!$AN$7:$AN$1506,0))&amp;" / "&amp;INDEX('CARNET DE SOUDURE'!$O$7:$O$1506,MATCH(117,'CARNET DE SOUDURE'!$AN$7:$AN$1506,0)))</f>
        <v/>
      </c>
      <c r="G128" s="108" t="str">
        <f aca="false">IF($B128="","",INDEX('CARNET DE SOUDURE'!$P$7:$P$1506,MATCH(117,'CARNET DE SOUDURE'!$AN$7:$AN$1506,0)))</f>
        <v/>
      </c>
      <c r="H128" s="91" t="str">
        <f aca="false">IF($B128="","",INDEX('CARNET DE SOUDURE'!$AK$7:$AK$1506,MATCH(117,'CARNET DE SOUDURE'!$AN$7:$AN$1506,0)))</f>
        <v/>
      </c>
      <c r="I128" s="109" t="str">
        <f aca="false">IF($B128="","",INDEX('CARNET DE SOUDURE'!$AI$7:$AI$1506,MATCH(117,'CARNET DE SOUDURE'!$AN$7:$AN$1506,0)))</f>
        <v/>
      </c>
      <c r="J128" s="109" t="str">
        <f aca="false">IF($B128="","",INDEX('CARNET DE SOUDURE'!$AL$7:$AL$1506,MATCH(117,'CARNET DE SOUDURE'!$AN$7:$AN$1506,0)))</f>
        <v/>
      </c>
      <c r="K128" s="87"/>
      <c r="L128" s="87"/>
    </row>
    <row r="129" customFormat="false" ht="15" hidden="false" customHeight="false" outlineLevel="0" collapsed="false">
      <c r="B129" s="110" t="str">
        <f aca="false">IF(118&gt;$I$4,"",118)</f>
        <v/>
      </c>
      <c r="C129" s="110" t="str">
        <f aca="false">IF($B129="","",INDEX('CARNET DE SOUDURE'!$B$7:$B$1506,MATCH(118,'CARNET DE SOUDURE'!$AN$7:$AN$1506,0)))</f>
        <v/>
      </c>
      <c r="D129" s="110" t="str">
        <f aca="false">IF($B129="","",INDEX('CARNET DE SOUDURE'!$E$7:$E$1506,MATCH(118,'CARNET DE SOUDURE'!$AN$7:$AN$1506,0)))</f>
        <v/>
      </c>
      <c r="E129" s="110" t="str">
        <f aca="false">IF($B129="","",INDEX('CARNET DE SOUDURE'!$D$7:$D$1506,MATCH(118,'CARNET DE SOUDURE'!$AN$7:$AN$1506,0)))</f>
        <v/>
      </c>
      <c r="F129" s="110" t="str">
        <f aca="false">IF($B129="","",INDEX('CARNET DE SOUDURE'!$M$7:$M$1506,MATCH(118,'CARNET DE SOUDURE'!$AN$7:$AN$1506,0))&amp;" / "&amp;INDEX('CARNET DE SOUDURE'!$N$7:$N$1506,MATCH(118,'CARNET DE SOUDURE'!$AN$7:$AN$1506,0))&amp;" / "&amp;INDEX('CARNET DE SOUDURE'!$O$7:$O$1506,MATCH(118,'CARNET DE SOUDURE'!$AN$7:$AN$1506,0)))</f>
        <v/>
      </c>
      <c r="G129" s="111" t="str">
        <f aca="false">IF($B129="","",INDEX('CARNET DE SOUDURE'!$P$7:$P$1506,MATCH(118,'CARNET DE SOUDURE'!$AN$7:$AN$1506,0)))</f>
        <v/>
      </c>
      <c r="H129" s="112" t="str">
        <f aca="false">IF($B129="","",INDEX('CARNET DE SOUDURE'!$AK$7:$AK$1506,MATCH(118,'CARNET DE SOUDURE'!$AN$7:$AN$1506,0)))</f>
        <v/>
      </c>
      <c r="I129" s="113" t="str">
        <f aca="false">IF($B129="","",INDEX('CARNET DE SOUDURE'!$AI$7:$AI$1506,MATCH(118,'CARNET DE SOUDURE'!$AN$7:$AN$1506,0)))</f>
        <v/>
      </c>
      <c r="J129" s="113" t="str">
        <f aca="false">IF($B129="","",INDEX('CARNET DE SOUDURE'!$AL$7:$AL$1506,MATCH(118,'CARNET DE SOUDURE'!$AN$7:$AN$1506,0)))</f>
        <v/>
      </c>
      <c r="K129" s="87"/>
      <c r="L129" s="87"/>
    </row>
    <row r="130" customFormat="false" ht="15" hidden="false" customHeight="false" outlineLevel="0" collapsed="false">
      <c r="B130" s="91" t="str">
        <f aca="false">IF(119&gt;$I$4,"",119)</f>
        <v/>
      </c>
      <c r="C130" s="91" t="str">
        <f aca="false">IF($B130="","",INDEX('CARNET DE SOUDURE'!$B$7:$B$1506,MATCH(119,'CARNET DE SOUDURE'!$AN$7:$AN$1506,0)))</f>
        <v/>
      </c>
      <c r="D130" s="91" t="str">
        <f aca="false">IF($B130="","",INDEX('CARNET DE SOUDURE'!$E$7:$E$1506,MATCH(119,'CARNET DE SOUDURE'!$AN$7:$AN$1506,0)))</f>
        <v/>
      </c>
      <c r="E130" s="91" t="str">
        <f aca="false">IF($B130="","",INDEX('CARNET DE SOUDURE'!$D$7:$D$1506,MATCH(119,'CARNET DE SOUDURE'!$AN$7:$AN$1506,0)))</f>
        <v/>
      </c>
      <c r="F130" s="91" t="str">
        <f aca="false">IF($B130="","",INDEX('CARNET DE SOUDURE'!$M$7:$M$1506,MATCH(119,'CARNET DE SOUDURE'!$AN$7:$AN$1506,0))&amp;" / "&amp;INDEX('CARNET DE SOUDURE'!$N$7:$N$1506,MATCH(119,'CARNET DE SOUDURE'!$AN$7:$AN$1506,0))&amp;" / "&amp;INDEX('CARNET DE SOUDURE'!$O$7:$O$1506,MATCH(119,'CARNET DE SOUDURE'!$AN$7:$AN$1506,0)))</f>
        <v/>
      </c>
      <c r="G130" s="108" t="str">
        <f aca="false">IF($B130="","",INDEX('CARNET DE SOUDURE'!$P$7:$P$1506,MATCH(119,'CARNET DE SOUDURE'!$AN$7:$AN$1506,0)))</f>
        <v/>
      </c>
      <c r="H130" s="91" t="str">
        <f aca="false">IF($B130="","",INDEX('CARNET DE SOUDURE'!$AK$7:$AK$1506,MATCH(119,'CARNET DE SOUDURE'!$AN$7:$AN$1506,0)))</f>
        <v/>
      </c>
      <c r="I130" s="109" t="str">
        <f aca="false">IF($B130="","",INDEX('CARNET DE SOUDURE'!$AI$7:$AI$1506,MATCH(119,'CARNET DE SOUDURE'!$AN$7:$AN$1506,0)))</f>
        <v/>
      </c>
      <c r="J130" s="109" t="str">
        <f aca="false">IF($B130="","",INDEX('CARNET DE SOUDURE'!$AL$7:$AL$1506,MATCH(119,'CARNET DE SOUDURE'!$AN$7:$AN$1506,0)))</f>
        <v/>
      </c>
      <c r="K130" s="87"/>
      <c r="L130" s="87"/>
    </row>
    <row r="131" customFormat="false" ht="15" hidden="false" customHeight="false" outlineLevel="0" collapsed="false">
      <c r="B131" s="110" t="str">
        <f aca="false">IF(120&gt;$I$4,"",120)</f>
        <v/>
      </c>
      <c r="C131" s="110" t="str">
        <f aca="false">IF($B131="","",INDEX('CARNET DE SOUDURE'!$B$7:$B$1506,MATCH(120,'CARNET DE SOUDURE'!$AN$7:$AN$1506,0)))</f>
        <v/>
      </c>
      <c r="D131" s="110" t="str">
        <f aca="false">IF($B131="","",INDEX('CARNET DE SOUDURE'!$E$7:$E$1506,MATCH(120,'CARNET DE SOUDURE'!$AN$7:$AN$1506,0)))</f>
        <v/>
      </c>
      <c r="E131" s="110" t="str">
        <f aca="false">IF($B131="","",INDEX('CARNET DE SOUDURE'!$D$7:$D$1506,MATCH(120,'CARNET DE SOUDURE'!$AN$7:$AN$1506,0)))</f>
        <v/>
      </c>
      <c r="F131" s="110" t="str">
        <f aca="false">IF($B131="","",INDEX('CARNET DE SOUDURE'!$M$7:$M$1506,MATCH(120,'CARNET DE SOUDURE'!$AN$7:$AN$1506,0))&amp;" / "&amp;INDEX('CARNET DE SOUDURE'!$N$7:$N$1506,MATCH(120,'CARNET DE SOUDURE'!$AN$7:$AN$1506,0))&amp;" / "&amp;INDEX('CARNET DE SOUDURE'!$O$7:$O$1506,MATCH(120,'CARNET DE SOUDURE'!$AN$7:$AN$1506,0)))</f>
        <v/>
      </c>
      <c r="G131" s="111" t="str">
        <f aca="false">IF($B131="","",INDEX('CARNET DE SOUDURE'!$P$7:$P$1506,MATCH(120,'CARNET DE SOUDURE'!$AN$7:$AN$1506,0)))</f>
        <v/>
      </c>
      <c r="H131" s="112" t="str">
        <f aca="false">IF($B131="","",INDEX('CARNET DE SOUDURE'!$AK$7:$AK$1506,MATCH(120,'CARNET DE SOUDURE'!$AN$7:$AN$1506,0)))</f>
        <v/>
      </c>
      <c r="I131" s="113" t="str">
        <f aca="false">IF($B131="","",INDEX('CARNET DE SOUDURE'!$AI$7:$AI$1506,MATCH(120,'CARNET DE SOUDURE'!$AN$7:$AN$1506,0)))</f>
        <v/>
      </c>
      <c r="J131" s="113" t="str">
        <f aca="false">IF($B131="","",INDEX('CARNET DE SOUDURE'!$AL$7:$AL$1506,MATCH(120,'CARNET DE SOUDURE'!$AN$7:$AN$1506,0)))</f>
        <v/>
      </c>
      <c r="K131" s="87"/>
      <c r="L131" s="87"/>
    </row>
    <row r="132" customFormat="false" ht="15" hidden="false" customHeight="false" outlineLevel="0" collapsed="false">
      <c r="B132" s="91" t="str">
        <f aca="false">IF(121&gt;$I$4,"",121)</f>
        <v/>
      </c>
      <c r="C132" s="91" t="str">
        <f aca="false">IF($B132="","",INDEX('CARNET DE SOUDURE'!$B$7:$B$1506,MATCH(121,'CARNET DE SOUDURE'!$AN$7:$AN$1506,0)))</f>
        <v/>
      </c>
      <c r="D132" s="91" t="str">
        <f aca="false">IF($B132="","",INDEX('CARNET DE SOUDURE'!$E$7:$E$1506,MATCH(121,'CARNET DE SOUDURE'!$AN$7:$AN$1506,0)))</f>
        <v/>
      </c>
      <c r="E132" s="91" t="str">
        <f aca="false">IF($B132="","",INDEX('CARNET DE SOUDURE'!$D$7:$D$1506,MATCH(121,'CARNET DE SOUDURE'!$AN$7:$AN$1506,0)))</f>
        <v/>
      </c>
      <c r="F132" s="91" t="str">
        <f aca="false">IF($B132="","",INDEX('CARNET DE SOUDURE'!$M$7:$M$1506,MATCH(121,'CARNET DE SOUDURE'!$AN$7:$AN$1506,0))&amp;" / "&amp;INDEX('CARNET DE SOUDURE'!$N$7:$N$1506,MATCH(121,'CARNET DE SOUDURE'!$AN$7:$AN$1506,0))&amp;" / "&amp;INDEX('CARNET DE SOUDURE'!$O$7:$O$1506,MATCH(121,'CARNET DE SOUDURE'!$AN$7:$AN$1506,0)))</f>
        <v/>
      </c>
      <c r="G132" s="108" t="str">
        <f aca="false">IF($B132="","",INDEX('CARNET DE SOUDURE'!$P$7:$P$1506,MATCH(121,'CARNET DE SOUDURE'!$AN$7:$AN$1506,0)))</f>
        <v/>
      </c>
      <c r="H132" s="91" t="str">
        <f aca="false">IF($B132="","",INDEX('CARNET DE SOUDURE'!$AK$7:$AK$1506,MATCH(121,'CARNET DE SOUDURE'!$AN$7:$AN$1506,0)))</f>
        <v/>
      </c>
      <c r="I132" s="109" t="str">
        <f aca="false">IF($B132="","",INDEX('CARNET DE SOUDURE'!$AI$7:$AI$1506,MATCH(121,'CARNET DE SOUDURE'!$AN$7:$AN$1506,0)))</f>
        <v/>
      </c>
      <c r="J132" s="109" t="str">
        <f aca="false">IF($B132="","",INDEX('CARNET DE SOUDURE'!$AL$7:$AL$1506,MATCH(121,'CARNET DE SOUDURE'!$AN$7:$AN$1506,0)))</f>
        <v/>
      </c>
      <c r="K132" s="87"/>
      <c r="L132" s="87"/>
    </row>
    <row r="133" customFormat="false" ht="15" hidden="false" customHeight="false" outlineLevel="0" collapsed="false">
      <c r="B133" s="110" t="str">
        <f aca="false">IF(122&gt;$I$4,"",122)</f>
        <v/>
      </c>
      <c r="C133" s="110" t="str">
        <f aca="false">IF($B133="","",INDEX('CARNET DE SOUDURE'!$B$7:$B$1506,MATCH(122,'CARNET DE SOUDURE'!$AN$7:$AN$1506,0)))</f>
        <v/>
      </c>
      <c r="D133" s="110" t="str">
        <f aca="false">IF($B133="","",INDEX('CARNET DE SOUDURE'!$E$7:$E$1506,MATCH(122,'CARNET DE SOUDURE'!$AN$7:$AN$1506,0)))</f>
        <v/>
      </c>
      <c r="E133" s="110" t="str">
        <f aca="false">IF($B133="","",INDEX('CARNET DE SOUDURE'!$D$7:$D$1506,MATCH(122,'CARNET DE SOUDURE'!$AN$7:$AN$1506,0)))</f>
        <v/>
      </c>
      <c r="F133" s="110" t="str">
        <f aca="false">IF($B133="","",INDEX('CARNET DE SOUDURE'!$M$7:$M$1506,MATCH(122,'CARNET DE SOUDURE'!$AN$7:$AN$1506,0))&amp;" / "&amp;INDEX('CARNET DE SOUDURE'!$N$7:$N$1506,MATCH(122,'CARNET DE SOUDURE'!$AN$7:$AN$1506,0))&amp;" / "&amp;INDEX('CARNET DE SOUDURE'!$O$7:$O$1506,MATCH(122,'CARNET DE SOUDURE'!$AN$7:$AN$1506,0)))</f>
        <v/>
      </c>
      <c r="G133" s="111" t="str">
        <f aca="false">IF($B133="","",INDEX('CARNET DE SOUDURE'!$P$7:$P$1506,MATCH(122,'CARNET DE SOUDURE'!$AN$7:$AN$1506,0)))</f>
        <v/>
      </c>
      <c r="H133" s="112" t="str">
        <f aca="false">IF($B133="","",INDEX('CARNET DE SOUDURE'!$AK$7:$AK$1506,MATCH(122,'CARNET DE SOUDURE'!$AN$7:$AN$1506,0)))</f>
        <v/>
      </c>
      <c r="I133" s="113" t="str">
        <f aca="false">IF($B133="","",INDEX('CARNET DE SOUDURE'!$AI$7:$AI$1506,MATCH(122,'CARNET DE SOUDURE'!$AN$7:$AN$1506,0)))</f>
        <v/>
      </c>
      <c r="J133" s="113" t="str">
        <f aca="false">IF($B133="","",INDEX('CARNET DE SOUDURE'!$AL$7:$AL$1506,MATCH(122,'CARNET DE SOUDURE'!$AN$7:$AN$1506,0)))</f>
        <v/>
      </c>
      <c r="K133" s="87"/>
      <c r="L133" s="87"/>
    </row>
    <row r="134" customFormat="false" ht="15" hidden="false" customHeight="false" outlineLevel="0" collapsed="false">
      <c r="B134" s="91" t="str">
        <f aca="false">IF(123&gt;$I$4,"",123)</f>
        <v/>
      </c>
      <c r="C134" s="91" t="str">
        <f aca="false">IF($B134="","",INDEX('CARNET DE SOUDURE'!$B$7:$B$1506,MATCH(123,'CARNET DE SOUDURE'!$AN$7:$AN$1506,0)))</f>
        <v/>
      </c>
      <c r="D134" s="91" t="str">
        <f aca="false">IF($B134="","",INDEX('CARNET DE SOUDURE'!$E$7:$E$1506,MATCH(123,'CARNET DE SOUDURE'!$AN$7:$AN$1506,0)))</f>
        <v/>
      </c>
      <c r="E134" s="91" t="str">
        <f aca="false">IF($B134="","",INDEX('CARNET DE SOUDURE'!$D$7:$D$1506,MATCH(123,'CARNET DE SOUDURE'!$AN$7:$AN$1506,0)))</f>
        <v/>
      </c>
      <c r="F134" s="91" t="str">
        <f aca="false">IF($B134="","",INDEX('CARNET DE SOUDURE'!$M$7:$M$1506,MATCH(123,'CARNET DE SOUDURE'!$AN$7:$AN$1506,0))&amp;" / "&amp;INDEX('CARNET DE SOUDURE'!$N$7:$N$1506,MATCH(123,'CARNET DE SOUDURE'!$AN$7:$AN$1506,0))&amp;" / "&amp;INDEX('CARNET DE SOUDURE'!$O$7:$O$1506,MATCH(123,'CARNET DE SOUDURE'!$AN$7:$AN$1506,0)))</f>
        <v/>
      </c>
      <c r="G134" s="108" t="str">
        <f aca="false">IF($B134="","",INDEX('CARNET DE SOUDURE'!$P$7:$P$1506,MATCH(123,'CARNET DE SOUDURE'!$AN$7:$AN$1506,0)))</f>
        <v/>
      </c>
      <c r="H134" s="91" t="str">
        <f aca="false">IF($B134="","",INDEX('CARNET DE SOUDURE'!$AK$7:$AK$1506,MATCH(123,'CARNET DE SOUDURE'!$AN$7:$AN$1506,0)))</f>
        <v/>
      </c>
      <c r="I134" s="109" t="str">
        <f aca="false">IF($B134="","",INDEX('CARNET DE SOUDURE'!$AI$7:$AI$1506,MATCH(123,'CARNET DE SOUDURE'!$AN$7:$AN$1506,0)))</f>
        <v/>
      </c>
      <c r="J134" s="109" t="str">
        <f aca="false">IF($B134="","",INDEX('CARNET DE SOUDURE'!$AL$7:$AL$1506,MATCH(123,'CARNET DE SOUDURE'!$AN$7:$AN$1506,0)))</f>
        <v/>
      </c>
      <c r="K134" s="87"/>
      <c r="L134" s="87"/>
    </row>
    <row r="135" customFormat="false" ht="15" hidden="false" customHeight="false" outlineLevel="0" collapsed="false">
      <c r="B135" s="110" t="str">
        <f aca="false">IF(124&gt;$I$4,"",124)</f>
        <v/>
      </c>
      <c r="C135" s="110" t="str">
        <f aca="false">IF($B135="","",INDEX('CARNET DE SOUDURE'!$B$7:$B$1506,MATCH(124,'CARNET DE SOUDURE'!$AN$7:$AN$1506,0)))</f>
        <v/>
      </c>
      <c r="D135" s="110" t="str">
        <f aca="false">IF($B135="","",INDEX('CARNET DE SOUDURE'!$E$7:$E$1506,MATCH(124,'CARNET DE SOUDURE'!$AN$7:$AN$1506,0)))</f>
        <v/>
      </c>
      <c r="E135" s="110" t="str">
        <f aca="false">IF($B135="","",INDEX('CARNET DE SOUDURE'!$D$7:$D$1506,MATCH(124,'CARNET DE SOUDURE'!$AN$7:$AN$1506,0)))</f>
        <v/>
      </c>
      <c r="F135" s="110" t="str">
        <f aca="false">IF($B135="","",INDEX('CARNET DE SOUDURE'!$M$7:$M$1506,MATCH(124,'CARNET DE SOUDURE'!$AN$7:$AN$1506,0))&amp;" / "&amp;INDEX('CARNET DE SOUDURE'!$N$7:$N$1506,MATCH(124,'CARNET DE SOUDURE'!$AN$7:$AN$1506,0))&amp;" / "&amp;INDEX('CARNET DE SOUDURE'!$O$7:$O$1506,MATCH(124,'CARNET DE SOUDURE'!$AN$7:$AN$1506,0)))</f>
        <v/>
      </c>
      <c r="G135" s="111" t="str">
        <f aca="false">IF($B135="","",INDEX('CARNET DE SOUDURE'!$P$7:$P$1506,MATCH(124,'CARNET DE SOUDURE'!$AN$7:$AN$1506,0)))</f>
        <v/>
      </c>
      <c r="H135" s="112" t="str">
        <f aca="false">IF($B135="","",INDEX('CARNET DE SOUDURE'!$AK$7:$AK$1506,MATCH(124,'CARNET DE SOUDURE'!$AN$7:$AN$1506,0)))</f>
        <v/>
      </c>
      <c r="I135" s="113" t="str">
        <f aca="false">IF($B135="","",INDEX('CARNET DE SOUDURE'!$AI$7:$AI$1506,MATCH(124,'CARNET DE SOUDURE'!$AN$7:$AN$1506,0)))</f>
        <v/>
      </c>
      <c r="J135" s="113" t="str">
        <f aca="false">IF($B135="","",INDEX('CARNET DE SOUDURE'!$AL$7:$AL$1506,MATCH(124,'CARNET DE SOUDURE'!$AN$7:$AN$1506,0)))</f>
        <v/>
      </c>
      <c r="K135" s="87"/>
      <c r="L135" s="87"/>
    </row>
    <row r="136" customFormat="false" ht="15" hidden="false" customHeight="false" outlineLevel="0" collapsed="false">
      <c r="B136" s="91" t="str">
        <f aca="false">IF(125&gt;$I$4,"",125)</f>
        <v/>
      </c>
      <c r="C136" s="91" t="str">
        <f aca="false">IF($B136="","",INDEX('CARNET DE SOUDURE'!$B$7:$B$1506,MATCH(125,'CARNET DE SOUDURE'!$AN$7:$AN$1506,0)))</f>
        <v/>
      </c>
      <c r="D136" s="91" t="str">
        <f aca="false">IF($B136="","",INDEX('CARNET DE SOUDURE'!$E$7:$E$1506,MATCH(125,'CARNET DE SOUDURE'!$AN$7:$AN$1506,0)))</f>
        <v/>
      </c>
      <c r="E136" s="91" t="str">
        <f aca="false">IF($B136="","",INDEX('CARNET DE SOUDURE'!$D$7:$D$1506,MATCH(125,'CARNET DE SOUDURE'!$AN$7:$AN$1506,0)))</f>
        <v/>
      </c>
      <c r="F136" s="91" t="str">
        <f aca="false">IF($B136="","",INDEX('CARNET DE SOUDURE'!$M$7:$M$1506,MATCH(125,'CARNET DE SOUDURE'!$AN$7:$AN$1506,0))&amp;" / "&amp;INDEX('CARNET DE SOUDURE'!$N$7:$N$1506,MATCH(125,'CARNET DE SOUDURE'!$AN$7:$AN$1506,0))&amp;" / "&amp;INDEX('CARNET DE SOUDURE'!$O$7:$O$1506,MATCH(125,'CARNET DE SOUDURE'!$AN$7:$AN$1506,0)))</f>
        <v/>
      </c>
      <c r="G136" s="108" t="str">
        <f aca="false">IF($B136="","",INDEX('CARNET DE SOUDURE'!$P$7:$P$1506,MATCH(125,'CARNET DE SOUDURE'!$AN$7:$AN$1506,0)))</f>
        <v/>
      </c>
      <c r="H136" s="91" t="str">
        <f aca="false">IF($B136="","",INDEX('CARNET DE SOUDURE'!$AK$7:$AK$1506,MATCH(125,'CARNET DE SOUDURE'!$AN$7:$AN$1506,0)))</f>
        <v/>
      </c>
      <c r="I136" s="109" t="str">
        <f aca="false">IF($B136="","",INDEX('CARNET DE SOUDURE'!$AI$7:$AI$1506,MATCH(125,'CARNET DE SOUDURE'!$AN$7:$AN$1506,0)))</f>
        <v/>
      </c>
      <c r="J136" s="109" t="str">
        <f aca="false">IF($B136="","",INDEX('CARNET DE SOUDURE'!$AL$7:$AL$1506,MATCH(125,'CARNET DE SOUDURE'!$AN$7:$AN$1506,0)))</f>
        <v/>
      </c>
      <c r="K136" s="87"/>
      <c r="L136" s="87"/>
    </row>
    <row r="137" customFormat="false" ht="15" hidden="false" customHeight="false" outlineLevel="0" collapsed="false">
      <c r="B137" s="110" t="str">
        <f aca="false">IF(126&gt;$I$4,"",126)</f>
        <v/>
      </c>
      <c r="C137" s="110" t="str">
        <f aca="false">IF($B137="","",INDEX('CARNET DE SOUDURE'!$B$7:$B$1506,MATCH(126,'CARNET DE SOUDURE'!$AN$7:$AN$1506,0)))</f>
        <v/>
      </c>
      <c r="D137" s="110" t="str">
        <f aca="false">IF($B137="","",INDEX('CARNET DE SOUDURE'!$E$7:$E$1506,MATCH(126,'CARNET DE SOUDURE'!$AN$7:$AN$1506,0)))</f>
        <v/>
      </c>
      <c r="E137" s="110" t="str">
        <f aca="false">IF($B137="","",INDEX('CARNET DE SOUDURE'!$D$7:$D$1506,MATCH(126,'CARNET DE SOUDURE'!$AN$7:$AN$1506,0)))</f>
        <v/>
      </c>
      <c r="F137" s="110" t="str">
        <f aca="false">IF($B137="","",INDEX('CARNET DE SOUDURE'!$M$7:$M$1506,MATCH(126,'CARNET DE SOUDURE'!$AN$7:$AN$1506,0))&amp;" / "&amp;INDEX('CARNET DE SOUDURE'!$N$7:$N$1506,MATCH(126,'CARNET DE SOUDURE'!$AN$7:$AN$1506,0))&amp;" / "&amp;INDEX('CARNET DE SOUDURE'!$O$7:$O$1506,MATCH(126,'CARNET DE SOUDURE'!$AN$7:$AN$1506,0)))</f>
        <v/>
      </c>
      <c r="G137" s="111" t="str">
        <f aca="false">IF($B137="","",INDEX('CARNET DE SOUDURE'!$P$7:$P$1506,MATCH(126,'CARNET DE SOUDURE'!$AN$7:$AN$1506,0)))</f>
        <v/>
      </c>
      <c r="H137" s="112" t="str">
        <f aca="false">IF($B137="","",INDEX('CARNET DE SOUDURE'!$AK$7:$AK$1506,MATCH(126,'CARNET DE SOUDURE'!$AN$7:$AN$1506,0)))</f>
        <v/>
      </c>
      <c r="I137" s="113" t="str">
        <f aca="false">IF($B137="","",INDEX('CARNET DE SOUDURE'!$AI$7:$AI$1506,MATCH(126,'CARNET DE SOUDURE'!$AN$7:$AN$1506,0)))</f>
        <v/>
      </c>
      <c r="J137" s="113" t="str">
        <f aca="false">IF($B137="","",INDEX('CARNET DE SOUDURE'!$AL$7:$AL$1506,MATCH(126,'CARNET DE SOUDURE'!$AN$7:$AN$1506,0)))</f>
        <v/>
      </c>
      <c r="K137" s="87"/>
      <c r="L137" s="87"/>
    </row>
    <row r="138" customFormat="false" ht="15" hidden="false" customHeight="false" outlineLevel="0" collapsed="false">
      <c r="B138" s="91" t="str">
        <f aca="false">IF(127&gt;$I$4,"",127)</f>
        <v/>
      </c>
      <c r="C138" s="91" t="str">
        <f aca="false">IF($B138="","",INDEX('CARNET DE SOUDURE'!$B$7:$B$1506,MATCH(127,'CARNET DE SOUDURE'!$AN$7:$AN$1506,0)))</f>
        <v/>
      </c>
      <c r="D138" s="91" t="str">
        <f aca="false">IF($B138="","",INDEX('CARNET DE SOUDURE'!$E$7:$E$1506,MATCH(127,'CARNET DE SOUDURE'!$AN$7:$AN$1506,0)))</f>
        <v/>
      </c>
      <c r="E138" s="91" t="str">
        <f aca="false">IF($B138="","",INDEX('CARNET DE SOUDURE'!$D$7:$D$1506,MATCH(127,'CARNET DE SOUDURE'!$AN$7:$AN$1506,0)))</f>
        <v/>
      </c>
      <c r="F138" s="91" t="str">
        <f aca="false">IF($B138="","",INDEX('CARNET DE SOUDURE'!$M$7:$M$1506,MATCH(127,'CARNET DE SOUDURE'!$AN$7:$AN$1506,0))&amp;" / "&amp;INDEX('CARNET DE SOUDURE'!$N$7:$N$1506,MATCH(127,'CARNET DE SOUDURE'!$AN$7:$AN$1506,0))&amp;" / "&amp;INDEX('CARNET DE SOUDURE'!$O$7:$O$1506,MATCH(127,'CARNET DE SOUDURE'!$AN$7:$AN$1506,0)))</f>
        <v/>
      </c>
      <c r="G138" s="108" t="str">
        <f aca="false">IF($B138="","",INDEX('CARNET DE SOUDURE'!$P$7:$P$1506,MATCH(127,'CARNET DE SOUDURE'!$AN$7:$AN$1506,0)))</f>
        <v/>
      </c>
      <c r="H138" s="91" t="str">
        <f aca="false">IF($B138="","",INDEX('CARNET DE SOUDURE'!$AK$7:$AK$1506,MATCH(127,'CARNET DE SOUDURE'!$AN$7:$AN$1506,0)))</f>
        <v/>
      </c>
      <c r="I138" s="109" t="str">
        <f aca="false">IF($B138="","",INDEX('CARNET DE SOUDURE'!$AI$7:$AI$1506,MATCH(127,'CARNET DE SOUDURE'!$AN$7:$AN$1506,0)))</f>
        <v/>
      </c>
      <c r="J138" s="109" t="str">
        <f aca="false">IF($B138="","",INDEX('CARNET DE SOUDURE'!$AL$7:$AL$1506,MATCH(127,'CARNET DE SOUDURE'!$AN$7:$AN$1506,0)))</f>
        <v/>
      </c>
      <c r="K138" s="87"/>
      <c r="L138" s="87"/>
    </row>
    <row r="139" customFormat="false" ht="15" hidden="false" customHeight="false" outlineLevel="0" collapsed="false">
      <c r="B139" s="110" t="str">
        <f aca="false">IF(128&gt;$I$4,"",128)</f>
        <v/>
      </c>
      <c r="C139" s="110" t="str">
        <f aca="false">IF($B139="","",INDEX('CARNET DE SOUDURE'!$B$7:$B$1506,MATCH(128,'CARNET DE SOUDURE'!$AN$7:$AN$1506,0)))</f>
        <v/>
      </c>
      <c r="D139" s="110" t="str">
        <f aca="false">IF($B139="","",INDEX('CARNET DE SOUDURE'!$E$7:$E$1506,MATCH(128,'CARNET DE SOUDURE'!$AN$7:$AN$1506,0)))</f>
        <v/>
      </c>
      <c r="E139" s="110" t="str">
        <f aca="false">IF($B139="","",INDEX('CARNET DE SOUDURE'!$D$7:$D$1506,MATCH(128,'CARNET DE SOUDURE'!$AN$7:$AN$1506,0)))</f>
        <v/>
      </c>
      <c r="F139" s="110" t="str">
        <f aca="false">IF($B139="","",INDEX('CARNET DE SOUDURE'!$M$7:$M$1506,MATCH(128,'CARNET DE SOUDURE'!$AN$7:$AN$1506,0))&amp;" / "&amp;INDEX('CARNET DE SOUDURE'!$N$7:$N$1506,MATCH(128,'CARNET DE SOUDURE'!$AN$7:$AN$1506,0))&amp;" / "&amp;INDEX('CARNET DE SOUDURE'!$O$7:$O$1506,MATCH(128,'CARNET DE SOUDURE'!$AN$7:$AN$1506,0)))</f>
        <v/>
      </c>
      <c r="G139" s="111" t="str">
        <f aca="false">IF($B139="","",INDEX('CARNET DE SOUDURE'!$P$7:$P$1506,MATCH(128,'CARNET DE SOUDURE'!$AN$7:$AN$1506,0)))</f>
        <v/>
      </c>
      <c r="H139" s="112" t="str">
        <f aca="false">IF($B139="","",INDEX('CARNET DE SOUDURE'!$AK$7:$AK$1506,MATCH(128,'CARNET DE SOUDURE'!$AN$7:$AN$1506,0)))</f>
        <v/>
      </c>
      <c r="I139" s="113" t="str">
        <f aca="false">IF($B139="","",INDEX('CARNET DE SOUDURE'!$AI$7:$AI$1506,MATCH(128,'CARNET DE SOUDURE'!$AN$7:$AN$1506,0)))</f>
        <v/>
      </c>
      <c r="J139" s="113" t="str">
        <f aca="false">IF($B139="","",INDEX('CARNET DE SOUDURE'!$AL$7:$AL$1506,MATCH(128,'CARNET DE SOUDURE'!$AN$7:$AN$1506,0)))</f>
        <v/>
      </c>
      <c r="K139" s="87"/>
      <c r="L139" s="87"/>
    </row>
    <row r="140" customFormat="false" ht="15" hidden="false" customHeight="false" outlineLevel="0" collapsed="false">
      <c r="B140" s="91" t="str">
        <f aca="false">IF(129&gt;$I$4,"",129)</f>
        <v/>
      </c>
      <c r="C140" s="91" t="str">
        <f aca="false">IF($B140="","",INDEX('CARNET DE SOUDURE'!$B$7:$B$1506,MATCH(129,'CARNET DE SOUDURE'!$AN$7:$AN$1506,0)))</f>
        <v/>
      </c>
      <c r="D140" s="91" t="str">
        <f aca="false">IF($B140="","",INDEX('CARNET DE SOUDURE'!$E$7:$E$1506,MATCH(129,'CARNET DE SOUDURE'!$AN$7:$AN$1506,0)))</f>
        <v/>
      </c>
      <c r="E140" s="91" t="str">
        <f aca="false">IF($B140="","",INDEX('CARNET DE SOUDURE'!$D$7:$D$1506,MATCH(129,'CARNET DE SOUDURE'!$AN$7:$AN$1506,0)))</f>
        <v/>
      </c>
      <c r="F140" s="91" t="str">
        <f aca="false">IF($B140="","",INDEX('CARNET DE SOUDURE'!$M$7:$M$1506,MATCH(129,'CARNET DE SOUDURE'!$AN$7:$AN$1506,0))&amp;" / "&amp;INDEX('CARNET DE SOUDURE'!$N$7:$N$1506,MATCH(129,'CARNET DE SOUDURE'!$AN$7:$AN$1506,0))&amp;" / "&amp;INDEX('CARNET DE SOUDURE'!$O$7:$O$1506,MATCH(129,'CARNET DE SOUDURE'!$AN$7:$AN$1506,0)))</f>
        <v/>
      </c>
      <c r="G140" s="108" t="str">
        <f aca="false">IF($B140="","",INDEX('CARNET DE SOUDURE'!$P$7:$P$1506,MATCH(129,'CARNET DE SOUDURE'!$AN$7:$AN$1506,0)))</f>
        <v/>
      </c>
      <c r="H140" s="91" t="str">
        <f aca="false">IF($B140="","",INDEX('CARNET DE SOUDURE'!$AK$7:$AK$1506,MATCH(129,'CARNET DE SOUDURE'!$AN$7:$AN$1506,0)))</f>
        <v/>
      </c>
      <c r="I140" s="109" t="str">
        <f aca="false">IF($B140="","",INDEX('CARNET DE SOUDURE'!$AI$7:$AI$1506,MATCH(129,'CARNET DE SOUDURE'!$AN$7:$AN$1506,0)))</f>
        <v/>
      </c>
      <c r="J140" s="109" t="str">
        <f aca="false">IF($B140="","",INDEX('CARNET DE SOUDURE'!$AL$7:$AL$1506,MATCH(129,'CARNET DE SOUDURE'!$AN$7:$AN$1506,0)))</f>
        <v/>
      </c>
      <c r="K140" s="87"/>
      <c r="L140" s="87"/>
    </row>
    <row r="141" customFormat="false" ht="15" hidden="false" customHeight="false" outlineLevel="0" collapsed="false">
      <c r="B141" s="110" t="str">
        <f aca="false">IF(130&gt;$I$4,"",130)</f>
        <v/>
      </c>
      <c r="C141" s="110" t="str">
        <f aca="false">IF($B141="","",INDEX('CARNET DE SOUDURE'!$B$7:$B$1506,MATCH(130,'CARNET DE SOUDURE'!$AN$7:$AN$1506,0)))</f>
        <v/>
      </c>
      <c r="D141" s="110" t="str">
        <f aca="false">IF($B141="","",INDEX('CARNET DE SOUDURE'!$E$7:$E$1506,MATCH(130,'CARNET DE SOUDURE'!$AN$7:$AN$1506,0)))</f>
        <v/>
      </c>
      <c r="E141" s="110" t="str">
        <f aca="false">IF($B141="","",INDEX('CARNET DE SOUDURE'!$D$7:$D$1506,MATCH(130,'CARNET DE SOUDURE'!$AN$7:$AN$1506,0)))</f>
        <v/>
      </c>
      <c r="F141" s="110" t="str">
        <f aca="false">IF($B141="","",INDEX('CARNET DE SOUDURE'!$M$7:$M$1506,MATCH(130,'CARNET DE SOUDURE'!$AN$7:$AN$1506,0))&amp;" / "&amp;INDEX('CARNET DE SOUDURE'!$N$7:$N$1506,MATCH(130,'CARNET DE SOUDURE'!$AN$7:$AN$1506,0))&amp;" / "&amp;INDEX('CARNET DE SOUDURE'!$O$7:$O$1506,MATCH(130,'CARNET DE SOUDURE'!$AN$7:$AN$1506,0)))</f>
        <v/>
      </c>
      <c r="G141" s="111" t="str">
        <f aca="false">IF($B141="","",INDEX('CARNET DE SOUDURE'!$P$7:$P$1506,MATCH(130,'CARNET DE SOUDURE'!$AN$7:$AN$1506,0)))</f>
        <v/>
      </c>
      <c r="H141" s="112" t="str">
        <f aca="false">IF($B141="","",INDEX('CARNET DE SOUDURE'!$AK$7:$AK$1506,MATCH(130,'CARNET DE SOUDURE'!$AN$7:$AN$1506,0)))</f>
        <v/>
      </c>
      <c r="I141" s="113" t="str">
        <f aca="false">IF($B141="","",INDEX('CARNET DE SOUDURE'!$AI$7:$AI$1506,MATCH(130,'CARNET DE SOUDURE'!$AN$7:$AN$1506,0)))</f>
        <v/>
      </c>
      <c r="J141" s="113" t="str">
        <f aca="false">IF($B141="","",INDEX('CARNET DE SOUDURE'!$AL$7:$AL$1506,MATCH(130,'CARNET DE SOUDURE'!$AN$7:$AN$1506,0)))</f>
        <v/>
      </c>
      <c r="K141" s="87"/>
      <c r="L141" s="87"/>
    </row>
    <row r="142" customFormat="false" ht="15" hidden="false" customHeight="false" outlineLevel="0" collapsed="false">
      <c r="B142" s="91" t="str">
        <f aca="false">IF(131&gt;$I$4,"",131)</f>
        <v/>
      </c>
      <c r="C142" s="91" t="str">
        <f aca="false">IF($B142="","",INDEX('CARNET DE SOUDURE'!$B$7:$B$1506,MATCH(131,'CARNET DE SOUDURE'!$AN$7:$AN$1506,0)))</f>
        <v/>
      </c>
      <c r="D142" s="91" t="str">
        <f aca="false">IF($B142="","",INDEX('CARNET DE SOUDURE'!$E$7:$E$1506,MATCH(131,'CARNET DE SOUDURE'!$AN$7:$AN$1506,0)))</f>
        <v/>
      </c>
      <c r="E142" s="91" t="str">
        <f aca="false">IF($B142="","",INDEX('CARNET DE SOUDURE'!$D$7:$D$1506,MATCH(131,'CARNET DE SOUDURE'!$AN$7:$AN$1506,0)))</f>
        <v/>
      </c>
      <c r="F142" s="91" t="str">
        <f aca="false">IF($B142="","",INDEX('CARNET DE SOUDURE'!$M$7:$M$1506,MATCH(131,'CARNET DE SOUDURE'!$AN$7:$AN$1506,0))&amp;" / "&amp;INDEX('CARNET DE SOUDURE'!$N$7:$N$1506,MATCH(131,'CARNET DE SOUDURE'!$AN$7:$AN$1506,0))&amp;" / "&amp;INDEX('CARNET DE SOUDURE'!$O$7:$O$1506,MATCH(131,'CARNET DE SOUDURE'!$AN$7:$AN$1506,0)))</f>
        <v/>
      </c>
      <c r="G142" s="108" t="str">
        <f aca="false">IF($B142="","",INDEX('CARNET DE SOUDURE'!$P$7:$P$1506,MATCH(131,'CARNET DE SOUDURE'!$AN$7:$AN$1506,0)))</f>
        <v/>
      </c>
      <c r="H142" s="91" t="str">
        <f aca="false">IF($B142="","",INDEX('CARNET DE SOUDURE'!$AK$7:$AK$1506,MATCH(131,'CARNET DE SOUDURE'!$AN$7:$AN$1506,0)))</f>
        <v/>
      </c>
      <c r="I142" s="109" t="str">
        <f aca="false">IF($B142="","",INDEX('CARNET DE SOUDURE'!$AI$7:$AI$1506,MATCH(131,'CARNET DE SOUDURE'!$AN$7:$AN$1506,0)))</f>
        <v/>
      </c>
      <c r="J142" s="109" t="str">
        <f aca="false">IF($B142="","",INDEX('CARNET DE SOUDURE'!$AL$7:$AL$1506,MATCH(131,'CARNET DE SOUDURE'!$AN$7:$AN$1506,0)))</f>
        <v/>
      </c>
      <c r="K142" s="87"/>
      <c r="L142" s="87"/>
    </row>
    <row r="143" customFormat="false" ht="15" hidden="false" customHeight="false" outlineLevel="0" collapsed="false">
      <c r="B143" s="110" t="str">
        <f aca="false">IF(132&gt;$I$4,"",132)</f>
        <v/>
      </c>
      <c r="C143" s="110" t="str">
        <f aca="false">IF($B143="","",INDEX('CARNET DE SOUDURE'!$B$7:$B$1506,MATCH(132,'CARNET DE SOUDURE'!$AN$7:$AN$1506,0)))</f>
        <v/>
      </c>
      <c r="D143" s="110" t="str">
        <f aca="false">IF($B143="","",INDEX('CARNET DE SOUDURE'!$E$7:$E$1506,MATCH(132,'CARNET DE SOUDURE'!$AN$7:$AN$1506,0)))</f>
        <v/>
      </c>
      <c r="E143" s="110" t="str">
        <f aca="false">IF($B143="","",INDEX('CARNET DE SOUDURE'!$D$7:$D$1506,MATCH(132,'CARNET DE SOUDURE'!$AN$7:$AN$1506,0)))</f>
        <v/>
      </c>
      <c r="F143" s="110" t="str">
        <f aca="false">IF($B143="","",INDEX('CARNET DE SOUDURE'!$M$7:$M$1506,MATCH(132,'CARNET DE SOUDURE'!$AN$7:$AN$1506,0))&amp;" / "&amp;INDEX('CARNET DE SOUDURE'!$N$7:$N$1506,MATCH(132,'CARNET DE SOUDURE'!$AN$7:$AN$1506,0))&amp;" / "&amp;INDEX('CARNET DE SOUDURE'!$O$7:$O$1506,MATCH(132,'CARNET DE SOUDURE'!$AN$7:$AN$1506,0)))</f>
        <v/>
      </c>
      <c r="G143" s="111" t="str">
        <f aca="false">IF($B143="","",INDEX('CARNET DE SOUDURE'!$P$7:$P$1506,MATCH(132,'CARNET DE SOUDURE'!$AN$7:$AN$1506,0)))</f>
        <v/>
      </c>
      <c r="H143" s="112" t="str">
        <f aca="false">IF($B143="","",INDEX('CARNET DE SOUDURE'!$AK$7:$AK$1506,MATCH(132,'CARNET DE SOUDURE'!$AN$7:$AN$1506,0)))</f>
        <v/>
      </c>
      <c r="I143" s="113" t="str">
        <f aca="false">IF($B143="","",INDEX('CARNET DE SOUDURE'!$AI$7:$AI$1506,MATCH(132,'CARNET DE SOUDURE'!$AN$7:$AN$1506,0)))</f>
        <v/>
      </c>
      <c r="J143" s="113" t="str">
        <f aca="false">IF($B143="","",INDEX('CARNET DE SOUDURE'!$AL$7:$AL$1506,MATCH(132,'CARNET DE SOUDURE'!$AN$7:$AN$1506,0)))</f>
        <v/>
      </c>
      <c r="K143" s="87"/>
      <c r="L143" s="87"/>
    </row>
    <row r="144" customFormat="false" ht="15" hidden="false" customHeight="false" outlineLevel="0" collapsed="false">
      <c r="B144" s="91" t="str">
        <f aca="false">IF(133&gt;$I$4,"",133)</f>
        <v/>
      </c>
      <c r="C144" s="91" t="str">
        <f aca="false">IF($B144="","",INDEX('CARNET DE SOUDURE'!$B$7:$B$1506,MATCH(133,'CARNET DE SOUDURE'!$AN$7:$AN$1506,0)))</f>
        <v/>
      </c>
      <c r="D144" s="91" t="str">
        <f aca="false">IF($B144="","",INDEX('CARNET DE SOUDURE'!$E$7:$E$1506,MATCH(133,'CARNET DE SOUDURE'!$AN$7:$AN$1506,0)))</f>
        <v/>
      </c>
      <c r="E144" s="91" t="str">
        <f aca="false">IF($B144="","",INDEX('CARNET DE SOUDURE'!$D$7:$D$1506,MATCH(133,'CARNET DE SOUDURE'!$AN$7:$AN$1506,0)))</f>
        <v/>
      </c>
      <c r="F144" s="91" t="str">
        <f aca="false">IF($B144="","",INDEX('CARNET DE SOUDURE'!$M$7:$M$1506,MATCH(133,'CARNET DE SOUDURE'!$AN$7:$AN$1506,0))&amp;" / "&amp;INDEX('CARNET DE SOUDURE'!$N$7:$N$1506,MATCH(133,'CARNET DE SOUDURE'!$AN$7:$AN$1506,0))&amp;" / "&amp;INDEX('CARNET DE SOUDURE'!$O$7:$O$1506,MATCH(133,'CARNET DE SOUDURE'!$AN$7:$AN$1506,0)))</f>
        <v/>
      </c>
      <c r="G144" s="108" t="str">
        <f aca="false">IF($B144="","",INDEX('CARNET DE SOUDURE'!$P$7:$P$1506,MATCH(133,'CARNET DE SOUDURE'!$AN$7:$AN$1506,0)))</f>
        <v/>
      </c>
      <c r="H144" s="91" t="str">
        <f aca="false">IF($B144="","",INDEX('CARNET DE SOUDURE'!$AK$7:$AK$1506,MATCH(133,'CARNET DE SOUDURE'!$AN$7:$AN$1506,0)))</f>
        <v/>
      </c>
      <c r="I144" s="109" t="str">
        <f aca="false">IF($B144="","",INDEX('CARNET DE SOUDURE'!$AI$7:$AI$1506,MATCH(133,'CARNET DE SOUDURE'!$AN$7:$AN$1506,0)))</f>
        <v/>
      </c>
      <c r="J144" s="109" t="str">
        <f aca="false">IF($B144="","",INDEX('CARNET DE SOUDURE'!$AL$7:$AL$1506,MATCH(133,'CARNET DE SOUDURE'!$AN$7:$AN$1506,0)))</f>
        <v/>
      </c>
      <c r="K144" s="87"/>
      <c r="L144" s="87"/>
    </row>
    <row r="145" customFormat="false" ht="15" hidden="false" customHeight="false" outlineLevel="0" collapsed="false">
      <c r="B145" s="110" t="str">
        <f aca="false">IF(134&gt;$I$4,"",134)</f>
        <v/>
      </c>
      <c r="C145" s="110" t="str">
        <f aca="false">IF($B145="","",INDEX('CARNET DE SOUDURE'!$B$7:$B$1506,MATCH(134,'CARNET DE SOUDURE'!$AN$7:$AN$1506,0)))</f>
        <v/>
      </c>
      <c r="D145" s="110" t="str">
        <f aca="false">IF($B145="","",INDEX('CARNET DE SOUDURE'!$E$7:$E$1506,MATCH(134,'CARNET DE SOUDURE'!$AN$7:$AN$1506,0)))</f>
        <v/>
      </c>
      <c r="E145" s="110" t="str">
        <f aca="false">IF($B145="","",INDEX('CARNET DE SOUDURE'!$D$7:$D$1506,MATCH(134,'CARNET DE SOUDURE'!$AN$7:$AN$1506,0)))</f>
        <v/>
      </c>
      <c r="F145" s="110" t="str">
        <f aca="false">IF($B145="","",INDEX('CARNET DE SOUDURE'!$M$7:$M$1506,MATCH(134,'CARNET DE SOUDURE'!$AN$7:$AN$1506,0))&amp;" / "&amp;INDEX('CARNET DE SOUDURE'!$N$7:$N$1506,MATCH(134,'CARNET DE SOUDURE'!$AN$7:$AN$1506,0))&amp;" / "&amp;INDEX('CARNET DE SOUDURE'!$O$7:$O$1506,MATCH(134,'CARNET DE SOUDURE'!$AN$7:$AN$1506,0)))</f>
        <v/>
      </c>
      <c r="G145" s="111" t="str">
        <f aca="false">IF($B145="","",INDEX('CARNET DE SOUDURE'!$P$7:$P$1506,MATCH(134,'CARNET DE SOUDURE'!$AN$7:$AN$1506,0)))</f>
        <v/>
      </c>
      <c r="H145" s="112" t="str">
        <f aca="false">IF($B145="","",INDEX('CARNET DE SOUDURE'!$AK$7:$AK$1506,MATCH(134,'CARNET DE SOUDURE'!$AN$7:$AN$1506,0)))</f>
        <v/>
      </c>
      <c r="I145" s="113" t="str">
        <f aca="false">IF($B145="","",INDEX('CARNET DE SOUDURE'!$AI$7:$AI$1506,MATCH(134,'CARNET DE SOUDURE'!$AN$7:$AN$1506,0)))</f>
        <v/>
      </c>
      <c r="J145" s="113" t="str">
        <f aca="false">IF($B145="","",INDEX('CARNET DE SOUDURE'!$AL$7:$AL$1506,MATCH(134,'CARNET DE SOUDURE'!$AN$7:$AN$1506,0)))</f>
        <v/>
      </c>
      <c r="K145" s="87"/>
      <c r="L145" s="87"/>
    </row>
    <row r="146" customFormat="false" ht="15" hidden="false" customHeight="false" outlineLevel="0" collapsed="false">
      <c r="B146" s="91" t="str">
        <f aca="false">IF(135&gt;$I$4,"",135)</f>
        <v/>
      </c>
      <c r="C146" s="91" t="str">
        <f aca="false">IF($B146="","",INDEX('CARNET DE SOUDURE'!$B$7:$B$1506,MATCH(135,'CARNET DE SOUDURE'!$AN$7:$AN$1506,0)))</f>
        <v/>
      </c>
      <c r="D146" s="91" t="str">
        <f aca="false">IF($B146="","",INDEX('CARNET DE SOUDURE'!$E$7:$E$1506,MATCH(135,'CARNET DE SOUDURE'!$AN$7:$AN$1506,0)))</f>
        <v/>
      </c>
      <c r="E146" s="91" t="str">
        <f aca="false">IF($B146="","",INDEX('CARNET DE SOUDURE'!$D$7:$D$1506,MATCH(135,'CARNET DE SOUDURE'!$AN$7:$AN$1506,0)))</f>
        <v/>
      </c>
      <c r="F146" s="91" t="str">
        <f aca="false">IF($B146="","",INDEX('CARNET DE SOUDURE'!$M$7:$M$1506,MATCH(135,'CARNET DE SOUDURE'!$AN$7:$AN$1506,0))&amp;" / "&amp;INDEX('CARNET DE SOUDURE'!$N$7:$N$1506,MATCH(135,'CARNET DE SOUDURE'!$AN$7:$AN$1506,0))&amp;" / "&amp;INDEX('CARNET DE SOUDURE'!$O$7:$O$1506,MATCH(135,'CARNET DE SOUDURE'!$AN$7:$AN$1506,0)))</f>
        <v/>
      </c>
      <c r="G146" s="108" t="str">
        <f aca="false">IF($B146="","",INDEX('CARNET DE SOUDURE'!$P$7:$P$1506,MATCH(135,'CARNET DE SOUDURE'!$AN$7:$AN$1506,0)))</f>
        <v/>
      </c>
      <c r="H146" s="91" t="str">
        <f aca="false">IF($B146="","",INDEX('CARNET DE SOUDURE'!$AK$7:$AK$1506,MATCH(135,'CARNET DE SOUDURE'!$AN$7:$AN$1506,0)))</f>
        <v/>
      </c>
      <c r="I146" s="109" t="str">
        <f aca="false">IF($B146="","",INDEX('CARNET DE SOUDURE'!$AI$7:$AI$1506,MATCH(135,'CARNET DE SOUDURE'!$AN$7:$AN$1506,0)))</f>
        <v/>
      </c>
      <c r="J146" s="109" t="str">
        <f aca="false">IF($B146="","",INDEX('CARNET DE SOUDURE'!$AL$7:$AL$1506,MATCH(135,'CARNET DE SOUDURE'!$AN$7:$AN$1506,0)))</f>
        <v/>
      </c>
      <c r="K146" s="87"/>
      <c r="L146" s="87"/>
    </row>
    <row r="147" customFormat="false" ht="15" hidden="false" customHeight="false" outlineLevel="0" collapsed="false">
      <c r="B147" s="110" t="str">
        <f aca="false">IF(136&gt;$I$4,"",136)</f>
        <v/>
      </c>
      <c r="C147" s="110" t="str">
        <f aca="false">IF($B147="","",INDEX('CARNET DE SOUDURE'!$B$7:$B$1506,MATCH(136,'CARNET DE SOUDURE'!$AN$7:$AN$1506,0)))</f>
        <v/>
      </c>
      <c r="D147" s="110" t="str">
        <f aca="false">IF($B147="","",INDEX('CARNET DE SOUDURE'!$E$7:$E$1506,MATCH(136,'CARNET DE SOUDURE'!$AN$7:$AN$1506,0)))</f>
        <v/>
      </c>
      <c r="E147" s="110" t="str">
        <f aca="false">IF($B147="","",INDEX('CARNET DE SOUDURE'!$D$7:$D$1506,MATCH(136,'CARNET DE SOUDURE'!$AN$7:$AN$1506,0)))</f>
        <v/>
      </c>
      <c r="F147" s="110" t="str">
        <f aca="false">IF($B147="","",INDEX('CARNET DE SOUDURE'!$M$7:$M$1506,MATCH(136,'CARNET DE SOUDURE'!$AN$7:$AN$1506,0))&amp;" / "&amp;INDEX('CARNET DE SOUDURE'!$N$7:$N$1506,MATCH(136,'CARNET DE SOUDURE'!$AN$7:$AN$1506,0))&amp;" / "&amp;INDEX('CARNET DE SOUDURE'!$O$7:$O$1506,MATCH(136,'CARNET DE SOUDURE'!$AN$7:$AN$1506,0)))</f>
        <v/>
      </c>
      <c r="G147" s="111" t="str">
        <f aca="false">IF($B147="","",INDEX('CARNET DE SOUDURE'!$P$7:$P$1506,MATCH(136,'CARNET DE SOUDURE'!$AN$7:$AN$1506,0)))</f>
        <v/>
      </c>
      <c r="H147" s="112" t="str">
        <f aca="false">IF($B147="","",INDEX('CARNET DE SOUDURE'!$AK$7:$AK$1506,MATCH(136,'CARNET DE SOUDURE'!$AN$7:$AN$1506,0)))</f>
        <v/>
      </c>
      <c r="I147" s="113" t="str">
        <f aca="false">IF($B147="","",INDEX('CARNET DE SOUDURE'!$AI$7:$AI$1506,MATCH(136,'CARNET DE SOUDURE'!$AN$7:$AN$1506,0)))</f>
        <v/>
      </c>
      <c r="J147" s="113" t="str">
        <f aca="false">IF($B147="","",INDEX('CARNET DE SOUDURE'!$AL$7:$AL$1506,MATCH(136,'CARNET DE SOUDURE'!$AN$7:$AN$1506,0)))</f>
        <v/>
      </c>
      <c r="K147" s="87"/>
      <c r="L147" s="87"/>
    </row>
    <row r="148" customFormat="false" ht="15" hidden="false" customHeight="false" outlineLevel="0" collapsed="false">
      <c r="B148" s="91" t="str">
        <f aca="false">IF(137&gt;$I$4,"",137)</f>
        <v/>
      </c>
      <c r="C148" s="91" t="str">
        <f aca="false">IF($B148="","",INDEX('CARNET DE SOUDURE'!$B$7:$B$1506,MATCH(137,'CARNET DE SOUDURE'!$AN$7:$AN$1506,0)))</f>
        <v/>
      </c>
      <c r="D148" s="91" t="str">
        <f aca="false">IF($B148="","",INDEX('CARNET DE SOUDURE'!$E$7:$E$1506,MATCH(137,'CARNET DE SOUDURE'!$AN$7:$AN$1506,0)))</f>
        <v/>
      </c>
      <c r="E148" s="91" t="str">
        <f aca="false">IF($B148="","",INDEX('CARNET DE SOUDURE'!$D$7:$D$1506,MATCH(137,'CARNET DE SOUDURE'!$AN$7:$AN$1506,0)))</f>
        <v/>
      </c>
      <c r="F148" s="91" t="str">
        <f aca="false">IF($B148="","",INDEX('CARNET DE SOUDURE'!$M$7:$M$1506,MATCH(137,'CARNET DE SOUDURE'!$AN$7:$AN$1506,0))&amp;" / "&amp;INDEX('CARNET DE SOUDURE'!$N$7:$N$1506,MATCH(137,'CARNET DE SOUDURE'!$AN$7:$AN$1506,0))&amp;" / "&amp;INDEX('CARNET DE SOUDURE'!$O$7:$O$1506,MATCH(137,'CARNET DE SOUDURE'!$AN$7:$AN$1506,0)))</f>
        <v/>
      </c>
      <c r="G148" s="108" t="str">
        <f aca="false">IF($B148="","",INDEX('CARNET DE SOUDURE'!$P$7:$P$1506,MATCH(137,'CARNET DE SOUDURE'!$AN$7:$AN$1506,0)))</f>
        <v/>
      </c>
      <c r="H148" s="91" t="str">
        <f aca="false">IF($B148="","",INDEX('CARNET DE SOUDURE'!$AK$7:$AK$1506,MATCH(137,'CARNET DE SOUDURE'!$AN$7:$AN$1506,0)))</f>
        <v/>
      </c>
      <c r="I148" s="109" t="str">
        <f aca="false">IF($B148="","",INDEX('CARNET DE SOUDURE'!$AI$7:$AI$1506,MATCH(137,'CARNET DE SOUDURE'!$AN$7:$AN$1506,0)))</f>
        <v/>
      </c>
      <c r="J148" s="109" t="str">
        <f aca="false">IF($B148="","",INDEX('CARNET DE SOUDURE'!$AL$7:$AL$1506,MATCH(137,'CARNET DE SOUDURE'!$AN$7:$AN$1506,0)))</f>
        <v/>
      </c>
      <c r="K148" s="87"/>
      <c r="L148" s="87"/>
    </row>
    <row r="149" customFormat="false" ht="15" hidden="false" customHeight="false" outlineLevel="0" collapsed="false">
      <c r="B149" s="110" t="str">
        <f aca="false">IF(138&gt;$I$4,"",138)</f>
        <v/>
      </c>
      <c r="C149" s="110" t="str">
        <f aca="false">IF($B149="","",INDEX('CARNET DE SOUDURE'!$B$7:$B$1506,MATCH(138,'CARNET DE SOUDURE'!$AN$7:$AN$1506,0)))</f>
        <v/>
      </c>
      <c r="D149" s="110" t="str">
        <f aca="false">IF($B149="","",INDEX('CARNET DE SOUDURE'!$E$7:$E$1506,MATCH(138,'CARNET DE SOUDURE'!$AN$7:$AN$1506,0)))</f>
        <v/>
      </c>
      <c r="E149" s="110" t="str">
        <f aca="false">IF($B149="","",INDEX('CARNET DE SOUDURE'!$D$7:$D$1506,MATCH(138,'CARNET DE SOUDURE'!$AN$7:$AN$1506,0)))</f>
        <v/>
      </c>
      <c r="F149" s="110" t="str">
        <f aca="false">IF($B149="","",INDEX('CARNET DE SOUDURE'!$M$7:$M$1506,MATCH(138,'CARNET DE SOUDURE'!$AN$7:$AN$1506,0))&amp;" / "&amp;INDEX('CARNET DE SOUDURE'!$N$7:$N$1506,MATCH(138,'CARNET DE SOUDURE'!$AN$7:$AN$1506,0))&amp;" / "&amp;INDEX('CARNET DE SOUDURE'!$O$7:$O$1506,MATCH(138,'CARNET DE SOUDURE'!$AN$7:$AN$1506,0)))</f>
        <v/>
      </c>
      <c r="G149" s="111" t="str">
        <f aca="false">IF($B149="","",INDEX('CARNET DE SOUDURE'!$P$7:$P$1506,MATCH(138,'CARNET DE SOUDURE'!$AN$7:$AN$1506,0)))</f>
        <v/>
      </c>
      <c r="H149" s="112" t="str">
        <f aca="false">IF($B149="","",INDEX('CARNET DE SOUDURE'!$AK$7:$AK$1506,MATCH(138,'CARNET DE SOUDURE'!$AN$7:$AN$1506,0)))</f>
        <v/>
      </c>
      <c r="I149" s="113" t="str">
        <f aca="false">IF($B149="","",INDEX('CARNET DE SOUDURE'!$AI$7:$AI$1506,MATCH(138,'CARNET DE SOUDURE'!$AN$7:$AN$1506,0)))</f>
        <v/>
      </c>
      <c r="J149" s="113" t="str">
        <f aca="false">IF($B149="","",INDEX('CARNET DE SOUDURE'!$AL$7:$AL$1506,MATCH(138,'CARNET DE SOUDURE'!$AN$7:$AN$1506,0)))</f>
        <v/>
      </c>
      <c r="K149" s="87"/>
      <c r="L149" s="87"/>
    </row>
    <row r="150" customFormat="false" ht="15" hidden="false" customHeight="false" outlineLevel="0" collapsed="false">
      <c r="B150" s="91" t="str">
        <f aca="false">IF(139&gt;$I$4,"",139)</f>
        <v/>
      </c>
      <c r="C150" s="91" t="str">
        <f aca="false">IF($B150="","",INDEX('CARNET DE SOUDURE'!$B$7:$B$1506,MATCH(139,'CARNET DE SOUDURE'!$AN$7:$AN$1506,0)))</f>
        <v/>
      </c>
      <c r="D150" s="91" t="str">
        <f aca="false">IF($B150="","",INDEX('CARNET DE SOUDURE'!$E$7:$E$1506,MATCH(139,'CARNET DE SOUDURE'!$AN$7:$AN$1506,0)))</f>
        <v/>
      </c>
      <c r="E150" s="91" t="str">
        <f aca="false">IF($B150="","",INDEX('CARNET DE SOUDURE'!$D$7:$D$1506,MATCH(139,'CARNET DE SOUDURE'!$AN$7:$AN$1506,0)))</f>
        <v/>
      </c>
      <c r="F150" s="91" t="str">
        <f aca="false">IF($B150="","",INDEX('CARNET DE SOUDURE'!$M$7:$M$1506,MATCH(139,'CARNET DE SOUDURE'!$AN$7:$AN$1506,0))&amp;" / "&amp;INDEX('CARNET DE SOUDURE'!$N$7:$N$1506,MATCH(139,'CARNET DE SOUDURE'!$AN$7:$AN$1506,0))&amp;" / "&amp;INDEX('CARNET DE SOUDURE'!$O$7:$O$1506,MATCH(139,'CARNET DE SOUDURE'!$AN$7:$AN$1506,0)))</f>
        <v/>
      </c>
      <c r="G150" s="108" t="str">
        <f aca="false">IF($B150="","",INDEX('CARNET DE SOUDURE'!$P$7:$P$1506,MATCH(139,'CARNET DE SOUDURE'!$AN$7:$AN$1506,0)))</f>
        <v/>
      </c>
      <c r="H150" s="91" t="str">
        <f aca="false">IF($B150="","",INDEX('CARNET DE SOUDURE'!$AK$7:$AK$1506,MATCH(139,'CARNET DE SOUDURE'!$AN$7:$AN$1506,0)))</f>
        <v/>
      </c>
      <c r="I150" s="109" t="str">
        <f aca="false">IF($B150="","",INDEX('CARNET DE SOUDURE'!$AI$7:$AI$1506,MATCH(139,'CARNET DE SOUDURE'!$AN$7:$AN$1506,0)))</f>
        <v/>
      </c>
      <c r="J150" s="109" t="str">
        <f aca="false">IF($B150="","",INDEX('CARNET DE SOUDURE'!$AL$7:$AL$1506,MATCH(139,'CARNET DE SOUDURE'!$AN$7:$AN$1506,0)))</f>
        <v/>
      </c>
      <c r="K150" s="87"/>
      <c r="L150" s="87"/>
    </row>
    <row r="151" customFormat="false" ht="15" hidden="false" customHeight="false" outlineLevel="0" collapsed="false">
      <c r="B151" s="110" t="str">
        <f aca="false">IF(140&gt;$I$4,"",140)</f>
        <v/>
      </c>
      <c r="C151" s="110" t="str">
        <f aca="false">IF($B151="","",INDEX('CARNET DE SOUDURE'!$B$7:$B$1506,MATCH(140,'CARNET DE SOUDURE'!$AN$7:$AN$1506,0)))</f>
        <v/>
      </c>
      <c r="D151" s="110" t="str">
        <f aca="false">IF($B151="","",INDEX('CARNET DE SOUDURE'!$E$7:$E$1506,MATCH(140,'CARNET DE SOUDURE'!$AN$7:$AN$1506,0)))</f>
        <v/>
      </c>
      <c r="E151" s="110" t="str">
        <f aca="false">IF($B151="","",INDEX('CARNET DE SOUDURE'!$D$7:$D$1506,MATCH(140,'CARNET DE SOUDURE'!$AN$7:$AN$1506,0)))</f>
        <v/>
      </c>
      <c r="F151" s="110" t="str">
        <f aca="false">IF($B151="","",INDEX('CARNET DE SOUDURE'!$M$7:$M$1506,MATCH(140,'CARNET DE SOUDURE'!$AN$7:$AN$1506,0))&amp;" / "&amp;INDEX('CARNET DE SOUDURE'!$N$7:$N$1506,MATCH(140,'CARNET DE SOUDURE'!$AN$7:$AN$1506,0))&amp;" / "&amp;INDEX('CARNET DE SOUDURE'!$O$7:$O$1506,MATCH(140,'CARNET DE SOUDURE'!$AN$7:$AN$1506,0)))</f>
        <v/>
      </c>
      <c r="G151" s="111" t="str">
        <f aca="false">IF($B151="","",INDEX('CARNET DE SOUDURE'!$P$7:$P$1506,MATCH(140,'CARNET DE SOUDURE'!$AN$7:$AN$1506,0)))</f>
        <v/>
      </c>
      <c r="H151" s="112" t="str">
        <f aca="false">IF($B151="","",INDEX('CARNET DE SOUDURE'!$AK$7:$AK$1506,MATCH(140,'CARNET DE SOUDURE'!$AN$7:$AN$1506,0)))</f>
        <v/>
      </c>
      <c r="I151" s="113" t="str">
        <f aca="false">IF($B151="","",INDEX('CARNET DE SOUDURE'!$AI$7:$AI$1506,MATCH(140,'CARNET DE SOUDURE'!$AN$7:$AN$1506,0)))</f>
        <v/>
      </c>
      <c r="J151" s="113" t="str">
        <f aca="false">IF($B151="","",INDEX('CARNET DE SOUDURE'!$AL$7:$AL$1506,MATCH(140,'CARNET DE SOUDURE'!$AN$7:$AN$1506,0)))</f>
        <v/>
      </c>
      <c r="K151" s="87"/>
      <c r="L151" s="87"/>
    </row>
    <row r="152" customFormat="false" ht="15" hidden="false" customHeight="false" outlineLevel="0" collapsed="false">
      <c r="B152" s="91" t="str">
        <f aca="false">IF(141&gt;$I$4,"",141)</f>
        <v/>
      </c>
      <c r="C152" s="91" t="str">
        <f aca="false">IF($B152="","",INDEX('CARNET DE SOUDURE'!$B$7:$B$1506,MATCH(141,'CARNET DE SOUDURE'!$AN$7:$AN$1506,0)))</f>
        <v/>
      </c>
      <c r="D152" s="91" t="str">
        <f aca="false">IF($B152="","",INDEX('CARNET DE SOUDURE'!$E$7:$E$1506,MATCH(141,'CARNET DE SOUDURE'!$AN$7:$AN$1506,0)))</f>
        <v/>
      </c>
      <c r="E152" s="91" t="str">
        <f aca="false">IF($B152="","",INDEX('CARNET DE SOUDURE'!$D$7:$D$1506,MATCH(141,'CARNET DE SOUDURE'!$AN$7:$AN$1506,0)))</f>
        <v/>
      </c>
      <c r="F152" s="91" t="str">
        <f aca="false">IF($B152="","",INDEX('CARNET DE SOUDURE'!$M$7:$M$1506,MATCH(141,'CARNET DE SOUDURE'!$AN$7:$AN$1506,0))&amp;" / "&amp;INDEX('CARNET DE SOUDURE'!$N$7:$N$1506,MATCH(141,'CARNET DE SOUDURE'!$AN$7:$AN$1506,0))&amp;" / "&amp;INDEX('CARNET DE SOUDURE'!$O$7:$O$1506,MATCH(141,'CARNET DE SOUDURE'!$AN$7:$AN$1506,0)))</f>
        <v/>
      </c>
      <c r="G152" s="108" t="str">
        <f aca="false">IF($B152="","",INDEX('CARNET DE SOUDURE'!$P$7:$P$1506,MATCH(141,'CARNET DE SOUDURE'!$AN$7:$AN$1506,0)))</f>
        <v/>
      </c>
      <c r="H152" s="91" t="str">
        <f aca="false">IF($B152="","",INDEX('CARNET DE SOUDURE'!$AK$7:$AK$1506,MATCH(141,'CARNET DE SOUDURE'!$AN$7:$AN$1506,0)))</f>
        <v/>
      </c>
      <c r="I152" s="109" t="str">
        <f aca="false">IF($B152="","",INDEX('CARNET DE SOUDURE'!$AI$7:$AI$1506,MATCH(141,'CARNET DE SOUDURE'!$AN$7:$AN$1506,0)))</f>
        <v/>
      </c>
      <c r="J152" s="109" t="str">
        <f aca="false">IF($B152="","",INDEX('CARNET DE SOUDURE'!$AL$7:$AL$1506,MATCH(141,'CARNET DE SOUDURE'!$AN$7:$AN$1506,0)))</f>
        <v/>
      </c>
      <c r="K152" s="87"/>
      <c r="L152" s="87"/>
    </row>
    <row r="153" customFormat="false" ht="15" hidden="false" customHeight="false" outlineLevel="0" collapsed="false">
      <c r="B153" s="110" t="str">
        <f aca="false">IF(142&gt;$I$4,"",142)</f>
        <v/>
      </c>
      <c r="C153" s="110" t="str">
        <f aca="false">IF($B153="","",INDEX('CARNET DE SOUDURE'!$B$7:$B$1506,MATCH(142,'CARNET DE SOUDURE'!$AN$7:$AN$1506,0)))</f>
        <v/>
      </c>
      <c r="D153" s="110" t="str">
        <f aca="false">IF($B153="","",INDEX('CARNET DE SOUDURE'!$E$7:$E$1506,MATCH(142,'CARNET DE SOUDURE'!$AN$7:$AN$1506,0)))</f>
        <v/>
      </c>
      <c r="E153" s="110" t="str">
        <f aca="false">IF($B153="","",INDEX('CARNET DE SOUDURE'!$D$7:$D$1506,MATCH(142,'CARNET DE SOUDURE'!$AN$7:$AN$1506,0)))</f>
        <v/>
      </c>
      <c r="F153" s="110" t="str">
        <f aca="false">IF($B153="","",INDEX('CARNET DE SOUDURE'!$M$7:$M$1506,MATCH(142,'CARNET DE SOUDURE'!$AN$7:$AN$1506,0))&amp;" / "&amp;INDEX('CARNET DE SOUDURE'!$N$7:$N$1506,MATCH(142,'CARNET DE SOUDURE'!$AN$7:$AN$1506,0))&amp;" / "&amp;INDEX('CARNET DE SOUDURE'!$O$7:$O$1506,MATCH(142,'CARNET DE SOUDURE'!$AN$7:$AN$1506,0)))</f>
        <v/>
      </c>
      <c r="G153" s="111" t="str">
        <f aca="false">IF($B153="","",INDEX('CARNET DE SOUDURE'!$P$7:$P$1506,MATCH(142,'CARNET DE SOUDURE'!$AN$7:$AN$1506,0)))</f>
        <v/>
      </c>
      <c r="H153" s="112" t="str">
        <f aca="false">IF($B153="","",INDEX('CARNET DE SOUDURE'!$AK$7:$AK$1506,MATCH(142,'CARNET DE SOUDURE'!$AN$7:$AN$1506,0)))</f>
        <v/>
      </c>
      <c r="I153" s="113" t="str">
        <f aca="false">IF($B153="","",INDEX('CARNET DE SOUDURE'!$AI$7:$AI$1506,MATCH(142,'CARNET DE SOUDURE'!$AN$7:$AN$1506,0)))</f>
        <v/>
      </c>
      <c r="J153" s="113" t="str">
        <f aca="false">IF($B153="","",INDEX('CARNET DE SOUDURE'!$AL$7:$AL$1506,MATCH(142,'CARNET DE SOUDURE'!$AN$7:$AN$1506,0)))</f>
        <v/>
      </c>
      <c r="K153" s="87"/>
      <c r="L153" s="87"/>
    </row>
    <row r="154" customFormat="false" ht="15" hidden="false" customHeight="false" outlineLevel="0" collapsed="false">
      <c r="B154" s="91" t="str">
        <f aca="false">IF(143&gt;$I$4,"",143)</f>
        <v/>
      </c>
      <c r="C154" s="91" t="str">
        <f aca="false">IF($B154="","",INDEX('CARNET DE SOUDURE'!$B$7:$B$1506,MATCH(143,'CARNET DE SOUDURE'!$AN$7:$AN$1506,0)))</f>
        <v/>
      </c>
      <c r="D154" s="91" t="str">
        <f aca="false">IF($B154="","",INDEX('CARNET DE SOUDURE'!$E$7:$E$1506,MATCH(143,'CARNET DE SOUDURE'!$AN$7:$AN$1506,0)))</f>
        <v/>
      </c>
      <c r="E154" s="91" t="str">
        <f aca="false">IF($B154="","",INDEX('CARNET DE SOUDURE'!$D$7:$D$1506,MATCH(143,'CARNET DE SOUDURE'!$AN$7:$AN$1506,0)))</f>
        <v/>
      </c>
      <c r="F154" s="91" t="str">
        <f aca="false">IF($B154="","",INDEX('CARNET DE SOUDURE'!$M$7:$M$1506,MATCH(143,'CARNET DE SOUDURE'!$AN$7:$AN$1506,0))&amp;" / "&amp;INDEX('CARNET DE SOUDURE'!$N$7:$N$1506,MATCH(143,'CARNET DE SOUDURE'!$AN$7:$AN$1506,0))&amp;" / "&amp;INDEX('CARNET DE SOUDURE'!$O$7:$O$1506,MATCH(143,'CARNET DE SOUDURE'!$AN$7:$AN$1506,0)))</f>
        <v/>
      </c>
      <c r="G154" s="108" t="str">
        <f aca="false">IF($B154="","",INDEX('CARNET DE SOUDURE'!$P$7:$P$1506,MATCH(143,'CARNET DE SOUDURE'!$AN$7:$AN$1506,0)))</f>
        <v/>
      </c>
      <c r="H154" s="91" t="str">
        <f aca="false">IF($B154="","",INDEX('CARNET DE SOUDURE'!$AK$7:$AK$1506,MATCH(143,'CARNET DE SOUDURE'!$AN$7:$AN$1506,0)))</f>
        <v/>
      </c>
      <c r="I154" s="109" t="str">
        <f aca="false">IF($B154="","",INDEX('CARNET DE SOUDURE'!$AI$7:$AI$1506,MATCH(143,'CARNET DE SOUDURE'!$AN$7:$AN$1506,0)))</f>
        <v/>
      </c>
      <c r="J154" s="109" t="str">
        <f aca="false">IF($B154="","",INDEX('CARNET DE SOUDURE'!$AL$7:$AL$1506,MATCH(143,'CARNET DE SOUDURE'!$AN$7:$AN$1506,0)))</f>
        <v/>
      </c>
      <c r="K154" s="87"/>
      <c r="L154" s="87"/>
    </row>
    <row r="155" customFormat="false" ht="15" hidden="false" customHeight="false" outlineLevel="0" collapsed="false">
      <c r="B155" s="110" t="str">
        <f aca="false">IF(144&gt;$I$4,"",144)</f>
        <v/>
      </c>
      <c r="C155" s="110" t="str">
        <f aca="false">IF($B155="","",INDEX('CARNET DE SOUDURE'!$B$7:$B$1506,MATCH(144,'CARNET DE SOUDURE'!$AN$7:$AN$1506,0)))</f>
        <v/>
      </c>
      <c r="D155" s="110" t="str">
        <f aca="false">IF($B155="","",INDEX('CARNET DE SOUDURE'!$E$7:$E$1506,MATCH(144,'CARNET DE SOUDURE'!$AN$7:$AN$1506,0)))</f>
        <v/>
      </c>
      <c r="E155" s="110" t="str">
        <f aca="false">IF($B155="","",INDEX('CARNET DE SOUDURE'!$D$7:$D$1506,MATCH(144,'CARNET DE SOUDURE'!$AN$7:$AN$1506,0)))</f>
        <v/>
      </c>
      <c r="F155" s="110" t="str">
        <f aca="false">IF($B155="","",INDEX('CARNET DE SOUDURE'!$M$7:$M$1506,MATCH(144,'CARNET DE SOUDURE'!$AN$7:$AN$1506,0))&amp;" / "&amp;INDEX('CARNET DE SOUDURE'!$N$7:$N$1506,MATCH(144,'CARNET DE SOUDURE'!$AN$7:$AN$1506,0))&amp;" / "&amp;INDEX('CARNET DE SOUDURE'!$O$7:$O$1506,MATCH(144,'CARNET DE SOUDURE'!$AN$7:$AN$1506,0)))</f>
        <v/>
      </c>
      <c r="G155" s="111" t="str">
        <f aca="false">IF($B155="","",INDEX('CARNET DE SOUDURE'!$P$7:$P$1506,MATCH(144,'CARNET DE SOUDURE'!$AN$7:$AN$1506,0)))</f>
        <v/>
      </c>
      <c r="H155" s="112" t="str">
        <f aca="false">IF($B155="","",INDEX('CARNET DE SOUDURE'!$AK$7:$AK$1506,MATCH(144,'CARNET DE SOUDURE'!$AN$7:$AN$1506,0)))</f>
        <v/>
      </c>
      <c r="I155" s="113" t="str">
        <f aca="false">IF($B155="","",INDEX('CARNET DE SOUDURE'!$AI$7:$AI$1506,MATCH(144,'CARNET DE SOUDURE'!$AN$7:$AN$1506,0)))</f>
        <v/>
      </c>
      <c r="J155" s="113" t="str">
        <f aca="false">IF($B155="","",INDEX('CARNET DE SOUDURE'!$AL$7:$AL$1506,MATCH(144,'CARNET DE SOUDURE'!$AN$7:$AN$1506,0)))</f>
        <v/>
      </c>
      <c r="K155" s="87"/>
      <c r="L155" s="87"/>
    </row>
    <row r="156" customFormat="false" ht="15" hidden="false" customHeight="false" outlineLevel="0" collapsed="false">
      <c r="B156" s="91" t="str">
        <f aca="false">IF(145&gt;$I$4,"",145)</f>
        <v/>
      </c>
      <c r="C156" s="91" t="str">
        <f aca="false">IF($B156="","",INDEX('CARNET DE SOUDURE'!$B$7:$B$1506,MATCH(145,'CARNET DE SOUDURE'!$AN$7:$AN$1506,0)))</f>
        <v/>
      </c>
      <c r="D156" s="91" t="str">
        <f aca="false">IF($B156="","",INDEX('CARNET DE SOUDURE'!$E$7:$E$1506,MATCH(145,'CARNET DE SOUDURE'!$AN$7:$AN$1506,0)))</f>
        <v/>
      </c>
      <c r="E156" s="91" t="str">
        <f aca="false">IF($B156="","",INDEX('CARNET DE SOUDURE'!$D$7:$D$1506,MATCH(145,'CARNET DE SOUDURE'!$AN$7:$AN$1506,0)))</f>
        <v/>
      </c>
      <c r="F156" s="91" t="str">
        <f aca="false">IF($B156="","",INDEX('CARNET DE SOUDURE'!$M$7:$M$1506,MATCH(145,'CARNET DE SOUDURE'!$AN$7:$AN$1506,0))&amp;" / "&amp;INDEX('CARNET DE SOUDURE'!$N$7:$N$1506,MATCH(145,'CARNET DE SOUDURE'!$AN$7:$AN$1506,0))&amp;" / "&amp;INDEX('CARNET DE SOUDURE'!$O$7:$O$1506,MATCH(145,'CARNET DE SOUDURE'!$AN$7:$AN$1506,0)))</f>
        <v/>
      </c>
      <c r="G156" s="108" t="str">
        <f aca="false">IF($B156="","",INDEX('CARNET DE SOUDURE'!$P$7:$P$1506,MATCH(145,'CARNET DE SOUDURE'!$AN$7:$AN$1506,0)))</f>
        <v/>
      </c>
      <c r="H156" s="91" t="str">
        <f aca="false">IF($B156="","",INDEX('CARNET DE SOUDURE'!$AK$7:$AK$1506,MATCH(145,'CARNET DE SOUDURE'!$AN$7:$AN$1506,0)))</f>
        <v/>
      </c>
      <c r="I156" s="109" t="str">
        <f aca="false">IF($B156="","",INDEX('CARNET DE SOUDURE'!$AI$7:$AI$1506,MATCH(145,'CARNET DE SOUDURE'!$AN$7:$AN$1506,0)))</f>
        <v/>
      </c>
      <c r="J156" s="109" t="str">
        <f aca="false">IF($B156="","",INDEX('CARNET DE SOUDURE'!$AL$7:$AL$1506,MATCH(145,'CARNET DE SOUDURE'!$AN$7:$AN$1506,0)))</f>
        <v/>
      </c>
      <c r="K156" s="87"/>
      <c r="L156" s="87"/>
    </row>
    <row r="157" customFormat="false" ht="15" hidden="false" customHeight="false" outlineLevel="0" collapsed="false">
      <c r="B157" s="110" t="str">
        <f aca="false">IF(146&gt;$I$4,"",146)</f>
        <v/>
      </c>
      <c r="C157" s="110" t="str">
        <f aca="false">IF($B157="","",INDEX('CARNET DE SOUDURE'!$B$7:$B$1506,MATCH(146,'CARNET DE SOUDURE'!$AN$7:$AN$1506,0)))</f>
        <v/>
      </c>
      <c r="D157" s="110" t="str">
        <f aca="false">IF($B157="","",INDEX('CARNET DE SOUDURE'!$E$7:$E$1506,MATCH(146,'CARNET DE SOUDURE'!$AN$7:$AN$1506,0)))</f>
        <v/>
      </c>
      <c r="E157" s="110" t="str">
        <f aca="false">IF($B157="","",INDEX('CARNET DE SOUDURE'!$D$7:$D$1506,MATCH(146,'CARNET DE SOUDURE'!$AN$7:$AN$1506,0)))</f>
        <v/>
      </c>
      <c r="F157" s="110" t="str">
        <f aca="false">IF($B157="","",INDEX('CARNET DE SOUDURE'!$M$7:$M$1506,MATCH(146,'CARNET DE SOUDURE'!$AN$7:$AN$1506,0))&amp;" / "&amp;INDEX('CARNET DE SOUDURE'!$N$7:$N$1506,MATCH(146,'CARNET DE SOUDURE'!$AN$7:$AN$1506,0))&amp;" / "&amp;INDEX('CARNET DE SOUDURE'!$O$7:$O$1506,MATCH(146,'CARNET DE SOUDURE'!$AN$7:$AN$1506,0)))</f>
        <v/>
      </c>
      <c r="G157" s="111" t="str">
        <f aca="false">IF($B157="","",INDEX('CARNET DE SOUDURE'!$P$7:$P$1506,MATCH(146,'CARNET DE SOUDURE'!$AN$7:$AN$1506,0)))</f>
        <v/>
      </c>
      <c r="H157" s="112" t="str">
        <f aca="false">IF($B157="","",INDEX('CARNET DE SOUDURE'!$AK$7:$AK$1506,MATCH(146,'CARNET DE SOUDURE'!$AN$7:$AN$1506,0)))</f>
        <v/>
      </c>
      <c r="I157" s="113" t="str">
        <f aca="false">IF($B157="","",INDEX('CARNET DE SOUDURE'!$AI$7:$AI$1506,MATCH(146,'CARNET DE SOUDURE'!$AN$7:$AN$1506,0)))</f>
        <v/>
      </c>
      <c r="J157" s="113" t="str">
        <f aca="false">IF($B157="","",INDEX('CARNET DE SOUDURE'!$AL$7:$AL$1506,MATCH(146,'CARNET DE SOUDURE'!$AN$7:$AN$1506,0)))</f>
        <v/>
      </c>
      <c r="K157" s="87"/>
      <c r="L157" s="87"/>
    </row>
    <row r="158" customFormat="false" ht="15" hidden="false" customHeight="false" outlineLevel="0" collapsed="false">
      <c r="B158" s="91" t="str">
        <f aca="false">IF(147&gt;$I$4,"",147)</f>
        <v/>
      </c>
      <c r="C158" s="91" t="str">
        <f aca="false">IF($B158="","",INDEX('CARNET DE SOUDURE'!$B$7:$B$1506,MATCH(147,'CARNET DE SOUDURE'!$AN$7:$AN$1506,0)))</f>
        <v/>
      </c>
      <c r="D158" s="91" t="str">
        <f aca="false">IF($B158="","",INDEX('CARNET DE SOUDURE'!$E$7:$E$1506,MATCH(147,'CARNET DE SOUDURE'!$AN$7:$AN$1506,0)))</f>
        <v/>
      </c>
      <c r="E158" s="91" t="str">
        <f aca="false">IF($B158="","",INDEX('CARNET DE SOUDURE'!$D$7:$D$1506,MATCH(147,'CARNET DE SOUDURE'!$AN$7:$AN$1506,0)))</f>
        <v/>
      </c>
      <c r="F158" s="91" t="str">
        <f aca="false">IF($B158="","",INDEX('CARNET DE SOUDURE'!$M$7:$M$1506,MATCH(147,'CARNET DE SOUDURE'!$AN$7:$AN$1506,0))&amp;" / "&amp;INDEX('CARNET DE SOUDURE'!$N$7:$N$1506,MATCH(147,'CARNET DE SOUDURE'!$AN$7:$AN$1506,0))&amp;" / "&amp;INDEX('CARNET DE SOUDURE'!$O$7:$O$1506,MATCH(147,'CARNET DE SOUDURE'!$AN$7:$AN$1506,0)))</f>
        <v/>
      </c>
      <c r="G158" s="108" t="str">
        <f aca="false">IF($B158="","",INDEX('CARNET DE SOUDURE'!$P$7:$P$1506,MATCH(147,'CARNET DE SOUDURE'!$AN$7:$AN$1506,0)))</f>
        <v/>
      </c>
      <c r="H158" s="91" t="str">
        <f aca="false">IF($B158="","",INDEX('CARNET DE SOUDURE'!$AK$7:$AK$1506,MATCH(147,'CARNET DE SOUDURE'!$AN$7:$AN$1506,0)))</f>
        <v/>
      </c>
      <c r="I158" s="109" t="str">
        <f aca="false">IF($B158="","",INDEX('CARNET DE SOUDURE'!$AI$7:$AI$1506,MATCH(147,'CARNET DE SOUDURE'!$AN$7:$AN$1506,0)))</f>
        <v/>
      </c>
      <c r="J158" s="109" t="str">
        <f aca="false">IF($B158="","",INDEX('CARNET DE SOUDURE'!$AL$7:$AL$1506,MATCH(147,'CARNET DE SOUDURE'!$AN$7:$AN$1506,0)))</f>
        <v/>
      </c>
      <c r="K158" s="87"/>
      <c r="L158" s="87"/>
    </row>
    <row r="159" customFormat="false" ht="15" hidden="false" customHeight="false" outlineLevel="0" collapsed="false">
      <c r="B159" s="110" t="str">
        <f aca="false">IF(148&gt;$I$4,"",148)</f>
        <v/>
      </c>
      <c r="C159" s="110" t="str">
        <f aca="false">IF($B159="","",INDEX('CARNET DE SOUDURE'!$B$7:$B$1506,MATCH(148,'CARNET DE SOUDURE'!$AN$7:$AN$1506,0)))</f>
        <v/>
      </c>
      <c r="D159" s="110" t="str">
        <f aca="false">IF($B159="","",INDEX('CARNET DE SOUDURE'!$E$7:$E$1506,MATCH(148,'CARNET DE SOUDURE'!$AN$7:$AN$1506,0)))</f>
        <v/>
      </c>
      <c r="E159" s="110" t="str">
        <f aca="false">IF($B159="","",INDEX('CARNET DE SOUDURE'!$D$7:$D$1506,MATCH(148,'CARNET DE SOUDURE'!$AN$7:$AN$1506,0)))</f>
        <v/>
      </c>
      <c r="F159" s="110" t="str">
        <f aca="false">IF($B159="","",INDEX('CARNET DE SOUDURE'!$M$7:$M$1506,MATCH(148,'CARNET DE SOUDURE'!$AN$7:$AN$1506,0))&amp;" / "&amp;INDEX('CARNET DE SOUDURE'!$N$7:$N$1506,MATCH(148,'CARNET DE SOUDURE'!$AN$7:$AN$1506,0))&amp;" / "&amp;INDEX('CARNET DE SOUDURE'!$O$7:$O$1506,MATCH(148,'CARNET DE SOUDURE'!$AN$7:$AN$1506,0)))</f>
        <v/>
      </c>
      <c r="G159" s="111" t="str">
        <f aca="false">IF($B159="","",INDEX('CARNET DE SOUDURE'!$P$7:$P$1506,MATCH(148,'CARNET DE SOUDURE'!$AN$7:$AN$1506,0)))</f>
        <v/>
      </c>
      <c r="H159" s="112" t="str">
        <f aca="false">IF($B159="","",INDEX('CARNET DE SOUDURE'!$AK$7:$AK$1506,MATCH(148,'CARNET DE SOUDURE'!$AN$7:$AN$1506,0)))</f>
        <v/>
      </c>
      <c r="I159" s="113" t="str">
        <f aca="false">IF($B159="","",INDEX('CARNET DE SOUDURE'!$AI$7:$AI$1506,MATCH(148,'CARNET DE SOUDURE'!$AN$7:$AN$1506,0)))</f>
        <v/>
      </c>
      <c r="J159" s="113" t="str">
        <f aca="false">IF($B159="","",INDEX('CARNET DE SOUDURE'!$AL$7:$AL$1506,MATCH(148,'CARNET DE SOUDURE'!$AN$7:$AN$1506,0)))</f>
        <v/>
      </c>
      <c r="K159" s="87"/>
      <c r="L159" s="87"/>
    </row>
    <row r="160" customFormat="false" ht="15" hidden="false" customHeight="false" outlineLevel="0" collapsed="false">
      <c r="B160" s="91" t="str">
        <f aca="false">IF(149&gt;$I$4,"",149)</f>
        <v/>
      </c>
      <c r="C160" s="91" t="str">
        <f aca="false">IF($B160="","",INDEX('CARNET DE SOUDURE'!$B$7:$B$1506,MATCH(149,'CARNET DE SOUDURE'!$AN$7:$AN$1506,0)))</f>
        <v/>
      </c>
      <c r="D160" s="91" t="str">
        <f aca="false">IF($B160="","",INDEX('CARNET DE SOUDURE'!$E$7:$E$1506,MATCH(149,'CARNET DE SOUDURE'!$AN$7:$AN$1506,0)))</f>
        <v/>
      </c>
      <c r="E160" s="91" t="str">
        <f aca="false">IF($B160="","",INDEX('CARNET DE SOUDURE'!$D$7:$D$1506,MATCH(149,'CARNET DE SOUDURE'!$AN$7:$AN$1506,0)))</f>
        <v/>
      </c>
      <c r="F160" s="91" t="str">
        <f aca="false">IF($B160="","",INDEX('CARNET DE SOUDURE'!$M$7:$M$1506,MATCH(149,'CARNET DE SOUDURE'!$AN$7:$AN$1506,0))&amp;" / "&amp;INDEX('CARNET DE SOUDURE'!$N$7:$N$1506,MATCH(149,'CARNET DE SOUDURE'!$AN$7:$AN$1506,0))&amp;" / "&amp;INDEX('CARNET DE SOUDURE'!$O$7:$O$1506,MATCH(149,'CARNET DE SOUDURE'!$AN$7:$AN$1506,0)))</f>
        <v/>
      </c>
      <c r="G160" s="108" t="str">
        <f aca="false">IF($B160="","",INDEX('CARNET DE SOUDURE'!$P$7:$P$1506,MATCH(149,'CARNET DE SOUDURE'!$AN$7:$AN$1506,0)))</f>
        <v/>
      </c>
      <c r="H160" s="91" t="str">
        <f aca="false">IF($B160="","",INDEX('CARNET DE SOUDURE'!$AK$7:$AK$1506,MATCH(149,'CARNET DE SOUDURE'!$AN$7:$AN$1506,0)))</f>
        <v/>
      </c>
      <c r="I160" s="109" t="str">
        <f aca="false">IF($B160="","",INDEX('CARNET DE SOUDURE'!$AI$7:$AI$1506,MATCH(149,'CARNET DE SOUDURE'!$AN$7:$AN$1506,0)))</f>
        <v/>
      </c>
      <c r="J160" s="109" t="str">
        <f aca="false">IF($B160="","",INDEX('CARNET DE SOUDURE'!$AL$7:$AL$1506,MATCH(149,'CARNET DE SOUDURE'!$AN$7:$AN$1506,0)))</f>
        <v/>
      </c>
      <c r="K160" s="87"/>
      <c r="L160" s="87"/>
    </row>
    <row r="161" customFormat="false" ht="15" hidden="false" customHeight="false" outlineLevel="0" collapsed="false">
      <c r="B161" s="110" t="str">
        <f aca="false">IF(150&gt;$I$4,"",150)</f>
        <v/>
      </c>
      <c r="C161" s="110" t="str">
        <f aca="false">IF($B161="","",INDEX('CARNET DE SOUDURE'!$B$7:$B$1506,MATCH(150,'CARNET DE SOUDURE'!$AN$7:$AN$1506,0)))</f>
        <v/>
      </c>
      <c r="D161" s="110" t="str">
        <f aca="false">IF($B161="","",INDEX('CARNET DE SOUDURE'!$E$7:$E$1506,MATCH(150,'CARNET DE SOUDURE'!$AN$7:$AN$1506,0)))</f>
        <v/>
      </c>
      <c r="E161" s="110" t="str">
        <f aca="false">IF($B161="","",INDEX('CARNET DE SOUDURE'!$D$7:$D$1506,MATCH(150,'CARNET DE SOUDURE'!$AN$7:$AN$1506,0)))</f>
        <v/>
      </c>
      <c r="F161" s="110" t="str">
        <f aca="false">IF($B161="","",INDEX('CARNET DE SOUDURE'!$M$7:$M$1506,MATCH(150,'CARNET DE SOUDURE'!$AN$7:$AN$1506,0))&amp;" / "&amp;INDEX('CARNET DE SOUDURE'!$N$7:$N$1506,MATCH(150,'CARNET DE SOUDURE'!$AN$7:$AN$1506,0))&amp;" / "&amp;INDEX('CARNET DE SOUDURE'!$O$7:$O$1506,MATCH(150,'CARNET DE SOUDURE'!$AN$7:$AN$1506,0)))</f>
        <v/>
      </c>
      <c r="G161" s="111" t="str">
        <f aca="false">IF($B161="","",INDEX('CARNET DE SOUDURE'!$P$7:$P$1506,MATCH(150,'CARNET DE SOUDURE'!$AN$7:$AN$1506,0)))</f>
        <v/>
      </c>
      <c r="H161" s="112" t="str">
        <f aca="false">IF($B161="","",INDEX('CARNET DE SOUDURE'!$AK$7:$AK$1506,MATCH(150,'CARNET DE SOUDURE'!$AN$7:$AN$1506,0)))</f>
        <v/>
      </c>
      <c r="I161" s="113" t="str">
        <f aca="false">IF($B161="","",INDEX('CARNET DE SOUDURE'!$AI$7:$AI$1506,MATCH(150,'CARNET DE SOUDURE'!$AN$7:$AN$1506,0)))</f>
        <v/>
      </c>
      <c r="J161" s="113" t="str">
        <f aca="false">IF($B161="","",INDEX('CARNET DE SOUDURE'!$AL$7:$AL$1506,MATCH(150,'CARNET DE SOUDURE'!$AN$7:$AN$1506,0)))</f>
        <v/>
      </c>
      <c r="K161" s="87"/>
      <c r="L161" s="87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6">
      <formula>"À RADIOGRAPHIER"</formula>
    </cfRule>
    <cfRule type="cellIs" priority="4" operator="equal" aboveAverage="0" equalAverage="0" bottom="0" percent="0" rank="0" text="" dxfId="26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5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7">
      <formula>"VT EN ATTENTE"</formula>
    </cfRule>
    <cfRule type="cellIs" priority="10" operator="equal" aboveAverage="0" equalAverage="0" bottom="0" percent="0" rank="0" text="" dxfId="28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4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114" t="s">
        <v>664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</row>
    <row r="4" customFormat="false" ht="19.7" hidden="false" customHeight="false" outlineLevel="0" collapsed="false">
      <c r="B4" s="99" t="s">
        <v>650</v>
      </c>
      <c r="C4" s="100" t="n">
        <f aca="false">'PROGRAMME RT'!C4</f>
        <v>46291</v>
      </c>
      <c r="G4" s="99" t="s">
        <v>651</v>
      </c>
      <c r="I4" s="101" t="n">
        <f aca="false">SUM('CARNET DE SOUDURE'!$AO$7:$AO$1506)</f>
        <v>0</v>
      </c>
    </row>
    <row r="5" customFormat="false" ht="15" hidden="false" customHeight="true" outlineLevel="0" collapsed="false">
      <c r="B5" s="99" t="s">
        <v>652</v>
      </c>
      <c r="D5" s="102" t="s">
        <v>2</v>
      </c>
      <c r="E5" s="102"/>
      <c r="G5" s="103" t="s">
        <v>665</v>
      </c>
      <c r="H5" s="103"/>
      <c r="I5" s="103"/>
      <c r="J5" s="103"/>
      <c r="K5" s="103"/>
      <c r="L5" s="103"/>
    </row>
    <row r="11" customFormat="false" ht="30" hidden="false" customHeight="true" outlineLevel="0" collapsed="false">
      <c r="B11" s="37" t="s">
        <v>659</v>
      </c>
      <c r="C11" s="37" t="s">
        <v>17</v>
      </c>
      <c r="D11" s="37" t="s">
        <v>62</v>
      </c>
      <c r="E11" s="37" t="s">
        <v>660</v>
      </c>
      <c r="F11" s="37" t="s">
        <v>93</v>
      </c>
      <c r="G11" s="37" t="s">
        <v>666</v>
      </c>
      <c r="H11" s="37" t="s">
        <v>667</v>
      </c>
      <c r="I11" s="37" t="s">
        <v>30</v>
      </c>
      <c r="J11" s="37" t="s">
        <v>95</v>
      </c>
      <c r="K11" s="37" t="s">
        <v>668</v>
      </c>
      <c r="L11" s="37" t="s">
        <v>669</v>
      </c>
    </row>
    <row r="12" customFormat="false" ht="15" hidden="false" customHeight="false" outlineLevel="0" collapsed="false">
      <c r="B12" s="91" t="str">
        <f aca="false">IF(1&gt;$I$4,"",1)</f>
        <v/>
      </c>
      <c r="C12" s="91" t="str">
        <f aca="false">IF($B12="","",INDEX('CARNET DE SOUDURE'!$B$7:$B$1506,MATCH(1,'CARNET DE SOUDURE'!$AP$7:$AP$1506,0)))</f>
        <v/>
      </c>
      <c r="D12" s="91" t="str">
        <f aca="false">IF($B12="","",INDEX('CARNET DE SOUDURE'!$E$7:$E$1506,MATCH(1,'CARNET DE SOUDURE'!$AP$7:$AP$1506,0)))</f>
        <v/>
      </c>
      <c r="E12" s="91" t="str">
        <f aca="false">IF($B12="","",INDEX('CARNET DE SOUDURE'!$M$7:$M$1506,MATCH(1,'CARNET DE SOUDURE'!$AP$7:$AP$1506,0))&amp;" / "&amp;INDEX('CARNET DE SOUDURE'!$N$7:$N$1506,MATCH(1,'CARNET DE SOUDURE'!$AP$7:$AP$1506,0))&amp;" / "&amp;INDEX('CARNET DE SOUDURE'!$O$7:$O$1506,MATCH(1,'CARNET DE SOUDURE'!$AP$7:$AP$1506,0)))</f>
        <v/>
      </c>
      <c r="F12" s="91" t="str">
        <f aca="false">IF($B12="","",INDEX('CARNET DE SOUDURE'!$AJ$7:$AJ$1506,MATCH(1,'CARNET DE SOUDURE'!$AP$7:$AP$1506,0)))</f>
        <v/>
      </c>
      <c r="G12" s="108" t="str">
        <f aca="false">IF($B12="","",IF(INDEX('CARNET DE SOUDURE'!$AF$7:$AF$1506,MATCH(1,'CARNET DE SOUDURE'!$AP$7:$AP$1506,0))&lt;&gt;"",INDEX('CARNET DE SOUDURE'!$AD$7:$AD$1506,MATCH(1,'CARNET DE SOUDURE'!$AP$7:$AP$1506,0)),IF(INDEX('CARNET DE SOUDURE'!$AA$7:$AA$1506,MATCH(1,'CARNET DE SOUDURE'!$AP$7:$AP$1506,0))&lt;&gt;"",INDEX('CARNET DE SOUDURE'!$Y$7:$Y$1506,MATCH(1,'CARNET DE SOUDURE'!$AP$7:$AP$1506,0)),INDEX('CARNET DE SOUDURE'!$T$7:$T$1506,MATCH(1,'CARNET DE SOUDURE'!$AP$7:$AP$1506,0)))))</f>
        <v/>
      </c>
      <c r="H12" s="91" t="str">
        <f aca="false">IF($B12="","",IF(INDEX('CARNET DE SOUDURE'!$AF$7:$AF$1506,MATCH(1,'CARNET DE SOUDURE'!$AP$7:$AP$1506,0))&lt;&gt;"",INDEX('CARNET DE SOUDURE'!$AE$7:$AE$1506,MATCH(1,'CARNET DE SOUDURE'!$AP$7:$AP$1506,0)),IF(INDEX('CARNET DE SOUDURE'!$AA$7:$AA$1506,MATCH(1,'CARNET DE SOUDURE'!$AP$7:$AP$1506,0))&lt;&gt;"",INDEX('CARNET DE SOUDURE'!$Z$7:$Z$1506,MATCH(1,'CARNET DE SOUDURE'!$AP$7:$AP$1506,0)),INDEX('CARNET DE SOUDURE'!$U$7:$U$1506,MATCH(1,'CARNET DE SOUDURE'!$AP$7:$AP$1506,0))))&amp;"")</f>
        <v/>
      </c>
      <c r="I12" s="91" t="str">
        <f aca="false">IF($B12="","",INDEX('CARNET DE SOUDURE'!$AK$7:$AK$1506,MATCH(1,'CARNET DE SOUDURE'!$AP$7:$AP$1506,0)))</f>
        <v/>
      </c>
      <c r="J12" s="109" t="str">
        <f aca="false">IF($B12="","",INDEX('CARNET DE SOUDURE'!$AL$7:$AL$1506,MATCH(1,'CARNET DE SOUDURE'!$AP$7:$AP$1506,0)))</f>
        <v/>
      </c>
      <c r="K12" s="87"/>
      <c r="L12" s="87"/>
    </row>
    <row r="13" customFormat="false" ht="15" hidden="false" customHeight="false" outlineLevel="0" collapsed="false">
      <c r="B13" s="110" t="str">
        <f aca="false">IF(2&gt;$I$4,"",2)</f>
        <v/>
      </c>
      <c r="C13" s="110" t="str">
        <f aca="false">IF($B13="","",INDEX('CARNET DE SOUDURE'!$B$7:$B$1506,MATCH(2,'CARNET DE SOUDURE'!$AP$7:$AP$1506,0)))</f>
        <v/>
      </c>
      <c r="D13" s="110" t="str">
        <f aca="false">IF($B13="","",INDEX('CARNET DE SOUDURE'!$E$7:$E$1506,MATCH(2,'CARNET DE SOUDURE'!$AP$7:$AP$1506,0)))</f>
        <v/>
      </c>
      <c r="E13" s="110" t="str">
        <f aca="false">IF($B13="","",INDEX('CARNET DE SOUDURE'!$M$7:$M$1506,MATCH(2,'CARNET DE SOUDURE'!$AP$7:$AP$1506,0))&amp;" / "&amp;INDEX('CARNET DE SOUDURE'!$N$7:$N$1506,MATCH(2,'CARNET DE SOUDURE'!$AP$7:$AP$1506,0))&amp;" / "&amp;INDEX('CARNET DE SOUDURE'!$O$7:$O$1506,MATCH(2,'CARNET DE SOUDURE'!$AP$7:$AP$1506,0)))</f>
        <v/>
      </c>
      <c r="F13" s="112" t="str">
        <f aca="false">IF($B13="","",INDEX('CARNET DE SOUDURE'!$AJ$7:$AJ$1506,MATCH(2,'CARNET DE SOUDURE'!$AP$7:$AP$1506,0)))</f>
        <v/>
      </c>
      <c r="G13" s="111" t="str">
        <f aca="false">IF($B13="","",IF(INDEX('CARNET DE SOUDURE'!$AF$7:$AF$1506,MATCH(2,'CARNET DE SOUDURE'!$AP$7:$AP$1506,0))&lt;&gt;"",INDEX('CARNET DE SOUDURE'!$AD$7:$AD$1506,MATCH(2,'CARNET DE SOUDURE'!$AP$7:$AP$1506,0)),IF(INDEX('CARNET DE SOUDURE'!$AA$7:$AA$1506,MATCH(2,'CARNET DE SOUDURE'!$AP$7:$AP$1506,0))&lt;&gt;"",INDEX('CARNET DE SOUDURE'!$Y$7:$Y$1506,MATCH(2,'CARNET DE SOUDURE'!$AP$7:$AP$1506,0)),INDEX('CARNET DE SOUDURE'!$T$7:$T$1506,MATCH(2,'CARNET DE SOUDURE'!$AP$7:$AP$1506,0)))))</f>
        <v/>
      </c>
      <c r="H13" s="110" t="str">
        <f aca="false">IF($B13="","",IF(INDEX('CARNET DE SOUDURE'!$AF$7:$AF$1506,MATCH(2,'CARNET DE SOUDURE'!$AP$7:$AP$1506,0))&lt;&gt;"",INDEX('CARNET DE SOUDURE'!$AE$7:$AE$1506,MATCH(2,'CARNET DE SOUDURE'!$AP$7:$AP$1506,0)),IF(INDEX('CARNET DE SOUDURE'!$AA$7:$AA$1506,MATCH(2,'CARNET DE SOUDURE'!$AP$7:$AP$1506,0))&lt;&gt;"",INDEX('CARNET DE SOUDURE'!$Z$7:$Z$1506,MATCH(2,'CARNET DE SOUDURE'!$AP$7:$AP$1506,0)),INDEX('CARNET DE SOUDURE'!$U$7:$U$1506,MATCH(2,'CARNET DE SOUDURE'!$AP$7:$AP$1506,0))))&amp;"")</f>
        <v/>
      </c>
      <c r="I13" s="112" t="str">
        <f aca="false">IF($B13="","",INDEX('CARNET DE SOUDURE'!$AK$7:$AK$1506,MATCH(2,'CARNET DE SOUDURE'!$AP$7:$AP$1506,0)))</f>
        <v/>
      </c>
      <c r="J13" s="113" t="str">
        <f aca="false">IF($B13="","",INDEX('CARNET DE SOUDURE'!$AL$7:$AL$1506,MATCH(2,'CARNET DE SOUDURE'!$AP$7:$AP$1506,0)))</f>
        <v/>
      </c>
      <c r="K13" s="87"/>
      <c r="L13" s="87"/>
    </row>
    <row r="14" customFormat="false" ht="15" hidden="false" customHeight="false" outlineLevel="0" collapsed="false">
      <c r="B14" s="91" t="str">
        <f aca="false">IF(3&gt;$I$4,"",3)</f>
        <v/>
      </c>
      <c r="C14" s="91" t="str">
        <f aca="false">IF($B14="","",INDEX('CARNET DE SOUDURE'!$B$7:$B$1506,MATCH(3,'CARNET DE SOUDURE'!$AP$7:$AP$1506,0)))</f>
        <v/>
      </c>
      <c r="D14" s="91" t="str">
        <f aca="false">IF($B14="","",INDEX('CARNET DE SOUDURE'!$E$7:$E$1506,MATCH(3,'CARNET DE SOUDURE'!$AP$7:$AP$1506,0)))</f>
        <v/>
      </c>
      <c r="E14" s="91" t="str">
        <f aca="false">IF($B14="","",INDEX('CARNET DE SOUDURE'!$M$7:$M$1506,MATCH(3,'CARNET DE SOUDURE'!$AP$7:$AP$1506,0))&amp;" / "&amp;INDEX('CARNET DE SOUDURE'!$N$7:$N$1506,MATCH(3,'CARNET DE SOUDURE'!$AP$7:$AP$1506,0))&amp;" / "&amp;INDEX('CARNET DE SOUDURE'!$O$7:$O$1506,MATCH(3,'CARNET DE SOUDURE'!$AP$7:$AP$1506,0)))</f>
        <v/>
      </c>
      <c r="F14" s="91" t="str">
        <f aca="false">IF($B14="","",INDEX('CARNET DE SOUDURE'!$AJ$7:$AJ$1506,MATCH(3,'CARNET DE SOUDURE'!$AP$7:$AP$1506,0)))</f>
        <v/>
      </c>
      <c r="G14" s="108" t="str">
        <f aca="false">IF($B14="","",IF(INDEX('CARNET DE SOUDURE'!$AF$7:$AF$1506,MATCH(3,'CARNET DE SOUDURE'!$AP$7:$AP$1506,0))&lt;&gt;"",INDEX('CARNET DE SOUDURE'!$AD$7:$AD$1506,MATCH(3,'CARNET DE SOUDURE'!$AP$7:$AP$1506,0)),IF(INDEX('CARNET DE SOUDURE'!$AA$7:$AA$1506,MATCH(3,'CARNET DE SOUDURE'!$AP$7:$AP$1506,0))&lt;&gt;"",INDEX('CARNET DE SOUDURE'!$Y$7:$Y$1506,MATCH(3,'CARNET DE SOUDURE'!$AP$7:$AP$1506,0)),INDEX('CARNET DE SOUDURE'!$T$7:$T$1506,MATCH(3,'CARNET DE SOUDURE'!$AP$7:$AP$1506,0)))))</f>
        <v/>
      </c>
      <c r="H14" s="91" t="str">
        <f aca="false">IF($B14="","",IF(INDEX('CARNET DE SOUDURE'!$AF$7:$AF$1506,MATCH(3,'CARNET DE SOUDURE'!$AP$7:$AP$1506,0))&lt;&gt;"",INDEX('CARNET DE SOUDURE'!$AE$7:$AE$1506,MATCH(3,'CARNET DE SOUDURE'!$AP$7:$AP$1506,0)),IF(INDEX('CARNET DE SOUDURE'!$AA$7:$AA$1506,MATCH(3,'CARNET DE SOUDURE'!$AP$7:$AP$1506,0))&lt;&gt;"",INDEX('CARNET DE SOUDURE'!$Z$7:$Z$1506,MATCH(3,'CARNET DE SOUDURE'!$AP$7:$AP$1506,0)),INDEX('CARNET DE SOUDURE'!$U$7:$U$1506,MATCH(3,'CARNET DE SOUDURE'!$AP$7:$AP$1506,0))))&amp;"")</f>
        <v/>
      </c>
      <c r="I14" s="91" t="str">
        <f aca="false">IF($B14="","",INDEX('CARNET DE SOUDURE'!$AK$7:$AK$1506,MATCH(3,'CARNET DE SOUDURE'!$AP$7:$AP$1506,0)))</f>
        <v/>
      </c>
      <c r="J14" s="109" t="str">
        <f aca="false">IF($B14="","",INDEX('CARNET DE SOUDURE'!$AL$7:$AL$1506,MATCH(3,'CARNET DE SOUDURE'!$AP$7:$AP$1506,0)))</f>
        <v/>
      </c>
      <c r="K14" s="87"/>
      <c r="L14" s="87"/>
    </row>
    <row r="15" customFormat="false" ht="15" hidden="false" customHeight="false" outlineLevel="0" collapsed="false">
      <c r="B15" s="110" t="str">
        <f aca="false">IF(4&gt;$I$4,"",4)</f>
        <v/>
      </c>
      <c r="C15" s="110" t="str">
        <f aca="false">IF($B15="","",INDEX('CARNET DE SOUDURE'!$B$7:$B$1506,MATCH(4,'CARNET DE SOUDURE'!$AP$7:$AP$1506,0)))</f>
        <v/>
      </c>
      <c r="D15" s="110" t="str">
        <f aca="false">IF($B15="","",INDEX('CARNET DE SOUDURE'!$E$7:$E$1506,MATCH(4,'CARNET DE SOUDURE'!$AP$7:$AP$1506,0)))</f>
        <v/>
      </c>
      <c r="E15" s="110" t="str">
        <f aca="false">IF($B15="","",INDEX('CARNET DE SOUDURE'!$M$7:$M$1506,MATCH(4,'CARNET DE SOUDURE'!$AP$7:$AP$1506,0))&amp;" / "&amp;INDEX('CARNET DE SOUDURE'!$N$7:$N$1506,MATCH(4,'CARNET DE SOUDURE'!$AP$7:$AP$1506,0))&amp;" / "&amp;INDEX('CARNET DE SOUDURE'!$O$7:$O$1506,MATCH(4,'CARNET DE SOUDURE'!$AP$7:$AP$1506,0)))</f>
        <v/>
      </c>
      <c r="F15" s="112" t="str">
        <f aca="false">IF($B15="","",INDEX('CARNET DE SOUDURE'!$AJ$7:$AJ$1506,MATCH(4,'CARNET DE SOUDURE'!$AP$7:$AP$1506,0)))</f>
        <v/>
      </c>
      <c r="G15" s="111" t="str">
        <f aca="false">IF($B15="","",IF(INDEX('CARNET DE SOUDURE'!$AF$7:$AF$1506,MATCH(4,'CARNET DE SOUDURE'!$AP$7:$AP$1506,0))&lt;&gt;"",INDEX('CARNET DE SOUDURE'!$AD$7:$AD$1506,MATCH(4,'CARNET DE SOUDURE'!$AP$7:$AP$1506,0)),IF(INDEX('CARNET DE SOUDURE'!$AA$7:$AA$1506,MATCH(4,'CARNET DE SOUDURE'!$AP$7:$AP$1506,0))&lt;&gt;"",INDEX('CARNET DE SOUDURE'!$Y$7:$Y$1506,MATCH(4,'CARNET DE SOUDURE'!$AP$7:$AP$1506,0)),INDEX('CARNET DE SOUDURE'!$T$7:$T$1506,MATCH(4,'CARNET DE SOUDURE'!$AP$7:$AP$1506,0)))))</f>
        <v/>
      </c>
      <c r="H15" s="110" t="str">
        <f aca="false">IF($B15="","",IF(INDEX('CARNET DE SOUDURE'!$AF$7:$AF$1506,MATCH(4,'CARNET DE SOUDURE'!$AP$7:$AP$1506,0))&lt;&gt;"",INDEX('CARNET DE SOUDURE'!$AE$7:$AE$1506,MATCH(4,'CARNET DE SOUDURE'!$AP$7:$AP$1506,0)),IF(INDEX('CARNET DE SOUDURE'!$AA$7:$AA$1506,MATCH(4,'CARNET DE SOUDURE'!$AP$7:$AP$1506,0))&lt;&gt;"",INDEX('CARNET DE SOUDURE'!$Z$7:$Z$1506,MATCH(4,'CARNET DE SOUDURE'!$AP$7:$AP$1506,0)),INDEX('CARNET DE SOUDURE'!$U$7:$U$1506,MATCH(4,'CARNET DE SOUDURE'!$AP$7:$AP$1506,0))))&amp;"")</f>
        <v/>
      </c>
      <c r="I15" s="112" t="str">
        <f aca="false">IF($B15="","",INDEX('CARNET DE SOUDURE'!$AK$7:$AK$1506,MATCH(4,'CARNET DE SOUDURE'!$AP$7:$AP$1506,0)))</f>
        <v/>
      </c>
      <c r="J15" s="113" t="str">
        <f aca="false">IF($B15="","",INDEX('CARNET DE SOUDURE'!$AL$7:$AL$1506,MATCH(4,'CARNET DE SOUDURE'!$AP$7:$AP$1506,0)))</f>
        <v/>
      </c>
      <c r="K15" s="87"/>
      <c r="L15" s="87"/>
    </row>
    <row r="16" customFormat="false" ht="15" hidden="false" customHeight="false" outlineLevel="0" collapsed="false">
      <c r="B16" s="91" t="str">
        <f aca="false">IF(5&gt;$I$4,"",5)</f>
        <v/>
      </c>
      <c r="C16" s="91" t="str">
        <f aca="false">IF($B16="","",INDEX('CARNET DE SOUDURE'!$B$7:$B$1506,MATCH(5,'CARNET DE SOUDURE'!$AP$7:$AP$1506,0)))</f>
        <v/>
      </c>
      <c r="D16" s="91" t="str">
        <f aca="false">IF($B16="","",INDEX('CARNET DE SOUDURE'!$E$7:$E$1506,MATCH(5,'CARNET DE SOUDURE'!$AP$7:$AP$1506,0)))</f>
        <v/>
      </c>
      <c r="E16" s="91" t="str">
        <f aca="false">IF($B16="","",INDEX('CARNET DE SOUDURE'!$M$7:$M$1506,MATCH(5,'CARNET DE SOUDURE'!$AP$7:$AP$1506,0))&amp;" / "&amp;INDEX('CARNET DE SOUDURE'!$N$7:$N$1506,MATCH(5,'CARNET DE SOUDURE'!$AP$7:$AP$1506,0))&amp;" / "&amp;INDEX('CARNET DE SOUDURE'!$O$7:$O$1506,MATCH(5,'CARNET DE SOUDURE'!$AP$7:$AP$1506,0)))</f>
        <v/>
      </c>
      <c r="F16" s="91" t="str">
        <f aca="false">IF($B16="","",INDEX('CARNET DE SOUDURE'!$AJ$7:$AJ$1506,MATCH(5,'CARNET DE SOUDURE'!$AP$7:$AP$1506,0)))</f>
        <v/>
      </c>
      <c r="G16" s="108" t="str">
        <f aca="false">IF($B16="","",IF(INDEX('CARNET DE SOUDURE'!$AF$7:$AF$1506,MATCH(5,'CARNET DE SOUDURE'!$AP$7:$AP$1506,0))&lt;&gt;"",INDEX('CARNET DE SOUDURE'!$AD$7:$AD$1506,MATCH(5,'CARNET DE SOUDURE'!$AP$7:$AP$1506,0)),IF(INDEX('CARNET DE SOUDURE'!$AA$7:$AA$1506,MATCH(5,'CARNET DE SOUDURE'!$AP$7:$AP$1506,0))&lt;&gt;"",INDEX('CARNET DE SOUDURE'!$Y$7:$Y$1506,MATCH(5,'CARNET DE SOUDURE'!$AP$7:$AP$1506,0)),INDEX('CARNET DE SOUDURE'!$T$7:$T$1506,MATCH(5,'CARNET DE SOUDURE'!$AP$7:$AP$1506,0)))))</f>
        <v/>
      </c>
      <c r="H16" s="91" t="str">
        <f aca="false">IF($B16="","",IF(INDEX('CARNET DE SOUDURE'!$AF$7:$AF$1506,MATCH(5,'CARNET DE SOUDURE'!$AP$7:$AP$1506,0))&lt;&gt;"",INDEX('CARNET DE SOUDURE'!$AE$7:$AE$1506,MATCH(5,'CARNET DE SOUDURE'!$AP$7:$AP$1506,0)),IF(INDEX('CARNET DE SOUDURE'!$AA$7:$AA$1506,MATCH(5,'CARNET DE SOUDURE'!$AP$7:$AP$1506,0))&lt;&gt;"",INDEX('CARNET DE SOUDURE'!$Z$7:$Z$1506,MATCH(5,'CARNET DE SOUDURE'!$AP$7:$AP$1506,0)),INDEX('CARNET DE SOUDURE'!$U$7:$U$1506,MATCH(5,'CARNET DE SOUDURE'!$AP$7:$AP$1506,0))))&amp;"")</f>
        <v/>
      </c>
      <c r="I16" s="91" t="str">
        <f aca="false">IF($B16="","",INDEX('CARNET DE SOUDURE'!$AK$7:$AK$1506,MATCH(5,'CARNET DE SOUDURE'!$AP$7:$AP$1506,0)))</f>
        <v/>
      </c>
      <c r="J16" s="109" t="str">
        <f aca="false">IF($B16="","",INDEX('CARNET DE SOUDURE'!$AL$7:$AL$1506,MATCH(5,'CARNET DE SOUDURE'!$AP$7:$AP$1506,0)))</f>
        <v/>
      </c>
      <c r="K16" s="87"/>
      <c r="L16" s="87"/>
    </row>
    <row r="17" customFormat="false" ht="15" hidden="false" customHeight="false" outlineLevel="0" collapsed="false">
      <c r="B17" s="110" t="str">
        <f aca="false">IF(6&gt;$I$4,"",6)</f>
        <v/>
      </c>
      <c r="C17" s="110" t="str">
        <f aca="false">IF($B17="","",INDEX('CARNET DE SOUDURE'!$B$7:$B$1506,MATCH(6,'CARNET DE SOUDURE'!$AP$7:$AP$1506,0)))</f>
        <v/>
      </c>
      <c r="D17" s="110" t="str">
        <f aca="false">IF($B17="","",INDEX('CARNET DE SOUDURE'!$E$7:$E$1506,MATCH(6,'CARNET DE SOUDURE'!$AP$7:$AP$1506,0)))</f>
        <v/>
      </c>
      <c r="E17" s="110" t="str">
        <f aca="false">IF($B17="","",INDEX('CARNET DE SOUDURE'!$M$7:$M$1506,MATCH(6,'CARNET DE SOUDURE'!$AP$7:$AP$1506,0))&amp;" / "&amp;INDEX('CARNET DE SOUDURE'!$N$7:$N$1506,MATCH(6,'CARNET DE SOUDURE'!$AP$7:$AP$1506,0))&amp;" / "&amp;INDEX('CARNET DE SOUDURE'!$O$7:$O$1506,MATCH(6,'CARNET DE SOUDURE'!$AP$7:$AP$1506,0)))</f>
        <v/>
      </c>
      <c r="F17" s="112" t="str">
        <f aca="false">IF($B17="","",INDEX('CARNET DE SOUDURE'!$AJ$7:$AJ$1506,MATCH(6,'CARNET DE SOUDURE'!$AP$7:$AP$1506,0)))</f>
        <v/>
      </c>
      <c r="G17" s="111" t="str">
        <f aca="false">IF($B17="","",IF(INDEX('CARNET DE SOUDURE'!$AF$7:$AF$1506,MATCH(6,'CARNET DE SOUDURE'!$AP$7:$AP$1506,0))&lt;&gt;"",INDEX('CARNET DE SOUDURE'!$AD$7:$AD$1506,MATCH(6,'CARNET DE SOUDURE'!$AP$7:$AP$1506,0)),IF(INDEX('CARNET DE SOUDURE'!$AA$7:$AA$1506,MATCH(6,'CARNET DE SOUDURE'!$AP$7:$AP$1506,0))&lt;&gt;"",INDEX('CARNET DE SOUDURE'!$Y$7:$Y$1506,MATCH(6,'CARNET DE SOUDURE'!$AP$7:$AP$1506,0)),INDEX('CARNET DE SOUDURE'!$T$7:$T$1506,MATCH(6,'CARNET DE SOUDURE'!$AP$7:$AP$1506,0)))))</f>
        <v/>
      </c>
      <c r="H17" s="110" t="str">
        <f aca="false">IF($B17="","",IF(INDEX('CARNET DE SOUDURE'!$AF$7:$AF$1506,MATCH(6,'CARNET DE SOUDURE'!$AP$7:$AP$1506,0))&lt;&gt;"",INDEX('CARNET DE SOUDURE'!$AE$7:$AE$1506,MATCH(6,'CARNET DE SOUDURE'!$AP$7:$AP$1506,0)),IF(INDEX('CARNET DE SOUDURE'!$AA$7:$AA$1506,MATCH(6,'CARNET DE SOUDURE'!$AP$7:$AP$1506,0))&lt;&gt;"",INDEX('CARNET DE SOUDURE'!$Z$7:$Z$1506,MATCH(6,'CARNET DE SOUDURE'!$AP$7:$AP$1506,0)),INDEX('CARNET DE SOUDURE'!$U$7:$U$1506,MATCH(6,'CARNET DE SOUDURE'!$AP$7:$AP$1506,0))))&amp;"")</f>
        <v/>
      </c>
      <c r="I17" s="112" t="str">
        <f aca="false">IF($B17="","",INDEX('CARNET DE SOUDURE'!$AK$7:$AK$1506,MATCH(6,'CARNET DE SOUDURE'!$AP$7:$AP$1506,0)))</f>
        <v/>
      </c>
      <c r="J17" s="113" t="str">
        <f aca="false">IF($B17="","",INDEX('CARNET DE SOUDURE'!$AL$7:$AL$1506,MATCH(6,'CARNET DE SOUDURE'!$AP$7:$AP$1506,0)))</f>
        <v/>
      </c>
      <c r="K17" s="87"/>
      <c r="L17" s="87"/>
    </row>
    <row r="18" customFormat="false" ht="15" hidden="false" customHeight="false" outlineLevel="0" collapsed="false">
      <c r="B18" s="91" t="str">
        <f aca="false">IF(7&gt;$I$4,"",7)</f>
        <v/>
      </c>
      <c r="C18" s="91" t="str">
        <f aca="false">IF($B18="","",INDEX('CARNET DE SOUDURE'!$B$7:$B$1506,MATCH(7,'CARNET DE SOUDURE'!$AP$7:$AP$1506,0)))</f>
        <v/>
      </c>
      <c r="D18" s="91" t="str">
        <f aca="false">IF($B18="","",INDEX('CARNET DE SOUDURE'!$E$7:$E$1506,MATCH(7,'CARNET DE SOUDURE'!$AP$7:$AP$1506,0)))</f>
        <v/>
      </c>
      <c r="E18" s="91" t="str">
        <f aca="false">IF($B18="","",INDEX('CARNET DE SOUDURE'!$M$7:$M$1506,MATCH(7,'CARNET DE SOUDURE'!$AP$7:$AP$1506,0))&amp;" / "&amp;INDEX('CARNET DE SOUDURE'!$N$7:$N$1506,MATCH(7,'CARNET DE SOUDURE'!$AP$7:$AP$1506,0))&amp;" / "&amp;INDEX('CARNET DE SOUDURE'!$O$7:$O$1506,MATCH(7,'CARNET DE SOUDURE'!$AP$7:$AP$1506,0)))</f>
        <v/>
      </c>
      <c r="F18" s="91" t="str">
        <f aca="false">IF($B18="","",INDEX('CARNET DE SOUDURE'!$AJ$7:$AJ$1506,MATCH(7,'CARNET DE SOUDURE'!$AP$7:$AP$1506,0)))</f>
        <v/>
      </c>
      <c r="G18" s="108" t="str">
        <f aca="false">IF($B18="","",IF(INDEX('CARNET DE SOUDURE'!$AF$7:$AF$1506,MATCH(7,'CARNET DE SOUDURE'!$AP$7:$AP$1506,0))&lt;&gt;"",INDEX('CARNET DE SOUDURE'!$AD$7:$AD$1506,MATCH(7,'CARNET DE SOUDURE'!$AP$7:$AP$1506,0)),IF(INDEX('CARNET DE SOUDURE'!$AA$7:$AA$1506,MATCH(7,'CARNET DE SOUDURE'!$AP$7:$AP$1506,0))&lt;&gt;"",INDEX('CARNET DE SOUDURE'!$Y$7:$Y$1506,MATCH(7,'CARNET DE SOUDURE'!$AP$7:$AP$1506,0)),INDEX('CARNET DE SOUDURE'!$T$7:$T$1506,MATCH(7,'CARNET DE SOUDURE'!$AP$7:$AP$1506,0)))))</f>
        <v/>
      </c>
      <c r="H18" s="91" t="str">
        <f aca="false">IF($B18="","",IF(INDEX('CARNET DE SOUDURE'!$AF$7:$AF$1506,MATCH(7,'CARNET DE SOUDURE'!$AP$7:$AP$1506,0))&lt;&gt;"",INDEX('CARNET DE SOUDURE'!$AE$7:$AE$1506,MATCH(7,'CARNET DE SOUDURE'!$AP$7:$AP$1506,0)),IF(INDEX('CARNET DE SOUDURE'!$AA$7:$AA$1506,MATCH(7,'CARNET DE SOUDURE'!$AP$7:$AP$1506,0))&lt;&gt;"",INDEX('CARNET DE SOUDURE'!$Z$7:$Z$1506,MATCH(7,'CARNET DE SOUDURE'!$AP$7:$AP$1506,0)),INDEX('CARNET DE SOUDURE'!$U$7:$U$1506,MATCH(7,'CARNET DE SOUDURE'!$AP$7:$AP$1506,0))))&amp;"")</f>
        <v/>
      </c>
      <c r="I18" s="91" t="str">
        <f aca="false">IF($B18="","",INDEX('CARNET DE SOUDURE'!$AK$7:$AK$1506,MATCH(7,'CARNET DE SOUDURE'!$AP$7:$AP$1506,0)))</f>
        <v/>
      </c>
      <c r="J18" s="109" t="str">
        <f aca="false">IF($B18="","",INDEX('CARNET DE SOUDURE'!$AL$7:$AL$1506,MATCH(7,'CARNET DE SOUDURE'!$AP$7:$AP$1506,0)))</f>
        <v/>
      </c>
      <c r="K18" s="87"/>
      <c r="L18" s="87"/>
    </row>
    <row r="19" customFormat="false" ht="15" hidden="false" customHeight="false" outlineLevel="0" collapsed="false">
      <c r="B19" s="110" t="str">
        <f aca="false">IF(8&gt;$I$4,"",8)</f>
        <v/>
      </c>
      <c r="C19" s="110" t="str">
        <f aca="false">IF($B19="","",INDEX('CARNET DE SOUDURE'!$B$7:$B$1506,MATCH(8,'CARNET DE SOUDURE'!$AP$7:$AP$1506,0)))</f>
        <v/>
      </c>
      <c r="D19" s="110" t="str">
        <f aca="false">IF($B19="","",INDEX('CARNET DE SOUDURE'!$E$7:$E$1506,MATCH(8,'CARNET DE SOUDURE'!$AP$7:$AP$1506,0)))</f>
        <v/>
      </c>
      <c r="E19" s="110" t="str">
        <f aca="false">IF($B19="","",INDEX('CARNET DE SOUDURE'!$M$7:$M$1506,MATCH(8,'CARNET DE SOUDURE'!$AP$7:$AP$1506,0))&amp;" / "&amp;INDEX('CARNET DE SOUDURE'!$N$7:$N$1506,MATCH(8,'CARNET DE SOUDURE'!$AP$7:$AP$1506,0))&amp;" / "&amp;INDEX('CARNET DE SOUDURE'!$O$7:$O$1506,MATCH(8,'CARNET DE SOUDURE'!$AP$7:$AP$1506,0)))</f>
        <v/>
      </c>
      <c r="F19" s="112" t="str">
        <f aca="false">IF($B19="","",INDEX('CARNET DE SOUDURE'!$AJ$7:$AJ$1506,MATCH(8,'CARNET DE SOUDURE'!$AP$7:$AP$1506,0)))</f>
        <v/>
      </c>
      <c r="G19" s="111" t="str">
        <f aca="false">IF($B19="","",IF(INDEX('CARNET DE SOUDURE'!$AF$7:$AF$1506,MATCH(8,'CARNET DE SOUDURE'!$AP$7:$AP$1506,0))&lt;&gt;"",INDEX('CARNET DE SOUDURE'!$AD$7:$AD$1506,MATCH(8,'CARNET DE SOUDURE'!$AP$7:$AP$1506,0)),IF(INDEX('CARNET DE SOUDURE'!$AA$7:$AA$1506,MATCH(8,'CARNET DE SOUDURE'!$AP$7:$AP$1506,0))&lt;&gt;"",INDEX('CARNET DE SOUDURE'!$Y$7:$Y$1506,MATCH(8,'CARNET DE SOUDURE'!$AP$7:$AP$1506,0)),INDEX('CARNET DE SOUDURE'!$T$7:$T$1506,MATCH(8,'CARNET DE SOUDURE'!$AP$7:$AP$1506,0)))))</f>
        <v/>
      </c>
      <c r="H19" s="110" t="str">
        <f aca="false">IF($B19="","",IF(INDEX('CARNET DE SOUDURE'!$AF$7:$AF$1506,MATCH(8,'CARNET DE SOUDURE'!$AP$7:$AP$1506,0))&lt;&gt;"",INDEX('CARNET DE SOUDURE'!$AE$7:$AE$1506,MATCH(8,'CARNET DE SOUDURE'!$AP$7:$AP$1506,0)),IF(INDEX('CARNET DE SOUDURE'!$AA$7:$AA$1506,MATCH(8,'CARNET DE SOUDURE'!$AP$7:$AP$1506,0))&lt;&gt;"",INDEX('CARNET DE SOUDURE'!$Z$7:$Z$1506,MATCH(8,'CARNET DE SOUDURE'!$AP$7:$AP$1506,0)),INDEX('CARNET DE SOUDURE'!$U$7:$U$1506,MATCH(8,'CARNET DE SOUDURE'!$AP$7:$AP$1506,0))))&amp;"")</f>
        <v/>
      </c>
      <c r="I19" s="112" t="str">
        <f aca="false">IF($B19="","",INDEX('CARNET DE SOUDURE'!$AK$7:$AK$1506,MATCH(8,'CARNET DE SOUDURE'!$AP$7:$AP$1506,0)))</f>
        <v/>
      </c>
      <c r="J19" s="113" t="str">
        <f aca="false">IF($B19="","",INDEX('CARNET DE SOUDURE'!$AL$7:$AL$1506,MATCH(8,'CARNET DE SOUDURE'!$AP$7:$AP$1506,0)))</f>
        <v/>
      </c>
      <c r="K19" s="87"/>
      <c r="L19" s="87"/>
    </row>
    <row r="20" customFormat="false" ht="15" hidden="false" customHeight="false" outlineLevel="0" collapsed="false">
      <c r="B20" s="91" t="str">
        <f aca="false">IF(9&gt;$I$4,"",9)</f>
        <v/>
      </c>
      <c r="C20" s="91" t="str">
        <f aca="false">IF($B20="","",INDEX('CARNET DE SOUDURE'!$B$7:$B$1506,MATCH(9,'CARNET DE SOUDURE'!$AP$7:$AP$1506,0)))</f>
        <v/>
      </c>
      <c r="D20" s="91" t="str">
        <f aca="false">IF($B20="","",INDEX('CARNET DE SOUDURE'!$E$7:$E$1506,MATCH(9,'CARNET DE SOUDURE'!$AP$7:$AP$1506,0)))</f>
        <v/>
      </c>
      <c r="E20" s="91" t="str">
        <f aca="false">IF($B20="","",INDEX('CARNET DE SOUDURE'!$M$7:$M$1506,MATCH(9,'CARNET DE SOUDURE'!$AP$7:$AP$1506,0))&amp;" / "&amp;INDEX('CARNET DE SOUDURE'!$N$7:$N$1506,MATCH(9,'CARNET DE SOUDURE'!$AP$7:$AP$1506,0))&amp;" / "&amp;INDEX('CARNET DE SOUDURE'!$O$7:$O$1506,MATCH(9,'CARNET DE SOUDURE'!$AP$7:$AP$1506,0)))</f>
        <v/>
      </c>
      <c r="F20" s="91" t="str">
        <f aca="false">IF($B20="","",INDEX('CARNET DE SOUDURE'!$AJ$7:$AJ$1506,MATCH(9,'CARNET DE SOUDURE'!$AP$7:$AP$1506,0)))</f>
        <v/>
      </c>
      <c r="G20" s="108" t="str">
        <f aca="false">IF($B20="","",IF(INDEX('CARNET DE SOUDURE'!$AF$7:$AF$1506,MATCH(9,'CARNET DE SOUDURE'!$AP$7:$AP$1506,0))&lt;&gt;"",INDEX('CARNET DE SOUDURE'!$AD$7:$AD$1506,MATCH(9,'CARNET DE SOUDURE'!$AP$7:$AP$1506,0)),IF(INDEX('CARNET DE SOUDURE'!$AA$7:$AA$1506,MATCH(9,'CARNET DE SOUDURE'!$AP$7:$AP$1506,0))&lt;&gt;"",INDEX('CARNET DE SOUDURE'!$Y$7:$Y$1506,MATCH(9,'CARNET DE SOUDURE'!$AP$7:$AP$1506,0)),INDEX('CARNET DE SOUDURE'!$T$7:$T$1506,MATCH(9,'CARNET DE SOUDURE'!$AP$7:$AP$1506,0)))))</f>
        <v/>
      </c>
      <c r="H20" s="91" t="str">
        <f aca="false">IF($B20="","",IF(INDEX('CARNET DE SOUDURE'!$AF$7:$AF$1506,MATCH(9,'CARNET DE SOUDURE'!$AP$7:$AP$1506,0))&lt;&gt;"",INDEX('CARNET DE SOUDURE'!$AE$7:$AE$1506,MATCH(9,'CARNET DE SOUDURE'!$AP$7:$AP$1506,0)),IF(INDEX('CARNET DE SOUDURE'!$AA$7:$AA$1506,MATCH(9,'CARNET DE SOUDURE'!$AP$7:$AP$1506,0))&lt;&gt;"",INDEX('CARNET DE SOUDURE'!$Z$7:$Z$1506,MATCH(9,'CARNET DE SOUDURE'!$AP$7:$AP$1506,0)),INDEX('CARNET DE SOUDURE'!$U$7:$U$1506,MATCH(9,'CARNET DE SOUDURE'!$AP$7:$AP$1506,0))))&amp;"")</f>
        <v/>
      </c>
      <c r="I20" s="91" t="str">
        <f aca="false">IF($B20="","",INDEX('CARNET DE SOUDURE'!$AK$7:$AK$1506,MATCH(9,'CARNET DE SOUDURE'!$AP$7:$AP$1506,0)))</f>
        <v/>
      </c>
      <c r="J20" s="109" t="str">
        <f aca="false">IF($B20="","",INDEX('CARNET DE SOUDURE'!$AL$7:$AL$1506,MATCH(9,'CARNET DE SOUDURE'!$AP$7:$AP$1506,0)))</f>
        <v/>
      </c>
      <c r="K20" s="87"/>
      <c r="L20" s="87"/>
    </row>
    <row r="21" customFormat="false" ht="15" hidden="false" customHeight="false" outlineLevel="0" collapsed="false">
      <c r="B21" s="110" t="str">
        <f aca="false">IF(10&gt;$I$4,"",10)</f>
        <v/>
      </c>
      <c r="C21" s="110" t="str">
        <f aca="false">IF($B21="","",INDEX('CARNET DE SOUDURE'!$B$7:$B$1506,MATCH(10,'CARNET DE SOUDURE'!$AP$7:$AP$1506,0)))</f>
        <v/>
      </c>
      <c r="D21" s="110" t="str">
        <f aca="false">IF($B21="","",INDEX('CARNET DE SOUDURE'!$E$7:$E$1506,MATCH(10,'CARNET DE SOUDURE'!$AP$7:$AP$1506,0)))</f>
        <v/>
      </c>
      <c r="E21" s="110" t="str">
        <f aca="false">IF($B21="","",INDEX('CARNET DE SOUDURE'!$M$7:$M$1506,MATCH(10,'CARNET DE SOUDURE'!$AP$7:$AP$1506,0))&amp;" / "&amp;INDEX('CARNET DE SOUDURE'!$N$7:$N$1506,MATCH(10,'CARNET DE SOUDURE'!$AP$7:$AP$1506,0))&amp;" / "&amp;INDEX('CARNET DE SOUDURE'!$O$7:$O$1506,MATCH(10,'CARNET DE SOUDURE'!$AP$7:$AP$1506,0)))</f>
        <v/>
      </c>
      <c r="F21" s="112" t="str">
        <f aca="false">IF($B21="","",INDEX('CARNET DE SOUDURE'!$AJ$7:$AJ$1506,MATCH(10,'CARNET DE SOUDURE'!$AP$7:$AP$1506,0)))</f>
        <v/>
      </c>
      <c r="G21" s="111" t="str">
        <f aca="false">IF($B21="","",IF(INDEX('CARNET DE SOUDURE'!$AF$7:$AF$1506,MATCH(10,'CARNET DE SOUDURE'!$AP$7:$AP$1506,0))&lt;&gt;"",INDEX('CARNET DE SOUDURE'!$AD$7:$AD$1506,MATCH(10,'CARNET DE SOUDURE'!$AP$7:$AP$1506,0)),IF(INDEX('CARNET DE SOUDURE'!$AA$7:$AA$1506,MATCH(10,'CARNET DE SOUDURE'!$AP$7:$AP$1506,0))&lt;&gt;"",INDEX('CARNET DE SOUDURE'!$Y$7:$Y$1506,MATCH(10,'CARNET DE SOUDURE'!$AP$7:$AP$1506,0)),INDEX('CARNET DE SOUDURE'!$T$7:$T$1506,MATCH(10,'CARNET DE SOUDURE'!$AP$7:$AP$1506,0)))))</f>
        <v/>
      </c>
      <c r="H21" s="110" t="str">
        <f aca="false">IF($B21="","",IF(INDEX('CARNET DE SOUDURE'!$AF$7:$AF$1506,MATCH(10,'CARNET DE SOUDURE'!$AP$7:$AP$1506,0))&lt;&gt;"",INDEX('CARNET DE SOUDURE'!$AE$7:$AE$1506,MATCH(10,'CARNET DE SOUDURE'!$AP$7:$AP$1506,0)),IF(INDEX('CARNET DE SOUDURE'!$AA$7:$AA$1506,MATCH(10,'CARNET DE SOUDURE'!$AP$7:$AP$1506,0))&lt;&gt;"",INDEX('CARNET DE SOUDURE'!$Z$7:$Z$1506,MATCH(10,'CARNET DE SOUDURE'!$AP$7:$AP$1506,0)),INDEX('CARNET DE SOUDURE'!$U$7:$U$1506,MATCH(10,'CARNET DE SOUDURE'!$AP$7:$AP$1506,0))))&amp;"")</f>
        <v/>
      </c>
      <c r="I21" s="112" t="str">
        <f aca="false">IF($B21="","",INDEX('CARNET DE SOUDURE'!$AK$7:$AK$1506,MATCH(10,'CARNET DE SOUDURE'!$AP$7:$AP$1506,0)))</f>
        <v/>
      </c>
      <c r="J21" s="113" t="str">
        <f aca="false">IF($B21="","",INDEX('CARNET DE SOUDURE'!$AL$7:$AL$1506,MATCH(10,'CARNET DE SOUDURE'!$AP$7:$AP$1506,0)))</f>
        <v/>
      </c>
      <c r="K21" s="87"/>
      <c r="L21" s="87"/>
    </row>
    <row r="22" customFormat="false" ht="15" hidden="false" customHeight="false" outlineLevel="0" collapsed="false">
      <c r="B22" s="91" t="str">
        <f aca="false">IF(11&gt;$I$4,"",11)</f>
        <v/>
      </c>
      <c r="C22" s="91" t="str">
        <f aca="false">IF($B22="","",INDEX('CARNET DE SOUDURE'!$B$7:$B$1506,MATCH(11,'CARNET DE SOUDURE'!$AP$7:$AP$1506,0)))</f>
        <v/>
      </c>
      <c r="D22" s="91" t="str">
        <f aca="false">IF($B22="","",INDEX('CARNET DE SOUDURE'!$E$7:$E$1506,MATCH(11,'CARNET DE SOUDURE'!$AP$7:$AP$1506,0)))</f>
        <v/>
      </c>
      <c r="E22" s="91" t="str">
        <f aca="false">IF($B22="","",INDEX('CARNET DE SOUDURE'!$M$7:$M$1506,MATCH(11,'CARNET DE SOUDURE'!$AP$7:$AP$1506,0))&amp;" / "&amp;INDEX('CARNET DE SOUDURE'!$N$7:$N$1506,MATCH(11,'CARNET DE SOUDURE'!$AP$7:$AP$1506,0))&amp;" / "&amp;INDEX('CARNET DE SOUDURE'!$O$7:$O$1506,MATCH(11,'CARNET DE SOUDURE'!$AP$7:$AP$1506,0)))</f>
        <v/>
      </c>
      <c r="F22" s="91" t="str">
        <f aca="false">IF($B22="","",INDEX('CARNET DE SOUDURE'!$AJ$7:$AJ$1506,MATCH(11,'CARNET DE SOUDURE'!$AP$7:$AP$1506,0)))</f>
        <v/>
      </c>
      <c r="G22" s="108" t="str">
        <f aca="false">IF($B22="","",IF(INDEX('CARNET DE SOUDURE'!$AF$7:$AF$1506,MATCH(11,'CARNET DE SOUDURE'!$AP$7:$AP$1506,0))&lt;&gt;"",INDEX('CARNET DE SOUDURE'!$AD$7:$AD$1506,MATCH(11,'CARNET DE SOUDURE'!$AP$7:$AP$1506,0)),IF(INDEX('CARNET DE SOUDURE'!$AA$7:$AA$1506,MATCH(11,'CARNET DE SOUDURE'!$AP$7:$AP$1506,0))&lt;&gt;"",INDEX('CARNET DE SOUDURE'!$Y$7:$Y$1506,MATCH(11,'CARNET DE SOUDURE'!$AP$7:$AP$1506,0)),INDEX('CARNET DE SOUDURE'!$T$7:$T$1506,MATCH(11,'CARNET DE SOUDURE'!$AP$7:$AP$1506,0)))))</f>
        <v/>
      </c>
      <c r="H22" s="91" t="str">
        <f aca="false">IF($B22="","",IF(INDEX('CARNET DE SOUDURE'!$AF$7:$AF$1506,MATCH(11,'CARNET DE SOUDURE'!$AP$7:$AP$1506,0))&lt;&gt;"",INDEX('CARNET DE SOUDURE'!$AE$7:$AE$1506,MATCH(11,'CARNET DE SOUDURE'!$AP$7:$AP$1506,0)),IF(INDEX('CARNET DE SOUDURE'!$AA$7:$AA$1506,MATCH(11,'CARNET DE SOUDURE'!$AP$7:$AP$1506,0))&lt;&gt;"",INDEX('CARNET DE SOUDURE'!$Z$7:$Z$1506,MATCH(11,'CARNET DE SOUDURE'!$AP$7:$AP$1506,0)),INDEX('CARNET DE SOUDURE'!$U$7:$U$1506,MATCH(11,'CARNET DE SOUDURE'!$AP$7:$AP$1506,0))))&amp;"")</f>
        <v/>
      </c>
      <c r="I22" s="91" t="str">
        <f aca="false">IF($B22="","",INDEX('CARNET DE SOUDURE'!$AK$7:$AK$1506,MATCH(11,'CARNET DE SOUDURE'!$AP$7:$AP$1506,0)))</f>
        <v/>
      </c>
      <c r="J22" s="109" t="str">
        <f aca="false">IF($B22="","",INDEX('CARNET DE SOUDURE'!$AL$7:$AL$1506,MATCH(11,'CARNET DE SOUDURE'!$AP$7:$AP$1506,0)))</f>
        <v/>
      </c>
      <c r="K22" s="87"/>
      <c r="L22" s="87"/>
    </row>
    <row r="23" customFormat="false" ht="15" hidden="false" customHeight="false" outlineLevel="0" collapsed="false">
      <c r="B23" s="110" t="str">
        <f aca="false">IF(12&gt;$I$4,"",12)</f>
        <v/>
      </c>
      <c r="C23" s="110" t="str">
        <f aca="false">IF($B23="","",INDEX('CARNET DE SOUDURE'!$B$7:$B$1506,MATCH(12,'CARNET DE SOUDURE'!$AP$7:$AP$1506,0)))</f>
        <v/>
      </c>
      <c r="D23" s="110" t="str">
        <f aca="false">IF($B23="","",INDEX('CARNET DE SOUDURE'!$E$7:$E$1506,MATCH(12,'CARNET DE SOUDURE'!$AP$7:$AP$1506,0)))</f>
        <v/>
      </c>
      <c r="E23" s="110" t="str">
        <f aca="false">IF($B23="","",INDEX('CARNET DE SOUDURE'!$M$7:$M$1506,MATCH(12,'CARNET DE SOUDURE'!$AP$7:$AP$1506,0))&amp;" / "&amp;INDEX('CARNET DE SOUDURE'!$N$7:$N$1506,MATCH(12,'CARNET DE SOUDURE'!$AP$7:$AP$1506,0))&amp;" / "&amp;INDEX('CARNET DE SOUDURE'!$O$7:$O$1506,MATCH(12,'CARNET DE SOUDURE'!$AP$7:$AP$1506,0)))</f>
        <v/>
      </c>
      <c r="F23" s="112" t="str">
        <f aca="false">IF($B23="","",INDEX('CARNET DE SOUDURE'!$AJ$7:$AJ$1506,MATCH(12,'CARNET DE SOUDURE'!$AP$7:$AP$1506,0)))</f>
        <v/>
      </c>
      <c r="G23" s="111" t="str">
        <f aca="false">IF($B23="","",IF(INDEX('CARNET DE SOUDURE'!$AF$7:$AF$1506,MATCH(12,'CARNET DE SOUDURE'!$AP$7:$AP$1506,0))&lt;&gt;"",INDEX('CARNET DE SOUDURE'!$AD$7:$AD$1506,MATCH(12,'CARNET DE SOUDURE'!$AP$7:$AP$1506,0)),IF(INDEX('CARNET DE SOUDURE'!$AA$7:$AA$1506,MATCH(12,'CARNET DE SOUDURE'!$AP$7:$AP$1506,0))&lt;&gt;"",INDEX('CARNET DE SOUDURE'!$Y$7:$Y$1506,MATCH(12,'CARNET DE SOUDURE'!$AP$7:$AP$1506,0)),INDEX('CARNET DE SOUDURE'!$T$7:$T$1506,MATCH(12,'CARNET DE SOUDURE'!$AP$7:$AP$1506,0)))))</f>
        <v/>
      </c>
      <c r="H23" s="110" t="str">
        <f aca="false">IF($B23="","",IF(INDEX('CARNET DE SOUDURE'!$AF$7:$AF$1506,MATCH(12,'CARNET DE SOUDURE'!$AP$7:$AP$1506,0))&lt;&gt;"",INDEX('CARNET DE SOUDURE'!$AE$7:$AE$1506,MATCH(12,'CARNET DE SOUDURE'!$AP$7:$AP$1506,0)),IF(INDEX('CARNET DE SOUDURE'!$AA$7:$AA$1506,MATCH(12,'CARNET DE SOUDURE'!$AP$7:$AP$1506,0))&lt;&gt;"",INDEX('CARNET DE SOUDURE'!$Z$7:$Z$1506,MATCH(12,'CARNET DE SOUDURE'!$AP$7:$AP$1506,0)),INDEX('CARNET DE SOUDURE'!$U$7:$U$1506,MATCH(12,'CARNET DE SOUDURE'!$AP$7:$AP$1506,0))))&amp;"")</f>
        <v/>
      </c>
      <c r="I23" s="112" t="str">
        <f aca="false">IF($B23="","",INDEX('CARNET DE SOUDURE'!$AK$7:$AK$1506,MATCH(12,'CARNET DE SOUDURE'!$AP$7:$AP$1506,0)))</f>
        <v/>
      </c>
      <c r="J23" s="113" t="str">
        <f aca="false">IF($B23="","",INDEX('CARNET DE SOUDURE'!$AL$7:$AL$1506,MATCH(12,'CARNET DE SOUDURE'!$AP$7:$AP$1506,0)))</f>
        <v/>
      </c>
      <c r="K23" s="87"/>
      <c r="L23" s="87"/>
    </row>
    <row r="24" customFormat="false" ht="15" hidden="false" customHeight="false" outlineLevel="0" collapsed="false">
      <c r="B24" s="91" t="str">
        <f aca="false">IF(13&gt;$I$4,"",13)</f>
        <v/>
      </c>
      <c r="C24" s="91" t="str">
        <f aca="false">IF($B24="","",INDEX('CARNET DE SOUDURE'!$B$7:$B$1506,MATCH(13,'CARNET DE SOUDURE'!$AP$7:$AP$1506,0)))</f>
        <v/>
      </c>
      <c r="D24" s="91" t="str">
        <f aca="false">IF($B24="","",INDEX('CARNET DE SOUDURE'!$E$7:$E$1506,MATCH(13,'CARNET DE SOUDURE'!$AP$7:$AP$1506,0)))</f>
        <v/>
      </c>
      <c r="E24" s="91" t="str">
        <f aca="false">IF($B24="","",INDEX('CARNET DE SOUDURE'!$M$7:$M$1506,MATCH(13,'CARNET DE SOUDURE'!$AP$7:$AP$1506,0))&amp;" / "&amp;INDEX('CARNET DE SOUDURE'!$N$7:$N$1506,MATCH(13,'CARNET DE SOUDURE'!$AP$7:$AP$1506,0))&amp;" / "&amp;INDEX('CARNET DE SOUDURE'!$O$7:$O$1506,MATCH(13,'CARNET DE SOUDURE'!$AP$7:$AP$1506,0)))</f>
        <v/>
      </c>
      <c r="F24" s="91" t="str">
        <f aca="false">IF($B24="","",INDEX('CARNET DE SOUDURE'!$AJ$7:$AJ$1506,MATCH(13,'CARNET DE SOUDURE'!$AP$7:$AP$1506,0)))</f>
        <v/>
      </c>
      <c r="G24" s="108" t="str">
        <f aca="false">IF($B24="","",IF(INDEX('CARNET DE SOUDURE'!$AF$7:$AF$1506,MATCH(13,'CARNET DE SOUDURE'!$AP$7:$AP$1506,0))&lt;&gt;"",INDEX('CARNET DE SOUDURE'!$AD$7:$AD$1506,MATCH(13,'CARNET DE SOUDURE'!$AP$7:$AP$1506,0)),IF(INDEX('CARNET DE SOUDURE'!$AA$7:$AA$1506,MATCH(13,'CARNET DE SOUDURE'!$AP$7:$AP$1506,0))&lt;&gt;"",INDEX('CARNET DE SOUDURE'!$Y$7:$Y$1506,MATCH(13,'CARNET DE SOUDURE'!$AP$7:$AP$1506,0)),INDEX('CARNET DE SOUDURE'!$T$7:$T$1506,MATCH(13,'CARNET DE SOUDURE'!$AP$7:$AP$1506,0)))))</f>
        <v/>
      </c>
      <c r="H24" s="91" t="str">
        <f aca="false">IF($B24="","",IF(INDEX('CARNET DE SOUDURE'!$AF$7:$AF$1506,MATCH(13,'CARNET DE SOUDURE'!$AP$7:$AP$1506,0))&lt;&gt;"",INDEX('CARNET DE SOUDURE'!$AE$7:$AE$1506,MATCH(13,'CARNET DE SOUDURE'!$AP$7:$AP$1506,0)),IF(INDEX('CARNET DE SOUDURE'!$AA$7:$AA$1506,MATCH(13,'CARNET DE SOUDURE'!$AP$7:$AP$1506,0))&lt;&gt;"",INDEX('CARNET DE SOUDURE'!$Z$7:$Z$1506,MATCH(13,'CARNET DE SOUDURE'!$AP$7:$AP$1506,0)),INDEX('CARNET DE SOUDURE'!$U$7:$U$1506,MATCH(13,'CARNET DE SOUDURE'!$AP$7:$AP$1506,0))))&amp;"")</f>
        <v/>
      </c>
      <c r="I24" s="91" t="str">
        <f aca="false">IF($B24="","",INDEX('CARNET DE SOUDURE'!$AK$7:$AK$1506,MATCH(13,'CARNET DE SOUDURE'!$AP$7:$AP$1506,0)))</f>
        <v/>
      </c>
      <c r="J24" s="109" t="str">
        <f aca="false">IF($B24="","",INDEX('CARNET DE SOUDURE'!$AL$7:$AL$1506,MATCH(13,'CARNET DE SOUDURE'!$AP$7:$AP$1506,0)))</f>
        <v/>
      </c>
      <c r="K24" s="87"/>
      <c r="L24" s="87"/>
    </row>
    <row r="25" customFormat="false" ht="15" hidden="false" customHeight="false" outlineLevel="0" collapsed="false">
      <c r="B25" s="110" t="str">
        <f aca="false">IF(14&gt;$I$4,"",14)</f>
        <v/>
      </c>
      <c r="C25" s="110" t="str">
        <f aca="false">IF($B25="","",INDEX('CARNET DE SOUDURE'!$B$7:$B$1506,MATCH(14,'CARNET DE SOUDURE'!$AP$7:$AP$1506,0)))</f>
        <v/>
      </c>
      <c r="D25" s="110" t="str">
        <f aca="false">IF($B25="","",INDEX('CARNET DE SOUDURE'!$E$7:$E$1506,MATCH(14,'CARNET DE SOUDURE'!$AP$7:$AP$1506,0)))</f>
        <v/>
      </c>
      <c r="E25" s="110" t="str">
        <f aca="false">IF($B25="","",INDEX('CARNET DE SOUDURE'!$M$7:$M$1506,MATCH(14,'CARNET DE SOUDURE'!$AP$7:$AP$1506,0))&amp;" / "&amp;INDEX('CARNET DE SOUDURE'!$N$7:$N$1506,MATCH(14,'CARNET DE SOUDURE'!$AP$7:$AP$1506,0))&amp;" / "&amp;INDEX('CARNET DE SOUDURE'!$O$7:$O$1506,MATCH(14,'CARNET DE SOUDURE'!$AP$7:$AP$1506,0)))</f>
        <v/>
      </c>
      <c r="F25" s="112" t="str">
        <f aca="false">IF($B25="","",INDEX('CARNET DE SOUDURE'!$AJ$7:$AJ$1506,MATCH(14,'CARNET DE SOUDURE'!$AP$7:$AP$1506,0)))</f>
        <v/>
      </c>
      <c r="G25" s="111" t="str">
        <f aca="false">IF($B25="","",IF(INDEX('CARNET DE SOUDURE'!$AF$7:$AF$1506,MATCH(14,'CARNET DE SOUDURE'!$AP$7:$AP$1506,0))&lt;&gt;"",INDEX('CARNET DE SOUDURE'!$AD$7:$AD$1506,MATCH(14,'CARNET DE SOUDURE'!$AP$7:$AP$1506,0)),IF(INDEX('CARNET DE SOUDURE'!$AA$7:$AA$1506,MATCH(14,'CARNET DE SOUDURE'!$AP$7:$AP$1506,0))&lt;&gt;"",INDEX('CARNET DE SOUDURE'!$Y$7:$Y$1506,MATCH(14,'CARNET DE SOUDURE'!$AP$7:$AP$1506,0)),INDEX('CARNET DE SOUDURE'!$T$7:$T$1506,MATCH(14,'CARNET DE SOUDURE'!$AP$7:$AP$1506,0)))))</f>
        <v/>
      </c>
      <c r="H25" s="110" t="str">
        <f aca="false">IF($B25="","",IF(INDEX('CARNET DE SOUDURE'!$AF$7:$AF$1506,MATCH(14,'CARNET DE SOUDURE'!$AP$7:$AP$1506,0))&lt;&gt;"",INDEX('CARNET DE SOUDURE'!$AE$7:$AE$1506,MATCH(14,'CARNET DE SOUDURE'!$AP$7:$AP$1506,0)),IF(INDEX('CARNET DE SOUDURE'!$AA$7:$AA$1506,MATCH(14,'CARNET DE SOUDURE'!$AP$7:$AP$1506,0))&lt;&gt;"",INDEX('CARNET DE SOUDURE'!$Z$7:$Z$1506,MATCH(14,'CARNET DE SOUDURE'!$AP$7:$AP$1506,0)),INDEX('CARNET DE SOUDURE'!$U$7:$U$1506,MATCH(14,'CARNET DE SOUDURE'!$AP$7:$AP$1506,0))))&amp;"")</f>
        <v/>
      </c>
      <c r="I25" s="112" t="str">
        <f aca="false">IF($B25="","",INDEX('CARNET DE SOUDURE'!$AK$7:$AK$1506,MATCH(14,'CARNET DE SOUDURE'!$AP$7:$AP$1506,0)))</f>
        <v/>
      </c>
      <c r="J25" s="113" t="str">
        <f aca="false">IF($B25="","",INDEX('CARNET DE SOUDURE'!$AL$7:$AL$1506,MATCH(14,'CARNET DE SOUDURE'!$AP$7:$AP$1506,0)))</f>
        <v/>
      </c>
      <c r="K25" s="87"/>
      <c r="L25" s="87"/>
    </row>
    <row r="26" customFormat="false" ht="15" hidden="false" customHeight="false" outlineLevel="0" collapsed="false">
      <c r="B26" s="91" t="str">
        <f aca="false">IF(15&gt;$I$4,"",15)</f>
        <v/>
      </c>
      <c r="C26" s="91" t="str">
        <f aca="false">IF($B26="","",INDEX('CARNET DE SOUDURE'!$B$7:$B$1506,MATCH(15,'CARNET DE SOUDURE'!$AP$7:$AP$1506,0)))</f>
        <v/>
      </c>
      <c r="D26" s="91" t="str">
        <f aca="false">IF($B26="","",INDEX('CARNET DE SOUDURE'!$E$7:$E$1506,MATCH(15,'CARNET DE SOUDURE'!$AP$7:$AP$1506,0)))</f>
        <v/>
      </c>
      <c r="E26" s="91" t="str">
        <f aca="false">IF($B26="","",INDEX('CARNET DE SOUDURE'!$M$7:$M$1506,MATCH(15,'CARNET DE SOUDURE'!$AP$7:$AP$1506,0))&amp;" / "&amp;INDEX('CARNET DE SOUDURE'!$N$7:$N$1506,MATCH(15,'CARNET DE SOUDURE'!$AP$7:$AP$1506,0))&amp;" / "&amp;INDEX('CARNET DE SOUDURE'!$O$7:$O$1506,MATCH(15,'CARNET DE SOUDURE'!$AP$7:$AP$1506,0)))</f>
        <v/>
      </c>
      <c r="F26" s="91" t="str">
        <f aca="false">IF($B26="","",INDEX('CARNET DE SOUDURE'!$AJ$7:$AJ$1506,MATCH(15,'CARNET DE SOUDURE'!$AP$7:$AP$1506,0)))</f>
        <v/>
      </c>
      <c r="G26" s="108" t="str">
        <f aca="false">IF($B26="","",IF(INDEX('CARNET DE SOUDURE'!$AF$7:$AF$1506,MATCH(15,'CARNET DE SOUDURE'!$AP$7:$AP$1506,0))&lt;&gt;"",INDEX('CARNET DE SOUDURE'!$AD$7:$AD$1506,MATCH(15,'CARNET DE SOUDURE'!$AP$7:$AP$1506,0)),IF(INDEX('CARNET DE SOUDURE'!$AA$7:$AA$1506,MATCH(15,'CARNET DE SOUDURE'!$AP$7:$AP$1506,0))&lt;&gt;"",INDEX('CARNET DE SOUDURE'!$Y$7:$Y$1506,MATCH(15,'CARNET DE SOUDURE'!$AP$7:$AP$1506,0)),INDEX('CARNET DE SOUDURE'!$T$7:$T$1506,MATCH(15,'CARNET DE SOUDURE'!$AP$7:$AP$1506,0)))))</f>
        <v/>
      </c>
      <c r="H26" s="91" t="str">
        <f aca="false">IF($B26="","",IF(INDEX('CARNET DE SOUDURE'!$AF$7:$AF$1506,MATCH(15,'CARNET DE SOUDURE'!$AP$7:$AP$1506,0))&lt;&gt;"",INDEX('CARNET DE SOUDURE'!$AE$7:$AE$1506,MATCH(15,'CARNET DE SOUDURE'!$AP$7:$AP$1506,0)),IF(INDEX('CARNET DE SOUDURE'!$AA$7:$AA$1506,MATCH(15,'CARNET DE SOUDURE'!$AP$7:$AP$1506,0))&lt;&gt;"",INDEX('CARNET DE SOUDURE'!$Z$7:$Z$1506,MATCH(15,'CARNET DE SOUDURE'!$AP$7:$AP$1506,0)),INDEX('CARNET DE SOUDURE'!$U$7:$U$1506,MATCH(15,'CARNET DE SOUDURE'!$AP$7:$AP$1506,0))))&amp;"")</f>
        <v/>
      </c>
      <c r="I26" s="91" t="str">
        <f aca="false">IF($B26="","",INDEX('CARNET DE SOUDURE'!$AK$7:$AK$1506,MATCH(15,'CARNET DE SOUDURE'!$AP$7:$AP$1506,0)))</f>
        <v/>
      </c>
      <c r="J26" s="109" t="str">
        <f aca="false">IF($B26="","",INDEX('CARNET DE SOUDURE'!$AL$7:$AL$1506,MATCH(15,'CARNET DE SOUDURE'!$AP$7:$AP$1506,0)))</f>
        <v/>
      </c>
      <c r="K26" s="87"/>
      <c r="L26" s="87"/>
    </row>
    <row r="27" customFormat="false" ht="15" hidden="false" customHeight="false" outlineLevel="0" collapsed="false">
      <c r="B27" s="110" t="str">
        <f aca="false">IF(16&gt;$I$4,"",16)</f>
        <v/>
      </c>
      <c r="C27" s="110" t="str">
        <f aca="false">IF($B27="","",INDEX('CARNET DE SOUDURE'!$B$7:$B$1506,MATCH(16,'CARNET DE SOUDURE'!$AP$7:$AP$1506,0)))</f>
        <v/>
      </c>
      <c r="D27" s="110" t="str">
        <f aca="false">IF($B27="","",INDEX('CARNET DE SOUDURE'!$E$7:$E$1506,MATCH(16,'CARNET DE SOUDURE'!$AP$7:$AP$1506,0)))</f>
        <v/>
      </c>
      <c r="E27" s="110" t="str">
        <f aca="false">IF($B27="","",INDEX('CARNET DE SOUDURE'!$M$7:$M$1506,MATCH(16,'CARNET DE SOUDURE'!$AP$7:$AP$1506,0))&amp;" / "&amp;INDEX('CARNET DE SOUDURE'!$N$7:$N$1506,MATCH(16,'CARNET DE SOUDURE'!$AP$7:$AP$1506,0))&amp;" / "&amp;INDEX('CARNET DE SOUDURE'!$O$7:$O$1506,MATCH(16,'CARNET DE SOUDURE'!$AP$7:$AP$1506,0)))</f>
        <v/>
      </c>
      <c r="F27" s="112" t="str">
        <f aca="false">IF($B27="","",INDEX('CARNET DE SOUDURE'!$AJ$7:$AJ$1506,MATCH(16,'CARNET DE SOUDURE'!$AP$7:$AP$1506,0)))</f>
        <v/>
      </c>
      <c r="G27" s="111" t="str">
        <f aca="false">IF($B27="","",IF(INDEX('CARNET DE SOUDURE'!$AF$7:$AF$1506,MATCH(16,'CARNET DE SOUDURE'!$AP$7:$AP$1506,0))&lt;&gt;"",INDEX('CARNET DE SOUDURE'!$AD$7:$AD$1506,MATCH(16,'CARNET DE SOUDURE'!$AP$7:$AP$1506,0)),IF(INDEX('CARNET DE SOUDURE'!$AA$7:$AA$1506,MATCH(16,'CARNET DE SOUDURE'!$AP$7:$AP$1506,0))&lt;&gt;"",INDEX('CARNET DE SOUDURE'!$Y$7:$Y$1506,MATCH(16,'CARNET DE SOUDURE'!$AP$7:$AP$1506,0)),INDEX('CARNET DE SOUDURE'!$T$7:$T$1506,MATCH(16,'CARNET DE SOUDURE'!$AP$7:$AP$1506,0)))))</f>
        <v/>
      </c>
      <c r="H27" s="110" t="str">
        <f aca="false">IF($B27="","",IF(INDEX('CARNET DE SOUDURE'!$AF$7:$AF$1506,MATCH(16,'CARNET DE SOUDURE'!$AP$7:$AP$1506,0))&lt;&gt;"",INDEX('CARNET DE SOUDURE'!$AE$7:$AE$1506,MATCH(16,'CARNET DE SOUDURE'!$AP$7:$AP$1506,0)),IF(INDEX('CARNET DE SOUDURE'!$AA$7:$AA$1506,MATCH(16,'CARNET DE SOUDURE'!$AP$7:$AP$1506,0))&lt;&gt;"",INDEX('CARNET DE SOUDURE'!$Z$7:$Z$1506,MATCH(16,'CARNET DE SOUDURE'!$AP$7:$AP$1506,0)),INDEX('CARNET DE SOUDURE'!$U$7:$U$1506,MATCH(16,'CARNET DE SOUDURE'!$AP$7:$AP$1506,0))))&amp;"")</f>
        <v/>
      </c>
      <c r="I27" s="112" t="str">
        <f aca="false">IF($B27="","",INDEX('CARNET DE SOUDURE'!$AK$7:$AK$1506,MATCH(16,'CARNET DE SOUDURE'!$AP$7:$AP$1506,0)))</f>
        <v/>
      </c>
      <c r="J27" s="113" t="str">
        <f aca="false">IF($B27="","",INDEX('CARNET DE SOUDURE'!$AL$7:$AL$1506,MATCH(16,'CARNET DE SOUDURE'!$AP$7:$AP$1506,0)))</f>
        <v/>
      </c>
      <c r="K27" s="87"/>
      <c r="L27" s="87"/>
    </row>
    <row r="28" customFormat="false" ht="15" hidden="false" customHeight="false" outlineLevel="0" collapsed="false">
      <c r="B28" s="91" t="str">
        <f aca="false">IF(17&gt;$I$4,"",17)</f>
        <v/>
      </c>
      <c r="C28" s="91" t="str">
        <f aca="false">IF($B28="","",INDEX('CARNET DE SOUDURE'!$B$7:$B$1506,MATCH(17,'CARNET DE SOUDURE'!$AP$7:$AP$1506,0)))</f>
        <v/>
      </c>
      <c r="D28" s="91" t="str">
        <f aca="false">IF($B28="","",INDEX('CARNET DE SOUDURE'!$E$7:$E$1506,MATCH(17,'CARNET DE SOUDURE'!$AP$7:$AP$1506,0)))</f>
        <v/>
      </c>
      <c r="E28" s="91" t="str">
        <f aca="false">IF($B28="","",INDEX('CARNET DE SOUDURE'!$M$7:$M$1506,MATCH(17,'CARNET DE SOUDURE'!$AP$7:$AP$1506,0))&amp;" / "&amp;INDEX('CARNET DE SOUDURE'!$N$7:$N$1506,MATCH(17,'CARNET DE SOUDURE'!$AP$7:$AP$1506,0))&amp;" / "&amp;INDEX('CARNET DE SOUDURE'!$O$7:$O$1506,MATCH(17,'CARNET DE SOUDURE'!$AP$7:$AP$1506,0)))</f>
        <v/>
      </c>
      <c r="F28" s="91" t="str">
        <f aca="false">IF($B28="","",INDEX('CARNET DE SOUDURE'!$AJ$7:$AJ$1506,MATCH(17,'CARNET DE SOUDURE'!$AP$7:$AP$1506,0)))</f>
        <v/>
      </c>
      <c r="G28" s="108" t="str">
        <f aca="false">IF($B28="","",IF(INDEX('CARNET DE SOUDURE'!$AF$7:$AF$1506,MATCH(17,'CARNET DE SOUDURE'!$AP$7:$AP$1506,0))&lt;&gt;"",INDEX('CARNET DE SOUDURE'!$AD$7:$AD$1506,MATCH(17,'CARNET DE SOUDURE'!$AP$7:$AP$1506,0)),IF(INDEX('CARNET DE SOUDURE'!$AA$7:$AA$1506,MATCH(17,'CARNET DE SOUDURE'!$AP$7:$AP$1506,0))&lt;&gt;"",INDEX('CARNET DE SOUDURE'!$Y$7:$Y$1506,MATCH(17,'CARNET DE SOUDURE'!$AP$7:$AP$1506,0)),INDEX('CARNET DE SOUDURE'!$T$7:$T$1506,MATCH(17,'CARNET DE SOUDURE'!$AP$7:$AP$1506,0)))))</f>
        <v/>
      </c>
      <c r="H28" s="91" t="str">
        <f aca="false">IF($B28="","",IF(INDEX('CARNET DE SOUDURE'!$AF$7:$AF$1506,MATCH(17,'CARNET DE SOUDURE'!$AP$7:$AP$1506,0))&lt;&gt;"",INDEX('CARNET DE SOUDURE'!$AE$7:$AE$1506,MATCH(17,'CARNET DE SOUDURE'!$AP$7:$AP$1506,0)),IF(INDEX('CARNET DE SOUDURE'!$AA$7:$AA$1506,MATCH(17,'CARNET DE SOUDURE'!$AP$7:$AP$1506,0))&lt;&gt;"",INDEX('CARNET DE SOUDURE'!$Z$7:$Z$1506,MATCH(17,'CARNET DE SOUDURE'!$AP$7:$AP$1506,0)),INDEX('CARNET DE SOUDURE'!$U$7:$U$1506,MATCH(17,'CARNET DE SOUDURE'!$AP$7:$AP$1506,0))))&amp;"")</f>
        <v/>
      </c>
      <c r="I28" s="91" t="str">
        <f aca="false">IF($B28="","",INDEX('CARNET DE SOUDURE'!$AK$7:$AK$1506,MATCH(17,'CARNET DE SOUDURE'!$AP$7:$AP$1506,0)))</f>
        <v/>
      </c>
      <c r="J28" s="109" t="str">
        <f aca="false">IF($B28="","",INDEX('CARNET DE SOUDURE'!$AL$7:$AL$1506,MATCH(17,'CARNET DE SOUDURE'!$AP$7:$AP$1506,0)))</f>
        <v/>
      </c>
      <c r="K28" s="87"/>
      <c r="L28" s="87"/>
    </row>
    <row r="29" customFormat="false" ht="15" hidden="false" customHeight="false" outlineLevel="0" collapsed="false">
      <c r="B29" s="110" t="str">
        <f aca="false">IF(18&gt;$I$4,"",18)</f>
        <v/>
      </c>
      <c r="C29" s="110" t="str">
        <f aca="false">IF($B29="","",INDEX('CARNET DE SOUDURE'!$B$7:$B$1506,MATCH(18,'CARNET DE SOUDURE'!$AP$7:$AP$1506,0)))</f>
        <v/>
      </c>
      <c r="D29" s="110" t="str">
        <f aca="false">IF($B29="","",INDEX('CARNET DE SOUDURE'!$E$7:$E$1506,MATCH(18,'CARNET DE SOUDURE'!$AP$7:$AP$1506,0)))</f>
        <v/>
      </c>
      <c r="E29" s="110" t="str">
        <f aca="false">IF($B29="","",INDEX('CARNET DE SOUDURE'!$M$7:$M$1506,MATCH(18,'CARNET DE SOUDURE'!$AP$7:$AP$1506,0))&amp;" / "&amp;INDEX('CARNET DE SOUDURE'!$N$7:$N$1506,MATCH(18,'CARNET DE SOUDURE'!$AP$7:$AP$1506,0))&amp;" / "&amp;INDEX('CARNET DE SOUDURE'!$O$7:$O$1506,MATCH(18,'CARNET DE SOUDURE'!$AP$7:$AP$1506,0)))</f>
        <v/>
      </c>
      <c r="F29" s="112" t="str">
        <f aca="false">IF($B29="","",INDEX('CARNET DE SOUDURE'!$AJ$7:$AJ$1506,MATCH(18,'CARNET DE SOUDURE'!$AP$7:$AP$1506,0)))</f>
        <v/>
      </c>
      <c r="G29" s="111" t="str">
        <f aca="false">IF($B29="","",IF(INDEX('CARNET DE SOUDURE'!$AF$7:$AF$1506,MATCH(18,'CARNET DE SOUDURE'!$AP$7:$AP$1506,0))&lt;&gt;"",INDEX('CARNET DE SOUDURE'!$AD$7:$AD$1506,MATCH(18,'CARNET DE SOUDURE'!$AP$7:$AP$1506,0)),IF(INDEX('CARNET DE SOUDURE'!$AA$7:$AA$1506,MATCH(18,'CARNET DE SOUDURE'!$AP$7:$AP$1506,0))&lt;&gt;"",INDEX('CARNET DE SOUDURE'!$Y$7:$Y$1506,MATCH(18,'CARNET DE SOUDURE'!$AP$7:$AP$1506,0)),INDEX('CARNET DE SOUDURE'!$T$7:$T$1506,MATCH(18,'CARNET DE SOUDURE'!$AP$7:$AP$1506,0)))))</f>
        <v/>
      </c>
      <c r="H29" s="110" t="str">
        <f aca="false">IF($B29="","",IF(INDEX('CARNET DE SOUDURE'!$AF$7:$AF$1506,MATCH(18,'CARNET DE SOUDURE'!$AP$7:$AP$1506,0))&lt;&gt;"",INDEX('CARNET DE SOUDURE'!$AE$7:$AE$1506,MATCH(18,'CARNET DE SOUDURE'!$AP$7:$AP$1506,0)),IF(INDEX('CARNET DE SOUDURE'!$AA$7:$AA$1506,MATCH(18,'CARNET DE SOUDURE'!$AP$7:$AP$1506,0))&lt;&gt;"",INDEX('CARNET DE SOUDURE'!$Z$7:$Z$1506,MATCH(18,'CARNET DE SOUDURE'!$AP$7:$AP$1506,0)),INDEX('CARNET DE SOUDURE'!$U$7:$U$1506,MATCH(18,'CARNET DE SOUDURE'!$AP$7:$AP$1506,0))))&amp;"")</f>
        <v/>
      </c>
      <c r="I29" s="112" t="str">
        <f aca="false">IF($B29="","",INDEX('CARNET DE SOUDURE'!$AK$7:$AK$1506,MATCH(18,'CARNET DE SOUDURE'!$AP$7:$AP$1506,0)))</f>
        <v/>
      </c>
      <c r="J29" s="113" t="str">
        <f aca="false">IF($B29="","",INDEX('CARNET DE SOUDURE'!$AL$7:$AL$1506,MATCH(18,'CARNET DE SOUDURE'!$AP$7:$AP$1506,0)))</f>
        <v/>
      </c>
      <c r="K29" s="87"/>
      <c r="L29" s="87"/>
    </row>
    <row r="30" customFormat="false" ht="15" hidden="false" customHeight="false" outlineLevel="0" collapsed="false">
      <c r="B30" s="91" t="str">
        <f aca="false">IF(19&gt;$I$4,"",19)</f>
        <v/>
      </c>
      <c r="C30" s="91" t="str">
        <f aca="false">IF($B30="","",INDEX('CARNET DE SOUDURE'!$B$7:$B$1506,MATCH(19,'CARNET DE SOUDURE'!$AP$7:$AP$1506,0)))</f>
        <v/>
      </c>
      <c r="D30" s="91" t="str">
        <f aca="false">IF($B30="","",INDEX('CARNET DE SOUDURE'!$E$7:$E$1506,MATCH(19,'CARNET DE SOUDURE'!$AP$7:$AP$1506,0)))</f>
        <v/>
      </c>
      <c r="E30" s="91" t="str">
        <f aca="false">IF($B30="","",INDEX('CARNET DE SOUDURE'!$M$7:$M$1506,MATCH(19,'CARNET DE SOUDURE'!$AP$7:$AP$1506,0))&amp;" / "&amp;INDEX('CARNET DE SOUDURE'!$N$7:$N$1506,MATCH(19,'CARNET DE SOUDURE'!$AP$7:$AP$1506,0))&amp;" / "&amp;INDEX('CARNET DE SOUDURE'!$O$7:$O$1506,MATCH(19,'CARNET DE SOUDURE'!$AP$7:$AP$1506,0)))</f>
        <v/>
      </c>
      <c r="F30" s="91" t="str">
        <f aca="false">IF($B30="","",INDEX('CARNET DE SOUDURE'!$AJ$7:$AJ$1506,MATCH(19,'CARNET DE SOUDURE'!$AP$7:$AP$1506,0)))</f>
        <v/>
      </c>
      <c r="G30" s="108" t="str">
        <f aca="false">IF($B30="","",IF(INDEX('CARNET DE SOUDURE'!$AF$7:$AF$1506,MATCH(19,'CARNET DE SOUDURE'!$AP$7:$AP$1506,0))&lt;&gt;"",INDEX('CARNET DE SOUDURE'!$AD$7:$AD$1506,MATCH(19,'CARNET DE SOUDURE'!$AP$7:$AP$1506,0)),IF(INDEX('CARNET DE SOUDURE'!$AA$7:$AA$1506,MATCH(19,'CARNET DE SOUDURE'!$AP$7:$AP$1506,0))&lt;&gt;"",INDEX('CARNET DE SOUDURE'!$Y$7:$Y$1506,MATCH(19,'CARNET DE SOUDURE'!$AP$7:$AP$1506,0)),INDEX('CARNET DE SOUDURE'!$T$7:$T$1506,MATCH(19,'CARNET DE SOUDURE'!$AP$7:$AP$1506,0)))))</f>
        <v/>
      </c>
      <c r="H30" s="91" t="str">
        <f aca="false">IF($B30="","",IF(INDEX('CARNET DE SOUDURE'!$AF$7:$AF$1506,MATCH(19,'CARNET DE SOUDURE'!$AP$7:$AP$1506,0))&lt;&gt;"",INDEX('CARNET DE SOUDURE'!$AE$7:$AE$1506,MATCH(19,'CARNET DE SOUDURE'!$AP$7:$AP$1506,0)),IF(INDEX('CARNET DE SOUDURE'!$AA$7:$AA$1506,MATCH(19,'CARNET DE SOUDURE'!$AP$7:$AP$1506,0))&lt;&gt;"",INDEX('CARNET DE SOUDURE'!$Z$7:$Z$1506,MATCH(19,'CARNET DE SOUDURE'!$AP$7:$AP$1506,0)),INDEX('CARNET DE SOUDURE'!$U$7:$U$1506,MATCH(19,'CARNET DE SOUDURE'!$AP$7:$AP$1506,0))))&amp;"")</f>
        <v/>
      </c>
      <c r="I30" s="91" t="str">
        <f aca="false">IF($B30="","",INDEX('CARNET DE SOUDURE'!$AK$7:$AK$1506,MATCH(19,'CARNET DE SOUDURE'!$AP$7:$AP$1506,0)))</f>
        <v/>
      </c>
      <c r="J30" s="109" t="str">
        <f aca="false">IF($B30="","",INDEX('CARNET DE SOUDURE'!$AL$7:$AL$1506,MATCH(19,'CARNET DE SOUDURE'!$AP$7:$AP$1506,0)))</f>
        <v/>
      </c>
      <c r="K30" s="87"/>
      <c r="L30" s="87"/>
    </row>
    <row r="31" customFormat="false" ht="15" hidden="false" customHeight="false" outlineLevel="0" collapsed="false">
      <c r="B31" s="110" t="str">
        <f aca="false">IF(20&gt;$I$4,"",20)</f>
        <v/>
      </c>
      <c r="C31" s="110" t="str">
        <f aca="false">IF($B31="","",INDEX('CARNET DE SOUDURE'!$B$7:$B$1506,MATCH(20,'CARNET DE SOUDURE'!$AP$7:$AP$1506,0)))</f>
        <v/>
      </c>
      <c r="D31" s="110" t="str">
        <f aca="false">IF($B31="","",INDEX('CARNET DE SOUDURE'!$E$7:$E$1506,MATCH(20,'CARNET DE SOUDURE'!$AP$7:$AP$1506,0)))</f>
        <v/>
      </c>
      <c r="E31" s="110" t="str">
        <f aca="false">IF($B31="","",INDEX('CARNET DE SOUDURE'!$M$7:$M$1506,MATCH(20,'CARNET DE SOUDURE'!$AP$7:$AP$1506,0))&amp;" / "&amp;INDEX('CARNET DE SOUDURE'!$N$7:$N$1506,MATCH(20,'CARNET DE SOUDURE'!$AP$7:$AP$1506,0))&amp;" / "&amp;INDEX('CARNET DE SOUDURE'!$O$7:$O$1506,MATCH(20,'CARNET DE SOUDURE'!$AP$7:$AP$1506,0)))</f>
        <v/>
      </c>
      <c r="F31" s="112" t="str">
        <f aca="false">IF($B31="","",INDEX('CARNET DE SOUDURE'!$AJ$7:$AJ$1506,MATCH(20,'CARNET DE SOUDURE'!$AP$7:$AP$1506,0)))</f>
        <v/>
      </c>
      <c r="G31" s="111" t="str">
        <f aca="false">IF($B31="","",IF(INDEX('CARNET DE SOUDURE'!$AF$7:$AF$1506,MATCH(20,'CARNET DE SOUDURE'!$AP$7:$AP$1506,0))&lt;&gt;"",INDEX('CARNET DE SOUDURE'!$AD$7:$AD$1506,MATCH(20,'CARNET DE SOUDURE'!$AP$7:$AP$1506,0)),IF(INDEX('CARNET DE SOUDURE'!$AA$7:$AA$1506,MATCH(20,'CARNET DE SOUDURE'!$AP$7:$AP$1506,0))&lt;&gt;"",INDEX('CARNET DE SOUDURE'!$Y$7:$Y$1506,MATCH(20,'CARNET DE SOUDURE'!$AP$7:$AP$1506,0)),INDEX('CARNET DE SOUDURE'!$T$7:$T$1506,MATCH(20,'CARNET DE SOUDURE'!$AP$7:$AP$1506,0)))))</f>
        <v/>
      </c>
      <c r="H31" s="110" t="str">
        <f aca="false">IF($B31="","",IF(INDEX('CARNET DE SOUDURE'!$AF$7:$AF$1506,MATCH(20,'CARNET DE SOUDURE'!$AP$7:$AP$1506,0))&lt;&gt;"",INDEX('CARNET DE SOUDURE'!$AE$7:$AE$1506,MATCH(20,'CARNET DE SOUDURE'!$AP$7:$AP$1506,0)),IF(INDEX('CARNET DE SOUDURE'!$AA$7:$AA$1506,MATCH(20,'CARNET DE SOUDURE'!$AP$7:$AP$1506,0))&lt;&gt;"",INDEX('CARNET DE SOUDURE'!$Z$7:$Z$1506,MATCH(20,'CARNET DE SOUDURE'!$AP$7:$AP$1506,0)),INDEX('CARNET DE SOUDURE'!$U$7:$U$1506,MATCH(20,'CARNET DE SOUDURE'!$AP$7:$AP$1506,0))))&amp;"")</f>
        <v/>
      </c>
      <c r="I31" s="112" t="str">
        <f aca="false">IF($B31="","",INDEX('CARNET DE SOUDURE'!$AK$7:$AK$1506,MATCH(20,'CARNET DE SOUDURE'!$AP$7:$AP$1506,0)))</f>
        <v/>
      </c>
      <c r="J31" s="113" t="str">
        <f aca="false">IF($B31="","",INDEX('CARNET DE SOUDURE'!$AL$7:$AL$1506,MATCH(20,'CARNET DE SOUDURE'!$AP$7:$AP$1506,0)))</f>
        <v/>
      </c>
      <c r="K31" s="87"/>
      <c r="L31" s="87"/>
    </row>
    <row r="32" customFormat="false" ht="15" hidden="false" customHeight="false" outlineLevel="0" collapsed="false">
      <c r="B32" s="91" t="str">
        <f aca="false">IF(21&gt;$I$4,"",21)</f>
        <v/>
      </c>
      <c r="C32" s="91" t="str">
        <f aca="false">IF($B32="","",INDEX('CARNET DE SOUDURE'!$B$7:$B$1506,MATCH(21,'CARNET DE SOUDURE'!$AP$7:$AP$1506,0)))</f>
        <v/>
      </c>
      <c r="D32" s="91" t="str">
        <f aca="false">IF($B32="","",INDEX('CARNET DE SOUDURE'!$E$7:$E$1506,MATCH(21,'CARNET DE SOUDURE'!$AP$7:$AP$1506,0)))</f>
        <v/>
      </c>
      <c r="E32" s="91" t="str">
        <f aca="false">IF($B32="","",INDEX('CARNET DE SOUDURE'!$M$7:$M$1506,MATCH(21,'CARNET DE SOUDURE'!$AP$7:$AP$1506,0))&amp;" / "&amp;INDEX('CARNET DE SOUDURE'!$N$7:$N$1506,MATCH(21,'CARNET DE SOUDURE'!$AP$7:$AP$1506,0))&amp;" / "&amp;INDEX('CARNET DE SOUDURE'!$O$7:$O$1506,MATCH(21,'CARNET DE SOUDURE'!$AP$7:$AP$1506,0)))</f>
        <v/>
      </c>
      <c r="F32" s="91" t="str">
        <f aca="false">IF($B32="","",INDEX('CARNET DE SOUDURE'!$AJ$7:$AJ$1506,MATCH(21,'CARNET DE SOUDURE'!$AP$7:$AP$1506,0)))</f>
        <v/>
      </c>
      <c r="G32" s="108" t="str">
        <f aca="false">IF($B32="","",IF(INDEX('CARNET DE SOUDURE'!$AF$7:$AF$1506,MATCH(21,'CARNET DE SOUDURE'!$AP$7:$AP$1506,0))&lt;&gt;"",INDEX('CARNET DE SOUDURE'!$AD$7:$AD$1506,MATCH(21,'CARNET DE SOUDURE'!$AP$7:$AP$1506,0)),IF(INDEX('CARNET DE SOUDURE'!$AA$7:$AA$1506,MATCH(21,'CARNET DE SOUDURE'!$AP$7:$AP$1506,0))&lt;&gt;"",INDEX('CARNET DE SOUDURE'!$Y$7:$Y$1506,MATCH(21,'CARNET DE SOUDURE'!$AP$7:$AP$1506,0)),INDEX('CARNET DE SOUDURE'!$T$7:$T$1506,MATCH(21,'CARNET DE SOUDURE'!$AP$7:$AP$1506,0)))))</f>
        <v/>
      </c>
      <c r="H32" s="91" t="str">
        <f aca="false">IF($B32="","",IF(INDEX('CARNET DE SOUDURE'!$AF$7:$AF$1506,MATCH(21,'CARNET DE SOUDURE'!$AP$7:$AP$1506,0))&lt;&gt;"",INDEX('CARNET DE SOUDURE'!$AE$7:$AE$1506,MATCH(21,'CARNET DE SOUDURE'!$AP$7:$AP$1506,0)),IF(INDEX('CARNET DE SOUDURE'!$AA$7:$AA$1506,MATCH(21,'CARNET DE SOUDURE'!$AP$7:$AP$1506,0))&lt;&gt;"",INDEX('CARNET DE SOUDURE'!$Z$7:$Z$1506,MATCH(21,'CARNET DE SOUDURE'!$AP$7:$AP$1506,0)),INDEX('CARNET DE SOUDURE'!$U$7:$U$1506,MATCH(21,'CARNET DE SOUDURE'!$AP$7:$AP$1506,0))))&amp;"")</f>
        <v/>
      </c>
      <c r="I32" s="91" t="str">
        <f aca="false">IF($B32="","",INDEX('CARNET DE SOUDURE'!$AK$7:$AK$1506,MATCH(21,'CARNET DE SOUDURE'!$AP$7:$AP$1506,0)))</f>
        <v/>
      </c>
      <c r="J32" s="109" t="str">
        <f aca="false">IF($B32="","",INDEX('CARNET DE SOUDURE'!$AL$7:$AL$1506,MATCH(21,'CARNET DE SOUDURE'!$AP$7:$AP$1506,0)))</f>
        <v/>
      </c>
      <c r="K32" s="87"/>
      <c r="L32" s="87"/>
    </row>
    <row r="33" customFormat="false" ht="15" hidden="false" customHeight="false" outlineLevel="0" collapsed="false">
      <c r="B33" s="110" t="str">
        <f aca="false">IF(22&gt;$I$4,"",22)</f>
        <v/>
      </c>
      <c r="C33" s="110" t="str">
        <f aca="false">IF($B33="","",INDEX('CARNET DE SOUDURE'!$B$7:$B$1506,MATCH(22,'CARNET DE SOUDURE'!$AP$7:$AP$1506,0)))</f>
        <v/>
      </c>
      <c r="D33" s="110" t="str">
        <f aca="false">IF($B33="","",INDEX('CARNET DE SOUDURE'!$E$7:$E$1506,MATCH(22,'CARNET DE SOUDURE'!$AP$7:$AP$1506,0)))</f>
        <v/>
      </c>
      <c r="E33" s="110" t="str">
        <f aca="false">IF($B33="","",INDEX('CARNET DE SOUDURE'!$M$7:$M$1506,MATCH(22,'CARNET DE SOUDURE'!$AP$7:$AP$1506,0))&amp;" / "&amp;INDEX('CARNET DE SOUDURE'!$N$7:$N$1506,MATCH(22,'CARNET DE SOUDURE'!$AP$7:$AP$1506,0))&amp;" / "&amp;INDEX('CARNET DE SOUDURE'!$O$7:$O$1506,MATCH(22,'CARNET DE SOUDURE'!$AP$7:$AP$1506,0)))</f>
        <v/>
      </c>
      <c r="F33" s="112" t="str">
        <f aca="false">IF($B33="","",INDEX('CARNET DE SOUDURE'!$AJ$7:$AJ$1506,MATCH(22,'CARNET DE SOUDURE'!$AP$7:$AP$1506,0)))</f>
        <v/>
      </c>
      <c r="G33" s="111" t="str">
        <f aca="false">IF($B33="","",IF(INDEX('CARNET DE SOUDURE'!$AF$7:$AF$1506,MATCH(22,'CARNET DE SOUDURE'!$AP$7:$AP$1506,0))&lt;&gt;"",INDEX('CARNET DE SOUDURE'!$AD$7:$AD$1506,MATCH(22,'CARNET DE SOUDURE'!$AP$7:$AP$1506,0)),IF(INDEX('CARNET DE SOUDURE'!$AA$7:$AA$1506,MATCH(22,'CARNET DE SOUDURE'!$AP$7:$AP$1506,0))&lt;&gt;"",INDEX('CARNET DE SOUDURE'!$Y$7:$Y$1506,MATCH(22,'CARNET DE SOUDURE'!$AP$7:$AP$1506,0)),INDEX('CARNET DE SOUDURE'!$T$7:$T$1506,MATCH(22,'CARNET DE SOUDURE'!$AP$7:$AP$1506,0)))))</f>
        <v/>
      </c>
      <c r="H33" s="110" t="str">
        <f aca="false">IF($B33="","",IF(INDEX('CARNET DE SOUDURE'!$AF$7:$AF$1506,MATCH(22,'CARNET DE SOUDURE'!$AP$7:$AP$1506,0))&lt;&gt;"",INDEX('CARNET DE SOUDURE'!$AE$7:$AE$1506,MATCH(22,'CARNET DE SOUDURE'!$AP$7:$AP$1506,0)),IF(INDEX('CARNET DE SOUDURE'!$AA$7:$AA$1506,MATCH(22,'CARNET DE SOUDURE'!$AP$7:$AP$1506,0))&lt;&gt;"",INDEX('CARNET DE SOUDURE'!$Z$7:$Z$1506,MATCH(22,'CARNET DE SOUDURE'!$AP$7:$AP$1506,0)),INDEX('CARNET DE SOUDURE'!$U$7:$U$1506,MATCH(22,'CARNET DE SOUDURE'!$AP$7:$AP$1506,0))))&amp;"")</f>
        <v/>
      </c>
      <c r="I33" s="112" t="str">
        <f aca="false">IF($B33="","",INDEX('CARNET DE SOUDURE'!$AK$7:$AK$1506,MATCH(22,'CARNET DE SOUDURE'!$AP$7:$AP$1506,0)))</f>
        <v/>
      </c>
      <c r="J33" s="113" t="str">
        <f aca="false">IF($B33="","",INDEX('CARNET DE SOUDURE'!$AL$7:$AL$1506,MATCH(22,'CARNET DE SOUDURE'!$AP$7:$AP$1506,0)))</f>
        <v/>
      </c>
      <c r="K33" s="87"/>
      <c r="L33" s="87"/>
    </row>
    <row r="34" customFormat="false" ht="15" hidden="false" customHeight="false" outlineLevel="0" collapsed="false">
      <c r="B34" s="91" t="str">
        <f aca="false">IF(23&gt;$I$4,"",23)</f>
        <v/>
      </c>
      <c r="C34" s="91" t="str">
        <f aca="false">IF($B34="","",INDEX('CARNET DE SOUDURE'!$B$7:$B$1506,MATCH(23,'CARNET DE SOUDURE'!$AP$7:$AP$1506,0)))</f>
        <v/>
      </c>
      <c r="D34" s="91" t="str">
        <f aca="false">IF($B34="","",INDEX('CARNET DE SOUDURE'!$E$7:$E$1506,MATCH(23,'CARNET DE SOUDURE'!$AP$7:$AP$1506,0)))</f>
        <v/>
      </c>
      <c r="E34" s="91" t="str">
        <f aca="false">IF($B34="","",INDEX('CARNET DE SOUDURE'!$M$7:$M$1506,MATCH(23,'CARNET DE SOUDURE'!$AP$7:$AP$1506,0))&amp;" / "&amp;INDEX('CARNET DE SOUDURE'!$N$7:$N$1506,MATCH(23,'CARNET DE SOUDURE'!$AP$7:$AP$1506,0))&amp;" / "&amp;INDEX('CARNET DE SOUDURE'!$O$7:$O$1506,MATCH(23,'CARNET DE SOUDURE'!$AP$7:$AP$1506,0)))</f>
        <v/>
      </c>
      <c r="F34" s="91" t="str">
        <f aca="false">IF($B34="","",INDEX('CARNET DE SOUDURE'!$AJ$7:$AJ$1506,MATCH(23,'CARNET DE SOUDURE'!$AP$7:$AP$1506,0)))</f>
        <v/>
      </c>
      <c r="G34" s="108" t="str">
        <f aca="false">IF($B34="","",IF(INDEX('CARNET DE SOUDURE'!$AF$7:$AF$1506,MATCH(23,'CARNET DE SOUDURE'!$AP$7:$AP$1506,0))&lt;&gt;"",INDEX('CARNET DE SOUDURE'!$AD$7:$AD$1506,MATCH(23,'CARNET DE SOUDURE'!$AP$7:$AP$1506,0)),IF(INDEX('CARNET DE SOUDURE'!$AA$7:$AA$1506,MATCH(23,'CARNET DE SOUDURE'!$AP$7:$AP$1506,0))&lt;&gt;"",INDEX('CARNET DE SOUDURE'!$Y$7:$Y$1506,MATCH(23,'CARNET DE SOUDURE'!$AP$7:$AP$1506,0)),INDEX('CARNET DE SOUDURE'!$T$7:$T$1506,MATCH(23,'CARNET DE SOUDURE'!$AP$7:$AP$1506,0)))))</f>
        <v/>
      </c>
      <c r="H34" s="91" t="str">
        <f aca="false">IF($B34="","",IF(INDEX('CARNET DE SOUDURE'!$AF$7:$AF$1506,MATCH(23,'CARNET DE SOUDURE'!$AP$7:$AP$1506,0))&lt;&gt;"",INDEX('CARNET DE SOUDURE'!$AE$7:$AE$1506,MATCH(23,'CARNET DE SOUDURE'!$AP$7:$AP$1506,0)),IF(INDEX('CARNET DE SOUDURE'!$AA$7:$AA$1506,MATCH(23,'CARNET DE SOUDURE'!$AP$7:$AP$1506,0))&lt;&gt;"",INDEX('CARNET DE SOUDURE'!$Z$7:$Z$1506,MATCH(23,'CARNET DE SOUDURE'!$AP$7:$AP$1506,0)),INDEX('CARNET DE SOUDURE'!$U$7:$U$1506,MATCH(23,'CARNET DE SOUDURE'!$AP$7:$AP$1506,0))))&amp;"")</f>
        <v/>
      </c>
      <c r="I34" s="91" t="str">
        <f aca="false">IF($B34="","",INDEX('CARNET DE SOUDURE'!$AK$7:$AK$1506,MATCH(23,'CARNET DE SOUDURE'!$AP$7:$AP$1506,0)))</f>
        <v/>
      </c>
      <c r="J34" s="109" t="str">
        <f aca="false">IF($B34="","",INDEX('CARNET DE SOUDURE'!$AL$7:$AL$1506,MATCH(23,'CARNET DE SOUDURE'!$AP$7:$AP$1506,0)))</f>
        <v/>
      </c>
      <c r="K34" s="87"/>
      <c r="L34" s="87"/>
    </row>
    <row r="35" customFormat="false" ht="15" hidden="false" customHeight="false" outlineLevel="0" collapsed="false">
      <c r="B35" s="110" t="str">
        <f aca="false">IF(24&gt;$I$4,"",24)</f>
        <v/>
      </c>
      <c r="C35" s="110" t="str">
        <f aca="false">IF($B35="","",INDEX('CARNET DE SOUDURE'!$B$7:$B$1506,MATCH(24,'CARNET DE SOUDURE'!$AP$7:$AP$1506,0)))</f>
        <v/>
      </c>
      <c r="D35" s="110" t="str">
        <f aca="false">IF($B35="","",INDEX('CARNET DE SOUDURE'!$E$7:$E$1506,MATCH(24,'CARNET DE SOUDURE'!$AP$7:$AP$1506,0)))</f>
        <v/>
      </c>
      <c r="E35" s="110" t="str">
        <f aca="false">IF($B35="","",INDEX('CARNET DE SOUDURE'!$M$7:$M$1506,MATCH(24,'CARNET DE SOUDURE'!$AP$7:$AP$1506,0))&amp;" / "&amp;INDEX('CARNET DE SOUDURE'!$N$7:$N$1506,MATCH(24,'CARNET DE SOUDURE'!$AP$7:$AP$1506,0))&amp;" / "&amp;INDEX('CARNET DE SOUDURE'!$O$7:$O$1506,MATCH(24,'CARNET DE SOUDURE'!$AP$7:$AP$1506,0)))</f>
        <v/>
      </c>
      <c r="F35" s="112" t="str">
        <f aca="false">IF($B35="","",INDEX('CARNET DE SOUDURE'!$AJ$7:$AJ$1506,MATCH(24,'CARNET DE SOUDURE'!$AP$7:$AP$1506,0)))</f>
        <v/>
      </c>
      <c r="G35" s="111" t="str">
        <f aca="false">IF($B35="","",IF(INDEX('CARNET DE SOUDURE'!$AF$7:$AF$1506,MATCH(24,'CARNET DE SOUDURE'!$AP$7:$AP$1506,0))&lt;&gt;"",INDEX('CARNET DE SOUDURE'!$AD$7:$AD$1506,MATCH(24,'CARNET DE SOUDURE'!$AP$7:$AP$1506,0)),IF(INDEX('CARNET DE SOUDURE'!$AA$7:$AA$1506,MATCH(24,'CARNET DE SOUDURE'!$AP$7:$AP$1506,0))&lt;&gt;"",INDEX('CARNET DE SOUDURE'!$Y$7:$Y$1506,MATCH(24,'CARNET DE SOUDURE'!$AP$7:$AP$1506,0)),INDEX('CARNET DE SOUDURE'!$T$7:$T$1506,MATCH(24,'CARNET DE SOUDURE'!$AP$7:$AP$1506,0)))))</f>
        <v/>
      </c>
      <c r="H35" s="110" t="str">
        <f aca="false">IF($B35="","",IF(INDEX('CARNET DE SOUDURE'!$AF$7:$AF$1506,MATCH(24,'CARNET DE SOUDURE'!$AP$7:$AP$1506,0))&lt;&gt;"",INDEX('CARNET DE SOUDURE'!$AE$7:$AE$1506,MATCH(24,'CARNET DE SOUDURE'!$AP$7:$AP$1506,0)),IF(INDEX('CARNET DE SOUDURE'!$AA$7:$AA$1506,MATCH(24,'CARNET DE SOUDURE'!$AP$7:$AP$1506,0))&lt;&gt;"",INDEX('CARNET DE SOUDURE'!$Z$7:$Z$1506,MATCH(24,'CARNET DE SOUDURE'!$AP$7:$AP$1506,0)),INDEX('CARNET DE SOUDURE'!$U$7:$U$1506,MATCH(24,'CARNET DE SOUDURE'!$AP$7:$AP$1506,0))))&amp;"")</f>
        <v/>
      </c>
      <c r="I35" s="112" t="str">
        <f aca="false">IF($B35="","",INDEX('CARNET DE SOUDURE'!$AK$7:$AK$1506,MATCH(24,'CARNET DE SOUDURE'!$AP$7:$AP$1506,0)))</f>
        <v/>
      </c>
      <c r="J35" s="113" t="str">
        <f aca="false">IF($B35="","",INDEX('CARNET DE SOUDURE'!$AL$7:$AL$1506,MATCH(24,'CARNET DE SOUDURE'!$AP$7:$AP$1506,0)))</f>
        <v/>
      </c>
      <c r="K35" s="87"/>
      <c r="L35" s="87"/>
    </row>
    <row r="36" customFormat="false" ht="15" hidden="false" customHeight="false" outlineLevel="0" collapsed="false">
      <c r="B36" s="91" t="str">
        <f aca="false">IF(25&gt;$I$4,"",25)</f>
        <v/>
      </c>
      <c r="C36" s="91" t="str">
        <f aca="false">IF($B36="","",INDEX('CARNET DE SOUDURE'!$B$7:$B$1506,MATCH(25,'CARNET DE SOUDURE'!$AP$7:$AP$1506,0)))</f>
        <v/>
      </c>
      <c r="D36" s="91" t="str">
        <f aca="false">IF($B36="","",INDEX('CARNET DE SOUDURE'!$E$7:$E$1506,MATCH(25,'CARNET DE SOUDURE'!$AP$7:$AP$1506,0)))</f>
        <v/>
      </c>
      <c r="E36" s="91" t="str">
        <f aca="false">IF($B36="","",INDEX('CARNET DE SOUDURE'!$M$7:$M$1506,MATCH(25,'CARNET DE SOUDURE'!$AP$7:$AP$1506,0))&amp;" / "&amp;INDEX('CARNET DE SOUDURE'!$N$7:$N$1506,MATCH(25,'CARNET DE SOUDURE'!$AP$7:$AP$1506,0))&amp;" / "&amp;INDEX('CARNET DE SOUDURE'!$O$7:$O$1506,MATCH(25,'CARNET DE SOUDURE'!$AP$7:$AP$1506,0)))</f>
        <v/>
      </c>
      <c r="F36" s="91" t="str">
        <f aca="false">IF($B36="","",INDEX('CARNET DE SOUDURE'!$AJ$7:$AJ$1506,MATCH(25,'CARNET DE SOUDURE'!$AP$7:$AP$1506,0)))</f>
        <v/>
      </c>
      <c r="G36" s="108" t="str">
        <f aca="false">IF($B36="","",IF(INDEX('CARNET DE SOUDURE'!$AF$7:$AF$1506,MATCH(25,'CARNET DE SOUDURE'!$AP$7:$AP$1506,0))&lt;&gt;"",INDEX('CARNET DE SOUDURE'!$AD$7:$AD$1506,MATCH(25,'CARNET DE SOUDURE'!$AP$7:$AP$1506,0)),IF(INDEX('CARNET DE SOUDURE'!$AA$7:$AA$1506,MATCH(25,'CARNET DE SOUDURE'!$AP$7:$AP$1506,0))&lt;&gt;"",INDEX('CARNET DE SOUDURE'!$Y$7:$Y$1506,MATCH(25,'CARNET DE SOUDURE'!$AP$7:$AP$1506,0)),INDEX('CARNET DE SOUDURE'!$T$7:$T$1506,MATCH(25,'CARNET DE SOUDURE'!$AP$7:$AP$1506,0)))))</f>
        <v/>
      </c>
      <c r="H36" s="91" t="str">
        <f aca="false">IF($B36="","",IF(INDEX('CARNET DE SOUDURE'!$AF$7:$AF$1506,MATCH(25,'CARNET DE SOUDURE'!$AP$7:$AP$1506,0))&lt;&gt;"",INDEX('CARNET DE SOUDURE'!$AE$7:$AE$1506,MATCH(25,'CARNET DE SOUDURE'!$AP$7:$AP$1506,0)),IF(INDEX('CARNET DE SOUDURE'!$AA$7:$AA$1506,MATCH(25,'CARNET DE SOUDURE'!$AP$7:$AP$1506,0))&lt;&gt;"",INDEX('CARNET DE SOUDURE'!$Z$7:$Z$1506,MATCH(25,'CARNET DE SOUDURE'!$AP$7:$AP$1506,0)),INDEX('CARNET DE SOUDURE'!$U$7:$U$1506,MATCH(25,'CARNET DE SOUDURE'!$AP$7:$AP$1506,0))))&amp;"")</f>
        <v/>
      </c>
      <c r="I36" s="91" t="str">
        <f aca="false">IF($B36="","",INDEX('CARNET DE SOUDURE'!$AK$7:$AK$1506,MATCH(25,'CARNET DE SOUDURE'!$AP$7:$AP$1506,0)))</f>
        <v/>
      </c>
      <c r="J36" s="109" t="str">
        <f aca="false">IF($B36="","",INDEX('CARNET DE SOUDURE'!$AL$7:$AL$1506,MATCH(25,'CARNET DE SOUDURE'!$AP$7:$AP$1506,0)))</f>
        <v/>
      </c>
      <c r="K36" s="87"/>
      <c r="L36" s="87"/>
    </row>
    <row r="37" customFormat="false" ht="15" hidden="false" customHeight="false" outlineLevel="0" collapsed="false">
      <c r="B37" s="110" t="str">
        <f aca="false">IF(26&gt;$I$4,"",26)</f>
        <v/>
      </c>
      <c r="C37" s="110" t="str">
        <f aca="false">IF($B37="","",INDEX('CARNET DE SOUDURE'!$B$7:$B$1506,MATCH(26,'CARNET DE SOUDURE'!$AP$7:$AP$1506,0)))</f>
        <v/>
      </c>
      <c r="D37" s="110" t="str">
        <f aca="false">IF($B37="","",INDEX('CARNET DE SOUDURE'!$E$7:$E$1506,MATCH(26,'CARNET DE SOUDURE'!$AP$7:$AP$1506,0)))</f>
        <v/>
      </c>
      <c r="E37" s="110" t="str">
        <f aca="false">IF($B37="","",INDEX('CARNET DE SOUDURE'!$M$7:$M$1506,MATCH(26,'CARNET DE SOUDURE'!$AP$7:$AP$1506,0))&amp;" / "&amp;INDEX('CARNET DE SOUDURE'!$N$7:$N$1506,MATCH(26,'CARNET DE SOUDURE'!$AP$7:$AP$1506,0))&amp;" / "&amp;INDEX('CARNET DE SOUDURE'!$O$7:$O$1506,MATCH(26,'CARNET DE SOUDURE'!$AP$7:$AP$1506,0)))</f>
        <v/>
      </c>
      <c r="F37" s="112" t="str">
        <f aca="false">IF($B37="","",INDEX('CARNET DE SOUDURE'!$AJ$7:$AJ$1506,MATCH(26,'CARNET DE SOUDURE'!$AP$7:$AP$1506,0)))</f>
        <v/>
      </c>
      <c r="G37" s="111" t="str">
        <f aca="false">IF($B37="","",IF(INDEX('CARNET DE SOUDURE'!$AF$7:$AF$1506,MATCH(26,'CARNET DE SOUDURE'!$AP$7:$AP$1506,0))&lt;&gt;"",INDEX('CARNET DE SOUDURE'!$AD$7:$AD$1506,MATCH(26,'CARNET DE SOUDURE'!$AP$7:$AP$1506,0)),IF(INDEX('CARNET DE SOUDURE'!$AA$7:$AA$1506,MATCH(26,'CARNET DE SOUDURE'!$AP$7:$AP$1506,0))&lt;&gt;"",INDEX('CARNET DE SOUDURE'!$Y$7:$Y$1506,MATCH(26,'CARNET DE SOUDURE'!$AP$7:$AP$1506,0)),INDEX('CARNET DE SOUDURE'!$T$7:$T$1506,MATCH(26,'CARNET DE SOUDURE'!$AP$7:$AP$1506,0)))))</f>
        <v/>
      </c>
      <c r="H37" s="110" t="str">
        <f aca="false">IF($B37="","",IF(INDEX('CARNET DE SOUDURE'!$AF$7:$AF$1506,MATCH(26,'CARNET DE SOUDURE'!$AP$7:$AP$1506,0))&lt;&gt;"",INDEX('CARNET DE SOUDURE'!$AE$7:$AE$1506,MATCH(26,'CARNET DE SOUDURE'!$AP$7:$AP$1506,0)),IF(INDEX('CARNET DE SOUDURE'!$AA$7:$AA$1506,MATCH(26,'CARNET DE SOUDURE'!$AP$7:$AP$1506,0))&lt;&gt;"",INDEX('CARNET DE SOUDURE'!$Z$7:$Z$1506,MATCH(26,'CARNET DE SOUDURE'!$AP$7:$AP$1506,0)),INDEX('CARNET DE SOUDURE'!$U$7:$U$1506,MATCH(26,'CARNET DE SOUDURE'!$AP$7:$AP$1506,0))))&amp;"")</f>
        <v/>
      </c>
      <c r="I37" s="112" t="str">
        <f aca="false">IF($B37="","",INDEX('CARNET DE SOUDURE'!$AK$7:$AK$1506,MATCH(26,'CARNET DE SOUDURE'!$AP$7:$AP$1506,0)))</f>
        <v/>
      </c>
      <c r="J37" s="113" t="str">
        <f aca="false">IF($B37="","",INDEX('CARNET DE SOUDURE'!$AL$7:$AL$1506,MATCH(26,'CARNET DE SOUDURE'!$AP$7:$AP$1506,0)))</f>
        <v/>
      </c>
      <c r="K37" s="87"/>
      <c r="L37" s="87"/>
    </row>
    <row r="38" customFormat="false" ht="15" hidden="false" customHeight="false" outlineLevel="0" collapsed="false">
      <c r="B38" s="91" t="str">
        <f aca="false">IF(27&gt;$I$4,"",27)</f>
        <v/>
      </c>
      <c r="C38" s="91" t="str">
        <f aca="false">IF($B38="","",INDEX('CARNET DE SOUDURE'!$B$7:$B$1506,MATCH(27,'CARNET DE SOUDURE'!$AP$7:$AP$1506,0)))</f>
        <v/>
      </c>
      <c r="D38" s="91" t="str">
        <f aca="false">IF($B38="","",INDEX('CARNET DE SOUDURE'!$E$7:$E$1506,MATCH(27,'CARNET DE SOUDURE'!$AP$7:$AP$1506,0)))</f>
        <v/>
      </c>
      <c r="E38" s="91" t="str">
        <f aca="false">IF($B38="","",INDEX('CARNET DE SOUDURE'!$M$7:$M$1506,MATCH(27,'CARNET DE SOUDURE'!$AP$7:$AP$1506,0))&amp;" / "&amp;INDEX('CARNET DE SOUDURE'!$N$7:$N$1506,MATCH(27,'CARNET DE SOUDURE'!$AP$7:$AP$1506,0))&amp;" / "&amp;INDEX('CARNET DE SOUDURE'!$O$7:$O$1506,MATCH(27,'CARNET DE SOUDURE'!$AP$7:$AP$1506,0)))</f>
        <v/>
      </c>
      <c r="F38" s="91" t="str">
        <f aca="false">IF($B38="","",INDEX('CARNET DE SOUDURE'!$AJ$7:$AJ$1506,MATCH(27,'CARNET DE SOUDURE'!$AP$7:$AP$1506,0)))</f>
        <v/>
      </c>
      <c r="G38" s="108" t="str">
        <f aca="false">IF($B38="","",IF(INDEX('CARNET DE SOUDURE'!$AF$7:$AF$1506,MATCH(27,'CARNET DE SOUDURE'!$AP$7:$AP$1506,0))&lt;&gt;"",INDEX('CARNET DE SOUDURE'!$AD$7:$AD$1506,MATCH(27,'CARNET DE SOUDURE'!$AP$7:$AP$1506,0)),IF(INDEX('CARNET DE SOUDURE'!$AA$7:$AA$1506,MATCH(27,'CARNET DE SOUDURE'!$AP$7:$AP$1506,0))&lt;&gt;"",INDEX('CARNET DE SOUDURE'!$Y$7:$Y$1506,MATCH(27,'CARNET DE SOUDURE'!$AP$7:$AP$1506,0)),INDEX('CARNET DE SOUDURE'!$T$7:$T$1506,MATCH(27,'CARNET DE SOUDURE'!$AP$7:$AP$1506,0)))))</f>
        <v/>
      </c>
      <c r="H38" s="91" t="str">
        <f aca="false">IF($B38="","",IF(INDEX('CARNET DE SOUDURE'!$AF$7:$AF$1506,MATCH(27,'CARNET DE SOUDURE'!$AP$7:$AP$1506,0))&lt;&gt;"",INDEX('CARNET DE SOUDURE'!$AE$7:$AE$1506,MATCH(27,'CARNET DE SOUDURE'!$AP$7:$AP$1506,0)),IF(INDEX('CARNET DE SOUDURE'!$AA$7:$AA$1506,MATCH(27,'CARNET DE SOUDURE'!$AP$7:$AP$1506,0))&lt;&gt;"",INDEX('CARNET DE SOUDURE'!$Z$7:$Z$1506,MATCH(27,'CARNET DE SOUDURE'!$AP$7:$AP$1506,0)),INDEX('CARNET DE SOUDURE'!$U$7:$U$1506,MATCH(27,'CARNET DE SOUDURE'!$AP$7:$AP$1506,0))))&amp;"")</f>
        <v/>
      </c>
      <c r="I38" s="91" t="str">
        <f aca="false">IF($B38="","",INDEX('CARNET DE SOUDURE'!$AK$7:$AK$1506,MATCH(27,'CARNET DE SOUDURE'!$AP$7:$AP$1506,0)))</f>
        <v/>
      </c>
      <c r="J38" s="109" t="str">
        <f aca="false">IF($B38="","",INDEX('CARNET DE SOUDURE'!$AL$7:$AL$1506,MATCH(27,'CARNET DE SOUDURE'!$AP$7:$AP$1506,0)))</f>
        <v/>
      </c>
      <c r="K38" s="87"/>
      <c r="L38" s="87"/>
    </row>
    <row r="39" customFormat="false" ht="15" hidden="false" customHeight="false" outlineLevel="0" collapsed="false">
      <c r="B39" s="110" t="str">
        <f aca="false">IF(28&gt;$I$4,"",28)</f>
        <v/>
      </c>
      <c r="C39" s="110" t="str">
        <f aca="false">IF($B39="","",INDEX('CARNET DE SOUDURE'!$B$7:$B$1506,MATCH(28,'CARNET DE SOUDURE'!$AP$7:$AP$1506,0)))</f>
        <v/>
      </c>
      <c r="D39" s="110" t="str">
        <f aca="false">IF($B39="","",INDEX('CARNET DE SOUDURE'!$E$7:$E$1506,MATCH(28,'CARNET DE SOUDURE'!$AP$7:$AP$1506,0)))</f>
        <v/>
      </c>
      <c r="E39" s="110" t="str">
        <f aca="false">IF($B39="","",INDEX('CARNET DE SOUDURE'!$M$7:$M$1506,MATCH(28,'CARNET DE SOUDURE'!$AP$7:$AP$1506,0))&amp;" / "&amp;INDEX('CARNET DE SOUDURE'!$N$7:$N$1506,MATCH(28,'CARNET DE SOUDURE'!$AP$7:$AP$1506,0))&amp;" / "&amp;INDEX('CARNET DE SOUDURE'!$O$7:$O$1506,MATCH(28,'CARNET DE SOUDURE'!$AP$7:$AP$1506,0)))</f>
        <v/>
      </c>
      <c r="F39" s="112" t="str">
        <f aca="false">IF($B39="","",INDEX('CARNET DE SOUDURE'!$AJ$7:$AJ$1506,MATCH(28,'CARNET DE SOUDURE'!$AP$7:$AP$1506,0)))</f>
        <v/>
      </c>
      <c r="G39" s="111" t="str">
        <f aca="false">IF($B39="","",IF(INDEX('CARNET DE SOUDURE'!$AF$7:$AF$1506,MATCH(28,'CARNET DE SOUDURE'!$AP$7:$AP$1506,0))&lt;&gt;"",INDEX('CARNET DE SOUDURE'!$AD$7:$AD$1506,MATCH(28,'CARNET DE SOUDURE'!$AP$7:$AP$1506,0)),IF(INDEX('CARNET DE SOUDURE'!$AA$7:$AA$1506,MATCH(28,'CARNET DE SOUDURE'!$AP$7:$AP$1506,0))&lt;&gt;"",INDEX('CARNET DE SOUDURE'!$Y$7:$Y$1506,MATCH(28,'CARNET DE SOUDURE'!$AP$7:$AP$1506,0)),INDEX('CARNET DE SOUDURE'!$T$7:$T$1506,MATCH(28,'CARNET DE SOUDURE'!$AP$7:$AP$1506,0)))))</f>
        <v/>
      </c>
      <c r="H39" s="110" t="str">
        <f aca="false">IF($B39="","",IF(INDEX('CARNET DE SOUDURE'!$AF$7:$AF$1506,MATCH(28,'CARNET DE SOUDURE'!$AP$7:$AP$1506,0))&lt;&gt;"",INDEX('CARNET DE SOUDURE'!$AE$7:$AE$1506,MATCH(28,'CARNET DE SOUDURE'!$AP$7:$AP$1506,0)),IF(INDEX('CARNET DE SOUDURE'!$AA$7:$AA$1506,MATCH(28,'CARNET DE SOUDURE'!$AP$7:$AP$1506,0))&lt;&gt;"",INDEX('CARNET DE SOUDURE'!$Z$7:$Z$1506,MATCH(28,'CARNET DE SOUDURE'!$AP$7:$AP$1506,0)),INDEX('CARNET DE SOUDURE'!$U$7:$U$1506,MATCH(28,'CARNET DE SOUDURE'!$AP$7:$AP$1506,0))))&amp;"")</f>
        <v/>
      </c>
      <c r="I39" s="112" t="str">
        <f aca="false">IF($B39="","",INDEX('CARNET DE SOUDURE'!$AK$7:$AK$1506,MATCH(28,'CARNET DE SOUDURE'!$AP$7:$AP$1506,0)))</f>
        <v/>
      </c>
      <c r="J39" s="113" t="str">
        <f aca="false">IF($B39="","",INDEX('CARNET DE SOUDURE'!$AL$7:$AL$1506,MATCH(28,'CARNET DE SOUDURE'!$AP$7:$AP$1506,0)))</f>
        <v/>
      </c>
      <c r="K39" s="87"/>
      <c r="L39" s="87"/>
    </row>
    <row r="40" customFormat="false" ht="15" hidden="false" customHeight="false" outlineLevel="0" collapsed="false">
      <c r="B40" s="91" t="str">
        <f aca="false">IF(29&gt;$I$4,"",29)</f>
        <v/>
      </c>
      <c r="C40" s="91" t="str">
        <f aca="false">IF($B40="","",INDEX('CARNET DE SOUDURE'!$B$7:$B$1506,MATCH(29,'CARNET DE SOUDURE'!$AP$7:$AP$1506,0)))</f>
        <v/>
      </c>
      <c r="D40" s="91" t="str">
        <f aca="false">IF($B40="","",INDEX('CARNET DE SOUDURE'!$E$7:$E$1506,MATCH(29,'CARNET DE SOUDURE'!$AP$7:$AP$1506,0)))</f>
        <v/>
      </c>
      <c r="E40" s="91" t="str">
        <f aca="false">IF($B40="","",INDEX('CARNET DE SOUDURE'!$M$7:$M$1506,MATCH(29,'CARNET DE SOUDURE'!$AP$7:$AP$1506,0))&amp;" / "&amp;INDEX('CARNET DE SOUDURE'!$N$7:$N$1506,MATCH(29,'CARNET DE SOUDURE'!$AP$7:$AP$1506,0))&amp;" / "&amp;INDEX('CARNET DE SOUDURE'!$O$7:$O$1506,MATCH(29,'CARNET DE SOUDURE'!$AP$7:$AP$1506,0)))</f>
        <v/>
      </c>
      <c r="F40" s="91" t="str">
        <f aca="false">IF($B40="","",INDEX('CARNET DE SOUDURE'!$AJ$7:$AJ$1506,MATCH(29,'CARNET DE SOUDURE'!$AP$7:$AP$1506,0)))</f>
        <v/>
      </c>
      <c r="G40" s="108" t="str">
        <f aca="false">IF($B40="","",IF(INDEX('CARNET DE SOUDURE'!$AF$7:$AF$1506,MATCH(29,'CARNET DE SOUDURE'!$AP$7:$AP$1506,0))&lt;&gt;"",INDEX('CARNET DE SOUDURE'!$AD$7:$AD$1506,MATCH(29,'CARNET DE SOUDURE'!$AP$7:$AP$1506,0)),IF(INDEX('CARNET DE SOUDURE'!$AA$7:$AA$1506,MATCH(29,'CARNET DE SOUDURE'!$AP$7:$AP$1506,0))&lt;&gt;"",INDEX('CARNET DE SOUDURE'!$Y$7:$Y$1506,MATCH(29,'CARNET DE SOUDURE'!$AP$7:$AP$1506,0)),INDEX('CARNET DE SOUDURE'!$T$7:$T$1506,MATCH(29,'CARNET DE SOUDURE'!$AP$7:$AP$1506,0)))))</f>
        <v/>
      </c>
      <c r="H40" s="91" t="str">
        <f aca="false">IF($B40="","",IF(INDEX('CARNET DE SOUDURE'!$AF$7:$AF$1506,MATCH(29,'CARNET DE SOUDURE'!$AP$7:$AP$1506,0))&lt;&gt;"",INDEX('CARNET DE SOUDURE'!$AE$7:$AE$1506,MATCH(29,'CARNET DE SOUDURE'!$AP$7:$AP$1506,0)),IF(INDEX('CARNET DE SOUDURE'!$AA$7:$AA$1506,MATCH(29,'CARNET DE SOUDURE'!$AP$7:$AP$1506,0))&lt;&gt;"",INDEX('CARNET DE SOUDURE'!$Z$7:$Z$1506,MATCH(29,'CARNET DE SOUDURE'!$AP$7:$AP$1506,0)),INDEX('CARNET DE SOUDURE'!$U$7:$U$1506,MATCH(29,'CARNET DE SOUDURE'!$AP$7:$AP$1506,0))))&amp;"")</f>
        <v/>
      </c>
      <c r="I40" s="91" t="str">
        <f aca="false">IF($B40="","",INDEX('CARNET DE SOUDURE'!$AK$7:$AK$1506,MATCH(29,'CARNET DE SOUDURE'!$AP$7:$AP$1506,0)))</f>
        <v/>
      </c>
      <c r="J40" s="109" t="str">
        <f aca="false">IF($B40="","",INDEX('CARNET DE SOUDURE'!$AL$7:$AL$1506,MATCH(29,'CARNET DE SOUDURE'!$AP$7:$AP$1506,0)))</f>
        <v/>
      </c>
      <c r="K40" s="87"/>
      <c r="L40" s="87"/>
    </row>
    <row r="41" customFormat="false" ht="15" hidden="false" customHeight="false" outlineLevel="0" collapsed="false">
      <c r="B41" s="110" t="str">
        <f aca="false">IF(30&gt;$I$4,"",30)</f>
        <v/>
      </c>
      <c r="C41" s="110" t="str">
        <f aca="false">IF($B41="","",INDEX('CARNET DE SOUDURE'!$B$7:$B$1506,MATCH(30,'CARNET DE SOUDURE'!$AP$7:$AP$1506,0)))</f>
        <v/>
      </c>
      <c r="D41" s="110" t="str">
        <f aca="false">IF($B41="","",INDEX('CARNET DE SOUDURE'!$E$7:$E$1506,MATCH(30,'CARNET DE SOUDURE'!$AP$7:$AP$1506,0)))</f>
        <v/>
      </c>
      <c r="E41" s="110" t="str">
        <f aca="false">IF($B41="","",INDEX('CARNET DE SOUDURE'!$M$7:$M$1506,MATCH(30,'CARNET DE SOUDURE'!$AP$7:$AP$1506,0))&amp;" / "&amp;INDEX('CARNET DE SOUDURE'!$N$7:$N$1506,MATCH(30,'CARNET DE SOUDURE'!$AP$7:$AP$1506,0))&amp;" / "&amp;INDEX('CARNET DE SOUDURE'!$O$7:$O$1506,MATCH(30,'CARNET DE SOUDURE'!$AP$7:$AP$1506,0)))</f>
        <v/>
      </c>
      <c r="F41" s="112" t="str">
        <f aca="false">IF($B41="","",INDEX('CARNET DE SOUDURE'!$AJ$7:$AJ$1506,MATCH(30,'CARNET DE SOUDURE'!$AP$7:$AP$1506,0)))</f>
        <v/>
      </c>
      <c r="G41" s="111" t="str">
        <f aca="false">IF($B41="","",IF(INDEX('CARNET DE SOUDURE'!$AF$7:$AF$1506,MATCH(30,'CARNET DE SOUDURE'!$AP$7:$AP$1506,0))&lt;&gt;"",INDEX('CARNET DE SOUDURE'!$AD$7:$AD$1506,MATCH(30,'CARNET DE SOUDURE'!$AP$7:$AP$1506,0)),IF(INDEX('CARNET DE SOUDURE'!$AA$7:$AA$1506,MATCH(30,'CARNET DE SOUDURE'!$AP$7:$AP$1506,0))&lt;&gt;"",INDEX('CARNET DE SOUDURE'!$Y$7:$Y$1506,MATCH(30,'CARNET DE SOUDURE'!$AP$7:$AP$1506,0)),INDEX('CARNET DE SOUDURE'!$T$7:$T$1506,MATCH(30,'CARNET DE SOUDURE'!$AP$7:$AP$1506,0)))))</f>
        <v/>
      </c>
      <c r="H41" s="110" t="str">
        <f aca="false">IF($B41="","",IF(INDEX('CARNET DE SOUDURE'!$AF$7:$AF$1506,MATCH(30,'CARNET DE SOUDURE'!$AP$7:$AP$1506,0))&lt;&gt;"",INDEX('CARNET DE SOUDURE'!$AE$7:$AE$1506,MATCH(30,'CARNET DE SOUDURE'!$AP$7:$AP$1506,0)),IF(INDEX('CARNET DE SOUDURE'!$AA$7:$AA$1506,MATCH(30,'CARNET DE SOUDURE'!$AP$7:$AP$1506,0))&lt;&gt;"",INDEX('CARNET DE SOUDURE'!$Z$7:$Z$1506,MATCH(30,'CARNET DE SOUDURE'!$AP$7:$AP$1506,0)),INDEX('CARNET DE SOUDURE'!$U$7:$U$1506,MATCH(30,'CARNET DE SOUDURE'!$AP$7:$AP$1506,0))))&amp;"")</f>
        <v/>
      </c>
      <c r="I41" s="112" t="str">
        <f aca="false">IF($B41="","",INDEX('CARNET DE SOUDURE'!$AK$7:$AK$1506,MATCH(30,'CARNET DE SOUDURE'!$AP$7:$AP$1506,0)))</f>
        <v/>
      </c>
      <c r="J41" s="113" t="str">
        <f aca="false">IF($B41="","",INDEX('CARNET DE SOUDURE'!$AL$7:$AL$1506,MATCH(30,'CARNET DE SOUDURE'!$AP$7:$AP$1506,0)))</f>
        <v/>
      </c>
      <c r="K41" s="87"/>
      <c r="L41" s="87"/>
    </row>
    <row r="42" customFormat="false" ht="15" hidden="false" customHeight="false" outlineLevel="0" collapsed="false">
      <c r="B42" s="91" t="str">
        <f aca="false">IF(31&gt;$I$4,"",31)</f>
        <v/>
      </c>
      <c r="C42" s="91" t="str">
        <f aca="false">IF($B42="","",INDEX('CARNET DE SOUDURE'!$B$7:$B$1506,MATCH(31,'CARNET DE SOUDURE'!$AP$7:$AP$1506,0)))</f>
        <v/>
      </c>
      <c r="D42" s="91" t="str">
        <f aca="false">IF($B42="","",INDEX('CARNET DE SOUDURE'!$E$7:$E$1506,MATCH(31,'CARNET DE SOUDURE'!$AP$7:$AP$1506,0)))</f>
        <v/>
      </c>
      <c r="E42" s="91" t="str">
        <f aca="false">IF($B42="","",INDEX('CARNET DE SOUDURE'!$M$7:$M$1506,MATCH(31,'CARNET DE SOUDURE'!$AP$7:$AP$1506,0))&amp;" / "&amp;INDEX('CARNET DE SOUDURE'!$N$7:$N$1506,MATCH(31,'CARNET DE SOUDURE'!$AP$7:$AP$1506,0))&amp;" / "&amp;INDEX('CARNET DE SOUDURE'!$O$7:$O$1506,MATCH(31,'CARNET DE SOUDURE'!$AP$7:$AP$1506,0)))</f>
        <v/>
      </c>
      <c r="F42" s="91" t="str">
        <f aca="false">IF($B42="","",INDEX('CARNET DE SOUDURE'!$AJ$7:$AJ$1506,MATCH(31,'CARNET DE SOUDURE'!$AP$7:$AP$1506,0)))</f>
        <v/>
      </c>
      <c r="G42" s="108" t="str">
        <f aca="false">IF($B42="","",IF(INDEX('CARNET DE SOUDURE'!$AF$7:$AF$1506,MATCH(31,'CARNET DE SOUDURE'!$AP$7:$AP$1506,0))&lt;&gt;"",INDEX('CARNET DE SOUDURE'!$AD$7:$AD$1506,MATCH(31,'CARNET DE SOUDURE'!$AP$7:$AP$1506,0)),IF(INDEX('CARNET DE SOUDURE'!$AA$7:$AA$1506,MATCH(31,'CARNET DE SOUDURE'!$AP$7:$AP$1506,0))&lt;&gt;"",INDEX('CARNET DE SOUDURE'!$Y$7:$Y$1506,MATCH(31,'CARNET DE SOUDURE'!$AP$7:$AP$1506,0)),INDEX('CARNET DE SOUDURE'!$T$7:$T$1506,MATCH(31,'CARNET DE SOUDURE'!$AP$7:$AP$1506,0)))))</f>
        <v/>
      </c>
      <c r="H42" s="91" t="str">
        <f aca="false">IF($B42="","",IF(INDEX('CARNET DE SOUDURE'!$AF$7:$AF$1506,MATCH(31,'CARNET DE SOUDURE'!$AP$7:$AP$1506,0))&lt;&gt;"",INDEX('CARNET DE SOUDURE'!$AE$7:$AE$1506,MATCH(31,'CARNET DE SOUDURE'!$AP$7:$AP$1506,0)),IF(INDEX('CARNET DE SOUDURE'!$AA$7:$AA$1506,MATCH(31,'CARNET DE SOUDURE'!$AP$7:$AP$1506,0))&lt;&gt;"",INDEX('CARNET DE SOUDURE'!$Z$7:$Z$1506,MATCH(31,'CARNET DE SOUDURE'!$AP$7:$AP$1506,0)),INDEX('CARNET DE SOUDURE'!$U$7:$U$1506,MATCH(31,'CARNET DE SOUDURE'!$AP$7:$AP$1506,0))))&amp;"")</f>
        <v/>
      </c>
      <c r="I42" s="91" t="str">
        <f aca="false">IF($B42="","",INDEX('CARNET DE SOUDURE'!$AK$7:$AK$1506,MATCH(31,'CARNET DE SOUDURE'!$AP$7:$AP$1506,0)))</f>
        <v/>
      </c>
      <c r="J42" s="109" t="str">
        <f aca="false">IF($B42="","",INDEX('CARNET DE SOUDURE'!$AL$7:$AL$1506,MATCH(31,'CARNET DE SOUDURE'!$AP$7:$AP$1506,0)))</f>
        <v/>
      </c>
      <c r="K42" s="87"/>
      <c r="L42" s="87"/>
    </row>
    <row r="43" customFormat="false" ht="15" hidden="false" customHeight="false" outlineLevel="0" collapsed="false">
      <c r="B43" s="110" t="str">
        <f aca="false">IF(32&gt;$I$4,"",32)</f>
        <v/>
      </c>
      <c r="C43" s="110" t="str">
        <f aca="false">IF($B43="","",INDEX('CARNET DE SOUDURE'!$B$7:$B$1506,MATCH(32,'CARNET DE SOUDURE'!$AP$7:$AP$1506,0)))</f>
        <v/>
      </c>
      <c r="D43" s="110" t="str">
        <f aca="false">IF($B43="","",INDEX('CARNET DE SOUDURE'!$E$7:$E$1506,MATCH(32,'CARNET DE SOUDURE'!$AP$7:$AP$1506,0)))</f>
        <v/>
      </c>
      <c r="E43" s="110" t="str">
        <f aca="false">IF($B43="","",INDEX('CARNET DE SOUDURE'!$M$7:$M$1506,MATCH(32,'CARNET DE SOUDURE'!$AP$7:$AP$1506,0))&amp;" / "&amp;INDEX('CARNET DE SOUDURE'!$N$7:$N$1506,MATCH(32,'CARNET DE SOUDURE'!$AP$7:$AP$1506,0))&amp;" / "&amp;INDEX('CARNET DE SOUDURE'!$O$7:$O$1506,MATCH(32,'CARNET DE SOUDURE'!$AP$7:$AP$1506,0)))</f>
        <v/>
      </c>
      <c r="F43" s="112" t="str">
        <f aca="false">IF($B43="","",INDEX('CARNET DE SOUDURE'!$AJ$7:$AJ$1506,MATCH(32,'CARNET DE SOUDURE'!$AP$7:$AP$1506,0)))</f>
        <v/>
      </c>
      <c r="G43" s="111" t="str">
        <f aca="false">IF($B43="","",IF(INDEX('CARNET DE SOUDURE'!$AF$7:$AF$1506,MATCH(32,'CARNET DE SOUDURE'!$AP$7:$AP$1506,0))&lt;&gt;"",INDEX('CARNET DE SOUDURE'!$AD$7:$AD$1506,MATCH(32,'CARNET DE SOUDURE'!$AP$7:$AP$1506,0)),IF(INDEX('CARNET DE SOUDURE'!$AA$7:$AA$1506,MATCH(32,'CARNET DE SOUDURE'!$AP$7:$AP$1506,0))&lt;&gt;"",INDEX('CARNET DE SOUDURE'!$Y$7:$Y$1506,MATCH(32,'CARNET DE SOUDURE'!$AP$7:$AP$1506,0)),INDEX('CARNET DE SOUDURE'!$T$7:$T$1506,MATCH(32,'CARNET DE SOUDURE'!$AP$7:$AP$1506,0)))))</f>
        <v/>
      </c>
      <c r="H43" s="110" t="str">
        <f aca="false">IF($B43="","",IF(INDEX('CARNET DE SOUDURE'!$AF$7:$AF$1506,MATCH(32,'CARNET DE SOUDURE'!$AP$7:$AP$1506,0))&lt;&gt;"",INDEX('CARNET DE SOUDURE'!$AE$7:$AE$1506,MATCH(32,'CARNET DE SOUDURE'!$AP$7:$AP$1506,0)),IF(INDEX('CARNET DE SOUDURE'!$AA$7:$AA$1506,MATCH(32,'CARNET DE SOUDURE'!$AP$7:$AP$1506,0))&lt;&gt;"",INDEX('CARNET DE SOUDURE'!$Z$7:$Z$1506,MATCH(32,'CARNET DE SOUDURE'!$AP$7:$AP$1506,0)),INDEX('CARNET DE SOUDURE'!$U$7:$U$1506,MATCH(32,'CARNET DE SOUDURE'!$AP$7:$AP$1506,0))))&amp;"")</f>
        <v/>
      </c>
      <c r="I43" s="112" t="str">
        <f aca="false">IF($B43="","",INDEX('CARNET DE SOUDURE'!$AK$7:$AK$1506,MATCH(32,'CARNET DE SOUDURE'!$AP$7:$AP$1506,0)))</f>
        <v/>
      </c>
      <c r="J43" s="113" t="str">
        <f aca="false">IF($B43="","",INDEX('CARNET DE SOUDURE'!$AL$7:$AL$1506,MATCH(32,'CARNET DE SOUDURE'!$AP$7:$AP$1506,0)))</f>
        <v/>
      </c>
      <c r="K43" s="87"/>
      <c r="L43" s="87"/>
    </row>
    <row r="44" customFormat="false" ht="15" hidden="false" customHeight="false" outlineLevel="0" collapsed="false">
      <c r="B44" s="91" t="str">
        <f aca="false">IF(33&gt;$I$4,"",33)</f>
        <v/>
      </c>
      <c r="C44" s="91" t="str">
        <f aca="false">IF($B44="","",INDEX('CARNET DE SOUDURE'!$B$7:$B$1506,MATCH(33,'CARNET DE SOUDURE'!$AP$7:$AP$1506,0)))</f>
        <v/>
      </c>
      <c r="D44" s="91" t="str">
        <f aca="false">IF($B44="","",INDEX('CARNET DE SOUDURE'!$E$7:$E$1506,MATCH(33,'CARNET DE SOUDURE'!$AP$7:$AP$1506,0)))</f>
        <v/>
      </c>
      <c r="E44" s="91" t="str">
        <f aca="false">IF($B44="","",INDEX('CARNET DE SOUDURE'!$M$7:$M$1506,MATCH(33,'CARNET DE SOUDURE'!$AP$7:$AP$1506,0))&amp;" / "&amp;INDEX('CARNET DE SOUDURE'!$N$7:$N$1506,MATCH(33,'CARNET DE SOUDURE'!$AP$7:$AP$1506,0))&amp;" / "&amp;INDEX('CARNET DE SOUDURE'!$O$7:$O$1506,MATCH(33,'CARNET DE SOUDURE'!$AP$7:$AP$1506,0)))</f>
        <v/>
      </c>
      <c r="F44" s="91" t="str">
        <f aca="false">IF($B44="","",INDEX('CARNET DE SOUDURE'!$AJ$7:$AJ$1506,MATCH(33,'CARNET DE SOUDURE'!$AP$7:$AP$1506,0)))</f>
        <v/>
      </c>
      <c r="G44" s="108" t="str">
        <f aca="false">IF($B44="","",IF(INDEX('CARNET DE SOUDURE'!$AF$7:$AF$1506,MATCH(33,'CARNET DE SOUDURE'!$AP$7:$AP$1506,0))&lt;&gt;"",INDEX('CARNET DE SOUDURE'!$AD$7:$AD$1506,MATCH(33,'CARNET DE SOUDURE'!$AP$7:$AP$1506,0)),IF(INDEX('CARNET DE SOUDURE'!$AA$7:$AA$1506,MATCH(33,'CARNET DE SOUDURE'!$AP$7:$AP$1506,0))&lt;&gt;"",INDEX('CARNET DE SOUDURE'!$Y$7:$Y$1506,MATCH(33,'CARNET DE SOUDURE'!$AP$7:$AP$1506,0)),INDEX('CARNET DE SOUDURE'!$T$7:$T$1506,MATCH(33,'CARNET DE SOUDURE'!$AP$7:$AP$1506,0)))))</f>
        <v/>
      </c>
      <c r="H44" s="91" t="str">
        <f aca="false">IF($B44="","",IF(INDEX('CARNET DE SOUDURE'!$AF$7:$AF$1506,MATCH(33,'CARNET DE SOUDURE'!$AP$7:$AP$1506,0))&lt;&gt;"",INDEX('CARNET DE SOUDURE'!$AE$7:$AE$1506,MATCH(33,'CARNET DE SOUDURE'!$AP$7:$AP$1506,0)),IF(INDEX('CARNET DE SOUDURE'!$AA$7:$AA$1506,MATCH(33,'CARNET DE SOUDURE'!$AP$7:$AP$1506,0))&lt;&gt;"",INDEX('CARNET DE SOUDURE'!$Z$7:$Z$1506,MATCH(33,'CARNET DE SOUDURE'!$AP$7:$AP$1506,0)),INDEX('CARNET DE SOUDURE'!$U$7:$U$1506,MATCH(33,'CARNET DE SOUDURE'!$AP$7:$AP$1506,0))))&amp;"")</f>
        <v/>
      </c>
      <c r="I44" s="91" t="str">
        <f aca="false">IF($B44="","",INDEX('CARNET DE SOUDURE'!$AK$7:$AK$1506,MATCH(33,'CARNET DE SOUDURE'!$AP$7:$AP$1506,0)))</f>
        <v/>
      </c>
      <c r="J44" s="109" t="str">
        <f aca="false">IF($B44="","",INDEX('CARNET DE SOUDURE'!$AL$7:$AL$1506,MATCH(33,'CARNET DE SOUDURE'!$AP$7:$AP$1506,0)))</f>
        <v/>
      </c>
      <c r="K44" s="87"/>
      <c r="L44" s="87"/>
    </row>
    <row r="45" customFormat="false" ht="15" hidden="false" customHeight="false" outlineLevel="0" collapsed="false">
      <c r="B45" s="110" t="str">
        <f aca="false">IF(34&gt;$I$4,"",34)</f>
        <v/>
      </c>
      <c r="C45" s="110" t="str">
        <f aca="false">IF($B45="","",INDEX('CARNET DE SOUDURE'!$B$7:$B$1506,MATCH(34,'CARNET DE SOUDURE'!$AP$7:$AP$1506,0)))</f>
        <v/>
      </c>
      <c r="D45" s="110" t="str">
        <f aca="false">IF($B45="","",INDEX('CARNET DE SOUDURE'!$E$7:$E$1506,MATCH(34,'CARNET DE SOUDURE'!$AP$7:$AP$1506,0)))</f>
        <v/>
      </c>
      <c r="E45" s="110" t="str">
        <f aca="false">IF($B45="","",INDEX('CARNET DE SOUDURE'!$M$7:$M$1506,MATCH(34,'CARNET DE SOUDURE'!$AP$7:$AP$1506,0))&amp;" / "&amp;INDEX('CARNET DE SOUDURE'!$N$7:$N$1506,MATCH(34,'CARNET DE SOUDURE'!$AP$7:$AP$1506,0))&amp;" / "&amp;INDEX('CARNET DE SOUDURE'!$O$7:$O$1506,MATCH(34,'CARNET DE SOUDURE'!$AP$7:$AP$1506,0)))</f>
        <v/>
      </c>
      <c r="F45" s="112" t="str">
        <f aca="false">IF($B45="","",INDEX('CARNET DE SOUDURE'!$AJ$7:$AJ$1506,MATCH(34,'CARNET DE SOUDURE'!$AP$7:$AP$1506,0)))</f>
        <v/>
      </c>
      <c r="G45" s="111" t="str">
        <f aca="false">IF($B45="","",IF(INDEX('CARNET DE SOUDURE'!$AF$7:$AF$1506,MATCH(34,'CARNET DE SOUDURE'!$AP$7:$AP$1506,0))&lt;&gt;"",INDEX('CARNET DE SOUDURE'!$AD$7:$AD$1506,MATCH(34,'CARNET DE SOUDURE'!$AP$7:$AP$1506,0)),IF(INDEX('CARNET DE SOUDURE'!$AA$7:$AA$1506,MATCH(34,'CARNET DE SOUDURE'!$AP$7:$AP$1506,0))&lt;&gt;"",INDEX('CARNET DE SOUDURE'!$Y$7:$Y$1506,MATCH(34,'CARNET DE SOUDURE'!$AP$7:$AP$1506,0)),INDEX('CARNET DE SOUDURE'!$T$7:$T$1506,MATCH(34,'CARNET DE SOUDURE'!$AP$7:$AP$1506,0)))))</f>
        <v/>
      </c>
      <c r="H45" s="110" t="str">
        <f aca="false">IF($B45="","",IF(INDEX('CARNET DE SOUDURE'!$AF$7:$AF$1506,MATCH(34,'CARNET DE SOUDURE'!$AP$7:$AP$1506,0))&lt;&gt;"",INDEX('CARNET DE SOUDURE'!$AE$7:$AE$1506,MATCH(34,'CARNET DE SOUDURE'!$AP$7:$AP$1506,0)),IF(INDEX('CARNET DE SOUDURE'!$AA$7:$AA$1506,MATCH(34,'CARNET DE SOUDURE'!$AP$7:$AP$1506,0))&lt;&gt;"",INDEX('CARNET DE SOUDURE'!$Z$7:$Z$1506,MATCH(34,'CARNET DE SOUDURE'!$AP$7:$AP$1506,0)),INDEX('CARNET DE SOUDURE'!$U$7:$U$1506,MATCH(34,'CARNET DE SOUDURE'!$AP$7:$AP$1506,0))))&amp;"")</f>
        <v/>
      </c>
      <c r="I45" s="112" t="str">
        <f aca="false">IF($B45="","",INDEX('CARNET DE SOUDURE'!$AK$7:$AK$1506,MATCH(34,'CARNET DE SOUDURE'!$AP$7:$AP$1506,0)))</f>
        <v/>
      </c>
      <c r="J45" s="113" t="str">
        <f aca="false">IF($B45="","",INDEX('CARNET DE SOUDURE'!$AL$7:$AL$1506,MATCH(34,'CARNET DE SOUDURE'!$AP$7:$AP$1506,0)))</f>
        <v/>
      </c>
      <c r="K45" s="87"/>
      <c r="L45" s="87"/>
    </row>
    <row r="46" customFormat="false" ht="15" hidden="false" customHeight="false" outlineLevel="0" collapsed="false">
      <c r="B46" s="91" t="str">
        <f aca="false">IF(35&gt;$I$4,"",35)</f>
        <v/>
      </c>
      <c r="C46" s="91" t="str">
        <f aca="false">IF($B46="","",INDEX('CARNET DE SOUDURE'!$B$7:$B$1506,MATCH(35,'CARNET DE SOUDURE'!$AP$7:$AP$1506,0)))</f>
        <v/>
      </c>
      <c r="D46" s="91" t="str">
        <f aca="false">IF($B46="","",INDEX('CARNET DE SOUDURE'!$E$7:$E$1506,MATCH(35,'CARNET DE SOUDURE'!$AP$7:$AP$1506,0)))</f>
        <v/>
      </c>
      <c r="E46" s="91" t="str">
        <f aca="false">IF($B46="","",INDEX('CARNET DE SOUDURE'!$M$7:$M$1506,MATCH(35,'CARNET DE SOUDURE'!$AP$7:$AP$1506,0))&amp;" / "&amp;INDEX('CARNET DE SOUDURE'!$N$7:$N$1506,MATCH(35,'CARNET DE SOUDURE'!$AP$7:$AP$1506,0))&amp;" / "&amp;INDEX('CARNET DE SOUDURE'!$O$7:$O$1506,MATCH(35,'CARNET DE SOUDURE'!$AP$7:$AP$1506,0)))</f>
        <v/>
      </c>
      <c r="F46" s="91" t="str">
        <f aca="false">IF($B46="","",INDEX('CARNET DE SOUDURE'!$AJ$7:$AJ$1506,MATCH(35,'CARNET DE SOUDURE'!$AP$7:$AP$1506,0)))</f>
        <v/>
      </c>
      <c r="G46" s="108" t="str">
        <f aca="false">IF($B46="","",IF(INDEX('CARNET DE SOUDURE'!$AF$7:$AF$1506,MATCH(35,'CARNET DE SOUDURE'!$AP$7:$AP$1506,0))&lt;&gt;"",INDEX('CARNET DE SOUDURE'!$AD$7:$AD$1506,MATCH(35,'CARNET DE SOUDURE'!$AP$7:$AP$1506,0)),IF(INDEX('CARNET DE SOUDURE'!$AA$7:$AA$1506,MATCH(35,'CARNET DE SOUDURE'!$AP$7:$AP$1506,0))&lt;&gt;"",INDEX('CARNET DE SOUDURE'!$Y$7:$Y$1506,MATCH(35,'CARNET DE SOUDURE'!$AP$7:$AP$1506,0)),INDEX('CARNET DE SOUDURE'!$T$7:$T$1506,MATCH(35,'CARNET DE SOUDURE'!$AP$7:$AP$1506,0)))))</f>
        <v/>
      </c>
      <c r="H46" s="91" t="str">
        <f aca="false">IF($B46="","",IF(INDEX('CARNET DE SOUDURE'!$AF$7:$AF$1506,MATCH(35,'CARNET DE SOUDURE'!$AP$7:$AP$1506,0))&lt;&gt;"",INDEX('CARNET DE SOUDURE'!$AE$7:$AE$1506,MATCH(35,'CARNET DE SOUDURE'!$AP$7:$AP$1506,0)),IF(INDEX('CARNET DE SOUDURE'!$AA$7:$AA$1506,MATCH(35,'CARNET DE SOUDURE'!$AP$7:$AP$1506,0))&lt;&gt;"",INDEX('CARNET DE SOUDURE'!$Z$7:$Z$1506,MATCH(35,'CARNET DE SOUDURE'!$AP$7:$AP$1506,0)),INDEX('CARNET DE SOUDURE'!$U$7:$U$1506,MATCH(35,'CARNET DE SOUDURE'!$AP$7:$AP$1506,0))))&amp;"")</f>
        <v/>
      </c>
      <c r="I46" s="91" t="str">
        <f aca="false">IF($B46="","",INDEX('CARNET DE SOUDURE'!$AK$7:$AK$1506,MATCH(35,'CARNET DE SOUDURE'!$AP$7:$AP$1506,0)))</f>
        <v/>
      </c>
      <c r="J46" s="109" t="str">
        <f aca="false">IF($B46="","",INDEX('CARNET DE SOUDURE'!$AL$7:$AL$1506,MATCH(35,'CARNET DE SOUDURE'!$AP$7:$AP$1506,0)))</f>
        <v/>
      </c>
      <c r="K46" s="87"/>
      <c r="L46" s="87"/>
    </row>
    <row r="47" customFormat="false" ht="15" hidden="false" customHeight="false" outlineLevel="0" collapsed="false">
      <c r="B47" s="110" t="str">
        <f aca="false">IF(36&gt;$I$4,"",36)</f>
        <v/>
      </c>
      <c r="C47" s="110" t="str">
        <f aca="false">IF($B47="","",INDEX('CARNET DE SOUDURE'!$B$7:$B$1506,MATCH(36,'CARNET DE SOUDURE'!$AP$7:$AP$1506,0)))</f>
        <v/>
      </c>
      <c r="D47" s="110" t="str">
        <f aca="false">IF($B47="","",INDEX('CARNET DE SOUDURE'!$E$7:$E$1506,MATCH(36,'CARNET DE SOUDURE'!$AP$7:$AP$1506,0)))</f>
        <v/>
      </c>
      <c r="E47" s="110" t="str">
        <f aca="false">IF($B47="","",INDEX('CARNET DE SOUDURE'!$M$7:$M$1506,MATCH(36,'CARNET DE SOUDURE'!$AP$7:$AP$1506,0))&amp;" / "&amp;INDEX('CARNET DE SOUDURE'!$N$7:$N$1506,MATCH(36,'CARNET DE SOUDURE'!$AP$7:$AP$1506,0))&amp;" / "&amp;INDEX('CARNET DE SOUDURE'!$O$7:$O$1506,MATCH(36,'CARNET DE SOUDURE'!$AP$7:$AP$1506,0)))</f>
        <v/>
      </c>
      <c r="F47" s="112" t="str">
        <f aca="false">IF($B47="","",INDEX('CARNET DE SOUDURE'!$AJ$7:$AJ$1506,MATCH(36,'CARNET DE SOUDURE'!$AP$7:$AP$1506,0)))</f>
        <v/>
      </c>
      <c r="G47" s="111" t="str">
        <f aca="false">IF($B47="","",IF(INDEX('CARNET DE SOUDURE'!$AF$7:$AF$1506,MATCH(36,'CARNET DE SOUDURE'!$AP$7:$AP$1506,0))&lt;&gt;"",INDEX('CARNET DE SOUDURE'!$AD$7:$AD$1506,MATCH(36,'CARNET DE SOUDURE'!$AP$7:$AP$1506,0)),IF(INDEX('CARNET DE SOUDURE'!$AA$7:$AA$1506,MATCH(36,'CARNET DE SOUDURE'!$AP$7:$AP$1506,0))&lt;&gt;"",INDEX('CARNET DE SOUDURE'!$Y$7:$Y$1506,MATCH(36,'CARNET DE SOUDURE'!$AP$7:$AP$1506,0)),INDEX('CARNET DE SOUDURE'!$T$7:$T$1506,MATCH(36,'CARNET DE SOUDURE'!$AP$7:$AP$1506,0)))))</f>
        <v/>
      </c>
      <c r="H47" s="110" t="str">
        <f aca="false">IF($B47="","",IF(INDEX('CARNET DE SOUDURE'!$AF$7:$AF$1506,MATCH(36,'CARNET DE SOUDURE'!$AP$7:$AP$1506,0))&lt;&gt;"",INDEX('CARNET DE SOUDURE'!$AE$7:$AE$1506,MATCH(36,'CARNET DE SOUDURE'!$AP$7:$AP$1506,0)),IF(INDEX('CARNET DE SOUDURE'!$AA$7:$AA$1506,MATCH(36,'CARNET DE SOUDURE'!$AP$7:$AP$1506,0))&lt;&gt;"",INDEX('CARNET DE SOUDURE'!$Z$7:$Z$1506,MATCH(36,'CARNET DE SOUDURE'!$AP$7:$AP$1506,0)),INDEX('CARNET DE SOUDURE'!$U$7:$U$1506,MATCH(36,'CARNET DE SOUDURE'!$AP$7:$AP$1506,0))))&amp;"")</f>
        <v/>
      </c>
      <c r="I47" s="112" t="str">
        <f aca="false">IF($B47="","",INDEX('CARNET DE SOUDURE'!$AK$7:$AK$1506,MATCH(36,'CARNET DE SOUDURE'!$AP$7:$AP$1506,0)))</f>
        <v/>
      </c>
      <c r="J47" s="113" t="str">
        <f aca="false">IF($B47="","",INDEX('CARNET DE SOUDURE'!$AL$7:$AL$1506,MATCH(36,'CARNET DE SOUDURE'!$AP$7:$AP$1506,0)))</f>
        <v/>
      </c>
      <c r="K47" s="87"/>
      <c r="L47" s="87"/>
    </row>
    <row r="48" customFormat="false" ht="15" hidden="false" customHeight="false" outlineLevel="0" collapsed="false">
      <c r="B48" s="91" t="str">
        <f aca="false">IF(37&gt;$I$4,"",37)</f>
        <v/>
      </c>
      <c r="C48" s="91" t="str">
        <f aca="false">IF($B48="","",INDEX('CARNET DE SOUDURE'!$B$7:$B$1506,MATCH(37,'CARNET DE SOUDURE'!$AP$7:$AP$1506,0)))</f>
        <v/>
      </c>
      <c r="D48" s="91" t="str">
        <f aca="false">IF($B48="","",INDEX('CARNET DE SOUDURE'!$E$7:$E$1506,MATCH(37,'CARNET DE SOUDURE'!$AP$7:$AP$1506,0)))</f>
        <v/>
      </c>
      <c r="E48" s="91" t="str">
        <f aca="false">IF($B48="","",INDEX('CARNET DE SOUDURE'!$M$7:$M$1506,MATCH(37,'CARNET DE SOUDURE'!$AP$7:$AP$1506,0))&amp;" / "&amp;INDEX('CARNET DE SOUDURE'!$N$7:$N$1506,MATCH(37,'CARNET DE SOUDURE'!$AP$7:$AP$1506,0))&amp;" / "&amp;INDEX('CARNET DE SOUDURE'!$O$7:$O$1506,MATCH(37,'CARNET DE SOUDURE'!$AP$7:$AP$1506,0)))</f>
        <v/>
      </c>
      <c r="F48" s="91" t="str">
        <f aca="false">IF($B48="","",INDEX('CARNET DE SOUDURE'!$AJ$7:$AJ$1506,MATCH(37,'CARNET DE SOUDURE'!$AP$7:$AP$1506,0)))</f>
        <v/>
      </c>
      <c r="G48" s="108" t="str">
        <f aca="false">IF($B48="","",IF(INDEX('CARNET DE SOUDURE'!$AF$7:$AF$1506,MATCH(37,'CARNET DE SOUDURE'!$AP$7:$AP$1506,0))&lt;&gt;"",INDEX('CARNET DE SOUDURE'!$AD$7:$AD$1506,MATCH(37,'CARNET DE SOUDURE'!$AP$7:$AP$1506,0)),IF(INDEX('CARNET DE SOUDURE'!$AA$7:$AA$1506,MATCH(37,'CARNET DE SOUDURE'!$AP$7:$AP$1506,0))&lt;&gt;"",INDEX('CARNET DE SOUDURE'!$Y$7:$Y$1506,MATCH(37,'CARNET DE SOUDURE'!$AP$7:$AP$1506,0)),INDEX('CARNET DE SOUDURE'!$T$7:$T$1506,MATCH(37,'CARNET DE SOUDURE'!$AP$7:$AP$1506,0)))))</f>
        <v/>
      </c>
      <c r="H48" s="91" t="str">
        <f aca="false">IF($B48="","",IF(INDEX('CARNET DE SOUDURE'!$AF$7:$AF$1506,MATCH(37,'CARNET DE SOUDURE'!$AP$7:$AP$1506,0))&lt;&gt;"",INDEX('CARNET DE SOUDURE'!$AE$7:$AE$1506,MATCH(37,'CARNET DE SOUDURE'!$AP$7:$AP$1506,0)),IF(INDEX('CARNET DE SOUDURE'!$AA$7:$AA$1506,MATCH(37,'CARNET DE SOUDURE'!$AP$7:$AP$1506,0))&lt;&gt;"",INDEX('CARNET DE SOUDURE'!$Z$7:$Z$1506,MATCH(37,'CARNET DE SOUDURE'!$AP$7:$AP$1506,0)),INDEX('CARNET DE SOUDURE'!$U$7:$U$1506,MATCH(37,'CARNET DE SOUDURE'!$AP$7:$AP$1506,0))))&amp;"")</f>
        <v/>
      </c>
      <c r="I48" s="91" t="str">
        <f aca="false">IF($B48="","",INDEX('CARNET DE SOUDURE'!$AK$7:$AK$1506,MATCH(37,'CARNET DE SOUDURE'!$AP$7:$AP$1506,0)))</f>
        <v/>
      </c>
      <c r="J48" s="109" t="str">
        <f aca="false">IF($B48="","",INDEX('CARNET DE SOUDURE'!$AL$7:$AL$1506,MATCH(37,'CARNET DE SOUDURE'!$AP$7:$AP$1506,0)))</f>
        <v/>
      </c>
      <c r="K48" s="87"/>
      <c r="L48" s="87"/>
    </row>
    <row r="49" customFormat="false" ht="15" hidden="false" customHeight="false" outlineLevel="0" collapsed="false">
      <c r="B49" s="110" t="str">
        <f aca="false">IF(38&gt;$I$4,"",38)</f>
        <v/>
      </c>
      <c r="C49" s="110" t="str">
        <f aca="false">IF($B49="","",INDEX('CARNET DE SOUDURE'!$B$7:$B$1506,MATCH(38,'CARNET DE SOUDURE'!$AP$7:$AP$1506,0)))</f>
        <v/>
      </c>
      <c r="D49" s="110" t="str">
        <f aca="false">IF($B49="","",INDEX('CARNET DE SOUDURE'!$E$7:$E$1506,MATCH(38,'CARNET DE SOUDURE'!$AP$7:$AP$1506,0)))</f>
        <v/>
      </c>
      <c r="E49" s="110" t="str">
        <f aca="false">IF($B49="","",INDEX('CARNET DE SOUDURE'!$M$7:$M$1506,MATCH(38,'CARNET DE SOUDURE'!$AP$7:$AP$1506,0))&amp;" / "&amp;INDEX('CARNET DE SOUDURE'!$N$7:$N$1506,MATCH(38,'CARNET DE SOUDURE'!$AP$7:$AP$1506,0))&amp;" / "&amp;INDEX('CARNET DE SOUDURE'!$O$7:$O$1506,MATCH(38,'CARNET DE SOUDURE'!$AP$7:$AP$1506,0)))</f>
        <v/>
      </c>
      <c r="F49" s="112" t="str">
        <f aca="false">IF($B49="","",INDEX('CARNET DE SOUDURE'!$AJ$7:$AJ$1506,MATCH(38,'CARNET DE SOUDURE'!$AP$7:$AP$1506,0)))</f>
        <v/>
      </c>
      <c r="G49" s="111" t="str">
        <f aca="false">IF($B49="","",IF(INDEX('CARNET DE SOUDURE'!$AF$7:$AF$1506,MATCH(38,'CARNET DE SOUDURE'!$AP$7:$AP$1506,0))&lt;&gt;"",INDEX('CARNET DE SOUDURE'!$AD$7:$AD$1506,MATCH(38,'CARNET DE SOUDURE'!$AP$7:$AP$1506,0)),IF(INDEX('CARNET DE SOUDURE'!$AA$7:$AA$1506,MATCH(38,'CARNET DE SOUDURE'!$AP$7:$AP$1506,0))&lt;&gt;"",INDEX('CARNET DE SOUDURE'!$Y$7:$Y$1506,MATCH(38,'CARNET DE SOUDURE'!$AP$7:$AP$1506,0)),INDEX('CARNET DE SOUDURE'!$T$7:$T$1506,MATCH(38,'CARNET DE SOUDURE'!$AP$7:$AP$1506,0)))))</f>
        <v/>
      </c>
      <c r="H49" s="110" t="str">
        <f aca="false">IF($B49="","",IF(INDEX('CARNET DE SOUDURE'!$AF$7:$AF$1506,MATCH(38,'CARNET DE SOUDURE'!$AP$7:$AP$1506,0))&lt;&gt;"",INDEX('CARNET DE SOUDURE'!$AE$7:$AE$1506,MATCH(38,'CARNET DE SOUDURE'!$AP$7:$AP$1506,0)),IF(INDEX('CARNET DE SOUDURE'!$AA$7:$AA$1506,MATCH(38,'CARNET DE SOUDURE'!$AP$7:$AP$1506,0))&lt;&gt;"",INDEX('CARNET DE SOUDURE'!$Z$7:$Z$1506,MATCH(38,'CARNET DE SOUDURE'!$AP$7:$AP$1506,0)),INDEX('CARNET DE SOUDURE'!$U$7:$U$1506,MATCH(38,'CARNET DE SOUDURE'!$AP$7:$AP$1506,0))))&amp;"")</f>
        <v/>
      </c>
      <c r="I49" s="112" t="str">
        <f aca="false">IF($B49="","",INDEX('CARNET DE SOUDURE'!$AK$7:$AK$1506,MATCH(38,'CARNET DE SOUDURE'!$AP$7:$AP$1506,0)))</f>
        <v/>
      </c>
      <c r="J49" s="113" t="str">
        <f aca="false">IF($B49="","",INDEX('CARNET DE SOUDURE'!$AL$7:$AL$1506,MATCH(38,'CARNET DE SOUDURE'!$AP$7:$AP$1506,0)))</f>
        <v/>
      </c>
      <c r="K49" s="87"/>
      <c r="L49" s="87"/>
    </row>
    <row r="50" customFormat="false" ht="15" hidden="false" customHeight="false" outlineLevel="0" collapsed="false">
      <c r="B50" s="91" t="str">
        <f aca="false">IF(39&gt;$I$4,"",39)</f>
        <v/>
      </c>
      <c r="C50" s="91" t="str">
        <f aca="false">IF($B50="","",INDEX('CARNET DE SOUDURE'!$B$7:$B$1506,MATCH(39,'CARNET DE SOUDURE'!$AP$7:$AP$1506,0)))</f>
        <v/>
      </c>
      <c r="D50" s="91" t="str">
        <f aca="false">IF($B50="","",INDEX('CARNET DE SOUDURE'!$E$7:$E$1506,MATCH(39,'CARNET DE SOUDURE'!$AP$7:$AP$1506,0)))</f>
        <v/>
      </c>
      <c r="E50" s="91" t="str">
        <f aca="false">IF($B50="","",INDEX('CARNET DE SOUDURE'!$M$7:$M$1506,MATCH(39,'CARNET DE SOUDURE'!$AP$7:$AP$1506,0))&amp;" / "&amp;INDEX('CARNET DE SOUDURE'!$N$7:$N$1506,MATCH(39,'CARNET DE SOUDURE'!$AP$7:$AP$1506,0))&amp;" / "&amp;INDEX('CARNET DE SOUDURE'!$O$7:$O$1506,MATCH(39,'CARNET DE SOUDURE'!$AP$7:$AP$1506,0)))</f>
        <v/>
      </c>
      <c r="F50" s="91" t="str">
        <f aca="false">IF($B50="","",INDEX('CARNET DE SOUDURE'!$AJ$7:$AJ$1506,MATCH(39,'CARNET DE SOUDURE'!$AP$7:$AP$1506,0)))</f>
        <v/>
      </c>
      <c r="G50" s="108" t="str">
        <f aca="false">IF($B50="","",IF(INDEX('CARNET DE SOUDURE'!$AF$7:$AF$1506,MATCH(39,'CARNET DE SOUDURE'!$AP$7:$AP$1506,0))&lt;&gt;"",INDEX('CARNET DE SOUDURE'!$AD$7:$AD$1506,MATCH(39,'CARNET DE SOUDURE'!$AP$7:$AP$1506,0)),IF(INDEX('CARNET DE SOUDURE'!$AA$7:$AA$1506,MATCH(39,'CARNET DE SOUDURE'!$AP$7:$AP$1506,0))&lt;&gt;"",INDEX('CARNET DE SOUDURE'!$Y$7:$Y$1506,MATCH(39,'CARNET DE SOUDURE'!$AP$7:$AP$1506,0)),INDEX('CARNET DE SOUDURE'!$T$7:$T$1506,MATCH(39,'CARNET DE SOUDURE'!$AP$7:$AP$1506,0)))))</f>
        <v/>
      </c>
      <c r="H50" s="91" t="str">
        <f aca="false">IF($B50="","",IF(INDEX('CARNET DE SOUDURE'!$AF$7:$AF$1506,MATCH(39,'CARNET DE SOUDURE'!$AP$7:$AP$1506,0))&lt;&gt;"",INDEX('CARNET DE SOUDURE'!$AE$7:$AE$1506,MATCH(39,'CARNET DE SOUDURE'!$AP$7:$AP$1506,0)),IF(INDEX('CARNET DE SOUDURE'!$AA$7:$AA$1506,MATCH(39,'CARNET DE SOUDURE'!$AP$7:$AP$1506,0))&lt;&gt;"",INDEX('CARNET DE SOUDURE'!$Z$7:$Z$1506,MATCH(39,'CARNET DE SOUDURE'!$AP$7:$AP$1506,0)),INDEX('CARNET DE SOUDURE'!$U$7:$U$1506,MATCH(39,'CARNET DE SOUDURE'!$AP$7:$AP$1506,0))))&amp;"")</f>
        <v/>
      </c>
      <c r="I50" s="91" t="str">
        <f aca="false">IF($B50="","",INDEX('CARNET DE SOUDURE'!$AK$7:$AK$1506,MATCH(39,'CARNET DE SOUDURE'!$AP$7:$AP$1506,0)))</f>
        <v/>
      </c>
      <c r="J50" s="109" t="str">
        <f aca="false">IF($B50="","",INDEX('CARNET DE SOUDURE'!$AL$7:$AL$1506,MATCH(39,'CARNET DE SOUDURE'!$AP$7:$AP$1506,0)))</f>
        <v/>
      </c>
      <c r="K50" s="87"/>
      <c r="L50" s="87"/>
    </row>
    <row r="51" customFormat="false" ht="15" hidden="false" customHeight="false" outlineLevel="0" collapsed="false">
      <c r="B51" s="110" t="str">
        <f aca="false">IF(40&gt;$I$4,"",40)</f>
        <v/>
      </c>
      <c r="C51" s="110" t="str">
        <f aca="false">IF($B51="","",INDEX('CARNET DE SOUDURE'!$B$7:$B$1506,MATCH(40,'CARNET DE SOUDURE'!$AP$7:$AP$1506,0)))</f>
        <v/>
      </c>
      <c r="D51" s="110" t="str">
        <f aca="false">IF($B51="","",INDEX('CARNET DE SOUDURE'!$E$7:$E$1506,MATCH(40,'CARNET DE SOUDURE'!$AP$7:$AP$1506,0)))</f>
        <v/>
      </c>
      <c r="E51" s="110" t="str">
        <f aca="false">IF($B51="","",INDEX('CARNET DE SOUDURE'!$M$7:$M$1506,MATCH(40,'CARNET DE SOUDURE'!$AP$7:$AP$1506,0))&amp;" / "&amp;INDEX('CARNET DE SOUDURE'!$N$7:$N$1506,MATCH(40,'CARNET DE SOUDURE'!$AP$7:$AP$1506,0))&amp;" / "&amp;INDEX('CARNET DE SOUDURE'!$O$7:$O$1506,MATCH(40,'CARNET DE SOUDURE'!$AP$7:$AP$1506,0)))</f>
        <v/>
      </c>
      <c r="F51" s="112" t="str">
        <f aca="false">IF($B51="","",INDEX('CARNET DE SOUDURE'!$AJ$7:$AJ$1506,MATCH(40,'CARNET DE SOUDURE'!$AP$7:$AP$1506,0)))</f>
        <v/>
      </c>
      <c r="G51" s="111" t="str">
        <f aca="false">IF($B51="","",IF(INDEX('CARNET DE SOUDURE'!$AF$7:$AF$1506,MATCH(40,'CARNET DE SOUDURE'!$AP$7:$AP$1506,0))&lt;&gt;"",INDEX('CARNET DE SOUDURE'!$AD$7:$AD$1506,MATCH(40,'CARNET DE SOUDURE'!$AP$7:$AP$1506,0)),IF(INDEX('CARNET DE SOUDURE'!$AA$7:$AA$1506,MATCH(40,'CARNET DE SOUDURE'!$AP$7:$AP$1506,0))&lt;&gt;"",INDEX('CARNET DE SOUDURE'!$Y$7:$Y$1506,MATCH(40,'CARNET DE SOUDURE'!$AP$7:$AP$1506,0)),INDEX('CARNET DE SOUDURE'!$T$7:$T$1506,MATCH(40,'CARNET DE SOUDURE'!$AP$7:$AP$1506,0)))))</f>
        <v/>
      </c>
      <c r="H51" s="110" t="str">
        <f aca="false">IF($B51="","",IF(INDEX('CARNET DE SOUDURE'!$AF$7:$AF$1506,MATCH(40,'CARNET DE SOUDURE'!$AP$7:$AP$1506,0))&lt;&gt;"",INDEX('CARNET DE SOUDURE'!$AE$7:$AE$1506,MATCH(40,'CARNET DE SOUDURE'!$AP$7:$AP$1506,0)),IF(INDEX('CARNET DE SOUDURE'!$AA$7:$AA$1506,MATCH(40,'CARNET DE SOUDURE'!$AP$7:$AP$1506,0))&lt;&gt;"",INDEX('CARNET DE SOUDURE'!$Z$7:$Z$1506,MATCH(40,'CARNET DE SOUDURE'!$AP$7:$AP$1506,0)),INDEX('CARNET DE SOUDURE'!$U$7:$U$1506,MATCH(40,'CARNET DE SOUDURE'!$AP$7:$AP$1506,0))))&amp;"")</f>
        <v/>
      </c>
      <c r="I51" s="112" t="str">
        <f aca="false">IF($B51="","",INDEX('CARNET DE SOUDURE'!$AK$7:$AK$1506,MATCH(40,'CARNET DE SOUDURE'!$AP$7:$AP$1506,0)))</f>
        <v/>
      </c>
      <c r="J51" s="113" t="str">
        <f aca="false">IF($B51="","",INDEX('CARNET DE SOUDURE'!$AL$7:$AL$1506,MATCH(40,'CARNET DE SOUDURE'!$AP$7:$AP$1506,0)))</f>
        <v/>
      </c>
      <c r="K51" s="87"/>
      <c r="L51" s="87"/>
    </row>
    <row r="52" customFormat="false" ht="15" hidden="false" customHeight="false" outlineLevel="0" collapsed="false">
      <c r="B52" s="91" t="str">
        <f aca="false">IF(41&gt;$I$4,"",41)</f>
        <v/>
      </c>
      <c r="C52" s="91" t="str">
        <f aca="false">IF($B52="","",INDEX('CARNET DE SOUDURE'!$B$7:$B$1506,MATCH(41,'CARNET DE SOUDURE'!$AP$7:$AP$1506,0)))</f>
        <v/>
      </c>
      <c r="D52" s="91" t="str">
        <f aca="false">IF($B52="","",INDEX('CARNET DE SOUDURE'!$E$7:$E$1506,MATCH(41,'CARNET DE SOUDURE'!$AP$7:$AP$1506,0)))</f>
        <v/>
      </c>
      <c r="E52" s="91" t="str">
        <f aca="false">IF($B52="","",INDEX('CARNET DE SOUDURE'!$M$7:$M$1506,MATCH(41,'CARNET DE SOUDURE'!$AP$7:$AP$1506,0))&amp;" / "&amp;INDEX('CARNET DE SOUDURE'!$N$7:$N$1506,MATCH(41,'CARNET DE SOUDURE'!$AP$7:$AP$1506,0))&amp;" / "&amp;INDEX('CARNET DE SOUDURE'!$O$7:$O$1506,MATCH(41,'CARNET DE SOUDURE'!$AP$7:$AP$1506,0)))</f>
        <v/>
      </c>
      <c r="F52" s="91" t="str">
        <f aca="false">IF($B52="","",INDEX('CARNET DE SOUDURE'!$AJ$7:$AJ$1506,MATCH(41,'CARNET DE SOUDURE'!$AP$7:$AP$1506,0)))</f>
        <v/>
      </c>
      <c r="G52" s="108" t="str">
        <f aca="false">IF($B52="","",IF(INDEX('CARNET DE SOUDURE'!$AF$7:$AF$1506,MATCH(41,'CARNET DE SOUDURE'!$AP$7:$AP$1506,0))&lt;&gt;"",INDEX('CARNET DE SOUDURE'!$AD$7:$AD$1506,MATCH(41,'CARNET DE SOUDURE'!$AP$7:$AP$1506,0)),IF(INDEX('CARNET DE SOUDURE'!$AA$7:$AA$1506,MATCH(41,'CARNET DE SOUDURE'!$AP$7:$AP$1506,0))&lt;&gt;"",INDEX('CARNET DE SOUDURE'!$Y$7:$Y$1506,MATCH(41,'CARNET DE SOUDURE'!$AP$7:$AP$1506,0)),INDEX('CARNET DE SOUDURE'!$T$7:$T$1506,MATCH(41,'CARNET DE SOUDURE'!$AP$7:$AP$1506,0)))))</f>
        <v/>
      </c>
      <c r="H52" s="91" t="str">
        <f aca="false">IF($B52="","",IF(INDEX('CARNET DE SOUDURE'!$AF$7:$AF$1506,MATCH(41,'CARNET DE SOUDURE'!$AP$7:$AP$1506,0))&lt;&gt;"",INDEX('CARNET DE SOUDURE'!$AE$7:$AE$1506,MATCH(41,'CARNET DE SOUDURE'!$AP$7:$AP$1506,0)),IF(INDEX('CARNET DE SOUDURE'!$AA$7:$AA$1506,MATCH(41,'CARNET DE SOUDURE'!$AP$7:$AP$1506,0))&lt;&gt;"",INDEX('CARNET DE SOUDURE'!$Z$7:$Z$1506,MATCH(41,'CARNET DE SOUDURE'!$AP$7:$AP$1506,0)),INDEX('CARNET DE SOUDURE'!$U$7:$U$1506,MATCH(41,'CARNET DE SOUDURE'!$AP$7:$AP$1506,0))))&amp;"")</f>
        <v/>
      </c>
      <c r="I52" s="91" t="str">
        <f aca="false">IF($B52="","",INDEX('CARNET DE SOUDURE'!$AK$7:$AK$1506,MATCH(41,'CARNET DE SOUDURE'!$AP$7:$AP$1506,0)))</f>
        <v/>
      </c>
      <c r="J52" s="109" t="str">
        <f aca="false">IF($B52="","",INDEX('CARNET DE SOUDURE'!$AL$7:$AL$1506,MATCH(41,'CARNET DE SOUDURE'!$AP$7:$AP$1506,0)))</f>
        <v/>
      </c>
      <c r="K52" s="87"/>
      <c r="L52" s="87"/>
    </row>
    <row r="53" customFormat="false" ht="15" hidden="false" customHeight="false" outlineLevel="0" collapsed="false">
      <c r="B53" s="110" t="str">
        <f aca="false">IF(42&gt;$I$4,"",42)</f>
        <v/>
      </c>
      <c r="C53" s="110" t="str">
        <f aca="false">IF($B53="","",INDEX('CARNET DE SOUDURE'!$B$7:$B$1506,MATCH(42,'CARNET DE SOUDURE'!$AP$7:$AP$1506,0)))</f>
        <v/>
      </c>
      <c r="D53" s="110" t="str">
        <f aca="false">IF($B53="","",INDEX('CARNET DE SOUDURE'!$E$7:$E$1506,MATCH(42,'CARNET DE SOUDURE'!$AP$7:$AP$1506,0)))</f>
        <v/>
      </c>
      <c r="E53" s="110" t="str">
        <f aca="false">IF($B53="","",INDEX('CARNET DE SOUDURE'!$M$7:$M$1506,MATCH(42,'CARNET DE SOUDURE'!$AP$7:$AP$1506,0))&amp;" / "&amp;INDEX('CARNET DE SOUDURE'!$N$7:$N$1506,MATCH(42,'CARNET DE SOUDURE'!$AP$7:$AP$1506,0))&amp;" / "&amp;INDEX('CARNET DE SOUDURE'!$O$7:$O$1506,MATCH(42,'CARNET DE SOUDURE'!$AP$7:$AP$1506,0)))</f>
        <v/>
      </c>
      <c r="F53" s="112" t="str">
        <f aca="false">IF($B53="","",INDEX('CARNET DE SOUDURE'!$AJ$7:$AJ$1506,MATCH(42,'CARNET DE SOUDURE'!$AP$7:$AP$1506,0)))</f>
        <v/>
      </c>
      <c r="G53" s="111" t="str">
        <f aca="false">IF($B53="","",IF(INDEX('CARNET DE SOUDURE'!$AF$7:$AF$1506,MATCH(42,'CARNET DE SOUDURE'!$AP$7:$AP$1506,0))&lt;&gt;"",INDEX('CARNET DE SOUDURE'!$AD$7:$AD$1506,MATCH(42,'CARNET DE SOUDURE'!$AP$7:$AP$1506,0)),IF(INDEX('CARNET DE SOUDURE'!$AA$7:$AA$1506,MATCH(42,'CARNET DE SOUDURE'!$AP$7:$AP$1506,0))&lt;&gt;"",INDEX('CARNET DE SOUDURE'!$Y$7:$Y$1506,MATCH(42,'CARNET DE SOUDURE'!$AP$7:$AP$1506,0)),INDEX('CARNET DE SOUDURE'!$T$7:$T$1506,MATCH(42,'CARNET DE SOUDURE'!$AP$7:$AP$1506,0)))))</f>
        <v/>
      </c>
      <c r="H53" s="110" t="str">
        <f aca="false">IF($B53="","",IF(INDEX('CARNET DE SOUDURE'!$AF$7:$AF$1506,MATCH(42,'CARNET DE SOUDURE'!$AP$7:$AP$1506,0))&lt;&gt;"",INDEX('CARNET DE SOUDURE'!$AE$7:$AE$1506,MATCH(42,'CARNET DE SOUDURE'!$AP$7:$AP$1506,0)),IF(INDEX('CARNET DE SOUDURE'!$AA$7:$AA$1506,MATCH(42,'CARNET DE SOUDURE'!$AP$7:$AP$1506,0))&lt;&gt;"",INDEX('CARNET DE SOUDURE'!$Z$7:$Z$1506,MATCH(42,'CARNET DE SOUDURE'!$AP$7:$AP$1506,0)),INDEX('CARNET DE SOUDURE'!$U$7:$U$1506,MATCH(42,'CARNET DE SOUDURE'!$AP$7:$AP$1506,0))))&amp;"")</f>
        <v/>
      </c>
      <c r="I53" s="112" t="str">
        <f aca="false">IF($B53="","",INDEX('CARNET DE SOUDURE'!$AK$7:$AK$1506,MATCH(42,'CARNET DE SOUDURE'!$AP$7:$AP$1506,0)))</f>
        <v/>
      </c>
      <c r="J53" s="113" t="str">
        <f aca="false">IF($B53="","",INDEX('CARNET DE SOUDURE'!$AL$7:$AL$1506,MATCH(42,'CARNET DE SOUDURE'!$AP$7:$AP$1506,0)))</f>
        <v/>
      </c>
      <c r="K53" s="87"/>
      <c r="L53" s="87"/>
    </row>
    <row r="54" customFormat="false" ht="15" hidden="false" customHeight="false" outlineLevel="0" collapsed="false">
      <c r="B54" s="91" t="str">
        <f aca="false">IF(43&gt;$I$4,"",43)</f>
        <v/>
      </c>
      <c r="C54" s="91" t="str">
        <f aca="false">IF($B54="","",INDEX('CARNET DE SOUDURE'!$B$7:$B$1506,MATCH(43,'CARNET DE SOUDURE'!$AP$7:$AP$1506,0)))</f>
        <v/>
      </c>
      <c r="D54" s="91" t="str">
        <f aca="false">IF($B54="","",INDEX('CARNET DE SOUDURE'!$E$7:$E$1506,MATCH(43,'CARNET DE SOUDURE'!$AP$7:$AP$1506,0)))</f>
        <v/>
      </c>
      <c r="E54" s="91" t="str">
        <f aca="false">IF($B54="","",INDEX('CARNET DE SOUDURE'!$M$7:$M$1506,MATCH(43,'CARNET DE SOUDURE'!$AP$7:$AP$1506,0))&amp;" / "&amp;INDEX('CARNET DE SOUDURE'!$N$7:$N$1506,MATCH(43,'CARNET DE SOUDURE'!$AP$7:$AP$1506,0))&amp;" / "&amp;INDEX('CARNET DE SOUDURE'!$O$7:$O$1506,MATCH(43,'CARNET DE SOUDURE'!$AP$7:$AP$1506,0)))</f>
        <v/>
      </c>
      <c r="F54" s="91" t="str">
        <f aca="false">IF($B54="","",INDEX('CARNET DE SOUDURE'!$AJ$7:$AJ$1506,MATCH(43,'CARNET DE SOUDURE'!$AP$7:$AP$1506,0)))</f>
        <v/>
      </c>
      <c r="G54" s="108" t="str">
        <f aca="false">IF($B54="","",IF(INDEX('CARNET DE SOUDURE'!$AF$7:$AF$1506,MATCH(43,'CARNET DE SOUDURE'!$AP$7:$AP$1506,0))&lt;&gt;"",INDEX('CARNET DE SOUDURE'!$AD$7:$AD$1506,MATCH(43,'CARNET DE SOUDURE'!$AP$7:$AP$1506,0)),IF(INDEX('CARNET DE SOUDURE'!$AA$7:$AA$1506,MATCH(43,'CARNET DE SOUDURE'!$AP$7:$AP$1506,0))&lt;&gt;"",INDEX('CARNET DE SOUDURE'!$Y$7:$Y$1506,MATCH(43,'CARNET DE SOUDURE'!$AP$7:$AP$1506,0)),INDEX('CARNET DE SOUDURE'!$T$7:$T$1506,MATCH(43,'CARNET DE SOUDURE'!$AP$7:$AP$1506,0)))))</f>
        <v/>
      </c>
      <c r="H54" s="91" t="str">
        <f aca="false">IF($B54="","",IF(INDEX('CARNET DE SOUDURE'!$AF$7:$AF$1506,MATCH(43,'CARNET DE SOUDURE'!$AP$7:$AP$1506,0))&lt;&gt;"",INDEX('CARNET DE SOUDURE'!$AE$7:$AE$1506,MATCH(43,'CARNET DE SOUDURE'!$AP$7:$AP$1506,0)),IF(INDEX('CARNET DE SOUDURE'!$AA$7:$AA$1506,MATCH(43,'CARNET DE SOUDURE'!$AP$7:$AP$1506,0))&lt;&gt;"",INDEX('CARNET DE SOUDURE'!$Z$7:$Z$1506,MATCH(43,'CARNET DE SOUDURE'!$AP$7:$AP$1506,0)),INDEX('CARNET DE SOUDURE'!$U$7:$U$1506,MATCH(43,'CARNET DE SOUDURE'!$AP$7:$AP$1506,0))))&amp;"")</f>
        <v/>
      </c>
      <c r="I54" s="91" t="str">
        <f aca="false">IF($B54="","",INDEX('CARNET DE SOUDURE'!$AK$7:$AK$1506,MATCH(43,'CARNET DE SOUDURE'!$AP$7:$AP$1506,0)))</f>
        <v/>
      </c>
      <c r="J54" s="109" t="str">
        <f aca="false">IF($B54="","",INDEX('CARNET DE SOUDURE'!$AL$7:$AL$1506,MATCH(43,'CARNET DE SOUDURE'!$AP$7:$AP$1506,0)))</f>
        <v/>
      </c>
      <c r="K54" s="87"/>
      <c r="L54" s="87"/>
    </row>
    <row r="55" customFormat="false" ht="15" hidden="false" customHeight="false" outlineLevel="0" collapsed="false">
      <c r="B55" s="110" t="str">
        <f aca="false">IF(44&gt;$I$4,"",44)</f>
        <v/>
      </c>
      <c r="C55" s="110" t="str">
        <f aca="false">IF($B55="","",INDEX('CARNET DE SOUDURE'!$B$7:$B$1506,MATCH(44,'CARNET DE SOUDURE'!$AP$7:$AP$1506,0)))</f>
        <v/>
      </c>
      <c r="D55" s="110" t="str">
        <f aca="false">IF($B55="","",INDEX('CARNET DE SOUDURE'!$E$7:$E$1506,MATCH(44,'CARNET DE SOUDURE'!$AP$7:$AP$1506,0)))</f>
        <v/>
      </c>
      <c r="E55" s="110" t="str">
        <f aca="false">IF($B55="","",INDEX('CARNET DE SOUDURE'!$M$7:$M$1506,MATCH(44,'CARNET DE SOUDURE'!$AP$7:$AP$1506,0))&amp;" / "&amp;INDEX('CARNET DE SOUDURE'!$N$7:$N$1506,MATCH(44,'CARNET DE SOUDURE'!$AP$7:$AP$1506,0))&amp;" / "&amp;INDEX('CARNET DE SOUDURE'!$O$7:$O$1506,MATCH(44,'CARNET DE SOUDURE'!$AP$7:$AP$1506,0)))</f>
        <v/>
      </c>
      <c r="F55" s="112" t="str">
        <f aca="false">IF($B55="","",INDEX('CARNET DE SOUDURE'!$AJ$7:$AJ$1506,MATCH(44,'CARNET DE SOUDURE'!$AP$7:$AP$1506,0)))</f>
        <v/>
      </c>
      <c r="G55" s="111" t="str">
        <f aca="false">IF($B55="","",IF(INDEX('CARNET DE SOUDURE'!$AF$7:$AF$1506,MATCH(44,'CARNET DE SOUDURE'!$AP$7:$AP$1506,0))&lt;&gt;"",INDEX('CARNET DE SOUDURE'!$AD$7:$AD$1506,MATCH(44,'CARNET DE SOUDURE'!$AP$7:$AP$1506,0)),IF(INDEX('CARNET DE SOUDURE'!$AA$7:$AA$1506,MATCH(44,'CARNET DE SOUDURE'!$AP$7:$AP$1506,0))&lt;&gt;"",INDEX('CARNET DE SOUDURE'!$Y$7:$Y$1506,MATCH(44,'CARNET DE SOUDURE'!$AP$7:$AP$1506,0)),INDEX('CARNET DE SOUDURE'!$T$7:$T$1506,MATCH(44,'CARNET DE SOUDURE'!$AP$7:$AP$1506,0)))))</f>
        <v/>
      </c>
      <c r="H55" s="110" t="str">
        <f aca="false">IF($B55="","",IF(INDEX('CARNET DE SOUDURE'!$AF$7:$AF$1506,MATCH(44,'CARNET DE SOUDURE'!$AP$7:$AP$1506,0))&lt;&gt;"",INDEX('CARNET DE SOUDURE'!$AE$7:$AE$1506,MATCH(44,'CARNET DE SOUDURE'!$AP$7:$AP$1506,0)),IF(INDEX('CARNET DE SOUDURE'!$AA$7:$AA$1506,MATCH(44,'CARNET DE SOUDURE'!$AP$7:$AP$1506,0))&lt;&gt;"",INDEX('CARNET DE SOUDURE'!$Z$7:$Z$1506,MATCH(44,'CARNET DE SOUDURE'!$AP$7:$AP$1506,0)),INDEX('CARNET DE SOUDURE'!$U$7:$U$1506,MATCH(44,'CARNET DE SOUDURE'!$AP$7:$AP$1506,0))))&amp;"")</f>
        <v/>
      </c>
      <c r="I55" s="112" t="str">
        <f aca="false">IF($B55="","",INDEX('CARNET DE SOUDURE'!$AK$7:$AK$1506,MATCH(44,'CARNET DE SOUDURE'!$AP$7:$AP$1506,0)))</f>
        <v/>
      </c>
      <c r="J55" s="113" t="str">
        <f aca="false">IF($B55="","",INDEX('CARNET DE SOUDURE'!$AL$7:$AL$1506,MATCH(44,'CARNET DE SOUDURE'!$AP$7:$AP$1506,0)))</f>
        <v/>
      </c>
      <c r="K55" s="87"/>
      <c r="L55" s="87"/>
    </row>
    <row r="56" customFormat="false" ht="15" hidden="false" customHeight="false" outlineLevel="0" collapsed="false">
      <c r="B56" s="91" t="str">
        <f aca="false">IF(45&gt;$I$4,"",45)</f>
        <v/>
      </c>
      <c r="C56" s="91" t="str">
        <f aca="false">IF($B56="","",INDEX('CARNET DE SOUDURE'!$B$7:$B$1506,MATCH(45,'CARNET DE SOUDURE'!$AP$7:$AP$1506,0)))</f>
        <v/>
      </c>
      <c r="D56" s="91" t="str">
        <f aca="false">IF($B56="","",INDEX('CARNET DE SOUDURE'!$E$7:$E$1506,MATCH(45,'CARNET DE SOUDURE'!$AP$7:$AP$1506,0)))</f>
        <v/>
      </c>
      <c r="E56" s="91" t="str">
        <f aca="false">IF($B56="","",INDEX('CARNET DE SOUDURE'!$M$7:$M$1506,MATCH(45,'CARNET DE SOUDURE'!$AP$7:$AP$1506,0))&amp;" / "&amp;INDEX('CARNET DE SOUDURE'!$N$7:$N$1506,MATCH(45,'CARNET DE SOUDURE'!$AP$7:$AP$1506,0))&amp;" / "&amp;INDEX('CARNET DE SOUDURE'!$O$7:$O$1506,MATCH(45,'CARNET DE SOUDURE'!$AP$7:$AP$1506,0)))</f>
        <v/>
      </c>
      <c r="F56" s="91" t="str">
        <f aca="false">IF($B56="","",INDEX('CARNET DE SOUDURE'!$AJ$7:$AJ$1506,MATCH(45,'CARNET DE SOUDURE'!$AP$7:$AP$1506,0)))</f>
        <v/>
      </c>
      <c r="G56" s="108" t="str">
        <f aca="false">IF($B56="","",IF(INDEX('CARNET DE SOUDURE'!$AF$7:$AF$1506,MATCH(45,'CARNET DE SOUDURE'!$AP$7:$AP$1506,0))&lt;&gt;"",INDEX('CARNET DE SOUDURE'!$AD$7:$AD$1506,MATCH(45,'CARNET DE SOUDURE'!$AP$7:$AP$1506,0)),IF(INDEX('CARNET DE SOUDURE'!$AA$7:$AA$1506,MATCH(45,'CARNET DE SOUDURE'!$AP$7:$AP$1506,0))&lt;&gt;"",INDEX('CARNET DE SOUDURE'!$Y$7:$Y$1506,MATCH(45,'CARNET DE SOUDURE'!$AP$7:$AP$1506,0)),INDEX('CARNET DE SOUDURE'!$T$7:$T$1506,MATCH(45,'CARNET DE SOUDURE'!$AP$7:$AP$1506,0)))))</f>
        <v/>
      </c>
      <c r="H56" s="91" t="str">
        <f aca="false">IF($B56="","",IF(INDEX('CARNET DE SOUDURE'!$AF$7:$AF$1506,MATCH(45,'CARNET DE SOUDURE'!$AP$7:$AP$1506,0))&lt;&gt;"",INDEX('CARNET DE SOUDURE'!$AE$7:$AE$1506,MATCH(45,'CARNET DE SOUDURE'!$AP$7:$AP$1506,0)),IF(INDEX('CARNET DE SOUDURE'!$AA$7:$AA$1506,MATCH(45,'CARNET DE SOUDURE'!$AP$7:$AP$1506,0))&lt;&gt;"",INDEX('CARNET DE SOUDURE'!$Z$7:$Z$1506,MATCH(45,'CARNET DE SOUDURE'!$AP$7:$AP$1506,0)),INDEX('CARNET DE SOUDURE'!$U$7:$U$1506,MATCH(45,'CARNET DE SOUDURE'!$AP$7:$AP$1506,0))))&amp;"")</f>
        <v/>
      </c>
      <c r="I56" s="91" t="str">
        <f aca="false">IF($B56="","",INDEX('CARNET DE SOUDURE'!$AK$7:$AK$1506,MATCH(45,'CARNET DE SOUDURE'!$AP$7:$AP$1506,0)))</f>
        <v/>
      </c>
      <c r="J56" s="109" t="str">
        <f aca="false">IF($B56="","",INDEX('CARNET DE SOUDURE'!$AL$7:$AL$1506,MATCH(45,'CARNET DE SOUDURE'!$AP$7:$AP$1506,0)))</f>
        <v/>
      </c>
      <c r="K56" s="87"/>
      <c r="L56" s="87"/>
    </row>
    <row r="57" customFormat="false" ht="15" hidden="false" customHeight="false" outlineLevel="0" collapsed="false">
      <c r="B57" s="110" t="str">
        <f aca="false">IF(46&gt;$I$4,"",46)</f>
        <v/>
      </c>
      <c r="C57" s="110" t="str">
        <f aca="false">IF($B57="","",INDEX('CARNET DE SOUDURE'!$B$7:$B$1506,MATCH(46,'CARNET DE SOUDURE'!$AP$7:$AP$1506,0)))</f>
        <v/>
      </c>
      <c r="D57" s="110" t="str">
        <f aca="false">IF($B57="","",INDEX('CARNET DE SOUDURE'!$E$7:$E$1506,MATCH(46,'CARNET DE SOUDURE'!$AP$7:$AP$1506,0)))</f>
        <v/>
      </c>
      <c r="E57" s="110" t="str">
        <f aca="false">IF($B57="","",INDEX('CARNET DE SOUDURE'!$M$7:$M$1506,MATCH(46,'CARNET DE SOUDURE'!$AP$7:$AP$1506,0))&amp;" / "&amp;INDEX('CARNET DE SOUDURE'!$N$7:$N$1506,MATCH(46,'CARNET DE SOUDURE'!$AP$7:$AP$1506,0))&amp;" / "&amp;INDEX('CARNET DE SOUDURE'!$O$7:$O$1506,MATCH(46,'CARNET DE SOUDURE'!$AP$7:$AP$1506,0)))</f>
        <v/>
      </c>
      <c r="F57" s="112" t="str">
        <f aca="false">IF($B57="","",INDEX('CARNET DE SOUDURE'!$AJ$7:$AJ$1506,MATCH(46,'CARNET DE SOUDURE'!$AP$7:$AP$1506,0)))</f>
        <v/>
      </c>
      <c r="G57" s="111" t="str">
        <f aca="false">IF($B57="","",IF(INDEX('CARNET DE SOUDURE'!$AF$7:$AF$1506,MATCH(46,'CARNET DE SOUDURE'!$AP$7:$AP$1506,0))&lt;&gt;"",INDEX('CARNET DE SOUDURE'!$AD$7:$AD$1506,MATCH(46,'CARNET DE SOUDURE'!$AP$7:$AP$1506,0)),IF(INDEX('CARNET DE SOUDURE'!$AA$7:$AA$1506,MATCH(46,'CARNET DE SOUDURE'!$AP$7:$AP$1506,0))&lt;&gt;"",INDEX('CARNET DE SOUDURE'!$Y$7:$Y$1506,MATCH(46,'CARNET DE SOUDURE'!$AP$7:$AP$1506,0)),INDEX('CARNET DE SOUDURE'!$T$7:$T$1506,MATCH(46,'CARNET DE SOUDURE'!$AP$7:$AP$1506,0)))))</f>
        <v/>
      </c>
      <c r="H57" s="110" t="str">
        <f aca="false">IF($B57="","",IF(INDEX('CARNET DE SOUDURE'!$AF$7:$AF$1506,MATCH(46,'CARNET DE SOUDURE'!$AP$7:$AP$1506,0))&lt;&gt;"",INDEX('CARNET DE SOUDURE'!$AE$7:$AE$1506,MATCH(46,'CARNET DE SOUDURE'!$AP$7:$AP$1506,0)),IF(INDEX('CARNET DE SOUDURE'!$AA$7:$AA$1506,MATCH(46,'CARNET DE SOUDURE'!$AP$7:$AP$1506,0))&lt;&gt;"",INDEX('CARNET DE SOUDURE'!$Z$7:$Z$1506,MATCH(46,'CARNET DE SOUDURE'!$AP$7:$AP$1506,0)),INDEX('CARNET DE SOUDURE'!$U$7:$U$1506,MATCH(46,'CARNET DE SOUDURE'!$AP$7:$AP$1506,0))))&amp;"")</f>
        <v/>
      </c>
      <c r="I57" s="112" t="str">
        <f aca="false">IF($B57="","",INDEX('CARNET DE SOUDURE'!$AK$7:$AK$1506,MATCH(46,'CARNET DE SOUDURE'!$AP$7:$AP$1506,0)))</f>
        <v/>
      </c>
      <c r="J57" s="113" t="str">
        <f aca="false">IF($B57="","",INDEX('CARNET DE SOUDURE'!$AL$7:$AL$1506,MATCH(46,'CARNET DE SOUDURE'!$AP$7:$AP$1506,0)))</f>
        <v/>
      </c>
      <c r="K57" s="87"/>
      <c r="L57" s="87"/>
    </row>
    <row r="58" customFormat="false" ht="15" hidden="false" customHeight="false" outlineLevel="0" collapsed="false">
      <c r="B58" s="91" t="str">
        <f aca="false">IF(47&gt;$I$4,"",47)</f>
        <v/>
      </c>
      <c r="C58" s="91" t="str">
        <f aca="false">IF($B58="","",INDEX('CARNET DE SOUDURE'!$B$7:$B$1506,MATCH(47,'CARNET DE SOUDURE'!$AP$7:$AP$1506,0)))</f>
        <v/>
      </c>
      <c r="D58" s="91" t="str">
        <f aca="false">IF($B58="","",INDEX('CARNET DE SOUDURE'!$E$7:$E$1506,MATCH(47,'CARNET DE SOUDURE'!$AP$7:$AP$1506,0)))</f>
        <v/>
      </c>
      <c r="E58" s="91" t="str">
        <f aca="false">IF($B58="","",INDEX('CARNET DE SOUDURE'!$M$7:$M$1506,MATCH(47,'CARNET DE SOUDURE'!$AP$7:$AP$1506,0))&amp;" / "&amp;INDEX('CARNET DE SOUDURE'!$N$7:$N$1506,MATCH(47,'CARNET DE SOUDURE'!$AP$7:$AP$1506,0))&amp;" / "&amp;INDEX('CARNET DE SOUDURE'!$O$7:$O$1506,MATCH(47,'CARNET DE SOUDURE'!$AP$7:$AP$1506,0)))</f>
        <v/>
      </c>
      <c r="F58" s="91" t="str">
        <f aca="false">IF($B58="","",INDEX('CARNET DE SOUDURE'!$AJ$7:$AJ$1506,MATCH(47,'CARNET DE SOUDURE'!$AP$7:$AP$1506,0)))</f>
        <v/>
      </c>
      <c r="G58" s="108" t="str">
        <f aca="false">IF($B58="","",IF(INDEX('CARNET DE SOUDURE'!$AF$7:$AF$1506,MATCH(47,'CARNET DE SOUDURE'!$AP$7:$AP$1506,0))&lt;&gt;"",INDEX('CARNET DE SOUDURE'!$AD$7:$AD$1506,MATCH(47,'CARNET DE SOUDURE'!$AP$7:$AP$1506,0)),IF(INDEX('CARNET DE SOUDURE'!$AA$7:$AA$1506,MATCH(47,'CARNET DE SOUDURE'!$AP$7:$AP$1506,0))&lt;&gt;"",INDEX('CARNET DE SOUDURE'!$Y$7:$Y$1506,MATCH(47,'CARNET DE SOUDURE'!$AP$7:$AP$1506,0)),INDEX('CARNET DE SOUDURE'!$T$7:$T$1506,MATCH(47,'CARNET DE SOUDURE'!$AP$7:$AP$1506,0)))))</f>
        <v/>
      </c>
      <c r="H58" s="91" t="str">
        <f aca="false">IF($B58="","",IF(INDEX('CARNET DE SOUDURE'!$AF$7:$AF$1506,MATCH(47,'CARNET DE SOUDURE'!$AP$7:$AP$1506,0))&lt;&gt;"",INDEX('CARNET DE SOUDURE'!$AE$7:$AE$1506,MATCH(47,'CARNET DE SOUDURE'!$AP$7:$AP$1506,0)),IF(INDEX('CARNET DE SOUDURE'!$AA$7:$AA$1506,MATCH(47,'CARNET DE SOUDURE'!$AP$7:$AP$1506,0))&lt;&gt;"",INDEX('CARNET DE SOUDURE'!$Z$7:$Z$1506,MATCH(47,'CARNET DE SOUDURE'!$AP$7:$AP$1506,0)),INDEX('CARNET DE SOUDURE'!$U$7:$U$1506,MATCH(47,'CARNET DE SOUDURE'!$AP$7:$AP$1506,0))))&amp;"")</f>
        <v/>
      </c>
      <c r="I58" s="91" t="str">
        <f aca="false">IF($B58="","",INDEX('CARNET DE SOUDURE'!$AK$7:$AK$1506,MATCH(47,'CARNET DE SOUDURE'!$AP$7:$AP$1506,0)))</f>
        <v/>
      </c>
      <c r="J58" s="109" t="str">
        <f aca="false">IF($B58="","",INDEX('CARNET DE SOUDURE'!$AL$7:$AL$1506,MATCH(47,'CARNET DE SOUDURE'!$AP$7:$AP$1506,0)))</f>
        <v/>
      </c>
      <c r="K58" s="87"/>
      <c r="L58" s="87"/>
    </row>
    <row r="59" customFormat="false" ht="15" hidden="false" customHeight="false" outlineLevel="0" collapsed="false">
      <c r="B59" s="110" t="str">
        <f aca="false">IF(48&gt;$I$4,"",48)</f>
        <v/>
      </c>
      <c r="C59" s="110" t="str">
        <f aca="false">IF($B59="","",INDEX('CARNET DE SOUDURE'!$B$7:$B$1506,MATCH(48,'CARNET DE SOUDURE'!$AP$7:$AP$1506,0)))</f>
        <v/>
      </c>
      <c r="D59" s="110" t="str">
        <f aca="false">IF($B59="","",INDEX('CARNET DE SOUDURE'!$E$7:$E$1506,MATCH(48,'CARNET DE SOUDURE'!$AP$7:$AP$1506,0)))</f>
        <v/>
      </c>
      <c r="E59" s="110" t="str">
        <f aca="false">IF($B59="","",INDEX('CARNET DE SOUDURE'!$M$7:$M$1506,MATCH(48,'CARNET DE SOUDURE'!$AP$7:$AP$1506,0))&amp;" / "&amp;INDEX('CARNET DE SOUDURE'!$N$7:$N$1506,MATCH(48,'CARNET DE SOUDURE'!$AP$7:$AP$1506,0))&amp;" / "&amp;INDEX('CARNET DE SOUDURE'!$O$7:$O$1506,MATCH(48,'CARNET DE SOUDURE'!$AP$7:$AP$1506,0)))</f>
        <v/>
      </c>
      <c r="F59" s="112" t="str">
        <f aca="false">IF($B59="","",INDEX('CARNET DE SOUDURE'!$AJ$7:$AJ$1506,MATCH(48,'CARNET DE SOUDURE'!$AP$7:$AP$1506,0)))</f>
        <v/>
      </c>
      <c r="G59" s="111" t="str">
        <f aca="false">IF($B59="","",IF(INDEX('CARNET DE SOUDURE'!$AF$7:$AF$1506,MATCH(48,'CARNET DE SOUDURE'!$AP$7:$AP$1506,0))&lt;&gt;"",INDEX('CARNET DE SOUDURE'!$AD$7:$AD$1506,MATCH(48,'CARNET DE SOUDURE'!$AP$7:$AP$1506,0)),IF(INDEX('CARNET DE SOUDURE'!$AA$7:$AA$1506,MATCH(48,'CARNET DE SOUDURE'!$AP$7:$AP$1506,0))&lt;&gt;"",INDEX('CARNET DE SOUDURE'!$Y$7:$Y$1506,MATCH(48,'CARNET DE SOUDURE'!$AP$7:$AP$1506,0)),INDEX('CARNET DE SOUDURE'!$T$7:$T$1506,MATCH(48,'CARNET DE SOUDURE'!$AP$7:$AP$1506,0)))))</f>
        <v/>
      </c>
      <c r="H59" s="110" t="str">
        <f aca="false">IF($B59="","",IF(INDEX('CARNET DE SOUDURE'!$AF$7:$AF$1506,MATCH(48,'CARNET DE SOUDURE'!$AP$7:$AP$1506,0))&lt;&gt;"",INDEX('CARNET DE SOUDURE'!$AE$7:$AE$1506,MATCH(48,'CARNET DE SOUDURE'!$AP$7:$AP$1506,0)),IF(INDEX('CARNET DE SOUDURE'!$AA$7:$AA$1506,MATCH(48,'CARNET DE SOUDURE'!$AP$7:$AP$1506,0))&lt;&gt;"",INDEX('CARNET DE SOUDURE'!$Z$7:$Z$1506,MATCH(48,'CARNET DE SOUDURE'!$AP$7:$AP$1506,0)),INDEX('CARNET DE SOUDURE'!$U$7:$U$1506,MATCH(48,'CARNET DE SOUDURE'!$AP$7:$AP$1506,0))))&amp;"")</f>
        <v/>
      </c>
      <c r="I59" s="112" t="str">
        <f aca="false">IF($B59="","",INDEX('CARNET DE SOUDURE'!$AK$7:$AK$1506,MATCH(48,'CARNET DE SOUDURE'!$AP$7:$AP$1506,0)))</f>
        <v/>
      </c>
      <c r="J59" s="113" t="str">
        <f aca="false">IF($B59="","",INDEX('CARNET DE SOUDURE'!$AL$7:$AL$1506,MATCH(48,'CARNET DE SOUDURE'!$AP$7:$AP$1506,0)))</f>
        <v/>
      </c>
      <c r="K59" s="87"/>
      <c r="L59" s="87"/>
    </row>
    <row r="60" customFormat="false" ht="15" hidden="false" customHeight="false" outlineLevel="0" collapsed="false">
      <c r="B60" s="91" t="str">
        <f aca="false">IF(49&gt;$I$4,"",49)</f>
        <v/>
      </c>
      <c r="C60" s="91" t="str">
        <f aca="false">IF($B60="","",INDEX('CARNET DE SOUDURE'!$B$7:$B$1506,MATCH(49,'CARNET DE SOUDURE'!$AP$7:$AP$1506,0)))</f>
        <v/>
      </c>
      <c r="D60" s="91" t="str">
        <f aca="false">IF($B60="","",INDEX('CARNET DE SOUDURE'!$E$7:$E$1506,MATCH(49,'CARNET DE SOUDURE'!$AP$7:$AP$1506,0)))</f>
        <v/>
      </c>
      <c r="E60" s="91" t="str">
        <f aca="false">IF($B60="","",INDEX('CARNET DE SOUDURE'!$M$7:$M$1506,MATCH(49,'CARNET DE SOUDURE'!$AP$7:$AP$1506,0))&amp;" / "&amp;INDEX('CARNET DE SOUDURE'!$N$7:$N$1506,MATCH(49,'CARNET DE SOUDURE'!$AP$7:$AP$1506,0))&amp;" / "&amp;INDEX('CARNET DE SOUDURE'!$O$7:$O$1506,MATCH(49,'CARNET DE SOUDURE'!$AP$7:$AP$1506,0)))</f>
        <v/>
      </c>
      <c r="F60" s="91" t="str">
        <f aca="false">IF($B60="","",INDEX('CARNET DE SOUDURE'!$AJ$7:$AJ$1506,MATCH(49,'CARNET DE SOUDURE'!$AP$7:$AP$1506,0)))</f>
        <v/>
      </c>
      <c r="G60" s="108" t="str">
        <f aca="false">IF($B60="","",IF(INDEX('CARNET DE SOUDURE'!$AF$7:$AF$1506,MATCH(49,'CARNET DE SOUDURE'!$AP$7:$AP$1506,0))&lt;&gt;"",INDEX('CARNET DE SOUDURE'!$AD$7:$AD$1506,MATCH(49,'CARNET DE SOUDURE'!$AP$7:$AP$1506,0)),IF(INDEX('CARNET DE SOUDURE'!$AA$7:$AA$1506,MATCH(49,'CARNET DE SOUDURE'!$AP$7:$AP$1506,0))&lt;&gt;"",INDEX('CARNET DE SOUDURE'!$Y$7:$Y$1506,MATCH(49,'CARNET DE SOUDURE'!$AP$7:$AP$1506,0)),INDEX('CARNET DE SOUDURE'!$T$7:$T$1506,MATCH(49,'CARNET DE SOUDURE'!$AP$7:$AP$1506,0)))))</f>
        <v/>
      </c>
      <c r="H60" s="91" t="str">
        <f aca="false">IF($B60="","",IF(INDEX('CARNET DE SOUDURE'!$AF$7:$AF$1506,MATCH(49,'CARNET DE SOUDURE'!$AP$7:$AP$1506,0))&lt;&gt;"",INDEX('CARNET DE SOUDURE'!$AE$7:$AE$1506,MATCH(49,'CARNET DE SOUDURE'!$AP$7:$AP$1506,0)),IF(INDEX('CARNET DE SOUDURE'!$AA$7:$AA$1506,MATCH(49,'CARNET DE SOUDURE'!$AP$7:$AP$1506,0))&lt;&gt;"",INDEX('CARNET DE SOUDURE'!$Z$7:$Z$1506,MATCH(49,'CARNET DE SOUDURE'!$AP$7:$AP$1506,0)),INDEX('CARNET DE SOUDURE'!$U$7:$U$1506,MATCH(49,'CARNET DE SOUDURE'!$AP$7:$AP$1506,0))))&amp;"")</f>
        <v/>
      </c>
      <c r="I60" s="91" t="str">
        <f aca="false">IF($B60="","",INDEX('CARNET DE SOUDURE'!$AK$7:$AK$1506,MATCH(49,'CARNET DE SOUDURE'!$AP$7:$AP$1506,0)))</f>
        <v/>
      </c>
      <c r="J60" s="109" t="str">
        <f aca="false">IF($B60="","",INDEX('CARNET DE SOUDURE'!$AL$7:$AL$1506,MATCH(49,'CARNET DE SOUDURE'!$AP$7:$AP$1506,0)))</f>
        <v/>
      </c>
      <c r="K60" s="87"/>
      <c r="L60" s="87"/>
    </row>
    <row r="61" customFormat="false" ht="15" hidden="false" customHeight="false" outlineLevel="0" collapsed="false">
      <c r="B61" s="110" t="str">
        <f aca="false">IF(50&gt;$I$4,"",50)</f>
        <v/>
      </c>
      <c r="C61" s="110" t="str">
        <f aca="false">IF($B61="","",INDEX('CARNET DE SOUDURE'!$B$7:$B$1506,MATCH(50,'CARNET DE SOUDURE'!$AP$7:$AP$1506,0)))</f>
        <v/>
      </c>
      <c r="D61" s="110" t="str">
        <f aca="false">IF($B61="","",INDEX('CARNET DE SOUDURE'!$E$7:$E$1506,MATCH(50,'CARNET DE SOUDURE'!$AP$7:$AP$1506,0)))</f>
        <v/>
      </c>
      <c r="E61" s="110" t="str">
        <f aca="false">IF($B61="","",INDEX('CARNET DE SOUDURE'!$M$7:$M$1506,MATCH(50,'CARNET DE SOUDURE'!$AP$7:$AP$1506,0))&amp;" / "&amp;INDEX('CARNET DE SOUDURE'!$N$7:$N$1506,MATCH(50,'CARNET DE SOUDURE'!$AP$7:$AP$1506,0))&amp;" / "&amp;INDEX('CARNET DE SOUDURE'!$O$7:$O$1506,MATCH(50,'CARNET DE SOUDURE'!$AP$7:$AP$1506,0)))</f>
        <v/>
      </c>
      <c r="F61" s="112" t="str">
        <f aca="false">IF($B61="","",INDEX('CARNET DE SOUDURE'!$AJ$7:$AJ$1506,MATCH(50,'CARNET DE SOUDURE'!$AP$7:$AP$1506,0)))</f>
        <v/>
      </c>
      <c r="G61" s="111" t="str">
        <f aca="false">IF($B61="","",IF(INDEX('CARNET DE SOUDURE'!$AF$7:$AF$1506,MATCH(50,'CARNET DE SOUDURE'!$AP$7:$AP$1506,0))&lt;&gt;"",INDEX('CARNET DE SOUDURE'!$AD$7:$AD$1506,MATCH(50,'CARNET DE SOUDURE'!$AP$7:$AP$1506,0)),IF(INDEX('CARNET DE SOUDURE'!$AA$7:$AA$1506,MATCH(50,'CARNET DE SOUDURE'!$AP$7:$AP$1506,0))&lt;&gt;"",INDEX('CARNET DE SOUDURE'!$Y$7:$Y$1506,MATCH(50,'CARNET DE SOUDURE'!$AP$7:$AP$1506,0)),INDEX('CARNET DE SOUDURE'!$T$7:$T$1506,MATCH(50,'CARNET DE SOUDURE'!$AP$7:$AP$1506,0)))))</f>
        <v/>
      </c>
      <c r="H61" s="110" t="str">
        <f aca="false">IF($B61="","",IF(INDEX('CARNET DE SOUDURE'!$AF$7:$AF$1506,MATCH(50,'CARNET DE SOUDURE'!$AP$7:$AP$1506,0))&lt;&gt;"",INDEX('CARNET DE SOUDURE'!$AE$7:$AE$1506,MATCH(50,'CARNET DE SOUDURE'!$AP$7:$AP$1506,0)),IF(INDEX('CARNET DE SOUDURE'!$AA$7:$AA$1506,MATCH(50,'CARNET DE SOUDURE'!$AP$7:$AP$1506,0))&lt;&gt;"",INDEX('CARNET DE SOUDURE'!$Z$7:$Z$1506,MATCH(50,'CARNET DE SOUDURE'!$AP$7:$AP$1506,0)),INDEX('CARNET DE SOUDURE'!$U$7:$U$1506,MATCH(50,'CARNET DE SOUDURE'!$AP$7:$AP$1506,0))))&amp;"")</f>
        <v/>
      </c>
      <c r="I61" s="112" t="str">
        <f aca="false">IF($B61="","",INDEX('CARNET DE SOUDURE'!$AK$7:$AK$1506,MATCH(50,'CARNET DE SOUDURE'!$AP$7:$AP$1506,0)))</f>
        <v/>
      </c>
      <c r="J61" s="113" t="str">
        <f aca="false">IF($B61="","",INDEX('CARNET DE SOUDURE'!$AL$7:$AL$1506,MATCH(50,'CARNET DE SOUDURE'!$AP$7:$AP$1506,0)))</f>
        <v/>
      </c>
      <c r="K61" s="87"/>
      <c r="L61" s="87"/>
    </row>
    <row r="62" customFormat="false" ht="15" hidden="false" customHeight="false" outlineLevel="0" collapsed="false">
      <c r="B62" s="91" t="str">
        <f aca="false">IF(51&gt;$I$4,"",51)</f>
        <v/>
      </c>
      <c r="C62" s="91" t="str">
        <f aca="false">IF($B62="","",INDEX('CARNET DE SOUDURE'!$B$7:$B$1506,MATCH(51,'CARNET DE SOUDURE'!$AP$7:$AP$1506,0)))</f>
        <v/>
      </c>
      <c r="D62" s="91" t="str">
        <f aca="false">IF($B62="","",INDEX('CARNET DE SOUDURE'!$E$7:$E$1506,MATCH(51,'CARNET DE SOUDURE'!$AP$7:$AP$1506,0)))</f>
        <v/>
      </c>
      <c r="E62" s="91" t="str">
        <f aca="false">IF($B62="","",INDEX('CARNET DE SOUDURE'!$M$7:$M$1506,MATCH(51,'CARNET DE SOUDURE'!$AP$7:$AP$1506,0))&amp;" / "&amp;INDEX('CARNET DE SOUDURE'!$N$7:$N$1506,MATCH(51,'CARNET DE SOUDURE'!$AP$7:$AP$1506,0))&amp;" / "&amp;INDEX('CARNET DE SOUDURE'!$O$7:$O$1506,MATCH(51,'CARNET DE SOUDURE'!$AP$7:$AP$1506,0)))</f>
        <v/>
      </c>
      <c r="F62" s="91" t="str">
        <f aca="false">IF($B62="","",INDEX('CARNET DE SOUDURE'!$AJ$7:$AJ$1506,MATCH(51,'CARNET DE SOUDURE'!$AP$7:$AP$1506,0)))</f>
        <v/>
      </c>
      <c r="G62" s="108" t="str">
        <f aca="false">IF($B62="","",IF(INDEX('CARNET DE SOUDURE'!$AF$7:$AF$1506,MATCH(51,'CARNET DE SOUDURE'!$AP$7:$AP$1506,0))&lt;&gt;"",INDEX('CARNET DE SOUDURE'!$AD$7:$AD$1506,MATCH(51,'CARNET DE SOUDURE'!$AP$7:$AP$1506,0)),IF(INDEX('CARNET DE SOUDURE'!$AA$7:$AA$1506,MATCH(51,'CARNET DE SOUDURE'!$AP$7:$AP$1506,0))&lt;&gt;"",INDEX('CARNET DE SOUDURE'!$Y$7:$Y$1506,MATCH(51,'CARNET DE SOUDURE'!$AP$7:$AP$1506,0)),INDEX('CARNET DE SOUDURE'!$T$7:$T$1506,MATCH(51,'CARNET DE SOUDURE'!$AP$7:$AP$1506,0)))))</f>
        <v/>
      </c>
      <c r="H62" s="91" t="str">
        <f aca="false">IF($B62="","",IF(INDEX('CARNET DE SOUDURE'!$AF$7:$AF$1506,MATCH(51,'CARNET DE SOUDURE'!$AP$7:$AP$1506,0))&lt;&gt;"",INDEX('CARNET DE SOUDURE'!$AE$7:$AE$1506,MATCH(51,'CARNET DE SOUDURE'!$AP$7:$AP$1506,0)),IF(INDEX('CARNET DE SOUDURE'!$AA$7:$AA$1506,MATCH(51,'CARNET DE SOUDURE'!$AP$7:$AP$1506,0))&lt;&gt;"",INDEX('CARNET DE SOUDURE'!$Z$7:$Z$1506,MATCH(51,'CARNET DE SOUDURE'!$AP$7:$AP$1506,0)),INDEX('CARNET DE SOUDURE'!$U$7:$U$1506,MATCH(51,'CARNET DE SOUDURE'!$AP$7:$AP$1506,0))))&amp;"")</f>
        <v/>
      </c>
      <c r="I62" s="91" t="str">
        <f aca="false">IF($B62="","",INDEX('CARNET DE SOUDURE'!$AK$7:$AK$1506,MATCH(51,'CARNET DE SOUDURE'!$AP$7:$AP$1506,0)))</f>
        <v/>
      </c>
      <c r="J62" s="109" t="str">
        <f aca="false">IF($B62="","",INDEX('CARNET DE SOUDURE'!$AL$7:$AL$1506,MATCH(51,'CARNET DE SOUDURE'!$AP$7:$AP$1506,0)))</f>
        <v/>
      </c>
      <c r="K62" s="87"/>
      <c r="L62" s="87"/>
    </row>
    <row r="63" customFormat="false" ht="15" hidden="false" customHeight="false" outlineLevel="0" collapsed="false">
      <c r="B63" s="110" t="str">
        <f aca="false">IF(52&gt;$I$4,"",52)</f>
        <v/>
      </c>
      <c r="C63" s="110" t="str">
        <f aca="false">IF($B63="","",INDEX('CARNET DE SOUDURE'!$B$7:$B$1506,MATCH(52,'CARNET DE SOUDURE'!$AP$7:$AP$1506,0)))</f>
        <v/>
      </c>
      <c r="D63" s="110" t="str">
        <f aca="false">IF($B63="","",INDEX('CARNET DE SOUDURE'!$E$7:$E$1506,MATCH(52,'CARNET DE SOUDURE'!$AP$7:$AP$1506,0)))</f>
        <v/>
      </c>
      <c r="E63" s="110" t="str">
        <f aca="false">IF($B63="","",INDEX('CARNET DE SOUDURE'!$M$7:$M$1506,MATCH(52,'CARNET DE SOUDURE'!$AP$7:$AP$1506,0))&amp;" / "&amp;INDEX('CARNET DE SOUDURE'!$N$7:$N$1506,MATCH(52,'CARNET DE SOUDURE'!$AP$7:$AP$1506,0))&amp;" / "&amp;INDEX('CARNET DE SOUDURE'!$O$7:$O$1506,MATCH(52,'CARNET DE SOUDURE'!$AP$7:$AP$1506,0)))</f>
        <v/>
      </c>
      <c r="F63" s="112" t="str">
        <f aca="false">IF($B63="","",INDEX('CARNET DE SOUDURE'!$AJ$7:$AJ$1506,MATCH(52,'CARNET DE SOUDURE'!$AP$7:$AP$1506,0)))</f>
        <v/>
      </c>
      <c r="G63" s="111" t="str">
        <f aca="false">IF($B63="","",IF(INDEX('CARNET DE SOUDURE'!$AF$7:$AF$1506,MATCH(52,'CARNET DE SOUDURE'!$AP$7:$AP$1506,0))&lt;&gt;"",INDEX('CARNET DE SOUDURE'!$AD$7:$AD$1506,MATCH(52,'CARNET DE SOUDURE'!$AP$7:$AP$1506,0)),IF(INDEX('CARNET DE SOUDURE'!$AA$7:$AA$1506,MATCH(52,'CARNET DE SOUDURE'!$AP$7:$AP$1506,0))&lt;&gt;"",INDEX('CARNET DE SOUDURE'!$Y$7:$Y$1506,MATCH(52,'CARNET DE SOUDURE'!$AP$7:$AP$1506,0)),INDEX('CARNET DE SOUDURE'!$T$7:$T$1506,MATCH(52,'CARNET DE SOUDURE'!$AP$7:$AP$1506,0)))))</f>
        <v/>
      </c>
      <c r="H63" s="110" t="str">
        <f aca="false">IF($B63="","",IF(INDEX('CARNET DE SOUDURE'!$AF$7:$AF$1506,MATCH(52,'CARNET DE SOUDURE'!$AP$7:$AP$1506,0))&lt;&gt;"",INDEX('CARNET DE SOUDURE'!$AE$7:$AE$1506,MATCH(52,'CARNET DE SOUDURE'!$AP$7:$AP$1506,0)),IF(INDEX('CARNET DE SOUDURE'!$AA$7:$AA$1506,MATCH(52,'CARNET DE SOUDURE'!$AP$7:$AP$1506,0))&lt;&gt;"",INDEX('CARNET DE SOUDURE'!$Z$7:$Z$1506,MATCH(52,'CARNET DE SOUDURE'!$AP$7:$AP$1506,0)),INDEX('CARNET DE SOUDURE'!$U$7:$U$1506,MATCH(52,'CARNET DE SOUDURE'!$AP$7:$AP$1506,0))))&amp;"")</f>
        <v/>
      </c>
      <c r="I63" s="112" t="str">
        <f aca="false">IF($B63="","",INDEX('CARNET DE SOUDURE'!$AK$7:$AK$1506,MATCH(52,'CARNET DE SOUDURE'!$AP$7:$AP$1506,0)))</f>
        <v/>
      </c>
      <c r="J63" s="113" t="str">
        <f aca="false">IF($B63="","",INDEX('CARNET DE SOUDURE'!$AL$7:$AL$1506,MATCH(52,'CARNET DE SOUDURE'!$AP$7:$AP$1506,0)))</f>
        <v/>
      </c>
      <c r="K63" s="87"/>
      <c r="L63" s="87"/>
    </row>
    <row r="64" customFormat="false" ht="15" hidden="false" customHeight="false" outlineLevel="0" collapsed="false">
      <c r="B64" s="91" t="str">
        <f aca="false">IF(53&gt;$I$4,"",53)</f>
        <v/>
      </c>
      <c r="C64" s="91" t="str">
        <f aca="false">IF($B64="","",INDEX('CARNET DE SOUDURE'!$B$7:$B$1506,MATCH(53,'CARNET DE SOUDURE'!$AP$7:$AP$1506,0)))</f>
        <v/>
      </c>
      <c r="D64" s="91" t="str">
        <f aca="false">IF($B64="","",INDEX('CARNET DE SOUDURE'!$E$7:$E$1506,MATCH(53,'CARNET DE SOUDURE'!$AP$7:$AP$1506,0)))</f>
        <v/>
      </c>
      <c r="E64" s="91" t="str">
        <f aca="false">IF($B64="","",INDEX('CARNET DE SOUDURE'!$M$7:$M$1506,MATCH(53,'CARNET DE SOUDURE'!$AP$7:$AP$1506,0))&amp;" / "&amp;INDEX('CARNET DE SOUDURE'!$N$7:$N$1506,MATCH(53,'CARNET DE SOUDURE'!$AP$7:$AP$1506,0))&amp;" / "&amp;INDEX('CARNET DE SOUDURE'!$O$7:$O$1506,MATCH(53,'CARNET DE SOUDURE'!$AP$7:$AP$1506,0)))</f>
        <v/>
      </c>
      <c r="F64" s="91" t="str">
        <f aca="false">IF($B64="","",INDEX('CARNET DE SOUDURE'!$AJ$7:$AJ$1506,MATCH(53,'CARNET DE SOUDURE'!$AP$7:$AP$1506,0)))</f>
        <v/>
      </c>
      <c r="G64" s="108" t="str">
        <f aca="false">IF($B64="","",IF(INDEX('CARNET DE SOUDURE'!$AF$7:$AF$1506,MATCH(53,'CARNET DE SOUDURE'!$AP$7:$AP$1506,0))&lt;&gt;"",INDEX('CARNET DE SOUDURE'!$AD$7:$AD$1506,MATCH(53,'CARNET DE SOUDURE'!$AP$7:$AP$1506,0)),IF(INDEX('CARNET DE SOUDURE'!$AA$7:$AA$1506,MATCH(53,'CARNET DE SOUDURE'!$AP$7:$AP$1506,0))&lt;&gt;"",INDEX('CARNET DE SOUDURE'!$Y$7:$Y$1506,MATCH(53,'CARNET DE SOUDURE'!$AP$7:$AP$1506,0)),INDEX('CARNET DE SOUDURE'!$T$7:$T$1506,MATCH(53,'CARNET DE SOUDURE'!$AP$7:$AP$1506,0)))))</f>
        <v/>
      </c>
      <c r="H64" s="91" t="str">
        <f aca="false">IF($B64="","",IF(INDEX('CARNET DE SOUDURE'!$AF$7:$AF$1506,MATCH(53,'CARNET DE SOUDURE'!$AP$7:$AP$1506,0))&lt;&gt;"",INDEX('CARNET DE SOUDURE'!$AE$7:$AE$1506,MATCH(53,'CARNET DE SOUDURE'!$AP$7:$AP$1506,0)),IF(INDEX('CARNET DE SOUDURE'!$AA$7:$AA$1506,MATCH(53,'CARNET DE SOUDURE'!$AP$7:$AP$1506,0))&lt;&gt;"",INDEX('CARNET DE SOUDURE'!$Z$7:$Z$1506,MATCH(53,'CARNET DE SOUDURE'!$AP$7:$AP$1506,0)),INDEX('CARNET DE SOUDURE'!$U$7:$U$1506,MATCH(53,'CARNET DE SOUDURE'!$AP$7:$AP$1506,0))))&amp;"")</f>
        <v/>
      </c>
      <c r="I64" s="91" t="str">
        <f aca="false">IF($B64="","",INDEX('CARNET DE SOUDURE'!$AK$7:$AK$1506,MATCH(53,'CARNET DE SOUDURE'!$AP$7:$AP$1506,0)))</f>
        <v/>
      </c>
      <c r="J64" s="109" t="str">
        <f aca="false">IF($B64="","",INDEX('CARNET DE SOUDURE'!$AL$7:$AL$1506,MATCH(53,'CARNET DE SOUDURE'!$AP$7:$AP$1506,0)))</f>
        <v/>
      </c>
      <c r="K64" s="87"/>
      <c r="L64" s="87"/>
    </row>
    <row r="65" customFormat="false" ht="15" hidden="false" customHeight="false" outlineLevel="0" collapsed="false">
      <c r="B65" s="110" t="str">
        <f aca="false">IF(54&gt;$I$4,"",54)</f>
        <v/>
      </c>
      <c r="C65" s="110" t="str">
        <f aca="false">IF($B65="","",INDEX('CARNET DE SOUDURE'!$B$7:$B$1506,MATCH(54,'CARNET DE SOUDURE'!$AP$7:$AP$1506,0)))</f>
        <v/>
      </c>
      <c r="D65" s="110" t="str">
        <f aca="false">IF($B65="","",INDEX('CARNET DE SOUDURE'!$E$7:$E$1506,MATCH(54,'CARNET DE SOUDURE'!$AP$7:$AP$1506,0)))</f>
        <v/>
      </c>
      <c r="E65" s="110" t="str">
        <f aca="false">IF($B65="","",INDEX('CARNET DE SOUDURE'!$M$7:$M$1506,MATCH(54,'CARNET DE SOUDURE'!$AP$7:$AP$1506,0))&amp;" / "&amp;INDEX('CARNET DE SOUDURE'!$N$7:$N$1506,MATCH(54,'CARNET DE SOUDURE'!$AP$7:$AP$1506,0))&amp;" / "&amp;INDEX('CARNET DE SOUDURE'!$O$7:$O$1506,MATCH(54,'CARNET DE SOUDURE'!$AP$7:$AP$1506,0)))</f>
        <v/>
      </c>
      <c r="F65" s="112" t="str">
        <f aca="false">IF($B65="","",INDEX('CARNET DE SOUDURE'!$AJ$7:$AJ$1506,MATCH(54,'CARNET DE SOUDURE'!$AP$7:$AP$1506,0)))</f>
        <v/>
      </c>
      <c r="G65" s="111" t="str">
        <f aca="false">IF($B65="","",IF(INDEX('CARNET DE SOUDURE'!$AF$7:$AF$1506,MATCH(54,'CARNET DE SOUDURE'!$AP$7:$AP$1506,0))&lt;&gt;"",INDEX('CARNET DE SOUDURE'!$AD$7:$AD$1506,MATCH(54,'CARNET DE SOUDURE'!$AP$7:$AP$1506,0)),IF(INDEX('CARNET DE SOUDURE'!$AA$7:$AA$1506,MATCH(54,'CARNET DE SOUDURE'!$AP$7:$AP$1506,0))&lt;&gt;"",INDEX('CARNET DE SOUDURE'!$Y$7:$Y$1506,MATCH(54,'CARNET DE SOUDURE'!$AP$7:$AP$1506,0)),INDEX('CARNET DE SOUDURE'!$T$7:$T$1506,MATCH(54,'CARNET DE SOUDURE'!$AP$7:$AP$1506,0)))))</f>
        <v/>
      </c>
      <c r="H65" s="110" t="str">
        <f aca="false">IF($B65="","",IF(INDEX('CARNET DE SOUDURE'!$AF$7:$AF$1506,MATCH(54,'CARNET DE SOUDURE'!$AP$7:$AP$1506,0))&lt;&gt;"",INDEX('CARNET DE SOUDURE'!$AE$7:$AE$1506,MATCH(54,'CARNET DE SOUDURE'!$AP$7:$AP$1506,0)),IF(INDEX('CARNET DE SOUDURE'!$AA$7:$AA$1506,MATCH(54,'CARNET DE SOUDURE'!$AP$7:$AP$1506,0))&lt;&gt;"",INDEX('CARNET DE SOUDURE'!$Z$7:$Z$1506,MATCH(54,'CARNET DE SOUDURE'!$AP$7:$AP$1506,0)),INDEX('CARNET DE SOUDURE'!$U$7:$U$1506,MATCH(54,'CARNET DE SOUDURE'!$AP$7:$AP$1506,0))))&amp;"")</f>
        <v/>
      </c>
      <c r="I65" s="112" t="str">
        <f aca="false">IF($B65="","",INDEX('CARNET DE SOUDURE'!$AK$7:$AK$1506,MATCH(54,'CARNET DE SOUDURE'!$AP$7:$AP$1506,0)))</f>
        <v/>
      </c>
      <c r="J65" s="113" t="str">
        <f aca="false">IF($B65="","",INDEX('CARNET DE SOUDURE'!$AL$7:$AL$1506,MATCH(54,'CARNET DE SOUDURE'!$AP$7:$AP$1506,0)))</f>
        <v/>
      </c>
      <c r="K65" s="87"/>
      <c r="L65" s="87"/>
    </row>
    <row r="66" customFormat="false" ht="15" hidden="false" customHeight="false" outlineLevel="0" collapsed="false">
      <c r="B66" s="91" t="str">
        <f aca="false">IF(55&gt;$I$4,"",55)</f>
        <v/>
      </c>
      <c r="C66" s="91" t="str">
        <f aca="false">IF($B66="","",INDEX('CARNET DE SOUDURE'!$B$7:$B$1506,MATCH(55,'CARNET DE SOUDURE'!$AP$7:$AP$1506,0)))</f>
        <v/>
      </c>
      <c r="D66" s="91" t="str">
        <f aca="false">IF($B66="","",INDEX('CARNET DE SOUDURE'!$E$7:$E$1506,MATCH(55,'CARNET DE SOUDURE'!$AP$7:$AP$1506,0)))</f>
        <v/>
      </c>
      <c r="E66" s="91" t="str">
        <f aca="false">IF($B66="","",INDEX('CARNET DE SOUDURE'!$M$7:$M$1506,MATCH(55,'CARNET DE SOUDURE'!$AP$7:$AP$1506,0))&amp;" / "&amp;INDEX('CARNET DE SOUDURE'!$N$7:$N$1506,MATCH(55,'CARNET DE SOUDURE'!$AP$7:$AP$1506,0))&amp;" / "&amp;INDEX('CARNET DE SOUDURE'!$O$7:$O$1506,MATCH(55,'CARNET DE SOUDURE'!$AP$7:$AP$1506,0)))</f>
        <v/>
      </c>
      <c r="F66" s="91" t="str">
        <f aca="false">IF($B66="","",INDEX('CARNET DE SOUDURE'!$AJ$7:$AJ$1506,MATCH(55,'CARNET DE SOUDURE'!$AP$7:$AP$1506,0)))</f>
        <v/>
      </c>
      <c r="G66" s="108" t="str">
        <f aca="false">IF($B66="","",IF(INDEX('CARNET DE SOUDURE'!$AF$7:$AF$1506,MATCH(55,'CARNET DE SOUDURE'!$AP$7:$AP$1506,0))&lt;&gt;"",INDEX('CARNET DE SOUDURE'!$AD$7:$AD$1506,MATCH(55,'CARNET DE SOUDURE'!$AP$7:$AP$1506,0)),IF(INDEX('CARNET DE SOUDURE'!$AA$7:$AA$1506,MATCH(55,'CARNET DE SOUDURE'!$AP$7:$AP$1506,0))&lt;&gt;"",INDEX('CARNET DE SOUDURE'!$Y$7:$Y$1506,MATCH(55,'CARNET DE SOUDURE'!$AP$7:$AP$1506,0)),INDEX('CARNET DE SOUDURE'!$T$7:$T$1506,MATCH(55,'CARNET DE SOUDURE'!$AP$7:$AP$1506,0)))))</f>
        <v/>
      </c>
      <c r="H66" s="91" t="str">
        <f aca="false">IF($B66="","",IF(INDEX('CARNET DE SOUDURE'!$AF$7:$AF$1506,MATCH(55,'CARNET DE SOUDURE'!$AP$7:$AP$1506,0))&lt;&gt;"",INDEX('CARNET DE SOUDURE'!$AE$7:$AE$1506,MATCH(55,'CARNET DE SOUDURE'!$AP$7:$AP$1506,0)),IF(INDEX('CARNET DE SOUDURE'!$AA$7:$AA$1506,MATCH(55,'CARNET DE SOUDURE'!$AP$7:$AP$1506,0))&lt;&gt;"",INDEX('CARNET DE SOUDURE'!$Z$7:$Z$1506,MATCH(55,'CARNET DE SOUDURE'!$AP$7:$AP$1506,0)),INDEX('CARNET DE SOUDURE'!$U$7:$U$1506,MATCH(55,'CARNET DE SOUDURE'!$AP$7:$AP$1506,0))))&amp;"")</f>
        <v/>
      </c>
      <c r="I66" s="91" t="str">
        <f aca="false">IF($B66="","",INDEX('CARNET DE SOUDURE'!$AK$7:$AK$1506,MATCH(55,'CARNET DE SOUDURE'!$AP$7:$AP$1506,0)))</f>
        <v/>
      </c>
      <c r="J66" s="109" t="str">
        <f aca="false">IF($B66="","",INDEX('CARNET DE SOUDURE'!$AL$7:$AL$1506,MATCH(55,'CARNET DE SOUDURE'!$AP$7:$AP$1506,0)))</f>
        <v/>
      </c>
      <c r="K66" s="87"/>
      <c r="L66" s="87"/>
    </row>
    <row r="67" customFormat="false" ht="15" hidden="false" customHeight="false" outlineLevel="0" collapsed="false">
      <c r="B67" s="110" t="str">
        <f aca="false">IF(56&gt;$I$4,"",56)</f>
        <v/>
      </c>
      <c r="C67" s="110" t="str">
        <f aca="false">IF($B67="","",INDEX('CARNET DE SOUDURE'!$B$7:$B$1506,MATCH(56,'CARNET DE SOUDURE'!$AP$7:$AP$1506,0)))</f>
        <v/>
      </c>
      <c r="D67" s="110" t="str">
        <f aca="false">IF($B67="","",INDEX('CARNET DE SOUDURE'!$E$7:$E$1506,MATCH(56,'CARNET DE SOUDURE'!$AP$7:$AP$1506,0)))</f>
        <v/>
      </c>
      <c r="E67" s="110" t="str">
        <f aca="false">IF($B67="","",INDEX('CARNET DE SOUDURE'!$M$7:$M$1506,MATCH(56,'CARNET DE SOUDURE'!$AP$7:$AP$1506,0))&amp;" / "&amp;INDEX('CARNET DE SOUDURE'!$N$7:$N$1506,MATCH(56,'CARNET DE SOUDURE'!$AP$7:$AP$1506,0))&amp;" / "&amp;INDEX('CARNET DE SOUDURE'!$O$7:$O$1506,MATCH(56,'CARNET DE SOUDURE'!$AP$7:$AP$1506,0)))</f>
        <v/>
      </c>
      <c r="F67" s="112" t="str">
        <f aca="false">IF($B67="","",INDEX('CARNET DE SOUDURE'!$AJ$7:$AJ$1506,MATCH(56,'CARNET DE SOUDURE'!$AP$7:$AP$1506,0)))</f>
        <v/>
      </c>
      <c r="G67" s="111" t="str">
        <f aca="false">IF($B67="","",IF(INDEX('CARNET DE SOUDURE'!$AF$7:$AF$1506,MATCH(56,'CARNET DE SOUDURE'!$AP$7:$AP$1506,0))&lt;&gt;"",INDEX('CARNET DE SOUDURE'!$AD$7:$AD$1506,MATCH(56,'CARNET DE SOUDURE'!$AP$7:$AP$1506,0)),IF(INDEX('CARNET DE SOUDURE'!$AA$7:$AA$1506,MATCH(56,'CARNET DE SOUDURE'!$AP$7:$AP$1506,0))&lt;&gt;"",INDEX('CARNET DE SOUDURE'!$Y$7:$Y$1506,MATCH(56,'CARNET DE SOUDURE'!$AP$7:$AP$1506,0)),INDEX('CARNET DE SOUDURE'!$T$7:$T$1506,MATCH(56,'CARNET DE SOUDURE'!$AP$7:$AP$1506,0)))))</f>
        <v/>
      </c>
      <c r="H67" s="110" t="str">
        <f aca="false">IF($B67="","",IF(INDEX('CARNET DE SOUDURE'!$AF$7:$AF$1506,MATCH(56,'CARNET DE SOUDURE'!$AP$7:$AP$1506,0))&lt;&gt;"",INDEX('CARNET DE SOUDURE'!$AE$7:$AE$1506,MATCH(56,'CARNET DE SOUDURE'!$AP$7:$AP$1506,0)),IF(INDEX('CARNET DE SOUDURE'!$AA$7:$AA$1506,MATCH(56,'CARNET DE SOUDURE'!$AP$7:$AP$1506,0))&lt;&gt;"",INDEX('CARNET DE SOUDURE'!$Z$7:$Z$1506,MATCH(56,'CARNET DE SOUDURE'!$AP$7:$AP$1506,0)),INDEX('CARNET DE SOUDURE'!$U$7:$U$1506,MATCH(56,'CARNET DE SOUDURE'!$AP$7:$AP$1506,0))))&amp;"")</f>
        <v/>
      </c>
      <c r="I67" s="112" t="str">
        <f aca="false">IF($B67="","",INDEX('CARNET DE SOUDURE'!$AK$7:$AK$1506,MATCH(56,'CARNET DE SOUDURE'!$AP$7:$AP$1506,0)))</f>
        <v/>
      </c>
      <c r="J67" s="113" t="str">
        <f aca="false">IF($B67="","",INDEX('CARNET DE SOUDURE'!$AL$7:$AL$1506,MATCH(56,'CARNET DE SOUDURE'!$AP$7:$AP$1506,0)))</f>
        <v/>
      </c>
      <c r="K67" s="87"/>
      <c r="L67" s="87"/>
    </row>
    <row r="68" customFormat="false" ht="15" hidden="false" customHeight="false" outlineLevel="0" collapsed="false">
      <c r="B68" s="91" t="str">
        <f aca="false">IF(57&gt;$I$4,"",57)</f>
        <v/>
      </c>
      <c r="C68" s="91" t="str">
        <f aca="false">IF($B68="","",INDEX('CARNET DE SOUDURE'!$B$7:$B$1506,MATCH(57,'CARNET DE SOUDURE'!$AP$7:$AP$1506,0)))</f>
        <v/>
      </c>
      <c r="D68" s="91" t="str">
        <f aca="false">IF($B68="","",INDEX('CARNET DE SOUDURE'!$E$7:$E$1506,MATCH(57,'CARNET DE SOUDURE'!$AP$7:$AP$1506,0)))</f>
        <v/>
      </c>
      <c r="E68" s="91" t="str">
        <f aca="false">IF($B68="","",INDEX('CARNET DE SOUDURE'!$M$7:$M$1506,MATCH(57,'CARNET DE SOUDURE'!$AP$7:$AP$1506,0))&amp;" / "&amp;INDEX('CARNET DE SOUDURE'!$N$7:$N$1506,MATCH(57,'CARNET DE SOUDURE'!$AP$7:$AP$1506,0))&amp;" / "&amp;INDEX('CARNET DE SOUDURE'!$O$7:$O$1506,MATCH(57,'CARNET DE SOUDURE'!$AP$7:$AP$1506,0)))</f>
        <v/>
      </c>
      <c r="F68" s="91" t="str">
        <f aca="false">IF($B68="","",INDEX('CARNET DE SOUDURE'!$AJ$7:$AJ$1506,MATCH(57,'CARNET DE SOUDURE'!$AP$7:$AP$1506,0)))</f>
        <v/>
      </c>
      <c r="G68" s="108" t="str">
        <f aca="false">IF($B68="","",IF(INDEX('CARNET DE SOUDURE'!$AF$7:$AF$1506,MATCH(57,'CARNET DE SOUDURE'!$AP$7:$AP$1506,0))&lt;&gt;"",INDEX('CARNET DE SOUDURE'!$AD$7:$AD$1506,MATCH(57,'CARNET DE SOUDURE'!$AP$7:$AP$1506,0)),IF(INDEX('CARNET DE SOUDURE'!$AA$7:$AA$1506,MATCH(57,'CARNET DE SOUDURE'!$AP$7:$AP$1506,0))&lt;&gt;"",INDEX('CARNET DE SOUDURE'!$Y$7:$Y$1506,MATCH(57,'CARNET DE SOUDURE'!$AP$7:$AP$1506,0)),INDEX('CARNET DE SOUDURE'!$T$7:$T$1506,MATCH(57,'CARNET DE SOUDURE'!$AP$7:$AP$1506,0)))))</f>
        <v/>
      </c>
      <c r="H68" s="91" t="str">
        <f aca="false">IF($B68="","",IF(INDEX('CARNET DE SOUDURE'!$AF$7:$AF$1506,MATCH(57,'CARNET DE SOUDURE'!$AP$7:$AP$1506,0))&lt;&gt;"",INDEX('CARNET DE SOUDURE'!$AE$7:$AE$1506,MATCH(57,'CARNET DE SOUDURE'!$AP$7:$AP$1506,0)),IF(INDEX('CARNET DE SOUDURE'!$AA$7:$AA$1506,MATCH(57,'CARNET DE SOUDURE'!$AP$7:$AP$1506,0))&lt;&gt;"",INDEX('CARNET DE SOUDURE'!$Z$7:$Z$1506,MATCH(57,'CARNET DE SOUDURE'!$AP$7:$AP$1506,0)),INDEX('CARNET DE SOUDURE'!$U$7:$U$1506,MATCH(57,'CARNET DE SOUDURE'!$AP$7:$AP$1506,0))))&amp;"")</f>
        <v/>
      </c>
      <c r="I68" s="91" t="str">
        <f aca="false">IF($B68="","",INDEX('CARNET DE SOUDURE'!$AK$7:$AK$1506,MATCH(57,'CARNET DE SOUDURE'!$AP$7:$AP$1506,0)))</f>
        <v/>
      </c>
      <c r="J68" s="109" t="str">
        <f aca="false">IF($B68="","",INDEX('CARNET DE SOUDURE'!$AL$7:$AL$1506,MATCH(57,'CARNET DE SOUDURE'!$AP$7:$AP$1506,0)))</f>
        <v/>
      </c>
      <c r="K68" s="87"/>
      <c r="L68" s="87"/>
    </row>
    <row r="69" customFormat="false" ht="15" hidden="false" customHeight="false" outlineLevel="0" collapsed="false">
      <c r="B69" s="110" t="str">
        <f aca="false">IF(58&gt;$I$4,"",58)</f>
        <v/>
      </c>
      <c r="C69" s="110" t="str">
        <f aca="false">IF($B69="","",INDEX('CARNET DE SOUDURE'!$B$7:$B$1506,MATCH(58,'CARNET DE SOUDURE'!$AP$7:$AP$1506,0)))</f>
        <v/>
      </c>
      <c r="D69" s="110" t="str">
        <f aca="false">IF($B69="","",INDEX('CARNET DE SOUDURE'!$E$7:$E$1506,MATCH(58,'CARNET DE SOUDURE'!$AP$7:$AP$1506,0)))</f>
        <v/>
      </c>
      <c r="E69" s="110" t="str">
        <f aca="false">IF($B69="","",INDEX('CARNET DE SOUDURE'!$M$7:$M$1506,MATCH(58,'CARNET DE SOUDURE'!$AP$7:$AP$1506,0))&amp;" / "&amp;INDEX('CARNET DE SOUDURE'!$N$7:$N$1506,MATCH(58,'CARNET DE SOUDURE'!$AP$7:$AP$1506,0))&amp;" / "&amp;INDEX('CARNET DE SOUDURE'!$O$7:$O$1506,MATCH(58,'CARNET DE SOUDURE'!$AP$7:$AP$1506,0)))</f>
        <v/>
      </c>
      <c r="F69" s="112" t="str">
        <f aca="false">IF($B69="","",INDEX('CARNET DE SOUDURE'!$AJ$7:$AJ$1506,MATCH(58,'CARNET DE SOUDURE'!$AP$7:$AP$1506,0)))</f>
        <v/>
      </c>
      <c r="G69" s="111" t="str">
        <f aca="false">IF($B69="","",IF(INDEX('CARNET DE SOUDURE'!$AF$7:$AF$1506,MATCH(58,'CARNET DE SOUDURE'!$AP$7:$AP$1506,0))&lt;&gt;"",INDEX('CARNET DE SOUDURE'!$AD$7:$AD$1506,MATCH(58,'CARNET DE SOUDURE'!$AP$7:$AP$1506,0)),IF(INDEX('CARNET DE SOUDURE'!$AA$7:$AA$1506,MATCH(58,'CARNET DE SOUDURE'!$AP$7:$AP$1506,0))&lt;&gt;"",INDEX('CARNET DE SOUDURE'!$Y$7:$Y$1506,MATCH(58,'CARNET DE SOUDURE'!$AP$7:$AP$1506,0)),INDEX('CARNET DE SOUDURE'!$T$7:$T$1506,MATCH(58,'CARNET DE SOUDURE'!$AP$7:$AP$1506,0)))))</f>
        <v/>
      </c>
      <c r="H69" s="110" t="str">
        <f aca="false">IF($B69="","",IF(INDEX('CARNET DE SOUDURE'!$AF$7:$AF$1506,MATCH(58,'CARNET DE SOUDURE'!$AP$7:$AP$1506,0))&lt;&gt;"",INDEX('CARNET DE SOUDURE'!$AE$7:$AE$1506,MATCH(58,'CARNET DE SOUDURE'!$AP$7:$AP$1506,0)),IF(INDEX('CARNET DE SOUDURE'!$AA$7:$AA$1506,MATCH(58,'CARNET DE SOUDURE'!$AP$7:$AP$1506,0))&lt;&gt;"",INDEX('CARNET DE SOUDURE'!$Z$7:$Z$1506,MATCH(58,'CARNET DE SOUDURE'!$AP$7:$AP$1506,0)),INDEX('CARNET DE SOUDURE'!$U$7:$U$1506,MATCH(58,'CARNET DE SOUDURE'!$AP$7:$AP$1506,0))))&amp;"")</f>
        <v/>
      </c>
      <c r="I69" s="112" t="str">
        <f aca="false">IF($B69="","",INDEX('CARNET DE SOUDURE'!$AK$7:$AK$1506,MATCH(58,'CARNET DE SOUDURE'!$AP$7:$AP$1506,0)))</f>
        <v/>
      </c>
      <c r="J69" s="113" t="str">
        <f aca="false">IF($B69="","",INDEX('CARNET DE SOUDURE'!$AL$7:$AL$1506,MATCH(58,'CARNET DE SOUDURE'!$AP$7:$AP$1506,0)))</f>
        <v/>
      </c>
      <c r="K69" s="87"/>
      <c r="L69" s="87"/>
    </row>
    <row r="70" customFormat="false" ht="15" hidden="false" customHeight="false" outlineLevel="0" collapsed="false">
      <c r="B70" s="91" t="str">
        <f aca="false">IF(59&gt;$I$4,"",59)</f>
        <v/>
      </c>
      <c r="C70" s="91" t="str">
        <f aca="false">IF($B70="","",INDEX('CARNET DE SOUDURE'!$B$7:$B$1506,MATCH(59,'CARNET DE SOUDURE'!$AP$7:$AP$1506,0)))</f>
        <v/>
      </c>
      <c r="D70" s="91" t="str">
        <f aca="false">IF($B70="","",INDEX('CARNET DE SOUDURE'!$E$7:$E$1506,MATCH(59,'CARNET DE SOUDURE'!$AP$7:$AP$1506,0)))</f>
        <v/>
      </c>
      <c r="E70" s="91" t="str">
        <f aca="false">IF($B70="","",INDEX('CARNET DE SOUDURE'!$M$7:$M$1506,MATCH(59,'CARNET DE SOUDURE'!$AP$7:$AP$1506,0))&amp;" / "&amp;INDEX('CARNET DE SOUDURE'!$N$7:$N$1506,MATCH(59,'CARNET DE SOUDURE'!$AP$7:$AP$1506,0))&amp;" / "&amp;INDEX('CARNET DE SOUDURE'!$O$7:$O$1506,MATCH(59,'CARNET DE SOUDURE'!$AP$7:$AP$1506,0)))</f>
        <v/>
      </c>
      <c r="F70" s="91" t="str">
        <f aca="false">IF($B70="","",INDEX('CARNET DE SOUDURE'!$AJ$7:$AJ$1506,MATCH(59,'CARNET DE SOUDURE'!$AP$7:$AP$1506,0)))</f>
        <v/>
      </c>
      <c r="G70" s="108" t="str">
        <f aca="false">IF($B70="","",IF(INDEX('CARNET DE SOUDURE'!$AF$7:$AF$1506,MATCH(59,'CARNET DE SOUDURE'!$AP$7:$AP$1506,0))&lt;&gt;"",INDEX('CARNET DE SOUDURE'!$AD$7:$AD$1506,MATCH(59,'CARNET DE SOUDURE'!$AP$7:$AP$1506,0)),IF(INDEX('CARNET DE SOUDURE'!$AA$7:$AA$1506,MATCH(59,'CARNET DE SOUDURE'!$AP$7:$AP$1506,0))&lt;&gt;"",INDEX('CARNET DE SOUDURE'!$Y$7:$Y$1506,MATCH(59,'CARNET DE SOUDURE'!$AP$7:$AP$1506,0)),INDEX('CARNET DE SOUDURE'!$T$7:$T$1506,MATCH(59,'CARNET DE SOUDURE'!$AP$7:$AP$1506,0)))))</f>
        <v/>
      </c>
      <c r="H70" s="91" t="str">
        <f aca="false">IF($B70="","",IF(INDEX('CARNET DE SOUDURE'!$AF$7:$AF$1506,MATCH(59,'CARNET DE SOUDURE'!$AP$7:$AP$1506,0))&lt;&gt;"",INDEX('CARNET DE SOUDURE'!$AE$7:$AE$1506,MATCH(59,'CARNET DE SOUDURE'!$AP$7:$AP$1506,0)),IF(INDEX('CARNET DE SOUDURE'!$AA$7:$AA$1506,MATCH(59,'CARNET DE SOUDURE'!$AP$7:$AP$1506,0))&lt;&gt;"",INDEX('CARNET DE SOUDURE'!$Z$7:$Z$1506,MATCH(59,'CARNET DE SOUDURE'!$AP$7:$AP$1506,0)),INDEX('CARNET DE SOUDURE'!$U$7:$U$1506,MATCH(59,'CARNET DE SOUDURE'!$AP$7:$AP$1506,0))))&amp;"")</f>
        <v/>
      </c>
      <c r="I70" s="91" t="str">
        <f aca="false">IF($B70="","",INDEX('CARNET DE SOUDURE'!$AK$7:$AK$1506,MATCH(59,'CARNET DE SOUDURE'!$AP$7:$AP$1506,0)))</f>
        <v/>
      </c>
      <c r="J70" s="109" t="str">
        <f aca="false">IF($B70="","",INDEX('CARNET DE SOUDURE'!$AL$7:$AL$1506,MATCH(59,'CARNET DE SOUDURE'!$AP$7:$AP$1506,0)))</f>
        <v/>
      </c>
      <c r="K70" s="87"/>
      <c r="L70" s="87"/>
    </row>
    <row r="71" customFormat="false" ht="15" hidden="false" customHeight="false" outlineLevel="0" collapsed="false">
      <c r="B71" s="110" t="str">
        <f aca="false">IF(60&gt;$I$4,"",60)</f>
        <v/>
      </c>
      <c r="C71" s="110" t="str">
        <f aca="false">IF($B71="","",INDEX('CARNET DE SOUDURE'!$B$7:$B$1506,MATCH(60,'CARNET DE SOUDURE'!$AP$7:$AP$1506,0)))</f>
        <v/>
      </c>
      <c r="D71" s="110" t="str">
        <f aca="false">IF($B71="","",INDEX('CARNET DE SOUDURE'!$E$7:$E$1506,MATCH(60,'CARNET DE SOUDURE'!$AP$7:$AP$1506,0)))</f>
        <v/>
      </c>
      <c r="E71" s="110" t="str">
        <f aca="false">IF($B71="","",INDEX('CARNET DE SOUDURE'!$M$7:$M$1506,MATCH(60,'CARNET DE SOUDURE'!$AP$7:$AP$1506,0))&amp;" / "&amp;INDEX('CARNET DE SOUDURE'!$N$7:$N$1506,MATCH(60,'CARNET DE SOUDURE'!$AP$7:$AP$1506,0))&amp;" / "&amp;INDEX('CARNET DE SOUDURE'!$O$7:$O$1506,MATCH(60,'CARNET DE SOUDURE'!$AP$7:$AP$1506,0)))</f>
        <v/>
      </c>
      <c r="F71" s="112" t="str">
        <f aca="false">IF($B71="","",INDEX('CARNET DE SOUDURE'!$AJ$7:$AJ$1506,MATCH(60,'CARNET DE SOUDURE'!$AP$7:$AP$1506,0)))</f>
        <v/>
      </c>
      <c r="G71" s="111" t="str">
        <f aca="false">IF($B71="","",IF(INDEX('CARNET DE SOUDURE'!$AF$7:$AF$1506,MATCH(60,'CARNET DE SOUDURE'!$AP$7:$AP$1506,0))&lt;&gt;"",INDEX('CARNET DE SOUDURE'!$AD$7:$AD$1506,MATCH(60,'CARNET DE SOUDURE'!$AP$7:$AP$1506,0)),IF(INDEX('CARNET DE SOUDURE'!$AA$7:$AA$1506,MATCH(60,'CARNET DE SOUDURE'!$AP$7:$AP$1506,0))&lt;&gt;"",INDEX('CARNET DE SOUDURE'!$Y$7:$Y$1506,MATCH(60,'CARNET DE SOUDURE'!$AP$7:$AP$1506,0)),INDEX('CARNET DE SOUDURE'!$T$7:$T$1506,MATCH(60,'CARNET DE SOUDURE'!$AP$7:$AP$1506,0)))))</f>
        <v/>
      </c>
      <c r="H71" s="110" t="str">
        <f aca="false">IF($B71="","",IF(INDEX('CARNET DE SOUDURE'!$AF$7:$AF$1506,MATCH(60,'CARNET DE SOUDURE'!$AP$7:$AP$1506,0))&lt;&gt;"",INDEX('CARNET DE SOUDURE'!$AE$7:$AE$1506,MATCH(60,'CARNET DE SOUDURE'!$AP$7:$AP$1506,0)),IF(INDEX('CARNET DE SOUDURE'!$AA$7:$AA$1506,MATCH(60,'CARNET DE SOUDURE'!$AP$7:$AP$1506,0))&lt;&gt;"",INDEX('CARNET DE SOUDURE'!$Z$7:$Z$1506,MATCH(60,'CARNET DE SOUDURE'!$AP$7:$AP$1506,0)),INDEX('CARNET DE SOUDURE'!$U$7:$U$1506,MATCH(60,'CARNET DE SOUDURE'!$AP$7:$AP$1506,0))))&amp;"")</f>
        <v/>
      </c>
      <c r="I71" s="112" t="str">
        <f aca="false">IF($B71="","",INDEX('CARNET DE SOUDURE'!$AK$7:$AK$1506,MATCH(60,'CARNET DE SOUDURE'!$AP$7:$AP$1506,0)))</f>
        <v/>
      </c>
      <c r="J71" s="113" t="str">
        <f aca="false">IF($B71="","",INDEX('CARNET DE SOUDURE'!$AL$7:$AL$1506,MATCH(60,'CARNET DE SOUDURE'!$AP$7:$AP$1506,0)))</f>
        <v/>
      </c>
      <c r="K71" s="87"/>
      <c r="L71" s="87"/>
    </row>
    <row r="72" customFormat="false" ht="15" hidden="false" customHeight="false" outlineLevel="0" collapsed="false">
      <c r="B72" s="91" t="str">
        <f aca="false">IF(61&gt;$I$4,"",61)</f>
        <v/>
      </c>
      <c r="C72" s="91" t="str">
        <f aca="false">IF($B72="","",INDEX('CARNET DE SOUDURE'!$B$7:$B$1506,MATCH(61,'CARNET DE SOUDURE'!$AP$7:$AP$1506,0)))</f>
        <v/>
      </c>
      <c r="D72" s="91" t="str">
        <f aca="false">IF($B72="","",INDEX('CARNET DE SOUDURE'!$E$7:$E$1506,MATCH(61,'CARNET DE SOUDURE'!$AP$7:$AP$1506,0)))</f>
        <v/>
      </c>
      <c r="E72" s="91" t="str">
        <f aca="false">IF($B72="","",INDEX('CARNET DE SOUDURE'!$M$7:$M$1506,MATCH(61,'CARNET DE SOUDURE'!$AP$7:$AP$1506,0))&amp;" / "&amp;INDEX('CARNET DE SOUDURE'!$N$7:$N$1506,MATCH(61,'CARNET DE SOUDURE'!$AP$7:$AP$1506,0))&amp;" / "&amp;INDEX('CARNET DE SOUDURE'!$O$7:$O$1506,MATCH(61,'CARNET DE SOUDURE'!$AP$7:$AP$1506,0)))</f>
        <v/>
      </c>
      <c r="F72" s="91" t="str">
        <f aca="false">IF($B72="","",INDEX('CARNET DE SOUDURE'!$AJ$7:$AJ$1506,MATCH(61,'CARNET DE SOUDURE'!$AP$7:$AP$1506,0)))</f>
        <v/>
      </c>
      <c r="G72" s="108" t="str">
        <f aca="false">IF($B72="","",IF(INDEX('CARNET DE SOUDURE'!$AF$7:$AF$1506,MATCH(61,'CARNET DE SOUDURE'!$AP$7:$AP$1506,0))&lt;&gt;"",INDEX('CARNET DE SOUDURE'!$AD$7:$AD$1506,MATCH(61,'CARNET DE SOUDURE'!$AP$7:$AP$1506,0)),IF(INDEX('CARNET DE SOUDURE'!$AA$7:$AA$1506,MATCH(61,'CARNET DE SOUDURE'!$AP$7:$AP$1506,0))&lt;&gt;"",INDEX('CARNET DE SOUDURE'!$Y$7:$Y$1506,MATCH(61,'CARNET DE SOUDURE'!$AP$7:$AP$1506,0)),INDEX('CARNET DE SOUDURE'!$T$7:$T$1506,MATCH(61,'CARNET DE SOUDURE'!$AP$7:$AP$1506,0)))))</f>
        <v/>
      </c>
      <c r="H72" s="91" t="str">
        <f aca="false">IF($B72="","",IF(INDEX('CARNET DE SOUDURE'!$AF$7:$AF$1506,MATCH(61,'CARNET DE SOUDURE'!$AP$7:$AP$1506,0))&lt;&gt;"",INDEX('CARNET DE SOUDURE'!$AE$7:$AE$1506,MATCH(61,'CARNET DE SOUDURE'!$AP$7:$AP$1506,0)),IF(INDEX('CARNET DE SOUDURE'!$AA$7:$AA$1506,MATCH(61,'CARNET DE SOUDURE'!$AP$7:$AP$1506,0))&lt;&gt;"",INDEX('CARNET DE SOUDURE'!$Z$7:$Z$1506,MATCH(61,'CARNET DE SOUDURE'!$AP$7:$AP$1506,0)),INDEX('CARNET DE SOUDURE'!$U$7:$U$1506,MATCH(61,'CARNET DE SOUDURE'!$AP$7:$AP$1506,0))))&amp;"")</f>
        <v/>
      </c>
      <c r="I72" s="91" t="str">
        <f aca="false">IF($B72="","",INDEX('CARNET DE SOUDURE'!$AK$7:$AK$1506,MATCH(61,'CARNET DE SOUDURE'!$AP$7:$AP$1506,0)))</f>
        <v/>
      </c>
      <c r="J72" s="109" t="str">
        <f aca="false">IF($B72="","",INDEX('CARNET DE SOUDURE'!$AL$7:$AL$1506,MATCH(61,'CARNET DE SOUDURE'!$AP$7:$AP$1506,0)))</f>
        <v/>
      </c>
      <c r="K72" s="87"/>
      <c r="L72" s="87"/>
    </row>
    <row r="73" customFormat="false" ht="15" hidden="false" customHeight="false" outlineLevel="0" collapsed="false">
      <c r="B73" s="110" t="str">
        <f aca="false">IF(62&gt;$I$4,"",62)</f>
        <v/>
      </c>
      <c r="C73" s="110" t="str">
        <f aca="false">IF($B73="","",INDEX('CARNET DE SOUDURE'!$B$7:$B$1506,MATCH(62,'CARNET DE SOUDURE'!$AP$7:$AP$1506,0)))</f>
        <v/>
      </c>
      <c r="D73" s="110" t="str">
        <f aca="false">IF($B73="","",INDEX('CARNET DE SOUDURE'!$E$7:$E$1506,MATCH(62,'CARNET DE SOUDURE'!$AP$7:$AP$1506,0)))</f>
        <v/>
      </c>
      <c r="E73" s="110" t="str">
        <f aca="false">IF($B73="","",INDEX('CARNET DE SOUDURE'!$M$7:$M$1506,MATCH(62,'CARNET DE SOUDURE'!$AP$7:$AP$1506,0))&amp;" / "&amp;INDEX('CARNET DE SOUDURE'!$N$7:$N$1506,MATCH(62,'CARNET DE SOUDURE'!$AP$7:$AP$1506,0))&amp;" / "&amp;INDEX('CARNET DE SOUDURE'!$O$7:$O$1506,MATCH(62,'CARNET DE SOUDURE'!$AP$7:$AP$1506,0)))</f>
        <v/>
      </c>
      <c r="F73" s="112" t="str">
        <f aca="false">IF($B73="","",INDEX('CARNET DE SOUDURE'!$AJ$7:$AJ$1506,MATCH(62,'CARNET DE SOUDURE'!$AP$7:$AP$1506,0)))</f>
        <v/>
      </c>
      <c r="G73" s="111" t="str">
        <f aca="false">IF($B73="","",IF(INDEX('CARNET DE SOUDURE'!$AF$7:$AF$1506,MATCH(62,'CARNET DE SOUDURE'!$AP$7:$AP$1506,0))&lt;&gt;"",INDEX('CARNET DE SOUDURE'!$AD$7:$AD$1506,MATCH(62,'CARNET DE SOUDURE'!$AP$7:$AP$1506,0)),IF(INDEX('CARNET DE SOUDURE'!$AA$7:$AA$1506,MATCH(62,'CARNET DE SOUDURE'!$AP$7:$AP$1506,0))&lt;&gt;"",INDEX('CARNET DE SOUDURE'!$Y$7:$Y$1506,MATCH(62,'CARNET DE SOUDURE'!$AP$7:$AP$1506,0)),INDEX('CARNET DE SOUDURE'!$T$7:$T$1506,MATCH(62,'CARNET DE SOUDURE'!$AP$7:$AP$1506,0)))))</f>
        <v/>
      </c>
      <c r="H73" s="110" t="str">
        <f aca="false">IF($B73="","",IF(INDEX('CARNET DE SOUDURE'!$AF$7:$AF$1506,MATCH(62,'CARNET DE SOUDURE'!$AP$7:$AP$1506,0))&lt;&gt;"",INDEX('CARNET DE SOUDURE'!$AE$7:$AE$1506,MATCH(62,'CARNET DE SOUDURE'!$AP$7:$AP$1506,0)),IF(INDEX('CARNET DE SOUDURE'!$AA$7:$AA$1506,MATCH(62,'CARNET DE SOUDURE'!$AP$7:$AP$1506,0))&lt;&gt;"",INDEX('CARNET DE SOUDURE'!$Z$7:$Z$1506,MATCH(62,'CARNET DE SOUDURE'!$AP$7:$AP$1506,0)),INDEX('CARNET DE SOUDURE'!$U$7:$U$1506,MATCH(62,'CARNET DE SOUDURE'!$AP$7:$AP$1506,0))))&amp;"")</f>
        <v/>
      </c>
      <c r="I73" s="112" t="str">
        <f aca="false">IF($B73="","",INDEX('CARNET DE SOUDURE'!$AK$7:$AK$1506,MATCH(62,'CARNET DE SOUDURE'!$AP$7:$AP$1506,0)))</f>
        <v/>
      </c>
      <c r="J73" s="113" t="str">
        <f aca="false">IF($B73="","",INDEX('CARNET DE SOUDURE'!$AL$7:$AL$1506,MATCH(62,'CARNET DE SOUDURE'!$AP$7:$AP$1506,0)))</f>
        <v/>
      </c>
      <c r="K73" s="87"/>
      <c r="L73" s="87"/>
    </row>
    <row r="74" customFormat="false" ht="15" hidden="false" customHeight="false" outlineLevel="0" collapsed="false">
      <c r="B74" s="91" t="str">
        <f aca="false">IF(63&gt;$I$4,"",63)</f>
        <v/>
      </c>
      <c r="C74" s="91" t="str">
        <f aca="false">IF($B74="","",INDEX('CARNET DE SOUDURE'!$B$7:$B$1506,MATCH(63,'CARNET DE SOUDURE'!$AP$7:$AP$1506,0)))</f>
        <v/>
      </c>
      <c r="D74" s="91" t="str">
        <f aca="false">IF($B74="","",INDEX('CARNET DE SOUDURE'!$E$7:$E$1506,MATCH(63,'CARNET DE SOUDURE'!$AP$7:$AP$1506,0)))</f>
        <v/>
      </c>
      <c r="E74" s="91" t="str">
        <f aca="false">IF($B74="","",INDEX('CARNET DE SOUDURE'!$M$7:$M$1506,MATCH(63,'CARNET DE SOUDURE'!$AP$7:$AP$1506,0))&amp;" / "&amp;INDEX('CARNET DE SOUDURE'!$N$7:$N$1506,MATCH(63,'CARNET DE SOUDURE'!$AP$7:$AP$1506,0))&amp;" / "&amp;INDEX('CARNET DE SOUDURE'!$O$7:$O$1506,MATCH(63,'CARNET DE SOUDURE'!$AP$7:$AP$1506,0)))</f>
        <v/>
      </c>
      <c r="F74" s="91" t="str">
        <f aca="false">IF($B74="","",INDEX('CARNET DE SOUDURE'!$AJ$7:$AJ$1506,MATCH(63,'CARNET DE SOUDURE'!$AP$7:$AP$1506,0)))</f>
        <v/>
      </c>
      <c r="G74" s="108" t="str">
        <f aca="false">IF($B74="","",IF(INDEX('CARNET DE SOUDURE'!$AF$7:$AF$1506,MATCH(63,'CARNET DE SOUDURE'!$AP$7:$AP$1506,0))&lt;&gt;"",INDEX('CARNET DE SOUDURE'!$AD$7:$AD$1506,MATCH(63,'CARNET DE SOUDURE'!$AP$7:$AP$1506,0)),IF(INDEX('CARNET DE SOUDURE'!$AA$7:$AA$1506,MATCH(63,'CARNET DE SOUDURE'!$AP$7:$AP$1506,0))&lt;&gt;"",INDEX('CARNET DE SOUDURE'!$Y$7:$Y$1506,MATCH(63,'CARNET DE SOUDURE'!$AP$7:$AP$1506,0)),INDEX('CARNET DE SOUDURE'!$T$7:$T$1506,MATCH(63,'CARNET DE SOUDURE'!$AP$7:$AP$1506,0)))))</f>
        <v/>
      </c>
      <c r="H74" s="91" t="str">
        <f aca="false">IF($B74="","",IF(INDEX('CARNET DE SOUDURE'!$AF$7:$AF$1506,MATCH(63,'CARNET DE SOUDURE'!$AP$7:$AP$1506,0))&lt;&gt;"",INDEX('CARNET DE SOUDURE'!$AE$7:$AE$1506,MATCH(63,'CARNET DE SOUDURE'!$AP$7:$AP$1506,0)),IF(INDEX('CARNET DE SOUDURE'!$AA$7:$AA$1506,MATCH(63,'CARNET DE SOUDURE'!$AP$7:$AP$1506,0))&lt;&gt;"",INDEX('CARNET DE SOUDURE'!$Z$7:$Z$1506,MATCH(63,'CARNET DE SOUDURE'!$AP$7:$AP$1506,0)),INDEX('CARNET DE SOUDURE'!$U$7:$U$1506,MATCH(63,'CARNET DE SOUDURE'!$AP$7:$AP$1506,0))))&amp;"")</f>
        <v/>
      </c>
      <c r="I74" s="91" t="str">
        <f aca="false">IF($B74="","",INDEX('CARNET DE SOUDURE'!$AK$7:$AK$1506,MATCH(63,'CARNET DE SOUDURE'!$AP$7:$AP$1506,0)))</f>
        <v/>
      </c>
      <c r="J74" s="109" t="str">
        <f aca="false">IF($B74="","",INDEX('CARNET DE SOUDURE'!$AL$7:$AL$1506,MATCH(63,'CARNET DE SOUDURE'!$AP$7:$AP$1506,0)))</f>
        <v/>
      </c>
      <c r="K74" s="87"/>
      <c r="L74" s="87"/>
    </row>
    <row r="75" customFormat="false" ht="15" hidden="false" customHeight="false" outlineLevel="0" collapsed="false">
      <c r="B75" s="110" t="str">
        <f aca="false">IF(64&gt;$I$4,"",64)</f>
        <v/>
      </c>
      <c r="C75" s="110" t="str">
        <f aca="false">IF($B75="","",INDEX('CARNET DE SOUDURE'!$B$7:$B$1506,MATCH(64,'CARNET DE SOUDURE'!$AP$7:$AP$1506,0)))</f>
        <v/>
      </c>
      <c r="D75" s="110" t="str">
        <f aca="false">IF($B75="","",INDEX('CARNET DE SOUDURE'!$E$7:$E$1506,MATCH(64,'CARNET DE SOUDURE'!$AP$7:$AP$1506,0)))</f>
        <v/>
      </c>
      <c r="E75" s="110" t="str">
        <f aca="false">IF($B75="","",INDEX('CARNET DE SOUDURE'!$M$7:$M$1506,MATCH(64,'CARNET DE SOUDURE'!$AP$7:$AP$1506,0))&amp;" / "&amp;INDEX('CARNET DE SOUDURE'!$N$7:$N$1506,MATCH(64,'CARNET DE SOUDURE'!$AP$7:$AP$1506,0))&amp;" / "&amp;INDEX('CARNET DE SOUDURE'!$O$7:$O$1506,MATCH(64,'CARNET DE SOUDURE'!$AP$7:$AP$1506,0)))</f>
        <v/>
      </c>
      <c r="F75" s="112" t="str">
        <f aca="false">IF($B75="","",INDEX('CARNET DE SOUDURE'!$AJ$7:$AJ$1506,MATCH(64,'CARNET DE SOUDURE'!$AP$7:$AP$1506,0)))</f>
        <v/>
      </c>
      <c r="G75" s="111" t="str">
        <f aca="false">IF($B75="","",IF(INDEX('CARNET DE SOUDURE'!$AF$7:$AF$1506,MATCH(64,'CARNET DE SOUDURE'!$AP$7:$AP$1506,0))&lt;&gt;"",INDEX('CARNET DE SOUDURE'!$AD$7:$AD$1506,MATCH(64,'CARNET DE SOUDURE'!$AP$7:$AP$1506,0)),IF(INDEX('CARNET DE SOUDURE'!$AA$7:$AA$1506,MATCH(64,'CARNET DE SOUDURE'!$AP$7:$AP$1506,0))&lt;&gt;"",INDEX('CARNET DE SOUDURE'!$Y$7:$Y$1506,MATCH(64,'CARNET DE SOUDURE'!$AP$7:$AP$1506,0)),INDEX('CARNET DE SOUDURE'!$T$7:$T$1506,MATCH(64,'CARNET DE SOUDURE'!$AP$7:$AP$1506,0)))))</f>
        <v/>
      </c>
      <c r="H75" s="110" t="str">
        <f aca="false">IF($B75="","",IF(INDEX('CARNET DE SOUDURE'!$AF$7:$AF$1506,MATCH(64,'CARNET DE SOUDURE'!$AP$7:$AP$1506,0))&lt;&gt;"",INDEX('CARNET DE SOUDURE'!$AE$7:$AE$1506,MATCH(64,'CARNET DE SOUDURE'!$AP$7:$AP$1506,0)),IF(INDEX('CARNET DE SOUDURE'!$AA$7:$AA$1506,MATCH(64,'CARNET DE SOUDURE'!$AP$7:$AP$1506,0))&lt;&gt;"",INDEX('CARNET DE SOUDURE'!$Z$7:$Z$1506,MATCH(64,'CARNET DE SOUDURE'!$AP$7:$AP$1506,0)),INDEX('CARNET DE SOUDURE'!$U$7:$U$1506,MATCH(64,'CARNET DE SOUDURE'!$AP$7:$AP$1506,0))))&amp;"")</f>
        <v/>
      </c>
      <c r="I75" s="112" t="str">
        <f aca="false">IF($B75="","",INDEX('CARNET DE SOUDURE'!$AK$7:$AK$1506,MATCH(64,'CARNET DE SOUDURE'!$AP$7:$AP$1506,0)))</f>
        <v/>
      </c>
      <c r="J75" s="113" t="str">
        <f aca="false">IF($B75="","",INDEX('CARNET DE SOUDURE'!$AL$7:$AL$1506,MATCH(64,'CARNET DE SOUDURE'!$AP$7:$AP$1506,0)))</f>
        <v/>
      </c>
      <c r="K75" s="87"/>
      <c r="L75" s="87"/>
    </row>
    <row r="76" customFormat="false" ht="15" hidden="false" customHeight="false" outlineLevel="0" collapsed="false">
      <c r="B76" s="91" t="str">
        <f aca="false">IF(65&gt;$I$4,"",65)</f>
        <v/>
      </c>
      <c r="C76" s="91" t="str">
        <f aca="false">IF($B76="","",INDEX('CARNET DE SOUDURE'!$B$7:$B$1506,MATCH(65,'CARNET DE SOUDURE'!$AP$7:$AP$1506,0)))</f>
        <v/>
      </c>
      <c r="D76" s="91" t="str">
        <f aca="false">IF($B76="","",INDEX('CARNET DE SOUDURE'!$E$7:$E$1506,MATCH(65,'CARNET DE SOUDURE'!$AP$7:$AP$1506,0)))</f>
        <v/>
      </c>
      <c r="E76" s="91" t="str">
        <f aca="false">IF($B76="","",INDEX('CARNET DE SOUDURE'!$M$7:$M$1506,MATCH(65,'CARNET DE SOUDURE'!$AP$7:$AP$1506,0))&amp;" / "&amp;INDEX('CARNET DE SOUDURE'!$N$7:$N$1506,MATCH(65,'CARNET DE SOUDURE'!$AP$7:$AP$1506,0))&amp;" / "&amp;INDEX('CARNET DE SOUDURE'!$O$7:$O$1506,MATCH(65,'CARNET DE SOUDURE'!$AP$7:$AP$1506,0)))</f>
        <v/>
      </c>
      <c r="F76" s="91" t="str">
        <f aca="false">IF($B76="","",INDEX('CARNET DE SOUDURE'!$AJ$7:$AJ$1506,MATCH(65,'CARNET DE SOUDURE'!$AP$7:$AP$1506,0)))</f>
        <v/>
      </c>
      <c r="G76" s="108" t="str">
        <f aca="false">IF($B76="","",IF(INDEX('CARNET DE SOUDURE'!$AF$7:$AF$1506,MATCH(65,'CARNET DE SOUDURE'!$AP$7:$AP$1506,0))&lt;&gt;"",INDEX('CARNET DE SOUDURE'!$AD$7:$AD$1506,MATCH(65,'CARNET DE SOUDURE'!$AP$7:$AP$1506,0)),IF(INDEX('CARNET DE SOUDURE'!$AA$7:$AA$1506,MATCH(65,'CARNET DE SOUDURE'!$AP$7:$AP$1506,0))&lt;&gt;"",INDEX('CARNET DE SOUDURE'!$Y$7:$Y$1506,MATCH(65,'CARNET DE SOUDURE'!$AP$7:$AP$1506,0)),INDEX('CARNET DE SOUDURE'!$T$7:$T$1506,MATCH(65,'CARNET DE SOUDURE'!$AP$7:$AP$1506,0)))))</f>
        <v/>
      </c>
      <c r="H76" s="91" t="str">
        <f aca="false">IF($B76="","",IF(INDEX('CARNET DE SOUDURE'!$AF$7:$AF$1506,MATCH(65,'CARNET DE SOUDURE'!$AP$7:$AP$1506,0))&lt;&gt;"",INDEX('CARNET DE SOUDURE'!$AE$7:$AE$1506,MATCH(65,'CARNET DE SOUDURE'!$AP$7:$AP$1506,0)),IF(INDEX('CARNET DE SOUDURE'!$AA$7:$AA$1506,MATCH(65,'CARNET DE SOUDURE'!$AP$7:$AP$1506,0))&lt;&gt;"",INDEX('CARNET DE SOUDURE'!$Z$7:$Z$1506,MATCH(65,'CARNET DE SOUDURE'!$AP$7:$AP$1506,0)),INDEX('CARNET DE SOUDURE'!$U$7:$U$1506,MATCH(65,'CARNET DE SOUDURE'!$AP$7:$AP$1506,0))))&amp;"")</f>
        <v/>
      </c>
      <c r="I76" s="91" t="str">
        <f aca="false">IF($B76="","",INDEX('CARNET DE SOUDURE'!$AK$7:$AK$1506,MATCH(65,'CARNET DE SOUDURE'!$AP$7:$AP$1506,0)))</f>
        <v/>
      </c>
      <c r="J76" s="109" t="str">
        <f aca="false">IF($B76="","",INDEX('CARNET DE SOUDURE'!$AL$7:$AL$1506,MATCH(65,'CARNET DE SOUDURE'!$AP$7:$AP$1506,0)))</f>
        <v/>
      </c>
      <c r="K76" s="87"/>
      <c r="L76" s="87"/>
    </row>
    <row r="77" customFormat="false" ht="15" hidden="false" customHeight="false" outlineLevel="0" collapsed="false">
      <c r="B77" s="110" t="str">
        <f aca="false">IF(66&gt;$I$4,"",66)</f>
        <v/>
      </c>
      <c r="C77" s="110" t="str">
        <f aca="false">IF($B77="","",INDEX('CARNET DE SOUDURE'!$B$7:$B$1506,MATCH(66,'CARNET DE SOUDURE'!$AP$7:$AP$1506,0)))</f>
        <v/>
      </c>
      <c r="D77" s="110" t="str">
        <f aca="false">IF($B77="","",INDEX('CARNET DE SOUDURE'!$E$7:$E$1506,MATCH(66,'CARNET DE SOUDURE'!$AP$7:$AP$1506,0)))</f>
        <v/>
      </c>
      <c r="E77" s="110" t="str">
        <f aca="false">IF($B77="","",INDEX('CARNET DE SOUDURE'!$M$7:$M$1506,MATCH(66,'CARNET DE SOUDURE'!$AP$7:$AP$1506,0))&amp;" / "&amp;INDEX('CARNET DE SOUDURE'!$N$7:$N$1506,MATCH(66,'CARNET DE SOUDURE'!$AP$7:$AP$1506,0))&amp;" / "&amp;INDEX('CARNET DE SOUDURE'!$O$7:$O$1506,MATCH(66,'CARNET DE SOUDURE'!$AP$7:$AP$1506,0)))</f>
        <v/>
      </c>
      <c r="F77" s="112" t="str">
        <f aca="false">IF($B77="","",INDEX('CARNET DE SOUDURE'!$AJ$7:$AJ$1506,MATCH(66,'CARNET DE SOUDURE'!$AP$7:$AP$1506,0)))</f>
        <v/>
      </c>
      <c r="G77" s="111" t="str">
        <f aca="false">IF($B77="","",IF(INDEX('CARNET DE SOUDURE'!$AF$7:$AF$1506,MATCH(66,'CARNET DE SOUDURE'!$AP$7:$AP$1506,0))&lt;&gt;"",INDEX('CARNET DE SOUDURE'!$AD$7:$AD$1506,MATCH(66,'CARNET DE SOUDURE'!$AP$7:$AP$1506,0)),IF(INDEX('CARNET DE SOUDURE'!$AA$7:$AA$1506,MATCH(66,'CARNET DE SOUDURE'!$AP$7:$AP$1506,0))&lt;&gt;"",INDEX('CARNET DE SOUDURE'!$Y$7:$Y$1506,MATCH(66,'CARNET DE SOUDURE'!$AP$7:$AP$1506,0)),INDEX('CARNET DE SOUDURE'!$T$7:$T$1506,MATCH(66,'CARNET DE SOUDURE'!$AP$7:$AP$1506,0)))))</f>
        <v/>
      </c>
      <c r="H77" s="110" t="str">
        <f aca="false">IF($B77="","",IF(INDEX('CARNET DE SOUDURE'!$AF$7:$AF$1506,MATCH(66,'CARNET DE SOUDURE'!$AP$7:$AP$1506,0))&lt;&gt;"",INDEX('CARNET DE SOUDURE'!$AE$7:$AE$1506,MATCH(66,'CARNET DE SOUDURE'!$AP$7:$AP$1506,0)),IF(INDEX('CARNET DE SOUDURE'!$AA$7:$AA$1506,MATCH(66,'CARNET DE SOUDURE'!$AP$7:$AP$1506,0))&lt;&gt;"",INDEX('CARNET DE SOUDURE'!$Z$7:$Z$1506,MATCH(66,'CARNET DE SOUDURE'!$AP$7:$AP$1506,0)),INDEX('CARNET DE SOUDURE'!$U$7:$U$1506,MATCH(66,'CARNET DE SOUDURE'!$AP$7:$AP$1506,0))))&amp;"")</f>
        <v/>
      </c>
      <c r="I77" s="112" t="str">
        <f aca="false">IF($B77="","",INDEX('CARNET DE SOUDURE'!$AK$7:$AK$1506,MATCH(66,'CARNET DE SOUDURE'!$AP$7:$AP$1506,0)))</f>
        <v/>
      </c>
      <c r="J77" s="113" t="str">
        <f aca="false">IF($B77="","",INDEX('CARNET DE SOUDURE'!$AL$7:$AL$1506,MATCH(66,'CARNET DE SOUDURE'!$AP$7:$AP$1506,0)))</f>
        <v/>
      </c>
      <c r="K77" s="87"/>
      <c r="L77" s="87"/>
    </row>
    <row r="78" customFormat="false" ht="15" hidden="false" customHeight="false" outlineLevel="0" collapsed="false">
      <c r="B78" s="91" t="str">
        <f aca="false">IF(67&gt;$I$4,"",67)</f>
        <v/>
      </c>
      <c r="C78" s="91" t="str">
        <f aca="false">IF($B78="","",INDEX('CARNET DE SOUDURE'!$B$7:$B$1506,MATCH(67,'CARNET DE SOUDURE'!$AP$7:$AP$1506,0)))</f>
        <v/>
      </c>
      <c r="D78" s="91" t="str">
        <f aca="false">IF($B78="","",INDEX('CARNET DE SOUDURE'!$E$7:$E$1506,MATCH(67,'CARNET DE SOUDURE'!$AP$7:$AP$1506,0)))</f>
        <v/>
      </c>
      <c r="E78" s="91" t="str">
        <f aca="false">IF($B78="","",INDEX('CARNET DE SOUDURE'!$M$7:$M$1506,MATCH(67,'CARNET DE SOUDURE'!$AP$7:$AP$1506,0))&amp;" / "&amp;INDEX('CARNET DE SOUDURE'!$N$7:$N$1506,MATCH(67,'CARNET DE SOUDURE'!$AP$7:$AP$1506,0))&amp;" / "&amp;INDEX('CARNET DE SOUDURE'!$O$7:$O$1506,MATCH(67,'CARNET DE SOUDURE'!$AP$7:$AP$1506,0)))</f>
        <v/>
      </c>
      <c r="F78" s="91" t="str">
        <f aca="false">IF($B78="","",INDEX('CARNET DE SOUDURE'!$AJ$7:$AJ$1506,MATCH(67,'CARNET DE SOUDURE'!$AP$7:$AP$1506,0)))</f>
        <v/>
      </c>
      <c r="G78" s="108" t="str">
        <f aca="false">IF($B78="","",IF(INDEX('CARNET DE SOUDURE'!$AF$7:$AF$1506,MATCH(67,'CARNET DE SOUDURE'!$AP$7:$AP$1506,0))&lt;&gt;"",INDEX('CARNET DE SOUDURE'!$AD$7:$AD$1506,MATCH(67,'CARNET DE SOUDURE'!$AP$7:$AP$1506,0)),IF(INDEX('CARNET DE SOUDURE'!$AA$7:$AA$1506,MATCH(67,'CARNET DE SOUDURE'!$AP$7:$AP$1506,0))&lt;&gt;"",INDEX('CARNET DE SOUDURE'!$Y$7:$Y$1506,MATCH(67,'CARNET DE SOUDURE'!$AP$7:$AP$1506,0)),INDEX('CARNET DE SOUDURE'!$T$7:$T$1506,MATCH(67,'CARNET DE SOUDURE'!$AP$7:$AP$1506,0)))))</f>
        <v/>
      </c>
      <c r="H78" s="91" t="str">
        <f aca="false">IF($B78="","",IF(INDEX('CARNET DE SOUDURE'!$AF$7:$AF$1506,MATCH(67,'CARNET DE SOUDURE'!$AP$7:$AP$1506,0))&lt;&gt;"",INDEX('CARNET DE SOUDURE'!$AE$7:$AE$1506,MATCH(67,'CARNET DE SOUDURE'!$AP$7:$AP$1506,0)),IF(INDEX('CARNET DE SOUDURE'!$AA$7:$AA$1506,MATCH(67,'CARNET DE SOUDURE'!$AP$7:$AP$1506,0))&lt;&gt;"",INDEX('CARNET DE SOUDURE'!$Z$7:$Z$1506,MATCH(67,'CARNET DE SOUDURE'!$AP$7:$AP$1506,0)),INDEX('CARNET DE SOUDURE'!$U$7:$U$1506,MATCH(67,'CARNET DE SOUDURE'!$AP$7:$AP$1506,0))))&amp;"")</f>
        <v/>
      </c>
      <c r="I78" s="91" t="str">
        <f aca="false">IF($B78="","",INDEX('CARNET DE SOUDURE'!$AK$7:$AK$1506,MATCH(67,'CARNET DE SOUDURE'!$AP$7:$AP$1506,0)))</f>
        <v/>
      </c>
      <c r="J78" s="109" t="str">
        <f aca="false">IF($B78="","",INDEX('CARNET DE SOUDURE'!$AL$7:$AL$1506,MATCH(67,'CARNET DE SOUDURE'!$AP$7:$AP$1506,0)))</f>
        <v/>
      </c>
      <c r="K78" s="87"/>
      <c r="L78" s="87"/>
    </row>
    <row r="79" customFormat="false" ht="15" hidden="false" customHeight="false" outlineLevel="0" collapsed="false">
      <c r="B79" s="110" t="str">
        <f aca="false">IF(68&gt;$I$4,"",68)</f>
        <v/>
      </c>
      <c r="C79" s="110" t="str">
        <f aca="false">IF($B79="","",INDEX('CARNET DE SOUDURE'!$B$7:$B$1506,MATCH(68,'CARNET DE SOUDURE'!$AP$7:$AP$1506,0)))</f>
        <v/>
      </c>
      <c r="D79" s="110" t="str">
        <f aca="false">IF($B79="","",INDEX('CARNET DE SOUDURE'!$E$7:$E$1506,MATCH(68,'CARNET DE SOUDURE'!$AP$7:$AP$1506,0)))</f>
        <v/>
      </c>
      <c r="E79" s="110" t="str">
        <f aca="false">IF($B79="","",INDEX('CARNET DE SOUDURE'!$M$7:$M$1506,MATCH(68,'CARNET DE SOUDURE'!$AP$7:$AP$1506,0))&amp;" / "&amp;INDEX('CARNET DE SOUDURE'!$N$7:$N$1506,MATCH(68,'CARNET DE SOUDURE'!$AP$7:$AP$1506,0))&amp;" / "&amp;INDEX('CARNET DE SOUDURE'!$O$7:$O$1506,MATCH(68,'CARNET DE SOUDURE'!$AP$7:$AP$1506,0)))</f>
        <v/>
      </c>
      <c r="F79" s="112" t="str">
        <f aca="false">IF($B79="","",INDEX('CARNET DE SOUDURE'!$AJ$7:$AJ$1506,MATCH(68,'CARNET DE SOUDURE'!$AP$7:$AP$1506,0)))</f>
        <v/>
      </c>
      <c r="G79" s="111" t="str">
        <f aca="false">IF($B79="","",IF(INDEX('CARNET DE SOUDURE'!$AF$7:$AF$1506,MATCH(68,'CARNET DE SOUDURE'!$AP$7:$AP$1506,0))&lt;&gt;"",INDEX('CARNET DE SOUDURE'!$AD$7:$AD$1506,MATCH(68,'CARNET DE SOUDURE'!$AP$7:$AP$1506,0)),IF(INDEX('CARNET DE SOUDURE'!$AA$7:$AA$1506,MATCH(68,'CARNET DE SOUDURE'!$AP$7:$AP$1506,0))&lt;&gt;"",INDEX('CARNET DE SOUDURE'!$Y$7:$Y$1506,MATCH(68,'CARNET DE SOUDURE'!$AP$7:$AP$1506,0)),INDEX('CARNET DE SOUDURE'!$T$7:$T$1506,MATCH(68,'CARNET DE SOUDURE'!$AP$7:$AP$1506,0)))))</f>
        <v/>
      </c>
      <c r="H79" s="110" t="str">
        <f aca="false">IF($B79="","",IF(INDEX('CARNET DE SOUDURE'!$AF$7:$AF$1506,MATCH(68,'CARNET DE SOUDURE'!$AP$7:$AP$1506,0))&lt;&gt;"",INDEX('CARNET DE SOUDURE'!$AE$7:$AE$1506,MATCH(68,'CARNET DE SOUDURE'!$AP$7:$AP$1506,0)),IF(INDEX('CARNET DE SOUDURE'!$AA$7:$AA$1506,MATCH(68,'CARNET DE SOUDURE'!$AP$7:$AP$1506,0))&lt;&gt;"",INDEX('CARNET DE SOUDURE'!$Z$7:$Z$1506,MATCH(68,'CARNET DE SOUDURE'!$AP$7:$AP$1506,0)),INDEX('CARNET DE SOUDURE'!$U$7:$U$1506,MATCH(68,'CARNET DE SOUDURE'!$AP$7:$AP$1506,0))))&amp;"")</f>
        <v/>
      </c>
      <c r="I79" s="112" t="str">
        <f aca="false">IF($B79="","",INDEX('CARNET DE SOUDURE'!$AK$7:$AK$1506,MATCH(68,'CARNET DE SOUDURE'!$AP$7:$AP$1506,0)))</f>
        <v/>
      </c>
      <c r="J79" s="113" t="str">
        <f aca="false">IF($B79="","",INDEX('CARNET DE SOUDURE'!$AL$7:$AL$1506,MATCH(68,'CARNET DE SOUDURE'!$AP$7:$AP$1506,0)))</f>
        <v/>
      </c>
      <c r="K79" s="87"/>
      <c r="L79" s="87"/>
    </row>
    <row r="80" customFormat="false" ht="15" hidden="false" customHeight="false" outlineLevel="0" collapsed="false">
      <c r="B80" s="91" t="str">
        <f aca="false">IF(69&gt;$I$4,"",69)</f>
        <v/>
      </c>
      <c r="C80" s="91" t="str">
        <f aca="false">IF($B80="","",INDEX('CARNET DE SOUDURE'!$B$7:$B$1506,MATCH(69,'CARNET DE SOUDURE'!$AP$7:$AP$1506,0)))</f>
        <v/>
      </c>
      <c r="D80" s="91" t="str">
        <f aca="false">IF($B80="","",INDEX('CARNET DE SOUDURE'!$E$7:$E$1506,MATCH(69,'CARNET DE SOUDURE'!$AP$7:$AP$1506,0)))</f>
        <v/>
      </c>
      <c r="E80" s="91" t="str">
        <f aca="false">IF($B80="","",INDEX('CARNET DE SOUDURE'!$M$7:$M$1506,MATCH(69,'CARNET DE SOUDURE'!$AP$7:$AP$1506,0))&amp;" / "&amp;INDEX('CARNET DE SOUDURE'!$N$7:$N$1506,MATCH(69,'CARNET DE SOUDURE'!$AP$7:$AP$1506,0))&amp;" / "&amp;INDEX('CARNET DE SOUDURE'!$O$7:$O$1506,MATCH(69,'CARNET DE SOUDURE'!$AP$7:$AP$1506,0)))</f>
        <v/>
      </c>
      <c r="F80" s="91" t="str">
        <f aca="false">IF($B80="","",INDEX('CARNET DE SOUDURE'!$AJ$7:$AJ$1506,MATCH(69,'CARNET DE SOUDURE'!$AP$7:$AP$1506,0)))</f>
        <v/>
      </c>
      <c r="G80" s="108" t="str">
        <f aca="false">IF($B80="","",IF(INDEX('CARNET DE SOUDURE'!$AF$7:$AF$1506,MATCH(69,'CARNET DE SOUDURE'!$AP$7:$AP$1506,0))&lt;&gt;"",INDEX('CARNET DE SOUDURE'!$AD$7:$AD$1506,MATCH(69,'CARNET DE SOUDURE'!$AP$7:$AP$1506,0)),IF(INDEX('CARNET DE SOUDURE'!$AA$7:$AA$1506,MATCH(69,'CARNET DE SOUDURE'!$AP$7:$AP$1506,0))&lt;&gt;"",INDEX('CARNET DE SOUDURE'!$Y$7:$Y$1506,MATCH(69,'CARNET DE SOUDURE'!$AP$7:$AP$1506,0)),INDEX('CARNET DE SOUDURE'!$T$7:$T$1506,MATCH(69,'CARNET DE SOUDURE'!$AP$7:$AP$1506,0)))))</f>
        <v/>
      </c>
      <c r="H80" s="91" t="str">
        <f aca="false">IF($B80="","",IF(INDEX('CARNET DE SOUDURE'!$AF$7:$AF$1506,MATCH(69,'CARNET DE SOUDURE'!$AP$7:$AP$1506,0))&lt;&gt;"",INDEX('CARNET DE SOUDURE'!$AE$7:$AE$1506,MATCH(69,'CARNET DE SOUDURE'!$AP$7:$AP$1506,0)),IF(INDEX('CARNET DE SOUDURE'!$AA$7:$AA$1506,MATCH(69,'CARNET DE SOUDURE'!$AP$7:$AP$1506,0))&lt;&gt;"",INDEX('CARNET DE SOUDURE'!$Z$7:$Z$1506,MATCH(69,'CARNET DE SOUDURE'!$AP$7:$AP$1506,0)),INDEX('CARNET DE SOUDURE'!$U$7:$U$1506,MATCH(69,'CARNET DE SOUDURE'!$AP$7:$AP$1506,0))))&amp;"")</f>
        <v/>
      </c>
      <c r="I80" s="91" t="str">
        <f aca="false">IF($B80="","",INDEX('CARNET DE SOUDURE'!$AK$7:$AK$1506,MATCH(69,'CARNET DE SOUDURE'!$AP$7:$AP$1506,0)))</f>
        <v/>
      </c>
      <c r="J80" s="109" t="str">
        <f aca="false">IF($B80="","",INDEX('CARNET DE SOUDURE'!$AL$7:$AL$1506,MATCH(69,'CARNET DE SOUDURE'!$AP$7:$AP$1506,0)))</f>
        <v/>
      </c>
      <c r="K80" s="87"/>
      <c r="L80" s="87"/>
    </row>
    <row r="81" customFormat="false" ht="15" hidden="false" customHeight="false" outlineLevel="0" collapsed="false">
      <c r="B81" s="110" t="str">
        <f aca="false">IF(70&gt;$I$4,"",70)</f>
        <v/>
      </c>
      <c r="C81" s="110" t="str">
        <f aca="false">IF($B81="","",INDEX('CARNET DE SOUDURE'!$B$7:$B$1506,MATCH(70,'CARNET DE SOUDURE'!$AP$7:$AP$1506,0)))</f>
        <v/>
      </c>
      <c r="D81" s="110" t="str">
        <f aca="false">IF($B81="","",INDEX('CARNET DE SOUDURE'!$E$7:$E$1506,MATCH(70,'CARNET DE SOUDURE'!$AP$7:$AP$1506,0)))</f>
        <v/>
      </c>
      <c r="E81" s="110" t="str">
        <f aca="false">IF($B81="","",INDEX('CARNET DE SOUDURE'!$M$7:$M$1506,MATCH(70,'CARNET DE SOUDURE'!$AP$7:$AP$1506,0))&amp;" / "&amp;INDEX('CARNET DE SOUDURE'!$N$7:$N$1506,MATCH(70,'CARNET DE SOUDURE'!$AP$7:$AP$1506,0))&amp;" / "&amp;INDEX('CARNET DE SOUDURE'!$O$7:$O$1506,MATCH(70,'CARNET DE SOUDURE'!$AP$7:$AP$1506,0)))</f>
        <v/>
      </c>
      <c r="F81" s="112" t="str">
        <f aca="false">IF($B81="","",INDEX('CARNET DE SOUDURE'!$AJ$7:$AJ$1506,MATCH(70,'CARNET DE SOUDURE'!$AP$7:$AP$1506,0)))</f>
        <v/>
      </c>
      <c r="G81" s="111" t="str">
        <f aca="false">IF($B81="","",IF(INDEX('CARNET DE SOUDURE'!$AF$7:$AF$1506,MATCH(70,'CARNET DE SOUDURE'!$AP$7:$AP$1506,0))&lt;&gt;"",INDEX('CARNET DE SOUDURE'!$AD$7:$AD$1506,MATCH(70,'CARNET DE SOUDURE'!$AP$7:$AP$1506,0)),IF(INDEX('CARNET DE SOUDURE'!$AA$7:$AA$1506,MATCH(70,'CARNET DE SOUDURE'!$AP$7:$AP$1506,0))&lt;&gt;"",INDEX('CARNET DE SOUDURE'!$Y$7:$Y$1506,MATCH(70,'CARNET DE SOUDURE'!$AP$7:$AP$1506,0)),INDEX('CARNET DE SOUDURE'!$T$7:$T$1506,MATCH(70,'CARNET DE SOUDURE'!$AP$7:$AP$1506,0)))))</f>
        <v/>
      </c>
      <c r="H81" s="110" t="str">
        <f aca="false">IF($B81="","",IF(INDEX('CARNET DE SOUDURE'!$AF$7:$AF$1506,MATCH(70,'CARNET DE SOUDURE'!$AP$7:$AP$1506,0))&lt;&gt;"",INDEX('CARNET DE SOUDURE'!$AE$7:$AE$1506,MATCH(70,'CARNET DE SOUDURE'!$AP$7:$AP$1506,0)),IF(INDEX('CARNET DE SOUDURE'!$AA$7:$AA$1506,MATCH(70,'CARNET DE SOUDURE'!$AP$7:$AP$1506,0))&lt;&gt;"",INDEX('CARNET DE SOUDURE'!$Z$7:$Z$1506,MATCH(70,'CARNET DE SOUDURE'!$AP$7:$AP$1506,0)),INDEX('CARNET DE SOUDURE'!$U$7:$U$1506,MATCH(70,'CARNET DE SOUDURE'!$AP$7:$AP$1506,0))))&amp;"")</f>
        <v/>
      </c>
      <c r="I81" s="112" t="str">
        <f aca="false">IF($B81="","",INDEX('CARNET DE SOUDURE'!$AK$7:$AK$1506,MATCH(70,'CARNET DE SOUDURE'!$AP$7:$AP$1506,0)))</f>
        <v/>
      </c>
      <c r="J81" s="113" t="str">
        <f aca="false">IF($B81="","",INDEX('CARNET DE SOUDURE'!$AL$7:$AL$1506,MATCH(70,'CARNET DE SOUDURE'!$AP$7:$AP$1506,0)))</f>
        <v/>
      </c>
      <c r="K81" s="87"/>
      <c r="L81" s="87"/>
    </row>
    <row r="82" customFormat="false" ht="15" hidden="false" customHeight="false" outlineLevel="0" collapsed="false">
      <c r="B82" s="91" t="str">
        <f aca="false">IF(71&gt;$I$4,"",71)</f>
        <v/>
      </c>
      <c r="C82" s="91" t="str">
        <f aca="false">IF($B82="","",INDEX('CARNET DE SOUDURE'!$B$7:$B$1506,MATCH(71,'CARNET DE SOUDURE'!$AP$7:$AP$1506,0)))</f>
        <v/>
      </c>
      <c r="D82" s="91" t="str">
        <f aca="false">IF($B82="","",INDEX('CARNET DE SOUDURE'!$E$7:$E$1506,MATCH(71,'CARNET DE SOUDURE'!$AP$7:$AP$1506,0)))</f>
        <v/>
      </c>
      <c r="E82" s="91" t="str">
        <f aca="false">IF($B82="","",INDEX('CARNET DE SOUDURE'!$M$7:$M$1506,MATCH(71,'CARNET DE SOUDURE'!$AP$7:$AP$1506,0))&amp;" / "&amp;INDEX('CARNET DE SOUDURE'!$N$7:$N$1506,MATCH(71,'CARNET DE SOUDURE'!$AP$7:$AP$1506,0))&amp;" / "&amp;INDEX('CARNET DE SOUDURE'!$O$7:$O$1506,MATCH(71,'CARNET DE SOUDURE'!$AP$7:$AP$1506,0)))</f>
        <v/>
      </c>
      <c r="F82" s="91" t="str">
        <f aca="false">IF($B82="","",INDEX('CARNET DE SOUDURE'!$AJ$7:$AJ$1506,MATCH(71,'CARNET DE SOUDURE'!$AP$7:$AP$1506,0)))</f>
        <v/>
      </c>
      <c r="G82" s="108" t="str">
        <f aca="false">IF($B82="","",IF(INDEX('CARNET DE SOUDURE'!$AF$7:$AF$1506,MATCH(71,'CARNET DE SOUDURE'!$AP$7:$AP$1506,0))&lt;&gt;"",INDEX('CARNET DE SOUDURE'!$AD$7:$AD$1506,MATCH(71,'CARNET DE SOUDURE'!$AP$7:$AP$1506,0)),IF(INDEX('CARNET DE SOUDURE'!$AA$7:$AA$1506,MATCH(71,'CARNET DE SOUDURE'!$AP$7:$AP$1506,0))&lt;&gt;"",INDEX('CARNET DE SOUDURE'!$Y$7:$Y$1506,MATCH(71,'CARNET DE SOUDURE'!$AP$7:$AP$1506,0)),INDEX('CARNET DE SOUDURE'!$T$7:$T$1506,MATCH(71,'CARNET DE SOUDURE'!$AP$7:$AP$1506,0)))))</f>
        <v/>
      </c>
      <c r="H82" s="91" t="str">
        <f aca="false">IF($B82="","",IF(INDEX('CARNET DE SOUDURE'!$AF$7:$AF$1506,MATCH(71,'CARNET DE SOUDURE'!$AP$7:$AP$1506,0))&lt;&gt;"",INDEX('CARNET DE SOUDURE'!$AE$7:$AE$1506,MATCH(71,'CARNET DE SOUDURE'!$AP$7:$AP$1506,0)),IF(INDEX('CARNET DE SOUDURE'!$AA$7:$AA$1506,MATCH(71,'CARNET DE SOUDURE'!$AP$7:$AP$1506,0))&lt;&gt;"",INDEX('CARNET DE SOUDURE'!$Z$7:$Z$1506,MATCH(71,'CARNET DE SOUDURE'!$AP$7:$AP$1506,0)),INDEX('CARNET DE SOUDURE'!$U$7:$U$1506,MATCH(71,'CARNET DE SOUDURE'!$AP$7:$AP$1506,0))))&amp;"")</f>
        <v/>
      </c>
      <c r="I82" s="91" t="str">
        <f aca="false">IF($B82="","",INDEX('CARNET DE SOUDURE'!$AK$7:$AK$1506,MATCH(71,'CARNET DE SOUDURE'!$AP$7:$AP$1506,0)))</f>
        <v/>
      </c>
      <c r="J82" s="109" t="str">
        <f aca="false">IF($B82="","",INDEX('CARNET DE SOUDURE'!$AL$7:$AL$1506,MATCH(71,'CARNET DE SOUDURE'!$AP$7:$AP$1506,0)))</f>
        <v/>
      </c>
      <c r="K82" s="87"/>
      <c r="L82" s="87"/>
    </row>
    <row r="83" customFormat="false" ht="15" hidden="false" customHeight="false" outlineLevel="0" collapsed="false">
      <c r="B83" s="110" t="str">
        <f aca="false">IF(72&gt;$I$4,"",72)</f>
        <v/>
      </c>
      <c r="C83" s="110" t="str">
        <f aca="false">IF($B83="","",INDEX('CARNET DE SOUDURE'!$B$7:$B$1506,MATCH(72,'CARNET DE SOUDURE'!$AP$7:$AP$1506,0)))</f>
        <v/>
      </c>
      <c r="D83" s="110" t="str">
        <f aca="false">IF($B83="","",INDEX('CARNET DE SOUDURE'!$E$7:$E$1506,MATCH(72,'CARNET DE SOUDURE'!$AP$7:$AP$1506,0)))</f>
        <v/>
      </c>
      <c r="E83" s="110" t="str">
        <f aca="false">IF($B83="","",INDEX('CARNET DE SOUDURE'!$M$7:$M$1506,MATCH(72,'CARNET DE SOUDURE'!$AP$7:$AP$1506,0))&amp;" / "&amp;INDEX('CARNET DE SOUDURE'!$N$7:$N$1506,MATCH(72,'CARNET DE SOUDURE'!$AP$7:$AP$1506,0))&amp;" / "&amp;INDEX('CARNET DE SOUDURE'!$O$7:$O$1506,MATCH(72,'CARNET DE SOUDURE'!$AP$7:$AP$1506,0)))</f>
        <v/>
      </c>
      <c r="F83" s="112" t="str">
        <f aca="false">IF($B83="","",INDEX('CARNET DE SOUDURE'!$AJ$7:$AJ$1506,MATCH(72,'CARNET DE SOUDURE'!$AP$7:$AP$1506,0)))</f>
        <v/>
      </c>
      <c r="G83" s="111" t="str">
        <f aca="false">IF($B83="","",IF(INDEX('CARNET DE SOUDURE'!$AF$7:$AF$1506,MATCH(72,'CARNET DE SOUDURE'!$AP$7:$AP$1506,0))&lt;&gt;"",INDEX('CARNET DE SOUDURE'!$AD$7:$AD$1506,MATCH(72,'CARNET DE SOUDURE'!$AP$7:$AP$1506,0)),IF(INDEX('CARNET DE SOUDURE'!$AA$7:$AA$1506,MATCH(72,'CARNET DE SOUDURE'!$AP$7:$AP$1506,0))&lt;&gt;"",INDEX('CARNET DE SOUDURE'!$Y$7:$Y$1506,MATCH(72,'CARNET DE SOUDURE'!$AP$7:$AP$1506,0)),INDEX('CARNET DE SOUDURE'!$T$7:$T$1506,MATCH(72,'CARNET DE SOUDURE'!$AP$7:$AP$1506,0)))))</f>
        <v/>
      </c>
      <c r="H83" s="110" t="str">
        <f aca="false">IF($B83="","",IF(INDEX('CARNET DE SOUDURE'!$AF$7:$AF$1506,MATCH(72,'CARNET DE SOUDURE'!$AP$7:$AP$1506,0))&lt;&gt;"",INDEX('CARNET DE SOUDURE'!$AE$7:$AE$1506,MATCH(72,'CARNET DE SOUDURE'!$AP$7:$AP$1506,0)),IF(INDEX('CARNET DE SOUDURE'!$AA$7:$AA$1506,MATCH(72,'CARNET DE SOUDURE'!$AP$7:$AP$1506,0))&lt;&gt;"",INDEX('CARNET DE SOUDURE'!$Z$7:$Z$1506,MATCH(72,'CARNET DE SOUDURE'!$AP$7:$AP$1506,0)),INDEX('CARNET DE SOUDURE'!$U$7:$U$1506,MATCH(72,'CARNET DE SOUDURE'!$AP$7:$AP$1506,0))))&amp;"")</f>
        <v/>
      </c>
      <c r="I83" s="112" t="str">
        <f aca="false">IF($B83="","",INDEX('CARNET DE SOUDURE'!$AK$7:$AK$1506,MATCH(72,'CARNET DE SOUDURE'!$AP$7:$AP$1506,0)))</f>
        <v/>
      </c>
      <c r="J83" s="113" t="str">
        <f aca="false">IF($B83="","",INDEX('CARNET DE SOUDURE'!$AL$7:$AL$1506,MATCH(72,'CARNET DE SOUDURE'!$AP$7:$AP$1506,0)))</f>
        <v/>
      </c>
      <c r="K83" s="87"/>
      <c r="L83" s="87"/>
    </row>
    <row r="84" customFormat="false" ht="15" hidden="false" customHeight="false" outlineLevel="0" collapsed="false">
      <c r="B84" s="91" t="str">
        <f aca="false">IF(73&gt;$I$4,"",73)</f>
        <v/>
      </c>
      <c r="C84" s="91" t="str">
        <f aca="false">IF($B84="","",INDEX('CARNET DE SOUDURE'!$B$7:$B$1506,MATCH(73,'CARNET DE SOUDURE'!$AP$7:$AP$1506,0)))</f>
        <v/>
      </c>
      <c r="D84" s="91" t="str">
        <f aca="false">IF($B84="","",INDEX('CARNET DE SOUDURE'!$E$7:$E$1506,MATCH(73,'CARNET DE SOUDURE'!$AP$7:$AP$1506,0)))</f>
        <v/>
      </c>
      <c r="E84" s="91" t="str">
        <f aca="false">IF($B84="","",INDEX('CARNET DE SOUDURE'!$M$7:$M$1506,MATCH(73,'CARNET DE SOUDURE'!$AP$7:$AP$1506,0))&amp;" / "&amp;INDEX('CARNET DE SOUDURE'!$N$7:$N$1506,MATCH(73,'CARNET DE SOUDURE'!$AP$7:$AP$1506,0))&amp;" / "&amp;INDEX('CARNET DE SOUDURE'!$O$7:$O$1506,MATCH(73,'CARNET DE SOUDURE'!$AP$7:$AP$1506,0)))</f>
        <v/>
      </c>
      <c r="F84" s="91" t="str">
        <f aca="false">IF($B84="","",INDEX('CARNET DE SOUDURE'!$AJ$7:$AJ$1506,MATCH(73,'CARNET DE SOUDURE'!$AP$7:$AP$1506,0)))</f>
        <v/>
      </c>
      <c r="G84" s="108" t="str">
        <f aca="false">IF($B84="","",IF(INDEX('CARNET DE SOUDURE'!$AF$7:$AF$1506,MATCH(73,'CARNET DE SOUDURE'!$AP$7:$AP$1506,0))&lt;&gt;"",INDEX('CARNET DE SOUDURE'!$AD$7:$AD$1506,MATCH(73,'CARNET DE SOUDURE'!$AP$7:$AP$1506,0)),IF(INDEX('CARNET DE SOUDURE'!$AA$7:$AA$1506,MATCH(73,'CARNET DE SOUDURE'!$AP$7:$AP$1506,0))&lt;&gt;"",INDEX('CARNET DE SOUDURE'!$Y$7:$Y$1506,MATCH(73,'CARNET DE SOUDURE'!$AP$7:$AP$1506,0)),INDEX('CARNET DE SOUDURE'!$T$7:$T$1506,MATCH(73,'CARNET DE SOUDURE'!$AP$7:$AP$1506,0)))))</f>
        <v/>
      </c>
      <c r="H84" s="91" t="str">
        <f aca="false">IF($B84="","",IF(INDEX('CARNET DE SOUDURE'!$AF$7:$AF$1506,MATCH(73,'CARNET DE SOUDURE'!$AP$7:$AP$1506,0))&lt;&gt;"",INDEX('CARNET DE SOUDURE'!$AE$7:$AE$1506,MATCH(73,'CARNET DE SOUDURE'!$AP$7:$AP$1506,0)),IF(INDEX('CARNET DE SOUDURE'!$AA$7:$AA$1506,MATCH(73,'CARNET DE SOUDURE'!$AP$7:$AP$1506,0))&lt;&gt;"",INDEX('CARNET DE SOUDURE'!$Z$7:$Z$1506,MATCH(73,'CARNET DE SOUDURE'!$AP$7:$AP$1506,0)),INDEX('CARNET DE SOUDURE'!$U$7:$U$1506,MATCH(73,'CARNET DE SOUDURE'!$AP$7:$AP$1506,0))))&amp;"")</f>
        <v/>
      </c>
      <c r="I84" s="91" t="str">
        <f aca="false">IF($B84="","",INDEX('CARNET DE SOUDURE'!$AK$7:$AK$1506,MATCH(73,'CARNET DE SOUDURE'!$AP$7:$AP$1506,0)))</f>
        <v/>
      </c>
      <c r="J84" s="109" t="str">
        <f aca="false">IF($B84="","",INDEX('CARNET DE SOUDURE'!$AL$7:$AL$1506,MATCH(73,'CARNET DE SOUDURE'!$AP$7:$AP$1506,0)))</f>
        <v/>
      </c>
      <c r="K84" s="87"/>
      <c r="L84" s="87"/>
    </row>
    <row r="85" customFormat="false" ht="15" hidden="false" customHeight="false" outlineLevel="0" collapsed="false">
      <c r="B85" s="110" t="str">
        <f aca="false">IF(74&gt;$I$4,"",74)</f>
        <v/>
      </c>
      <c r="C85" s="110" t="str">
        <f aca="false">IF($B85="","",INDEX('CARNET DE SOUDURE'!$B$7:$B$1506,MATCH(74,'CARNET DE SOUDURE'!$AP$7:$AP$1506,0)))</f>
        <v/>
      </c>
      <c r="D85" s="110" t="str">
        <f aca="false">IF($B85="","",INDEX('CARNET DE SOUDURE'!$E$7:$E$1506,MATCH(74,'CARNET DE SOUDURE'!$AP$7:$AP$1506,0)))</f>
        <v/>
      </c>
      <c r="E85" s="110" t="str">
        <f aca="false">IF($B85="","",INDEX('CARNET DE SOUDURE'!$M$7:$M$1506,MATCH(74,'CARNET DE SOUDURE'!$AP$7:$AP$1506,0))&amp;" / "&amp;INDEX('CARNET DE SOUDURE'!$N$7:$N$1506,MATCH(74,'CARNET DE SOUDURE'!$AP$7:$AP$1506,0))&amp;" / "&amp;INDEX('CARNET DE SOUDURE'!$O$7:$O$1506,MATCH(74,'CARNET DE SOUDURE'!$AP$7:$AP$1506,0)))</f>
        <v/>
      </c>
      <c r="F85" s="112" t="str">
        <f aca="false">IF($B85="","",INDEX('CARNET DE SOUDURE'!$AJ$7:$AJ$1506,MATCH(74,'CARNET DE SOUDURE'!$AP$7:$AP$1506,0)))</f>
        <v/>
      </c>
      <c r="G85" s="111" t="str">
        <f aca="false">IF($B85="","",IF(INDEX('CARNET DE SOUDURE'!$AF$7:$AF$1506,MATCH(74,'CARNET DE SOUDURE'!$AP$7:$AP$1506,0))&lt;&gt;"",INDEX('CARNET DE SOUDURE'!$AD$7:$AD$1506,MATCH(74,'CARNET DE SOUDURE'!$AP$7:$AP$1506,0)),IF(INDEX('CARNET DE SOUDURE'!$AA$7:$AA$1506,MATCH(74,'CARNET DE SOUDURE'!$AP$7:$AP$1506,0))&lt;&gt;"",INDEX('CARNET DE SOUDURE'!$Y$7:$Y$1506,MATCH(74,'CARNET DE SOUDURE'!$AP$7:$AP$1506,0)),INDEX('CARNET DE SOUDURE'!$T$7:$T$1506,MATCH(74,'CARNET DE SOUDURE'!$AP$7:$AP$1506,0)))))</f>
        <v/>
      </c>
      <c r="H85" s="110" t="str">
        <f aca="false">IF($B85="","",IF(INDEX('CARNET DE SOUDURE'!$AF$7:$AF$1506,MATCH(74,'CARNET DE SOUDURE'!$AP$7:$AP$1506,0))&lt;&gt;"",INDEX('CARNET DE SOUDURE'!$AE$7:$AE$1506,MATCH(74,'CARNET DE SOUDURE'!$AP$7:$AP$1506,0)),IF(INDEX('CARNET DE SOUDURE'!$AA$7:$AA$1506,MATCH(74,'CARNET DE SOUDURE'!$AP$7:$AP$1506,0))&lt;&gt;"",INDEX('CARNET DE SOUDURE'!$Z$7:$Z$1506,MATCH(74,'CARNET DE SOUDURE'!$AP$7:$AP$1506,0)),INDEX('CARNET DE SOUDURE'!$U$7:$U$1506,MATCH(74,'CARNET DE SOUDURE'!$AP$7:$AP$1506,0))))&amp;"")</f>
        <v/>
      </c>
      <c r="I85" s="112" t="str">
        <f aca="false">IF($B85="","",INDEX('CARNET DE SOUDURE'!$AK$7:$AK$1506,MATCH(74,'CARNET DE SOUDURE'!$AP$7:$AP$1506,0)))</f>
        <v/>
      </c>
      <c r="J85" s="113" t="str">
        <f aca="false">IF($B85="","",INDEX('CARNET DE SOUDURE'!$AL$7:$AL$1506,MATCH(74,'CARNET DE SOUDURE'!$AP$7:$AP$1506,0)))</f>
        <v/>
      </c>
      <c r="K85" s="87"/>
      <c r="L85" s="87"/>
    </row>
    <row r="86" customFormat="false" ht="15" hidden="false" customHeight="false" outlineLevel="0" collapsed="false">
      <c r="B86" s="91" t="str">
        <f aca="false">IF(75&gt;$I$4,"",75)</f>
        <v/>
      </c>
      <c r="C86" s="91" t="str">
        <f aca="false">IF($B86="","",INDEX('CARNET DE SOUDURE'!$B$7:$B$1506,MATCH(75,'CARNET DE SOUDURE'!$AP$7:$AP$1506,0)))</f>
        <v/>
      </c>
      <c r="D86" s="91" t="str">
        <f aca="false">IF($B86="","",INDEX('CARNET DE SOUDURE'!$E$7:$E$1506,MATCH(75,'CARNET DE SOUDURE'!$AP$7:$AP$1506,0)))</f>
        <v/>
      </c>
      <c r="E86" s="91" t="str">
        <f aca="false">IF($B86="","",INDEX('CARNET DE SOUDURE'!$M$7:$M$1506,MATCH(75,'CARNET DE SOUDURE'!$AP$7:$AP$1506,0))&amp;" / "&amp;INDEX('CARNET DE SOUDURE'!$N$7:$N$1506,MATCH(75,'CARNET DE SOUDURE'!$AP$7:$AP$1506,0))&amp;" / "&amp;INDEX('CARNET DE SOUDURE'!$O$7:$O$1506,MATCH(75,'CARNET DE SOUDURE'!$AP$7:$AP$1506,0)))</f>
        <v/>
      </c>
      <c r="F86" s="91" t="str">
        <f aca="false">IF($B86="","",INDEX('CARNET DE SOUDURE'!$AJ$7:$AJ$1506,MATCH(75,'CARNET DE SOUDURE'!$AP$7:$AP$1506,0)))</f>
        <v/>
      </c>
      <c r="G86" s="108" t="str">
        <f aca="false">IF($B86="","",IF(INDEX('CARNET DE SOUDURE'!$AF$7:$AF$1506,MATCH(75,'CARNET DE SOUDURE'!$AP$7:$AP$1506,0))&lt;&gt;"",INDEX('CARNET DE SOUDURE'!$AD$7:$AD$1506,MATCH(75,'CARNET DE SOUDURE'!$AP$7:$AP$1506,0)),IF(INDEX('CARNET DE SOUDURE'!$AA$7:$AA$1506,MATCH(75,'CARNET DE SOUDURE'!$AP$7:$AP$1506,0))&lt;&gt;"",INDEX('CARNET DE SOUDURE'!$Y$7:$Y$1506,MATCH(75,'CARNET DE SOUDURE'!$AP$7:$AP$1506,0)),INDEX('CARNET DE SOUDURE'!$T$7:$T$1506,MATCH(75,'CARNET DE SOUDURE'!$AP$7:$AP$1506,0)))))</f>
        <v/>
      </c>
      <c r="H86" s="91" t="str">
        <f aca="false">IF($B86="","",IF(INDEX('CARNET DE SOUDURE'!$AF$7:$AF$1506,MATCH(75,'CARNET DE SOUDURE'!$AP$7:$AP$1506,0))&lt;&gt;"",INDEX('CARNET DE SOUDURE'!$AE$7:$AE$1506,MATCH(75,'CARNET DE SOUDURE'!$AP$7:$AP$1506,0)),IF(INDEX('CARNET DE SOUDURE'!$AA$7:$AA$1506,MATCH(75,'CARNET DE SOUDURE'!$AP$7:$AP$1506,0))&lt;&gt;"",INDEX('CARNET DE SOUDURE'!$Z$7:$Z$1506,MATCH(75,'CARNET DE SOUDURE'!$AP$7:$AP$1506,0)),INDEX('CARNET DE SOUDURE'!$U$7:$U$1506,MATCH(75,'CARNET DE SOUDURE'!$AP$7:$AP$1506,0))))&amp;"")</f>
        <v/>
      </c>
      <c r="I86" s="91" t="str">
        <f aca="false">IF($B86="","",INDEX('CARNET DE SOUDURE'!$AK$7:$AK$1506,MATCH(75,'CARNET DE SOUDURE'!$AP$7:$AP$1506,0)))</f>
        <v/>
      </c>
      <c r="J86" s="109" t="str">
        <f aca="false">IF($B86="","",INDEX('CARNET DE SOUDURE'!$AL$7:$AL$1506,MATCH(75,'CARNET DE SOUDURE'!$AP$7:$AP$1506,0)))</f>
        <v/>
      </c>
      <c r="K86" s="87"/>
      <c r="L86" s="87"/>
    </row>
    <row r="87" customFormat="false" ht="15" hidden="false" customHeight="false" outlineLevel="0" collapsed="false">
      <c r="B87" s="110" t="str">
        <f aca="false">IF(76&gt;$I$4,"",76)</f>
        <v/>
      </c>
      <c r="C87" s="110" t="str">
        <f aca="false">IF($B87="","",INDEX('CARNET DE SOUDURE'!$B$7:$B$1506,MATCH(76,'CARNET DE SOUDURE'!$AP$7:$AP$1506,0)))</f>
        <v/>
      </c>
      <c r="D87" s="110" t="str">
        <f aca="false">IF($B87="","",INDEX('CARNET DE SOUDURE'!$E$7:$E$1506,MATCH(76,'CARNET DE SOUDURE'!$AP$7:$AP$1506,0)))</f>
        <v/>
      </c>
      <c r="E87" s="110" t="str">
        <f aca="false">IF($B87="","",INDEX('CARNET DE SOUDURE'!$M$7:$M$1506,MATCH(76,'CARNET DE SOUDURE'!$AP$7:$AP$1506,0))&amp;" / "&amp;INDEX('CARNET DE SOUDURE'!$N$7:$N$1506,MATCH(76,'CARNET DE SOUDURE'!$AP$7:$AP$1506,0))&amp;" / "&amp;INDEX('CARNET DE SOUDURE'!$O$7:$O$1506,MATCH(76,'CARNET DE SOUDURE'!$AP$7:$AP$1506,0)))</f>
        <v/>
      </c>
      <c r="F87" s="112" t="str">
        <f aca="false">IF($B87="","",INDEX('CARNET DE SOUDURE'!$AJ$7:$AJ$1506,MATCH(76,'CARNET DE SOUDURE'!$AP$7:$AP$1506,0)))</f>
        <v/>
      </c>
      <c r="G87" s="111" t="str">
        <f aca="false">IF($B87="","",IF(INDEX('CARNET DE SOUDURE'!$AF$7:$AF$1506,MATCH(76,'CARNET DE SOUDURE'!$AP$7:$AP$1506,0))&lt;&gt;"",INDEX('CARNET DE SOUDURE'!$AD$7:$AD$1506,MATCH(76,'CARNET DE SOUDURE'!$AP$7:$AP$1506,0)),IF(INDEX('CARNET DE SOUDURE'!$AA$7:$AA$1506,MATCH(76,'CARNET DE SOUDURE'!$AP$7:$AP$1506,0))&lt;&gt;"",INDEX('CARNET DE SOUDURE'!$Y$7:$Y$1506,MATCH(76,'CARNET DE SOUDURE'!$AP$7:$AP$1506,0)),INDEX('CARNET DE SOUDURE'!$T$7:$T$1506,MATCH(76,'CARNET DE SOUDURE'!$AP$7:$AP$1506,0)))))</f>
        <v/>
      </c>
      <c r="H87" s="110" t="str">
        <f aca="false">IF($B87="","",IF(INDEX('CARNET DE SOUDURE'!$AF$7:$AF$1506,MATCH(76,'CARNET DE SOUDURE'!$AP$7:$AP$1506,0))&lt;&gt;"",INDEX('CARNET DE SOUDURE'!$AE$7:$AE$1506,MATCH(76,'CARNET DE SOUDURE'!$AP$7:$AP$1506,0)),IF(INDEX('CARNET DE SOUDURE'!$AA$7:$AA$1506,MATCH(76,'CARNET DE SOUDURE'!$AP$7:$AP$1506,0))&lt;&gt;"",INDEX('CARNET DE SOUDURE'!$Z$7:$Z$1506,MATCH(76,'CARNET DE SOUDURE'!$AP$7:$AP$1506,0)),INDEX('CARNET DE SOUDURE'!$U$7:$U$1506,MATCH(76,'CARNET DE SOUDURE'!$AP$7:$AP$1506,0))))&amp;"")</f>
        <v/>
      </c>
      <c r="I87" s="112" t="str">
        <f aca="false">IF($B87="","",INDEX('CARNET DE SOUDURE'!$AK$7:$AK$1506,MATCH(76,'CARNET DE SOUDURE'!$AP$7:$AP$1506,0)))</f>
        <v/>
      </c>
      <c r="J87" s="113" t="str">
        <f aca="false">IF($B87="","",INDEX('CARNET DE SOUDURE'!$AL$7:$AL$1506,MATCH(76,'CARNET DE SOUDURE'!$AP$7:$AP$1506,0)))</f>
        <v/>
      </c>
      <c r="K87" s="87"/>
      <c r="L87" s="87"/>
    </row>
    <row r="88" customFormat="false" ht="15" hidden="false" customHeight="false" outlineLevel="0" collapsed="false">
      <c r="B88" s="91" t="str">
        <f aca="false">IF(77&gt;$I$4,"",77)</f>
        <v/>
      </c>
      <c r="C88" s="91" t="str">
        <f aca="false">IF($B88="","",INDEX('CARNET DE SOUDURE'!$B$7:$B$1506,MATCH(77,'CARNET DE SOUDURE'!$AP$7:$AP$1506,0)))</f>
        <v/>
      </c>
      <c r="D88" s="91" t="str">
        <f aca="false">IF($B88="","",INDEX('CARNET DE SOUDURE'!$E$7:$E$1506,MATCH(77,'CARNET DE SOUDURE'!$AP$7:$AP$1506,0)))</f>
        <v/>
      </c>
      <c r="E88" s="91" t="str">
        <f aca="false">IF($B88="","",INDEX('CARNET DE SOUDURE'!$M$7:$M$1506,MATCH(77,'CARNET DE SOUDURE'!$AP$7:$AP$1506,0))&amp;" / "&amp;INDEX('CARNET DE SOUDURE'!$N$7:$N$1506,MATCH(77,'CARNET DE SOUDURE'!$AP$7:$AP$1506,0))&amp;" / "&amp;INDEX('CARNET DE SOUDURE'!$O$7:$O$1506,MATCH(77,'CARNET DE SOUDURE'!$AP$7:$AP$1506,0)))</f>
        <v/>
      </c>
      <c r="F88" s="91" t="str">
        <f aca="false">IF($B88="","",INDEX('CARNET DE SOUDURE'!$AJ$7:$AJ$1506,MATCH(77,'CARNET DE SOUDURE'!$AP$7:$AP$1506,0)))</f>
        <v/>
      </c>
      <c r="G88" s="108" t="str">
        <f aca="false">IF($B88="","",IF(INDEX('CARNET DE SOUDURE'!$AF$7:$AF$1506,MATCH(77,'CARNET DE SOUDURE'!$AP$7:$AP$1506,0))&lt;&gt;"",INDEX('CARNET DE SOUDURE'!$AD$7:$AD$1506,MATCH(77,'CARNET DE SOUDURE'!$AP$7:$AP$1506,0)),IF(INDEX('CARNET DE SOUDURE'!$AA$7:$AA$1506,MATCH(77,'CARNET DE SOUDURE'!$AP$7:$AP$1506,0))&lt;&gt;"",INDEX('CARNET DE SOUDURE'!$Y$7:$Y$1506,MATCH(77,'CARNET DE SOUDURE'!$AP$7:$AP$1506,0)),INDEX('CARNET DE SOUDURE'!$T$7:$T$1506,MATCH(77,'CARNET DE SOUDURE'!$AP$7:$AP$1506,0)))))</f>
        <v/>
      </c>
      <c r="H88" s="91" t="str">
        <f aca="false">IF($B88="","",IF(INDEX('CARNET DE SOUDURE'!$AF$7:$AF$1506,MATCH(77,'CARNET DE SOUDURE'!$AP$7:$AP$1506,0))&lt;&gt;"",INDEX('CARNET DE SOUDURE'!$AE$7:$AE$1506,MATCH(77,'CARNET DE SOUDURE'!$AP$7:$AP$1506,0)),IF(INDEX('CARNET DE SOUDURE'!$AA$7:$AA$1506,MATCH(77,'CARNET DE SOUDURE'!$AP$7:$AP$1506,0))&lt;&gt;"",INDEX('CARNET DE SOUDURE'!$Z$7:$Z$1506,MATCH(77,'CARNET DE SOUDURE'!$AP$7:$AP$1506,0)),INDEX('CARNET DE SOUDURE'!$U$7:$U$1506,MATCH(77,'CARNET DE SOUDURE'!$AP$7:$AP$1506,0))))&amp;"")</f>
        <v/>
      </c>
      <c r="I88" s="91" t="str">
        <f aca="false">IF($B88="","",INDEX('CARNET DE SOUDURE'!$AK$7:$AK$1506,MATCH(77,'CARNET DE SOUDURE'!$AP$7:$AP$1506,0)))</f>
        <v/>
      </c>
      <c r="J88" s="109" t="str">
        <f aca="false">IF($B88="","",INDEX('CARNET DE SOUDURE'!$AL$7:$AL$1506,MATCH(77,'CARNET DE SOUDURE'!$AP$7:$AP$1506,0)))</f>
        <v/>
      </c>
      <c r="K88" s="87"/>
      <c r="L88" s="87"/>
    </row>
    <row r="89" customFormat="false" ht="15" hidden="false" customHeight="false" outlineLevel="0" collapsed="false">
      <c r="B89" s="110" t="str">
        <f aca="false">IF(78&gt;$I$4,"",78)</f>
        <v/>
      </c>
      <c r="C89" s="110" t="str">
        <f aca="false">IF($B89="","",INDEX('CARNET DE SOUDURE'!$B$7:$B$1506,MATCH(78,'CARNET DE SOUDURE'!$AP$7:$AP$1506,0)))</f>
        <v/>
      </c>
      <c r="D89" s="110" t="str">
        <f aca="false">IF($B89="","",INDEX('CARNET DE SOUDURE'!$E$7:$E$1506,MATCH(78,'CARNET DE SOUDURE'!$AP$7:$AP$1506,0)))</f>
        <v/>
      </c>
      <c r="E89" s="110" t="str">
        <f aca="false">IF($B89="","",INDEX('CARNET DE SOUDURE'!$M$7:$M$1506,MATCH(78,'CARNET DE SOUDURE'!$AP$7:$AP$1506,0))&amp;" / "&amp;INDEX('CARNET DE SOUDURE'!$N$7:$N$1506,MATCH(78,'CARNET DE SOUDURE'!$AP$7:$AP$1506,0))&amp;" / "&amp;INDEX('CARNET DE SOUDURE'!$O$7:$O$1506,MATCH(78,'CARNET DE SOUDURE'!$AP$7:$AP$1506,0)))</f>
        <v/>
      </c>
      <c r="F89" s="112" t="str">
        <f aca="false">IF($B89="","",INDEX('CARNET DE SOUDURE'!$AJ$7:$AJ$1506,MATCH(78,'CARNET DE SOUDURE'!$AP$7:$AP$1506,0)))</f>
        <v/>
      </c>
      <c r="G89" s="111" t="str">
        <f aca="false">IF($B89="","",IF(INDEX('CARNET DE SOUDURE'!$AF$7:$AF$1506,MATCH(78,'CARNET DE SOUDURE'!$AP$7:$AP$1506,0))&lt;&gt;"",INDEX('CARNET DE SOUDURE'!$AD$7:$AD$1506,MATCH(78,'CARNET DE SOUDURE'!$AP$7:$AP$1506,0)),IF(INDEX('CARNET DE SOUDURE'!$AA$7:$AA$1506,MATCH(78,'CARNET DE SOUDURE'!$AP$7:$AP$1506,0))&lt;&gt;"",INDEX('CARNET DE SOUDURE'!$Y$7:$Y$1506,MATCH(78,'CARNET DE SOUDURE'!$AP$7:$AP$1506,0)),INDEX('CARNET DE SOUDURE'!$T$7:$T$1506,MATCH(78,'CARNET DE SOUDURE'!$AP$7:$AP$1506,0)))))</f>
        <v/>
      </c>
      <c r="H89" s="110" t="str">
        <f aca="false">IF($B89="","",IF(INDEX('CARNET DE SOUDURE'!$AF$7:$AF$1506,MATCH(78,'CARNET DE SOUDURE'!$AP$7:$AP$1506,0))&lt;&gt;"",INDEX('CARNET DE SOUDURE'!$AE$7:$AE$1506,MATCH(78,'CARNET DE SOUDURE'!$AP$7:$AP$1506,0)),IF(INDEX('CARNET DE SOUDURE'!$AA$7:$AA$1506,MATCH(78,'CARNET DE SOUDURE'!$AP$7:$AP$1506,0))&lt;&gt;"",INDEX('CARNET DE SOUDURE'!$Z$7:$Z$1506,MATCH(78,'CARNET DE SOUDURE'!$AP$7:$AP$1506,0)),INDEX('CARNET DE SOUDURE'!$U$7:$U$1506,MATCH(78,'CARNET DE SOUDURE'!$AP$7:$AP$1506,0))))&amp;"")</f>
        <v/>
      </c>
      <c r="I89" s="112" t="str">
        <f aca="false">IF($B89="","",INDEX('CARNET DE SOUDURE'!$AK$7:$AK$1506,MATCH(78,'CARNET DE SOUDURE'!$AP$7:$AP$1506,0)))</f>
        <v/>
      </c>
      <c r="J89" s="113" t="str">
        <f aca="false">IF($B89="","",INDEX('CARNET DE SOUDURE'!$AL$7:$AL$1506,MATCH(78,'CARNET DE SOUDURE'!$AP$7:$AP$1506,0)))</f>
        <v/>
      </c>
      <c r="K89" s="87"/>
      <c r="L89" s="87"/>
    </row>
    <row r="90" customFormat="false" ht="15" hidden="false" customHeight="false" outlineLevel="0" collapsed="false">
      <c r="B90" s="91" t="str">
        <f aca="false">IF(79&gt;$I$4,"",79)</f>
        <v/>
      </c>
      <c r="C90" s="91" t="str">
        <f aca="false">IF($B90="","",INDEX('CARNET DE SOUDURE'!$B$7:$B$1506,MATCH(79,'CARNET DE SOUDURE'!$AP$7:$AP$1506,0)))</f>
        <v/>
      </c>
      <c r="D90" s="91" t="str">
        <f aca="false">IF($B90="","",INDEX('CARNET DE SOUDURE'!$E$7:$E$1506,MATCH(79,'CARNET DE SOUDURE'!$AP$7:$AP$1506,0)))</f>
        <v/>
      </c>
      <c r="E90" s="91" t="str">
        <f aca="false">IF($B90="","",INDEX('CARNET DE SOUDURE'!$M$7:$M$1506,MATCH(79,'CARNET DE SOUDURE'!$AP$7:$AP$1506,0))&amp;" / "&amp;INDEX('CARNET DE SOUDURE'!$N$7:$N$1506,MATCH(79,'CARNET DE SOUDURE'!$AP$7:$AP$1506,0))&amp;" / "&amp;INDEX('CARNET DE SOUDURE'!$O$7:$O$1506,MATCH(79,'CARNET DE SOUDURE'!$AP$7:$AP$1506,0)))</f>
        <v/>
      </c>
      <c r="F90" s="91" t="str">
        <f aca="false">IF($B90="","",INDEX('CARNET DE SOUDURE'!$AJ$7:$AJ$1506,MATCH(79,'CARNET DE SOUDURE'!$AP$7:$AP$1506,0)))</f>
        <v/>
      </c>
      <c r="G90" s="108" t="str">
        <f aca="false">IF($B90="","",IF(INDEX('CARNET DE SOUDURE'!$AF$7:$AF$1506,MATCH(79,'CARNET DE SOUDURE'!$AP$7:$AP$1506,0))&lt;&gt;"",INDEX('CARNET DE SOUDURE'!$AD$7:$AD$1506,MATCH(79,'CARNET DE SOUDURE'!$AP$7:$AP$1506,0)),IF(INDEX('CARNET DE SOUDURE'!$AA$7:$AA$1506,MATCH(79,'CARNET DE SOUDURE'!$AP$7:$AP$1506,0))&lt;&gt;"",INDEX('CARNET DE SOUDURE'!$Y$7:$Y$1506,MATCH(79,'CARNET DE SOUDURE'!$AP$7:$AP$1506,0)),INDEX('CARNET DE SOUDURE'!$T$7:$T$1506,MATCH(79,'CARNET DE SOUDURE'!$AP$7:$AP$1506,0)))))</f>
        <v/>
      </c>
      <c r="H90" s="91" t="str">
        <f aca="false">IF($B90="","",IF(INDEX('CARNET DE SOUDURE'!$AF$7:$AF$1506,MATCH(79,'CARNET DE SOUDURE'!$AP$7:$AP$1506,0))&lt;&gt;"",INDEX('CARNET DE SOUDURE'!$AE$7:$AE$1506,MATCH(79,'CARNET DE SOUDURE'!$AP$7:$AP$1506,0)),IF(INDEX('CARNET DE SOUDURE'!$AA$7:$AA$1506,MATCH(79,'CARNET DE SOUDURE'!$AP$7:$AP$1506,0))&lt;&gt;"",INDEX('CARNET DE SOUDURE'!$Z$7:$Z$1506,MATCH(79,'CARNET DE SOUDURE'!$AP$7:$AP$1506,0)),INDEX('CARNET DE SOUDURE'!$U$7:$U$1506,MATCH(79,'CARNET DE SOUDURE'!$AP$7:$AP$1506,0))))&amp;"")</f>
        <v/>
      </c>
      <c r="I90" s="91" t="str">
        <f aca="false">IF($B90="","",INDEX('CARNET DE SOUDURE'!$AK$7:$AK$1506,MATCH(79,'CARNET DE SOUDURE'!$AP$7:$AP$1506,0)))</f>
        <v/>
      </c>
      <c r="J90" s="109" t="str">
        <f aca="false">IF($B90="","",INDEX('CARNET DE SOUDURE'!$AL$7:$AL$1506,MATCH(79,'CARNET DE SOUDURE'!$AP$7:$AP$1506,0)))</f>
        <v/>
      </c>
      <c r="K90" s="87"/>
      <c r="L90" s="87"/>
    </row>
    <row r="91" customFormat="false" ht="15" hidden="false" customHeight="false" outlineLevel="0" collapsed="false">
      <c r="B91" s="110" t="str">
        <f aca="false">IF(80&gt;$I$4,"",80)</f>
        <v/>
      </c>
      <c r="C91" s="110" t="str">
        <f aca="false">IF($B91="","",INDEX('CARNET DE SOUDURE'!$B$7:$B$1506,MATCH(80,'CARNET DE SOUDURE'!$AP$7:$AP$1506,0)))</f>
        <v/>
      </c>
      <c r="D91" s="110" t="str">
        <f aca="false">IF($B91="","",INDEX('CARNET DE SOUDURE'!$E$7:$E$1506,MATCH(80,'CARNET DE SOUDURE'!$AP$7:$AP$1506,0)))</f>
        <v/>
      </c>
      <c r="E91" s="110" t="str">
        <f aca="false">IF($B91="","",INDEX('CARNET DE SOUDURE'!$M$7:$M$1506,MATCH(80,'CARNET DE SOUDURE'!$AP$7:$AP$1506,0))&amp;" / "&amp;INDEX('CARNET DE SOUDURE'!$N$7:$N$1506,MATCH(80,'CARNET DE SOUDURE'!$AP$7:$AP$1506,0))&amp;" / "&amp;INDEX('CARNET DE SOUDURE'!$O$7:$O$1506,MATCH(80,'CARNET DE SOUDURE'!$AP$7:$AP$1506,0)))</f>
        <v/>
      </c>
      <c r="F91" s="112" t="str">
        <f aca="false">IF($B91="","",INDEX('CARNET DE SOUDURE'!$AJ$7:$AJ$1506,MATCH(80,'CARNET DE SOUDURE'!$AP$7:$AP$1506,0)))</f>
        <v/>
      </c>
      <c r="G91" s="111" t="str">
        <f aca="false">IF($B91="","",IF(INDEX('CARNET DE SOUDURE'!$AF$7:$AF$1506,MATCH(80,'CARNET DE SOUDURE'!$AP$7:$AP$1506,0))&lt;&gt;"",INDEX('CARNET DE SOUDURE'!$AD$7:$AD$1506,MATCH(80,'CARNET DE SOUDURE'!$AP$7:$AP$1506,0)),IF(INDEX('CARNET DE SOUDURE'!$AA$7:$AA$1506,MATCH(80,'CARNET DE SOUDURE'!$AP$7:$AP$1506,0))&lt;&gt;"",INDEX('CARNET DE SOUDURE'!$Y$7:$Y$1506,MATCH(80,'CARNET DE SOUDURE'!$AP$7:$AP$1506,0)),INDEX('CARNET DE SOUDURE'!$T$7:$T$1506,MATCH(80,'CARNET DE SOUDURE'!$AP$7:$AP$1506,0)))))</f>
        <v/>
      </c>
      <c r="H91" s="110" t="str">
        <f aca="false">IF($B91="","",IF(INDEX('CARNET DE SOUDURE'!$AF$7:$AF$1506,MATCH(80,'CARNET DE SOUDURE'!$AP$7:$AP$1506,0))&lt;&gt;"",INDEX('CARNET DE SOUDURE'!$AE$7:$AE$1506,MATCH(80,'CARNET DE SOUDURE'!$AP$7:$AP$1506,0)),IF(INDEX('CARNET DE SOUDURE'!$AA$7:$AA$1506,MATCH(80,'CARNET DE SOUDURE'!$AP$7:$AP$1506,0))&lt;&gt;"",INDEX('CARNET DE SOUDURE'!$Z$7:$Z$1506,MATCH(80,'CARNET DE SOUDURE'!$AP$7:$AP$1506,0)),INDEX('CARNET DE SOUDURE'!$U$7:$U$1506,MATCH(80,'CARNET DE SOUDURE'!$AP$7:$AP$1506,0))))&amp;"")</f>
        <v/>
      </c>
      <c r="I91" s="112" t="str">
        <f aca="false">IF($B91="","",INDEX('CARNET DE SOUDURE'!$AK$7:$AK$1506,MATCH(80,'CARNET DE SOUDURE'!$AP$7:$AP$1506,0)))</f>
        <v/>
      </c>
      <c r="J91" s="113" t="str">
        <f aca="false">IF($B91="","",INDEX('CARNET DE SOUDURE'!$AL$7:$AL$1506,MATCH(80,'CARNET DE SOUDURE'!$AP$7:$AP$1506,0)))</f>
        <v/>
      </c>
      <c r="K91" s="87"/>
      <c r="L91" s="87"/>
    </row>
    <row r="92" customFormat="false" ht="15" hidden="false" customHeight="false" outlineLevel="0" collapsed="false">
      <c r="B92" s="91" t="str">
        <f aca="false">IF(81&gt;$I$4,"",81)</f>
        <v/>
      </c>
      <c r="C92" s="91" t="str">
        <f aca="false">IF($B92="","",INDEX('CARNET DE SOUDURE'!$B$7:$B$1506,MATCH(81,'CARNET DE SOUDURE'!$AP$7:$AP$1506,0)))</f>
        <v/>
      </c>
      <c r="D92" s="91" t="str">
        <f aca="false">IF($B92="","",INDEX('CARNET DE SOUDURE'!$E$7:$E$1506,MATCH(81,'CARNET DE SOUDURE'!$AP$7:$AP$1506,0)))</f>
        <v/>
      </c>
      <c r="E92" s="91" t="str">
        <f aca="false">IF($B92="","",INDEX('CARNET DE SOUDURE'!$M$7:$M$1506,MATCH(81,'CARNET DE SOUDURE'!$AP$7:$AP$1506,0))&amp;" / "&amp;INDEX('CARNET DE SOUDURE'!$N$7:$N$1506,MATCH(81,'CARNET DE SOUDURE'!$AP$7:$AP$1506,0))&amp;" / "&amp;INDEX('CARNET DE SOUDURE'!$O$7:$O$1506,MATCH(81,'CARNET DE SOUDURE'!$AP$7:$AP$1506,0)))</f>
        <v/>
      </c>
      <c r="F92" s="91" t="str">
        <f aca="false">IF($B92="","",INDEX('CARNET DE SOUDURE'!$AJ$7:$AJ$1506,MATCH(81,'CARNET DE SOUDURE'!$AP$7:$AP$1506,0)))</f>
        <v/>
      </c>
      <c r="G92" s="108" t="str">
        <f aca="false">IF($B92="","",IF(INDEX('CARNET DE SOUDURE'!$AF$7:$AF$1506,MATCH(81,'CARNET DE SOUDURE'!$AP$7:$AP$1506,0))&lt;&gt;"",INDEX('CARNET DE SOUDURE'!$AD$7:$AD$1506,MATCH(81,'CARNET DE SOUDURE'!$AP$7:$AP$1506,0)),IF(INDEX('CARNET DE SOUDURE'!$AA$7:$AA$1506,MATCH(81,'CARNET DE SOUDURE'!$AP$7:$AP$1506,0))&lt;&gt;"",INDEX('CARNET DE SOUDURE'!$Y$7:$Y$1506,MATCH(81,'CARNET DE SOUDURE'!$AP$7:$AP$1506,0)),INDEX('CARNET DE SOUDURE'!$T$7:$T$1506,MATCH(81,'CARNET DE SOUDURE'!$AP$7:$AP$1506,0)))))</f>
        <v/>
      </c>
      <c r="H92" s="91" t="str">
        <f aca="false">IF($B92="","",IF(INDEX('CARNET DE SOUDURE'!$AF$7:$AF$1506,MATCH(81,'CARNET DE SOUDURE'!$AP$7:$AP$1506,0))&lt;&gt;"",INDEX('CARNET DE SOUDURE'!$AE$7:$AE$1506,MATCH(81,'CARNET DE SOUDURE'!$AP$7:$AP$1506,0)),IF(INDEX('CARNET DE SOUDURE'!$AA$7:$AA$1506,MATCH(81,'CARNET DE SOUDURE'!$AP$7:$AP$1506,0))&lt;&gt;"",INDEX('CARNET DE SOUDURE'!$Z$7:$Z$1506,MATCH(81,'CARNET DE SOUDURE'!$AP$7:$AP$1506,0)),INDEX('CARNET DE SOUDURE'!$U$7:$U$1506,MATCH(81,'CARNET DE SOUDURE'!$AP$7:$AP$1506,0))))&amp;"")</f>
        <v/>
      </c>
      <c r="I92" s="91" t="str">
        <f aca="false">IF($B92="","",INDEX('CARNET DE SOUDURE'!$AK$7:$AK$1506,MATCH(81,'CARNET DE SOUDURE'!$AP$7:$AP$1506,0)))</f>
        <v/>
      </c>
      <c r="J92" s="109" t="str">
        <f aca="false">IF($B92="","",INDEX('CARNET DE SOUDURE'!$AL$7:$AL$1506,MATCH(81,'CARNET DE SOUDURE'!$AP$7:$AP$1506,0)))</f>
        <v/>
      </c>
      <c r="K92" s="87"/>
      <c r="L92" s="87"/>
    </row>
    <row r="93" customFormat="false" ht="15" hidden="false" customHeight="false" outlineLevel="0" collapsed="false">
      <c r="B93" s="110" t="str">
        <f aca="false">IF(82&gt;$I$4,"",82)</f>
        <v/>
      </c>
      <c r="C93" s="110" t="str">
        <f aca="false">IF($B93="","",INDEX('CARNET DE SOUDURE'!$B$7:$B$1506,MATCH(82,'CARNET DE SOUDURE'!$AP$7:$AP$1506,0)))</f>
        <v/>
      </c>
      <c r="D93" s="110" t="str">
        <f aca="false">IF($B93="","",INDEX('CARNET DE SOUDURE'!$E$7:$E$1506,MATCH(82,'CARNET DE SOUDURE'!$AP$7:$AP$1506,0)))</f>
        <v/>
      </c>
      <c r="E93" s="110" t="str">
        <f aca="false">IF($B93="","",INDEX('CARNET DE SOUDURE'!$M$7:$M$1506,MATCH(82,'CARNET DE SOUDURE'!$AP$7:$AP$1506,0))&amp;" / "&amp;INDEX('CARNET DE SOUDURE'!$N$7:$N$1506,MATCH(82,'CARNET DE SOUDURE'!$AP$7:$AP$1506,0))&amp;" / "&amp;INDEX('CARNET DE SOUDURE'!$O$7:$O$1506,MATCH(82,'CARNET DE SOUDURE'!$AP$7:$AP$1506,0)))</f>
        <v/>
      </c>
      <c r="F93" s="112" t="str">
        <f aca="false">IF($B93="","",INDEX('CARNET DE SOUDURE'!$AJ$7:$AJ$1506,MATCH(82,'CARNET DE SOUDURE'!$AP$7:$AP$1506,0)))</f>
        <v/>
      </c>
      <c r="G93" s="111" t="str">
        <f aca="false">IF($B93="","",IF(INDEX('CARNET DE SOUDURE'!$AF$7:$AF$1506,MATCH(82,'CARNET DE SOUDURE'!$AP$7:$AP$1506,0))&lt;&gt;"",INDEX('CARNET DE SOUDURE'!$AD$7:$AD$1506,MATCH(82,'CARNET DE SOUDURE'!$AP$7:$AP$1506,0)),IF(INDEX('CARNET DE SOUDURE'!$AA$7:$AA$1506,MATCH(82,'CARNET DE SOUDURE'!$AP$7:$AP$1506,0))&lt;&gt;"",INDEX('CARNET DE SOUDURE'!$Y$7:$Y$1506,MATCH(82,'CARNET DE SOUDURE'!$AP$7:$AP$1506,0)),INDEX('CARNET DE SOUDURE'!$T$7:$T$1506,MATCH(82,'CARNET DE SOUDURE'!$AP$7:$AP$1506,0)))))</f>
        <v/>
      </c>
      <c r="H93" s="110" t="str">
        <f aca="false">IF($B93="","",IF(INDEX('CARNET DE SOUDURE'!$AF$7:$AF$1506,MATCH(82,'CARNET DE SOUDURE'!$AP$7:$AP$1506,0))&lt;&gt;"",INDEX('CARNET DE SOUDURE'!$AE$7:$AE$1506,MATCH(82,'CARNET DE SOUDURE'!$AP$7:$AP$1506,0)),IF(INDEX('CARNET DE SOUDURE'!$AA$7:$AA$1506,MATCH(82,'CARNET DE SOUDURE'!$AP$7:$AP$1506,0))&lt;&gt;"",INDEX('CARNET DE SOUDURE'!$Z$7:$Z$1506,MATCH(82,'CARNET DE SOUDURE'!$AP$7:$AP$1506,0)),INDEX('CARNET DE SOUDURE'!$U$7:$U$1506,MATCH(82,'CARNET DE SOUDURE'!$AP$7:$AP$1506,0))))&amp;"")</f>
        <v/>
      </c>
      <c r="I93" s="112" t="str">
        <f aca="false">IF($B93="","",INDEX('CARNET DE SOUDURE'!$AK$7:$AK$1506,MATCH(82,'CARNET DE SOUDURE'!$AP$7:$AP$1506,0)))</f>
        <v/>
      </c>
      <c r="J93" s="113" t="str">
        <f aca="false">IF($B93="","",INDEX('CARNET DE SOUDURE'!$AL$7:$AL$1506,MATCH(82,'CARNET DE SOUDURE'!$AP$7:$AP$1506,0)))</f>
        <v/>
      </c>
      <c r="K93" s="87"/>
      <c r="L93" s="87"/>
    </row>
    <row r="94" customFormat="false" ht="15" hidden="false" customHeight="false" outlineLevel="0" collapsed="false">
      <c r="B94" s="91" t="str">
        <f aca="false">IF(83&gt;$I$4,"",83)</f>
        <v/>
      </c>
      <c r="C94" s="91" t="str">
        <f aca="false">IF($B94="","",INDEX('CARNET DE SOUDURE'!$B$7:$B$1506,MATCH(83,'CARNET DE SOUDURE'!$AP$7:$AP$1506,0)))</f>
        <v/>
      </c>
      <c r="D94" s="91" t="str">
        <f aca="false">IF($B94="","",INDEX('CARNET DE SOUDURE'!$E$7:$E$1506,MATCH(83,'CARNET DE SOUDURE'!$AP$7:$AP$1506,0)))</f>
        <v/>
      </c>
      <c r="E94" s="91" t="str">
        <f aca="false">IF($B94="","",INDEX('CARNET DE SOUDURE'!$M$7:$M$1506,MATCH(83,'CARNET DE SOUDURE'!$AP$7:$AP$1506,0))&amp;" / "&amp;INDEX('CARNET DE SOUDURE'!$N$7:$N$1506,MATCH(83,'CARNET DE SOUDURE'!$AP$7:$AP$1506,0))&amp;" / "&amp;INDEX('CARNET DE SOUDURE'!$O$7:$O$1506,MATCH(83,'CARNET DE SOUDURE'!$AP$7:$AP$1506,0)))</f>
        <v/>
      </c>
      <c r="F94" s="91" t="str">
        <f aca="false">IF($B94="","",INDEX('CARNET DE SOUDURE'!$AJ$7:$AJ$1506,MATCH(83,'CARNET DE SOUDURE'!$AP$7:$AP$1506,0)))</f>
        <v/>
      </c>
      <c r="G94" s="108" t="str">
        <f aca="false">IF($B94="","",IF(INDEX('CARNET DE SOUDURE'!$AF$7:$AF$1506,MATCH(83,'CARNET DE SOUDURE'!$AP$7:$AP$1506,0))&lt;&gt;"",INDEX('CARNET DE SOUDURE'!$AD$7:$AD$1506,MATCH(83,'CARNET DE SOUDURE'!$AP$7:$AP$1506,0)),IF(INDEX('CARNET DE SOUDURE'!$AA$7:$AA$1506,MATCH(83,'CARNET DE SOUDURE'!$AP$7:$AP$1506,0))&lt;&gt;"",INDEX('CARNET DE SOUDURE'!$Y$7:$Y$1506,MATCH(83,'CARNET DE SOUDURE'!$AP$7:$AP$1506,0)),INDEX('CARNET DE SOUDURE'!$T$7:$T$1506,MATCH(83,'CARNET DE SOUDURE'!$AP$7:$AP$1506,0)))))</f>
        <v/>
      </c>
      <c r="H94" s="91" t="str">
        <f aca="false">IF($B94="","",IF(INDEX('CARNET DE SOUDURE'!$AF$7:$AF$1506,MATCH(83,'CARNET DE SOUDURE'!$AP$7:$AP$1506,0))&lt;&gt;"",INDEX('CARNET DE SOUDURE'!$AE$7:$AE$1506,MATCH(83,'CARNET DE SOUDURE'!$AP$7:$AP$1506,0)),IF(INDEX('CARNET DE SOUDURE'!$AA$7:$AA$1506,MATCH(83,'CARNET DE SOUDURE'!$AP$7:$AP$1506,0))&lt;&gt;"",INDEX('CARNET DE SOUDURE'!$Z$7:$Z$1506,MATCH(83,'CARNET DE SOUDURE'!$AP$7:$AP$1506,0)),INDEX('CARNET DE SOUDURE'!$U$7:$U$1506,MATCH(83,'CARNET DE SOUDURE'!$AP$7:$AP$1506,0))))&amp;"")</f>
        <v/>
      </c>
      <c r="I94" s="91" t="str">
        <f aca="false">IF($B94="","",INDEX('CARNET DE SOUDURE'!$AK$7:$AK$1506,MATCH(83,'CARNET DE SOUDURE'!$AP$7:$AP$1506,0)))</f>
        <v/>
      </c>
      <c r="J94" s="109" t="str">
        <f aca="false">IF($B94="","",INDEX('CARNET DE SOUDURE'!$AL$7:$AL$1506,MATCH(83,'CARNET DE SOUDURE'!$AP$7:$AP$1506,0)))</f>
        <v/>
      </c>
      <c r="K94" s="87"/>
      <c r="L94" s="87"/>
    </row>
    <row r="95" customFormat="false" ht="15" hidden="false" customHeight="false" outlineLevel="0" collapsed="false">
      <c r="B95" s="110" t="str">
        <f aca="false">IF(84&gt;$I$4,"",84)</f>
        <v/>
      </c>
      <c r="C95" s="110" t="str">
        <f aca="false">IF($B95="","",INDEX('CARNET DE SOUDURE'!$B$7:$B$1506,MATCH(84,'CARNET DE SOUDURE'!$AP$7:$AP$1506,0)))</f>
        <v/>
      </c>
      <c r="D95" s="110" t="str">
        <f aca="false">IF($B95="","",INDEX('CARNET DE SOUDURE'!$E$7:$E$1506,MATCH(84,'CARNET DE SOUDURE'!$AP$7:$AP$1506,0)))</f>
        <v/>
      </c>
      <c r="E95" s="110" t="str">
        <f aca="false">IF($B95="","",INDEX('CARNET DE SOUDURE'!$M$7:$M$1506,MATCH(84,'CARNET DE SOUDURE'!$AP$7:$AP$1506,0))&amp;" / "&amp;INDEX('CARNET DE SOUDURE'!$N$7:$N$1506,MATCH(84,'CARNET DE SOUDURE'!$AP$7:$AP$1506,0))&amp;" / "&amp;INDEX('CARNET DE SOUDURE'!$O$7:$O$1506,MATCH(84,'CARNET DE SOUDURE'!$AP$7:$AP$1506,0)))</f>
        <v/>
      </c>
      <c r="F95" s="112" t="str">
        <f aca="false">IF($B95="","",INDEX('CARNET DE SOUDURE'!$AJ$7:$AJ$1506,MATCH(84,'CARNET DE SOUDURE'!$AP$7:$AP$1506,0)))</f>
        <v/>
      </c>
      <c r="G95" s="111" t="str">
        <f aca="false">IF($B95="","",IF(INDEX('CARNET DE SOUDURE'!$AF$7:$AF$1506,MATCH(84,'CARNET DE SOUDURE'!$AP$7:$AP$1506,0))&lt;&gt;"",INDEX('CARNET DE SOUDURE'!$AD$7:$AD$1506,MATCH(84,'CARNET DE SOUDURE'!$AP$7:$AP$1506,0)),IF(INDEX('CARNET DE SOUDURE'!$AA$7:$AA$1506,MATCH(84,'CARNET DE SOUDURE'!$AP$7:$AP$1506,0))&lt;&gt;"",INDEX('CARNET DE SOUDURE'!$Y$7:$Y$1506,MATCH(84,'CARNET DE SOUDURE'!$AP$7:$AP$1506,0)),INDEX('CARNET DE SOUDURE'!$T$7:$T$1506,MATCH(84,'CARNET DE SOUDURE'!$AP$7:$AP$1506,0)))))</f>
        <v/>
      </c>
      <c r="H95" s="110" t="str">
        <f aca="false">IF($B95="","",IF(INDEX('CARNET DE SOUDURE'!$AF$7:$AF$1506,MATCH(84,'CARNET DE SOUDURE'!$AP$7:$AP$1506,0))&lt;&gt;"",INDEX('CARNET DE SOUDURE'!$AE$7:$AE$1506,MATCH(84,'CARNET DE SOUDURE'!$AP$7:$AP$1506,0)),IF(INDEX('CARNET DE SOUDURE'!$AA$7:$AA$1506,MATCH(84,'CARNET DE SOUDURE'!$AP$7:$AP$1506,0))&lt;&gt;"",INDEX('CARNET DE SOUDURE'!$Z$7:$Z$1506,MATCH(84,'CARNET DE SOUDURE'!$AP$7:$AP$1506,0)),INDEX('CARNET DE SOUDURE'!$U$7:$U$1506,MATCH(84,'CARNET DE SOUDURE'!$AP$7:$AP$1506,0))))&amp;"")</f>
        <v/>
      </c>
      <c r="I95" s="112" t="str">
        <f aca="false">IF($B95="","",INDEX('CARNET DE SOUDURE'!$AK$7:$AK$1506,MATCH(84,'CARNET DE SOUDURE'!$AP$7:$AP$1506,0)))</f>
        <v/>
      </c>
      <c r="J95" s="113" t="str">
        <f aca="false">IF($B95="","",INDEX('CARNET DE SOUDURE'!$AL$7:$AL$1506,MATCH(84,'CARNET DE SOUDURE'!$AP$7:$AP$1506,0)))</f>
        <v/>
      </c>
      <c r="K95" s="87"/>
      <c r="L95" s="87"/>
    </row>
    <row r="96" customFormat="false" ht="15" hidden="false" customHeight="false" outlineLevel="0" collapsed="false">
      <c r="B96" s="91" t="str">
        <f aca="false">IF(85&gt;$I$4,"",85)</f>
        <v/>
      </c>
      <c r="C96" s="91" t="str">
        <f aca="false">IF($B96="","",INDEX('CARNET DE SOUDURE'!$B$7:$B$1506,MATCH(85,'CARNET DE SOUDURE'!$AP$7:$AP$1506,0)))</f>
        <v/>
      </c>
      <c r="D96" s="91" t="str">
        <f aca="false">IF($B96="","",INDEX('CARNET DE SOUDURE'!$E$7:$E$1506,MATCH(85,'CARNET DE SOUDURE'!$AP$7:$AP$1506,0)))</f>
        <v/>
      </c>
      <c r="E96" s="91" t="str">
        <f aca="false">IF($B96="","",INDEX('CARNET DE SOUDURE'!$M$7:$M$1506,MATCH(85,'CARNET DE SOUDURE'!$AP$7:$AP$1506,0))&amp;" / "&amp;INDEX('CARNET DE SOUDURE'!$N$7:$N$1506,MATCH(85,'CARNET DE SOUDURE'!$AP$7:$AP$1506,0))&amp;" / "&amp;INDEX('CARNET DE SOUDURE'!$O$7:$O$1506,MATCH(85,'CARNET DE SOUDURE'!$AP$7:$AP$1506,0)))</f>
        <v/>
      </c>
      <c r="F96" s="91" t="str">
        <f aca="false">IF($B96="","",INDEX('CARNET DE SOUDURE'!$AJ$7:$AJ$1506,MATCH(85,'CARNET DE SOUDURE'!$AP$7:$AP$1506,0)))</f>
        <v/>
      </c>
      <c r="G96" s="108" t="str">
        <f aca="false">IF($B96="","",IF(INDEX('CARNET DE SOUDURE'!$AF$7:$AF$1506,MATCH(85,'CARNET DE SOUDURE'!$AP$7:$AP$1506,0))&lt;&gt;"",INDEX('CARNET DE SOUDURE'!$AD$7:$AD$1506,MATCH(85,'CARNET DE SOUDURE'!$AP$7:$AP$1506,0)),IF(INDEX('CARNET DE SOUDURE'!$AA$7:$AA$1506,MATCH(85,'CARNET DE SOUDURE'!$AP$7:$AP$1506,0))&lt;&gt;"",INDEX('CARNET DE SOUDURE'!$Y$7:$Y$1506,MATCH(85,'CARNET DE SOUDURE'!$AP$7:$AP$1506,0)),INDEX('CARNET DE SOUDURE'!$T$7:$T$1506,MATCH(85,'CARNET DE SOUDURE'!$AP$7:$AP$1506,0)))))</f>
        <v/>
      </c>
      <c r="H96" s="91" t="str">
        <f aca="false">IF($B96="","",IF(INDEX('CARNET DE SOUDURE'!$AF$7:$AF$1506,MATCH(85,'CARNET DE SOUDURE'!$AP$7:$AP$1506,0))&lt;&gt;"",INDEX('CARNET DE SOUDURE'!$AE$7:$AE$1506,MATCH(85,'CARNET DE SOUDURE'!$AP$7:$AP$1506,0)),IF(INDEX('CARNET DE SOUDURE'!$AA$7:$AA$1506,MATCH(85,'CARNET DE SOUDURE'!$AP$7:$AP$1506,0))&lt;&gt;"",INDEX('CARNET DE SOUDURE'!$Z$7:$Z$1506,MATCH(85,'CARNET DE SOUDURE'!$AP$7:$AP$1506,0)),INDEX('CARNET DE SOUDURE'!$U$7:$U$1506,MATCH(85,'CARNET DE SOUDURE'!$AP$7:$AP$1506,0))))&amp;"")</f>
        <v/>
      </c>
      <c r="I96" s="91" t="str">
        <f aca="false">IF($B96="","",INDEX('CARNET DE SOUDURE'!$AK$7:$AK$1506,MATCH(85,'CARNET DE SOUDURE'!$AP$7:$AP$1506,0)))</f>
        <v/>
      </c>
      <c r="J96" s="109" t="str">
        <f aca="false">IF($B96="","",INDEX('CARNET DE SOUDURE'!$AL$7:$AL$1506,MATCH(85,'CARNET DE SOUDURE'!$AP$7:$AP$1506,0)))</f>
        <v/>
      </c>
      <c r="K96" s="87"/>
      <c r="L96" s="87"/>
    </row>
    <row r="97" customFormat="false" ht="15" hidden="false" customHeight="false" outlineLevel="0" collapsed="false">
      <c r="B97" s="110" t="str">
        <f aca="false">IF(86&gt;$I$4,"",86)</f>
        <v/>
      </c>
      <c r="C97" s="110" t="str">
        <f aca="false">IF($B97="","",INDEX('CARNET DE SOUDURE'!$B$7:$B$1506,MATCH(86,'CARNET DE SOUDURE'!$AP$7:$AP$1506,0)))</f>
        <v/>
      </c>
      <c r="D97" s="110" t="str">
        <f aca="false">IF($B97="","",INDEX('CARNET DE SOUDURE'!$E$7:$E$1506,MATCH(86,'CARNET DE SOUDURE'!$AP$7:$AP$1506,0)))</f>
        <v/>
      </c>
      <c r="E97" s="110" t="str">
        <f aca="false">IF($B97="","",INDEX('CARNET DE SOUDURE'!$M$7:$M$1506,MATCH(86,'CARNET DE SOUDURE'!$AP$7:$AP$1506,0))&amp;" / "&amp;INDEX('CARNET DE SOUDURE'!$N$7:$N$1506,MATCH(86,'CARNET DE SOUDURE'!$AP$7:$AP$1506,0))&amp;" / "&amp;INDEX('CARNET DE SOUDURE'!$O$7:$O$1506,MATCH(86,'CARNET DE SOUDURE'!$AP$7:$AP$1506,0)))</f>
        <v/>
      </c>
      <c r="F97" s="112" t="str">
        <f aca="false">IF($B97="","",INDEX('CARNET DE SOUDURE'!$AJ$7:$AJ$1506,MATCH(86,'CARNET DE SOUDURE'!$AP$7:$AP$1506,0)))</f>
        <v/>
      </c>
      <c r="G97" s="111" t="str">
        <f aca="false">IF($B97="","",IF(INDEX('CARNET DE SOUDURE'!$AF$7:$AF$1506,MATCH(86,'CARNET DE SOUDURE'!$AP$7:$AP$1506,0))&lt;&gt;"",INDEX('CARNET DE SOUDURE'!$AD$7:$AD$1506,MATCH(86,'CARNET DE SOUDURE'!$AP$7:$AP$1506,0)),IF(INDEX('CARNET DE SOUDURE'!$AA$7:$AA$1506,MATCH(86,'CARNET DE SOUDURE'!$AP$7:$AP$1506,0))&lt;&gt;"",INDEX('CARNET DE SOUDURE'!$Y$7:$Y$1506,MATCH(86,'CARNET DE SOUDURE'!$AP$7:$AP$1506,0)),INDEX('CARNET DE SOUDURE'!$T$7:$T$1506,MATCH(86,'CARNET DE SOUDURE'!$AP$7:$AP$1506,0)))))</f>
        <v/>
      </c>
      <c r="H97" s="110" t="str">
        <f aca="false">IF($B97="","",IF(INDEX('CARNET DE SOUDURE'!$AF$7:$AF$1506,MATCH(86,'CARNET DE SOUDURE'!$AP$7:$AP$1506,0))&lt;&gt;"",INDEX('CARNET DE SOUDURE'!$AE$7:$AE$1506,MATCH(86,'CARNET DE SOUDURE'!$AP$7:$AP$1506,0)),IF(INDEX('CARNET DE SOUDURE'!$AA$7:$AA$1506,MATCH(86,'CARNET DE SOUDURE'!$AP$7:$AP$1506,0))&lt;&gt;"",INDEX('CARNET DE SOUDURE'!$Z$7:$Z$1506,MATCH(86,'CARNET DE SOUDURE'!$AP$7:$AP$1506,0)),INDEX('CARNET DE SOUDURE'!$U$7:$U$1506,MATCH(86,'CARNET DE SOUDURE'!$AP$7:$AP$1506,0))))&amp;"")</f>
        <v/>
      </c>
      <c r="I97" s="112" t="str">
        <f aca="false">IF($B97="","",INDEX('CARNET DE SOUDURE'!$AK$7:$AK$1506,MATCH(86,'CARNET DE SOUDURE'!$AP$7:$AP$1506,0)))</f>
        <v/>
      </c>
      <c r="J97" s="113" t="str">
        <f aca="false">IF($B97="","",INDEX('CARNET DE SOUDURE'!$AL$7:$AL$1506,MATCH(86,'CARNET DE SOUDURE'!$AP$7:$AP$1506,0)))</f>
        <v/>
      </c>
      <c r="K97" s="87"/>
      <c r="L97" s="87"/>
    </row>
    <row r="98" customFormat="false" ht="15" hidden="false" customHeight="false" outlineLevel="0" collapsed="false">
      <c r="B98" s="91" t="str">
        <f aca="false">IF(87&gt;$I$4,"",87)</f>
        <v/>
      </c>
      <c r="C98" s="91" t="str">
        <f aca="false">IF($B98="","",INDEX('CARNET DE SOUDURE'!$B$7:$B$1506,MATCH(87,'CARNET DE SOUDURE'!$AP$7:$AP$1506,0)))</f>
        <v/>
      </c>
      <c r="D98" s="91" t="str">
        <f aca="false">IF($B98="","",INDEX('CARNET DE SOUDURE'!$E$7:$E$1506,MATCH(87,'CARNET DE SOUDURE'!$AP$7:$AP$1506,0)))</f>
        <v/>
      </c>
      <c r="E98" s="91" t="str">
        <f aca="false">IF($B98="","",INDEX('CARNET DE SOUDURE'!$M$7:$M$1506,MATCH(87,'CARNET DE SOUDURE'!$AP$7:$AP$1506,0))&amp;" / "&amp;INDEX('CARNET DE SOUDURE'!$N$7:$N$1506,MATCH(87,'CARNET DE SOUDURE'!$AP$7:$AP$1506,0))&amp;" / "&amp;INDEX('CARNET DE SOUDURE'!$O$7:$O$1506,MATCH(87,'CARNET DE SOUDURE'!$AP$7:$AP$1506,0)))</f>
        <v/>
      </c>
      <c r="F98" s="91" t="str">
        <f aca="false">IF($B98="","",INDEX('CARNET DE SOUDURE'!$AJ$7:$AJ$1506,MATCH(87,'CARNET DE SOUDURE'!$AP$7:$AP$1506,0)))</f>
        <v/>
      </c>
      <c r="G98" s="108" t="str">
        <f aca="false">IF($B98="","",IF(INDEX('CARNET DE SOUDURE'!$AF$7:$AF$1506,MATCH(87,'CARNET DE SOUDURE'!$AP$7:$AP$1506,0))&lt;&gt;"",INDEX('CARNET DE SOUDURE'!$AD$7:$AD$1506,MATCH(87,'CARNET DE SOUDURE'!$AP$7:$AP$1506,0)),IF(INDEX('CARNET DE SOUDURE'!$AA$7:$AA$1506,MATCH(87,'CARNET DE SOUDURE'!$AP$7:$AP$1506,0))&lt;&gt;"",INDEX('CARNET DE SOUDURE'!$Y$7:$Y$1506,MATCH(87,'CARNET DE SOUDURE'!$AP$7:$AP$1506,0)),INDEX('CARNET DE SOUDURE'!$T$7:$T$1506,MATCH(87,'CARNET DE SOUDURE'!$AP$7:$AP$1506,0)))))</f>
        <v/>
      </c>
      <c r="H98" s="91" t="str">
        <f aca="false">IF($B98="","",IF(INDEX('CARNET DE SOUDURE'!$AF$7:$AF$1506,MATCH(87,'CARNET DE SOUDURE'!$AP$7:$AP$1506,0))&lt;&gt;"",INDEX('CARNET DE SOUDURE'!$AE$7:$AE$1506,MATCH(87,'CARNET DE SOUDURE'!$AP$7:$AP$1506,0)),IF(INDEX('CARNET DE SOUDURE'!$AA$7:$AA$1506,MATCH(87,'CARNET DE SOUDURE'!$AP$7:$AP$1506,0))&lt;&gt;"",INDEX('CARNET DE SOUDURE'!$Z$7:$Z$1506,MATCH(87,'CARNET DE SOUDURE'!$AP$7:$AP$1506,0)),INDEX('CARNET DE SOUDURE'!$U$7:$U$1506,MATCH(87,'CARNET DE SOUDURE'!$AP$7:$AP$1506,0))))&amp;"")</f>
        <v/>
      </c>
      <c r="I98" s="91" t="str">
        <f aca="false">IF($B98="","",INDEX('CARNET DE SOUDURE'!$AK$7:$AK$1506,MATCH(87,'CARNET DE SOUDURE'!$AP$7:$AP$1506,0)))</f>
        <v/>
      </c>
      <c r="J98" s="109" t="str">
        <f aca="false">IF($B98="","",INDEX('CARNET DE SOUDURE'!$AL$7:$AL$1506,MATCH(87,'CARNET DE SOUDURE'!$AP$7:$AP$1506,0)))</f>
        <v/>
      </c>
      <c r="K98" s="87"/>
      <c r="L98" s="87"/>
    </row>
    <row r="99" customFormat="false" ht="15" hidden="false" customHeight="false" outlineLevel="0" collapsed="false">
      <c r="B99" s="110" t="str">
        <f aca="false">IF(88&gt;$I$4,"",88)</f>
        <v/>
      </c>
      <c r="C99" s="110" t="str">
        <f aca="false">IF($B99="","",INDEX('CARNET DE SOUDURE'!$B$7:$B$1506,MATCH(88,'CARNET DE SOUDURE'!$AP$7:$AP$1506,0)))</f>
        <v/>
      </c>
      <c r="D99" s="110" t="str">
        <f aca="false">IF($B99="","",INDEX('CARNET DE SOUDURE'!$E$7:$E$1506,MATCH(88,'CARNET DE SOUDURE'!$AP$7:$AP$1506,0)))</f>
        <v/>
      </c>
      <c r="E99" s="110" t="str">
        <f aca="false">IF($B99="","",INDEX('CARNET DE SOUDURE'!$M$7:$M$1506,MATCH(88,'CARNET DE SOUDURE'!$AP$7:$AP$1506,0))&amp;" / "&amp;INDEX('CARNET DE SOUDURE'!$N$7:$N$1506,MATCH(88,'CARNET DE SOUDURE'!$AP$7:$AP$1506,0))&amp;" / "&amp;INDEX('CARNET DE SOUDURE'!$O$7:$O$1506,MATCH(88,'CARNET DE SOUDURE'!$AP$7:$AP$1506,0)))</f>
        <v/>
      </c>
      <c r="F99" s="112" t="str">
        <f aca="false">IF($B99="","",INDEX('CARNET DE SOUDURE'!$AJ$7:$AJ$1506,MATCH(88,'CARNET DE SOUDURE'!$AP$7:$AP$1506,0)))</f>
        <v/>
      </c>
      <c r="G99" s="111" t="str">
        <f aca="false">IF($B99="","",IF(INDEX('CARNET DE SOUDURE'!$AF$7:$AF$1506,MATCH(88,'CARNET DE SOUDURE'!$AP$7:$AP$1506,0))&lt;&gt;"",INDEX('CARNET DE SOUDURE'!$AD$7:$AD$1506,MATCH(88,'CARNET DE SOUDURE'!$AP$7:$AP$1506,0)),IF(INDEX('CARNET DE SOUDURE'!$AA$7:$AA$1506,MATCH(88,'CARNET DE SOUDURE'!$AP$7:$AP$1506,0))&lt;&gt;"",INDEX('CARNET DE SOUDURE'!$Y$7:$Y$1506,MATCH(88,'CARNET DE SOUDURE'!$AP$7:$AP$1506,0)),INDEX('CARNET DE SOUDURE'!$T$7:$T$1506,MATCH(88,'CARNET DE SOUDURE'!$AP$7:$AP$1506,0)))))</f>
        <v/>
      </c>
      <c r="H99" s="110" t="str">
        <f aca="false">IF($B99="","",IF(INDEX('CARNET DE SOUDURE'!$AF$7:$AF$1506,MATCH(88,'CARNET DE SOUDURE'!$AP$7:$AP$1506,0))&lt;&gt;"",INDEX('CARNET DE SOUDURE'!$AE$7:$AE$1506,MATCH(88,'CARNET DE SOUDURE'!$AP$7:$AP$1506,0)),IF(INDEX('CARNET DE SOUDURE'!$AA$7:$AA$1506,MATCH(88,'CARNET DE SOUDURE'!$AP$7:$AP$1506,0))&lt;&gt;"",INDEX('CARNET DE SOUDURE'!$Z$7:$Z$1506,MATCH(88,'CARNET DE SOUDURE'!$AP$7:$AP$1506,0)),INDEX('CARNET DE SOUDURE'!$U$7:$U$1506,MATCH(88,'CARNET DE SOUDURE'!$AP$7:$AP$1506,0))))&amp;"")</f>
        <v/>
      </c>
      <c r="I99" s="112" t="str">
        <f aca="false">IF($B99="","",INDEX('CARNET DE SOUDURE'!$AK$7:$AK$1506,MATCH(88,'CARNET DE SOUDURE'!$AP$7:$AP$1506,0)))</f>
        <v/>
      </c>
      <c r="J99" s="113" t="str">
        <f aca="false">IF($B99="","",INDEX('CARNET DE SOUDURE'!$AL$7:$AL$1506,MATCH(88,'CARNET DE SOUDURE'!$AP$7:$AP$1506,0)))</f>
        <v/>
      </c>
      <c r="K99" s="87"/>
      <c r="L99" s="87"/>
    </row>
    <row r="100" customFormat="false" ht="15" hidden="false" customHeight="false" outlineLevel="0" collapsed="false">
      <c r="B100" s="91" t="str">
        <f aca="false">IF(89&gt;$I$4,"",89)</f>
        <v/>
      </c>
      <c r="C100" s="91" t="str">
        <f aca="false">IF($B100="","",INDEX('CARNET DE SOUDURE'!$B$7:$B$1506,MATCH(89,'CARNET DE SOUDURE'!$AP$7:$AP$1506,0)))</f>
        <v/>
      </c>
      <c r="D100" s="91" t="str">
        <f aca="false">IF($B100="","",INDEX('CARNET DE SOUDURE'!$E$7:$E$1506,MATCH(89,'CARNET DE SOUDURE'!$AP$7:$AP$1506,0)))</f>
        <v/>
      </c>
      <c r="E100" s="91" t="str">
        <f aca="false">IF($B100="","",INDEX('CARNET DE SOUDURE'!$M$7:$M$1506,MATCH(89,'CARNET DE SOUDURE'!$AP$7:$AP$1506,0))&amp;" / "&amp;INDEX('CARNET DE SOUDURE'!$N$7:$N$1506,MATCH(89,'CARNET DE SOUDURE'!$AP$7:$AP$1506,0))&amp;" / "&amp;INDEX('CARNET DE SOUDURE'!$O$7:$O$1506,MATCH(89,'CARNET DE SOUDURE'!$AP$7:$AP$1506,0)))</f>
        <v/>
      </c>
      <c r="F100" s="91" t="str">
        <f aca="false">IF($B100="","",INDEX('CARNET DE SOUDURE'!$AJ$7:$AJ$1506,MATCH(89,'CARNET DE SOUDURE'!$AP$7:$AP$1506,0)))</f>
        <v/>
      </c>
      <c r="G100" s="108" t="str">
        <f aca="false">IF($B100="","",IF(INDEX('CARNET DE SOUDURE'!$AF$7:$AF$1506,MATCH(89,'CARNET DE SOUDURE'!$AP$7:$AP$1506,0))&lt;&gt;"",INDEX('CARNET DE SOUDURE'!$AD$7:$AD$1506,MATCH(89,'CARNET DE SOUDURE'!$AP$7:$AP$1506,0)),IF(INDEX('CARNET DE SOUDURE'!$AA$7:$AA$1506,MATCH(89,'CARNET DE SOUDURE'!$AP$7:$AP$1506,0))&lt;&gt;"",INDEX('CARNET DE SOUDURE'!$Y$7:$Y$1506,MATCH(89,'CARNET DE SOUDURE'!$AP$7:$AP$1506,0)),INDEX('CARNET DE SOUDURE'!$T$7:$T$1506,MATCH(89,'CARNET DE SOUDURE'!$AP$7:$AP$1506,0)))))</f>
        <v/>
      </c>
      <c r="H100" s="91" t="str">
        <f aca="false">IF($B100="","",IF(INDEX('CARNET DE SOUDURE'!$AF$7:$AF$1506,MATCH(89,'CARNET DE SOUDURE'!$AP$7:$AP$1506,0))&lt;&gt;"",INDEX('CARNET DE SOUDURE'!$AE$7:$AE$1506,MATCH(89,'CARNET DE SOUDURE'!$AP$7:$AP$1506,0)),IF(INDEX('CARNET DE SOUDURE'!$AA$7:$AA$1506,MATCH(89,'CARNET DE SOUDURE'!$AP$7:$AP$1506,0))&lt;&gt;"",INDEX('CARNET DE SOUDURE'!$Z$7:$Z$1506,MATCH(89,'CARNET DE SOUDURE'!$AP$7:$AP$1506,0)),INDEX('CARNET DE SOUDURE'!$U$7:$U$1506,MATCH(89,'CARNET DE SOUDURE'!$AP$7:$AP$1506,0))))&amp;"")</f>
        <v/>
      </c>
      <c r="I100" s="91" t="str">
        <f aca="false">IF($B100="","",INDEX('CARNET DE SOUDURE'!$AK$7:$AK$1506,MATCH(89,'CARNET DE SOUDURE'!$AP$7:$AP$1506,0)))</f>
        <v/>
      </c>
      <c r="J100" s="109" t="str">
        <f aca="false">IF($B100="","",INDEX('CARNET DE SOUDURE'!$AL$7:$AL$1506,MATCH(89,'CARNET DE SOUDURE'!$AP$7:$AP$1506,0)))</f>
        <v/>
      </c>
      <c r="K100" s="87"/>
      <c r="L100" s="87"/>
    </row>
    <row r="101" customFormat="false" ht="15" hidden="false" customHeight="false" outlineLevel="0" collapsed="false">
      <c r="B101" s="110" t="str">
        <f aca="false">IF(90&gt;$I$4,"",90)</f>
        <v/>
      </c>
      <c r="C101" s="110" t="str">
        <f aca="false">IF($B101="","",INDEX('CARNET DE SOUDURE'!$B$7:$B$1506,MATCH(90,'CARNET DE SOUDURE'!$AP$7:$AP$1506,0)))</f>
        <v/>
      </c>
      <c r="D101" s="110" t="str">
        <f aca="false">IF($B101="","",INDEX('CARNET DE SOUDURE'!$E$7:$E$1506,MATCH(90,'CARNET DE SOUDURE'!$AP$7:$AP$1506,0)))</f>
        <v/>
      </c>
      <c r="E101" s="110" t="str">
        <f aca="false">IF($B101="","",INDEX('CARNET DE SOUDURE'!$M$7:$M$1506,MATCH(90,'CARNET DE SOUDURE'!$AP$7:$AP$1506,0))&amp;" / "&amp;INDEX('CARNET DE SOUDURE'!$N$7:$N$1506,MATCH(90,'CARNET DE SOUDURE'!$AP$7:$AP$1506,0))&amp;" / "&amp;INDEX('CARNET DE SOUDURE'!$O$7:$O$1506,MATCH(90,'CARNET DE SOUDURE'!$AP$7:$AP$1506,0)))</f>
        <v/>
      </c>
      <c r="F101" s="112" t="str">
        <f aca="false">IF($B101="","",INDEX('CARNET DE SOUDURE'!$AJ$7:$AJ$1506,MATCH(90,'CARNET DE SOUDURE'!$AP$7:$AP$1506,0)))</f>
        <v/>
      </c>
      <c r="G101" s="111" t="str">
        <f aca="false">IF($B101="","",IF(INDEX('CARNET DE SOUDURE'!$AF$7:$AF$1506,MATCH(90,'CARNET DE SOUDURE'!$AP$7:$AP$1506,0))&lt;&gt;"",INDEX('CARNET DE SOUDURE'!$AD$7:$AD$1506,MATCH(90,'CARNET DE SOUDURE'!$AP$7:$AP$1506,0)),IF(INDEX('CARNET DE SOUDURE'!$AA$7:$AA$1506,MATCH(90,'CARNET DE SOUDURE'!$AP$7:$AP$1506,0))&lt;&gt;"",INDEX('CARNET DE SOUDURE'!$Y$7:$Y$1506,MATCH(90,'CARNET DE SOUDURE'!$AP$7:$AP$1506,0)),INDEX('CARNET DE SOUDURE'!$T$7:$T$1506,MATCH(90,'CARNET DE SOUDURE'!$AP$7:$AP$1506,0)))))</f>
        <v/>
      </c>
      <c r="H101" s="110" t="str">
        <f aca="false">IF($B101="","",IF(INDEX('CARNET DE SOUDURE'!$AF$7:$AF$1506,MATCH(90,'CARNET DE SOUDURE'!$AP$7:$AP$1506,0))&lt;&gt;"",INDEX('CARNET DE SOUDURE'!$AE$7:$AE$1506,MATCH(90,'CARNET DE SOUDURE'!$AP$7:$AP$1506,0)),IF(INDEX('CARNET DE SOUDURE'!$AA$7:$AA$1506,MATCH(90,'CARNET DE SOUDURE'!$AP$7:$AP$1506,0))&lt;&gt;"",INDEX('CARNET DE SOUDURE'!$Z$7:$Z$1506,MATCH(90,'CARNET DE SOUDURE'!$AP$7:$AP$1506,0)),INDEX('CARNET DE SOUDURE'!$U$7:$U$1506,MATCH(90,'CARNET DE SOUDURE'!$AP$7:$AP$1506,0))))&amp;"")</f>
        <v/>
      </c>
      <c r="I101" s="112" t="str">
        <f aca="false">IF($B101="","",INDEX('CARNET DE SOUDURE'!$AK$7:$AK$1506,MATCH(90,'CARNET DE SOUDURE'!$AP$7:$AP$1506,0)))</f>
        <v/>
      </c>
      <c r="J101" s="113" t="str">
        <f aca="false">IF($B101="","",INDEX('CARNET DE SOUDURE'!$AL$7:$AL$1506,MATCH(90,'CARNET DE SOUDURE'!$AP$7:$AP$1506,0)))</f>
        <v/>
      </c>
      <c r="K101" s="87"/>
      <c r="L101" s="87"/>
    </row>
    <row r="102" customFormat="false" ht="15" hidden="false" customHeight="false" outlineLevel="0" collapsed="false">
      <c r="B102" s="91" t="str">
        <f aca="false">IF(91&gt;$I$4,"",91)</f>
        <v/>
      </c>
      <c r="C102" s="91" t="str">
        <f aca="false">IF($B102="","",INDEX('CARNET DE SOUDURE'!$B$7:$B$1506,MATCH(91,'CARNET DE SOUDURE'!$AP$7:$AP$1506,0)))</f>
        <v/>
      </c>
      <c r="D102" s="91" t="str">
        <f aca="false">IF($B102="","",INDEX('CARNET DE SOUDURE'!$E$7:$E$1506,MATCH(91,'CARNET DE SOUDURE'!$AP$7:$AP$1506,0)))</f>
        <v/>
      </c>
      <c r="E102" s="91" t="str">
        <f aca="false">IF($B102="","",INDEX('CARNET DE SOUDURE'!$M$7:$M$1506,MATCH(91,'CARNET DE SOUDURE'!$AP$7:$AP$1506,0))&amp;" / "&amp;INDEX('CARNET DE SOUDURE'!$N$7:$N$1506,MATCH(91,'CARNET DE SOUDURE'!$AP$7:$AP$1506,0))&amp;" / "&amp;INDEX('CARNET DE SOUDURE'!$O$7:$O$1506,MATCH(91,'CARNET DE SOUDURE'!$AP$7:$AP$1506,0)))</f>
        <v/>
      </c>
      <c r="F102" s="91" t="str">
        <f aca="false">IF($B102="","",INDEX('CARNET DE SOUDURE'!$AJ$7:$AJ$1506,MATCH(91,'CARNET DE SOUDURE'!$AP$7:$AP$1506,0)))</f>
        <v/>
      </c>
      <c r="G102" s="108" t="str">
        <f aca="false">IF($B102="","",IF(INDEX('CARNET DE SOUDURE'!$AF$7:$AF$1506,MATCH(91,'CARNET DE SOUDURE'!$AP$7:$AP$1506,0))&lt;&gt;"",INDEX('CARNET DE SOUDURE'!$AD$7:$AD$1506,MATCH(91,'CARNET DE SOUDURE'!$AP$7:$AP$1506,0)),IF(INDEX('CARNET DE SOUDURE'!$AA$7:$AA$1506,MATCH(91,'CARNET DE SOUDURE'!$AP$7:$AP$1506,0))&lt;&gt;"",INDEX('CARNET DE SOUDURE'!$Y$7:$Y$1506,MATCH(91,'CARNET DE SOUDURE'!$AP$7:$AP$1506,0)),INDEX('CARNET DE SOUDURE'!$T$7:$T$1506,MATCH(91,'CARNET DE SOUDURE'!$AP$7:$AP$1506,0)))))</f>
        <v/>
      </c>
      <c r="H102" s="91" t="str">
        <f aca="false">IF($B102="","",IF(INDEX('CARNET DE SOUDURE'!$AF$7:$AF$1506,MATCH(91,'CARNET DE SOUDURE'!$AP$7:$AP$1506,0))&lt;&gt;"",INDEX('CARNET DE SOUDURE'!$AE$7:$AE$1506,MATCH(91,'CARNET DE SOUDURE'!$AP$7:$AP$1506,0)),IF(INDEX('CARNET DE SOUDURE'!$AA$7:$AA$1506,MATCH(91,'CARNET DE SOUDURE'!$AP$7:$AP$1506,0))&lt;&gt;"",INDEX('CARNET DE SOUDURE'!$Z$7:$Z$1506,MATCH(91,'CARNET DE SOUDURE'!$AP$7:$AP$1506,0)),INDEX('CARNET DE SOUDURE'!$U$7:$U$1506,MATCH(91,'CARNET DE SOUDURE'!$AP$7:$AP$1506,0))))&amp;"")</f>
        <v/>
      </c>
      <c r="I102" s="91" t="str">
        <f aca="false">IF($B102="","",INDEX('CARNET DE SOUDURE'!$AK$7:$AK$1506,MATCH(91,'CARNET DE SOUDURE'!$AP$7:$AP$1506,0)))</f>
        <v/>
      </c>
      <c r="J102" s="109" t="str">
        <f aca="false">IF($B102="","",INDEX('CARNET DE SOUDURE'!$AL$7:$AL$1506,MATCH(91,'CARNET DE SOUDURE'!$AP$7:$AP$1506,0)))</f>
        <v/>
      </c>
      <c r="K102" s="87"/>
      <c r="L102" s="87"/>
    </row>
    <row r="103" customFormat="false" ht="15" hidden="false" customHeight="false" outlineLevel="0" collapsed="false">
      <c r="B103" s="110" t="str">
        <f aca="false">IF(92&gt;$I$4,"",92)</f>
        <v/>
      </c>
      <c r="C103" s="110" t="str">
        <f aca="false">IF($B103="","",INDEX('CARNET DE SOUDURE'!$B$7:$B$1506,MATCH(92,'CARNET DE SOUDURE'!$AP$7:$AP$1506,0)))</f>
        <v/>
      </c>
      <c r="D103" s="110" t="str">
        <f aca="false">IF($B103="","",INDEX('CARNET DE SOUDURE'!$E$7:$E$1506,MATCH(92,'CARNET DE SOUDURE'!$AP$7:$AP$1506,0)))</f>
        <v/>
      </c>
      <c r="E103" s="110" t="str">
        <f aca="false">IF($B103="","",INDEX('CARNET DE SOUDURE'!$M$7:$M$1506,MATCH(92,'CARNET DE SOUDURE'!$AP$7:$AP$1506,0))&amp;" / "&amp;INDEX('CARNET DE SOUDURE'!$N$7:$N$1506,MATCH(92,'CARNET DE SOUDURE'!$AP$7:$AP$1506,0))&amp;" / "&amp;INDEX('CARNET DE SOUDURE'!$O$7:$O$1506,MATCH(92,'CARNET DE SOUDURE'!$AP$7:$AP$1506,0)))</f>
        <v/>
      </c>
      <c r="F103" s="112" t="str">
        <f aca="false">IF($B103="","",INDEX('CARNET DE SOUDURE'!$AJ$7:$AJ$1506,MATCH(92,'CARNET DE SOUDURE'!$AP$7:$AP$1506,0)))</f>
        <v/>
      </c>
      <c r="G103" s="111" t="str">
        <f aca="false">IF($B103="","",IF(INDEX('CARNET DE SOUDURE'!$AF$7:$AF$1506,MATCH(92,'CARNET DE SOUDURE'!$AP$7:$AP$1506,0))&lt;&gt;"",INDEX('CARNET DE SOUDURE'!$AD$7:$AD$1506,MATCH(92,'CARNET DE SOUDURE'!$AP$7:$AP$1506,0)),IF(INDEX('CARNET DE SOUDURE'!$AA$7:$AA$1506,MATCH(92,'CARNET DE SOUDURE'!$AP$7:$AP$1506,0))&lt;&gt;"",INDEX('CARNET DE SOUDURE'!$Y$7:$Y$1506,MATCH(92,'CARNET DE SOUDURE'!$AP$7:$AP$1506,0)),INDEX('CARNET DE SOUDURE'!$T$7:$T$1506,MATCH(92,'CARNET DE SOUDURE'!$AP$7:$AP$1506,0)))))</f>
        <v/>
      </c>
      <c r="H103" s="110" t="str">
        <f aca="false">IF($B103="","",IF(INDEX('CARNET DE SOUDURE'!$AF$7:$AF$1506,MATCH(92,'CARNET DE SOUDURE'!$AP$7:$AP$1506,0))&lt;&gt;"",INDEX('CARNET DE SOUDURE'!$AE$7:$AE$1506,MATCH(92,'CARNET DE SOUDURE'!$AP$7:$AP$1506,0)),IF(INDEX('CARNET DE SOUDURE'!$AA$7:$AA$1506,MATCH(92,'CARNET DE SOUDURE'!$AP$7:$AP$1506,0))&lt;&gt;"",INDEX('CARNET DE SOUDURE'!$Z$7:$Z$1506,MATCH(92,'CARNET DE SOUDURE'!$AP$7:$AP$1506,0)),INDEX('CARNET DE SOUDURE'!$U$7:$U$1506,MATCH(92,'CARNET DE SOUDURE'!$AP$7:$AP$1506,0))))&amp;"")</f>
        <v/>
      </c>
      <c r="I103" s="112" t="str">
        <f aca="false">IF($B103="","",INDEX('CARNET DE SOUDURE'!$AK$7:$AK$1506,MATCH(92,'CARNET DE SOUDURE'!$AP$7:$AP$1506,0)))</f>
        <v/>
      </c>
      <c r="J103" s="113" t="str">
        <f aca="false">IF($B103="","",INDEX('CARNET DE SOUDURE'!$AL$7:$AL$1506,MATCH(92,'CARNET DE SOUDURE'!$AP$7:$AP$1506,0)))</f>
        <v/>
      </c>
      <c r="K103" s="87"/>
      <c r="L103" s="87"/>
    </row>
    <row r="104" customFormat="false" ht="15" hidden="false" customHeight="false" outlineLevel="0" collapsed="false">
      <c r="B104" s="91" t="str">
        <f aca="false">IF(93&gt;$I$4,"",93)</f>
        <v/>
      </c>
      <c r="C104" s="91" t="str">
        <f aca="false">IF($B104="","",INDEX('CARNET DE SOUDURE'!$B$7:$B$1506,MATCH(93,'CARNET DE SOUDURE'!$AP$7:$AP$1506,0)))</f>
        <v/>
      </c>
      <c r="D104" s="91" t="str">
        <f aca="false">IF($B104="","",INDEX('CARNET DE SOUDURE'!$E$7:$E$1506,MATCH(93,'CARNET DE SOUDURE'!$AP$7:$AP$1506,0)))</f>
        <v/>
      </c>
      <c r="E104" s="91" t="str">
        <f aca="false">IF($B104="","",INDEX('CARNET DE SOUDURE'!$M$7:$M$1506,MATCH(93,'CARNET DE SOUDURE'!$AP$7:$AP$1506,0))&amp;" / "&amp;INDEX('CARNET DE SOUDURE'!$N$7:$N$1506,MATCH(93,'CARNET DE SOUDURE'!$AP$7:$AP$1506,0))&amp;" / "&amp;INDEX('CARNET DE SOUDURE'!$O$7:$O$1506,MATCH(93,'CARNET DE SOUDURE'!$AP$7:$AP$1506,0)))</f>
        <v/>
      </c>
      <c r="F104" s="91" t="str">
        <f aca="false">IF($B104="","",INDEX('CARNET DE SOUDURE'!$AJ$7:$AJ$1506,MATCH(93,'CARNET DE SOUDURE'!$AP$7:$AP$1506,0)))</f>
        <v/>
      </c>
      <c r="G104" s="108" t="str">
        <f aca="false">IF($B104="","",IF(INDEX('CARNET DE SOUDURE'!$AF$7:$AF$1506,MATCH(93,'CARNET DE SOUDURE'!$AP$7:$AP$1506,0))&lt;&gt;"",INDEX('CARNET DE SOUDURE'!$AD$7:$AD$1506,MATCH(93,'CARNET DE SOUDURE'!$AP$7:$AP$1506,0)),IF(INDEX('CARNET DE SOUDURE'!$AA$7:$AA$1506,MATCH(93,'CARNET DE SOUDURE'!$AP$7:$AP$1506,0))&lt;&gt;"",INDEX('CARNET DE SOUDURE'!$Y$7:$Y$1506,MATCH(93,'CARNET DE SOUDURE'!$AP$7:$AP$1506,0)),INDEX('CARNET DE SOUDURE'!$T$7:$T$1506,MATCH(93,'CARNET DE SOUDURE'!$AP$7:$AP$1506,0)))))</f>
        <v/>
      </c>
      <c r="H104" s="91" t="str">
        <f aca="false">IF($B104="","",IF(INDEX('CARNET DE SOUDURE'!$AF$7:$AF$1506,MATCH(93,'CARNET DE SOUDURE'!$AP$7:$AP$1506,0))&lt;&gt;"",INDEX('CARNET DE SOUDURE'!$AE$7:$AE$1506,MATCH(93,'CARNET DE SOUDURE'!$AP$7:$AP$1506,0)),IF(INDEX('CARNET DE SOUDURE'!$AA$7:$AA$1506,MATCH(93,'CARNET DE SOUDURE'!$AP$7:$AP$1506,0))&lt;&gt;"",INDEX('CARNET DE SOUDURE'!$Z$7:$Z$1506,MATCH(93,'CARNET DE SOUDURE'!$AP$7:$AP$1506,0)),INDEX('CARNET DE SOUDURE'!$U$7:$U$1506,MATCH(93,'CARNET DE SOUDURE'!$AP$7:$AP$1506,0))))&amp;"")</f>
        <v/>
      </c>
      <c r="I104" s="91" t="str">
        <f aca="false">IF($B104="","",INDEX('CARNET DE SOUDURE'!$AK$7:$AK$1506,MATCH(93,'CARNET DE SOUDURE'!$AP$7:$AP$1506,0)))</f>
        <v/>
      </c>
      <c r="J104" s="109" t="str">
        <f aca="false">IF($B104="","",INDEX('CARNET DE SOUDURE'!$AL$7:$AL$1506,MATCH(93,'CARNET DE SOUDURE'!$AP$7:$AP$1506,0)))</f>
        <v/>
      </c>
      <c r="K104" s="87"/>
      <c r="L104" s="87"/>
    </row>
    <row r="105" customFormat="false" ht="15" hidden="false" customHeight="false" outlineLevel="0" collapsed="false">
      <c r="B105" s="110" t="str">
        <f aca="false">IF(94&gt;$I$4,"",94)</f>
        <v/>
      </c>
      <c r="C105" s="110" t="str">
        <f aca="false">IF($B105="","",INDEX('CARNET DE SOUDURE'!$B$7:$B$1506,MATCH(94,'CARNET DE SOUDURE'!$AP$7:$AP$1506,0)))</f>
        <v/>
      </c>
      <c r="D105" s="110" t="str">
        <f aca="false">IF($B105="","",INDEX('CARNET DE SOUDURE'!$E$7:$E$1506,MATCH(94,'CARNET DE SOUDURE'!$AP$7:$AP$1506,0)))</f>
        <v/>
      </c>
      <c r="E105" s="110" t="str">
        <f aca="false">IF($B105="","",INDEX('CARNET DE SOUDURE'!$M$7:$M$1506,MATCH(94,'CARNET DE SOUDURE'!$AP$7:$AP$1506,0))&amp;" / "&amp;INDEX('CARNET DE SOUDURE'!$N$7:$N$1506,MATCH(94,'CARNET DE SOUDURE'!$AP$7:$AP$1506,0))&amp;" / "&amp;INDEX('CARNET DE SOUDURE'!$O$7:$O$1506,MATCH(94,'CARNET DE SOUDURE'!$AP$7:$AP$1506,0)))</f>
        <v/>
      </c>
      <c r="F105" s="112" t="str">
        <f aca="false">IF($B105="","",INDEX('CARNET DE SOUDURE'!$AJ$7:$AJ$1506,MATCH(94,'CARNET DE SOUDURE'!$AP$7:$AP$1506,0)))</f>
        <v/>
      </c>
      <c r="G105" s="111" t="str">
        <f aca="false">IF($B105="","",IF(INDEX('CARNET DE SOUDURE'!$AF$7:$AF$1506,MATCH(94,'CARNET DE SOUDURE'!$AP$7:$AP$1506,0))&lt;&gt;"",INDEX('CARNET DE SOUDURE'!$AD$7:$AD$1506,MATCH(94,'CARNET DE SOUDURE'!$AP$7:$AP$1506,0)),IF(INDEX('CARNET DE SOUDURE'!$AA$7:$AA$1506,MATCH(94,'CARNET DE SOUDURE'!$AP$7:$AP$1506,0))&lt;&gt;"",INDEX('CARNET DE SOUDURE'!$Y$7:$Y$1506,MATCH(94,'CARNET DE SOUDURE'!$AP$7:$AP$1506,0)),INDEX('CARNET DE SOUDURE'!$T$7:$T$1506,MATCH(94,'CARNET DE SOUDURE'!$AP$7:$AP$1506,0)))))</f>
        <v/>
      </c>
      <c r="H105" s="110" t="str">
        <f aca="false">IF($B105="","",IF(INDEX('CARNET DE SOUDURE'!$AF$7:$AF$1506,MATCH(94,'CARNET DE SOUDURE'!$AP$7:$AP$1506,0))&lt;&gt;"",INDEX('CARNET DE SOUDURE'!$AE$7:$AE$1506,MATCH(94,'CARNET DE SOUDURE'!$AP$7:$AP$1506,0)),IF(INDEX('CARNET DE SOUDURE'!$AA$7:$AA$1506,MATCH(94,'CARNET DE SOUDURE'!$AP$7:$AP$1506,0))&lt;&gt;"",INDEX('CARNET DE SOUDURE'!$Z$7:$Z$1506,MATCH(94,'CARNET DE SOUDURE'!$AP$7:$AP$1506,0)),INDEX('CARNET DE SOUDURE'!$U$7:$U$1506,MATCH(94,'CARNET DE SOUDURE'!$AP$7:$AP$1506,0))))&amp;"")</f>
        <v/>
      </c>
      <c r="I105" s="112" t="str">
        <f aca="false">IF($B105="","",INDEX('CARNET DE SOUDURE'!$AK$7:$AK$1506,MATCH(94,'CARNET DE SOUDURE'!$AP$7:$AP$1506,0)))</f>
        <v/>
      </c>
      <c r="J105" s="113" t="str">
        <f aca="false">IF($B105="","",INDEX('CARNET DE SOUDURE'!$AL$7:$AL$1506,MATCH(94,'CARNET DE SOUDURE'!$AP$7:$AP$1506,0)))</f>
        <v/>
      </c>
      <c r="K105" s="87"/>
      <c r="L105" s="87"/>
    </row>
    <row r="106" customFormat="false" ht="15" hidden="false" customHeight="false" outlineLevel="0" collapsed="false">
      <c r="B106" s="91" t="str">
        <f aca="false">IF(95&gt;$I$4,"",95)</f>
        <v/>
      </c>
      <c r="C106" s="91" t="str">
        <f aca="false">IF($B106="","",INDEX('CARNET DE SOUDURE'!$B$7:$B$1506,MATCH(95,'CARNET DE SOUDURE'!$AP$7:$AP$1506,0)))</f>
        <v/>
      </c>
      <c r="D106" s="91" t="str">
        <f aca="false">IF($B106="","",INDEX('CARNET DE SOUDURE'!$E$7:$E$1506,MATCH(95,'CARNET DE SOUDURE'!$AP$7:$AP$1506,0)))</f>
        <v/>
      </c>
      <c r="E106" s="91" t="str">
        <f aca="false">IF($B106="","",INDEX('CARNET DE SOUDURE'!$M$7:$M$1506,MATCH(95,'CARNET DE SOUDURE'!$AP$7:$AP$1506,0))&amp;" / "&amp;INDEX('CARNET DE SOUDURE'!$N$7:$N$1506,MATCH(95,'CARNET DE SOUDURE'!$AP$7:$AP$1506,0))&amp;" / "&amp;INDEX('CARNET DE SOUDURE'!$O$7:$O$1506,MATCH(95,'CARNET DE SOUDURE'!$AP$7:$AP$1506,0)))</f>
        <v/>
      </c>
      <c r="F106" s="91" t="str">
        <f aca="false">IF($B106="","",INDEX('CARNET DE SOUDURE'!$AJ$7:$AJ$1506,MATCH(95,'CARNET DE SOUDURE'!$AP$7:$AP$1506,0)))</f>
        <v/>
      </c>
      <c r="G106" s="108" t="str">
        <f aca="false">IF($B106="","",IF(INDEX('CARNET DE SOUDURE'!$AF$7:$AF$1506,MATCH(95,'CARNET DE SOUDURE'!$AP$7:$AP$1506,0))&lt;&gt;"",INDEX('CARNET DE SOUDURE'!$AD$7:$AD$1506,MATCH(95,'CARNET DE SOUDURE'!$AP$7:$AP$1506,0)),IF(INDEX('CARNET DE SOUDURE'!$AA$7:$AA$1506,MATCH(95,'CARNET DE SOUDURE'!$AP$7:$AP$1506,0))&lt;&gt;"",INDEX('CARNET DE SOUDURE'!$Y$7:$Y$1506,MATCH(95,'CARNET DE SOUDURE'!$AP$7:$AP$1506,0)),INDEX('CARNET DE SOUDURE'!$T$7:$T$1506,MATCH(95,'CARNET DE SOUDURE'!$AP$7:$AP$1506,0)))))</f>
        <v/>
      </c>
      <c r="H106" s="91" t="str">
        <f aca="false">IF($B106="","",IF(INDEX('CARNET DE SOUDURE'!$AF$7:$AF$1506,MATCH(95,'CARNET DE SOUDURE'!$AP$7:$AP$1506,0))&lt;&gt;"",INDEX('CARNET DE SOUDURE'!$AE$7:$AE$1506,MATCH(95,'CARNET DE SOUDURE'!$AP$7:$AP$1506,0)),IF(INDEX('CARNET DE SOUDURE'!$AA$7:$AA$1506,MATCH(95,'CARNET DE SOUDURE'!$AP$7:$AP$1506,0))&lt;&gt;"",INDEX('CARNET DE SOUDURE'!$Z$7:$Z$1506,MATCH(95,'CARNET DE SOUDURE'!$AP$7:$AP$1506,0)),INDEX('CARNET DE SOUDURE'!$U$7:$U$1506,MATCH(95,'CARNET DE SOUDURE'!$AP$7:$AP$1506,0))))&amp;"")</f>
        <v/>
      </c>
      <c r="I106" s="91" t="str">
        <f aca="false">IF($B106="","",INDEX('CARNET DE SOUDURE'!$AK$7:$AK$1506,MATCH(95,'CARNET DE SOUDURE'!$AP$7:$AP$1506,0)))</f>
        <v/>
      </c>
      <c r="J106" s="109" t="str">
        <f aca="false">IF($B106="","",INDEX('CARNET DE SOUDURE'!$AL$7:$AL$1506,MATCH(95,'CARNET DE SOUDURE'!$AP$7:$AP$1506,0)))</f>
        <v/>
      </c>
      <c r="K106" s="87"/>
      <c r="L106" s="87"/>
    </row>
    <row r="107" customFormat="false" ht="15" hidden="false" customHeight="false" outlineLevel="0" collapsed="false">
      <c r="B107" s="110" t="str">
        <f aca="false">IF(96&gt;$I$4,"",96)</f>
        <v/>
      </c>
      <c r="C107" s="110" t="str">
        <f aca="false">IF($B107="","",INDEX('CARNET DE SOUDURE'!$B$7:$B$1506,MATCH(96,'CARNET DE SOUDURE'!$AP$7:$AP$1506,0)))</f>
        <v/>
      </c>
      <c r="D107" s="110" t="str">
        <f aca="false">IF($B107="","",INDEX('CARNET DE SOUDURE'!$E$7:$E$1506,MATCH(96,'CARNET DE SOUDURE'!$AP$7:$AP$1506,0)))</f>
        <v/>
      </c>
      <c r="E107" s="110" t="str">
        <f aca="false">IF($B107="","",INDEX('CARNET DE SOUDURE'!$M$7:$M$1506,MATCH(96,'CARNET DE SOUDURE'!$AP$7:$AP$1506,0))&amp;" / "&amp;INDEX('CARNET DE SOUDURE'!$N$7:$N$1506,MATCH(96,'CARNET DE SOUDURE'!$AP$7:$AP$1506,0))&amp;" / "&amp;INDEX('CARNET DE SOUDURE'!$O$7:$O$1506,MATCH(96,'CARNET DE SOUDURE'!$AP$7:$AP$1506,0)))</f>
        <v/>
      </c>
      <c r="F107" s="112" t="str">
        <f aca="false">IF($B107="","",INDEX('CARNET DE SOUDURE'!$AJ$7:$AJ$1506,MATCH(96,'CARNET DE SOUDURE'!$AP$7:$AP$1506,0)))</f>
        <v/>
      </c>
      <c r="G107" s="111" t="str">
        <f aca="false">IF($B107="","",IF(INDEX('CARNET DE SOUDURE'!$AF$7:$AF$1506,MATCH(96,'CARNET DE SOUDURE'!$AP$7:$AP$1506,0))&lt;&gt;"",INDEX('CARNET DE SOUDURE'!$AD$7:$AD$1506,MATCH(96,'CARNET DE SOUDURE'!$AP$7:$AP$1506,0)),IF(INDEX('CARNET DE SOUDURE'!$AA$7:$AA$1506,MATCH(96,'CARNET DE SOUDURE'!$AP$7:$AP$1506,0))&lt;&gt;"",INDEX('CARNET DE SOUDURE'!$Y$7:$Y$1506,MATCH(96,'CARNET DE SOUDURE'!$AP$7:$AP$1506,0)),INDEX('CARNET DE SOUDURE'!$T$7:$T$1506,MATCH(96,'CARNET DE SOUDURE'!$AP$7:$AP$1506,0)))))</f>
        <v/>
      </c>
      <c r="H107" s="110" t="str">
        <f aca="false">IF($B107="","",IF(INDEX('CARNET DE SOUDURE'!$AF$7:$AF$1506,MATCH(96,'CARNET DE SOUDURE'!$AP$7:$AP$1506,0))&lt;&gt;"",INDEX('CARNET DE SOUDURE'!$AE$7:$AE$1506,MATCH(96,'CARNET DE SOUDURE'!$AP$7:$AP$1506,0)),IF(INDEX('CARNET DE SOUDURE'!$AA$7:$AA$1506,MATCH(96,'CARNET DE SOUDURE'!$AP$7:$AP$1506,0))&lt;&gt;"",INDEX('CARNET DE SOUDURE'!$Z$7:$Z$1506,MATCH(96,'CARNET DE SOUDURE'!$AP$7:$AP$1506,0)),INDEX('CARNET DE SOUDURE'!$U$7:$U$1506,MATCH(96,'CARNET DE SOUDURE'!$AP$7:$AP$1506,0))))&amp;"")</f>
        <v/>
      </c>
      <c r="I107" s="112" t="str">
        <f aca="false">IF($B107="","",INDEX('CARNET DE SOUDURE'!$AK$7:$AK$1506,MATCH(96,'CARNET DE SOUDURE'!$AP$7:$AP$1506,0)))</f>
        <v/>
      </c>
      <c r="J107" s="113" t="str">
        <f aca="false">IF($B107="","",INDEX('CARNET DE SOUDURE'!$AL$7:$AL$1506,MATCH(96,'CARNET DE SOUDURE'!$AP$7:$AP$1506,0)))</f>
        <v/>
      </c>
      <c r="K107" s="87"/>
      <c r="L107" s="87"/>
    </row>
    <row r="108" customFormat="false" ht="15" hidden="false" customHeight="false" outlineLevel="0" collapsed="false">
      <c r="B108" s="91" t="str">
        <f aca="false">IF(97&gt;$I$4,"",97)</f>
        <v/>
      </c>
      <c r="C108" s="91" t="str">
        <f aca="false">IF($B108="","",INDEX('CARNET DE SOUDURE'!$B$7:$B$1506,MATCH(97,'CARNET DE SOUDURE'!$AP$7:$AP$1506,0)))</f>
        <v/>
      </c>
      <c r="D108" s="91" t="str">
        <f aca="false">IF($B108="","",INDEX('CARNET DE SOUDURE'!$E$7:$E$1506,MATCH(97,'CARNET DE SOUDURE'!$AP$7:$AP$1506,0)))</f>
        <v/>
      </c>
      <c r="E108" s="91" t="str">
        <f aca="false">IF($B108="","",INDEX('CARNET DE SOUDURE'!$M$7:$M$1506,MATCH(97,'CARNET DE SOUDURE'!$AP$7:$AP$1506,0))&amp;" / "&amp;INDEX('CARNET DE SOUDURE'!$N$7:$N$1506,MATCH(97,'CARNET DE SOUDURE'!$AP$7:$AP$1506,0))&amp;" / "&amp;INDEX('CARNET DE SOUDURE'!$O$7:$O$1506,MATCH(97,'CARNET DE SOUDURE'!$AP$7:$AP$1506,0)))</f>
        <v/>
      </c>
      <c r="F108" s="91" t="str">
        <f aca="false">IF($B108="","",INDEX('CARNET DE SOUDURE'!$AJ$7:$AJ$1506,MATCH(97,'CARNET DE SOUDURE'!$AP$7:$AP$1506,0)))</f>
        <v/>
      </c>
      <c r="G108" s="108" t="str">
        <f aca="false">IF($B108="","",IF(INDEX('CARNET DE SOUDURE'!$AF$7:$AF$1506,MATCH(97,'CARNET DE SOUDURE'!$AP$7:$AP$1506,0))&lt;&gt;"",INDEX('CARNET DE SOUDURE'!$AD$7:$AD$1506,MATCH(97,'CARNET DE SOUDURE'!$AP$7:$AP$1506,0)),IF(INDEX('CARNET DE SOUDURE'!$AA$7:$AA$1506,MATCH(97,'CARNET DE SOUDURE'!$AP$7:$AP$1506,0))&lt;&gt;"",INDEX('CARNET DE SOUDURE'!$Y$7:$Y$1506,MATCH(97,'CARNET DE SOUDURE'!$AP$7:$AP$1506,0)),INDEX('CARNET DE SOUDURE'!$T$7:$T$1506,MATCH(97,'CARNET DE SOUDURE'!$AP$7:$AP$1506,0)))))</f>
        <v/>
      </c>
      <c r="H108" s="91" t="str">
        <f aca="false">IF($B108="","",IF(INDEX('CARNET DE SOUDURE'!$AF$7:$AF$1506,MATCH(97,'CARNET DE SOUDURE'!$AP$7:$AP$1506,0))&lt;&gt;"",INDEX('CARNET DE SOUDURE'!$AE$7:$AE$1506,MATCH(97,'CARNET DE SOUDURE'!$AP$7:$AP$1506,0)),IF(INDEX('CARNET DE SOUDURE'!$AA$7:$AA$1506,MATCH(97,'CARNET DE SOUDURE'!$AP$7:$AP$1506,0))&lt;&gt;"",INDEX('CARNET DE SOUDURE'!$Z$7:$Z$1506,MATCH(97,'CARNET DE SOUDURE'!$AP$7:$AP$1506,0)),INDEX('CARNET DE SOUDURE'!$U$7:$U$1506,MATCH(97,'CARNET DE SOUDURE'!$AP$7:$AP$1506,0))))&amp;"")</f>
        <v/>
      </c>
      <c r="I108" s="91" t="str">
        <f aca="false">IF($B108="","",INDEX('CARNET DE SOUDURE'!$AK$7:$AK$1506,MATCH(97,'CARNET DE SOUDURE'!$AP$7:$AP$1506,0)))</f>
        <v/>
      </c>
      <c r="J108" s="109" t="str">
        <f aca="false">IF($B108="","",INDEX('CARNET DE SOUDURE'!$AL$7:$AL$1506,MATCH(97,'CARNET DE SOUDURE'!$AP$7:$AP$1506,0)))</f>
        <v/>
      </c>
      <c r="K108" s="87"/>
      <c r="L108" s="87"/>
    </row>
    <row r="109" customFormat="false" ht="15" hidden="false" customHeight="false" outlineLevel="0" collapsed="false">
      <c r="B109" s="110" t="str">
        <f aca="false">IF(98&gt;$I$4,"",98)</f>
        <v/>
      </c>
      <c r="C109" s="110" t="str">
        <f aca="false">IF($B109="","",INDEX('CARNET DE SOUDURE'!$B$7:$B$1506,MATCH(98,'CARNET DE SOUDURE'!$AP$7:$AP$1506,0)))</f>
        <v/>
      </c>
      <c r="D109" s="110" t="str">
        <f aca="false">IF($B109="","",INDEX('CARNET DE SOUDURE'!$E$7:$E$1506,MATCH(98,'CARNET DE SOUDURE'!$AP$7:$AP$1506,0)))</f>
        <v/>
      </c>
      <c r="E109" s="110" t="str">
        <f aca="false">IF($B109="","",INDEX('CARNET DE SOUDURE'!$M$7:$M$1506,MATCH(98,'CARNET DE SOUDURE'!$AP$7:$AP$1506,0))&amp;" / "&amp;INDEX('CARNET DE SOUDURE'!$N$7:$N$1506,MATCH(98,'CARNET DE SOUDURE'!$AP$7:$AP$1506,0))&amp;" / "&amp;INDEX('CARNET DE SOUDURE'!$O$7:$O$1506,MATCH(98,'CARNET DE SOUDURE'!$AP$7:$AP$1506,0)))</f>
        <v/>
      </c>
      <c r="F109" s="112" t="str">
        <f aca="false">IF($B109="","",INDEX('CARNET DE SOUDURE'!$AJ$7:$AJ$1506,MATCH(98,'CARNET DE SOUDURE'!$AP$7:$AP$1506,0)))</f>
        <v/>
      </c>
      <c r="G109" s="111" t="str">
        <f aca="false">IF($B109="","",IF(INDEX('CARNET DE SOUDURE'!$AF$7:$AF$1506,MATCH(98,'CARNET DE SOUDURE'!$AP$7:$AP$1506,0))&lt;&gt;"",INDEX('CARNET DE SOUDURE'!$AD$7:$AD$1506,MATCH(98,'CARNET DE SOUDURE'!$AP$7:$AP$1506,0)),IF(INDEX('CARNET DE SOUDURE'!$AA$7:$AA$1506,MATCH(98,'CARNET DE SOUDURE'!$AP$7:$AP$1506,0))&lt;&gt;"",INDEX('CARNET DE SOUDURE'!$Y$7:$Y$1506,MATCH(98,'CARNET DE SOUDURE'!$AP$7:$AP$1506,0)),INDEX('CARNET DE SOUDURE'!$T$7:$T$1506,MATCH(98,'CARNET DE SOUDURE'!$AP$7:$AP$1506,0)))))</f>
        <v/>
      </c>
      <c r="H109" s="110" t="str">
        <f aca="false">IF($B109="","",IF(INDEX('CARNET DE SOUDURE'!$AF$7:$AF$1506,MATCH(98,'CARNET DE SOUDURE'!$AP$7:$AP$1506,0))&lt;&gt;"",INDEX('CARNET DE SOUDURE'!$AE$7:$AE$1506,MATCH(98,'CARNET DE SOUDURE'!$AP$7:$AP$1506,0)),IF(INDEX('CARNET DE SOUDURE'!$AA$7:$AA$1506,MATCH(98,'CARNET DE SOUDURE'!$AP$7:$AP$1506,0))&lt;&gt;"",INDEX('CARNET DE SOUDURE'!$Z$7:$Z$1506,MATCH(98,'CARNET DE SOUDURE'!$AP$7:$AP$1506,0)),INDEX('CARNET DE SOUDURE'!$U$7:$U$1506,MATCH(98,'CARNET DE SOUDURE'!$AP$7:$AP$1506,0))))&amp;"")</f>
        <v/>
      </c>
      <c r="I109" s="112" t="str">
        <f aca="false">IF($B109="","",INDEX('CARNET DE SOUDURE'!$AK$7:$AK$1506,MATCH(98,'CARNET DE SOUDURE'!$AP$7:$AP$1506,0)))</f>
        <v/>
      </c>
      <c r="J109" s="113" t="str">
        <f aca="false">IF($B109="","",INDEX('CARNET DE SOUDURE'!$AL$7:$AL$1506,MATCH(98,'CARNET DE SOUDURE'!$AP$7:$AP$1506,0)))</f>
        <v/>
      </c>
      <c r="K109" s="87"/>
      <c r="L109" s="87"/>
    </row>
    <row r="110" customFormat="false" ht="15" hidden="false" customHeight="false" outlineLevel="0" collapsed="false">
      <c r="B110" s="91" t="str">
        <f aca="false">IF(99&gt;$I$4,"",99)</f>
        <v/>
      </c>
      <c r="C110" s="91" t="str">
        <f aca="false">IF($B110="","",INDEX('CARNET DE SOUDURE'!$B$7:$B$1506,MATCH(99,'CARNET DE SOUDURE'!$AP$7:$AP$1506,0)))</f>
        <v/>
      </c>
      <c r="D110" s="91" t="str">
        <f aca="false">IF($B110="","",INDEX('CARNET DE SOUDURE'!$E$7:$E$1506,MATCH(99,'CARNET DE SOUDURE'!$AP$7:$AP$1506,0)))</f>
        <v/>
      </c>
      <c r="E110" s="91" t="str">
        <f aca="false">IF($B110="","",INDEX('CARNET DE SOUDURE'!$M$7:$M$1506,MATCH(99,'CARNET DE SOUDURE'!$AP$7:$AP$1506,0))&amp;" / "&amp;INDEX('CARNET DE SOUDURE'!$N$7:$N$1506,MATCH(99,'CARNET DE SOUDURE'!$AP$7:$AP$1506,0))&amp;" / "&amp;INDEX('CARNET DE SOUDURE'!$O$7:$O$1506,MATCH(99,'CARNET DE SOUDURE'!$AP$7:$AP$1506,0)))</f>
        <v/>
      </c>
      <c r="F110" s="91" t="str">
        <f aca="false">IF($B110="","",INDEX('CARNET DE SOUDURE'!$AJ$7:$AJ$1506,MATCH(99,'CARNET DE SOUDURE'!$AP$7:$AP$1506,0)))</f>
        <v/>
      </c>
      <c r="G110" s="108" t="str">
        <f aca="false">IF($B110="","",IF(INDEX('CARNET DE SOUDURE'!$AF$7:$AF$1506,MATCH(99,'CARNET DE SOUDURE'!$AP$7:$AP$1506,0))&lt;&gt;"",INDEX('CARNET DE SOUDURE'!$AD$7:$AD$1506,MATCH(99,'CARNET DE SOUDURE'!$AP$7:$AP$1506,0)),IF(INDEX('CARNET DE SOUDURE'!$AA$7:$AA$1506,MATCH(99,'CARNET DE SOUDURE'!$AP$7:$AP$1506,0))&lt;&gt;"",INDEX('CARNET DE SOUDURE'!$Y$7:$Y$1506,MATCH(99,'CARNET DE SOUDURE'!$AP$7:$AP$1506,0)),INDEX('CARNET DE SOUDURE'!$T$7:$T$1506,MATCH(99,'CARNET DE SOUDURE'!$AP$7:$AP$1506,0)))))</f>
        <v/>
      </c>
      <c r="H110" s="91" t="str">
        <f aca="false">IF($B110="","",IF(INDEX('CARNET DE SOUDURE'!$AF$7:$AF$1506,MATCH(99,'CARNET DE SOUDURE'!$AP$7:$AP$1506,0))&lt;&gt;"",INDEX('CARNET DE SOUDURE'!$AE$7:$AE$1506,MATCH(99,'CARNET DE SOUDURE'!$AP$7:$AP$1506,0)),IF(INDEX('CARNET DE SOUDURE'!$AA$7:$AA$1506,MATCH(99,'CARNET DE SOUDURE'!$AP$7:$AP$1506,0))&lt;&gt;"",INDEX('CARNET DE SOUDURE'!$Z$7:$Z$1506,MATCH(99,'CARNET DE SOUDURE'!$AP$7:$AP$1506,0)),INDEX('CARNET DE SOUDURE'!$U$7:$U$1506,MATCH(99,'CARNET DE SOUDURE'!$AP$7:$AP$1506,0))))&amp;"")</f>
        <v/>
      </c>
      <c r="I110" s="91" t="str">
        <f aca="false">IF($B110="","",INDEX('CARNET DE SOUDURE'!$AK$7:$AK$1506,MATCH(99,'CARNET DE SOUDURE'!$AP$7:$AP$1506,0)))</f>
        <v/>
      </c>
      <c r="J110" s="109" t="str">
        <f aca="false">IF($B110="","",INDEX('CARNET DE SOUDURE'!$AL$7:$AL$1506,MATCH(99,'CARNET DE SOUDURE'!$AP$7:$AP$1506,0)))</f>
        <v/>
      </c>
      <c r="K110" s="87"/>
      <c r="L110" s="87"/>
    </row>
    <row r="111" customFormat="false" ht="15" hidden="false" customHeight="false" outlineLevel="0" collapsed="false">
      <c r="B111" s="110" t="str">
        <f aca="false">IF(100&gt;$I$4,"",100)</f>
        <v/>
      </c>
      <c r="C111" s="110" t="str">
        <f aca="false">IF($B111="","",INDEX('CARNET DE SOUDURE'!$B$7:$B$1506,MATCH(100,'CARNET DE SOUDURE'!$AP$7:$AP$1506,0)))</f>
        <v/>
      </c>
      <c r="D111" s="110" t="str">
        <f aca="false">IF($B111="","",INDEX('CARNET DE SOUDURE'!$E$7:$E$1506,MATCH(100,'CARNET DE SOUDURE'!$AP$7:$AP$1506,0)))</f>
        <v/>
      </c>
      <c r="E111" s="110" t="str">
        <f aca="false">IF($B111="","",INDEX('CARNET DE SOUDURE'!$M$7:$M$1506,MATCH(100,'CARNET DE SOUDURE'!$AP$7:$AP$1506,0))&amp;" / "&amp;INDEX('CARNET DE SOUDURE'!$N$7:$N$1506,MATCH(100,'CARNET DE SOUDURE'!$AP$7:$AP$1506,0))&amp;" / "&amp;INDEX('CARNET DE SOUDURE'!$O$7:$O$1506,MATCH(100,'CARNET DE SOUDURE'!$AP$7:$AP$1506,0)))</f>
        <v/>
      </c>
      <c r="F111" s="112" t="str">
        <f aca="false">IF($B111="","",INDEX('CARNET DE SOUDURE'!$AJ$7:$AJ$1506,MATCH(100,'CARNET DE SOUDURE'!$AP$7:$AP$1506,0)))</f>
        <v/>
      </c>
      <c r="G111" s="111" t="str">
        <f aca="false">IF($B111="","",IF(INDEX('CARNET DE SOUDURE'!$AF$7:$AF$1506,MATCH(100,'CARNET DE SOUDURE'!$AP$7:$AP$1506,0))&lt;&gt;"",INDEX('CARNET DE SOUDURE'!$AD$7:$AD$1506,MATCH(100,'CARNET DE SOUDURE'!$AP$7:$AP$1506,0)),IF(INDEX('CARNET DE SOUDURE'!$AA$7:$AA$1506,MATCH(100,'CARNET DE SOUDURE'!$AP$7:$AP$1506,0))&lt;&gt;"",INDEX('CARNET DE SOUDURE'!$Y$7:$Y$1506,MATCH(100,'CARNET DE SOUDURE'!$AP$7:$AP$1506,0)),INDEX('CARNET DE SOUDURE'!$T$7:$T$1506,MATCH(100,'CARNET DE SOUDURE'!$AP$7:$AP$1506,0)))))</f>
        <v/>
      </c>
      <c r="H111" s="110" t="str">
        <f aca="false">IF($B111="","",IF(INDEX('CARNET DE SOUDURE'!$AF$7:$AF$1506,MATCH(100,'CARNET DE SOUDURE'!$AP$7:$AP$1506,0))&lt;&gt;"",INDEX('CARNET DE SOUDURE'!$AE$7:$AE$1506,MATCH(100,'CARNET DE SOUDURE'!$AP$7:$AP$1506,0)),IF(INDEX('CARNET DE SOUDURE'!$AA$7:$AA$1506,MATCH(100,'CARNET DE SOUDURE'!$AP$7:$AP$1506,0))&lt;&gt;"",INDEX('CARNET DE SOUDURE'!$Z$7:$Z$1506,MATCH(100,'CARNET DE SOUDURE'!$AP$7:$AP$1506,0)),INDEX('CARNET DE SOUDURE'!$U$7:$U$1506,MATCH(100,'CARNET DE SOUDURE'!$AP$7:$AP$1506,0))))&amp;"")</f>
        <v/>
      </c>
      <c r="I111" s="112" t="str">
        <f aca="false">IF($B111="","",INDEX('CARNET DE SOUDURE'!$AK$7:$AK$1506,MATCH(100,'CARNET DE SOUDURE'!$AP$7:$AP$1506,0)))</f>
        <v/>
      </c>
      <c r="J111" s="113" t="str">
        <f aca="false">IF($B111="","",INDEX('CARNET DE SOUDURE'!$AL$7:$AL$1506,MATCH(100,'CARNET DE SOUDURE'!$AP$7:$AP$1506,0)))</f>
        <v/>
      </c>
      <c r="K111" s="87"/>
      <c r="L111" s="87"/>
    </row>
    <row r="112" customFormat="false" ht="15" hidden="false" customHeight="false" outlineLevel="0" collapsed="false">
      <c r="B112" s="91" t="str">
        <f aca="false">IF(101&gt;$I$4,"",101)</f>
        <v/>
      </c>
      <c r="C112" s="91" t="str">
        <f aca="false">IF($B112="","",INDEX('CARNET DE SOUDURE'!$B$7:$B$1506,MATCH(101,'CARNET DE SOUDURE'!$AP$7:$AP$1506,0)))</f>
        <v/>
      </c>
      <c r="D112" s="91" t="str">
        <f aca="false">IF($B112="","",INDEX('CARNET DE SOUDURE'!$E$7:$E$1506,MATCH(101,'CARNET DE SOUDURE'!$AP$7:$AP$1506,0)))</f>
        <v/>
      </c>
      <c r="E112" s="91" t="str">
        <f aca="false">IF($B112="","",INDEX('CARNET DE SOUDURE'!$M$7:$M$1506,MATCH(101,'CARNET DE SOUDURE'!$AP$7:$AP$1506,0))&amp;" / "&amp;INDEX('CARNET DE SOUDURE'!$N$7:$N$1506,MATCH(101,'CARNET DE SOUDURE'!$AP$7:$AP$1506,0))&amp;" / "&amp;INDEX('CARNET DE SOUDURE'!$O$7:$O$1506,MATCH(101,'CARNET DE SOUDURE'!$AP$7:$AP$1506,0)))</f>
        <v/>
      </c>
      <c r="F112" s="91" t="str">
        <f aca="false">IF($B112="","",INDEX('CARNET DE SOUDURE'!$AJ$7:$AJ$1506,MATCH(101,'CARNET DE SOUDURE'!$AP$7:$AP$1506,0)))</f>
        <v/>
      </c>
      <c r="G112" s="108" t="str">
        <f aca="false">IF($B112="","",IF(INDEX('CARNET DE SOUDURE'!$AF$7:$AF$1506,MATCH(101,'CARNET DE SOUDURE'!$AP$7:$AP$1506,0))&lt;&gt;"",INDEX('CARNET DE SOUDURE'!$AD$7:$AD$1506,MATCH(101,'CARNET DE SOUDURE'!$AP$7:$AP$1506,0)),IF(INDEX('CARNET DE SOUDURE'!$AA$7:$AA$1506,MATCH(101,'CARNET DE SOUDURE'!$AP$7:$AP$1506,0))&lt;&gt;"",INDEX('CARNET DE SOUDURE'!$Y$7:$Y$1506,MATCH(101,'CARNET DE SOUDURE'!$AP$7:$AP$1506,0)),INDEX('CARNET DE SOUDURE'!$T$7:$T$1506,MATCH(101,'CARNET DE SOUDURE'!$AP$7:$AP$1506,0)))))</f>
        <v/>
      </c>
      <c r="H112" s="91" t="str">
        <f aca="false">IF($B112="","",IF(INDEX('CARNET DE SOUDURE'!$AF$7:$AF$1506,MATCH(101,'CARNET DE SOUDURE'!$AP$7:$AP$1506,0))&lt;&gt;"",INDEX('CARNET DE SOUDURE'!$AE$7:$AE$1506,MATCH(101,'CARNET DE SOUDURE'!$AP$7:$AP$1506,0)),IF(INDEX('CARNET DE SOUDURE'!$AA$7:$AA$1506,MATCH(101,'CARNET DE SOUDURE'!$AP$7:$AP$1506,0))&lt;&gt;"",INDEX('CARNET DE SOUDURE'!$Z$7:$Z$1506,MATCH(101,'CARNET DE SOUDURE'!$AP$7:$AP$1506,0)),INDEX('CARNET DE SOUDURE'!$U$7:$U$1506,MATCH(101,'CARNET DE SOUDURE'!$AP$7:$AP$1506,0))))&amp;"")</f>
        <v/>
      </c>
      <c r="I112" s="91" t="str">
        <f aca="false">IF($B112="","",INDEX('CARNET DE SOUDURE'!$AK$7:$AK$1506,MATCH(101,'CARNET DE SOUDURE'!$AP$7:$AP$1506,0)))</f>
        <v/>
      </c>
      <c r="J112" s="109" t="str">
        <f aca="false">IF($B112="","",INDEX('CARNET DE SOUDURE'!$AL$7:$AL$1506,MATCH(101,'CARNET DE SOUDURE'!$AP$7:$AP$1506,0)))</f>
        <v/>
      </c>
      <c r="K112" s="87"/>
      <c r="L112" s="87"/>
    </row>
    <row r="113" customFormat="false" ht="15" hidden="false" customHeight="false" outlineLevel="0" collapsed="false">
      <c r="B113" s="110" t="str">
        <f aca="false">IF(102&gt;$I$4,"",102)</f>
        <v/>
      </c>
      <c r="C113" s="110" t="str">
        <f aca="false">IF($B113="","",INDEX('CARNET DE SOUDURE'!$B$7:$B$1506,MATCH(102,'CARNET DE SOUDURE'!$AP$7:$AP$1506,0)))</f>
        <v/>
      </c>
      <c r="D113" s="110" t="str">
        <f aca="false">IF($B113="","",INDEX('CARNET DE SOUDURE'!$E$7:$E$1506,MATCH(102,'CARNET DE SOUDURE'!$AP$7:$AP$1506,0)))</f>
        <v/>
      </c>
      <c r="E113" s="110" t="str">
        <f aca="false">IF($B113="","",INDEX('CARNET DE SOUDURE'!$M$7:$M$1506,MATCH(102,'CARNET DE SOUDURE'!$AP$7:$AP$1506,0))&amp;" / "&amp;INDEX('CARNET DE SOUDURE'!$N$7:$N$1506,MATCH(102,'CARNET DE SOUDURE'!$AP$7:$AP$1506,0))&amp;" / "&amp;INDEX('CARNET DE SOUDURE'!$O$7:$O$1506,MATCH(102,'CARNET DE SOUDURE'!$AP$7:$AP$1506,0)))</f>
        <v/>
      </c>
      <c r="F113" s="112" t="str">
        <f aca="false">IF($B113="","",INDEX('CARNET DE SOUDURE'!$AJ$7:$AJ$1506,MATCH(102,'CARNET DE SOUDURE'!$AP$7:$AP$1506,0)))</f>
        <v/>
      </c>
      <c r="G113" s="111" t="str">
        <f aca="false">IF($B113="","",IF(INDEX('CARNET DE SOUDURE'!$AF$7:$AF$1506,MATCH(102,'CARNET DE SOUDURE'!$AP$7:$AP$1506,0))&lt;&gt;"",INDEX('CARNET DE SOUDURE'!$AD$7:$AD$1506,MATCH(102,'CARNET DE SOUDURE'!$AP$7:$AP$1506,0)),IF(INDEX('CARNET DE SOUDURE'!$AA$7:$AA$1506,MATCH(102,'CARNET DE SOUDURE'!$AP$7:$AP$1506,0))&lt;&gt;"",INDEX('CARNET DE SOUDURE'!$Y$7:$Y$1506,MATCH(102,'CARNET DE SOUDURE'!$AP$7:$AP$1506,0)),INDEX('CARNET DE SOUDURE'!$T$7:$T$1506,MATCH(102,'CARNET DE SOUDURE'!$AP$7:$AP$1506,0)))))</f>
        <v/>
      </c>
      <c r="H113" s="110" t="str">
        <f aca="false">IF($B113="","",IF(INDEX('CARNET DE SOUDURE'!$AF$7:$AF$1506,MATCH(102,'CARNET DE SOUDURE'!$AP$7:$AP$1506,0))&lt;&gt;"",INDEX('CARNET DE SOUDURE'!$AE$7:$AE$1506,MATCH(102,'CARNET DE SOUDURE'!$AP$7:$AP$1506,0)),IF(INDEX('CARNET DE SOUDURE'!$AA$7:$AA$1506,MATCH(102,'CARNET DE SOUDURE'!$AP$7:$AP$1506,0))&lt;&gt;"",INDEX('CARNET DE SOUDURE'!$Z$7:$Z$1506,MATCH(102,'CARNET DE SOUDURE'!$AP$7:$AP$1506,0)),INDEX('CARNET DE SOUDURE'!$U$7:$U$1506,MATCH(102,'CARNET DE SOUDURE'!$AP$7:$AP$1506,0))))&amp;"")</f>
        <v/>
      </c>
      <c r="I113" s="112" t="str">
        <f aca="false">IF($B113="","",INDEX('CARNET DE SOUDURE'!$AK$7:$AK$1506,MATCH(102,'CARNET DE SOUDURE'!$AP$7:$AP$1506,0)))</f>
        <v/>
      </c>
      <c r="J113" s="113" t="str">
        <f aca="false">IF($B113="","",INDEX('CARNET DE SOUDURE'!$AL$7:$AL$1506,MATCH(102,'CARNET DE SOUDURE'!$AP$7:$AP$1506,0)))</f>
        <v/>
      </c>
      <c r="K113" s="87"/>
      <c r="L113" s="87"/>
    </row>
    <row r="114" customFormat="false" ht="15" hidden="false" customHeight="false" outlineLevel="0" collapsed="false">
      <c r="B114" s="91" t="str">
        <f aca="false">IF(103&gt;$I$4,"",103)</f>
        <v/>
      </c>
      <c r="C114" s="91" t="str">
        <f aca="false">IF($B114="","",INDEX('CARNET DE SOUDURE'!$B$7:$B$1506,MATCH(103,'CARNET DE SOUDURE'!$AP$7:$AP$1506,0)))</f>
        <v/>
      </c>
      <c r="D114" s="91" t="str">
        <f aca="false">IF($B114="","",INDEX('CARNET DE SOUDURE'!$E$7:$E$1506,MATCH(103,'CARNET DE SOUDURE'!$AP$7:$AP$1506,0)))</f>
        <v/>
      </c>
      <c r="E114" s="91" t="str">
        <f aca="false">IF($B114="","",INDEX('CARNET DE SOUDURE'!$M$7:$M$1506,MATCH(103,'CARNET DE SOUDURE'!$AP$7:$AP$1506,0))&amp;" / "&amp;INDEX('CARNET DE SOUDURE'!$N$7:$N$1506,MATCH(103,'CARNET DE SOUDURE'!$AP$7:$AP$1506,0))&amp;" / "&amp;INDEX('CARNET DE SOUDURE'!$O$7:$O$1506,MATCH(103,'CARNET DE SOUDURE'!$AP$7:$AP$1506,0)))</f>
        <v/>
      </c>
      <c r="F114" s="91" t="str">
        <f aca="false">IF($B114="","",INDEX('CARNET DE SOUDURE'!$AJ$7:$AJ$1506,MATCH(103,'CARNET DE SOUDURE'!$AP$7:$AP$1506,0)))</f>
        <v/>
      </c>
      <c r="G114" s="108" t="str">
        <f aca="false">IF($B114="","",IF(INDEX('CARNET DE SOUDURE'!$AF$7:$AF$1506,MATCH(103,'CARNET DE SOUDURE'!$AP$7:$AP$1506,0))&lt;&gt;"",INDEX('CARNET DE SOUDURE'!$AD$7:$AD$1506,MATCH(103,'CARNET DE SOUDURE'!$AP$7:$AP$1506,0)),IF(INDEX('CARNET DE SOUDURE'!$AA$7:$AA$1506,MATCH(103,'CARNET DE SOUDURE'!$AP$7:$AP$1506,0))&lt;&gt;"",INDEX('CARNET DE SOUDURE'!$Y$7:$Y$1506,MATCH(103,'CARNET DE SOUDURE'!$AP$7:$AP$1506,0)),INDEX('CARNET DE SOUDURE'!$T$7:$T$1506,MATCH(103,'CARNET DE SOUDURE'!$AP$7:$AP$1506,0)))))</f>
        <v/>
      </c>
      <c r="H114" s="91" t="str">
        <f aca="false">IF($B114="","",IF(INDEX('CARNET DE SOUDURE'!$AF$7:$AF$1506,MATCH(103,'CARNET DE SOUDURE'!$AP$7:$AP$1506,0))&lt;&gt;"",INDEX('CARNET DE SOUDURE'!$AE$7:$AE$1506,MATCH(103,'CARNET DE SOUDURE'!$AP$7:$AP$1506,0)),IF(INDEX('CARNET DE SOUDURE'!$AA$7:$AA$1506,MATCH(103,'CARNET DE SOUDURE'!$AP$7:$AP$1506,0))&lt;&gt;"",INDEX('CARNET DE SOUDURE'!$Z$7:$Z$1506,MATCH(103,'CARNET DE SOUDURE'!$AP$7:$AP$1506,0)),INDEX('CARNET DE SOUDURE'!$U$7:$U$1506,MATCH(103,'CARNET DE SOUDURE'!$AP$7:$AP$1506,0))))&amp;"")</f>
        <v/>
      </c>
      <c r="I114" s="91" t="str">
        <f aca="false">IF($B114="","",INDEX('CARNET DE SOUDURE'!$AK$7:$AK$1506,MATCH(103,'CARNET DE SOUDURE'!$AP$7:$AP$1506,0)))</f>
        <v/>
      </c>
      <c r="J114" s="109" t="str">
        <f aca="false">IF($B114="","",INDEX('CARNET DE SOUDURE'!$AL$7:$AL$1506,MATCH(103,'CARNET DE SOUDURE'!$AP$7:$AP$1506,0)))</f>
        <v/>
      </c>
      <c r="K114" s="87"/>
      <c r="L114" s="87"/>
    </row>
    <row r="115" customFormat="false" ht="15" hidden="false" customHeight="false" outlineLevel="0" collapsed="false">
      <c r="B115" s="110" t="str">
        <f aca="false">IF(104&gt;$I$4,"",104)</f>
        <v/>
      </c>
      <c r="C115" s="110" t="str">
        <f aca="false">IF($B115="","",INDEX('CARNET DE SOUDURE'!$B$7:$B$1506,MATCH(104,'CARNET DE SOUDURE'!$AP$7:$AP$1506,0)))</f>
        <v/>
      </c>
      <c r="D115" s="110" t="str">
        <f aca="false">IF($B115="","",INDEX('CARNET DE SOUDURE'!$E$7:$E$1506,MATCH(104,'CARNET DE SOUDURE'!$AP$7:$AP$1506,0)))</f>
        <v/>
      </c>
      <c r="E115" s="110" t="str">
        <f aca="false">IF($B115="","",INDEX('CARNET DE SOUDURE'!$M$7:$M$1506,MATCH(104,'CARNET DE SOUDURE'!$AP$7:$AP$1506,0))&amp;" / "&amp;INDEX('CARNET DE SOUDURE'!$N$7:$N$1506,MATCH(104,'CARNET DE SOUDURE'!$AP$7:$AP$1506,0))&amp;" / "&amp;INDEX('CARNET DE SOUDURE'!$O$7:$O$1506,MATCH(104,'CARNET DE SOUDURE'!$AP$7:$AP$1506,0)))</f>
        <v/>
      </c>
      <c r="F115" s="112" t="str">
        <f aca="false">IF($B115="","",INDEX('CARNET DE SOUDURE'!$AJ$7:$AJ$1506,MATCH(104,'CARNET DE SOUDURE'!$AP$7:$AP$1506,0)))</f>
        <v/>
      </c>
      <c r="G115" s="111" t="str">
        <f aca="false">IF($B115="","",IF(INDEX('CARNET DE SOUDURE'!$AF$7:$AF$1506,MATCH(104,'CARNET DE SOUDURE'!$AP$7:$AP$1506,0))&lt;&gt;"",INDEX('CARNET DE SOUDURE'!$AD$7:$AD$1506,MATCH(104,'CARNET DE SOUDURE'!$AP$7:$AP$1506,0)),IF(INDEX('CARNET DE SOUDURE'!$AA$7:$AA$1506,MATCH(104,'CARNET DE SOUDURE'!$AP$7:$AP$1506,0))&lt;&gt;"",INDEX('CARNET DE SOUDURE'!$Y$7:$Y$1506,MATCH(104,'CARNET DE SOUDURE'!$AP$7:$AP$1506,0)),INDEX('CARNET DE SOUDURE'!$T$7:$T$1506,MATCH(104,'CARNET DE SOUDURE'!$AP$7:$AP$1506,0)))))</f>
        <v/>
      </c>
      <c r="H115" s="110" t="str">
        <f aca="false">IF($B115="","",IF(INDEX('CARNET DE SOUDURE'!$AF$7:$AF$1506,MATCH(104,'CARNET DE SOUDURE'!$AP$7:$AP$1506,0))&lt;&gt;"",INDEX('CARNET DE SOUDURE'!$AE$7:$AE$1506,MATCH(104,'CARNET DE SOUDURE'!$AP$7:$AP$1506,0)),IF(INDEX('CARNET DE SOUDURE'!$AA$7:$AA$1506,MATCH(104,'CARNET DE SOUDURE'!$AP$7:$AP$1506,0))&lt;&gt;"",INDEX('CARNET DE SOUDURE'!$Z$7:$Z$1506,MATCH(104,'CARNET DE SOUDURE'!$AP$7:$AP$1506,0)),INDEX('CARNET DE SOUDURE'!$U$7:$U$1506,MATCH(104,'CARNET DE SOUDURE'!$AP$7:$AP$1506,0))))&amp;"")</f>
        <v/>
      </c>
      <c r="I115" s="112" t="str">
        <f aca="false">IF($B115="","",INDEX('CARNET DE SOUDURE'!$AK$7:$AK$1506,MATCH(104,'CARNET DE SOUDURE'!$AP$7:$AP$1506,0)))</f>
        <v/>
      </c>
      <c r="J115" s="113" t="str">
        <f aca="false">IF($B115="","",INDEX('CARNET DE SOUDURE'!$AL$7:$AL$1506,MATCH(104,'CARNET DE SOUDURE'!$AP$7:$AP$1506,0)))</f>
        <v/>
      </c>
      <c r="K115" s="87"/>
      <c r="L115" s="87"/>
    </row>
    <row r="116" customFormat="false" ht="15" hidden="false" customHeight="false" outlineLevel="0" collapsed="false">
      <c r="B116" s="91" t="str">
        <f aca="false">IF(105&gt;$I$4,"",105)</f>
        <v/>
      </c>
      <c r="C116" s="91" t="str">
        <f aca="false">IF($B116="","",INDEX('CARNET DE SOUDURE'!$B$7:$B$1506,MATCH(105,'CARNET DE SOUDURE'!$AP$7:$AP$1506,0)))</f>
        <v/>
      </c>
      <c r="D116" s="91" t="str">
        <f aca="false">IF($B116="","",INDEX('CARNET DE SOUDURE'!$E$7:$E$1506,MATCH(105,'CARNET DE SOUDURE'!$AP$7:$AP$1506,0)))</f>
        <v/>
      </c>
      <c r="E116" s="91" t="str">
        <f aca="false">IF($B116="","",INDEX('CARNET DE SOUDURE'!$M$7:$M$1506,MATCH(105,'CARNET DE SOUDURE'!$AP$7:$AP$1506,0))&amp;" / "&amp;INDEX('CARNET DE SOUDURE'!$N$7:$N$1506,MATCH(105,'CARNET DE SOUDURE'!$AP$7:$AP$1506,0))&amp;" / "&amp;INDEX('CARNET DE SOUDURE'!$O$7:$O$1506,MATCH(105,'CARNET DE SOUDURE'!$AP$7:$AP$1506,0)))</f>
        <v/>
      </c>
      <c r="F116" s="91" t="str">
        <f aca="false">IF($B116="","",INDEX('CARNET DE SOUDURE'!$AJ$7:$AJ$1506,MATCH(105,'CARNET DE SOUDURE'!$AP$7:$AP$1506,0)))</f>
        <v/>
      </c>
      <c r="G116" s="108" t="str">
        <f aca="false">IF($B116="","",IF(INDEX('CARNET DE SOUDURE'!$AF$7:$AF$1506,MATCH(105,'CARNET DE SOUDURE'!$AP$7:$AP$1506,0))&lt;&gt;"",INDEX('CARNET DE SOUDURE'!$AD$7:$AD$1506,MATCH(105,'CARNET DE SOUDURE'!$AP$7:$AP$1506,0)),IF(INDEX('CARNET DE SOUDURE'!$AA$7:$AA$1506,MATCH(105,'CARNET DE SOUDURE'!$AP$7:$AP$1506,0))&lt;&gt;"",INDEX('CARNET DE SOUDURE'!$Y$7:$Y$1506,MATCH(105,'CARNET DE SOUDURE'!$AP$7:$AP$1506,0)),INDEX('CARNET DE SOUDURE'!$T$7:$T$1506,MATCH(105,'CARNET DE SOUDURE'!$AP$7:$AP$1506,0)))))</f>
        <v/>
      </c>
      <c r="H116" s="91" t="str">
        <f aca="false">IF($B116="","",IF(INDEX('CARNET DE SOUDURE'!$AF$7:$AF$1506,MATCH(105,'CARNET DE SOUDURE'!$AP$7:$AP$1506,0))&lt;&gt;"",INDEX('CARNET DE SOUDURE'!$AE$7:$AE$1506,MATCH(105,'CARNET DE SOUDURE'!$AP$7:$AP$1506,0)),IF(INDEX('CARNET DE SOUDURE'!$AA$7:$AA$1506,MATCH(105,'CARNET DE SOUDURE'!$AP$7:$AP$1506,0))&lt;&gt;"",INDEX('CARNET DE SOUDURE'!$Z$7:$Z$1506,MATCH(105,'CARNET DE SOUDURE'!$AP$7:$AP$1506,0)),INDEX('CARNET DE SOUDURE'!$U$7:$U$1506,MATCH(105,'CARNET DE SOUDURE'!$AP$7:$AP$1506,0))))&amp;"")</f>
        <v/>
      </c>
      <c r="I116" s="91" t="str">
        <f aca="false">IF($B116="","",INDEX('CARNET DE SOUDURE'!$AK$7:$AK$1506,MATCH(105,'CARNET DE SOUDURE'!$AP$7:$AP$1506,0)))</f>
        <v/>
      </c>
      <c r="J116" s="109" t="str">
        <f aca="false">IF($B116="","",INDEX('CARNET DE SOUDURE'!$AL$7:$AL$1506,MATCH(105,'CARNET DE SOUDURE'!$AP$7:$AP$1506,0)))</f>
        <v/>
      </c>
      <c r="K116" s="87"/>
      <c r="L116" s="87"/>
    </row>
    <row r="117" customFormat="false" ht="15" hidden="false" customHeight="false" outlineLevel="0" collapsed="false">
      <c r="B117" s="110" t="str">
        <f aca="false">IF(106&gt;$I$4,"",106)</f>
        <v/>
      </c>
      <c r="C117" s="110" t="str">
        <f aca="false">IF($B117="","",INDEX('CARNET DE SOUDURE'!$B$7:$B$1506,MATCH(106,'CARNET DE SOUDURE'!$AP$7:$AP$1506,0)))</f>
        <v/>
      </c>
      <c r="D117" s="110" t="str">
        <f aca="false">IF($B117="","",INDEX('CARNET DE SOUDURE'!$E$7:$E$1506,MATCH(106,'CARNET DE SOUDURE'!$AP$7:$AP$1506,0)))</f>
        <v/>
      </c>
      <c r="E117" s="110" t="str">
        <f aca="false">IF($B117="","",INDEX('CARNET DE SOUDURE'!$M$7:$M$1506,MATCH(106,'CARNET DE SOUDURE'!$AP$7:$AP$1506,0))&amp;" / "&amp;INDEX('CARNET DE SOUDURE'!$N$7:$N$1506,MATCH(106,'CARNET DE SOUDURE'!$AP$7:$AP$1506,0))&amp;" / "&amp;INDEX('CARNET DE SOUDURE'!$O$7:$O$1506,MATCH(106,'CARNET DE SOUDURE'!$AP$7:$AP$1506,0)))</f>
        <v/>
      </c>
      <c r="F117" s="112" t="str">
        <f aca="false">IF($B117="","",INDEX('CARNET DE SOUDURE'!$AJ$7:$AJ$1506,MATCH(106,'CARNET DE SOUDURE'!$AP$7:$AP$1506,0)))</f>
        <v/>
      </c>
      <c r="G117" s="111" t="str">
        <f aca="false">IF($B117="","",IF(INDEX('CARNET DE SOUDURE'!$AF$7:$AF$1506,MATCH(106,'CARNET DE SOUDURE'!$AP$7:$AP$1506,0))&lt;&gt;"",INDEX('CARNET DE SOUDURE'!$AD$7:$AD$1506,MATCH(106,'CARNET DE SOUDURE'!$AP$7:$AP$1506,0)),IF(INDEX('CARNET DE SOUDURE'!$AA$7:$AA$1506,MATCH(106,'CARNET DE SOUDURE'!$AP$7:$AP$1506,0))&lt;&gt;"",INDEX('CARNET DE SOUDURE'!$Y$7:$Y$1506,MATCH(106,'CARNET DE SOUDURE'!$AP$7:$AP$1506,0)),INDEX('CARNET DE SOUDURE'!$T$7:$T$1506,MATCH(106,'CARNET DE SOUDURE'!$AP$7:$AP$1506,0)))))</f>
        <v/>
      </c>
      <c r="H117" s="110" t="str">
        <f aca="false">IF($B117="","",IF(INDEX('CARNET DE SOUDURE'!$AF$7:$AF$1506,MATCH(106,'CARNET DE SOUDURE'!$AP$7:$AP$1506,0))&lt;&gt;"",INDEX('CARNET DE SOUDURE'!$AE$7:$AE$1506,MATCH(106,'CARNET DE SOUDURE'!$AP$7:$AP$1506,0)),IF(INDEX('CARNET DE SOUDURE'!$AA$7:$AA$1506,MATCH(106,'CARNET DE SOUDURE'!$AP$7:$AP$1506,0))&lt;&gt;"",INDEX('CARNET DE SOUDURE'!$Z$7:$Z$1506,MATCH(106,'CARNET DE SOUDURE'!$AP$7:$AP$1506,0)),INDEX('CARNET DE SOUDURE'!$U$7:$U$1506,MATCH(106,'CARNET DE SOUDURE'!$AP$7:$AP$1506,0))))&amp;"")</f>
        <v/>
      </c>
      <c r="I117" s="112" t="str">
        <f aca="false">IF($B117="","",INDEX('CARNET DE SOUDURE'!$AK$7:$AK$1506,MATCH(106,'CARNET DE SOUDURE'!$AP$7:$AP$1506,0)))</f>
        <v/>
      </c>
      <c r="J117" s="113" t="str">
        <f aca="false">IF($B117="","",INDEX('CARNET DE SOUDURE'!$AL$7:$AL$1506,MATCH(106,'CARNET DE SOUDURE'!$AP$7:$AP$1506,0)))</f>
        <v/>
      </c>
      <c r="K117" s="87"/>
      <c r="L117" s="87"/>
    </row>
    <row r="118" customFormat="false" ht="15" hidden="false" customHeight="false" outlineLevel="0" collapsed="false">
      <c r="B118" s="91" t="str">
        <f aca="false">IF(107&gt;$I$4,"",107)</f>
        <v/>
      </c>
      <c r="C118" s="91" t="str">
        <f aca="false">IF($B118="","",INDEX('CARNET DE SOUDURE'!$B$7:$B$1506,MATCH(107,'CARNET DE SOUDURE'!$AP$7:$AP$1506,0)))</f>
        <v/>
      </c>
      <c r="D118" s="91" t="str">
        <f aca="false">IF($B118="","",INDEX('CARNET DE SOUDURE'!$E$7:$E$1506,MATCH(107,'CARNET DE SOUDURE'!$AP$7:$AP$1506,0)))</f>
        <v/>
      </c>
      <c r="E118" s="91" t="str">
        <f aca="false">IF($B118="","",INDEX('CARNET DE SOUDURE'!$M$7:$M$1506,MATCH(107,'CARNET DE SOUDURE'!$AP$7:$AP$1506,0))&amp;" / "&amp;INDEX('CARNET DE SOUDURE'!$N$7:$N$1506,MATCH(107,'CARNET DE SOUDURE'!$AP$7:$AP$1506,0))&amp;" / "&amp;INDEX('CARNET DE SOUDURE'!$O$7:$O$1506,MATCH(107,'CARNET DE SOUDURE'!$AP$7:$AP$1506,0)))</f>
        <v/>
      </c>
      <c r="F118" s="91" t="str">
        <f aca="false">IF($B118="","",INDEX('CARNET DE SOUDURE'!$AJ$7:$AJ$1506,MATCH(107,'CARNET DE SOUDURE'!$AP$7:$AP$1506,0)))</f>
        <v/>
      </c>
      <c r="G118" s="108" t="str">
        <f aca="false">IF($B118="","",IF(INDEX('CARNET DE SOUDURE'!$AF$7:$AF$1506,MATCH(107,'CARNET DE SOUDURE'!$AP$7:$AP$1506,0))&lt;&gt;"",INDEX('CARNET DE SOUDURE'!$AD$7:$AD$1506,MATCH(107,'CARNET DE SOUDURE'!$AP$7:$AP$1506,0)),IF(INDEX('CARNET DE SOUDURE'!$AA$7:$AA$1506,MATCH(107,'CARNET DE SOUDURE'!$AP$7:$AP$1506,0))&lt;&gt;"",INDEX('CARNET DE SOUDURE'!$Y$7:$Y$1506,MATCH(107,'CARNET DE SOUDURE'!$AP$7:$AP$1506,0)),INDEX('CARNET DE SOUDURE'!$T$7:$T$1506,MATCH(107,'CARNET DE SOUDURE'!$AP$7:$AP$1506,0)))))</f>
        <v/>
      </c>
      <c r="H118" s="91" t="str">
        <f aca="false">IF($B118="","",IF(INDEX('CARNET DE SOUDURE'!$AF$7:$AF$1506,MATCH(107,'CARNET DE SOUDURE'!$AP$7:$AP$1506,0))&lt;&gt;"",INDEX('CARNET DE SOUDURE'!$AE$7:$AE$1506,MATCH(107,'CARNET DE SOUDURE'!$AP$7:$AP$1506,0)),IF(INDEX('CARNET DE SOUDURE'!$AA$7:$AA$1506,MATCH(107,'CARNET DE SOUDURE'!$AP$7:$AP$1506,0))&lt;&gt;"",INDEX('CARNET DE SOUDURE'!$Z$7:$Z$1506,MATCH(107,'CARNET DE SOUDURE'!$AP$7:$AP$1506,0)),INDEX('CARNET DE SOUDURE'!$U$7:$U$1506,MATCH(107,'CARNET DE SOUDURE'!$AP$7:$AP$1506,0))))&amp;"")</f>
        <v/>
      </c>
      <c r="I118" s="91" t="str">
        <f aca="false">IF($B118="","",INDEX('CARNET DE SOUDURE'!$AK$7:$AK$1506,MATCH(107,'CARNET DE SOUDURE'!$AP$7:$AP$1506,0)))</f>
        <v/>
      </c>
      <c r="J118" s="109" t="str">
        <f aca="false">IF($B118="","",INDEX('CARNET DE SOUDURE'!$AL$7:$AL$1506,MATCH(107,'CARNET DE SOUDURE'!$AP$7:$AP$1506,0)))</f>
        <v/>
      </c>
      <c r="K118" s="87"/>
      <c r="L118" s="87"/>
    </row>
    <row r="119" customFormat="false" ht="15" hidden="false" customHeight="false" outlineLevel="0" collapsed="false">
      <c r="B119" s="110" t="str">
        <f aca="false">IF(108&gt;$I$4,"",108)</f>
        <v/>
      </c>
      <c r="C119" s="110" t="str">
        <f aca="false">IF($B119="","",INDEX('CARNET DE SOUDURE'!$B$7:$B$1506,MATCH(108,'CARNET DE SOUDURE'!$AP$7:$AP$1506,0)))</f>
        <v/>
      </c>
      <c r="D119" s="110" t="str">
        <f aca="false">IF($B119="","",INDEX('CARNET DE SOUDURE'!$E$7:$E$1506,MATCH(108,'CARNET DE SOUDURE'!$AP$7:$AP$1506,0)))</f>
        <v/>
      </c>
      <c r="E119" s="110" t="str">
        <f aca="false">IF($B119="","",INDEX('CARNET DE SOUDURE'!$M$7:$M$1506,MATCH(108,'CARNET DE SOUDURE'!$AP$7:$AP$1506,0))&amp;" / "&amp;INDEX('CARNET DE SOUDURE'!$N$7:$N$1506,MATCH(108,'CARNET DE SOUDURE'!$AP$7:$AP$1506,0))&amp;" / "&amp;INDEX('CARNET DE SOUDURE'!$O$7:$O$1506,MATCH(108,'CARNET DE SOUDURE'!$AP$7:$AP$1506,0)))</f>
        <v/>
      </c>
      <c r="F119" s="112" t="str">
        <f aca="false">IF($B119="","",INDEX('CARNET DE SOUDURE'!$AJ$7:$AJ$1506,MATCH(108,'CARNET DE SOUDURE'!$AP$7:$AP$1506,0)))</f>
        <v/>
      </c>
      <c r="G119" s="111" t="str">
        <f aca="false">IF($B119="","",IF(INDEX('CARNET DE SOUDURE'!$AF$7:$AF$1506,MATCH(108,'CARNET DE SOUDURE'!$AP$7:$AP$1506,0))&lt;&gt;"",INDEX('CARNET DE SOUDURE'!$AD$7:$AD$1506,MATCH(108,'CARNET DE SOUDURE'!$AP$7:$AP$1506,0)),IF(INDEX('CARNET DE SOUDURE'!$AA$7:$AA$1506,MATCH(108,'CARNET DE SOUDURE'!$AP$7:$AP$1506,0))&lt;&gt;"",INDEX('CARNET DE SOUDURE'!$Y$7:$Y$1506,MATCH(108,'CARNET DE SOUDURE'!$AP$7:$AP$1506,0)),INDEX('CARNET DE SOUDURE'!$T$7:$T$1506,MATCH(108,'CARNET DE SOUDURE'!$AP$7:$AP$1506,0)))))</f>
        <v/>
      </c>
      <c r="H119" s="110" t="str">
        <f aca="false">IF($B119="","",IF(INDEX('CARNET DE SOUDURE'!$AF$7:$AF$1506,MATCH(108,'CARNET DE SOUDURE'!$AP$7:$AP$1506,0))&lt;&gt;"",INDEX('CARNET DE SOUDURE'!$AE$7:$AE$1506,MATCH(108,'CARNET DE SOUDURE'!$AP$7:$AP$1506,0)),IF(INDEX('CARNET DE SOUDURE'!$AA$7:$AA$1506,MATCH(108,'CARNET DE SOUDURE'!$AP$7:$AP$1506,0))&lt;&gt;"",INDEX('CARNET DE SOUDURE'!$Z$7:$Z$1506,MATCH(108,'CARNET DE SOUDURE'!$AP$7:$AP$1506,0)),INDEX('CARNET DE SOUDURE'!$U$7:$U$1506,MATCH(108,'CARNET DE SOUDURE'!$AP$7:$AP$1506,0))))&amp;"")</f>
        <v/>
      </c>
      <c r="I119" s="112" t="str">
        <f aca="false">IF($B119="","",INDEX('CARNET DE SOUDURE'!$AK$7:$AK$1506,MATCH(108,'CARNET DE SOUDURE'!$AP$7:$AP$1506,0)))</f>
        <v/>
      </c>
      <c r="J119" s="113" t="str">
        <f aca="false">IF($B119="","",INDEX('CARNET DE SOUDURE'!$AL$7:$AL$1506,MATCH(108,'CARNET DE SOUDURE'!$AP$7:$AP$1506,0)))</f>
        <v/>
      </c>
      <c r="K119" s="87"/>
      <c r="L119" s="87"/>
    </row>
    <row r="120" customFormat="false" ht="15" hidden="false" customHeight="false" outlineLevel="0" collapsed="false">
      <c r="B120" s="91" t="str">
        <f aca="false">IF(109&gt;$I$4,"",109)</f>
        <v/>
      </c>
      <c r="C120" s="91" t="str">
        <f aca="false">IF($B120="","",INDEX('CARNET DE SOUDURE'!$B$7:$B$1506,MATCH(109,'CARNET DE SOUDURE'!$AP$7:$AP$1506,0)))</f>
        <v/>
      </c>
      <c r="D120" s="91" t="str">
        <f aca="false">IF($B120="","",INDEX('CARNET DE SOUDURE'!$E$7:$E$1506,MATCH(109,'CARNET DE SOUDURE'!$AP$7:$AP$1506,0)))</f>
        <v/>
      </c>
      <c r="E120" s="91" t="str">
        <f aca="false">IF($B120="","",INDEX('CARNET DE SOUDURE'!$M$7:$M$1506,MATCH(109,'CARNET DE SOUDURE'!$AP$7:$AP$1506,0))&amp;" / "&amp;INDEX('CARNET DE SOUDURE'!$N$7:$N$1506,MATCH(109,'CARNET DE SOUDURE'!$AP$7:$AP$1506,0))&amp;" / "&amp;INDEX('CARNET DE SOUDURE'!$O$7:$O$1506,MATCH(109,'CARNET DE SOUDURE'!$AP$7:$AP$1506,0)))</f>
        <v/>
      </c>
      <c r="F120" s="91" t="str">
        <f aca="false">IF($B120="","",INDEX('CARNET DE SOUDURE'!$AJ$7:$AJ$1506,MATCH(109,'CARNET DE SOUDURE'!$AP$7:$AP$1506,0)))</f>
        <v/>
      </c>
      <c r="G120" s="108" t="str">
        <f aca="false">IF($B120="","",IF(INDEX('CARNET DE SOUDURE'!$AF$7:$AF$1506,MATCH(109,'CARNET DE SOUDURE'!$AP$7:$AP$1506,0))&lt;&gt;"",INDEX('CARNET DE SOUDURE'!$AD$7:$AD$1506,MATCH(109,'CARNET DE SOUDURE'!$AP$7:$AP$1506,0)),IF(INDEX('CARNET DE SOUDURE'!$AA$7:$AA$1506,MATCH(109,'CARNET DE SOUDURE'!$AP$7:$AP$1506,0))&lt;&gt;"",INDEX('CARNET DE SOUDURE'!$Y$7:$Y$1506,MATCH(109,'CARNET DE SOUDURE'!$AP$7:$AP$1506,0)),INDEX('CARNET DE SOUDURE'!$T$7:$T$1506,MATCH(109,'CARNET DE SOUDURE'!$AP$7:$AP$1506,0)))))</f>
        <v/>
      </c>
      <c r="H120" s="91" t="str">
        <f aca="false">IF($B120="","",IF(INDEX('CARNET DE SOUDURE'!$AF$7:$AF$1506,MATCH(109,'CARNET DE SOUDURE'!$AP$7:$AP$1506,0))&lt;&gt;"",INDEX('CARNET DE SOUDURE'!$AE$7:$AE$1506,MATCH(109,'CARNET DE SOUDURE'!$AP$7:$AP$1506,0)),IF(INDEX('CARNET DE SOUDURE'!$AA$7:$AA$1506,MATCH(109,'CARNET DE SOUDURE'!$AP$7:$AP$1506,0))&lt;&gt;"",INDEX('CARNET DE SOUDURE'!$Z$7:$Z$1506,MATCH(109,'CARNET DE SOUDURE'!$AP$7:$AP$1506,0)),INDEX('CARNET DE SOUDURE'!$U$7:$U$1506,MATCH(109,'CARNET DE SOUDURE'!$AP$7:$AP$1506,0))))&amp;"")</f>
        <v/>
      </c>
      <c r="I120" s="91" t="str">
        <f aca="false">IF($B120="","",INDEX('CARNET DE SOUDURE'!$AK$7:$AK$1506,MATCH(109,'CARNET DE SOUDURE'!$AP$7:$AP$1506,0)))</f>
        <v/>
      </c>
      <c r="J120" s="109" t="str">
        <f aca="false">IF($B120="","",INDEX('CARNET DE SOUDURE'!$AL$7:$AL$1506,MATCH(109,'CARNET DE SOUDURE'!$AP$7:$AP$1506,0)))</f>
        <v/>
      </c>
      <c r="K120" s="87"/>
      <c r="L120" s="87"/>
    </row>
    <row r="121" customFormat="false" ht="15" hidden="false" customHeight="false" outlineLevel="0" collapsed="false">
      <c r="B121" s="110" t="str">
        <f aca="false">IF(110&gt;$I$4,"",110)</f>
        <v/>
      </c>
      <c r="C121" s="110" t="str">
        <f aca="false">IF($B121="","",INDEX('CARNET DE SOUDURE'!$B$7:$B$1506,MATCH(110,'CARNET DE SOUDURE'!$AP$7:$AP$1506,0)))</f>
        <v/>
      </c>
      <c r="D121" s="110" t="str">
        <f aca="false">IF($B121="","",INDEX('CARNET DE SOUDURE'!$E$7:$E$1506,MATCH(110,'CARNET DE SOUDURE'!$AP$7:$AP$1506,0)))</f>
        <v/>
      </c>
      <c r="E121" s="110" t="str">
        <f aca="false">IF($B121="","",INDEX('CARNET DE SOUDURE'!$M$7:$M$1506,MATCH(110,'CARNET DE SOUDURE'!$AP$7:$AP$1506,0))&amp;" / "&amp;INDEX('CARNET DE SOUDURE'!$N$7:$N$1506,MATCH(110,'CARNET DE SOUDURE'!$AP$7:$AP$1506,0))&amp;" / "&amp;INDEX('CARNET DE SOUDURE'!$O$7:$O$1506,MATCH(110,'CARNET DE SOUDURE'!$AP$7:$AP$1506,0)))</f>
        <v/>
      </c>
      <c r="F121" s="112" t="str">
        <f aca="false">IF($B121="","",INDEX('CARNET DE SOUDURE'!$AJ$7:$AJ$1506,MATCH(110,'CARNET DE SOUDURE'!$AP$7:$AP$1506,0)))</f>
        <v/>
      </c>
      <c r="G121" s="111" t="str">
        <f aca="false">IF($B121="","",IF(INDEX('CARNET DE SOUDURE'!$AF$7:$AF$1506,MATCH(110,'CARNET DE SOUDURE'!$AP$7:$AP$1506,0))&lt;&gt;"",INDEX('CARNET DE SOUDURE'!$AD$7:$AD$1506,MATCH(110,'CARNET DE SOUDURE'!$AP$7:$AP$1506,0)),IF(INDEX('CARNET DE SOUDURE'!$AA$7:$AA$1506,MATCH(110,'CARNET DE SOUDURE'!$AP$7:$AP$1506,0))&lt;&gt;"",INDEX('CARNET DE SOUDURE'!$Y$7:$Y$1506,MATCH(110,'CARNET DE SOUDURE'!$AP$7:$AP$1506,0)),INDEX('CARNET DE SOUDURE'!$T$7:$T$1506,MATCH(110,'CARNET DE SOUDURE'!$AP$7:$AP$1506,0)))))</f>
        <v/>
      </c>
      <c r="H121" s="110" t="str">
        <f aca="false">IF($B121="","",IF(INDEX('CARNET DE SOUDURE'!$AF$7:$AF$1506,MATCH(110,'CARNET DE SOUDURE'!$AP$7:$AP$1506,0))&lt;&gt;"",INDEX('CARNET DE SOUDURE'!$AE$7:$AE$1506,MATCH(110,'CARNET DE SOUDURE'!$AP$7:$AP$1506,0)),IF(INDEX('CARNET DE SOUDURE'!$AA$7:$AA$1506,MATCH(110,'CARNET DE SOUDURE'!$AP$7:$AP$1506,0))&lt;&gt;"",INDEX('CARNET DE SOUDURE'!$Z$7:$Z$1506,MATCH(110,'CARNET DE SOUDURE'!$AP$7:$AP$1506,0)),INDEX('CARNET DE SOUDURE'!$U$7:$U$1506,MATCH(110,'CARNET DE SOUDURE'!$AP$7:$AP$1506,0))))&amp;"")</f>
        <v/>
      </c>
      <c r="I121" s="112" t="str">
        <f aca="false">IF($B121="","",INDEX('CARNET DE SOUDURE'!$AK$7:$AK$1506,MATCH(110,'CARNET DE SOUDURE'!$AP$7:$AP$1506,0)))</f>
        <v/>
      </c>
      <c r="J121" s="113" t="str">
        <f aca="false">IF($B121="","",INDEX('CARNET DE SOUDURE'!$AL$7:$AL$1506,MATCH(110,'CARNET DE SOUDURE'!$AP$7:$AP$1506,0)))</f>
        <v/>
      </c>
      <c r="K121" s="87"/>
      <c r="L121" s="87"/>
    </row>
    <row r="122" customFormat="false" ht="15" hidden="false" customHeight="false" outlineLevel="0" collapsed="false">
      <c r="B122" s="91" t="str">
        <f aca="false">IF(111&gt;$I$4,"",111)</f>
        <v/>
      </c>
      <c r="C122" s="91" t="str">
        <f aca="false">IF($B122="","",INDEX('CARNET DE SOUDURE'!$B$7:$B$1506,MATCH(111,'CARNET DE SOUDURE'!$AP$7:$AP$1506,0)))</f>
        <v/>
      </c>
      <c r="D122" s="91" t="str">
        <f aca="false">IF($B122="","",INDEX('CARNET DE SOUDURE'!$E$7:$E$1506,MATCH(111,'CARNET DE SOUDURE'!$AP$7:$AP$1506,0)))</f>
        <v/>
      </c>
      <c r="E122" s="91" t="str">
        <f aca="false">IF($B122="","",INDEX('CARNET DE SOUDURE'!$M$7:$M$1506,MATCH(111,'CARNET DE SOUDURE'!$AP$7:$AP$1506,0))&amp;" / "&amp;INDEX('CARNET DE SOUDURE'!$N$7:$N$1506,MATCH(111,'CARNET DE SOUDURE'!$AP$7:$AP$1506,0))&amp;" / "&amp;INDEX('CARNET DE SOUDURE'!$O$7:$O$1506,MATCH(111,'CARNET DE SOUDURE'!$AP$7:$AP$1506,0)))</f>
        <v/>
      </c>
      <c r="F122" s="91" t="str">
        <f aca="false">IF($B122="","",INDEX('CARNET DE SOUDURE'!$AJ$7:$AJ$1506,MATCH(111,'CARNET DE SOUDURE'!$AP$7:$AP$1506,0)))</f>
        <v/>
      </c>
      <c r="G122" s="108" t="str">
        <f aca="false">IF($B122="","",IF(INDEX('CARNET DE SOUDURE'!$AF$7:$AF$1506,MATCH(111,'CARNET DE SOUDURE'!$AP$7:$AP$1506,0))&lt;&gt;"",INDEX('CARNET DE SOUDURE'!$AD$7:$AD$1506,MATCH(111,'CARNET DE SOUDURE'!$AP$7:$AP$1506,0)),IF(INDEX('CARNET DE SOUDURE'!$AA$7:$AA$1506,MATCH(111,'CARNET DE SOUDURE'!$AP$7:$AP$1506,0))&lt;&gt;"",INDEX('CARNET DE SOUDURE'!$Y$7:$Y$1506,MATCH(111,'CARNET DE SOUDURE'!$AP$7:$AP$1506,0)),INDEX('CARNET DE SOUDURE'!$T$7:$T$1506,MATCH(111,'CARNET DE SOUDURE'!$AP$7:$AP$1506,0)))))</f>
        <v/>
      </c>
      <c r="H122" s="91" t="str">
        <f aca="false">IF($B122="","",IF(INDEX('CARNET DE SOUDURE'!$AF$7:$AF$1506,MATCH(111,'CARNET DE SOUDURE'!$AP$7:$AP$1506,0))&lt;&gt;"",INDEX('CARNET DE SOUDURE'!$AE$7:$AE$1506,MATCH(111,'CARNET DE SOUDURE'!$AP$7:$AP$1506,0)),IF(INDEX('CARNET DE SOUDURE'!$AA$7:$AA$1506,MATCH(111,'CARNET DE SOUDURE'!$AP$7:$AP$1506,0))&lt;&gt;"",INDEX('CARNET DE SOUDURE'!$Z$7:$Z$1506,MATCH(111,'CARNET DE SOUDURE'!$AP$7:$AP$1506,0)),INDEX('CARNET DE SOUDURE'!$U$7:$U$1506,MATCH(111,'CARNET DE SOUDURE'!$AP$7:$AP$1506,0))))&amp;"")</f>
        <v/>
      </c>
      <c r="I122" s="91" t="str">
        <f aca="false">IF($B122="","",INDEX('CARNET DE SOUDURE'!$AK$7:$AK$1506,MATCH(111,'CARNET DE SOUDURE'!$AP$7:$AP$1506,0)))</f>
        <v/>
      </c>
      <c r="J122" s="109" t="str">
        <f aca="false">IF($B122="","",INDEX('CARNET DE SOUDURE'!$AL$7:$AL$1506,MATCH(111,'CARNET DE SOUDURE'!$AP$7:$AP$1506,0)))</f>
        <v/>
      </c>
      <c r="K122" s="87"/>
      <c r="L122" s="87"/>
    </row>
    <row r="123" customFormat="false" ht="15" hidden="false" customHeight="false" outlineLevel="0" collapsed="false">
      <c r="B123" s="110" t="str">
        <f aca="false">IF(112&gt;$I$4,"",112)</f>
        <v/>
      </c>
      <c r="C123" s="110" t="str">
        <f aca="false">IF($B123="","",INDEX('CARNET DE SOUDURE'!$B$7:$B$1506,MATCH(112,'CARNET DE SOUDURE'!$AP$7:$AP$1506,0)))</f>
        <v/>
      </c>
      <c r="D123" s="110" t="str">
        <f aca="false">IF($B123="","",INDEX('CARNET DE SOUDURE'!$E$7:$E$1506,MATCH(112,'CARNET DE SOUDURE'!$AP$7:$AP$1506,0)))</f>
        <v/>
      </c>
      <c r="E123" s="110" t="str">
        <f aca="false">IF($B123="","",INDEX('CARNET DE SOUDURE'!$M$7:$M$1506,MATCH(112,'CARNET DE SOUDURE'!$AP$7:$AP$1506,0))&amp;" / "&amp;INDEX('CARNET DE SOUDURE'!$N$7:$N$1506,MATCH(112,'CARNET DE SOUDURE'!$AP$7:$AP$1506,0))&amp;" / "&amp;INDEX('CARNET DE SOUDURE'!$O$7:$O$1506,MATCH(112,'CARNET DE SOUDURE'!$AP$7:$AP$1506,0)))</f>
        <v/>
      </c>
      <c r="F123" s="112" t="str">
        <f aca="false">IF($B123="","",INDEX('CARNET DE SOUDURE'!$AJ$7:$AJ$1506,MATCH(112,'CARNET DE SOUDURE'!$AP$7:$AP$1506,0)))</f>
        <v/>
      </c>
      <c r="G123" s="111" t="str">
        <f aca="false">IF($B123="","",IF(INDEX('CARNET DE SOUDURE'!$AF$7:$AF$1506,MATCH(112,'CARNET DE SOUDURE'!$AP$7:$AP$1506,0))&lt;&gt;"",INDEX('CARNET DE SOUDURE'!$AD$7:$AD$1506,MATCH(112,'CARNET DE SOUDURE'!$AP$7:$AP$1506,0)),IF(INDEX('CARNET DE SOUDURE'!$AA$7:$AA$1506,MATCH(112,'CARNET DE SOUDURE'!$AP$7:$AP$1506,0))&lt;&gt;"",INDEX('CARNET DE SOUDURE'!$Y$7:$Y$1506,MATCH(112,'CARNET DE SOUDURE'!$AP$7:$AP$1506,0)),INDEX('CARNET DE SOUDURE'!$T$7:$T$1506,MATCH(112,'CARNET DE SOUDURE'!$AP$7:$AP$1506,0)))))</f>
        <v/>
      </c>
      <c r="H123" s="110" t="str">
        <f aca="false">IF($B123="","",IF(INDEX('CARNET DE SOUDURE'!$AF$7:$AF$1506,MATCH(112,'CARNET DE SOUDURE'!$AP$7:$AP$1506,0))&lt;&gt;"",INDEX('CARNET DE SOUDURE'!$AE$7:$AE$1506,MATCH(112,'CARNET DE SOUDURE'!$AP$7:$AP$1506,0)),IF(INDEX('CARNET DE SOUDURE'!$AA$7:$AA$1506,MATCH(112,'CARNET DE SOUDURE'!$AP$7:$AP$1506,0))&lt;&gt;"",INDEX('CARNET DE SOUDURE'!$Z$7:$Z$1506,MATCH(112,'CARNET DE SOUDURE'!$AP$7:$AP$1506,0)),INDEX('CARNET DE SOUDURE'!$U$7:$U$1506,MATCH(112,'CARNET DE SOUDURE'!$AP$7:$AP$1506,0))))&amp;"")</f>
        <v/>
      </c>
      <c r="I123" s="112" t="str">
        <f aca="false">IF($B123="","",INDEX('CARNET DE SOUDURE'!$AK$7:$AK$1506,MATCH(112,'CARNET DE SOUDURE'!$AP$7:$AP$1506,0)))</f>
        <v/>
      </c>
      <c r="J123" s="113" t="str">
        <f aca="false">IF($B123="","",INDEX('CARNET DE SOUDURE'!$AL$7:$AL$1506,MATCH(112,'CARNET DE SOUDURE'!$AP$7:$AP$1506,0)))</f>
        <v/>
      </c>
      <c r="K123" s="87"/>
      <c r="L123" s="87"/>
    </row>
    <row r="124" customFormat="false" ht="15" hidden="false" customHeight="false" outlineLevel="0" collapsed="false">
      <c r="B124" s="91" t="str">
        <f aca="false">IF(113&gt;$I$4,"",113)</f>
        <v/>
      </c>
      <c r="C124" s="91" t="str">
        <f aca="false">IF($B124="","",INDEX('CARNET DE SOUDURE'!$B$7:$B$1506,MATCH(113,'CARNET DE SOUDURE'!$AP$7:$AP$1506,0)))</f>
        <v/>
      </c>
      <c r="D124" s="91" t="str">
        <f aca="false">IF($B124="","",INDEX('CARNET DE SOUDURE'!$E$7:$E$1506,MATCH(113,'CARNET DE SOUDURE'!$AP$7:$AP$1506,0)))</f>
        <v/>
      </c>
      <c r="E124" s="91" t="str">
        <f aca="false">IF($B124="","",INDEX('CARNET DE SOUDURE'!$M$7:$M$1506,MATCH(113,'CARNET DE SOUDURE'!$AP$7:$AP$1506,0))&amp;" / "&amp;INDEX('CARNET DE SOUDURE'!$N$7:$N$1506,MATCH(113,'CARNET DE SOUDURE'!$AP$7:$AP$1506,0))&amp;" / "&amp;INDEX('CARNET DE SOUDURE'!$O$7:$O$1506,MATCH(113,'CARNET DE SOUDURE'!$AP$7:$AP$1506,0)))</f>
        <v/>
      </c>
      <c r="F124" s="91" t="str">
        <f aca="false">IF($B124="","",INDEX('CARNET DE SOUDURE'!$AJ$7:$AJ$1506,MATCH(113,'CARNET DE SOUDURE'!$AP$7:$AP$1506,0)))</f>
        <v/>
      </c>
      <c r="G124" s="108" t="str">
        <f aca="false">IF($B124="","",IF(INDEX('CARNET DE SOUDURE'!$AF$7:$AF$1506,MATCH(113,'CARNET DE SOUDURE'!$AP$7:$AP$1506,0))&lt;&gt;"",INDEX('CARNET DE SOUDURE'!$AD$7:$AD$1506,MATCH(113,'CARNET DE SOUDURE'!$AP$7:$AP$1506,0)),IF(INDEX('CARNET DE SOUDURE'!$AA$7:$AA$1506,MATCH(113,'CARNET DE SOUDURE'!$AP$7:$AP$1506,0))&lt;&gt;"",INDEX('CARNET DE SOUDURE'!$Y$7:$Y$1506,MATCH(113,'CARNET DE SOUDURE'!$AP$7:$AP$1506,0)),INDEX('CARNET DE SOUDURE'!$T$7:$T$1506,MATCH(113,'CARNET DE SOUDURE'!$AP$7:$AP$1506,0)))))</f>
        <v/>
      </c>
      <c r="H124" s="91" t="str">
        <f aca="false">IF($B124="","",IF(INDEX('CARNET DE SOUDURE'!$AF$7:$AF$1506,MATCH(113,'CARNET DE SOUDURE'!$AP$7:$AP$1506,0))&lt;&gt;"",INDEX('CARNET DE SOUDURE'!$AE$7:$AE$1506,MATCH(113,'CARNET DE SOUDURE'!$AP$7:$AP$1506,0)),IF(INDEX('CARNET DE SOUDURE'!$AA$7:$AA$1506,MATCH(113,'CARNET DE SOUDURE'!$AP$7:$AP$1506,0))&lt;&gt;"",INDEX('CARNET DE SOUDURE'!$Z$7:$Z$1506,MATCH(113,'CARNET DE SOUDURE'!$AP$7:$AP$1506,0)),INDEX('CARNET DE SOUDURE'!$U$7:$U$1506,MATCH(113,'CARNET DE SOUDURE'!$AP$7:$AP$1506,0))))&amp;"")</f>
        <v/>
      </c>
      <c r="I124" s="91" t="str">
        <f aca="false">IF($B124="","",INDEX('CARNET DE SOUDURE'!$AK$7:$AK$1506,MATCH(113,'CARNET DE SOUDURE'!$AP$7:$AP$1506,0)))</f>
        <v/>
      </c>
      <c r="J124" s="109" t="str">
        <f aca="false">IF($B124="","",INDEX('CARNET DE SOUDURE'!$AL$7:$AL$1506,MATCH(113,'CARNET DE SOUDURE'!$AP$7:$AP$1506,0)))</f>
        <v/>
      </c>
      <c r="K124" s="87"/>
      <c r="L124" s="87"/>
    </row>
    <row r="125" customFormat="false" ht="15" hidden="false" customHeight="false" outlineLevel="0" collapsed="false">
      <c r="B125" s="110" t="str">
        <f aca="false">IF(114&gt;$I$4,"",114)</f>
        <v/>
      </c>
      <c r="C125" s="110" t="str">
        <f aca="false">IF($B125="","",INDEX('CARNET DE SOUDURE'!$B$7:$B$1506,MATCH(114,'CARNET DE SOUDURE'!$AP$7:$AP$1506,0)))</f>
        <v/>
      </c>
      <c r="D125" s="110" t="str">
        <f aca="false">IF($B125="","",INDEX('CARNET DE SOUDURE'!$E$7:$E$1506,MATCH(114,'CARNET DE SOUDURE'!$AP$7:$AP$1506,0)))</f>
        <v/>
      </c>
      <c r="E125" s="110" t="str">
        <f aca="false">IF($B125="","",INDEX('CARNET DE SOUDURE'!$M$7:$M$1506,MATCH(114,'CARNET DE SOUDURE'!$AP$7:$AP$1506,0))&amp;" / "&amp;INDEX('CARNET DE SOUDURE'!$N$7:$N$1506,MATCH(114,'CARNET DE SOUDURE'!$AP$7:$AP$1506,0))&amp;" / "&amp;INDEX('CARNET DE SOUDURE'!$O$7:$O$1506,MATCH(114,'CARNET DE SOUDURE'!$AP$7:$AP$1506,0)))</f>
        <v/>
      </c>
      <c r="F125" s="112" t="str">
        <f aca="false">IF($B125="","",INDEX('CARNET DE SOUDURE'!$AJ$7:$AJ$1506,MATCH(114,'CARNET DE SOUDURE'!$AP$7:$AP$1506,0)))</f>
        <v/>
      </c>
      <c r="G125" s="111" t="str">
        <f aca="false">IF($B125="","",IF(INDEX('CARNET DE SOUDURE'!$AF$7:$AF$1506,MATCH(114,'CARNET DE SOUDURE'!$AP$7:$AP$1506,0))&lt;&gt;"",INDEX('CARNET DE SOUDURE'!$AD$7:$AD$1506,MATCH(114,'CARNET DE SOUDURE'!$AP$7:$AP$1506,0)),IF(INDEX('CARNET DE SOUDURE'!$AA$7:$AA$1506,MATCH(114,'CARNET DE SOUDURE'!$AP$7:$AP$1506,0))&lt;&gt;"",INDEX('CARNET DE SOUDURE'!$Y$7:$Y$1506,MATCH(114,'CARNET DE SOUDURE'!$AP$7:$AP$1506,0)),INDEX('CARNET DE SOUDURE'!$T$7:$T$1506,MATCH(114,'CARNET DE SOUDURE'!$AP$7:$AP$1506,0)))))</f>
        <v/>
      </c>
      <c r="H125" s="110" t="str">
        <f aca="false">IF($B125="","",IF(INDEX('CARNET DE SOUDURE'!$AF$7:$AF$1506,MATCH(114,'CARNET DE SOUDURE'!$AP$7:$AP$1506,0))&lt;&gt;"",INDEX('CARNET DE SOUDURE'!$AE$7:$AE$1506,MATCH(114,'CARNET DE SOUDURE'!$AP$7:$AP$1506,0)),IF(INDEX('CARNET DE SOUDURE'!$AA$7:$AA$1506,MATCH(114,'CARNET DE SOUDURE'!$AP$7:$AP$1506,0))&lt;&gt;"",INDEX('CARNET DE SOUDURE'!$Z$7:$Z$1506,MATCH(114,'CARNET DE SOUDURE'!$AP$7:$AP$1506,0)),INDEX('CARNET DE SOUDURE'!$U$7:$U$1506,MATCH(114,'CARNET DE SOUDURE'!$AP$7:$AP$1506,0))))&amp;"")</f>
        <v/>
      </c>
      <c r="I125" s="112" t="str">
        <f aca="false">IF($B125="","",INDEX('CARNET DE SOUDURE'!$AK$7:$AK$1506,MATCH(114,'CARNET DE SOUDURE'!$AP$7:$AP$1506,0)))</f>
        <v/>
      </c>
      <c r="J125" s="113" t="str">
        <f aca="false">IF($B125="","",INDEX('CARNET DE SOUDURE'!$AL$7:$AL$1506,MATCH(114,'CARNET DE SOUDURE'!$AP$7:$AP$1506,0)))</f>
        <v/>
      </c>
      <c r="K125" s="87"/>
      <c r="L125" s="87"/>
    </row>
    <row r="126" customFormat="false" ht="15" hidden="false" customHeight="false" outlineLevel="0" collapsed="false">
      <c r="B126" s="91" t="str">
        <f aca="false">IF(115&gt;$I$4,"",115)</f>
        <v/>
      </c>
      <c r="C126" s="91" t="str">
        <f aca="false">IF($B126="","",INDEX('CARNET DE SOUDURE'!$B$7:$B$1506,MATCH(115,'CARNET DE SOUDURE'!$AP$7:$AP$1506,0)))</f>
        <v/>
      </c>
      <c r="D126" s="91" t="str">
        <f aca="false">IF($B126="","",INDEX('CARNET DE SOUDURE'!$E$7:$E$1506,MATCH(115,'CARNET DE SOUDURE'!$AP$7:$AP$1506,0)))</f>
        <v/>
      </c>
      <c r="E126" s="91" t="str">
        <f aca="false">IF($B126="","",INDEX('CARNET DE SOUDURE'!$M$7:$M$1506,MATCH(115,'CARNET DE SOUDURE'!$AP$7:$AP$1506,0))&amp;" / "&amp;INDEX('CARNET DE SOUDURE'!$N$7:$N$1506,MATCH(115,'CARNET DE SOUDURE'!$AP$7:$AP$1506,0))&amp;" / "&amp;INDEX('CARNET DE SOUDURE'!$O$7:$O$1506,MATCH(115,'CARNET DE SOUDURE'!$AP$7:$AP$1506,0)))</f>
        <v/>
      </c>
      <c r="F126" s="91" t="str">
        <f aca="false">IF($B126="","",INDEX('CARNET DE SOUDURE'!$AJ$7:$AJ$1506,MATCH(115,'CARNET DE SOUDURE'!$AP$7:$AP$1506,0)))</f>
        <v/>
      </c>
      <c r="G126" s="108" t="str">
        <f aca="false">IF($B126="","",IF(INDEX('CARNET DE SOUDURE'!$AF$7:$AF$1506,MATCH(115,'CARNET DE SOUDURE'!$AP$7:$AP$1506,0))&lt;&gt;"",INDEX('CARNET DE SOUDURE'!$AD$7:$AD$1506,MATCH(115,'CARNET DE SOUDURE'!$AP$7:$AP$1506,0)),IF(INDEX('CARNET DE SOUDURE'!$AA$7:$AA$1506,MATCH(115,'CARNET DE SOUDURE'!$AP$7:$AP$1506,0))&lt;&gt;"",INDEX('CARNET DE SOUDURE'!$Y$7:$Y$1506,MATCH(115,'CARNET DE SOUDURE'!$AP$7:$AP$1506,0)),INDEX('CARNET DE SOUDURE'!$T$7:$T$1506,MATCH(115,'CARNET DE SOUDURE'!$AP$7:$AP$1506,0)))))</f>
        <v/>
      </c>
      <c r="H126" s="91" t="str">
        <f aca="false">IF($B126="","",IF(INDEX('CARNET DE SOUDURE'!$AF$7:$AF$1506,MATCH(115,'CARNET DE SOUDURE'!$AP$7:$AP$1506,0))&lt;&gt;"",INDEX('CARNET DE SOUDURE'!$AE$7:$AE$1506,MATCH(115,'CARNET DE SOUDURE'!$AP$7:$AP$1506,0)),IF(INDEX('CARNET DE SOUDURE'!$AA$7:$AA$1506,MATCH(115,'CARNET DE SOUDURE'!$AP$7:$AP$1506,0))&lt;&gt;"",INDEX('CARNET DE SOUDURE'!$Z$7:$Z$1506,MATCH(115,'CARNET DE SOUDURE'!$AP$7:$AP$1506,0)),INDEX('CARNET DE SOUDURE'!$U$7:$U$1506,MATCH(115,'CARNET DE SOUDURE'!$AP$7:$AP$1506,0))))&amp;"")</f>
        <v/>
      </c>
      <c r="I126" s="91" t="str">
        <f aca="false">IF($B126="","",INDEX('CARNET DE SOUDURE'!$AK$7:$AK$1506,MATCH(115,'CARNET DE SOUDURE'!$AP$7:$AP$1506,0)))</f>
        <v/>
      </c>
      <c r="J126" s="109" t="str">
        <f aca="false">IF($B126="","",INDEX('CARNET DE SOUDURE'!$AL$7:$AL$1506,MATCH(115,'CARNET DE SOUDURE'!$AP$7:$AP$1506,0)))</f>
        <v/>
      </c>
      <c r="K126" s="87"/>
      <c r="L126" s="87"/>
    </row>
    <row r="127" customFormat="false" ht="15" hidden="false" customHeight="false" outlineLevel="0" collapsed="false">
      <c r="B127" s="110" t="str">
        <f aca="false">IF(116&gt;$I$4,"",116)</f>
        <v/>
      </c>
      <c r="C127" s="110" t="str">
        <f aca="false">IF($B127="","",INDEX('CARNET DE SOUDURE'!$B$7:$B$1506,MATCH(116,'CARNET DE SOUDURE'!$AP$7:$AP$1506,0)))</f>
        <v/>
      </c>
      <c r="D127" s="110" t="str">
        <f aca="false">IF($B127="","",INDEX('CARNET DE SOUDURE'!$E$7:$E$1506,MATCH(116,'CARNET DE SOUDURE'!$AP$7:$AP$1506,0)))</f>
        <v/>
      </c>
      <c r="E127" s="110" t="str">
        <f aca="false">IF($B127="","",INDEX('CARNET DE SOUDURE'!$M$7:$M$1506,MATCH(116,'CARNET DE SOUDURE'!$AP$7:$AP$1506,0))&amp;" / "&amp;INDEX('CARNET DE SOUDURE'!$N$7:$N$1506,MATCH(116,'CARNET DE SOUDURE'!$AP$7:$AP$1506,0))&amp;" / "&amp;INDEX('CARNET DE SOUDURE'!$O$7:$O$1506,MATCH(116,'CARNET DE SOUDURE'!$AP$7:$AP$1506,0)))</f>
        <v/>
      </c>
      <c r="F127" s="112" t="str">
        <f aca="false">IF($B127="","",INDEX('CARNET DE SOUDURE'!$AJ$7:$AJ$1506,MATCH(116,'CARNET DE SOUDURE'!$AP$7:$AP$1506,0)))</f>
        <v/>
      </c>
      <c r="G127" s="111" t="str">
        <f aca="false">IF($B127="","",IF(INDEX('CARNET DE SOUDURE'!$AF$7:$AF$1506,MATCH(116,'CARNET DE SOUDURE'!$AP$7:$AP$1506,0))&lt;&gt;"",INDEX('CARNET DE SOUDURE'!$AD$7:$AD$1506,MATCH(116,'CARNET DE SOUDURE'!$AP$7:$AP$1506,0)),IF(INDEX('CARNET DE SOUDURE'!$AA$7:$AA$1506,MATCH(116,'CARNET DE SOUDURE'!$AP$7:$AP$1506,0))&lt;&gt;"",INDEX('CARNET DE SOUDURE'!$Y$7:$Y$1506,MATCH(116,'CARNET DE SOUDURE'!$AP$7:$AP$1506,0)),INDEX('CARNET DE SOUDURE'!$T$7:$T$1506,MATCH(116,'CARNET DE SOUDURE'!$AP$7:$AP$1506,0)))))</f>
        <v/>
      </c>
      <c r="H127" s="110" t="str">
        <f aca="false">IF($B127="","",IF(INDEX('CARNET DE SOUDURE'!$AF$7:$AF$1506,MATCH(116,'CARNET DE SOUDURE'!$AP$7:$AP$1506,0))&lt;&gt;"",INDEX('CARNET DE SOUDURE'!$AE$7:$AE$1506,MATCH(116,'CARNET DE SOUDURE'!$AP$7:$AP$1506,0)),IF(INDEX('CARNET DE SOUDURE'!$AA$7:$AA$1506,MATCH(116,'CARNET DE SOUDURE'!$AP$7:$AP$1506,0))&lt;&gt;"",INDEX('CARNET DE SOUDURE'!$Z$7:$Z$1506,MATCH(116,'CARNET DE SOUDURE'!$AP$7:$AP$1506,0)),INDEX('CARNET DE SOUDURE'!$U$7:$U$1506,MATCH(116,'CARNET DE SOUDURE'!$AP$7:$AP$1506,0))))&amp;"")</f>
        <v/>
      </c>
      <c r="I127" s="112" t="str">
        <f aca="false">IF($B127="","",INDEX('CARNET DE SOUDURE'!$AK$7:$AK$1506,MATCH(116,'CARNET DE SOUDURE'!$AP$7:$AP$1506,0)))</f>
        <v/>
      </c>
      <c r="J127" s="113" t="str">
        <f aca="false">IF($B127="","",INDEX('CARNET DE SOUDURE'!$AL$7:$AL$1506,MATCH(116,'CARNET DE SOUDURE'!$AP$7:$AP$1506,0)))</f>
        <v/>
      </c>
      <c r="K127" s="87"/>
      <c r="L127" s="87"/>
    </row>
    <row r="128" customFormat="false" ht="15" hidden="false" customHeight="false" outlineLevel="0" collapsed="false">
      <c r="B128" s="91" t="str">
        <f aca="false">IF(117&gt;$I$4,"",117)</f>
        <v/>
      </c>
      <c r="C128" s="91" t="str">
        <f aca="false">IF($B128="","",INDEX('CARNET DE SOUDURE'!$B$7:$B$1506,MATCH(117,'CARNET DE SOUDURE'!$AP$7:$AP$1506,0)))</f>
        <v/>
      </c>
      <c r="D128" s="91" t="str">
        <f aca="false">IF($B128="","",INDEX('CARNET DE SOUDURE'!$E$7:$E$1506,MATCH(117,'CARNET DE SOUDURE'!$AP$7:$AP$1506,0)))</f>
        <v/>
      </c>
      <c r="E128" s="91" t="str">
        <f aca="false">IF($B128="","",INDEX('CARNET DE SOUDURE'!$M$7:$M$1506,MATCH(117,'CARNET DE SOUDURE'!$AP$7:$AP$1506,0))&amp;" / "&amp;INDEX('CARNET DE SOUDURE'!$N$7:$N$1506,MATCH(117,'CARNET DE SOUDURE'!$AP$7:$AP$1506,0))&amp;" / "&amp;INDEX('CARNET DE SOUDURE'!$O$7:$O$1506,MATCH(117,'CARNET DE SOUDURE'!$AP$7:$AP$1506,0)))</f>
        <v/>
      </c>
      <c r="F128" s="91" t="str">
        <f aca="false">IF($B128="","",INDEX('CARNET DE SOUDURE'!$AJ$7:$AJ$1506,MATCH(117,'CARNET DE SOUDURE'!$AP$7:$AP$1506,0)))</f>
        <v/>
      </c>
      <c r="G128" s="108" t="str">
        <f aca="false">IF($B128="","",IF(INDEX('CARNET DE SOUDURE'!$AF$7:$AF$1506,MATCH(117,'CARNET DE SOUDURE'!$AP$7:$AP$1506,0))&lt;&gt;"",INDEX('CARNET DE SOUDURE'!$AD$7:$AD$1506,MATCH(117,'CARNET DE SOUDURE'!$AP$7:$AP$1506,0)),IF(INDEX('CARNET DE SOUDURE'!$AA$7:$AA$1506,MATCH(117,'CARNET DE SOUDURE'!$AP$7:$AP$1506,0))&lt;&gt;"",INDEX('CARNET DE SOUDURE'!$Y$7:$Y$1506,MATCH(117,'CARNET DE SOUDURE'!$AP$7:$AP$1506,0)),INDEX('CARNET DE SOUDURE'!$T$7:$T$1506,MATCH(117,'CARNET DE SOUDURE'!$AP$7:$AP$1506,0)))))</f>
        <v/>
      </c>
      <c r="H128" s="91" t="str">
        <f aca="false">IF($B128="","",IF(INDEX('CARNET DE SOUDURE'!$AF$7:$AF$1506,MATCH(117,'CARNET DE SOUDURE'!$AP$7:$AP$1506,0))&lt;&gt;"",INDEX('CARNET DE SOUDURE'!$AE$7:$AE$1506,MATCH(117,'CARNET DE SOUDURE'!$AP$7:$AP$1506,0)),IF(INDEX('CARNET DE SOUDURE'!$AA$7:$AA$1506,MATCH(117,'CARNET DE SOUDURE'!$AP$7:$AP$1506,0))&lt;&gt;"",INDEX('CARNET DE SOUDURE'!$Z$7:$Z$1506,MATCH(117,'CARNET DE SOUDURE'!$AP$7:$AP$1506,0)),INDEX('CARNET DE SOUDURE'!$U$7:$U$1506,MATCH(117,'CARNET DE SOUDURE'!$AP$7:$AP$1506,0))))&amp;"")</f>
        <v/>
      </c>
      <c r="I128" s="91" t="str">
        <f aca="false">IF($B128="","",INDEX('CARNET DE SOUDURE'!$AK$7:$AK$1506,MATCH(117,'CARNET DE SOUDURE'!$AP$7:$AP$1506,0)))</f>
        <v/>
      </c>
      <c r="J128" s="109" t="str">
        <f aca="false">IF($B128="","",INDEX('CARNET DE SOUDURE'!$AL$7:$AL$1506,MATCH(117,'CARNET DE SOUDURE'!$AP$7:$AP$1506,0)))</f>
        <v/>
      </c>
      <c r="K128" s="87"/>
      <c r="L128" s="87"/>
    </row>
    <row r="129" customFormat="false" ht="15" hidden="false" customHeight="false" outlineLevel="0" collapsed="false">
      <c r="B129" s="110" t="str">
        <f aca="false">IF(118&gt;$I$4,"",118)</f>
        <v/>
      </c>
      <c r="C129" s="110" t="str">
        <f aca="false">IF($B129="","",INDEX('CARNET DE SOUDURE'!$B$7:$B$1506,MATCH(118,'CARNET DE SOUDURE'!$AP$7:$AP$1506,0)))</f>
        <v/>
      </c>
      <c r="D129" s="110" t="str">
        <f aca="false">IF($B129="","",INDEX('CARNET DE SOUDURE'!$E$7:$E$1506,MATCH(118,'CARNET DE SOUDURE'!$AP$7:$AP$1506,0)))</f>
        <v/>
      </c>
      <c r="E129" s="110" t="str">
        <f aca="false">IF($B129="","",INDEX('CARNET DE SOUDURE'!$M$7:$M$1506,MATCH(118,'CARNET DE SOUDURE'!$AP$7:$AP$1506,0))&amp;" / "&amp;INDEX('CARNET DE SOUDURE'!$N$7:$N$1506,MATCH(118,'CARNET DE SOUDURE'!$AP$7:$AP$1506,0))&amp;" / "&amp;INDEX('CARNET DE SOUDURE'!$O$7:$O$1506,MATCH(118,'CARNET DE SOUDURE'!$AP$7:$AP$1506,0)))</f>
        <v/>
      </c>
      <c r="F129" s="112" t="str">
        <f aca="false">IF($B129="","",INDEX('CARNET DE SOUDURE'!$AJ$7:$AJ$1506,MATCH(118,'CARNET DE SOUDURE'!$AP$7:$AP$1506,0)))</f>
        <v/>
      </c>
      <c r="G129" s="111" t="str">
        <f aca="false">IF($B129="","",IF(INDEX('CARNET DE SOUDURE'!$AF$7:$AF$1506,MATCH(118,'CARNET DE SOUDURE'!$AP$7:$AP$1506,0))&lt;&gt;"",INDEX('CARNET DE SOUDURE'!$AD$7:$AD$1506,MATCH(118,'CARNET DE SOUDURE'!$AP$7:$AP$1506,0)),IF(INDEX('CARNET DE SOUDURE'!$AA$7:$AA$1506,MATCH(118,'CARNET DE SOUDURE'!$AP$7:$AP$1506,0))&lt;&gt;"",INDEX('CARNET DE SOUDURE'!$Y$7:$Y$1506,MATCH(118,'CARNET DE SOUDURE'!$AP$7:$AP$1506,0)),INDEX('CARNET DE SOUDURE'!$T$7:$T$1506,MATCH(118,'CARNET DE SOUDURE'!$AP$7:$AP$1506,0)))))</f>
        <v/>
      </c>
      <c r="H129" s="110" t="str">
        <f aca="false">IF($B129="","",IF(INDEX('CARNET DE SOUDURE'!$AF$7:$AF$1506,MATCH(118,'CARNET DE SOUDURE'!$AP$7:$AP$1506,0))&lt;&gt;"",INDEX('CARNET DE SOUDURE'!$AE$7:$AE$1506,MATCH(118,'CARNET DE SOUDURE'!$AP$7:$AP$1506,0)),IF(INDEX('CARNET DE SOUDURE'!$AA$7:$AA$1506,MATCH(118,'CARNET DE SOUDURE'!$AP$7:$AP$1506,0))&lt;&gt;"",INDEX('CARNET DE SOUDURE'!$Z$7:$Z$1506,MATCH(118,'CARNET DE SOUDURE'!$AP$7:$AP$1506,0)),INDEX('CARNET DE SOUDURE'!$U$7:$U$1506,MATCH(118,'CARNET DE SOUDURE'!$AP$7:$AP$1506,0))))&amp;"")</f>
        <v/>
      </c>
      <c r="I129" s="112" t="str">
        <f aca="false">IF($B129="","",INDEX('CARNET DE SOUDURE'!$AK$7:$AK$1506,MATCH(118,'CARNET DE SOUDURE'!$AP$7:$AP$1506,0)))</f>
        <v/>
      </c>
      <c r="J129" s="113" t="str">
        <f aca="false">IF($B129="","",INDEX('CARNET DE SOUDURE'!$AL$7:$AL$1506,MATCH(118,'CARNET DE SOUDURE'!$AP$7:$AP$1506,0)))</f>
        <v/>
      </c>
      <c r="K129" s="87"/>
      <c r="L129" s="87"/>
    </row>
    <row r="130" customFormat="false" ht="15" hidden="false" customHeight="false" outlineLevel="0" collapsed="false">
      <c r="B130" s="91" t="str">
        <f aca="false">IF(119&gt;$I$4,"",119)</f>
        <v/>
      </c>
      <c r="C130" s="91" t="str">
        <f aca="false">IF($B130="","",INDEX('CARNET DE SOUDURE'!$B$7:$B$1506,MATCH(119,'CARNET DE SOUDURE'!$AP$7:$AP$1506,0)))</f>
        <v/>
      </c>
      <c r="D130" s="91" t="str">
        <f aca="false">IF($B130="","",INDEX('CARNET DE SOUDURE'!$E$7:$E$1506,MATCH(119,'CARNET DE SOUDURE'!$AP$7:$AP$1506,0)))</f>
        <v/>
      </c>
      <c r="E130" s="91" t="str">
        <f aca="false">IF($B130="","",INDEX('CARNET DE SOUDURE'!$M$7:$M$1506,MATCH(119,'CARNET DE SOUDURE'!$AP$7:$AP$1506,0))&amp;" / "&amp;INDEX('CARNET DE SOUDURE'!$N$7:$N$1506,MATCH(119,'CARNET DE SOUDURE'!$AP$7:$AP$1506,0))&amp;" / "&amp;INDEX('CARNET DE SOUDURE'!$O$7:$O$1506,MATCH(119,'CARNET DE SOUDURE'!$AP$7:$AP$1506,0)))</f>
        <v/>
      </c>
      <c r="F130" s="91" t="str">
        <f aca="false">IF($B130="","",INDEX('CARNET DE SOUDURE'!$AJ$7:$AJ$1506,MATCH(119,'CARNET DE SOUDURE'!$AP$7:$AP$1506,0)))</f>
        <v/>
      </c>
      <c r="G130" s="108" t="str">
        <f aca="false">IF($B130="","",IF(INDEX('CARNET DE SOUDURE'!$AF$7:$AF$1506,MATCH(119,'CARNET DE SOUDURE'!$AP$7:$AP$1506,0))&lt;&gt;"",INDEX('CARNET DE SOUDURE'!$AD$7:$AD$1506,MATCH(119,'CARNET DE SOUDURE'!$AP$7:$AP$1506,0)),IF(INDEX('CARNET DE SOUDURE'!$AA$7:$AA$1506,MATCH(119,'CARNET DE SOUDURE'!$AP$7:$AP$1506,0))&lt;&gt;"",INDEX('CARNET DE SOUDURE'!$Y$7:$Y$1506,MATCH(119,'CARNET DE SOUDURE'!$AP$7:$AP$1506,0)),INDEX('CARNET DE SOUDURE'!$T$7:$T$1506,MATCH(119,'CARNET DE SOUDURE'!$AP$7:$AP$1506,0)))))</f>
        <v/>
      </c>
      <c r="H130" s="91" t="str">
        <f aca="false">IF($B130="","",IF(INDEX('CARNET DE SOUDURE'!$AF$7:$AF$1506,MATCH(119,'CARNET DE SOUDURE'!$AP$7:$AP$1506,0))&lt;&gt;"",INDEX('CARNET DE SOUDURE'!$AE$7:$AE$1506,MATCH(119,'CARNET DE SOUDURE'!$AP$7:$AP$1506,0)),IF(INDEX('CARNET DE SOUDURE'!$AA$7:$AA$1506,MATCH(119,'CARNET DE SOUDURE'!$AP$7:$AP$1506,0))&lt;&gt;"",INDEX('CARNET DE SOUDURE'!$Z$7:$Z$1506,MATCH(119,'CARNET DE SOUDURE'!$AP$7:$AP$1506,0)),INDEX('CARNET DE SOUDURE'!$U$7:$U$1506,MATCH(119,'CARNET DE SOUDURE'!$AP$7:$AP$1506,0))))&amp;"")</f>
        <v/>
      </c>
      <c r="I130" s="91" t="str">
        <f aca="false">IF($B130="","",INDEX('CARNET DE SOUDURE'!$AK$7:$AK$1506,MATCH(119,'CARNET DE SOUDURE'!$AP$7:$AP$1506,0)))</f>
        <v/>
      </c>
      <c r="J130" s="109" t="str">
        <f aca="false">IF($B130="","",INDEX('CARNET DE SOUDURE'!$AL$7:$AL$1506,MATCH(119,'CARNET DE SOUDURE'!$AP$7:$AP$1506,0)))</f>
        <v/>
      </c>
      <c r="K130" s="87"/>
      <c r="L130" s="87"/>
    </row>
    <row r="131" customFormat="false" ht="15" hidden="false" customHeight="false" outlineLevel="0" collapsed="false">
      <c r="B131" s="110" t="str">
        <f aca="false">IF(120&gt;$I$4,"",120)</f>
        <v/>
      </c>
      <c r="C131" s="110" t="str">
        <f aca="false">IF($B131="","",INDEX('CARNET DE SOUDURE'!$B$7:$B$1506,MATCH(120,'CARNET DE SOUDURE'!$AP$7:$AP$1506,0)))</f>
        <v/>
      </c>
      <c r="D131" s="110" t="str">
        <f aca="false">IF($B131="","",INDEX('CARNET DE SOUDURE'!$E$7:$E$1506,MATCH(120,'CARNET DE SOUDURE'!$AP$7:$AP$1506,0)))</f>
        <v/>
      </c>
      <c r="E131" s="110" t="str">
        <f aca="false">IF($B131="","",INDEX('CARNET DE SOUDURE'!$M$7:$M$1506,MATCH(120,'CARNET DE SOUDURE'!$AP$7:$AP$1506,0))&amp;" / "&amp;INDEX('CARNET DE SOUDURE'!$N$7:$N$1506,MATCH(120,'CARNET DE SOUDURE'!$AP$7:$AP$1506,0))&amp;" / "&amp;INDEX('CARNET DE SOUDURE'!$O$7:$O$1506,MATCH(120,'CARNET DE SOUDURE'!$AP$7:$AP$1506,0)))</f>
        <v/>
      </c>
      <c r="F131" s="112" t="str">
        <f aca="false">IF($B131="","",INDEX('CARNET DE SOUDURE'!$AJ$7:$AJ$1506,MATCH(120,'CARNET DE SOUDURE'!$AP$7:$AP$1506,0)))</f>
        <v/>
      </c>
      <c r="G131" s="111" t="str">
        <f aca="false">IF($B131="","",IF(INDEX('CARNET DE SOUDURE'!$AF$7:$AF$1506,MATCH(120,'CARNET DE SOUDURE'!$AP$7:$AP$1506,0))&lt;&gt;"",INDEX('CARNET DE SOUDURE'!$AD$7:$AD$1506,MATCH(120,'CARNET DE SOUDURE'!$AP$7:$AP$1506,0)),IF(INDEX('CARNET DE SOUDURE'!$AA$7:$AA$1506,MATCH(120,'CARNET DE SOUDURE'!$AP$7:$AP$1506,0))&lt;&gt;"",INDEX('CARNET DE SOUDURE'!$Y$7:$Y$1506,MATCH(120,'CARNET DE SOUDURE'!$AP$7:$AP$1506,0)),INDEX('CARNET DE SOUDURE'!$T$7:$T$1506,MATCH(120,'CARNET DE SOUDURE'!$AP$7:$AP$1506,0)))))</f>
        <v/>
      </c>
      <c r="H131" s="110" t="str">
        <f aca="false">IF($B131="","",IF(INDEX('CARNET DE SOUDURE'!$AF$7:$AF$1506,MATCH(120,'CARNET DE SOUDURE'!$AP$7:$AP$1506,0))&lt;&gt;"",INDEX('CARNET DE SOUDURE'!$AE$7:$AE$1506,MATCH(120,'CARNET DE SOUDURE'!$AP$7:$AP$1506,0)),IF(INDEX('CARNET DE SOUDURE'!$AA$7:$AA$1506,MATCH(120,'CARNET DE SOUDURE'!$AP$7:$AP$1506,0))&lt;&gt;"",INDEX('CARNET DE SOUDURE'!$Z$7:$Z$1506,MATCH(120,'CARNET DE SOUDURE'!$AP$7:$AP$1506,0)),INDEX('CARNET DE SOUDURE'!$U$7:$U$1506,MATCH(120,'CARNET DE SOUDURE'!$AP$7:$AP$1506,0))))&amp;"")</f>
        <v/>
      </c>
      <c r="I131" s="112" t="str">
        <f aca="false">IF($B131="","",INDEX('CARNET DE SOUDURE'!$AK$7:$AK$1506,MATCH(120,'CARNET DE SOUDURE'!$AP$7:$AP$1506,0)))</f>
        <v/>
      </c>
      <c r="J131" s="113" t="str">
        <f aca="false">IF($B131="","",INDEX('CARNET DE SOUDURE'!$AL$7:$AL$1506,MATCH(120,'CARNET DE SOUDURE'!$AP$7:$AP$1506,0)))</f>
        <v/>
      </c>
      <c r="K131" s="87"/>
      <c r="L131" s="87"/>
    </row>
    <row r="132" customFormat="false" ht="15" hidden="false" customHeight="false" outlineLevel="0" collapsed="false">
      <c r="B132" s="91" t="str">
        <f aca="false">IF(121&gt;$I$4,"",121)</f>
        <v/>
      </c>
      <c r="C132" s="91" t="str">
        <f aca="false">IF($B132="","",INDEX('CARNET DE SOUDURE'!$B$7:$B$1506,MATCH(121,'CARNET DE SOUDURE'!$AP$7:$AP$1506,0)))</f>
        <v/>
      </c>
      <c r="D132" s="91" t="str">
        <f aca="false">IF($B132="","",INDEX('CARNET DE SOUDURE'!$E$7:$E$1506,MATCH(121,'CARNET DE SOUDURE'!$AP$7:$AP$1506,0)))</f>
        <v/>
      </c>
      <c r="E132" s="91" t="str">
        <f aca="false">IF($B132="","",INDEX('CARNET DE SOUDURE'!$M$7:$M$1506,MATCH(121,'CARNET DE SOUDURE'!$AP$7:$AP$1506,0))&amp;" / "&amp;INDEX('CARNET DE SOUDURE'!$N$7:$N$1506,MATCH(121,'CARNET DE SOUDURE'!$AP$7:$AP$1506,0))&amp;" / "&amp;INDEX('CARNET DE SOUDURE'!$O$7:$O$1506,MATCH(121,'CARNET DE SOUDURE'!$AP$7:$AP$1506,0)))</f>
        <v/>
      </c>
      <c r="F132" s="91" t="str">
        <f aca="false">IF($B132="","",INDEX('CARNET DE SOUDURE'!$AJ$7:$AJ$1506,MATCH(121,'CARNET DE SOUDURE'!$AP$7:$AP$1506,0)))</f>
        <v/>
      </c>
      <c r="G132" s="108" t="str">
        <f aca="false">IF($B132="","",IF(INDEX('CARNET DE SOUDURE'!$AF$7:$AF$1506,MATCH(121,'CARNET DE SOUDURE'!$AP$7:$AP$1506,0))&lt;&gt;"",INDEX('CARNET DE SOUDURE'!$AD$7:$AD$1506,MATCH(121,'CARNET DE SOUDURE'!$AP$7:$AP$1506,0)),IF(INDEX('CARNET DE SOUDURE'!$AA$7:$AA$1506,MATCH(121,'CARNET DE SOUDURE'!$AP$7:$AP$1506,0))&lt;&gt;"",INDEX('CARNET DE SOUDURE'!$Y$7:$Y$1506,MATCH(121,'CARNET DE SOUDURE'!$AP$7:$AP$1506,0)),INDEX('CARNET DE SOUDURE'!$T$7:$T$1506,MATCH(121,'CARNET DE SOUDURE'!$AP$7:$AP$1506,0)))))</f>
        <v/>
      </c>
      <c r="H132" s="91" t="str">
        <f aca="false">IF($B132="","",IF(INDEX('CARNET DE SOUDURE'!$AF$7:$AF$1506,MATCH(121,'CARNET DE SOUDURE'!$AP$7:$AP$1506,0))&lt;&gt;"",INDEX('CARNET DE SOUDURE'!$AE$7:$AE$1506,MATCH(121,'CARNET DE SOUDURE'!$AP$7:$AP$1506,0)),IF(INDEX('CARNET DE SOUDURE'!$AA$7:$AA$1506,MATCH(121,'CARNET DE SOUDURE'!$AP$7:$AP$1506,0))&lt;&gt;"",INDEX('CARNET DE SOUDURE'!$Z$7:$Z$1506,MATCH(121,'CARNET DE SOUDURE'!$AP$7:$AP$1506,0)),INDEX('CARNET DE SOUDURE'!$U$7:$U$1506,MATCH(121,'CARNET DE SOUDURE'!$AP$7:$AP$1506,0))))&amp;"")</f>
        <v/>
      </c>
      <c r="I132" s="91" t="str">
        <f aca="false">IF($B132="","",INDEX('CARNET DE SOUDURE'!$AK$7:$AK$1506,MATCH(121,'CARNET DE SOUDURE'!$AP$7:$AP$1506,0)))</f>
        <v/>
      </c>
      <c r="J132" s="109" t="str">
        <f aca="false">IF($B132="","",INDEX('CARNET DE SOUDURE'!$AL$7:$AL$1506,MATCH(121,'CARNET DE SOUDURE'!$AP$7:$AP$1506,0)))</f>
        <v/>
      </c>
      <c r="K132" s="87"/>
      <c r="L132" s="87"/>
    </row>
    <row r="133" customFormat="false" ht="15" hidden="false" customHeight="false" outlineLevel="0" collapsed="false">
      <c r="B133" s="110" t="str">
        <f aca="false">IF(122&gt;$I$4,"",122)</f>
        <v/>
      </c>
      <c r="C133" s="110" t="str">
        <f aca="false">IF($B133="","",INDEX('CARNET DE SOUDURE'!$B$7:$B$1506,MATCH(122,'CARNET DE SOUDURE'!$AP$7:$AP$1506,0)))</f>
        <v/>
      </c>
      <c r="D133" s="110" t="str">
        <f aca="false">IF($B133="","",INDEX('CARNET DE SOUDURE'!$E$7:$E$1506,MATCH(122,'CARNET DE SOUDURE'!$AP$7:$AP$1506,0)))</f>
        <v/>
      </c>
      <c r="E133" s="110" t="str">
        <f aca="false">IF($B133="","",INDEX('CARNET DE SOUDURE'!$M$7:$M$1506,MATCH(122,'CARNET DE SOUDURE'!$AP$7:$AP$1506,0))&amp;" / "&amp;INDEX('CARNET DE SOUDURE'!$N$7:$N$1506,MATCH(122,'CARNET DE SOUDURE'!$AP$7:$AP$1506,0))&amp;" / "&amp;INDEX('CARNET DE SOUDURE'!$O$7:$O$1506,MATCH(122,'CARNET DE SOUDURE'!$AP$7:$AP$1506,0)))</f>
        <v/>
      </c>
      <c r="F133" s="112" t="str">
        <f aca="false">IF($B133="","",INDEX('CARNET DE SOUDURE'!$AJ$7:$AJ$1506,MATCH(122,'CARNET DE SOUDURE'!$AP$7:$AP$1506,0)))</f>
        <v/>
      </c>
      <c r="G133" s="111" t="str">
        <f aca="false">IF($B133="","",IF(INDEX('CARNET DE SOUDURE'!$AF$7:$AF$1506,MATCH(122,'CARNET DE SOUDURE'!$AP$7:$AP$1506,0))&lt;&gt;"",INDEX('CARNET DE SOUDURE'!$AD$7:$AD$1506,MATCH(122,'CARNET DE SOUDURE'!$AP$7:$AP$1506,0)),IF(INDEX('CARNET DE SOUDURE'!$AA$7:$AA$1506,MATCH(122,'CARNET DE SOUDURE'!$AP$7:$AP$1506,0))&lt;&gt;"",INDEX('CARNET DE SOUDURE'!$Y$7:$Y$1506,MATCH(122,'CARNET DE SOUDURE'!$AP$7:$AP$1506,0)),INDEX('CARNET DE SOUDURE'!$T$7:$T$1506,MATCH(122,'CARNET DE SOUDURE'!$AP$7:$AP$1506,0)))))</f>
        <v/>
      </c>
      <c r="H133" s="110" t="str">
        <f aca="false">IF($B133="","",IF(INDEX('CARNET DE SOUDURE'!$AF$7:$AF$1506,MATCH(122,'CARNET DE SOUDURE'!$AP$7:$AP$1506,0))&lt;&gt;"",INDEX('CARNET DE SOUDURE'!$AE$7:$AE$1506,MATCH(122,'CARNET DE SOUDURE'!$AP$7:$AP$1506,0)),IF(INDEX('CARNET DE SOUDURE'!$AA$7:$AA$1506,MATCH(122,'CARNET DE SOUDURE'!$AP$7:$AP$1506,0))&lt;&gt;"",INDEX('CARNET DE SOUDURE'!$Z$7:$Z$1506,MATCH(122,'CARNET DE SOUDURE'!$AP$7:$AP$1506,0)),INDEX('CARNET DE SOUDURE'!$U$7:$U$1506,MATCH(122,'CARNET DE SOUDURE'!$AP$7:$AP$1506,0))))&amp;"")</f>
        <v/>
      </c>
      <c r="I133" s="112" t="str">
        <f aca="false">IF($B133="","",INDEX('CARNET DE SOUDURE'!$AK$7:$AK$1506,MATCH(122,'CARNET DE SOUDURE'!$AP$7:$AP$1506,0)))</f>
        <v/>
      </c>
      <c r="J133" s="113" t="str">
        <f aca="false">IF($B133="","",INDEX('CARNET DE SOUDURE'!$AL$7:$AL$1506,MATCH(122,'CARNET DE SOUDURE'!$AP$7:$AP$1506,0)))</f>
        <v/>
      </c>
      <c r="K133" s="87"/>
      <c r="L133" s="87"/>
    </row>
    <row r="134" customFormat="false" ht="15" hidden="false" customHeight="false" outlineLevel="0" collapsed="false">
      <c r="B134" s="91" t="str">
        <f aca="false">IF(123&gt;$I$4,"",123)</f>
        <v/>
      </c>
      <c r="C134" s="91" t="str">
        <f aca="false">IF($B134="","",INDEX('CARNET DE SOUDURE'!$B$7:$B$1506,MATCH(123,'CARNET DE SOUDURE'!$AP$7:$AP$1506,0)))</f>
        <v/>
      </c>
      <c r="D134" s="91" t="str">
        <f aca="false">IF($B134="","",INDEX('CARNET DE SOUDURE'!$E$7:$E$1506,MATCH(123,'CARNET DE SOUDURE'!$AP$7:$AP$1506,0)))</f>
        <v/>
      </c>
      <c r="E134" s="91" t="str">
        <f aca="false">IF($B134="","",INDEX('CARNET DE SOUDURE'!$M$7:$M$1506,MATCH(123,'CARNET DE SOUDURE'!$AP$7:$AP$1506,0))&amp;" / "&amp;INDEX('CARNET DE SOUDURE'!$N$7:$N$1506,MATCH(123,'CARNET DE SOUDURE'!$AP$7:$AP$1506,0))&amp;" / "&amp;INDEX('CARNET DE SOUDURE'!$O$7:$O$1506,MATCH(123,'CARNET DE SOUDURE'!$AP$7:$AP$1506,0)))</f>
        <v/>
      </c>
      <c r="F134" s="91" t="str">
        <f aca="false">IF($B134="","",INDEX('CARNET DE SOUDURE'!$AJ$7:$AJ$1506,MATCH(123,'CARNET DE SOUDURE'!$AP$7:$AP$1506,0)))</f>
        <v/>
      </c>
      <c r="G134" s="108" t="str">
        <f aca="false">IF($B134="","",IF(INDEX('CARNET DE SOUDURE'!$AF$7:$AF$1506,MATCH(123,'CARNET DE SOUDURE'!$AP$7:$AP$1506,0))&lt;&gt;"",INDEX('CARNET DE SOUDURE'!$AD$7:$AD$1506,MATCH(123,'CARNET DE SOUDURE'!$AP$7:$AP$1506,0)),IF(INDEX('CARNET DE SOUDURE'!$AA$7:$AA$1506,MATCH(123,'CARNET DE SOUDURE'!$AP$7:$AP$1506,0))&lt;&gt;"",INDEX('CARNET DE SOUDURE'!$Y$7:$Y$1506,MATCH(123,'CARNET DE SOUDURE'!$AP$7:$AP$1506,0)),INDEX('CARNET DE SOUDURE'!$T$7:$T$1506,MATCH(123,'CARNET DE SOUDURE'!$AP$7:$AP$1506,0)))))</f>
        <v/>
      </c>
      <c r="H134" s="91" t="str">
        <f aca="false">IF($B134="","",IF(INDEX('CARNET DE SOUDURE'!$AF$7:$AF$1506,MATCH(123,'CARNET DE SOUDURE'!$AP$7:$AP$1506,0))&lt;&gt;"",INDEX('CARNET DE SOUDURE'!$AE$7:$AE$1506,MATCH(123,'CARNET DE SOUDURE'!$AP$7:$AP$1506,0)),IF(INDEX('CARNET DE SOUDURE'!$AA$7:$AA$1506,MATCH(123,'CARNET DE SOUDURE'!$AP$7:$AP$1506,0))&lt;&gt;"",INDEX('CARNET DE SOUDURE'!$Z$7:$Z$1506,MATCH(123,'CARNET DE SOUDURE'!$AP$7:$AP$1506,0)),INDEX('CARNET DE SOUDURE'!$U$7:$U$1506,MATCH(123,'CARNET DE SOUDURE'!$AP$7:$AP$1506,0))))&amp;"")</f>
        <v/>
      </c>
      <c r="I134" s="91" t="str">
        <f aca="false">IF($B134="","",INDEX('CARNET DE SOUDURE'!$AK$7:$AK$1506,MATCH(123,'CARNET DE SOUDURE'!$AP$7:$AP$1506,0)))</f>
        <v/>
      </c>
      <c r="J134" s="109" t="str">
        <f aca="false">IF($B134="","",INDEX('CARNET DE SOUDURE'!$AL$7:$AL$1506,MATCH(123,'CARNET DE SOUDURE'!$AP$7:$AP$1506,0)))</f>
        <v/>
      </c>
      <c r="K134" s="87"/>
      <c r="L134" s="87"/>
    </row>
    <row r="135" customFormat="false" ht="15" hidden="false" customHeight="false" outlineLevel="0" collapsed="false">
      <c r="B135" s="110" t="str">
        <f aca="false">IF(124&gt;$I$4,"",124)</f>
        <v/>
      </c>
      <c r="C135" s="110" t="str">
        <f aca="false">IF($B135="","",INDEX('CARNET DE SOUDURE'!$B$7:$B$1506,MATCH(124,'CARNET DE SOUDURE'!$AP$7:$AP$1506,0)))</f>
        <v/>
      </c>
      <c r="D135" s="110" t="str">
        <f aca="false">IF($B135="","",INDEX('CARNET DE SOUDURE'!$E$7:$E$1506,MATCH(124,'CARNET DE SOUDURE'!$AP$7:$AP$1506,0)))</f>
        <v/>
      </c>
      <c r="E135" s="110" t="str">
        <f aca="false">IF($B135="","",INDEX('CARNET DE SOUDURE'!$M$7:$M$1506,MATCH(124,'CARNET DE SOUDURE'!$AP$7:$AP$1506,0))&amp;" / "&amp;INDEX('CARNET DE SOUDURE'!$N$7:$N$1506,MATCH(124,'CARNET DE SOUDURE'!$AP$7:$AP$1506,0))&amp;" / "&amp;INDEX('CARNET DE SOUDURE'!$O$7:$O$1506,MATCH(124,'CARNET DE SOUDURE'!$AP$7:$AP$1506,0)))</f>
        <v/>
      </c>
      <c r="F135" s="112" t="str">
        <f aca="false">IF($B135="","",INDEX('CARNET DE SOUDURE'!$AJ$7:$AJ$1506,MATCH(124,'CARNET DE SOUDURE'!$AP$7:$AP$1506,0)))</f>
        <v/>
      </c>
      <c r="G135" s="111" t="str">
        <f aca="false">IF($B135="","",IF(INDEX('CARNET DE SOUDURE'!$AF$7:$AF$1506,MATCH(124,'CARNET DE SOUDURE'!$AP$7:$AP$1506,0))&lt;&gt;"",INDEX('CARNET DE SOUDURE'!$AD$7:$AD$1506,MATCH(124,'CARNET DE SOUDURE'!$AP$7:$AP$1506,0)),IF(INDEX('CARNET DE SOUDURE'!$AA$7:$AA$1506,MATCH(124,'CARNET DE SOUDURE'!$AP$7:$AP$1506,0))&lt;&gt;"",INDEX('CARNET DE SOUDURE'!$Y$7:$Y$1506,MATCH(124,'CARNET DE SOUDURE'!$AP$7:$AP$1506,0)),INDEX('CARNET DE SOUDURE'!$T$7:$T$1506,MATCH(124,'CARNET DE SOUDURE'!$AP$7:$AP$1506,0)))))</f>
        <v/>
      </c>
      <c r="H135" s="110" t="str">
        <f aca="false">IF($B135="","",IF(INDEX('CARNET DE SOUDURE'!$AF$7:$AF$1506,MATCH(124,'CARNET DE SOUDURE'!$AP$7:$AP$1506,0))&lt;&gt;"",INDEX('CARNET DE SOUDURE'!$AE$7:$AE$1506,MATCH(124,'CARNET DE SOUDURE'!$AP$7:$AP$1506,0)),IF(INDEX('CARNET DE SOUDURE'!$AA$7:$AA$1506,MATCH(124,'CARNET DE SOUDURE'!$AP$7:$AP$1506,0))&lt;&gt;"",INDEX('CARNET DE SOUDURE'!$Z$7:$Z$1506,MATCH(124,'CARNET DE SOUDURE'!$AP$7:$AP$1506,0)),INDEX('CARNET DE SOUDURE'!$U$7:$U$1506,MATCH(124,'CARNET DE SOUDURE'!$AP$7:$AP$1506,0))))&amp;"")</f>
        <v/>
      </c>
      <c r="I135" s="112" t="str">
        <f aca="false">IF($B135="","",INDEX('CARNET DE SOUDURE'!$AK$7:$AK$1506,MATCH(124,'CARNET DE SOUDURE'!$AP$7:$AP$1506,0)))</f>
        <v/>
      </c>
      <c r="J135" s="113" t="str">
        <f aca="false">IF($B135="","",INDEX('CARNET DE SOUDURE'!$AL$7:$AL$1506,MATCH(124,'CARNET DE SOUDURE'!$AP$7:$AP$1506,0)))</f>
        <v/>
      </c>
      <c r="K135" s="87"/>
      <c r="L135" s="87"/>
    </row>
    <row r="136" customFormat="false" ht="15" hidden="false" customHeight="false" outlineLevel="0" collapsed="false">
      <c r="B136" s="91" t="str">
        <f aca="false">IF(125&gt;$I$4,"",125)</f>
        <v/>
      </c>
      <c r="C136" s="91" t="str">
        <f aca="false">IF($B136="","",INDEX('CARNET DE SOUDURE'!$B$7:$B$1506,MATCH(125,'CARNET DE SOUDURE'!$AP$7:$AP$1506,0)))</f>
        <v/>
      </c>
      <c r="D136" s="91" t="str">
        <f aca="false">IF($B136="","",INDEX('CARNET DE SOUDURE'!$E$7:$E$1506,MATCH(125,'CARNET DE SOUDURE'!$AP$7:$AP$1506,0)))</f>
        <v/>
      </c>
      <c r="E136" s="91" t="str">
        <f aca="false">IF($B136="","",INDEX('CARNET DE SOUDURE'!$M$7:$M$1506,MATCH(125,'CARNET DE SOUDURE'!$AP$7:$AP$1506,0))&amp;" / "&amp;INDEX('CARNET DE SOUDURE'!$N$7:$N$1506,MATCH(125,'CARNET DE SOUDURE'!$AP$7:$AP$1506,0))&amp;" / "&amp;INDEX('CARNET DE SOUDURE'!$O$7:$O$1506,MATCH(125,'CARNET DE SOUDURE'!$AP$7:$AP$1506,0)))</f>
        <v/>
      </c>
      <c r="F136" s="91" t="str">
        <f aca="false">IF($B136="","",INDEX('CARNET DE SOUDURE'!$AJ$7:$AJ$1506,MATCH(125,'CARNET DE SOUDURE'!$AP$7:$AP$1506,0)))</f>
        <v/>
      </c>
      <c r="G136" s="108" t="str">
        <f aca="false">IF($B136="","",IF(INDEX('CARNET DE SOUDURE'!$AF$7:$AF$1506,MATCH(125,'CARNET DE SOUDURE'!$AP$7:$AP$1506,0))&lt;&gt;"",INDEX('CARNET DE SOUDURE'!$AD$7:$AD$1506,MATCH(125,'CARNET DE SOUDURE'!$AP$7:$AP$1506,0)),IF(INDEX('CARNET DE SOUDURE'!$AA$7:$AA$1506,MATCH(125,'CARNET DE SOUDURE'!$AP$7:$AP$1506,0))&lt;&gt;"",INDEX('CARNET DE SOUDURE'!$Y$7:$Y$1506,MATCH(125,'CARNET DE SOUDURE'!$AP$7:$AP$1506,0)),INDEX('CARNET DE SOUDURE'!$T$7:$T$1506,MATCH(125,'CARNET DE SOUDURE'!$AP$7:$AP$1506,0)))))</f>
        <v/>
      </c>
      <c r="H136" s="91" t="str">
        <f aca="false">IF($B136="","",IF(INDEX('CARNET DE SOUDURE'!$AF$7:$AF$1506,MATCH(125,'CARNET DE SOUDURE'!$AP$7:$AP$1506,0))&lt;&gt;"",INDEX('CARNET DE SOUDURE'!$AE$7:$AE$1506,MATCH(125,'CARNET DE SOUDURE'!$AP$7:$AP$1506,0)),IF(INDEX('CARNET DE SOUDURE'!$AA$7:$AA$1506,MATCH(125,'CARNET DE SOUDURE'!$AP$7:$AP$1506,0))&lt;&gt;"",INDEX('CARNET DE SOUDURE'!$Z$7:$Z$1506,MATCH(125,'CARNET DE SOUDURE'!$AP$7:$AP$1506,0)),INDEX('CARNET DE SOUDURE'!$U$7:$U$1506,MATCH(125,'CARNET DE SOUDURE'!$AP$7:$AP$1506,0))))&amp;"")</f>
        <v/>
      </c>
      <c r="I136" s="91" t="str">
        <f aca="false">IF($B136="","",INDEX('CARNET DE SOUDURE'!$AK$7:$AK$1506,MATCH(125,'CARNET DE SOUDURE'!$AP$7:$AP$1506,0)))</f>
        <v/>
      </c>
      <c r="J136" s="109" t="str">
        <f aca="false">IF($B136="","",INDEX('CARNET DE SOUDURE'!$AL$7:$AL$1506,MATCH(125,'CARNET DE SOUDURE'!$AP$7:$AP$1506,0)))</f>
        <v/>
      </c>
      <c r="K136" s="87"/>
      <c r="L136" s="87"/>
    </row>
    <row r="137" customFormat="false" ht="15" hidden="false" customHeight="false" outlineLevel="0" collapsed="false">
      <c r="B137" s="110" t="str">
        <f aca="false">IF(126&gt;$I$4,"",126)</f>
        <v/>
      </c>
      <c r="C137" s="110" t="str">
        <f aca="false">IF($B137="","",INDEX('CARNET DE SOUDURE'!$B$7:$B$1506,MATCH(126,'CARNET DE SOUDURE'!$AP$7:$AP$1506,0)))</f>
        <v/>
      </c>
      <c r="D137" s="110" t="str">
        <f aca="false">IF($B137="","",INDEX('CARNET DE SOUDURE'!$E$7:$E$1506,MATCH(126,'CARNET DE SOUDURE'!$AP$7:$AP$1506,0)))</f>
        <v/>
      </c>
      <c r="E137" s="110" t="str">
        <f aca="false">IF($B137="","",INDEX('CARNET DE SOUDURE'!$M$7:$M$1506,MATCH(126,'CARNET DE SOUDURE'!$AP$7:$AP$1506,0))&amp;" / "&amp;INDEX('CARNET DE SOUDURE'!$N$7:$N$1506,MATCH(126,'CARNET DE SOUDURE'!$AP$7:$AP$1506,0))&amp;" / "&amp;INDEX('CARNET DE SOUDURE'!$O$7:$O$1506,MATCH(126,'CARNET DE SOUDURE'!$AP$7:$AP$1506,0)))</f>
        <v/>
      </c>
      <c r="F137" s="112" t="str">
        <f aca="false">IF($B137="","",INDEX('CARNET DE SOUDURE'!$AJ$7:$AJ$1506,MATCH(126,'CARNET DE SOUDURE'!$AP$7:$AP$1506,0)))</f>
        <v/>
      </c>
      <c r="G137" s="111" t="str">
        <f aca="false">IF($B137="","",IF(INDEX('CARNET DE SOUDURE'!$AF$7:$AF$1506,MATCH(126,'CARNET DE SOUDURE'!$AP$7:$AP$1506,0))&lt;&gt;"",INDEX('CARNET DE SOUDURE'!$AD$7:$AD$1506,MATCH(126,'CARNET DE SOUDURE'!$AP$7:$AP$1506,0)),IF(INDEX('CARNET DE SOUDURE'!$AA$7:$AA$1506,MATCH(126,'CARNET DE SOUDURE'!$AP$7:$AP$1506,0))&lt;&gt;"",INDEX('CARNET DE SOUDURE'!$Y$7:$Y$1506,MATCH(126,'CARNET DE SOUDURE'!$AP$7:$AP$1506,0)),INDEX('CARNET DE SOUDURE'!$T$7:$T$1506,MATCH(126,'CARNET DE SOUDURE'!$AP$7:$AP$1506,0)))))</f>
        <v/>
      </c>
      <c r="H137" s="110" t="str">
        <f aca="false">IF($B137="","",IF(INDEX('CARNET DE SOUDURE'!$AF$7:$AF$1506,MATCH(126,'CARNET DE SOUDURE'!$AP$7:$AP$1506,0))&lt;&gt;"",INDEX('CARNET DE SOUDURE'!$AE$7:$AE$1506,MATCH(126,'CARNET DE SOUDURE'!$AP$7:$AP$1506,0)),IF(INDEX('CARNET DE SOUDURE'!$AA$7:$AA$1506,MATCH(126,'CARNET DE SOUDURE'!$AP$7:$AP$1506,0))&lt;&gt;"",INDEX('CARNET DE SOUDURE'!$Z$7:$Z$1506,MATCH(126,'CARNET DE SOUDURE'!$AP$7:$AP$1506,0)),INDEX('CARNET DE SOUDURE'!$U$7:$U$1506,MATCH(126,'CARNET DE SOUDURE'!$AP$7:$AP$1506,0))))&amp;"")</f>
        <v/>
      </c>
      <c r="I137" s="112" t="str">
        <f aca="false">IF($B137="","",INDEX('CARNET DE SOUDURE'!$AK$7:$AK$1506,MATCH(126,'CARNET DE SOUDURE'!$AP$7:$AP$1506,0)))</f>
        <v/>
      </c>
      <c r="J137" s="113" t="str">
        <f aca="false">IF($B137="","",INDEX('CARNET DE SOUDURE'!$AL$7:$AL$1506,MATCH(126,'CARNET DE SOUDURE'!$AP$7:$AP$1506,0)))</f>
        <v/>
      </c>
      <c r="K137" s="87"/>
      <c r="L137" s="87"/>
    </row>
    <row r="138" customFormat="false" ht="15" hidden="false" customHeight="false" outlineLevel="0" collapsed="false">
      <c r="B138" s="91" t="str">
        <f aca="false">IF(127&gt;$I$4,"",127)</f>
        <v/>
      </c>
      <c r="C138" s="91" t="str">
        <f aca="false">IF($B138="","",INDEX('CARNET DE SOUDURE'!$B$7:$B$1506,MATCH(127,'CARNET DE SOUDURE'!$AP$7:$AP$1506,0)))</f>
        <v/>
      </c>
      <c r="D138" s="91" t="str">
        <f aca="false">IF($B138="","",INDEX('CARNET DE SOUDURE'!$E$7:$E$1506,MATCH(127,'CARNET DE SOUDURE'!$AP$7:$AP$1506,0)))</f>
        <v/>
      </c>
      <c r="E138" s="91" t="str">
        <f aca="false">IF($B138="","",INDEX('CARNET DE SOUDURE'!$M$7:$M$1506,MATCH(127,'CARNET DE SOUDURE'!$AP$7:$AP$1506,0))&amp;" / "&amp;INDEX('CARNET DE SOUDURE'!$N$7:$N$1506,MATCH(127,'CARNET DE SOUDURE'!$AP$7:$AP$1506,0))&amp;" / "&amp;INDEX('CARNET DE SOUDURE'!$O$7:$O$1506,MATCH(127,'CARNET DE SOUDURE'!$AP$7:$AP$1506,0)))</f>
        <v/>
      </c>
      <c r="F138" s="91" t="str">
        <f aca="false">IF($B138="","",INDEX('CARNET DE SOUDURE'!$AJ$7:$AJ$1506,MATCH(127,'CARNET DE SOUDURE'!$AP$7:$AP$1506,0)))</f>
        <v/>
      </c>
      <c r="G138" s="108" t="str">
        <f aca="false">IF($B138="","",IF(INDEX('CARNET DE SOUDURE'!$AF$7:$AF$1506,MATCH(127,'CARNET DE SOUDURE'!$AP$7:$AP$1506,0))&lt;&gt;"",INDEX('CARNET DE SOUDURE'!$AD$7:$AD$1506,MATCH(127,'CARNET DE SOUDURE'!$AP$7:$AP$1506,0)),IF(INDEX('CARNET DE SOUDURE'!$AA$7:$AA$1506,MATCH(127,'CARNET DE SOUDURE'!$AP$7:$AP$1506,0))&lt;&gt;"",INDEX('CARNET DE SOUDURE'!$Y$7:$Y$1506,MATCH(127,'CARNET DE SOUDURE'!$AP$7:$AP$1506,0)),INDEX('CARNET DE SOUDURE'!$T$7:$T$1506,MATCH(127,'CARNET DE SOUDURE'!$AP$7:$AP$1506,0)))))</f>
        <v/>
      </c>
      <c r="H138" s="91" t="str">
        <f aca="false">IF($B138="","",IF(INDEX('CARNET DE SOUDURE'!$AF$7:$AF$1506,MATCH(127,'CARNET DE SOUDURE'!$AP$7:$AP$1506,0))&lt;&gt;"",INDEX('CARNET DE SOUDURE'!$AE$7:$AE$1506,MATCH(127,'CARNET DE SOUDURE'!$AP$7:$AP$1506,0)),IF(INDEX('CARNET DE SOUDURE'!$AA$7:$AA$1506,MATCH(127,'CARNET DE SOUDURE'!$AP$7:$AP$1506,0))&lt;&gt;"",INDEX('CARNET DE SOUDURE'!$Z$7:$Z$1506,MATCH(127,'CARNET DE SOUDURE'!$AP$7:$AP$1506,0)),INDEX('CARNET DE SOUDURE'!$U$7:$U$1506,MATCH(127,'CARNET DE SOUDURE'!$AP$7:$AP$1506,0))))&amp;"")</f>
        <v/>
      </c>
      <c r="I138" s="91" t="str">
        <f aca="false">IF($B138="","",INDEX('CARNET DE SOUDURE'!$AK$7:$AK$1506,MATCH(127,'CARNET DE SOUDURE'!$AP$7:$AP$1506,0)))</f>
        <v/>
      </c>
      <c r="J138" s="109" t="str">
        <f aca="false">IF($B138="","",INDEX('CARNET DE SOUDURE'!$AL$7:$AL$1506,MATCH(127,'CARNET DE SOUDURE'!$AP$7:$AP$1506,0)))</f>
        <v/>
      </c>
      <c r="K138" s="87"/>
      <c r="L138" s="87"/>
    </row>
    <row r="139" customFormat="false" ht="15" hidden="false" customHeight="false" outlineLevel="0" collapsed="false">
      <c r="B139" s="110" t="str">
        <f aca="false">IF(128&gt;$I$4,"",128)</f>
        <v/>
      </c>
      <c r="C139" s="110" t="str">
        <f aca="false">IF($B139="","",INDEX('CARNET DE SOUDURE'!$B$7:$B$1506,MATCH(128,'CARNET DE SOUDURE'!$AP$7:$AP$1506,0)))</f>
        <v/>
      </c>
      <c r="D139" s="110" t="str">
        <f aca="false">IF($B139="","",INDEX('CARNET DE SOUDURE'!$E$7:$E$1506,MATCH(128,'CARNET DE SOUDURE'!$AP$7:$AP$1506,0)))</f>
        <v/>
      </c>
      <c r="E139" s="110" t="str">
        <f aca="false">IF($B139="","",INDEX('CARNET DE SOUDURE'!$M$7:$M$1506,MATCH(128,'CARNET DE SOUDURE'!$AP$7:$AP$1506,0))&amp;" / "&amp;INDEX('CARNET DE SOUDURE'!$N$7:$N$1506,MATCH(128,'CARNET DE SOUDURE'!$AP$7:$AP$1506,0))&amp;" / "&amp;INDEX('CARNET DE SOUDURE'!$O$7:$O$1506,MATCH(128,'CARNET DE SOUDURE'!$AP$7:$AP$1506,0)))</f>
        <v/>
      </c>
      <c r="F139" s="112" t="str">
        <f aca="false">IF($B139="","",INDEX('CARNET DE SOUDURE'!$AJ$7:$AJ$1506,MATCH(128,'CARNET DE SOUDURE'!$AP$7:$AP$1506,0)))</f>
        <v/>
      </c>
      <c r="G139" s="111" t="str">
        <f aca="false">IF($B139="","",IF(INDEX('CARNET DE SOUDURE'!$AF$7:$AF$1506,MATCH(128,'CARNET DE SOUDURE'!$AP$7:$AP$1506,0))&lt;&gt;"",INDEX('CARNET DE SOUDURE'!$AD$7:$AD$1506,MATCH(128,'CARNET DE SOUDURE'!$AP$7:$AP$1506,0)),IF(INDEX('CARNET DE SOUDURE'!$AA$7:$AA$1506,MATCH(128,'CARNET DE SOUDURE'!$AP$7:$AP$1506,0))&lt;&gt;"",INDEX('CARNET DE SOUDURE'!$Y$7:$Y$1506,MATCH(128,'CARNET DE SOUDURE'!$AP$7:$AP$1506,0)),INDEX('CARNET DE SOUDURE'!$T$7:$T$1506,MATCH(128,'CARNET DE SOUDURE'!$AP$7:$AP$1506,0)))))</f>
        <v/>
      </c>
      <c r="H139" s="110" t="str">
        <f aca="false">IF($B139="","",IF(INDEX('CARNET DE SOUDURE'!$AF$7:$AF$1506,MATCH(128,'CARNET DE SOUDURE'!$AP$7:$AP$1506,0))&lt;&gt;"",INDEX('CARNET DE SOUDURE'!$AE$7:$AE$1506,MATCH(128,'CARNET DE SOUDURE'!$AP$7:$AP$1506,0)),IF(INDEX('CARNET DE SOUDURE'!$AA$7:$AA$1506,MATCH(128,'CARNET DE SOUDURE'!$AP$7:$AP$1506,0))&lt;&gt;"",INDEX('CARNET DE SOUDURE'!$Z$7:$Z$1506,MATCH(128,'CARNET DE SOUDURE'!$AP$7:$AP$1506,0)),INDEX('CARNET DE SOUDURE'!$U$7:$U$1506,MATCH(128,'CARNET DE SOUDURE'!$AP$7:$AP$1506,0))))&amp;"")</f>
        <v/>
      </c>
      <c r="I139" s="112" t="str">
        <f aca="false">IF($B139="","",INDEX('CARNET DE SOUDURE'!$AK$7:$AK$1506,MATCH(128,'CARNET DE SOUDURE'!$AP$7:$AP$1506,0)))</f>
        <v/>
      </c>
      <c r="J139" s="113" t="str">
        <f aca="false">IF($B139="","",INDEX('CARNET DE SOUDURE'!$AL$7:$AL$1506,MATCH(128,'CARNET DE SOUDURE'!$AP$7:$AP$1506,0)))</f>
        <v/>
      </c>
      <c r="K139" s="87"/>
      <c r="L139" s="87"/>
    </row>
    <row r="140" customFormat="false" ht="15" hidden="false" customHeight="false" outlineLevel="0" collapsed="false">
      <c r="B140" s="91" t="str">
        <f aca="false">IF(129&gt;$I$4,"",129)</f>
        <v/>
      </c>
      <c r="C140" s="91" t="str">
        <f aca="false">IF($B140="","",INDEX('CARNET DE SOUDURE'!$B$7:$B$1506,MATCH(129,'CARNET DE SOUDURE'!$AP$7:$AP$1506,0)))</f>
        <v/>
      </c>
      <c r="D140" s="91" t="str">
        <f aca="false">IF($B140="","",INDEX('CARNET DE SOUDURE'!$E$7:$E$1506,MATCH(129,'CARNET DE SOUDURE'!$AP$7:$AP$1506,0)))</f>
        <v/>
      </c>
      <c r="E140" s="91" t="str">
        <f aca="false">IF($B140="","",INDEX('CARNET DE SOUDURE'!$M$7:$M$1506,MATCH(129,'CARNET DE SOUDURE'!$AP$7:$AP$1506,0))&amp;" / "&amp;INDEX('CARNET DE SOUDURE'!$N$7:$N$1506,MATCH(129,'CARNET DE SOUDURE'!$AP$7:$AP$1506,0))&amp;" / "&amp;INDEX('CARNET DE SOUDURE'!$O$7:$O$1506,MATCH(129,'CARNET DE SOUDURE'!$AP$7:$AP$1506,0)))</f>
        <v/>
      </c>
      <c r="F140" s="91" t="str">
        <f aca="false">IF($B140="","",INDEX('CARNET DE SOUDURE'!$AJ$7:$AJ$1506,MATCH(129,'CARNET DE SOUDURE'!$AP$7:$AP$1506,0)))</f>
        <v/>
      </c>
      <c r="G140" s="108" t="str">
        <f aca="false">IF($B140="","",IF(INDEX('CARNET DE SOUDURE'!$AF$7:$AF$1506,MATCH(129,'CARNET DE SOUDURE'!$AP$7:$AP$1506,0))&lt;&gt;"",INDEX('CARNET DE SOUDURE'!$AD$7:$AD$1506,MATCH(129,'CARNET DE SOUDURE'!$AP$7:$AP$1506,0)),IF(INDEX('CARNET DE SOUDURE'!$AA$7:$AA$1506,MATCH(129,'CARNET DE SOUDURE'!$AP$7:$AP$1506,0))&lt;&gt;"",INDEX('CARNET DE SOUDURE'!$Y$7:$Y$1506,MATCH(129,'CARNET DE SOUDURE'!$AP$7:$AP$1506,0)),INDEX('CARNET DE SOUDURE'!$T$7:$T$1506,MATCH(129,'CARNET DE SOUDURE'!$AP$7:$AP$1506,0)))))</f>
        <v/>
      </c>
      <c r="H140" s="91" t="str">
        <f aca="false">IF($B140="","",IF(INDEX('CARNET DE SOUDURE'!$AF$7:$AF$1506,MATCH(129,'CARNET DE SOUDURE'!$AP$7:$AP$1506,0))&lt;&gt;"",INDEX('CARNET DE SOUDURE'!$AE$7:$AE$1506,MATCH(129,'CARNET DE SOUDURE'!$AP$7:$AP$1506,0)),IF(INDEX('CARNET DE SOUDURE'!$AA$7:$AA$1506,MATCH(129,'CARNET DE SOUDURE'!$AP$7:$AP$1506,0))&lt;&gt;"",INDEX('CARNET DE SOUDURE'!$Z$7:$Z$1506,MATCH(129,'CARNET DE SOUDURE'!$AP$7:$AP$1506,0)),INDEX('CARNET DE SOUDURE'!$U$7:$U$1506,MATCH(129,'CARNET DE SOUDURE'!$AP$7:$AP$1506,0))))&amp;"")</f>
        <v/>
      </c>
      <c r="I140" s="91" t="str">
        <f aca="false">IF($B140="","",INDEX('CARNET DE SOUDURE'!$AK$7:$AK$1506,MATCH(129,'CARNET DE SOUDURE'!$AP$7:$AP$1506,0)))</f>
        <v/>
      </c>
      <c r="J140" s="109" t="str">
        <f aca="false">IF($B140="","",INDEX('CARNET DE SOUDURE'!$AL$7:$AL$1506,MATCH(129,'CARNET DE SOUDURE'!$AP$7:$AP$1506,0)))</f>
        <v/>
      </c>
      <c r="K140" s="87"/>
      <c r="L140" s="87"/>
    </row>
    <row r="141" customFormat="false" ht="15" hidden="false" customHeight="false" outlineLevel="0" collapsed="false">
      <c r="B141" s="110" t="str">
        <f aca="false">IF(130&gt;$I$4,"",130)</f>
        <v/>
      </c>
      <c r="C141" s="110" t="str">
        <f aca="false">IF($B141="","",INDEX('CARNET DE SOUDURE'!$B$7:$B$1506,MATCH(130,'CARNET DE SOUDURE'!$AP$7:$AP$1506,0)))</f>
        <v/>
      </c>
      <c r="D141" s="110" t="str">
        <f aca="false">IF($B141="","",INDEX('CARNET DE SOUDURE'!$E$7:$E$1506,MATCH(130,'CARNET DE SOUDURE'!$AP$7:$AP$1506,0)))</f>
        <v/>
      </c>
      <c r="E141" s="110" t="str">
        <f aca="false">IF($B141="","",INDEX('CARNET DE SOUDURE'!$M$7:$M$1506,MATCH(130,'CARNET DE SOUDURE'!$AP$7:$AP$1506,0))&amp;" / "&amp;INDEX('CARNET DE SOUDURE'!$N$7:$N$1506,MATCH(130,'CARNET DE SOUDURE'!$AP$7:$AP$1506,0))&amp;" / "&amp;INDEX('CARNET DE SOUDURE'!$O$7:$O$1506,MATCH(130,'CARNET DE SOUDURE'!$AP$7:$AP$1506,0)))</f>
        <v/>
      </c>
      <c r="F141" s="112" t="str">
        <f aca="false">IF($B141="","",INDEX('CARNET DE SOUDURE'!$AJ$7:$AJ$1506,MATCH(130,'CARNET DE SOUDURE'!$AP$7:$AP$1506,0)))</f>
        <v/>
      </c>
      <c r="G141" s="111" t="str">
        <f aca="false">IF($B141="","",IF(INDEX('CARNET DE SOUDURE'!$AF$7:$AF$1506,MATCH(130,'CARNET DE SOUDURE'!$AP$7:$AP$1506,0))&lt;&gt;"",INDEX('CARNET DE SOUDURE'!$AD$7:$AD$1506,MATCH(130,'CARNET DE SOUDURE'!$AP$7:$AP$1506,0)),IF(INDEX('CARNET DE SOUDURE'!$AA$7:$AA$1506,MATCH(130,'CARNET DE SOUDURE'!$AP$7:$AP$1506,0))&lt;&gt;"",INDEX('CARNET DE SOUDURE'!$Y$7:$Y$1506,MATCH(130,'CARNET DE SOUDURE'!$AP$7:$AP$1506,0)),INDEX('CARNET DE SOUDURE'!$T$7:$T$1506,MATCH(130,'CARNET DE SOUDURE'!$AP$7:$AP$1506,0)))))</f>
        <v/>
      </c>
      <c r="H141" s="110" t="str">
        <f aca="false">IF($B141="","",IF(INDEX('CARNET DE SOUDURE'!$AF$7:$AF$1506,MATCH(130,'CARNET DE SOUDURE'!$AP$7:$AP$1506,0))&lt;&gt;"",INDEX('CARNET DE SOUDURE'!$AE$7:$AE$1506,MATCH(130,'CARNET DE SOUDURE'!$AP$7:$AP$1506,0)),IF(INDEX('CARNET DE SOUDURE'!$AA$7:$AA$1506,MATCH(130,'CARNET DE SOUDURE'!$AP$7:$AP$1506,0))&lt;&gt;"",INDEX('CARNET DE SOUDURE'!$Z$7:$Z$1506,MATCH(130,'CARNET DE SOUDURE'!$AP$7:$AP$1506,0)),INDEX('CARNET DE SOUDURE'!$U$7:$U$1506,MATCH(130,'CARNET DE SOUDURE'!$AP$7:$AP$1506,0))))&amp;"")</f>
        <v/>
      </c>
      <c r="I141" s="112" t="str">
        <f aca="false">IF($B141="","",INDEX('CARNET DE SOUDURE'!$AK$7:$AK$1506,MATCH(130,'CARNET DE SOUDURE'!$AP$7:$AP$1506,0)))</f>
        <v/>
      </c>
      <c r="J141" s="113" t="str">
        <f aca="false">IF($B141="","",INDEX('CARNET DE SOUDURE'!$AL$7:$AL$1506,MATCH(130,'CARNET DE SOUDURE'!$AP$7:$AP$1506,0)))</f>
        <v/>
      </c>
      <c r="K141" s="87"/>
      <c r="L141" s="87"/>
    </row>
    <row r="142" customFormat="false" ht="15" hidden="false" customHeight="false" outlineLevel="0" collapsed="false">
      <c r="B142" s="91" t="str">
        <f aca="false">IF(131&gt;$I$4,"",131)</f>
        <v/>
      </c>
      <c r="C142" s="91" t="str">
        <f aca="false">IF($B142="","",INDEX('CARNET DE SOUDURE'!$B$7:$B$1506,MATCH(131,'CARNET DE SOUDURE'!$AP$7:$AP$1506,0)))</f>
        <v/>
      </c>
      <c r="D142" s="91" t="str">
        <f aca="false">IF($B142="","",INDEX('CARNET DE SOUDURE'!$E$7:$E$1506,MATCH(131,'CARNET DE SOUDURE'!$AP$7:$AP$1506,0)))</f>
        <v/>
      </c>
      <c r="E142" s="91" t="str">
        <f aca="false">IF($B142="","",INDEX('CARNET DE SOUDURE'!$M$7:$M$1506,MATCH(131,'CARNET DE SOUDURE'!$AP$7:$AP$1506,0))&amp;" / "&amp;INDEX('CARNET DE SOUDURE'!$N$7:$N$1506,MATCH(131,'CARNET DE SOUDURE'!$AP$7:$AP$1506,0))&amp;" / "&amp;INDEX('CARNET DE SOUDURE'!$O$7:$O$1506,MATCH(131,'CARNET DE SOUDURE'!$AP$7:$AP$1506,0)))</f>
        <v/>
      </c>
      <c r="F142" s="91" t="str">
        <f aca="false">IF($B142="","",INDEX('CARNET DE SOUDURE'!$AJ$7:$AJ$1506,MATCH(131,'CARNET DE SOUDURE'!$AP$7:$AP$1506,0)))</f>
        <v/>
      </c>
      <c r="G142" s="108" t="str">
        <f aca="false">IF($B142="","",IF(INDEX('CARNET DE SOUDURE'!$AF$7:$AF$1506,MATCH(131,'CARNET DE SOUDURE'!$AP$7:$AP$1506,0))&lt;&gt;"",INDEX('CARNET DE SOUDURE'!$AD$7:$AD$1506,MATCH(131,'CARNET DE SOUDURE'!$AP$7:$AP$1506,0)),IF(INDEX('CARNET DE SOUDURE'!$AA$7:$AA$1506,MATCH(131,'CARNET DE SOUDURE'!$AP$7:$AP$1506,0))&lt;&gt;"",INDEX('CARNET DE SOUDURE'!$Y$7:$Y$1506,MATCH(131,'CARNET DE SOUDURE'!$AP$7:$AP$1506,0)),INDEX('CARNET DE SOUDURE'!$T$7:$T$1506,MATCH(131,'CARNET DE SOUDURE'!$AP$7:$AP$1506,0)))))</f>
        <v/>
      </c>
      <c r="H142" s="91" t="str">
        <f aca="false">IF($B142="","",IF(INDEX('CARNET DE SOUDURE'!$AF$7:$AF$1506,MATCH(131,'CARNET DE SOUDURE'!$AP$7:$AP$1506,0))&lt;&gt;"",INDEX('CARNET DE SOUDURE'!$AE$7:$AE$1506,MATCH(131,'CARNET DE SOUDURE'!$AP$7:$AP$1506,0)),IF(INDEX('CARNET DE SOUDURE'!$AA$7:$AA$1506,MATCH(131,'CARNET DE SOUDURE'!$AP$7:$AP$1506,0))&lt;&gt;"",INDEX('CARNET DE SOUDURE'!$Z$7:$Z$1506,MATCH(131,'CARNET DE SOUDURE'!$AP$7:$AP$1506,0)),INDEX('CARNET DE SOUDURE'!$U$7:$U$1506,MATCH(131,'CARNET DE SOUDURE'!$AP$7:$AP$1506,0))))&amp;"")</f>
        <v/>
      </c>
      <c r="I142" s="91" t="str">
        <f aca="false">IF($B142="","",INDEX('CARNET DE SOUDURE'!$AK$7:$AK$1506,MATCH(131,'CARNET DE SOUDURE'!$AP$7:$AP$1506,0)))</f>
        <v/>
      </c>
      <c r="J142" s="109" t="str">
        <f aca="false">IF($B142="","",INDEX('CARNET DE SOUDURE'!$AL$7:$AL$1506,MATCH(131,'CARNET DE SOUDURE'!$AP$7:$AP$1506,0)))</f>
        <v/>
      </c>
      <c r="K142" s="87"/>
      <c r="L142" s="87"/>
    </row>
    <row r="143" customFormat="false" ht="15" hidden="false" customHeight="false" outlineLevel="0" collapsed="false">
      <c r="B143" s="110" t="str">
        <f aca="false">IF(132&gt;$I$4,"",132)</f>
        <v/>
      </c>
      <c r="C143" s="110" t="str">
        <f aca="false">IF($B143="","",INDEX('CARNET DE SOUDURE'!$B$7:$B$1506,MATCH(132,'CARNET DE SOUDURE'!$AP$7:$AP$1506,0)))</f>
        <v/>
      </c>
      <c r="D143" s="110" t="str">
        <f aca="false">IF($B143="","",INDEX('CARNET DE SOUDURE'!$E$7:$E$1506,MATCH(132,'CARNET DE SOUDURE'!$AP$7:$AP$1506,0)))</f>
        <v/>
      </c>
      <c r="E143" s="110" t="str">
        <f aca="false">IF($B143="","",INDEX('CARNET DE SOUDURE'!$M$7:$M$1506,MATCH(132,'CARNET DE SOUDURE'!$AP$7:$AP$1506,0))&amp;" / "&amp;INDEX('CARNET DE SOUDURE'!$N$7:$N$1506,MATCH(132,'CARNET DE SOUDURE'!$AP$7:$AP$1506,0))&amp;" / "&amp;INDEX('CARNET DE SOUDURE'!$O$7:$O$1506,MATCH(132,'CARNET DE SOUDURE'!$AP$7:$AP$1506,0)))</f>
        <v/>
      </c>
      <c r="F143" s="112" t="str">
        <f aca="false">IF($B143="","",INDEX('CARNET DE SOUDURE'!$AJ$7:$AJ$1506,MATCH(132,'CARNET DE SOUDURE'!$AP$7:$AP$1506,0)))</f>
        <v/>
      </c>
      <c r="G143" s="111" t="str">
        <f aca="false">IF($B143="","",IF(INDEX('CARNET DE SOUDURE'!$AF$7:$AF$1506,MATCH(132,'CARNET DE SOUDURE'!$AP$7:$AP$1506,0))&lt;&gt;"",INDEX('CARNET DE SOUDURE'!$AD$7:$AD$1506,MATCH(132,'CARNET DE SOUDURE'!$AP$7:$AP$1506,0)),IF(INDEX('CARNET DE SOUDURE'!$AA$7:$AA$1506,MATCH(132,'CARNET DE SOUDURE'!$AP$7:$AP$1506,0))&lt;&gt;"",INDEX('CARNET DE SOUDURE'!$Y$7:$Y$1506,MATCH(132,'CARNET DE SOUDURE'!$AP$7:$AP$1506,0)),INDEX('CARNET DE SOUDURE'!$T$7:$T$1506,MATCH(132,'CARNET DE SOUDURE'!$AP$7:$AP$1506,0)))))</f>
        <v/>
      </c>
      <c r="H143" s="110" t="str">
        <f aca="false">IF($B143="","",IF(INDEX('CARNET DE SOUDURE'!$AF$7:$AF$1506,MATCH(132,'CARNET DE SOUDURE'!$AP$7:$AP$1506,0))&lt;&gt;"",INDEX('CARNET DE SOUDURE'!$AE$7:$AE$1506,MATCH(132,'CARNET DE SOUDURE'!$AP$7:$AP$1506,0)),IF(INDEX('CARNET DE SOUDURE'!$AA$7:$AA$1506,MATCH(132,'CARNET DE SOUDURE'!$AP$7:$AP$1506,0))&lt;&gt;"",INDEX('CARNET DE SOUDURE'!$Z$7:$Z$1506,MATCH(132,'CARNET DE SOUDURE'!$AP$7:$AP$1506,0)),INDEX('CARNET DE SOUDURE'!$U$7:$U$1506,MATCH(132,'CARNET DE SOUDURE'!$AP$7:$AP$1506,0))))&amp;"")</f>
        <v/>
      </c>
      <c r="I143" s="112" t="str">
        <f aca="false">IF($B143="","",INDEX('CARNET DE SOUDURE'!$AK$7:$AK$1506,MATCH(132,'CARNET DE SOUDURE'!$AP$7:$AP$1506,0)))</f>
        <v/>
      </c>
      <c r="J143" s="113" t="str">
        <f aca="false">IF($B143="","",INDEX('CARNET DE SOUDURE'!$AL$7:$AL$1506,MATCH(132,'CARNET DE SOUDURE'!$AP$7:$AP$1506,0)))</f>
        <v/>
      </c>
      <c r="K143" s="87"/>
      <c r="L143" s="87"/>
    </row>
    <row r="144" customFormat="false" ht="15" hidden="false" customHeight="false" outlineLevel="0" collapsed="false">
      <c r="B144" s="91" t="str">
        <f aca="false">IF(133&gt;$I$4,"",133)</f>
        <v/>
      </c>
      <c r="C144" s="91" t="str">
        <f aca="false">IF($B144="","",INDEX('CARNET DE SOUDURE'!$B$7:$B$1506,MATCH(133,'CARNET DE SOUDURE'!$AP$7:$AP$1506,0)))</f>
        <v/>
      </c>
      <c r="D144" s="91" t="str">
        <f aca="false">IF($B144="","",INDEX('CARNET DE SOUDURE'!$E$7:$E$1506,MATCH(133,'CARNET DE SOUDURE'!$AP$7:$AP$1506,0)))</f>
        <v/>
      </c>
      <c r="E144" s="91" t="str">
        <f aca="false">IF($B144="","",INDEX('CARNET DE SOUDURE'!$M$7:$M$1506,MATCH(133,'CARNET DE SOUDURE'!$AP$7:$AP$1506,0))&amp;" / "&amp;INDEX('CARNET DE SOUDURE'!$N$7:$N$1506,MATCH(133,'CARNET DE SOUDURE'!$AP$7:$AP$1506,0))&amp;" / "&amp;INDEX('CARNET DE SOUDURE'!$O$7:$O$1506,MATCH(133,'CARNET DE SOUDURE'!$AP$7:$AP$1506,0)))</f>
        <v/>
      </c>
      <c r="F144" s="91" t="str">
        <f aca="false">IF($B144="","",INDEX('CARNET DE SOUDURE'!$AJ$7:$AJ$1506,MATCH(133,'CARNET DE SOUDURE'!$AP$7:$AP$1506,0)))</f>
        <v/>
      </c>
      <c r="G144" s="108" t="str">
        <f aca="false">IF($B144="","",IF(INDEX('CARNET DE SOUDURE'!$AF$7:$AF$1506,MATCH(133,'CARNET DE SOUDURE'!$AP$7:$AP$1506,0))&lt;&gt;"",INDEX('CARNET DE SOUDURE'!$AD$7:$AD$1506,MATCH(133,'CARNET DE SOUDURE'!$AP$7:$AP$1506,0)),IF(INDEX('CARNET DE SOUDURE'!$AA$7:$AA$1506,MATCH(133,'CARNET DE SOUDURE'!$AP$7:$AP$1506,0))&lt;&gt;"",INDEX('CARNET DE SOUDURE'!$Y$7:$Y$1506,MATCH(133,'CARNET DE SOUDURE'!$AP$7:$AP$1506,0)),INDEX('CARNET DE SOUDURE'!$T$7:$T$1506,MATCH(133,'CARNET DE SOUDURE'!$AP$7:$AP$1506,0)))))</f>
        <v/>
      </c>
      <c r="H144" s="91" t="str">
        <f aca="false">IF($B144="","",IF(INDEX('CARNET DE SOUDURE'!$AF$7:$AF$1506,MATCH(133,'CARNET DE SOUDURE'!$AP$7:$AP$1506,0))&lt;&gt;"",INDEX('CARNET DE SOUDURE'!$AE$7:$AE$1506,MATCH(133,'CARNET DE SOUDURE'!$AP$7:$AP$1506,0)),IF(INDEX('CARNET DE SOUDURE'!$AA$7:$AA$1506,MATCH(133,'CARNET DE SOUDURE'!$AP$7:$AP$1506,0))&lt;&gt;"",INDEX('CARNET DE SOUDURE'!$Z$7:$Z$1506,MATCH(133,'CARNET DE SOUDURE'!$AP$7:$AP$1506,0)),INDEX('CARNET DE SOUDURE'!$U$7:$U$1506,MATCH(133,'CARNET DE SOUDURE'!$AP$7:$AP$1506,0))))&amp;"")</f>
        <v/>
      </c>
      <c r="I144" s="91" t="str">
        <f aca="false">IF($B144="","",INDEX('CARNET DE SOUDURE'!$AK$7:$AK$1506,MATCH(133,'CARNET DE SOUDURE'!$AP$7:$AP$1506,0)))</f>
        <v/>
      </c>
      <c r="J144" s="109" t="str">
        <f aca="false">IF($B144="","",INDEX('CARNET DE SOUDURE'!$AL$7:$AL$1506,MATCH(133,'CARNET DE SOUDURE'!$AP$7:$AP$1506,0)))</f>
        <v/>
      </c>
      <c r="K144" s="87"/>
      <c r="L144" s="87"/>
    </row>
    <row r="145" customFormat="false" ht="15" hidden="false" customHeight="false" outlineLevel="0" collapsed="false">
      <c r="B145" s="110" t="str">
        <f aca="false">IF(134&gt;$I$4,"",134)</f>
        <v/>
      </c>
      <c r="C145" s="110" t="str">
        <f aca="false">IF($B145="","",INDEX('CARNET DE SOUDURE'!$B$7:$B$1506,MATCH(134,'CARNET DE SOUDURE'!$AP$7:$AP$1506,0)))</f>
        <v/>
      </c>
      <c r="D145" s="110" t="str">
        <f aca="false">IF($B145="","",INDEX('CARNET DE SOUDURE'!$E$7:$E$1506,MATCH(134,'CARNET DE SOUDURE'!$AP$7:$AP$1506,0)))</f>
        <v/>
      </c>
      <c r="E145" s="110" t="str">
        <f aca="false">IF($B145="","",INDEX('CARNET DE SOUDURE'!$M$7:$M$1506,MATCH(134,'CARNET DE SOUDURE'!$AP$7:$AP$1506,0))&amp;" / "&amp;INDEX('CARNET DE SOUDURE'!$N$7:$N$1506,MATCH(134,'CARNET DE SOUDURE'!$AP$7:$AP$1506,0))&amp;" / "&amp;INDEX('CARNET DE SOUDURE'!$O$7:$O$1506,MATCH(134,'CARNET DE SOUDURE'!$AP$7:$AP$1506,0)))</f>
        <v/>
      </c>
      <c r="F145" s="112" t="str">
        <f aca="false">IF($B145="","",INDEX('CARNET DE SOUDURE'!$AJ$7:$AJ$1506,MATCH(134,'CARNET DE SOUDURE'!$AP$7:$AP$1506,0)))</f>
        <v/>
      </c>
      <c r="G145" s="111" t="str">
        <f aca="false">IF($B145="","",IF(INDEX('CARNET DE SOUDURE'!$AF$7:$AF$1506,MATCH(134,'CARNET DE SOUDURE'!$AP$7:$AP$1506,0))&lt;&gt;"",INDEX('CARNET DE SOUDURE'!$AD$7:$AD$1506,MATCH(134,'CARNET DE SOUDURE'!$AP$7:$AP$1506,0)),IF(INDEX('CARNET DE SOUDURE'!$AA$7:$AA$1506,MATCH(134,'CARNET DE SOUDURE'!$AP$7:$AP$1506,0))&lt;&gt;"",INDEX('CARNET DE SOUDURE'!$Y$7:$Y$1506,MATCH(134,'CARNET DE SOUDURE'!$AP$7:$AP$1506,0)),INDEX('CARNET DE SOUDURE'!$T$7:$T$1506,MATCH(134,'CARNET DE SOUDURE'!$AP$7:$AP$1506,0)))))</f>
        <v/>
      </c>
      <c r="H145" s="110" t="str">
        <f aca="false">IF($B145="","",IF(INDEX('CARNET DE SOUDURE'!$AF$7:$AF$1506,MATCH(134,'CARNET DE SOUDURE'!$AP$7:$AP$1506,0))&lt;&gt;"",INDEX('CARNET DE SOUDURE'!$AE$7:$AE$1506,MATCH(134,'CARNET DE SOUDURE'!$AP$7:$AP$1506,0)),IF(INDEX('CARNET DE SOUDURE'!$AA$7:$AA$1506,MATCH(134,'CARNET DE SOUDURE'!$AP$7:$AP$1506,0))&lt;&gt;"",INDEX('CARNET DE SOUDURE'!$Z$7:$Z$1506,MATCH(134,'CARNET DE SOUDURE'!$AP$7:$AP$1506,0)),INDEX('CARNET DE SOUDURE'!$U$7:$U$1506,MATCH(134,'CARNET DE SOUDURE'!$AP$7:$AP$1506,0))))&amp;"")</f>
        <v/>
      </c>
      <c r="I145" s="112" t="str">
        <f aca="false">IF($B145="","",INDEX('CARNET DE SOUDURE'!$AK$7:$AK$1506,MATCH(134,'CARNET DE SOUDURE'!$AP$7:$AP$1506,0)))</f>
        <v/>
      </c>
      <c r="J145" s="113" t="str">
        <f aca="false">IF($B145="","",INDEX('CARNET DE SOUDURE'!$AL$7:$AL$1506,MATCH(134,'CARNET DE SOUDURE'!$AP$7:$AP$1506,0)))</f>
        <v/>
      </c>
      <c r="K145" s="87"/>
      <c r="L145" s="87"/>
    </row>
    <row r="146" customFormat="false" ht="15" hidden="false" customHeight="false" outlineLevel="0" collapsed="false">
      <c r="B146" s="91" t="str">
        <f aca="false">IF(135&gt;$I$4,"",135)</f>
        <v/>
      </c>
      <c r="C146" s="91" t="str">
        <f aca="false">IF($B146="","",INDEX('CARNET DE SOUDURE'!$B$7:$B$1506,MATCH(135,'CARNET DE SOUDURE'!$AP$7:$AP$1506,0)))</f>
        <v/>
      </c>
      <c r="D146" s="91" t="str">
        <f aca="false">IF($B146="","",INDEX('CARNET DE SOUDURE'!$E$7:$E$1506,MATCH(135,'CARNET DE SOUDURE'!$AP$7:$AP$1506,0)))</f>
        <v/>
      </c>
      <c r="E146" s="91" t="str">
        <f aca="false">IF($B146="","",INDEX('CARNET DE SOUDURE'!$M$7:$M$1506,MATCH(135,'CARNET DE SOUDURE'!$AP$7:$AP$1506,0))&amp;" / "&amp;INDEX('CARNET DE SOUDURE'!$N$7:$N$1506,MATCH(135,'CARNET DE SOUDURE'!$AP$7:$AP$1506,0))&amp;" / "&amp;INDEX('CARNET DE SOUDURE'!$O$7:$O$1506,MATCH(135,'CARNET DE SOUDURE'!$AP$7:$AP$1506,0)))</f>
        <v/>
      </c>
      <c r="F146" s="91" t="str">
        <f aca="false">IF($B146="","",INDEX('CARNET DE SOUDURE'!$AJ$7:$AJ$1506,MATCH(135,'CARNET DE SOUDURE'!$AP$7:$AP$1506,0)))</f>
        <v/>
      </c>
      <c r="G146" s="108" t="str">
        <f aca="false">IF($B146="","",IF(INDEX('CARNET DE SOUDURE'!$AF$7:$AF$1506,MATCH(135,'CARNET DE SOUDURE'!$AP$7:$AP$1506,0))&lt;&gt;"",INDEX('CARNET DE SOUDURE'!$AD$7:$AD$1506,MATCH(135,'CARNET DE SOUDURE'!$AP$7:$AP$1506,0)),IF(INDEX('CARNET DE SOUDURE'!$AA$7:$AA$1506,MATCH(135,'CARNET DE SOUDURE'!$AP$7:$AP$1506,0))&lt;&gt;"",INDEX('CARNET DE SOUDURE'!$Y$7:$Y$1506,MATCH(135,'CARNET DE SOUDURE'!$AP$7:$AP$1506,0)),INDEX('CARNET DE SOUDURE'!$T$7:$T$1506,MATCH(135,'CARNET DE SOUDURE'!$AP$7:$AP$1506,0)))))</f>
        <v/>
      </c>
      <c r="H146" s="91" t="str">
        <f aca="false">IF($B146="","",IF(INDEX('CARNET DE SOUDURE'!$AF$7:$AF$1506,MATCH(135,'CARNET DE SOUDURE'!$AP$7:$AP$1506,0))&lt;&gt;"",INDEX('CARNET DE SOUDURE'!$AE$7:$AE$1506,MATCH(135,'CARNET DE SOUDURE'!$AP$7:$AP$1506,0)),IF(INDEX('CARNET DE SOUDURE'!$AA$7:$AA$1506,MATCH(135,'CARNET DE SOUDURE'!$AP$7:$AP$1506,0))&lt;&gt;"",INDEX('CARNET DE SOUDURE'!$Z$7:$Z$1506,MATCH(135,'CARNET DE SOUDURE'!$AP$7:$AP$1506,0)),INDEX('CARNET DE SOUDURE'!$U$7:$U$1506,MATCH(135,'CARNET DE SOUDURE'!$AP$7:$AP$1506,0))))&amp;"")</f>
        <v/>
      </c>
      <c r="I146" s="91" t="str">
        <f aca="false">IF($B146="","",INDEX('CARNET DE SOUDURE'!$AK$7:$AK$1506,MATCH(135,'CARNET DE SOUDURE'!$AP$7:$AP$1506,0)))</f>
        <v/>
      </c>
      <c r="J146" s="109" t="str">
        <f aca="false">IF($B146="","",INDEX('CARNET DE SOUDURE'!$AL$7:$AL$1506,MATCH(135,'CARNET DE SOUDURE'!$AP$7:$AP$1506,0)))</f>
        <v/>
      </c>
      <c r="K146" s="87"/>
      <c r="L146" s="87"/>
    </row>
    <row r="147" customFormat="false" ht="15" hidden="false" customHeight="false" outlineLevel="0" collapsed="false">
      <c r="B147" s="110" t="str">
        <f aca="false">IF(136&gt;$I$4,"",136)</f>
        <v/>
      </c>
      <c r="C147" s="110" t="str">
        <f aca="false">IF($B147="","",INDEX('CARNET DE SOUDURE'!$B$7:$B$1506,MATCH(136,'CARNET DE SOUDURE'!$AP$7:$AP$1506,0)))</f>
        <v/>
      </c>
      <c r="D147" s="110" t="str">
        <f aca="false">IF($B147="","",INDEX('CARNET DE SOUDURE'!$E$7:$E$1506,MATCH(136,'CARNET DE SOUDURE'!$AP$7:$AP$1506,0)))</f>
        <v/>
      </c>
      <c r="E147" s="110" t="str">
        <f aca="false">IF($B147="","",INDEX('CARNET DE SOUDURE'!$M$7:$M$1506,MATCH(136,'CARNET DE SOUDURE'!$AP$7:$AP$1506,0))&amp;" / "&amp;INDEX('CARNET DE SOUDURE'!$N$7:$N$1506,MATCH(136,'CARNET DE SOUDURE'!$AP$7:$AP$1506,0))&amp;" / "&amp;INDEX('CARNET DE SOUDURE'!$O$7:$O$1506,MATCH(136,'CARNET DE SOUDURE'!$AP$7:$AP$1506,0)))</f>
        <v/>
      </c>
      <c r="F147" s="112" t="str">
        <f aca="false">IF($B147="","",INDEX('CARNET DE SOUDURE'!$AJ$7:$AJ$1506,MATCH(136,'CARNET DE SOUDURE'!$AP$7:$AP$1506,0)))</f>
        <v/>
      </c>
      <c r="G147" s="111" t="str">
        <f aca="false">IF($B147="","",IF(INDEX('CARNET DE SOUDURE'!$AF$7:$AF$1506,MATCH(136,'CARNET DE SOUDURE'!$AP$7:$AP$1506,0))&lt;&gt;"",INDEX('CARNET DE SOUDURE'!$AD$7:$AD$1506,MATCH(136,'CARNET DE SOUDURE'!$AP$7:$AP$1506,0)),IF(INDEX('CARNET DE SOUDURE'!$AA$7:$AA$1506,MATCH(136,'CARNET DE SOUDURE'!$AP$7:$AP$1506,0))&lt;&gt;"",INDEX('CARNET DE SOUDURE'!$Y$7:$Y$1506,MATCH(136,'CARNET DE SOUDURE'!$AP$7:$AP$1506,0)),INDEX('CARNET DE SOUDURE'!$T$7:$T$1506,MATCH(136,'CARNET DE SOUDURE'!$AP$7:$AP$1506,0)))))</f>
        <v/>
      </c>
      <c r="H147" s="110" t="str">
        <f aca="false">IF($B147="","",IF(INDEX('CARNET DE SOUDURE'!$AF$7:$AF$1506,MATCH(136,'CARNET DE SOUDURE'!$AP$7:$AP$1506,0))&lt;&gt;"",INDEX('CARNET DE SOUDURE'!$AE$7:$AE$1506,MATCH(136,'CARNET DE SOUDURE'!$AP$7:$AP$1506,0)),IF(INDEX('CARNET DE SOUDURE'!$AA$7:$AA$1506,MATCH(136,'CARNET DE SOUDURE'!$AP$7:$AP$1506,0))&lt;&gt;"",INDEX('CARNET DE SOUDURE'!$Z$7:$Z$1506,MATCH(136,'CARNET DE SOUDURE'!$AP$7:$AP$1506,0)),INDEX('CARNET DE SOUDURE'!$U$7:$U$1506,MATCH(136,'CARNET DE SOUDURE'!$AP$7:$AP$1506,0))))&amp;"")</f>
        <v/>
      </c>
      <c r="I147" s="112" t="str">
        <f aca="false">IF($B147="","",INDEX('CARNET DE SOUDURE'!$AK$7:$AK$1506,MATCH(136,'CARNET DE SOUDURE'!$AP$7:$AP$1506,0)))</f>
        <v/>
      </c>
      <c r="J147" s="113" t="str">
        <f aca="false">IF($B147="","",INDEX('CARNET DE SOUDURE'!$AL$7:$AL$1506,MATCH(136,'CARNET DE SOUDURE'!$AP$7:$AP$1506,0)))</f>
        <v/>
      </c>
      <c r="K147" s="87"/>
      <c r="L147" s="87"/>
    </row>
    <row r="148" customFormat="false" ht="15" hidden="false" customHeight="false" outlineLevel="0" collapsed="false">
      <c r="B148" s="91" t="str">
        <f aca="false">IF(137&gt;$I$4,"",137)</f>
        <v/>
      </c>
      <c r="C148" s="91" t="str">
        <f aca="false">IF($B148="","",INDEX('CARNET DE SOUDURE'!$B$7:$B$1506,MATCH(137,'CARNET DE SOUDURE'!$AP$7:$AP$1506,0)))</f>
        <v/>
      </c>
      <c r="D148" s="91" t="str">
        <f aca="false">IF($B148="","",INDEX('CARNET DE SOUDURE'!$E$7:$E$1506,MATCH(137,'CARNET DE SOUDURE'!$AP$7:$AP$1506,0)))</f>
        <v/>
      </c>
      <c r="E148" s="91" t="str">
        <f aca="false">IF($B148="","",INDEX('CARNET DE SOUDURE'!$M$7:$M$1506,MATCH(137,'CARNET DE SOUDURE'!$AP$7:$AP$1506,0))&amp;" / "&amp;INDEX('CARNET DE SOUDURE'!$N$7:$N$1506,MATCH(137,'CARNET DE SOUDURE'!$AP$7:$AP$1506,0))&amp;" / "&amp;INDEX('CARNET DE SOUDURE'!$O$7:$O$1506,MATCH(137,'CARNET DE SOUDURE'!$AP$7:$AP$1506,0)))</f>
        <v/>
      </c>
      <c r="F148" s="91" t="str">
        <f aca="false">IF($B148="","",INDEX('CARNET DE SOUDURE'!$AJ$7:$AJ$1506,MATCH(137,'CARNET DE SOUDURE'!$AP$7:$AP$1506,0)))</f>
        <v/>
      </c>
      <c r="G148" s="108" t="str">
        <f aca="false">IF($B148="","",IF(INDEX('CARNET DE SOUDURE'!$AF$7:$AF$1506,MATCH(137,'CARNET DE SOUDURE'!$AP$7:$AP$1506,0))&lt;&gt;"",INDEX('CARNET DE SOUDURE'!$AD$7:$AD$1506,MATCH(137,'CARNET DE SOUDURE'!$AP$7:$AP$1506,0)),IF(INDEX('CARNET DE SOUDURE'!$AA$7:$AA$1506,MATCH(137,'CARNET DE SOUDURE'!$AP$7:$AP$1506,0))&lt;&gt;"",INDEX('CARNET DE SOUDURE'!$Y$7:$Y$1506,MATCH(137,'CARNET DE SOUDURE'!$AP$7:$AP$1506,0)),INDEX('CARNET DE SOUDURE'!$T$7:$T$1506,MATCH(137,'CARNET DE SOUDURE'!$AP$7:$AP$1506,0)))))</f>
        <v/>
      </c>
      <c r="H148" s="91" t="str">
        <f aca="false">IF($B148="","",IF(INDEX('CARNET DE SOUDURE'!$AF$7:$AF$1506,MATCH(137,'CARNET DE SOUDURE'!$AP$7:$AP$1506,0))&lt;&gt;"",INDEX('CARNET DE SOUDURE'!$AE$7:$AE$1506,MATCH(137,'CARNET DE SOUDURE'!$AP$7:$AP$1506,0)),IF(INDEX('CARNET DE SOUDURE'!$AA$7:$AA$1506,MATCH(137,'CARNET DE SOUDURE'!$AP$7:$AP$1506,0))&lt;&gt;"",INDEX('CARNET DE SOUDURE'!$Z$7:$Z$1506,MATCH(137,'CARNET DE SOUDURE'!$AP$7:$AP$1506,0)),INDEX('CARNET DE SOUDURE'!$U$7:$U$1506,MATCH(137,'CARNET DE SOUDURE'!$AP$7:$AP$1506,0))))&amp;"")</f>
        <v/>
      </c>
      <c r="I148" s="91" t="str">
        <f aca="false">IF($B148="","",INDEX('CARNET DE SOUDURE'!$AK$7:$AK$1506,MATCH(137,'CARNET DE SOUDURE'!$AP$7:$AP$1506,0)))</f>
        <v/>
      </c>
      <c r="J148" s="109" t="str">
        <f aca="false">IF($B148="","",INDEX('CARNET DE SOUDURE'!$AL$7:$AL$1506,MATCH(137,'CARNET DE SOUDURE'!$AP$7:$AP$1506,0)))</f>
        <v/>
      </c>
      <c r="K148" s="87"/>
      <c r="L148" s="87"/>
    </row>
    <row r="149" customFormat="false" ht="15" hidden="false" customHeight="false" outlineLevel="0" collapsed="false">
      <c r="B149" s="110" t="str">
        <f aca="false">IF(138&gt;$I$4,"",138)</f>
        <v/>
      </c>
      <c r="C149" s="110" t="str">
        <f aca="false">IF($B149="","",INDEX('CARNET DE SOUDURE'!$B$7:$B$1506,MATCH(138,'CARNET DE SOUDURE'!$AP$7:$AP$1506,0)))</f>
        <v/>
      </c>
      <c r="D149" s="110" t="str">
        <f aca="false">IF($B149="","",INDEX('CARNET DE SOUDURE'!$E$7:$E$1506,MATCH(138,'CARNET DE SOUDURE'!$AP$7:$AP$1506,0)))</f>
        <v/>
      </c>
      <c r="E149" s="110" t="str">
        <f aca="false">IF($B149="","",INDEX('CARNET DE SOUDURE'!$M$7:$M$1506,MATCH(138,'CARNET DE SOUDURE'!$AP$7:$AP$1506,0))&amp;" / "&amp;INDEX('CARNET DE SOUDURE'!$N$7:$N$1506,MATCH(138,'CARNET DE SOUDURE'!$AP$7:$AP$1506,0))&amp;" / "&amp;INDEX('CARNET DE SOUDURE'!$O$7:$O$1506,MATCH(138,'CARNET DE SOUDURE'!$AP$7:$AP$1506,0)))</f>
        <v/>
      </c>
      <c r="F149" s="112" t="str">
        <f aca="false">IF($B149="","",INDEX('CARNET DE SOUDURE'!$AJ$7:$AJ$1506,MATCH(138,'CARNET DE SOUDURE'!$AP$7:$AP$1506,0)))</f>
        <v/>
      </c>
      <c r="G149" s="111" t="str">
        <f aca="false">IF($B149="","",IF(INDEX('CARNET DE SOUDURE'!$AF$7:$AF$1506,MATCH(138,'CARNET DE SOUDURE'!$AP$7:$AP$1506,0))&lt;&gt;"",INDEX('CARNET DE SOUDURE'!$AD$7:$AD$1506,MATCH(138,'CARNET DE SOUDURE'!$AP$7:$AP$1506,0)),IF(INDEX('CARNET DE SOUDURE'!$AA$7:$AA$1506,MATCH(138,'CARNET DE SOUDURE'!$AP$7:$AP$1506,0))&lt;&gt;"",INDEX('CARNET DE SOUDURE'!$Y$7:$Y$1506,MATCH(138,'CARNET DE SOUDURE'!$AP$7:$AP$1506,0)),INDEX('CARNET DE SOUDURE'!$T$7:$T$1506,MATCH(138,'CARNET DE SOUDURE'!$AP$7:$AP$1506,0)))))</f>
        <v/>
      </c>
      <c r="H149" s="110" t="str">
        <f aca="false">IF($B149="","",IF(INDEX('CARNET DE SOUDURE'!$AF$7:$AF$1506,MATCH(138,'CARNET DE SOUDURE'!$AP$7:$AP$1506,0))&lt;&gt;"",INDEX('CARNET DE SOUDURE'!$AE$7:$AE$1506,MATCH(138,'CARNET DE SOUDURE'!$AP$7:$AP$1506,0)),IF(INDEX('CARNET DE SOUDURE'!$AA$7:$AA$1506,MATCH(138,'CARNET DE SOUDURE'!$AP$7:$AP$1506,0))&lt;&gt;"",INDEX('CARNET DE SOUDURE'!$Z$7:$Z$1506,MATCH(138,'CARNET DE SOUDURE'!$AP$7:$AP$1506,0)),INDEX('CARNET DE SOUDURE'!$U$7:$U$1506,MATCH(138,'CARNET DE SOUDURE'!$AP$7:$AP$1506,0))))&amp;"")</f>
        <v/>
      </c>
      <c r="I149" s="112" t="str">
        <f aca="false">IF($B149="","",INDEX('CARNET DE SOUDURE'!$AK$7:$AK$1506,MATCH(138,'CARNET DE SOUDURE'!$AP$7:$AP$1506,0)))</f>
        <v/>
      </c>
      <c r="J149" s="113" t="str">
        <f aca="false">IF($B149="","",INDEX('CARNET DE SOUDURE'!$AL$7:$AL$1506,MATCH(138,'CARNET DE SOUDURE'!$AP$7:$AP$1506,0)))</f>
        <v/>
      </c>
      <c r="K149" s="87"/>
      <c r="L149" s="87"/>
    </row>
    <row r="150" customFormat="false" ht="15" hidden="false" customHeight="false" outlineLevel="0" collapsed="false">
      <c r="B150" s="91" t="str">
        <f aca="false">IF(139&gt;$I$4,"",139)</f>
        <v/>
      </c>
      <c r="C150" s="91" t="str">
        <f aca="false">IF($B150="","",INDEX('CARNET DE SOUDURE'!$B$7:$B$1506,MATCH(139,'CARNET DE SOUDURE'!$AP$7:$AP$1506,0)))</f>
        <v/>
      </c>
      <c r="D150" s="91" t="str">
        <f aca="false">IF($B150="","",INDEX('CARNET DE SOUDURE'!$E$7:$E$1506,MATCH(139,'CARNET DE SOUDURE'!$AP$7:$AP$1506,0)))</f>
        <v/>
      </c>
      <c r="E150" s="91" t="str">
        <f aca="false">IF($B150="","",INDEX('CARNET DE SOUDURE'!$M$7:$M$1506,MATCH(139,'CARNET DE SOUDURE'!$AP$7:$AP$1506,0))&amp;" / "&amp;INDEX('CARNET DE SOUDURE'!$N$7:$N$1506,MATCH(139,'CARNET DE SOUDURE'!$AP$7:$AP$1506,0))&amp;" / "&amp;INDEX('CARNET DE SOUDURE'!$O$7:$O$1506,MATCH(139,'CARNET DE SOUDURE'!$AP$7:$AP$1506,0)))</f>
        <v/>
      </c>
      <c r="F150" s="91" t="str">
        <f aca="false">IF($B150="","",INDEX('CARNET DE SOUDURE'!$AJ$7:$AJ$1506,MATCH(139,'CARNET DE SOUDURE'!$AP$7:$AP$1506,0)))</f>
        <v/>
      </c>
      <c r="G150" s="108" t="str">
        <f aca="false">IF($B150="","",IF(INDEX('CARNET DE SOUDURE'!$AF$7:$AF$1506,MATCH(139,'CARNET DE SOUDURE'!$AP$7:$AP$1506,0))&lt;&gt;"",INDEX('CARNET DE SOUDURE'!$AD$7:$AD$1506,MATCH(139,'CARNET DE SOUDURE'!$AP$7:$AP$1506,0)),IF(INDEX('CARNET DE SOUDURE'!$AA$7:$AA$1506,MATCH(139,'CARNET DE SOUDURE'!$AP$7:$AP$1506,0))&lt;&gt;"",INDEX('CARNET DE SOUDURE'!$Y$7:$Y$1506,MATCH(139,'CARNET DE SOUDURE'!$AP$7:$AP$1506,0)),INDEX('CARNET DE SOUDURE'!$T$7:$T$1506,MATCH(139,'CARNET DE SOUDURE'!$AP$7:$AP$1506,0)))))</f>
        <v/>
      </c>
      <c r="H150" s="91" t="str">
        <f aca="false">IF($B150="","",IF(INDEX('CARNET DE SOUDURE'!$AF$7:$AF$1506,MATCH(139,'CARNET DE SOUDURE'!$AP$7:$AP$1506,0))&lt;&gt;"",INDEX('CARNET DE SOUDURE'!$AE$7:$AE$1506,MATCH(139,'CARNET DE SOUDURE'!$AP$7:$AP$1506,0)),IF(INDEX('CARNET DE SOUDURE'!$AA$7:$AA$1506,MATCH(139,'CARNET DE SOUDURE'!$AP$7:$AP$1506,0))&lt;&gt;"",INDEX('CARNET DE SOUDURE'!$Z$7:$Z$1506,MATCH(139,'CARNET DE SOUDURE'!$AP$7:$AP$1506,0)),INDEX('CARNET DE SOUDURE'!$U$7:$U$1506,MATCH(139,'CARNET DE SOUDURE'!$AP$7:$AP$1506,0))))&amp;"")</f>
        <v/>
      </c>
      <c r="I150" s="91" t="str">
        <f aca="false">IF($B150="","",INDEX('CARNET DE SOUDURE'!$AK$7:$AK$1506,MATCH(139,'CARNET DE SOUDURE'!$AP$7:$AP$1506,0)))</f>
        <v/>
      </c>
      <c r="J150" s="109" t="str">
        <f aca="false">IF($B150="","",INDEX('CARNET DE SOUDURE'!$AL$7:$AL$1506,MATCH(139,'CARNET DE SOUDURE'!$AP$7:$AP$1506,0)))</f>
        <v/>
      </c>
      <c r="K150" s="87"/>
      <c r="L150" s="87"/>
    </row>
    <row r="151" customFormat="false" ht="15" hidden="false" customHeight="false" outlineLevel="0" collapsed="false">
      <c r="B151" s="110" t="str">
        <f aca="false">IF(140&gt;$I$4,"",140)</f>
        <v/>
      </c>
      <c r="C151" s="110" t="str">
        <f aca="false">IF($B151="","",INDEX('CARNET DE SOUDURE'!$B$7:$B$1506,MATCH(140,'CARNET DE SOUDURE'!$AP$7:$AP$1506,0)))</f>
        <v/>
      </c>
      <c r="D151" s="110" t="str">
        <f aca="false">IF($B151="","",INDEX('CARNET DE SOUDURE'!$E$7:$E$1506,MATCH(140,'CARNET DE SOUDURE'!$AP$7:$AP$1506,0)))</f>
        <v/>
      </c>
      <c r="E151" s="110" t="str">
        <f aca="false">IF($B151="","",INDEX('CARNET DE SOUDURE'!$M$7:$M$1506,MATCH(140,'CARNET DE SOUDURE'!$AP$7:$AP$1506,0))&amp;" / "&amp;INDEX('CARNET DE SOUDURE'!$N$7:$N$1506,MATCH(140,'CARNET DE SOUDURE'!$AP$7:$AP$1506,0))&amp;" / "&amp;INDEX('CARNET DE SOUDURE'!$O$7:$O$1506,MATCH(140,'CARNET DE SOUDURE'!$AP$7:$AP$1506,0)))</f>
        <v/>
      </c>
      <c r="F151" s="112" t="str">
        <f aca="false">IF($B151="","",INDEX('CARNET DE SOUDURE'!$AJ$7:$AJ$1506,MATCH(140,'CARNET DE SOUDURE'!$AP$7:$AP$1506,0)))</f>
        <v/>
      </c>
      <c r="G151" s="111" t="str">
        <f aca="false">IF($B151="","",IF(INDEX('CARNET DE SOUDURE'!$AF$7:$AF$1506,MATCH(140,'CARNET DE SOUDURE'!$AP$7:$AP$1506,0))&lt;&gt;"",INDEX('CARNET DE SOUDURE'!$AD$7:$AD$1506,MATCH(140,'CARNET DE SOUDURE'!$AP$7:$AP$1506,0)),IF(INDEX('CARNET DE SOUDURE'!$AA$7:$AA$1506,MATCH(140,'CARNET DE SOUDURE'!$AP$7:$AP$1506,0))&lt;&gt;"",INDEX('CARNET DE SOUDURE'!$Y$7:$Y$1506,MATCH(140,'CARNET DE SOUDURE'!$AP$7:$AP$1506,0)),INDEX('CARNET DE SOUDURE'!$T$7:$T$1506,MATCH(140,'CARNET DE SOUDURE'!$AP$7:$AP$1506,0)))))</f>
        <v/>
      </c>
      <c r="H151" s="110" t="str">
        <f aca="false">IF($B151="","",IF(INDEX('CARNET DE SOUDURE'!$AF$7:$AF$1506,MATCH(140,'CARNET DE SOUDURE'!$AP$7:$AP$1506,0))&lt;&gt;"",INDEX('CARNET DE SOUDURE'!$AE$7:$AE$1506,MATCH(140,'CARNET DE SOUDURE'!$AP$7:$AP$1506,0)),IF(INDEX('CARNET DE SOUDURE'!$AA$7:$AA$1506,MATCH(140,'CARNET DE SOUDURE'!$AP$7:$AP$1506,0))&lt;&gt;"",INDEX('CARNET DE SOUDURE'!$Z$7:$Z$1506,MATCH(140,'CARNET DE SOUDURE'!$AP$7:$AP$1506,0)),INDEX('CARNET DE SOUDURE'!$U$7:$U$1506,MATCH(140,'CARNET DE SOUDURE'!$AP$7:$AP$1506,0))))&amp;"")</f>
        <v/>
      </c>
      <c r="I151" s="112" t="str">
        <f aca="false">IF($B151="","",INDEX('CARNET DE SOUDURE'!$AK$7:$AK$1506,MATCH(140,'CARNET DE SOUDURE'!$AP$7:$AP$1506,0)))</f>
        <v/>
      </c>
      <c r="J151" s="113" t="str">
        <f aca="false">IF($B151="","",INDEX('CARNET DE SOUDURE'!$AL$7:$AL$1506,MATCH(140,'CARNET DE SOUDURE'!$AP$7:$AP$1506,0)))</f>
        <v/>
      </c>
      <c r="K151" s="87"/>
      <c r="L151" s="87"/>
    </row>
    <row r="152" customFormat="false" ht="15" hidden="false" customHeight="false" outlineLevel="0" collapsed="false">
      <c r="B152" s="91" t="str">
        <f aca="false">IF(141&gt;$I$4,"",141)</f>
        <v/>
      </c>
      <c r="C152" s="91" t="str">
        <f aca="false">IF($B152="","",INDEX('CARNET DE SOUDURE'!$B$7:$B$1506,MATCH(141,'CARNET DE SOUDURE'!$AP$7:$AP$1506,0)))</f>
        <v/>
      </c>
      <c r="D152" s="91" t="str">
        <f aca="false">IF($B152="","",INDEX('CARNET DE SOUDURE'!$E$7:$E$1506,MATCH(141,'CARNET DE SOUDURE'!$AP$7:$AP$1506,0)))</f>
        <v/>
      </c>
      <c r="E152" s="91" t="str">
        <f aca="false">IF($B152="","",INDEX('CARNET DE SOUDURE'!$M$7:$M$1506,MATCH(141,'CARNET DE SOUDURE'!$AP$7:$AP$1506,0))&amp;" / "&amp;INDEX('CARNET DE SOUDURE'!$N$7:$N$1506,MATCH(141,'CARNET DE SOUDURE'!$AP$7:$AP$1506,0))&amp;" / "&amp;INDEX('CARNET DE SOUDURE'!$O$7:$O$1506,MATCH(141,'CARNET DE SOUDURE'!$AP$7:$AP$1506,0)))</f>
        <v/>
      </c>
      <c r="F152" s="91" t="str">
        <f aca="false">IF($B152="","",INDEX('CARNET DE SOUDURE'!$AJ$7:$AJ$1506,MATCH(141,'CARNET DE SOUDURE'!$AP$7:$AP$1506,0)))</f>
        <v/>
      </c>
      <c r="G152" s="108" t="str">
        <f aca="false">IF($B152="","",IF(INDEX('CARNET DE SOUDURE'!$AF$7:$AF$1506,MATCH(141,'CARNET DE SOUDURE'!$AP$7:$AP$1506,0))&lt;&gt;"",INDEX('CARNET DE SOUDURE'!$AD$7:$AD$1506,MATCH(141,'CARNET DE SOUDURE'!$AP$7:$AP$1506,0)),IF(INDEX('CARNET DE SOUDURE'!$AA$7:$AA$1506,MATCH(141,'CARNET DE SOUDURE'!$AP$7:$AP$1506,0))&lt;&gt;"",INDEX('CARNET DE SOUDURE'!$Y$7:$Y$1506,MATCH(141,'CARNET DE SOUDURE'!$AP$7:$AP$1506,0)),INDEX('CARNET DE SOUDURE'!$T$7:$T$1506,MATCH(141,'CARNET DE SOUDURE'!$AP$7:$AP$1506,0)))))</f>
        <v/>
      </c>
      <c r="H152" s="91" t="str">
        <f aca="false">IF($B152="","",IF(INDEX('CARNET DE SOUDURE'!$AF$7:$AF$1506,MATCH(141,'CARNET DE SOUDURE'!$AP$7:$AP$1506,0))&lt;&gt;"",INDEX('CARNET DE SOUDURE'!$AE$7:$AE$1506,MATCH(141,'CARNET DE SOUDURE'!$AP$7:$AP$1506,0)),IF(INDEX('CARNET DE SOUDURE'!$AA$7:$AA$1506,MATCH(141,'CARNET DE SOUDURE'!$AP$7:$AP$1506,0))&lt;&gt;"",INDEX('CARNET DE SOUDURE'!$Z$7:$Z$1506,MATCH(141,'CARNET DE SOUDURE'!$AP$7:$AP$1506,0)),INDEX('CARNET DE SOUDURE'!$U$7:$U$1506,MATCH(141,'CARNET DE SOUDURE'!$AP$7:$AP$1506,0))))&amp;"")</f>
        <v/>
      </c>
      <c r="I152" s="91" t="str">
        <f aca="false">IF($B152="","",INDEX('CARNET DE SOUDURE'!$AK$7:$AK$1506,MATCH(141,'CARNET DE SOUDURE'!$AP$7:$AP$1506,0)))</f>
        <v/>
      </c>
      <c r="J152" s="109" t="str">
        <f aca="false">IF($B152="","",INDEX('CARNET DE SOUDURE'!$AL$7:$AL$1506,MATCH(141,'CARNET DE SOUDURE'!$AP$7:$AP$1506,0)))</f>
        <v/>
      </c>
      <c r="K152" s="87"/>
      <c r="L152" s="87"/>
    </row>
    <row r="153" customFormat="false" ht="15" hidden="false" customHeight="false" outlineLevel="0" collapsed="false">
      <c r="B153" s="110" t="str">
        <f aca="false">IF(142&gt;$I$4,"",142)</f>
        <v/>
      </c>
      <c r="C153" s="110" t="str">
        <f aca="false">IF($B153="","",INDEX('CARNET DE SOUDURE'!$B$7:$B$1506,MATCH(142,'CARNET DE SOUDURE'!$AP$7:$AP$1506,0)))</f>
        <v/>
      </c>
      <c r="D153" s="110" t="str">
        <f aca="false">IF($B153="","",INDEX('CARNET DE SOUDURE'!$E$7:$E$1506,MATCH(142,'CARNET DE SOUDURE'!$AP$7:$AP$1506,0)))</f>
        <v/>
      </c>
      <c r="E153" s="110" t="str">
        <f aca="false">IF($B153="","",INDEX('CARNET DE SOUDURE'!$M$7:$M$1506,MATCH(142,'CARNET DE SOUDURE'!$AP$7:$AP$1506,0))&amp;" / "&amp;INDEX('CARNET DE SOUDURE'!$N$7:$N$1506,MATCH(142,'CARNET DE SOUDURE'!$AP$7:$AP$1506,0))&amp;" / "&amp;INDEX('CARNET DE SOUDURE'!$O$7:$O$1506,MATCH(142,'CARNET DE SOUDURE'!$AP$7:$AP$1506,0)))</f>
        <v/>
      </c>
      <c r="F153" s="112" t="str">
        <f aca="false">IF($B153="","",INDEX('CARNET DE SOUDURE'!$AJ$7:$AJ$1506,MATCH(142,'CARNET DE SOUDURE'!$AP$7:$AP$1506,0)))</f>
        <v/>
      </c>
      <c r="G153" s="111" t="str">
        <f aca="false">IF($B153="","",IF(INDEX('CARNET DE SOUDURE'!$AF$7:$AF$1506,MATCH(142,'CARNET DE SOUDURE'!$AP$7:$AP$1506,0))&lt;&gt;"",INDEX('CARNET DE SOUDURE'!$AD$7:$AD$1506,MATCH(142,'CARNET DE SOUDURE'!$AP$7:$AP$1506,0)),IF(INDEX('CARNET DE SOUDURE'!$AA$7:$AA$1506,MATCH(142,'CARNET DE SOUDURE'!$AP$7:$AP$1506,0))&lt;&gt;"",INDEX('CARNET DE SOUDURE'!$Y$7:$Y$1506,MATCH(142,'CARNET DE SOUDURE'!$AP$7:$AP$1506,0)),INDEX('CARNET DE SOUDURE'!$T$7:$T$1506,MATCH(142,'CARNET DE SOUDURE'!$AP$7:$AP$1506,0)))))</f>
        <v/>
      </c>
      <c r="H153" s="110" t="str">
        <f aca="false">IF($B153="","",IF(INDEX('CARNET DE SOUDURE'!$AF$7:$AF$1506,MATCH(142,'CARNET DE SOUDURE'!$AP$7:$AP$1506,0))&lt;&gt;"",INDEX('CARNET DE SOUDURE'!$AE$7:$AE$1506,MATCH(142,'CARNET DE SOUDURE'!$AP$7:$AP$1506,0)),IF(INDEX('CARNET DE SOUDURE'!$AA$7:$AA$1506,MATCH(142,'CARNET DE SOUDURE'!$AP$7:$AP$1506,0))&lt;&gt;"",INDEX('CARNET DE SOUDURE'!$Z$7:$Z$1506,MATCH(142,'CARNET DE SOUDURE'!$AP$7:$AP$1506,0)),INDEX('CARNET DE SOUDURE'!$U$7:$U$1506,MATCH(142,'CARNET DE SOUDURE'!$AP$7:$AP$1506,0))))&amp;"")</f>
        <v/>
      </c>
      <c r="I153" s="112" t="str">
        <f aca="false">IF($B153="","",INDEX('CARNET DE SOUDURE'!$AK$7:$AK$1506,MATCH(142,'CARNET DE SOUDURE'!$AP$7:$AP$1506,0)))</f>
        <v/>
      </c>
      <c r="J153" s="113" t="str">
        <f aca="false">IF($B153="","",INDEX('CARNET DE SOUDURE'!$AL$7:$AL$1506,MATCH(142,'CARNET DE SOUDURE'!$AP$7:$AP$1506,0)))</f>
        <v/>
      </c>
      <c r="K153" s="87"/>
      <c r="L153" s="87"/>
    </row>
    <row r="154" customFormat="false" ht="15" hidden="false" customHeight="false" outlineLevel="0" collapsed="false">
      <c r="B154" s="91" t="str">
        <f aca="false">IF(143&gt;$I$4,"",143)</f>
        <v/>
      </c>
      <c r="C154" s="91" t="str">
        <f aca="false">IF($B154="","",INDEX('CARNET DE SOUDURE'!$B$7:$B$1506,MATCH(143,'CARNET DE SOUDURE'!$AP$7:$AP$1506,0)))</f>
        <v/>
      </c>
      <c r="D154" s="91" t="str">
        <f aca="false">IF($B154="","",INDEX('CARNET DE SOUDURE'!$E$7:$E$1506,MATCH(143,'CARNET DE SOUDURE'!$AP$7:$AP$1506,0)))</f>
        <v/>
      </c>
      <c r="E154" s="91" t="str">
        <f aca="false">IF($B154="","",INDEX('CARNET DE SOUDURE'!$M$7:$M$1506,MATCH(143,'CARNET DE SOUDURE'!$AP$7:$AP$1506,0))&amp;" / "&amp;INDEX('CARNET DE SOUDURE'!$N$7:$N$1506,MATCH(143,'CARNET DE SOUDURE'!$AP$7:$AP$1506,0))&amp;" / "&amp;INDEX('CARNET DE SOUDURE'!$O$7:$O$1506,MATCH(143,'CARNET DE SOUDURE'!$AP$7:$AP$1506,0)))</f>
        <v/>
      </c>
      <c r="F154" s="91" t="str">
        <f aca="false">IF($B154="","",INDEX('CARNET DE SOUDURE'!$AJ$7:$AJ$1506,MATCH(143,'CARNET DE SOUDURE'!$AP$7:$AP$1506,0)))</f>
        <v/>
      </c>
      <c r="G154" s="108" t="str">
        <f aca="false">IF($B154="","",IF(INDEX('CARNET DE SOUDURE'!$AF$7:$AF$1506,MATCH(143,'CARNET DE SOUDURE'!$AP$7:$AP$1506,0))&lt;&gt;"",INDEX('CARNET DE SOUDURE'!$AD$7:$AD$1506,MATCH(143,'CARNET DE SOUDURE'!$AP$7:$AP$1506,0)),IF(INDEX('CARNET DE SOUDURE'!$AA$7:$AA$1506,MATCH(143,'CARNET DE SOUDURE'!$AP$7:$AP$1506,0))&lt;&gt;"",INDEX('CARNET DE SOUDURE'!$Y$7:$Y$1506,MATCH(143,'CARNET DE SOUDURE'!$AP$7:$AP$1506,0)),INDEX('CARNET DE SOUDURE'!$T$7:$T$1506,MATCH(143,'CARNET DE SOUDURE'!$AP$7:$AP$1506,0)))))</f>
        <v/>
      </c>
      <c r="H154" s="91" t="str">
        <f aca="false">IF($B154="","",IF(INDEX('CARNET DE SOUDURE'!$AF$7:$AF$1506,MATCH(143,'CARNET DE SOUDURE'!$AP$7:$AP$1506,0))&lt;&gt;"",INDEX('CARNET DE SOUDURE'!$AE$7:$AE$1506,MATCH(143,'CARNET DE SOUDURE'!$AP$7:$AP$1506,0)),IF(INDEX('CARNET DE SOUDURE'!$AA$7:$AA$1506,MATCH(143,'CARNET DE SOUDURE'!$AP$7:$AP$1506,0))&lt;&gt;"",INDEX('CARNET DE SOUDURE'!$Z$7:$Z$1506,MATCH(143,'CARNET DE SOUDURE'!$AP$7:$AP$1506,0)),INDEX('CARNET DE SOUDURE'!$U$7:$U$1506,MATCH(143,'CARNET DE SOUDURE'!$AP$7:$AP$1506,0))))&amp;"")</f>
        <v/>
      </c>
      <c r="I154" s="91" t="str">
        <f aca="false">IF($B154="","",INDEX('CARNET DE SOUDURE'!$AK$7:$AK$1506,MATCH(143,'CARNET DE SOUDURE'!$AP$7:$AP$1506,0)))</f>
        <v/>
      </c>
      <c r="J154" s="109" t="str">
        <f aca="false">IF($B154="","",INDEX('CARNET DE SOUDURE'!$AL$7:$AL$1506,MATCH(143,'CARNET DE SOUDURE'!$AP$7:$AP$1506,0)))</f>
        <v/>
      </c>
      <c r="K154" s="87"/>
      <c r="L154" s="87"/>
    </row>
    <row r="155" customFormat="false" ht="15" hidden="false" customHeight="false" outlineLevel="0" collapsed="false">
      <c r="B155" s="110" t="str">
        <f aca="false">IF(144&gt;$I$4,"",144)</f>
        <v/>
      </c>
      <c r="C155" s="110" t="str">
        <f aca="false">IF($B155="","",INDEX('CARNET DE SOUDURE'!$B$7:$B$1506,MATCH(144,'CARNET DE SOUDURE'!$AP$7:$AP$1506,0)))</f>
        <v/>
      </c>
      <c r="D155" s="110" t="str">
        <f aca="false">IF($B155="","",INDEX('CARNET DE SOUDURE'!$E$7:$E$1506,MATCH(144,'CARNET DE SOUDURE'!$AP$7:$AP$1506,0)))</f>
        <v/>
      </c>
      <c r="E155" s="110" t="str">
        <f aca="false">IF($B155="","",INDEX('CARNET DE SOUDURE'!$M$7:$M$1506,MATCH(144,'CARNET DE SOUDURE'!$AP$7:$AP$1506,0))&amp;" / "&amp;INDEX('CARNET DE SOUDURE'!$N$7:$N$1506,MATCH(144,'CARNET DE SOUDURE'!$AP$7:$AP$1506,0))&amp;" / "&amp;INDEX('CARNET DE SOUDURE'!$O$7:$O$1506,MATCH(144,'CARNET DE SOUDURE'!$AP$7:$AP$1506,0)))</f>
        <v/>
      </c>
      <c r="F155" s="112" t="str">
        <f aca="false">IF($B155="","",INDEX('CARNET DE SOUDURE'!$AJ$7:$AJ$1506,MATCH(144,'CARNET DE SOUDURE'!$AP$7:$AP$1506,0)))</f>
        <v/>
      </c>
      <c r="G155" s="111" t="str">
        <f aca="false">IF($B155="","",IF(INDEX('CARNET DE SOUDURE'!$AF$7:$AF$1506,MATCH(144,'CARNET DE SOUDURE'!$AP$7:$AP$1506,0))&lt;&gt;"",INDEX('CARNET DE SOUDURE'!$AD$7:$AD$1506,MATCH(144,'CARNET DE SOUDURE'!$AP$7:$AP$1506,0)),IF(INDEX('CARNET DE SOUDURE'!$AA$7:$AA$1506,MATCH(144,'CARNET DE SOUDURE'!$AP$7:$AP$1506,0))&lt;&gt;"",INDEX('CARNET DE SOUDURE'!$Y$7:$Y$1506,MATCH(144,'CARNET DE SOUDURE'!$AP$7:$AP$1506,0)),INDEX('CARNET DE SOUDURE'!$T$7:$T$1506,MATCH(144,'CARNET DE SOUDURE'!$AP$7:$AP$1506,0)))))</f>
        <v/>
      </c>
      <c r="H155" s="110" t="str">
        <f aca="false">IF($B155="","",IF(INDEX('CARNET DE SOUDURE'!$AF$7:$AF$1506,MATCH(144,'CARNET DE SOUDURE'!$AP$7:$AP$1506,0))&lt;&gt;"",INDEX('CARNET DE SOUDURE'!$AE$7:$AE$1506,MATCH(144,'CARNET DE SOUDURE'!$AP$7:$AP$1506,0)),IF(INDEX('CARNET DE SOUDURE'!$AA$7:$AA$1506,MATCH(144,'CARNET DE SOUDURE'!$AP$7:$AP$1506,0))&lt;&gt;"",INDEX('CARNET DE SOUDURE'!$Z$7:$Z$1506,MATCH(144,'CARNET DE SOUDURE'!$AP$7:$AP$1506,0)),INDEX('CARNET DE SOUDURE'!$U$7:$U$1506,MATCH(144,'CARNET DE SOUDURE'!$AP$7:$AP$1506,0))))&amp;"")</f>
        <v/>
      </c>
      <c r="I155" s="112" t="str">
        <f aca="false">IF($B155="","",INDEX('CARNET DE SOUDURE'!$AK$7:$AK$1506,MATCH(144,'CARNET DE SOUDURE'!$AP$7:$AP$1506,0)))</f>
        <v/>
      </c>
      <c r="J155" s="113" t="str">
        <f aca="false">IF($B155="","",INDEX('CARNET DE SOUDURE'!$AL$7:$AL$1506,MATCH(144,'CARNET DE SOUDURE'!$AP$7:$AP$1506,0)))</f>
        <v/>
      </c>
      <c r="K155" s="87"/>
      <c r="L155" s="87"/>
    </row>
    <row r="156" customFormat="false" ht="15" hidden="false" customHeight="false" outlineLevel="0" collapsed="false">
      <c r="B156" s="91" t="str">
        <f aca="false">IF(145&gt;$I$4,"",145)</f>
        <v/>
      </c>
      <c r="C156" s="91" t="str">
        <f aca="false">IF($B156="","",INDEX('CARNET DE SOUDURE'!$B$7:$B$1506,MATCH(145,'CARNET DE SOUDURE'!$AP$7:$AP$1506,0)))</f>
        <v/>
      </c>
      <c r="D156" s="91" t="str">
        <f aca="false">IF($B156="","",INDEX('CARNET DE SOUDURE'!$E$7:$E$1506,MATCH(145,'CARNET DE SOUDURE'!$AP$7:$AP$1506,0)))</f>
        <v/>
      </c>
      <c r="E156" s="91" t="str">
        <f aca="false">IF($B156="","",INDEX('CARNET DE SOUDURE'!$M$7:$M$1506,MATCH(145,'CARNET DE SOUDURE'!$AP$7:$AP$1506,0))&amp;" / "&amp;INDEX('CARNET DE SOUDURE'!$N$7:$N$1506,MATCH(145,'CARNET DE SOUDURE'!$AP$7:$AP$1506,0))&amp;" / "&amp;INDEX('CARNET DE SOUDURE'!$O$7:$O$1506,MATCH(145,'CARNET DE SOUDURE'!$AP$7:$AP$1506,0)))</f>
        <v/>
      </c>
      <c r="F156" s="91" t="str">
        <f aca="false">IF($B156="","",INDEX('CARNET DE SOUDURE'!$AJ$7:$AJ$1506,MATCH(145,'CARNET DE SOUDURE'!$AP$7:$AP$1506,0)))</f>
        <v/>
      </c>
      <c r="G156" s="108" t="str">
        <f aca="false">IF($B156="","",IF(INDEX('CARNET DE SOUDURE'!$AF$7:$AF$1506,MATCH(145,'CARNET DE SOUDURE'!$AP$7:$AP$1506,0))&lt;&gt;"",INDEX('CARNET DE SOUDURE'!$AD$7:$AD$1506,MATCH(145,'CARNET DE SOUDURE'!$AP$7:$AP$1506,0)),IF(INDEX('CARNET DE SOUDURE'!$AA$7:$AA$1506,MATCH(145,'CARNET DE SOUDURE'!$AP$7:$AP$1506,0))&lt;&gt;"",INDEX('CARNET DE SOUDURE'!$Y$7:$Y$1506,MATCH(145,'CARNET DE SOUDURE'!$AP$7:$AP$1506,0)),INDEX('CARNET DE SOUDURE'!$T$7:$T$1506,MATCH(145,'CARNET DE SOUDURE'!$AP$7:$AP$1506,0)))))</f>
        <v/>
      </c>
      <c r="H156" s="91" t="str">
        <f aca="false">IF($B156="","",IF(INDEX('CARNET DE SOUDURE'!$AF$7:$AF$1506,MATCH(145,'CARNET DE SOUDURE'!$AP$7:$AP$1506,0))&lt;&gt;"",INDEX('CARNET DE SOUDURE'!$AE$7:$AE$1506,MATCH(145,'CARNET DE SOUDURE'!$AP$7:$AP$1506,0)),IF(INDEX('CARNET DE SOUDURE'!$AA$7:$AA$1506,MATCH(145,'CARNET DE SOUDURE'!$AP$7:$AP$1506,0))&lt;&gt;"",INDEX('CARNET DE SOUDURE'!$Z$7:$Z$1506,MATCH(145,'CARNET DE SOUDURE'!$AP$7:$AP$1506,0)),INDEX('CARNET DE SOUDURE'!$U$7:$U$1506,MATCH(145,'CARNET DE SOUDURE'!$AP$7:$AP$1506,0))))&amp;"")</f>
        <v/>
      </c>
      <c r="I156" s="91" t="str">
        <f aca="false">IF($B156="","",INDEX('CARNET DE SOUDURE'!$AK$7:$AK$1506,MATCH(145,'CARNET DE SOUDURE'!$AP$7:$AP$1506,0)))</f>
        <v/>
      </c>
      <c r="J156" s="109" t="str">
        <f aca="false">IF($B156="","",INDEX('CARNET DE SOUDURE'!$AL$7:$AL$1506,MATCH(145,'CARNET DE SOUDURE'!$AP$7:$AP$1506,0)))</f>
        <v/>
      </c>
      <c r="K156" s="87"/>
      <c r="L156" s="87"/>
    </row>
    <row r="157" customFormat="false" ht="15" hidden="false" customHeight="false" outlineLevel="0" collapsed="false">
      <c r="B157" s="110" t="str">
        <f aca="false">IF(146&gt;$I$4,"",146)</f>
        <v/>
      </c>
      <c r="C157" s="110" t="str">
        <f aca="false">IF($B157="","",INDEX('CARNET DE SOUDURE'!$B$7:$B$1506,MATCH(146,'CARNET DE SOUDURE'!$AP$7:$AP$1506,0)))</f>
        <v/>
      </c>
      <c r="D157" s="110" t="str">
        <f aca="false">IF($B157="","",INDEX('CARNET DE SOUDURE'!$E$7:$E$1506,MATCH(146,'CARNET DE SOUDURE'!$AP$7:$AP$1506,0)))</f>
        <v/>
      </c>
      <c r="E157" s="110" t="str">
        <f aca="false">IF($B157="","",INDEX('CARNET DE SOUDURE'!$M$7:$M$1506,MATCH(146,'CARNET DE SOUDURE'!$AP$7:$AP$1506,0))&amp;" / "&amp;INDEX('CARNET DE SOUDURE'!$N$7:$N$1506,MATCH(146,'CARNET DE SOUDURE'!$AP$7:$AP$1506,0))&amp;" / "&amp;INDEX('CARNET DE SOUDURE'!$O$7:$O$1506,MATCH(146,'CARNET DE SOUDURE'!$AP$7:$AP$1506,0)))</f>
        <v/>
      </c>
      <c r="F157" s="112" t="str">
        <f aca="false">IF($B157="","",INDEX('CARNET DE SOUDURE'!$AJ$7:$AJ$1506,MATCH(146,'CARNET DE SOUDURE'!$AP$7:$AP$1506,0)))</f>
        <v/>
      </c>
      <c r="G157" s="111" t="str">
        <f aca="false">IF($B157="","",IF(INDEX('CARNET DE SOUDURE'!$AF$7:$AF$1506,MATCH(146,'CARNET DE SOUDURE'!$AP$7:$AP$1506,0))&lt;&gt;"",INDEX('CARNET DE SOUDURE'!$AD$7:$AD$1506,MATCH(146,'CARNET DE SOUDURE'!$AP$7:$AP$1506,0)),IF(INDEX('CARNET DE SOUDURE'!$AA$7:$AA$1506,MATCH(146,'CARNET DE SOUDURE'!$AP$7:$AP$1506,0))&lt;&gt;"",INDEX('CARNET DE SOUDURE'!$Y$7:$Y$1506,MATCH(146,'CARNET DE SOUDURE'!$AP$7:$AP$1506,0)),INDEX('CARNET DE SOUDURE'!$T$7:$T$1506,MATCH(146,'CARNET DE SOUDURE'!$AP$7:$AP$1506,0)))))</f>
        <v/>
      </c>
      <c r="H157" s="110" t="str">
        <f aca="false">IF($B157="","",IF(INDEX('CARNET DE SOUDURE'!$AF$7:$AF$1506,MATCH(146,'CARNET DE SOUDURE'!$AP$7:$AP$1506,0))&lt;&gt;"",INDEX('CARNET DE SOUDURE'!$AE$7:$AE$1506,MATCH(146,'CARNET DE SOUDURE'!$AP$7:$AP$1506,0)),IF(INDEX('CARNET DE SOUDURE'!$AA$7:$AA$1506,MATCH(146,'CARNET DE SOUDURE'!$AP$7:$AP$1506,0))&lt;&gt;"",INDEX('CARNET DE SOUDURE'!$Z$7:$Z$1506,MATCH(146,'CARNET DE SOUDURE'!$AP$7:$AP$1506,0)),INDEX('CARNET DE SOUDURE'!$U$7:$U$1506,MATCH(146,'CARNET DE SOUDURE'!$AP$7:$AP$1506,0))))&amp;"")</f>
        <v/>
      </c>
      <c r="I157" s="112" t="str">
        <f aca="false">IF($B157="","",INDEX('CARNET DE SOUDURE'!$AK$7:$AK$1506,MATCH(146,'CARNET DE SOUDURE'!$AP$7:$AP$1506,0)))</f>
        <v/>
      </c>
      <c r="J157" s="113" t="str">
        <f aca="false">IF($B157="","",INDEX('CARNET DE SOUDURE'!$AL$7:$AL$1506,MATCH(146,'CARNET DE SOUDURE'!$AP$7:$AP$1506,0)))</f>
        <v/>
      </c>
      <c r="K157" s="87"/>
      <c r="L157" s="87"/>
    </row>
    <row r="158" customFormat="false" ht="15" hidden="false" customHeight="false" outlineLevel="0" collapsed="false">
      <c r="B158" s="91" t="str">
        <f aca="false">IF(147&gt;$I$4,"",147)</f>
        <v/>
      </c>
      <c r="C158" s="91" t="str">
        <f aca="false">IF($B158="","",INDEX('CARNET DE SOUDURE'!$B$7:$B$1506,MATCH(147,'CARNET DE SOUDURE'!$AP$7:$AP$1506,0)))</f>
        <v/>
      </c>
      <c r="D158" s="91" t="str">
        <f aca="false">IF($B158="","",INDEX('CARNET DE SOUDURE'!$E$7:$E$1506,MATCH(147,'CARNET DE SOUDURE'!$AP$7:$AP$1506,0)))</f>
        <v/>
      </c>
      <c r="E158" s="91" t="str">
        <f aca="false">IF($B158="","",INDEX('CARNET DE SOUDURE'!$M$7:$M$1506,MATCH(147,'CARNET DE SOUDURE'!$AP$7:$AP$1506,0))&amp;" / "&amp;INDEX('CARNET DE SOUDURE'!$N$7:$N$1506,MATCH(147,'CARNET DE SOUDURE'!$AP$7:$AP$1506,0))&amp;" / "&amp;INDEX('CARNET DE SOUDURE'!$O$7:$O$1506,MATCH(147,'CARNET DE SOUDURE'!$AP$7:$AP$1506,0)))</f>
        <v/>
      </c>
      <c r="F158" s="91" t="str">
        <f aca="false">IF($B158="","",INDEX('CARNET DE SOUDURE'!$AJ$7:$AJ$1506,MATCH(147,'CARNET DE SOUDURE'!$AP$7:$AP$1506,0)))</f>
        <v/>
      </c>
      <c r="G158" s="108" t="str">
        <f aca="false">IF($B158="","",IF(INDEX('CARNET DE SOUDURE'!$AF$7:$AF$1506,MATCH(147,'CARNET DE SOUDURE'!$AP$7:$AP$1506,0))&lt;&gt;"",INDEX('CARNET DE SOUDURE'!$AD$7:$AD$1506,MATCH(147,'CARNET DE SOUDURE'!$AP$7:$AP$1506,0)),IF(INDEX('CARNET DE SOUDURE'!$AA$7:$AA$1506,MATCH(147,'CARNET DE SOUDURE'!$AP$7:$AP$1506,0))&lt;&gt;"",INDEX('CARNET DE SOUDURE'!$Y$7:$Y$1506,MATCH(147,'CARNET DE SOUDURE'!$AP$7:$AP$1506,0)),INDEX('CARNET DE SOUDURE'!$T$7:$T$1506,MATCH(147,'CARNET DE SOUDURE'!$AP$7:$AP$1506,0)))))</f>
        <v/>
      </c>
      <c r="H158" s="91" t="str">
        <f aca="false">IF($B158="","",IF(INDEX('CARNET DE SOUDURE'!$AF$7:$AF$1506,MATCH(147,'CARNET DE SOUDURE'!$AP$7:$AP$1506,0))&lt;&gt;"",INDEX('CARNET DE SOUDURE'!$AE$7:$AE$1506,MATCH(147,'CARNET DE SOUDURE'!$AP$7:$AP$1506,0)),IF(INDEX('CARNET DE SOUDURE'!$AA$7:$AA$1506,MATCH(147,'CARNET DE SOUDURE'!$AP$7:$AP$1506,0))&lt;&gt;"",INDEX('CARNET DE SOUDURE'!$Z$7:$Z$1506,MATCH(147,'CARNET DE SOUDURE'!$AP$7:$AP$1506,0)),INDEX('CARNET DE SOUDURE'!$U$7:$U$1506,MATCH(147,'CARNET DE SOUDURE'!$AP$7:$AP$1506,0))))&amp;"")</f>
        <v/>
      </c>
      <c r="I158" s="91" t="str">
        <f aca="false">IF($B158="","",INDEX('CARNET DE SOUDURE'!$AK$7:$AK$1506,MATCH(147,'CARNET DE SOUDURE'!$AP$7:$AP$1506,0)))</f>
        <v/>
      </c>
      <c r="J158" s="109" t="str">
        <f aca="false">IF($B158="","",INDEX('CARNET DE SOUDURE'!$AL$7:$AL$1506,MATCH(147,'CARNET DE SOUDURE'!$AP$7:$AP$1506,0)))</f>
        <v/>
      </c>
      <c r="K158" s="87"/>
      <c r="L158" s="87"/>
    </row>
    <row r="159" customFormat="false" ht="15" hidden="false" customHeight="false" outlineLevel="0" collapsed="false">
      <c r="B159" s="110" t="str">
        <f aca="false">IF(148&gt;$I$4,"",148)</f>
        <v/>
      </c>
      <c r="C159" s="110" t="str">
        <f aca="false">IF($B159="","",INDEX('CARNET DE SOUDURE'!$B$7:$B$1506,MATCH(148,'CARNET DE SOUDURE'!$AP$7:$AP$1506,0)))</f>
        <v/>
      </c>
      <c r="D159" s="110" t="str">
        <f aca="false">IF($B159="","",INDEX('CARNET DE SOUDURE'!$E$7:$E$1506,MATCH(148,'CARNET DE SOUDURE'!$AP$7:$AP$1506,0)))</f>
        <v/>
      </c>
      <c r="E159" s="110" t="str">
        <f aca="false">IF($B159="","",INDEX('CARNET DE SOUDURE'!$M$7:$M$1506,MATCH(148,'CARNET DE SOUDURE'!$AP$7:$AP$1506,0))&amp;" / "&amp;INDEX('CARNET DE SOUDURE'!$N$7:$N$1506,MATCH(148,'CARNET DE SOUDURE'!$AP$7:$AP$1506,0))&amp;" / "&amp;INDEX('CARNET DE SOUDURE'!$O$7:$O$1506,MATCH(148,'CARNET DE SOUDURE'!$AP$7:$AP$1506,0)))</f>
        <v/>
      </c>
      <c r="F159" s="112" t="str">
        <f aca="false">IF($B159="","",INDEX('CARNET DE SOUDURE'!$AJ$7:$AJ$1506,MATCH(148,'CARNET DE SOUDURE'!$AP$7:$AP$1506,0)))</f>
        <v/>
      </c>
      <c r="G159" s="111" t="str">
        <f aca="false">IF($B159="","",IF(INDEX('CARNET DE SOUDURE'!$AF$7:$AF$1506,MATCH(148,'CARNET DE SOUDURE'!$AP$7:$AP$1506,0))&lt;&gt;"",INDEX('CARNET DE SOUDURE'!$AD$7:$AD$1506,MATCH(148,'CARNET DE SOUDURE'!$AP$7:$AP$1506,0)),IF(INDEX('CARNET DE SOUDURE'!$AA$7:$AA$1506,MATCH(148,'CARNET DE SOUDURE'!$AP$7:$AP$1506,0))&lt;&gt;"",INDEX('CARNET DE SOUDURE'!$Y$7:$Y$1506,MATCH(148,'CARNET DE SOUDURE'!$AP$7:$AP$1506,0)),INDEX('CARNET DE SOUDURE'!$T$7:$T$1506,MATCH(148,'CARNET DE SOUDURE'!$AP$7:$AP$1506,0)))))</f>
        <v/>
      </c>
      <c r="H159" s="110" t="str">
        <f aca="false">IF($B159="","",IF(INDEX('CARNET DE SOUDURE'!$AF$7:$AF$1506,MATCH(148,'CARNET DE SOUDURE'!$AP$7:$AP$1506,0))&lt;&gt;"",INDEX('CARNET DE SOUDURE'!$AE$7:$AE$1506,MATCH(148,'CARNET DE SOUDURE'!$AP$7:$AP$1506,0)),IF(INDEX('CARNET DE SOUDURE'!$AA$7:$AA$1506,MATCH(148,'CARNET DE SOUDURE'!$AP$7:$AP$1506,0))&lt;&gt;"",INDEX('CARNET DE SOUDURE'!$Z$7:$Z$1506,MATCH(148,'CARNET DE SOUDURE'!$AP$7:$AP$1506,0)),INDEX('CARNET DE SOUDURE'!$U$7:$U$1506,MATCH(148,'CARNET DE SOUDURE'!$AP$7:$AP$1506,0))))&amp;"")</f>
        <v/>
      </c>
      <c r="I159" s="112" t="str">
        <f aca="false">IF($B159="","",INDEX('CARNET DE SOUDURE'!$AK$7:$AK$1506,MATCH(148,'CARNET DE SOUDURE'!$AP$7:$AP$1506,0)))</f>
        <v/>
      </c>
      <c r="J159" s="113" t="str">
        <f aca="false">IF($B159="","",INDEX('CARNET DE SOUDURE'!$AL$7:$AL$1506,MATCH(148,'CARNET DE SOUDURE'!$AP$7:$AP$1506,0)))</f>
        <v/>
      </c>
      <c r="K159" s="87"/>
      <c r="L159" s="87"/>
    </row>
    <row r="160" customFormat="false" ht="15" hidden="false" customHeight="false" outlineLevel="0" collapsed="false">
      <c r="B160" s="91" t="str">
        <f aca="false">IF(149&gt;$I$4,"",149)</f>
        <v/>
      </c>
      <c r="C160" s="91" t="str">
        <f aca="false">IF($B160="","",INDEX('CARNET DE SOUDURE'!$B$7:$B$1506,MATCH(149,'CARNET DE SOUDURE'!$AP$7:$AP$1506,0)))</f>
        <v/>
      </c>
      <c r="D160" s="91" t="str">
        <f aca="false">IF($B160="","",INDEX('CARNET DE SOUDURE'!$E$7:$E$1506,MATCH(149,'CARNET DE SOUDURE'!$AP$7:$AP$1506,0)))</f>
        <v/>
      </c>
      <c r="E160" s="91" t="str">
        <f aca="false">IF($B160="","",INDEX('CARNET DE SOUDURE'!$M$7:$M$1506,MATCH(149,'CARNET DE SOUDURE'!$AP$7:$AP$1506,0))&amp;" / "&amp;INDEX('CARNET DE SOUDURE'!$N$7:$N$1506,MATCH(149,'CARNET DE SOUDURE'!$AP$7:$AP$1506,0))&amp;" / "&amp;INDEX('CARNET DE SOUDURE'!$O$7:$O$1506,MATCH(149,'CARNET DE SOUDURE'!$AP$7:$AP$1506,0)))</f>
        <v/>
      </c>
      <c r="F160" s="91" t="str">
        <f aca="false">IF($B160="","",INDEX('CARNET DE SOUDURE'!$AJ$7:$AJ$1506,MATCH(149,'CARNET DE SOUDURE'!$AP$7:$AP$1506,0)))</f>
        <v/>
      </c>
      <c r="G160" s="108" t="str">
        <f aca="false">IF($B160="","",IF(INDEX('CARNET DE SOUDURE'!$AF$7:$AF$1506,MATCH(149,'CARNET DE SOUDURE'!$AP$7:$AP$1506,0))&lt;&gt;"",INDEX('CARNET DE SOUDURE'!$AD$7:$AD$1506,MATCH(149,'CARNET DE SOUDURE'!$AP$7:$AP$1506,0)),IF(INDEX('CARNET DE SOUDURE'!$AA$7:$AA$1506,MATCH(149,'CARNET DE SOUDURE'!$AP$7:$AP$1506,0))&lt;&gt;"",INDEX('CARNET DE SOUDURE'!$Y$7:$Y$1506,MATCH(149,'CARNET DE SOUDURE'!$AP$7:$AP$1506,0)),INDEX('CARNET DE SOUDURE'!$T$7:$T$1506,MATCH(149,'CARNET DE SOUDURE'!$AP$7:$AP$1506,0)))))</f>
        <v/>
      </c>
      <c r="H160" s="91" t="str">
        <f aca="false">IF($B160="","",IF(INDEX('CARNET DE SOUDURE'!$AF$7:$AF$1506,MATCH(149,'CARNET DE SOUDURE'!$AP$7:$AP$1506,0))&lt;&gt;"",INDEX('CARNET DE SOUDURE'!$AE$7:$AE$1506,MATCH(149,'CARNET DE SOUDURE'!$AP$7:$AP$1506,0)),IF(INDEX('CARNET DE SOUDURE'!$AA$7:$AA$1506,MATCH(149,'CARNET DE SOUDURE'!$AP$7:$AP$1506,0))&lt;&gt;"",INDEX('CARNET DE SOUDURE'!$Z$7:$Z$1506,MATCH(149,'CARNET DE SOUDURE'!$AP$7:$AP$1506,0)),INDEX('CARNET DE SOUDURE'!$U$7:$U$1506,MATCH(149,'CARNET DE SOUDURE'!$AP$7:$AP$1506,0))))&amp;"")</f>
        <v/>
      </c>
      <c r="I160" s="91" t="str">
        <f aca="false">IF($B160="","",INDEX('CARNET DE SOUDURE'!$AK$7:$AK$1506,MATCH(149,'CARNET DE SOUDURE'!$AP$7:$AP$1506,0)))</f>
        <v/>
      </c>
      <c r="J160" s="109" t="str">
        <f aca="false">IF($B160="","",INDEX('CARNET DE SOUDURE'!$AL$7:$AL$1506,MATCH(149,'CARNET DE SOUDURE'!$AP$7:$AP$1506,0)))</f>
        <v/>
      </c>
      <c r="K160" s="87"/>
      <c r="L160" s="87"/>
    </row>
    <row r="161" customFormat="false" ht="15" hidden="false" customHeight="false" outlineLevel="0" collapsed="false">
      <c r="B161" s="110" t="str">
        <f aca="false">IF(150&gt;$I$4,"",150)</f>
        <v/>
      </c>
      <c r="C161" s="110" t="str">
        <f aca="false">IF($B161="","",INDEX('CARNET DE SOUDURE'!$B$7:$B$1506,MATCH(150,'CARNET DE SOUDURE'!$AP$7:$AP$1506,0)))</f>
        <v/>
      </c>
      <c r="D161" s="110" t="str">
        <f aca="false">IF($B161="","",INDEX('CARNET DE SOUDURE'!$E$7:$E$1506,MATCH(150,'CARNET DE SOUDURE'!$AP$7:$AP$1506,0)))</f>
        <v/>
      </c>
      <c r="E161" s="110" t="str">
        <f aca="false">IF($B161="","",INDEX('CARNET DE SOUDURE'!$M$7:$M$1506,MATCH(150,'CARNET DE SOUDURE'!$AP$7:$AP$1506,0))&amp;" / "&amp;INDEX('CARNET DE SOUDURE'!$N$7:$N$1506,MATCH(150,'CARNET DE SOUDURE'!$AP$7:$AP$1506,0))&amp;" / "&amp;INDEX('CARNET DE SOUDURE'!$O$7:$O$1506,MATCH(150,'CARNET DE SOUDURE'!$AP$7:$AP$1506,0)))</f>
        <v/>
      </c>
      <c r="F161" s="112" t="str">
        <f aca="false">IF($B161="","",INDEX('CARNET DE SOUDURE'!$AJ$7:$AJ$1506,MATCH(150,'CARNET DE SOUDURE'!$AP$7:$AP$1506,0)))</f>
        <v/>
      </c>
      <c r="G161" s="111" t="str">
        <f aca="false">IF($B161="","",IF(INDEX('CARNET DE SOUDURE'!$AF$7:$AF$1506,MATCH(150,'CARNET DE SOUDURE'!$AP$7:$AP$1506,0))&lt;&gt;"",INDEX('CARNET DE SOUDURE'!$AD$7:$AD$1506,MATCH(150,'CARNET DE SOUDURE'!$AP$7:$AP$1506,0)),IF(INDEX('CARNET DE SOUDURE'!$AA$7:$AA$1506,MATCH(150,'CARNET DE SOUDURE'!$AP$7:$AP$1506,0))&lt;&gt;"",INDEX('CARNET DE SOUDURE'!$Y$7:$Y$1506,MATCH(150,'CARNET DE SOUDURE'!$AP$7:$AP$1506,0)),INDEX('CARNET DE SOUDURE'!$T$7:$T$1506,MATCH(150,'CARNET DE SOUDURE'!$AP$7:$AP$1506,0)))))</f>
        <v/>
      </c>
      <c r="H161" s="110" t="str">
        <f aca="false">IF($B161="","",IF(INDEX('CARNET DE SOUDURE'!$AF$7:$AF$1506,MATCH(150,'CARNET DE SOUDURE'!$AP$7:$AP$1506,0))&lt;&gt;"",INDEX('CARNET DE SOUDURE'!$AE$7:$AE$1506,MATCH(150,'CARNET DE SOUDURE'!$AP$7:$AP$1506,0)),IF(INDEX('CARNET DE SOUDURE'!$AA$7:$AA$1506,MATCH(150,'CARNET DE SOUDURE'!$AP$7:$AP$1506,0))&lt;&gt;"",INDEX('CARNET DE SOUDURE'!$Z$7:$Z$1506,MATCH(150,'CARNET DE SOUDURE'!$AP$7:$AP$1506,0)),INDEX('CARNET DE SOUDURE'!$U$7:$U$1506,MATCH(150,'CARNET DE SOUDURE'!$AP$7:$AP$1506,0))))&amp;"")</f>
        <v/>
      </c>
      <c r="I161" s="112" t="str">
        <f aca="false">IF($B161="","",INDEX('CARNET DE SOUDURE'!$AK$7:$AK$1506,MATCH(150,'CARNET DE SOUDURE'!$AP$7:$AP$1506,0)))</f>
        <v/>
      </c>
      <c r="J161" s="113" t="str">
        <f aca="false">IF($B161="","",INDEX('CARNET DE SOUDURE'!$AL$7:$AL$1506,MATCH(150,'CARNET DE SOUDURE'!$AP$7:$AP$1506,0)))</f>
        <v/>
      </c>
      <c r="K161" s="87"/>
      <c r="L161" s="87"/>
    </row>
  </sheetData>
  <mergeCells count="3">
    <mergeCell ref="B2:M2"/>
    <mergeCell ref="D5:E5"/>
    <mergeCell ref="G5:L5"/>
  </mergeCells>
  <conditionalFormatting sqref="I12:I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6">
      <formula>"À RADIOGRAPHIER"</formula>
    </cfRule>
    <cfRule type="cellIs" priority="4" operator="equal" aboveAverage="0" equalAverage="0" bottom="0" percent="0" rank="0" text="" dxfId="26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5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7">
      <formula>"VT EN ATTENTE"</formula>
    </cfRule>
    <cfRule type="cellIs" priority="10" operator="equal" aboveAverage="0" equalAverage="0" bottom="0" percent="0" rank="0" text="" dxfId="28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conditionalFormatting sqref="F12:F16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"CO"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84" t="s">
        <v>670</v>
      </c>
      <c r="C2" s="84"/>
    </row>
    <row r="4" customFormat="false" ht="36" hidden="false" customHeight="true" outlineLevel="0" collapsed="false">
      <c r="B4" s="115" t="s">
        <v>671</v>
      </c>
      <c r="C4" s="116" t="s">
        <v>672</v>
      </c>
    </row>
    <row r="5" customFormat="false" ht="36" hidden="false" customHeight="true" outlineLevel="0" collapsed="false">
      <c r="B5" s="115" t="s">
        <v>673</v>
      </c>
      <c r="C5" s="116" t="s">
        <v>674</v>
      </c>
    </row>
    <row r="6" customFormat="false" ht="36" hidden="false" customHeight="true" outlineLevel="0" collapsed="false">
      <c r="B6" s="115" t="s">
        <v>675</v>
      </c>
      <c r="C6" s="116" t="s">
        <v>676</v>
      </c>
    </row>
    <row r="7" customFormat="false" ht="36" hidden="false" customHeight="true" outlineLevel="0" collapsed="false">
      <c r="B7" s="115" t="s">
        <v>677</v>
      </c>
      <c r="C7" s="116" t="s">
        <v>678</v>
      </c>
    </row>
    <row r="8" customFormat="false" ht="36" hidden="false" customHeight="true" outlineLevel="0" collapsed="false">
      <c r="B8" s="115" t="s">
        <v>679</v>
      </c>
      <c r="C8" s="116" t="s">
        <v>680</v>
      </c>
    </row>
    <row r="9" customFormat="false" ht="36" hidden="false" customHeight="true" outlineLevel="0" collapsed="false">
      <c r="B9" s="115" t="s">
        <v>681</v>
      </c>
      <c r="C9" s="116" t="s">
        <v>682</v>
      </c>
    </row>
    <row r="10" customFormat="false" ht="36" hidden="false" customHeight="true" outlineLevel="0" collapsed="false">
      <c r="B10" s="115" t="s">
        <v>683</v>
      </c>
      <c r="C10" s="116" t="s">
        <v>684</v>
      </c>
    </row>
    <row r="11" customFormat="false" ht="36" hidden="false" customHeight="true" outlineLevel="0" collapsed="false">
      <c r="B11" s="115" t="s">
        <v>685</v>
      </c>
      <c r="C11" s="116" t="s">
        <v>686</v>
      </c>
    </row>
    <row r="12" customFormat="false" ht="36" hidden="false" customHeight="true" outlineLevel="0" collapsed="false">
      <c r="B12" s="115" t="s">
        <v>687</v>
      </c>
      <c r="C12" s="116" t="s">
        <v>688</v>
      </c>
    </row>
    <row r="13" customFormat="false" ht="9.75" hidden="false" customHeight="true" outlineLevel="0" collapsed="false">
      <c r="B13" s="115"/>
      <c r="C13" s="116"/>
    </row>
    <row r="14" customFormat="false" ht="36" hidden="false" customHeight="true" outlineLevel="0" collapsed="false">
      <c r="B14" s="115" t="s">
        <v>689</v>
      </c>
      <c r="C14" s="116" t="s">
        <v>690</v>
      </c>
    </row>
    <row r="15" customFormat="false" ht="36" hidden="false" customHeight="true" outlineLevel="0" collapsed="false">
      <c r="B15" s="115" t="s">
        <v>691</v>
      </c>
      <c r="C15" s="116" t="s">
        <v>692</v>
      </c>
    </row>
    <row r="16" customFormat="false" ht="36" hidden="false" customHeight="true" outlineLevel="0" collapsed="false">
      <c r="B16" s="115" t="s">
        <v>693</v>
      </c>
      <c r="C16" s="116" t="s">
        <v>694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2026-09-26T14:12:12Z</dcterms:created>
  <dc:creator>openpyxl</dc:creator>
  <dc:description/>
  <dc:language>en-US</dc:language>
  <cp:lastModifiedBy/>
  <dcterms:modified xsi:type="dcterms:W3CDTF">2026-09-26T14:12:17Z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